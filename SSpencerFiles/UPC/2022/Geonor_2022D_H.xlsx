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120" yWindow="90" windowWidth="18195" windowHeight="10815" activeTab="5"/>
  </bookViews>
  <sheets>
    <sheet name="SO" sheetId="10" r:id="rId1"/>
    <sheet name="ND" sheetId="4" r:id="rId2"/>
    <sheet name="SD_Dy" sheetId="14" r:id="rId3"/>
    <sheet name="CumPPT" sheetId="16" r:id="rId4"/>
    <sheet name="DataHr" sheetId="1" r:id="rId5"/>
    <sheet name="DataDy" sheetId="12" r:id="rId6"/>
    <sheet name="Meta" sheetId="11" r:id="rId7"/>
  </sheets>
  <calcPr calcId="145621"/>
  <pivotCaches>
    <pivotCache cacheId="5" r:id="rId8"/>
  </pivotCaches>
</workbook>
</file>

<file path=xl/calcChain.xml><?xml version="1.0" encoding="utf-8"?>
<calcChain xmlns="http://schemas.openxmlformats.org/spreadsheetml/2006/main">
  <c r="P77" i="12" l="1"/>
  <c r="P76" i="12"/>
  <c r="P75" i="12"/>
  <c r="P74" i="12"/>
  <c r="P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Q1756" i="1" l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8" i="12" l="1"/>
  <c r="Q5" i="12"/>
  <c r="R5" i="12" s="1"/>
  <c r="S5" i="12" s="1"/>
  <c r="S16" i="1"/>
  <c r="S15" i="1"/>
  <c r="S14" i="1"/>
  <c r="S13" i="1"/>
  <c r="S12" i="1"/>
  <c r="S11" i="1"/>
  <c r="S10" i="1"/>
  <c r="S9" i="1"/>
  <c r="S8" i="1"/>
  <c r="S7" i="1"/>
  <c r="S6" i="1"/>
  <c r="S5" i="1"/>
  <c r="R97" i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4" i="1" s="1"/>
  <c r="R1005" i="1" s="1"/>
  <c r="R1006" i="1" s="1"/>
  <c r="R1007" i="1" s="1"/>
  <c r="R1008" i="1" s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R1026" i="1" s="1"/>
  <c r="R1027" i="1" s="1"/>
  <c r="R1028" i="1" s="1"/>
  <c r="R1029" i="1" s="1"/>
  <c r="R1030" i="1" s="1"/>
  <c r="R1031" i="1" s="1"/>
  <c r="R1032" i="1" s="1"/>
  <c r="R1033" i="1" s="1"/>
  <c r="R1034" i="1" s="1"/>
  <c r="R1035" i="1" s="1"/>
  <c r="R1036" i="1" s="1"/>
  <c r="R1037" i="1" s="1"/>
  <c r="R1038" i="1" s="1"/>
  <c r="R1039" i="1" s="1"/>
  <c r="R1040" i="1" s="1"/>
  <c r="R1041" i="1" s="1"/>
  <c r="R1042" i="1" s="1"/>
  <c r="R1043" i="1" s="1"/>
  <c r="R1044" i="1" s="1"/>
  <c r="R1045" i="1" s="1"/>
  <c r="R1046" i="1" s="1"/>
  <c r="R1047" i="1" s="1"/>
  <c r="R1048" i="1" s="1"/>
  <c r="R1049" i="1" s="1"/>
  <c r="R1050" i="1" s="1"/>
  <c r="R1051" i="1" s="1"/>
  <c r="R1052" i="1" s="1"/>
  <c r="R1053" i="1" s="1"/>
  <c r="R1054" i="1" s="1"/>
  <c r="R1055" i="1" s="1"/>
  <c r="R1056" i="1" s="1"/>
  <c r="R1057" i="1" s="1"/>
  <c r="R1058" i="1" s="1"/>
  <c r="R1059" i="1" s="1"/>
  <c r="R1060" i="1" s="1"/>
  <c r="R1061" i="1" s="1"/>
  <c r="R1062" i="1" s="1"/>
  <c r="R1063" i="1" s="1"/>
  <c r="R1064" i="1" s="1"/>
  <c r="R1065" i="1" s="1"/>
  <c r="R1066" i="1" s="1"/>
  <c r="R1067" i="1" s="1"/>
  <c r="R1068" i="1" s="1"/>
  <c r="R1069" i="1" s="1"/>
  <c r="R1070" i="1" s="1"/>
  <c r="R1071" i="1" s="1"/>
  <c r="R1072" i="1" s="1"/>
  <c r="R1073" i="1" s="1"/>
  <c r="R1074" i="1" s="1"/>
  <c r="R1075" i="1" s="1"/>
  <c r="R1076" i="1" s="1"/>
  <c r="R1077" i="1" s="1"/>
  <c r="R1078" i="1" s="1"/>
  <c r="R1079" i="1" s="1"/>
  <c r="R1080" i="1" s="1"/>
  <c r="R1081" i="1" s="1"/>
  <c r="R1082" i="1" s="1"/>
  <c r="R1083" i="1" s="1"/>
  <c r="R1084" i="1" s="1"/>
  <c r="R1085" i="1" s="1"/>
  <c r="R1086" i="1" s="1"/>
  <c r="R1087" i="1" s="1"/>
  <c r="R1088" i="1" s="1"/>
  <c r="R1089" i="1" s="1"/>
  <c r="R1090" i="1" s="1"/>
  <c r="R1091" i="1" s="1"/>
  <c r="R1092" i="1" s="1"/>
  <c r="R1093" i="1" s="1"/>
  <c r="R1094" i="1" s="1"/>
  <c r="R1095" i="1" s="1"/>
  <c r="R1096" i="1" s="1"/>
  <c r="R1097" i="1" s="1"/>
  <c r="R1098" i="1" s="1"/>
  <c r="R1099" i="1" s="1"/>
  <c r="R1100" i="1" s="1"/>
  <c r="R1101" i="1" s="1"/>
  <c r="R1102" i="1" s="1"/>
  <c r="R1103" i="1" s="1"/>
  <c r="R1104" i="1" s="1"/>
  <c r="R1105" i="1" s="1"/>
  <c r="R1106" i="1" s="1"/>
  <c r="R1107" i="1" s="1"/>
  <c r="R1108" i="1" s="1"/>
  <c r="R1109" i="1" s="1"/>
  <c r="R1110" i="1" s="1"/>
  <c r="R1111" i="1" s="1"/>
  <c r="R1112" i="1" s="1"/>
  <c r="R1113" i="1" s="1"/>
  <c r="R1114" i="1" s="1"/>
  <c r="R1115" i="1" s="1"/>
  <c r="R1116" i="1" s="1"/>
  <c r="R1117" i="1" s="1"/>
  <c r="R1118" i="1" s="1"/>
  <c r="R1119" i="1" s="1"/>
  <c r="R1120" i="1" s="1"/>
  <c r="R1121" i="1" s="1"/>
  <c r="R1122" i="1" s="1"/>
  <c r="R1123" i="1" s="1"/>
  <c r="R1124" i="1" s="1"/>
  <c r="R1125" i="1" s="1"/>
  <c r="R1126" i="1" s="1"/>
  <c r="R1127" i="1" s="1"/>
  <c r="R1128" i="1" s="1"/>
  <c r="R1129" i="1" s="1"/>
  <c r="R1130" i="1" s="1"/>
  <c r="R1131" i="1" s="1"/>
  <c r="R1132" i="1" s="1"/>
  <c r="R1133" i="1" s="1"/>
  <c r="R1134" i="1" s="1"/>
  <c r="R1135" i="1" s="1"/>
  <c r="R1136" i="1" s="1"/>
  <c r="R1137" i="1" s="1"/>
  <c r="R1138" i="1" s="1"/>
  <c r="R1139" i="1" s="1"/>
  <c r="R1140" i="1" s="1"/>
  <c r="R1141" i="1" s="1"/>
  <c r="R1142" i="1" s="1"/>
  <c r="R1143" i="1" s="1"/>
  <c r="R1144" i="1" s="1"/>
  <c r="R1145" i="1" s="1"/>
  <c r="R1146" i="1" s="1"/>
  <c r="R1147" i="1" s="1"/>
  <c r="R1148" i="1" s="1"/>
  <c r="R1149" i="1" s="1"/>
  <c r="R1150" i="1" s="1"/>
  <c r="R1151" i="1" s="1"/>
  <c r="R1152" i="1" s="1"/>
  <c r="R1153" i="1" s="1"/>
  <c r="R1154" i="1" s="1"/>
  <c r="R1155" i="1" s="1"/>
  <c r="R1156" i="1" s="1"/>
  <c r="R1157" i="1" s="1"/>
  <c r="R1158" i="1" s="1"/>
  <c r="R1159" i="1" s="1"/>
  <c r="R1160" i="1" s="1"/>
  <c r="R1161" i="1" s="1"/>
  <c r="R1162" i="1" s="1"/>
  <c r="R1163" i="1" s="1"/>
  <c r="R1164" i="1" s="1"/>
  <c r="R1165" i="1" s="1"/>
  <c r="R1166" i="1" s="1"/>
  <c r="R1167" i="1" s="1"/>
  <c r="R1168" i="1" s="1"/>
  <c r="R1169" i="1" s="1"/>
  <c r="R1170" i="1" s="1"/>
  <c r="R1171" i="1" s="1"/>
  <c r="R1172" i="1" s="1"/>
  <c r="R1173" i="1" s="1"/>
  <c r="R1174" i="1" s="1"/>
  <c r="R1175" i="1" s="1"/>
  <c r="R1176" i="1" s="1"/>
  <c r="R1177" i="1" s="1"/>
  <c r="R1178" i="1" s="1"/>
  <c r="R1179" i="1" s="1"/>
  <c r="R1180" i="1" s="1"/>
  <c r="R1181" i="1" s="1"/>
  <c r="R1182" i="1" s="1"/>
  <c r="R1183" i="1" s="1"/>
  <c r="R1184" i="1" s="1"/>
  <c r="R1185" i="1" s="1"/>
  <c r="R1186" i="1" s="1"/>
  <c r="R1187" i="1" s="1"/>
  <c r="R1188" i="1" s="1"/>
  <c r="R1189" i="1" s="1"/>
  <c r="R1190" i="1" s="1"/>
  <c r="R1191" i="1" s="1"/>
  <c r="R1192" i="1" s="1"/>
  <c r="R1193" i="1" s="1"/>
  <c r="R1194" i="1" s="1"/>
  <c r="R1195" i="1" s="1"/>
  <c r="R1196" i="1" s="1"/>
  <c r="R1197" i="1" s="1"/>
  <c r="R1198" i="1" s="1"/>
  <c r="R1199" i="1" s="1"/>
  <c r="R1200" i="1" s="1"/>
  <c r="R1201" i="1" s="1"/>
  <c r="R1202" i="1" s="1"/>
  <c r="R1203" i="1" s="1"/>
  <c r="R1204" i="1" s="1"/>
  <c r="R1205" i="1" s="1"/>
  <c r="R1206" i="1" s="1"/>
  <c r="R1207" i="1" s="1"/>
  <c r="R1208" i="1" s="1"/>
  <c r="R1209" i="1" s="1"/>
  <c r="R1210" i="1" s="1"/>
  <c r="R1211" i="1" s="1"/>
  <c r="R1212" i="1" s="1"/>
  <c r="R1213" i="1" s="1"/>
  <c r="R1214" i="1" s="1"/>
  <c r="R1215" i="1" s="1"/>
  <c r="R1216" i="1" s="1"/>
  <c r="R1217" i="1" s="1"/>
  <c r="R1218" i="1" s="1"/>
  <c r="R1219" i="1" s="1"/>
  <c r="R1220" i="1" s="1"/>
  <c r="R1221" i="1" s="1"/>
  <c r="R1222" i="1" s="1"/>
  <c r="R1223" i="1" s="1"/>
  <c r="R1224" i="1" s="1"/>
  <c r="R1225" i="1" s="1"/>
  <c r="R1226" i="1" s="1"/>
  <c r="R1227" i="1" s="1"/>
  <c r="R1228" i="1" s="1"/>
  <c r="R1229" i="1" s="1"/>
  <c r="R1230" i="1" s="1"/>
  <c r="R1231" i="1" s="1"/>
  <c r="R1232" i="1" s="1"/>
  <c r="R1233" i="1" s="1"/>
  <c r="R1234" i="1" s="1"/>
  <c r="R1235" i="1" s="1"/>
  <c r="R1236" i="1" s="1"/>
  <c r="R1237" i="1" s="1"/>
  <c r="R1238" i="1" s="1"/>
  <c r="R1239" i="1" s="1"/>
  <c r="R1240" i="1" s="1"/>
  <c r="R1241" i="1" s="1"/>
  <c r="R1242" i="1" s="1"/>
  <c r="R1243" i="1" s="1"/>
  <c r="R1244" i="1" s="1"/>
  <c r="R1245" i="1" s="1"/>
  <c r="R1246" i="1" s="1"/>
  <c r="R1247" i="1" s="1"/>
  <c r="R1248" i="1" s="1"/>
  <c r="R1249" i="1" s="1"/>
  <c r="R1250" i="1" s="1"/>
  <c r="R1251" i="1" s="1"/>
  <c r="R1252" i="1" s="1"/>
  <c r="R1253" i="1" s="1"/>
  <c r="R1254" i="1" s="1"/>
  <c r="R1255" i="1" s="1"/>
  <c r="R1256" i="1" s="1"/>
  <c r="R1257" i="1" s="1"/>
  <c r="R1258" i="1" s="1"/>
  <c r="R1259" i="1" s="1"/>
  <c r="R1260" i="1" s="1"/>
  <c r="R1261" i="1" s="1"/>
  <c r="R1262" i="1" s="1"/>
  <c r="R1263" i="1" s="1"/>
  <c r="R1264" i="1" s="1"/>
  <c r="R1265" i="1" s="1"/>
  <c r="R1266" i="1" s="1"/>
  <c r="R1267" i="1" s="1"/>
  <c r="R1268" i="1" s="1"/>
  <c r="R1269" i="1" s="1"/>
  <c r="R1270" i="1" s="1"/>
  <c r="R1271" i="1" s="1"/>
  <c r="R1272" i="1" s="1"/>
  <c r="R1273" i="1" s="1"/>
  <c r="R1274" i="1" s="1"/>
  <c r="R1275" i="1" s="1"/>
  <c r="R1276" i="1" s="1"/>
  <c r="R1277" i="1" s="1"/>
  <c r="R1278" i="1" s="1"/>
  <c r="R1279" i="1" s="1"/>
  <c r="R1280" i="1" s="1"/>
  <c r="R1281" i="1" s="1"/>
  <c r="R1282" i="1" s="1"/>
  <c r="R1283" i="1" s="1"/>
  <c r="R1284" i="1" s="1"/>
  <c r="R1285" i="1" s="1"/>
  <c r="R1286" i="1" s="1"/>
  <c r="R1287" i="1" s="1"/>
  <c r="R1288" i="1" s="1"/>
  <c r="R1289" i="1" s="1"/>
  <c r="R1290" i="1" s="1"/>
  <c r="R1291" i="1" s="1"/>
  <c r="R1292" i="1" s="1"/>
  <c r="R1293" i="1" s="1"/>
  <c r="R1294" i="1" s="1"/>
  <c r="R1295" i="1" s="1"/>
  <c r="R1296" i="1" s="1"/>
  <c r="R1297" i="1" s="1"/>
  <c r="R1298" i="1" s="1"/>
  <c r="R1299" i="1" s="1"/>
  <c r="R1300" i="1" s="1"/>
  <c r="R1301" i="1" s="1"/>
  <c r="R1302" i="1" s="1"/>
  <c r="R1303" i="1" s="1"/>
  <c r="R1304" i="1" s="1"/>
  <c r="R1305" i="1" s="1"/>
  <c r="R1306" i="1" s="1"/>
  <c r="R1307" i="1" s="1"/>
  <c r="R1308" i="1" s="1"/>
  <c r="R1309" i="1" s="1"/>
  <c r="R1310" i="1" s="1"/>
  <c r="R1311" i="1" s="1"/>
  <c r="R1312" i="1" s="1"/>
  <c r="R1313" i="1" s="1"/>
  <c r="R1314" i="1" s="1"/>
  <c r="R1315" i="1" s="1"/>
  <c r="R1316" i="1" s="1"/>
  <c r="R1317" i="1" s="1"/>
  <c r="R1318" i="1" s="1"/>
  <c r="R1319" i="1" s="1"/>
  <c r="R1320" i="1" s="1"/>
  <c r="R1321" i="1" s="1"/>
  <c r="R1322" i="1" s="1"/>
  <c r="R1323" i="1" s="1"/>
  <c r="R1324" i="1" s="1"/>
  <c r="R1325" i="1" s="1"/>
  <c r="R1326" i="1" s="1"/>
  <c r="R1327" i="1" s="1"/>
  <c r="R1328" i="1" s="1"/>
  <c r="R1329" i="1" s="1"/>
  <c r="R1330" i="1" s="1"/>
  <c r="R1331" i="1" s="1"/>
  <c r="R1332" i="1" s="1"/>
  <c r="R1333" i="1" s="1"/>
  <c r="R1334" i="1" s="1"/>
  <c r="R1335" i="1" s="1"/>
  <c r="R1336" i="1" s="1"/>
  <c r="R1337" i="1" s="1"/>
  <c r="R1338" i="1" s="1"/>
  <c r="R1339" i="1" s="1"/>
  <c r="R1340" i="1" s="1"/>
  <c r="R1341" i="1" s="1"/>
  <c r="R1342" i="1" s="1"/>
  <c r="R1343" i="1" s="1"/>
  <c r="R1344" i="1" s="1"/>
  <c r="R1345" i="1" s="1"/>
  <c r="R1346" i="1" s="1"/>
  <c r="R1347" i="1" s="1"/>
  <c r="R1348" i="1" s="1"/>
  <c r="R1349" i="1" s="1"/>
  <c r="R1350" i="1" s="1"/>
  <c r="R1351" i="1" s="1"/>
  <c r="R1352" i="1" s="1"/>
  <c r="R1353" i="1" s="1"/>
  <c r="R1354" i="1" s="1"/>
  <c r="R1355" i="1" s="1"/>
  <c r="R1356" i="1" s="1"/>
  <c r="R1357" i="1" s="1"/>
  <c r="R1358" i="1" s="1"/>
  <c r="R1359" i="1" s="1"/>
  <c r="R1360" i="1" s="1"/>
  <c r="R1361" i="1" s="1"/>
  <c r="R1362" i="1" s="1"/>
  <c r="R1363" i="1" s="1"/>
  <c r="R1364" i="1" s="1"/>
  <c r="R1365" i="1" s="1"/>
  <c r="R1366" i="1" s="1"/>
  <c r="R1367" i="1" s="1"/>
  <c r="R1368" i="1" s="1"/>
  <c r="R1369" i="1" s="1"/>
  <c r="R1370" i="1" s="1"/>
  <c r="R1371" i="1" s="1"/>
  <c r="R1372" i="1" s="1"/>
  <c r="R1373" i="1" s="1"/>
  <c r="R1374" i="1" s="1"/>
  <c r="R1375" i="1" s="1"/>
  <c r="R1376" i="1" s="1"/>
  <c r="R1377" i="1" s="1"/>
  <c r="R1378" i="1" s="1"/>
  <c r="R1379" i="1" s="1"/>
  <c r="R1380" i="1" s="1"/>
  <c r="R1381" i="1" s="1"/>
  <c r="R1382" i="1" s="1"/>
  <c r="R1383" i="1" s="1"/>
  <c r="R1384" i="1" s="1"/>
  <c r="R1385" i="1" s="1"/>
  <c r="R1386" i="1" s="1"/>
  <c r="R1387" i="1" s="1"/>
  <c r="R1388" i="1" s="1"/>
  <c r="R1389" i="1" s="1"/>
  <c r="R1390" i="1" s="1"/>
  <c r="R1391" i="1" s="1"/>
  <c r="R1392" i="1" s="1"/>
  <c r="R1393" i="1" s="1"/>
  <c r="R1394" i="1" s="1"/>
  <c r="R1395" i="1" s="1"/>
  <c r="R1396" i="1" s="1"/>
  <c r="R1397" i="1" s="1"/>
  <c r="R1398" i="1" s="1"/>
  <c r="R1399" i="1" s="1"/>
  <c r="R1400" i="1" s="1"/>
  <c r="R1401" i="1" s="1"/>
  <c r="R1402" i="1" s="1"/>
  <c r="R1403" i="1" s="1"/>
  <c r="R1404" i="1" s="1"/>
  <c r="R1405" i="1" s="1"/>
  <c r="R1406" i="1" s="1"/>
  <c r="R1407" i="1" s="1"/>
  <c r="R1408" i="1" s="1"/>
  <c r="R1409" i="1" s="1"/>
  <c r="R1410" i="1" s="1"/>
  <c r="R1411" i="1" s="1"/>
  <c r="R1412" i="1" s="1"/>
  <c r="R1413" i="1" s="1"/>
  <c r="R1414" i="1" s="1"/>
  <c r="R1415" i="1" s="1"/>
  <c r="R1416" i="1" s="1"/>
  <c r="R1417" i="1" s="1"/>
  <c r="R1418" i="1" s="1"/>
  <c r="R1419" i="1" s="1"/>
  <c r="R1420" i="1" s="1"/>
  <c r="R1421" i="1" s="1"/>
  <c r="R1422" i="1" s="1"/>
  <c r="R1423" i="1" s="1"/>
  <c r="R1424" i="1" s="1"/>
  <c r="R1425" i="1" s="1"/>
  <c r="R1426" i="1" s="1"/>
  <c r="R1427" i="1" s="1"/>
  <c r="R1428" i="1" s="1"/>
  <c r="R1429" i="1" s="1"/>
  <c r="R1430" i="1" s="1"/>
  <c r="R1431" i="1" s="1"/>
  <c r="R1432" i="1" s="1"/>
  <c r="R1433" i="1" s="1"/>
  <c r="R1434" i="1" s="1"/>
  <c r="R1435" i="1" s="1"/>
  <c r="R1436" i="1" s="1"/>
  <c r="R1437" i="1" s="1"/>
  <c r="R1438" i="1" s="1"/>
  <c r="R1439" i="1" s="1"/>
  <c r="R1440" i="1" s="1"/>
  <c r="R1441" i="1" s="1"/>
  <c r="R1442" i="1" s="1"/>
  <c r="R1443" i="1" s="1"/>
  <c r="R1444" i="1" s="1"/>
  <c r="R1445" i="1" s="1"/>
  <c r="R1446" i="1" s="1"/>
  <c r="R1447" i="1" s="1"/>
  <c r="R1448" i="1" s="1"/>
  <c r="R1449" i="1" s="1"/>
  <c r="R1450" i="1" s="1"/>
  <c r="R1451" i="1" s="1"/>
  <c r="R1452" i="1" s="1"/>
  <c r="R1453" i="1" s="1"/>
  <c r="R1454" i="1" s="1"/>
  <c r="R1455" i="1" s="1"/>
  <c r="R1456" i="1" s="1"/>
  <c r="R1457" i="1" s="1"/>
  <c r="R1458" i="1" s="1"/>
  <c r="R1459" i="1" s="1"/>
  <c r="R1460" i="1" s="1"/>
  <c r="R1461" i="1" s="1"/>
  <c r="R1462" i="1" s="1"/>
  <c r="R1463" i="1" s="1"/>
  <c r="R1464" i="1" s="1"/>
  <c r="R1465" i="1" s="1"/>
  <c r="R1466" i="1" s="1"/>
  <c r="R1467" i="1" s="1"/>
  <c r="R1468" i="1" s="1"/>
  <c r="R1469" i="1" s="1"/>
  <c r="R1470" i="1" s="1"/>
  <c r="R1471" i="1" s="1"/>
  <c r="R1472" i="1" s="1"/>
  <c r="R1473" i="1" s="1"/>
  <c r="R1474" i="1" s="1"/>
  <c r="R1475" i="1" s="1"/>
  <c r="R1476" i="1" s="1"/>
  <c r="R1477" i="1" s="1"/>
  <c r="R1478" i="1" s="1"/>
  <c r="R1479" i="1" s="1"/>
  <c r="R1480" i="1" s="1"/>
  <c r="R1481" i="1" s="1"/>
  <c r="R1482" i="1" s="1"/>
  <c r="R1483" i="1" s="1"/>
  <c r="R1484" i="1" s="1"/>
  <c r="R1485" i="1" s="1"/>
  <c r="R1486" i="1" s="1"/>
  <c r="R1487" i="1" s="1"/>
  <c r="R1488" i="1" s="1"/>
  <c r="R1489" i="1" s="1"/>
  <c r="R1490" i="1" s="1"/>
  <c r="R1491" i="1" s="1"/>
  <c r="R1492" i="1" s="1"/>
  <c r="R1493" i="1" s="1"/>
  <c r="R1494" i="1" s="1"/>
  <c r="R1495" i="1" s="1"/>
  <c r="R1496" i="1" s="1"/>
  <c r="R1497" i="1" s="1"/>
  <c r="R1498" i="1" s="1"/>
  <c r="R1499" i="1" s="1"/>
  <c r="R1500" i="1" s="1"/>
  <c r="R1501" i="1" s="1"/>
  <c r="R1502" i="1" s="1"/>
  <c r="R1503" i="1" s="1"/>
  <c r="R1504" i="1" s="1"/>
  <c r="R1505" i="1" s="1"/>
  <c r="R1506" i="1" s="1"/>
  <c r="R1507" i="1" s="1"/>
  <c r="R1508" i="1" s="1"/>
  <c r="R1509" i="1" s="1"/>
  <c r="R1510" i="1" s="1"/>
  <c r="R1511" i="1" s="1"/>
  <c r="R1512" i="1" s="1"/>
  <c r="R1513" i="1" s="1"/>
  <c r="R1514" i="1" s="1"/>
  <c r="R1515" i="1" s="1"/>
  <c r="R1516" i="1" s="1"/>
  <c r="R1517" i="1" s="1"/>
  <c r="R1518" i="1" s="1"/>
  <c r="R1519" i="1" s="1"/>
  <c r="R1520" i="1" s="1"/>
  <c r="R1521" i="1" s="1"/>
  <c r="R1522" i="1" s="1"/>
  <c r="R1523" i="1" s="1"/>
  <c r="R1524" i="1" s="1"/>
  <c r="R1525" i="1" s="1"/>
  <c r="R1526" i="1" s="1"/>
  <c r="R1527" i="1" s="1"/>
  <c r="R1528" i="1" s="1"/>
  <c r="R1529" i="1" s="1"/>
  <c r="R1530" i="1" s="1"/>
  <c r="R1531" i="1" s="1"/>
  <c r="R1532" i="1" s="1"/>
  <c r="R1533" i="1" s="1"/>
  <c r="R1534" i="1" s="1"/>
  <c r="R1535" i="1" s="1"/>
  <c r="R1536" i="1" s="1"/>
  <c r="R1537" i="1" s="1"/>
  <c r="R1538" i="1" s="1"/>
  <c r="R1539" i="1" s="1"/>
  <c r="R1540" i="1" s="1"/>
  <c r="R1541" i="1" s="1"/>
  <c r="R1542" i="1" s="1"/>
  <c r="R1543" i="1" s="1"/>
  <c r="R1544" i="1" s="1"/>
  <c r="R1545" i="1" s="1"/>
  <c r="R1546" i="1" s="1"/>
  <c r="R1547" i="1" s="1"/>
  <c r="R1548" i="1" s="1"/>
  <c r="R1549" i="1" s="1"/>
  <c r="R1550" i="1" s="1"/>
  <c r="R1551" i="1" s="1"/>
  <c r="R1552" i="1" s="1"/>
  <c r="R1553" i="1" s="1"/>
  <c r="R1554" i="1" s="1"/>
  <c r="R1555" i="1" s="1"/>
  <c r="R1556" i="1" s="1"/>
  <c r="R1557" i="1" s="1"/>
  <c r="R1558" i="1" s="1"/>
  <c r="R1559" i="1" s="1"/>
  <c r="R1560" i="1" s="1"/>
  <c r="R1561" i="1" s="1"/>
  <c r="R1562" i="1" s="1"/>
  <c r="R1563" i="1" s="1"/>
  <c r="R1564" i="1" s="1"/>
  <c r="R1565" i="1" s="1"/>
  <c r="R1566" i="1" s="1"/>
  <c r="R1567" i="1" s="1"/>
  <c r="R1568" i="1" s="1"/>
  <c r="R1569" i="1" s="1"/>
  <c r="R1570" i="1" s="1"/>
  <c r="R1571" i="1" s="1"/>
  <c r="R1572" i="1" s="1"/>
  <c r="R1573" i="1" s="1"/>
  <c r="R1574" i="1" s="1"/>
  <c r="R1575" i="1" s="1"/>
  <c r="R1576" i="1" s="1"/>
  <c r="R1577" i="1" s="1"/>
  <c r="R1578" i="1" s="1"/>
  <c r="R1579" i="1" s="1"/>
  <c r="R1580" i="1" s="1"/>
  <c r="R1581" i="1" s="1"/>
  <c r="R1582" i="1" s="1"/>
  <c r="R1583" i="1" s="1"/>
  <c r="R1584" i="1" s="1"/>
  <c r="R1585" i="1" s="1"/>
  <c r="R1586" i="1" s="1"/>
  <c r="R1587" i="1" s="1"/>
  <c r="R1588" i="1" s="1"/>
  <c r="R1589" i="1" s="1"/>
  <c r="R1590" i="1" s="1"/>
  <c r="R1591" i="1" s="1"/>
  <c r="R1592" i="1" s="1"/>
  <c r="R1593" i="1" s="1"/>
  <c r="R1594" i="1" s="1"/>
  <c r="R1595" i="1" s="1"/>
  <c r="R1596" i="1" s="1"/>
  <c r="R1597" i="1" s="1"/>
  <c r="R1598" i="1" s="1"/>
  <c r="R1599" i="1" s="1"/>
  <c r="R1600" i="1" s="1"/>
  <c r="R1601" i="1" s="1"/>
  <c r="R1602" i="1" s="1"/>
  <c r="R1603" i="1" s="1"/>
  <c r="R1604" i="1" s="1"/>
  <c r="R1605" i="1" s="1"/>
  <c r="R1606" i="1" s="1"/>
  <c r="R1607" i="1" s="1"/>
  <c r="R1608" i="1" s="1"/>
  <c r="R1609" i="1" s="1"/>
  <c r="R1610" i="1" s="1"/>
  <c r="R1611" i="1" s="1"/>
  <c r="R1612" i="1" s="1"/>
  <c r="R1613" i="1" s="1"/>
  <c r="R1614" i="1" s="1"/>
  <c r="R1615" i="1" s="1"/>
  <c r="R1616" i="1" s="1"/>
  <c r="R1617" i="1" s="1"/>
  <c r="R1618" i="1" s="1"/>
  <c r="R1619" i="1" s="1"/>
  <c r="R1620" i="1" s="1"/>
  <c r="R1621" i="1" s="1"/>
  <c r="R1622" i="1" s="1"/>
  <c r="R1623" i="1" s="1"/>
  <c r="R1624" i="1" s="1"/>
  <c r="R1625" i="1" s="1"/>
  <c r="R1626" i="1" s="1"/>
  <c r="R1627" i="1" s="1"/>
  <c r="R1628" i="1" s="1"/>
  <c r="R1629" i="1" s="1"/>
  <c r="R1630" i="1" s="1"/>
  <c r="R1631" i="1" s="1"/>
  <c r="R1632" i="1" s="1"/>
  <c r="R1633" i="1" s="1"/>
  <c r="R1634" i="1" s="1"/>
  <c r="R1635" i="1" s="1"/>
  <c r="R1636" i="1" s="1"/>
  <c r="R1637" i="1" s="1"/>
  <c r="R1638" i="1" s="1"/>
  <c r="R1639" i="1" s="1"/>
  <c r="R1640" i="1" s="1"/>
  <c r="R1641" i="1" s="1"/>
  <c r="R1642" i="1" s="1"/>
  <c r="R1643" i="1" s="1"/>
  <c r="R1644" i="1" s="1"/>
  <c r="R1645" i="1" s="1"/>
  <c r="R1646" i="1" s="1"/>
  <c r="R1647" i="1" s="1"/>
  <c r="R1648" i="1" s="1"/>
  <c r="R1649" i="1" s="1"/>
  <c r="R1650" i="1" s="1"/>
  <c r="R1651" i="1" s="1"/>
  <c r="R1652" i="1" s="1"/>
  <c r="R1653" i="1" s="1"/>
  <c r="R1654" i="1" s="1"/>
  <c r="R1655" i="1" s="1"/>
  <c r="R1656" i="1" s="1"/>
  <c r="R1657" i="1" s="1"/>
  <c r="R1658" i="1" s="1"/>
  <c r="R1659" i="1" s="1"/>
  <c r="R1660" i="1" s="1"/>
  <c r="R1661" i="1" s="1"/>
  <c r="R1662" i="1" s="1"/>
  <c r="R1663" i="1" s="1"/>
  <c r="R1664" i="1" s="1"/>
  <c r="R1665" i="1" s="1"/>
  <c r="R1666" i="1" s="1"/>
  <c r="R1667" i="1" s="1"/>
  <c r="R1668" i="1" s="1"/>
  <c r="R1669" i="1" s="1"/>
  <c r="R1670" i="1" s="1"/>
  <c r="R1671" i="1" s="1"/>
  <c r="R1672" i="1" s="1"/>
  <c r="R1673" i="1" s="1"/>
  <c r="R1674" i="1" s="1"/>
  <c r="R1675" i="1" s="1"/>
  <c r="R1676" i="1" s="1"/>
  <c r="R1677" i="1" s="1"/>
  <c r="R1678" i="1" s="1"/>
  <c r="R1679" i="1" s="1"/>
  <c r="R1680" i="1" s="1"/>
  <c r="R1681" i="1" s="1"/>
  <c r="R1682" i="1" s="1"/>
  <c r="R1683" i="1" s="1"/>
  <c r="R1684" i="1" s="1"/>
  <c r="R1685" i="1" s="1"/>
  <c r="R1686" i="1" s="1"/>
  <c r="R1687" i="1" s="1"/>
  <c r="R1688" i="1" s="1"/>
  <c r="R1689" i="1" s="1"/>
  <c r="R1690" i="1" s="1"/>
  <c r="R1691" i="1" s="1"/>
  <c r="R1692" i="1" s="1"/>
  <c r="R1693" i="1" s="1"/>
  <c r="R1694" i="1" s="1"/>
  <c r="R1695" i="1" s="1"/>
  <c r="R1696" i="1" s="1"/>
  <c r="R1697" i="1" s="1"/>
  <c r="R1698" i="1" s="1"/>
  <c r="R1699" i="1" s="1"/>
  <c r="R1700" i="1" s="1"/>
  <c r="R1701" i="1" s="1"/>
  <c r="R1702" i="1" s="1"/>
  <c r="R1703" i="1" s="1"/>
  <c r="R1704" i="1" s="1"/>
  <c r="R1705" i="1" s="1"/>
  <c r="R1706" i="1" s="1"/>
  <c r="R1707" i="1" s="1"/>
  <c r="R1708" i="1" s="1"/>
  <c r="R1709" i="1" s="1"/>
  <c r="R1710" i="1" s="1"/>
  <c r="R1711" i="1" s="1"/>
  <c r="R1712" i="1" s="1"/>
  <c r="R1713" i="1" s="1"/>
  <c r="R1714" i="1" s="1"/>
  <c r="R1715" i="1" s="1"/>
  <c r="R1716" i="1" s="1"/>
  <c r="R1717" i="1" s="1"/>
  <c r="R1718" i="1" s="1"/>
  <c r="R1719" i="1" s="1"/>
  <c r="R1720" i="1" s="1"/>
  <c r="R1721" i="1" s="1"/>
  <c r="R1722" i="1" s="1"/>
  <c r="R1723" i="1" s="1"/>
  <c r="R1724" i="1" s="1"/>
  <c r="R1725" i="1" s="1"/>
  <c r="R1726" i="1" s="1"/>
  <c r="R1727" i="1" s="1"/>
  <c r="R1728" i="1" s="1"/>
  <c r="R1729" i="1" s="1"/>
  <c r="R1730" i="1" s="1"/>
  <c r="R1731" i="1" s="1"/>
  <c r="R1732" i="1" s="1"/>
  <c r="R1733" i="1" s="1"/>
  <c r="R1734" i="1" s="1"/>
  <c r="R1735" i="1" s="1"/>
  <c r="R1736" i="1" s="1"/>
  <c r="R1737" i="1" s="1"/>
  <c r="R1738" i="1" s="1"/>
  <c r="R1739" i="1" s="1"/>
  <c r="R1740" i="1" s="1"/>
  <c r="R1741" i="1" s="1"/>
  <c r="R1742" i="1" s="1"/>
  <c r="R1743" i="1" s="1"/>
  <c r="R1744" i="1" s="1"/>
  <c r="R1745" i="1" s="1"/>
  <c r="R1746" i="1" s="1"/>
  <c r="R1747" i="1" s="1"/>
  <c r="R1748" i="1" s="1"/>
  <c r="R1749" i="1" s="1"/>
  <c r="R1750" i="1" s="1"/>
  <c r="R1751" i="1" s="1"/>
  <c r="R1752" i="1" s="1"/>
  <c r="R1753" i="1" s="1"/>
  <c r="R1754" i="1" s="1"/>
  <c r="R1755" i="1" s="1"/>
  <c r="R1756" i="1" s="1"/>
  <c r="R35" i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18" i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X5" i="1" l="1"/>
  <c r="Y5" i="1"/>
  <c r="Z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X131" i="1"/>
  <c r="Y131" i="1"/>
  <c r="X132" i="1"/>
  <c r="Y132" i="1"/>
  <c r="X133" i="1"/>
  <c r="Y133" i="1"/>
  <c r="X134" i="1"/>
  <c r="Y134" i="1"/>
  <c r="X135" i="1"/>
  <c r="Y135" i="1"/>
  <c r="X136" i="1"/>
  <c r="Y136" i="1"/>
  <c r="X137" i="1"/>
  <c r="Y137" i="1"/>
  <c r="X138" i="1"/>
  <c r="Y138" i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/>
  <c r="X146" i="1"/>
  <c r="Y146" i="1"/>
  <c r="X147" i="1"/>
  <c r="Y147" i="1"/>
  <c r="X148" i="1"/>
  <c r="Y148" i="1"/>
  <c r="X149" i="1"/>
  <c r="Y149" i="1"/>
  <c r="X150" i="1"/>
  <c r="Y150" i="1"/>
  <c r="X151" i="1"/>
  <c r="Y151" i="1"/>
  <c r="X152" i="1"/>
  <c r="Y152" i="1"/>
  <c r="X153" i="1"/>
  <c r="Y153" i="1"/>
  <c r="X154" i="1"/>
  <c r="Y154" i="1"/>
  <c r="X155" i="1"/>
  <c r="Y155" i="1"/>
  <c r="X156" i="1"/>
  <c r="Y156" i="1"/>
  <c r="X157" i="1"/>
  <c r="Y157" i="1"/>
  <c r="X158" i="1"/>
  <c r="Y158" i="1"/>
  <c r="X159" i="1"/>
  <c r="Y159" i="1"/>
  <c r="X160" i="1"/>
  <c r="Y160" i="1"/>
  <c r="X161" i="1"/>
  <c r="Y161" i="1"/>
  <c r="X162" i="1"/>
  <c r="Y162" i="1"/>
  <c r="X163" i="1"/>
  <c r="Y163" i="1"/>
  <c r="X164" i="1"/>
  <c r="Y164" i="1"/>
  <c r="X165" i="1"/>
  <c r="Y165" i="1"/>
  <c r="X166" i="1"/>
  <c r="Y166" i="1"/>
  <c r="X167" i="1"/>
  <c r="Y167" i="1"/>
  <c r="X168" i="1"/>
  <c r="Y168" i="1"/>
  <c r="X169" i="1"/>
  <c r="Y169" i="1"/>
  <c r="X170" i="1"/>
  <c r="Y170" i="1"/>
  <c r="X171" i="1"/>
  <c r="Y171" i="1"/>
  <c r="X172" i="1"/>
  <c r="Y172" i="1"/>
  <c r="X173" i="1"/>
  <c r="Y173" i="1"/>
  <c r="X174" i="1"/>
  <c r="Y174" i="1"/>
  <c r="X175" i="1"/>
  <c r="Y175" i="1"/>
  <c r="X176" i="1"/>
  <c r="Y176" i="1"/>
  <c r="X177" i="1"/>
  <c r="Y177" i="1"/>
  <c r="X178" i="1"/>
  <c r="Y178" i="1"/>
  <c r="X179" i="1"/>
  <c r="Y179" i="1"/>
  <c r="X180" i="1"/>
  <c r="Y180" i="1"/>
  <c r="X181" i="1"/>
  <c r="Y181" i="1"/>
  <c r="X182" i="1"/>
  <c r="Y182" i="1"/>
  <c r="X183" i="1"/>
  <c r="Y183" i="1"/>
  <c r="X184" i="1"/>
  <c r="Y184" i="1"/>
  <c r="X185" i="1"/>
  <c r="Y185" i="1"/>
  <c r="X186" i="1"/>
  <c r="Y186" i="1"/>
  <c r="X187" i="1"/>
  <c r="Y187" i="1"/>
  <c r="X188" i="1"/>
  <c r="Y188" i="1"/>
  <c r="X189" i="1"/>
  <c r="Y189" i="1"/>
  <c r="X190" i="1"/>
  <c r="Y190" i="1"/>
  <c r="X191" i="1"/>
  <c r="Y191" i="1"/>
  <c r="X192" i="1"/>
  <c r="Y192" i="1"/>
  <c r="X193" i="1"/>
  <c r="Y193" i="1"/>
  <c r="X194" i="1"/>
  <c r="Y194" i="1"/>
  <c r="X195" i="1"/>
  <c r="Y195" i="1"/>
  <c r="X196" i="1"/>
  <c r="Y196" i="1"/>
  <c r="X197" i="1"/>
  <c r="Y197" i="1"/>
  <c r="X198" i="1"/>
  <c r="Y198" i="1"/>
  <c r="X199" i="1"/>
  <c r="Y199" i="1"/>
  <c r="X200" i="1"/>
  <c r="Y200" i="1"/>
  <c r="X201" i="1"/>
  <c r="Y201" i="1"/>
  <c r="X202" i="1"/>
  <c r="Y202" i="1"/>
  <c r="X203" i="1"/>
  <c r="Y203" i="1"/>
  <c r="X204" i="1"/>
  <c r="Y204" i="1"/>
  <c r="X205" i="1"/>
  <c r="Y205" i="1"/>
  <c r="X206" i="1"/>
  <c r="Y206" i="1"/>
  <c r="X207" i="1"/>
  <c r="Y207" i="1"/>
  <c r="X208" i="1"/>
  <c r="Y208" i="1"/>
  <c r="X209" i="1"/>
  <c r="Y209" i="1"/>
  <c r="X210" i="1"/>
  <c r="Y210" i="1"/>
  <c r="X211" i="1"/>
  <c r="Y211" i="1"/>
  <c r="X212" i="1"/>
  <c r="Y212" i="1"/>
  <c r="X213" i="1"/>
  <c r="Y213" i="1"/>
  <c r="X214" i="1"/>
  <c r="Y214" i="1"/>
  <c r="X215" i="1"/>
  <c r="Y215" i="1"/>
  <c r="X216" i="1"/>
  <c r="Y216" i="1"/>
  <c r="X217" i="1"/>
  <c r="Y217" i="1"/>
  <c r="X218" i="1"/>
  <c r="Y218" i="1"/>
  <c r="X219" i="1"/>
  <c r="Y219" i="1"/>
  <c r="X220" i="1"/>
  <c r="Y220" i="1"/>
  <c r="X221" i="1"/>
  <c r="Y221" i="1"/>
  <c r="X222" i="1"/>
  <c r="Y222" i="1"/>
  <c r="X223" i="1"/>
  <c r="Y223" i="1"/>
  <c r="X224" i="1"/>
  <c r="Y224" i="1"/>
  <c r="X225" i="1"/>
  <c r="Y225" i="1"/>
  <c r="X226" i="1"/>
  <c r="Y226" i="1"/>
  <c r="X227" i="1"/>
  <c r="Y227" i="1"/>
  <c r="X228" i="1"/>
  <c r="Y228" i="1"/>
  <c r="X229" i="1"/>
  <c r="Y229" i="1"/>
  <c r="X230" i="1"/>
  <c r="Y230" i="1"/>
  <c r="X231" i="1"/>
  <c r="Y231" i="1"/>
  <c r="X232" i="1"/>
  <c r="Y232" i="1"/>
  <c r="X233" i="1"/>
  <c r="Y233" i="1"/>
  <c r="X234" i="1"/>
  <c r="Y234" i="1"/>
  <c r="X235" i="1"/>
  <c r="Y235" i="1"/>
  <c r="X236" i="1"/>
  <c r="Y236" i="1"/>
  <c r="X237" i="1"/>
  <c r="Y237" i="1"/>
  <c r="X238" i="1"/>
  <c r="Y238" i="1"/>
  <c r="X239" i="1"/>
  <c r="Y239" i="1"/>
  <c r="X240" i="1"/>
  <c r="Y240" i="1"/>
  <c r="X241" i="1"/>
  <c r="Y241" i="1"/>
  <c r="X242" i="1"/>
  <c r="Y242" i="1"/>
  <c r="X243" i="1"/>
  <c r="Y243" i="1"/>
  <c r="X244" i="1"/>
  <c r="Y244" i="1"/>
  <c r="X245" i="1"/>
  <c r="Y245" i="1"/>
  <c r="X246" i="1"/>
  <c r="Y246" i="1"/>
  <c r="X247" i="1"/>
  <c r="Y247" i="1"/>
  <c r="X248" i="1"/>
  <c r="Y248" i="1"/>
  <c r="X249" i="1"/>
  <c r="Y249" i="1"/>
  <c r="X250" i="1"/>
  <c r="Y250" i="1"/>
  <c r="X251" i="1"/>
  <c r="Y251" i="1"/>
  <c r="X252" i="1"/>
  <c r="Y252" i="1"/>
  <c r="X253" i="1"/>
  <c r="Y253" i="1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62" i="1"/>
  <c r="Y262" i="1"/>
  <c r="X263" i="1"/>
  <c r="Y263" i="1"/>
  <c r="X264" i="1"/>
  <c r="Y264" i="1"/>
  <c r="X265" i="1"/>
  <c r="Y265" i="1"/>
  <c r="X266" i="1"/>
  <c r="Y266" i="1"/>
  <c r="X267" i="1"/>
  <c r="Y267" i="1"/>
  <c r="X268" i="1"/>
  <c r="Y268" i="1"/>
  <c r="X269" i="1"/>
  <c r="Y269" i="1"/>
  <c r="X270" i="1"/>
  <c r="Y270" i="1"/>
  <c r="X271" i="1"/>
  <c r="Y271" i="1"/>
  <c r="X272" i="1"/>
  <c r="Y272" i="1"/>
  <c r="X273" i="1"/>
  <c r="Y273" i="1"/>
  <c r="X274" i="1"/>
  <c r="Y274" i="1"/>
  <c r="X275" i="1"/>
  <c r="Y275" i="1"/>
  <c r="X276" i="1"/>
  <c r="Y276" i="1"/>
  <c r="X277" i="1"/>
  <c r="Y277" i="1"/>
  <c r="X278" i="1"/>
  <c r="Y278" i="1"/>
  <c r="X279" i="1"/>
  <c r="Y279" i="1"/>
  <c r="X280" i="1"/>
  <c r="Y280" i="1"/>
  <c r="X281" i="1"/>
  <c r="Y281" i="1"/>
  <c r="X282" i="1"/>
  <c r="Y282" i="1"/>
  <c r="X283" i="1"/>
  <c r="Y283" i="1"/>
  <c r="X284" i="1"/>
  <c r="Y284" i="1"/>
  <c r="X285" i="1"/>
  <c r="Y285" i="1"/>
  <c r="X286" i="1"/>
  <c r="Y286" i="1"/>
  <c r="X287" i="1"/>
  <c r="Y287" i="1"/>
  <c r="X288" i="1"/>
  <c r="Y288" i="1"/>
  <c r="X289" i="1"/>
  <c r="Y289" i="1"/>
  <c r="X290" i="1"/>
  <c r="Y290" i="1"/>
  <c r="X291" i="1"/>
  <c r="Y291" i="1"/>
  <c r="X292" i="1"/>
  <c r="Y292" i="1"/>
  <c r="X293" i="1"/>
  <c r="Y293" i="1"/>
  <c r="X294" i="1"/>
  <c r="Y294" i="1"/>
  <c r="X295" i="1"/>
  <c r="Y295" i="1"/>
  <c r="X296" i="1"/>
  <c r="Y296" i="1"/>
  <c r="X297" i="1"/>
  <c r="Y297" i="1"/>
  <c r="X298" i="1"/>
  <c r="Y298" i="1"/>
  <c r="X299" i="1"/>
  <c r="Y299" i="1"/>
  <c r="X300" i="1"/>
  <c r="Y300" i="1"/>
  <c r="X301" i="1"/>
  <c r="Y301" i="1"/>
  <c r="X302" i="1"/>
  <c r="Y302" i="1"/>
  <c r="X303" i="1"/>
  <c r="Y303" i="1"/>
  <c r="X304" i="1"/>
  <c r="Y304" i="1"/>
  <c r="X305" i="1"/>
  <c r="Y305" i="1"/>
  <c r="X306" i="1"/>
  <c r="Y306" i="1"/>
  <c r="X307" i="1"/>
  <c r="Y307" i="1"/>
  <c r="X308" i="1"/>
  <c r="Y308" i="1"/>
  <c r="X309" i="1"/>
  <c r="Y309" i="1"/>
  <c r="X310" i="1"/>
  <c r="Y310" i="1"/>
  <c r="X311" i="1"/>
  <c r="Y311" i="1"/>
  <c r="X312" i="1"/>
  <c r="Y312" i="1"/>
  <c r="X313" i="1"/>
  <c r="Y313" i="1"/>
  <c r="X314" i="1"/>
  <c r="Y314" i="1"/>
  <c r="X315" i="1"/>
  <c r="Y315" i="1"/>
  <c r="X316" i="1"/>
  <c r="Y316" i="1"/>
  <c r="X317" i="1"/>
  <c r="Y317" i="1"/>
  <c r="X318" i="1"/>
  <c r="Y318" i="1"/>
  <c r="X319" i="1"/>
  <c r="Y319" i="1"/>
  <c r="X320" i="1"/>
  <c r="Y320" i="1"/>
  <c r="X321" i="1"/>
  <c r="Y321" i="1"/>
  <c r="X322" i="1"/>
  <c r="Y322" i="1"/>
  <c r="X323" i="1"/>
  <c r="Y323" i="1"/>
  <c r="X324" i="1"/>
  <c r="Y324" i="1"/>
  <c r="X325" i="1"/>
  <c r="Y325" i="1"/>
  <c r="X326" i="1"/>
  <c r="Y326" i="1"/>
  <c r="X327" i="1"/>
  <c r="Y327" i="1"/>
  <c r="X328" i="1"/>
  <c r="Y328" i="1"/>
  <c r="X329" i="1"/>
  <c r="Y329" i="1"/>
  <c r="X330" i="1"/>
  <c r="Y330" i="1"/>
  <c r="X331" i="1"/>
  <c r="Y331" i="1"/>
  <c r="X332" i="1"/>
  <c r="Y332" i="1"/>
  <c r="X333" i="1"/>
  <c r="Y333" i="1"/>
  <c r="X334" i="1"/>
  <c r="Y334" i="1"/>
  <c r="X335" i="1"/>
  <c r="Y335" i="1"/>
  <c r="X336" i="1"/>
  <c r="Y336" i="1"/>
  <c r="X337" i="1"/>
  <c r="Y337" i="1"/>
  <c r="X338" i="1"/>
  <c r="Y338" i="1"/>
  <c r="X339" i="1"/>
  <c r="Y339" i="1"/>
  <c r="X340" i="1"/>
  <c r="Y340" i="1"/>
  <c r="X341" i="1"/>
  <c r="Y341" i="1"/>
  <c r="X342" i="1"/>
  <c r="Y342" i="1"/>
  <c r="X343" i="1"/>
  <c r="Y343" i="1"/>
  <c r="X344" i="1"/>
  <c r="Y344" i="1"/>
  <c r="X345" i="1"/>
  <c r="Y345" i="1"/>
  <c r="X346" i="1"/>
  <c r="Y346" i="1"/>
  <c r="X347" i="1"/>
  <c r="Y347" i="1"/>
  <c r="X348" i="1"/>
  <c r="Y348" i="1"/>
  <c r="X349" i="1"/>
  <c r="Y349" i="1"/>
  <c r="X350" i="1"/>
  <c r="Y350" i="1"/>
  <c r="X351" i="1"/>
  <c r="Y351" i="1"/>
  <c r="X352" i="1"/>
  <c r="Y352" i="1"/>
  <c r="X353" i="1"/>
  <c r="Y353" i="1"/>
  <c r="X354" i="1"/>
  <c r="Y354" i="1"/>
  <c r="X355" i="1"/>
  <c r="Y355" i="1"/>
  <c r="X356" i="1"/>
  <c r="Y356" i="1"/>
  <c r="X357" i="1"/>
  <c r="Y357" i="1"/>
  <c r="X358" i="1"/>
  <c r="Y358" i="1"/>
  <c r="X359" i="1"/>
  <c r="Y359" i="1"/>
  <c r="X360" i="1"/>
  <c r="Y360" i="1"/>
  <c r="X361" i="1"/>
  <c r="Y361" i="1"/>
  <c r="X362" i="1"/>
  <c r="Y362" i="1"/>
  <c r="X363" i="1"/>
  <c r="Y363" i="1"/>
  <c r="X364" i="1"/>
  <c r="Y364" i="1"/>
  <c r="X365" i="1"/>
  <c r="Y365" i="1"/>
  <c r="X366" i="1"/>
  <c r="Y366" i="1"/>
  <c r="X367" i="1"/>
  <c r="Y367" i="1"/>
  <c r="X368" i="1"/>
  <c r="Y368" i="1"/>
  <c r="X369" i="1"/>
  <c r="Y369" i="1"/>
  <c r="X370" i="1"/>
  <c r="Y370" i="1"/>
  <c r="X371" i="1"/>
  <c r="Y371" i="1"/>
  <c r="X372" i="1"/>
  <c r="Y372" i="1"/>
  <c r="X373" i="1"/>
  <c r="Y373" i="1"/>
  <c r="X374" i="1"/>
  <c r="Y374" i="1"/>
  <c r="X375" i="1"/>
  <c r="Y375" i="1"/>
  <c r="X376" i="1"/>
  <c r="Y376" i="1"/>
  <c r="X377" i="1"/>
  <c r="Y377" i="1"/>
  <c r="X378" i="1"/>
  <c r="Y378" i="1"/>
  <c r="X379" i="1"/>
  <c r="Y379" i="1"/>
  <c r="X380" i="1"/>
  <c r="Y380" i="1"/>
  <c r="X381" i="1"/>
  <c r="Y381" i="1"/>
  <c r="X382" i="1"/>
  <c r="Y382" i="1"/>
  <c r="Q6" i="12"/>
  <c r="Q7" i="12" s="1"/>
  <c r="Z6" i="1" l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Q9" i="12"/>
  <c r="R7" i="12"/>
  <c r="R8" i="12" l="1"/>
  <c r="Q10" i="12" l="1"/>
  <c r="R9" i="12"/>
  <c r="Q11" i="12" l="1"/>
  <c r="R10" i="12"/>
  <c r="Q12" i="12" l="1"/>
  <c r="R11" i="12"/>
  <c r="Q13" i="12" l="1"/>
  <c r="R12" i="12"/>
  <c r="Q14" i="12" l="1"/>
  <c r="R13" i="12"/>
  <c r="Q15" i="12" l="1"/>
  <c r="R14" i="12"/>
  <c r="Q16" i="12" l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R15" i="12"/>
  <c r="R16" i="12" l="1"/>
  <c r="R17" i="12" l="1"/>
  <c r="R18" i="12" l="1"/>
  <c r="R19" i="12" l="1"/>
  <c r="R20" i="12" l="1"/>
  <c r="R21" i="12" l="1"/>
  <c r="R22" i="12" l="1"/>
  <c r="R23" i="12" l="1"/>
  <c r="R24" i="12" l="1"/>
  <c r="R25" i="12" l="1"/>
  <c r="R26" i="12" l="1"/>
  <c r="R27" i="12" l="1"/>
  <c r="R28" i="12" l="1"/>
  <c r="R29" i="12" l="1"/>
  <c r="R30" i="12" l="1"/>
  <c r="R31" i="12" l="1"/>
  <c r="R32" i="12" l="1"/>
  <c r="R33" i="12" l="1"/>
  <c r="R34" i="12" l="1"/>
  <c r="R35" i="12" l="1"/>
  <c r="R36" i="12" l="1"/>
  <c r="R37" i="12" l="1"/>
  <c r="R38" i="12" l="1"/>
  <c r="R39" i="12" l="1"/>
  <c r="R40" i="12" l="1"/>
  <c r="R41" i="12" l="1"/>
  <c r="R42" i="12" l="1"/>
  <c r="R43" i="12" l="1"/>
  <c r="R44" i="12" l="1"/>
  <c r="R45" i="12" l="1"/>
  <c r="R46" i="12" l="1"/>
  <c r="R47" i="12" l="1"/>
  <c r="R48" i="12" l="1"/>
  <c r="R49" i="12" l="1"/>
  <c r="R50" i="12" l="1"/>
  <c r="R51" i="12" l="1"/>
  <c r="R52" i="12" l="1"/>
  <c r="R53" i="12" l="1"/>
  <c r="R54" i="12" l="1"/>
  <c r="R55" i="12" l="1"/>
  <c r="R56" i="12" l="1"/>
  <c r="R57" i="12" l="1"/>
  <c r="R58" i="12" l="1"/>
  <c r="R59" i="12" l="1"/>
  <c r="R60" i="12" l="1"/>
  <c r="R61" i="12" l="1"/>
  <c r="R62" i="12" l="1"/>
  <c r="R63" i="12" l="1"/>
  <c r="R64" i="12" l="1"/>
  <c r="R65" i="12" l="1"/>
  <c r="R66" i="12" l="1"/>
  <c r="R67" i="12" l="1"/>
  <c r="R68" i="12" l="1"/>
  <c r="R69" i="12" l="1"/>
  <c r="R70" i="12" l="1"/>
  <c r="R71" i="12" l="1"/>
  <c r="R72" i="12" l="1"/>
  <c r="R73" i="12" l="1"/>
  <c r="R74" i="12" l="1"/>
  <c r="R75" i="12" l="1"/>
  <c r="R77" i="12" l="1"/>
  <c r="R76" i="12"/>
  <c r="R6" i="12" l="1"/>
  <c r="S6" i="12" l="1"/>
  <c r="S7" i="12" s="1"/>
  <c r="S8" i="12" s="1"/>
  <c r="S9" i="12" s="1"/>
  <c r="S10" i="12" s="1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S63" i="12" s="1"/>
  <c r="S64" i="12" s="1"/>
  <c r="S65" i="12" s="1"/>
  <c r="S66" i="12" s="1"/>
  <c r="S67" i="12" s="1"/>
  <c r="S68" i="12" s="1"/>
  <c r="S69" i="12" s="1"/>
  <c r="S70" i="12" s="1"/>
  <c r="S71" i="12" s="1"/>
  <c r="S72" i="12" s="1"/>
  <c r="S73" i="12" s="1"/>
  <c r="S74" i="12" s="1"/>
  <c r="S75" i="12" s="1"/>
  <c r="S76" i="12" s="1"/>
  <c r="S77" i="12" s="1"/>
  <c r="S18" i="1" l="1"/>
  <c r="S19" i="1" l="1"/>
  <c r="S20" i="1" l="1"/>
  <c r="S21" i="1" l="1"/>
  <c r="S22" i="1" l="1"/>
  <c r="S23" i="1" l="1"/>
  <c r="S24" i="1" l="1"/>
  <c r="S25" i="1" l="1"/>
  <c r="S26" i="1" l="1"/>
  <c r="S27" i="1" l="1"/>
  <c r="S28" i="1" l="1"/>
  <c r="S29" i="1" l="1"/>
  <c r="S30" i="1" l="1"/>
  <c r="S31" i="1" l="1"/>
  <c r="S32" i="1" l="1"/>
  <c r="S33" i="1" l="1"/>
  <c r="S34" i="1" l="1"/>
  <c r="S35" i="1" l="1"/>
  <c r="S36" i="1" l="1"/>
  <c r="S37" i="1" l="1"/>
  <c r="S38" i="1" l="1"/>
  <c r="S39" i="1" l="1"/>
  <c r="S40" i="1" l="1"/>
  <c r="S41" i="1" l="1"/>
  <c r="S42" i="1" l="1"/>
  <c r="S43" i="1" l="1"/>
  <c r="S44" i="1" l="1"/>
  <c r="S45" i="1" l="1"/>
  <c r="S46" i="1" l="1"/>
  <c r="S47" i="1" l="1"/>
  <c r="S48" i="1" l="1"/>
  <c r="S49" i="1" l="1"/>
  <c r="S50" i="1" l="1"/>
  <c r="S51" i="1" l="1"/>
  <c r="S52" i="1" l="1"/>
  <c r="S53" i="1" l="1"/>
  <c r="S54" i="1" l="1"/>
  <c r="S55" i="1" l="1"/>
  <c r="S56" i="1" l="1"/>
  <c r="S57" i="1" l="1"/>
  <c r="S58" i="1" l="1"/>
  <c r="S59" i="1" l="1"/>
  <c r="S60" i="1" l="1"/>
  <c r="S61" i="1" l="1"/>
  <c r="S62" i="1" l="1"/>
  <c r="S63" i="1" l="1"/>
  <c r="S64" i="1" l="1"/>
  <c r="S65" i="1" l="1"/>
  <c r="S66" i="1" l="1"/>
  <c r="S67" i="1" l="1"/>
  <c r="S68" i="1" l="1"/>
  <c r="S69" i="1" l="1"/>
  <c r="S70" i="1" l="1"/>
  <c r="S71" i="1" l="1"/>
  <c r="S72" i="1" l="1"/>
  <c r="S73" i="1" l="1"/>
  <c r="S74" i="1" l="1"/>
  <c r="S75" i="1" l="1"/>
  <c r="S76" i="1" l="1"/>
  <c r="S77" i="1" l="1"/>
  <c r="S78" i="1" l="1"/>
  <c r="S79" i="1" l="1"/>
  <c r="S80" i="1" l="1"/>
  <c r="S81" i="1" l="1"/>
  <c r="S82" i="1" l="1"/>
  <c r="S83" i="1" l="1"/>
  <c r="S84" i="1" l="1"/>
  <c r="S85" i="1" l="1"/>
  <c r="S86" i="1" l="1"/>
  <c r="S87" i="1" l="1"/>
  <c r="S88" i="1" l="1"/>
  <c r="S89" i="1" l="1"/>
  <c r="S90" i="1" l="1"/>
  <c r="S91" i="1" l="1"/>
  <c r="S92" i="1" l="1"/>
  <c r="S93" i="1" l="1"/>
  <c r="S94" i="1" l="1"/>
  <c r="S95" i="1" l="1"/>
  <c r="S96" i="1" l="1"/>
  <c r="S97" i="1" l="1"/>
  <c r="S98" i="1" l="1"/>
  <c r="S99" i="1" l="1"/>
  <c r="S100" i="1" l="1"/>
  <c r="S101" i="1" l="1"/>
  <c r="S102" i="1" l="1"/>
  <c r="S103" i="1" l="1"/>
  <c r="S104" i="1" l="1"/>
  <c r="S105" i="1" l="1"/>
  <c r="S106" i="1" l="1"/>
  <c r="S107" i="1" l="1"/>
  <c r="S108" i="1" l="1"/>
  <c r="S109" i="1" l="1"/>
  <c r="S110" i="1" l="1"/>
  <c r="S111" i="1" l="1"/>
  <c r="S112" i="1" l="1"/>
  <c r="S113" i="1" l="1"/>
  <c r="S114" i="1" l="1"/>
  <c r="S115" i="1"/>
  <c r="S116" i="1" l="1"/>
  <c r="S117" i="1" l="1"/>
  <c r="S118" i="1" l="1"/>
  <c r="S119" i="1" l="1"/>
  <c r="S120" i="1" l="1"/>
  <c r="S121" i="1" l="1"/>
  <c r="S122" i="1" l="1"/>
  <c r="S123" i="1" l="1"/>
  <c r="S124" i="1" l="1"/>
  <c r="S125" i="1" l="1"/>
  <c r="S126" i="1" l="1"/>
  <c r="S127" i="1" l="1"/>
  <c r="S128" i="1" l="1"/>
  <c r="S129" i="1" l="1"/>
  <c r="S130" i="1" l="1"/>
  <c r="S131" i="1" l="1"/>
  <c r="S132" i="1" l="1"/>
  <c r="S133" i="1" l="1"/>
  <c r="S134" i="1" l="1"/>
  <c r="S135" i="1" l="1"/>
  <c r="S136" i="1" l="1"/>
  <c r="S137" i="1" l="1"/>
  <c r="S138" i="1" l="1"/>
  <c r="S139" i="1" l="1"/>
  <c r="S140" i="1" l="1"/>
  <c r="S141" i="1" l="1"/>
  <c r="S142" i="1" l="1"/>
  <c r="S143" i="1" l="1"/>
  <c r="S144" i="1" l="1"/>
  <c r="S145" i="1" l="1"/>
  <c r="S146" i="1" l="1"/>
  <c r="S147" i="1" l="1"/>
  <c r="S148" i="1" l="1"/>
  <c r="S149" i="1" l="1"/>
  <c r="S150" i="1" l="1"/>
  <c r="S151" i="1" l="1"/>
  <c r="S152" i="1" l="1"/>
  <c r="S153" i="1" l="1"/>
  <c r="S154" i="1" l="1"/>
  <c r="S155" i="1" l="1"/>
  <c r="S156" i="1" l="1"/>
  <c r="S157" i="1" l="1"/>
  <c r="S158" i="1" l="1"/>
  <c r="S159" i="1" l="1"/>
  <c r="S160" i="1" l="1"/>
  <c r="S161" i="1" l="1"/>
  <c r="S162" i="1" l="1"/>
  <c r="S163" i="1" l="1"/>
  <c r="S164" i="1" l="1"/>
  <c r="S165" i="1" l="1"/>
  <c r="S166" i="1" l="1"/>
  <c r="S167" i="1" l="1"/>
  <c r="S168" i="1" l="1"/>
  <c r="S169" i="1" l="1"/>
  <c r="S170" i="1" l="1"/>
  <c r="S171" i="1" l="1"/>
  <c r="S172" i="1" l="1"/>
  <c r="S173" i="1" l="1"/>
  <c r="S174" i="1" l="1"/>
  <c r="S175" i="1" l="1"/>
  <c r="S176" i="1" l="1"/>
  <c r="S177" i="1" l="1"/>
  <c r="S178" i="1" l="1"/>
  <c r="S179" i="1" l="1"/>
  <c r="S180" i="1" l="1"/>
  <c r="S181" i="1" l="1"/>
  <c r="S182" i="1" l="1"/>
  <c r="S183" i="1" l="1"/>
  <c r="S184" i="1" l="1"/>
  <c r="S185" i="1" l="1"/>
  <c r="S186" i="1" l="1"/>
  <c r="S187" i="1" l="1"/>
  <c r="S188" i="1" l="1"/>
  <c r="S189" i="1" l="1"/>
  <c r="S190" i="1" l="1"/>
  <c r="S191" i="1" l="1"/>
  <c r="S192" i="1" l="1"/>
  <c r="S193" i="1" l="1"/>
  <c r="S194" i="1" l="1"/>
  <c r="S195" i="1" l="1"/>
  <c r="S196" i="1" l="1"/>
  <c r="S197" i="1" l="1"/>
  <c r="S198" i="1" l="1"/>
  <c r="S199" i="1" l="1"/>
  <c r="S200" i="1" l="1"/>
  <c r="S201" i="1" l="1"/>
  <c r="S202" i="1" l="1"/>
  <c r="S203" i="1" l="1"/>
  <c r="S204" i="1" l="1"/>
  <c r="S205" i="1" l="1"/>
  <c r="S206" i="1" l="1"/>
  <c r="S207" i="1" l="1"/>
  <c r="S208" i="1" l="1"/>
  <c r="S209" i="1" l="1"/>
  <c r="S210" i="1" l="1"/>
  <c r="S211" i="1" l="1"/>
  <c r="S212" i="1" l="1"/>
  <c r="S213" i="1" l="1"/>
  <c r="S214" i="1" l="1"/>
  <c r="S215" i="1" l="1"/>
  <c r="S216" i="1" l="1"/>
  <c r="S217" i="1" l="1"/>
  <c r="S218" i="1" l="1"/>
  <c r="S219" i="1" l="1"/>
  <c r="S220" i="1" l="1"/>
  <c r="S221" i="1" l="1"/>
  <c r="S222" i="1" l="1"/>
  <c r="S223" i="1" l="1"/>
  <c r="S224" i="1" l="1"/>
  <c r="S225" i="1" l="1"/>
  <c r="S226" i="1" l="1"/>
  <c r="S227" i="1" l="1"/>
  <c r="S228" i="1" l="1"/>
  <c r="S229" i="1" l="1"/>
  <c r="S230" i="1" l="1"/>
  <c r="S231" i="1" l="1"/>
  <c r="S232" i="1" l="1"/>
  <c r="S233" i="1" l="1"/>
  <c r="S234" i="1" l="1"/>
  <c r="S235" i="1" l="1"/>
  <c r="S236" i="1" l="1"/>
  <c r="S237" i="1" l="1"/>
  <c r="S238" i="1" l="1"/>
  <c r="S239" i="1" l="1"/>
  <c r="S240" i="1" l="1"/>
  <c r="S241" i="1" l="1"/>
  <c r="S242" i="1" l="1"/>
  <c r="S243" i="1" l="1"/>
  <c r="S244" i="1" l="1"/>
  <c r="S245" i="1" l="1"/>
  <c r="S246" i="1" l="1"/>
  <c r="S247" i="1" l="1"/>
  <c r="S248" i="1" l="1"/>
  <c r="S249" i="1" l="1"/>
  <c r="S250" i="1" l="1"/>
  <c r="S251" i="1" l="1"/>
  <c r="S252" i="1" l="1"/>
  <c r="S253" i="1" l="1"/>
  <c r="S254" i="1" l="1"/>
  <c r="S255" i="1" l="1"/>
  <c r="S256" i="1" l="1"/>
  <c r="S257" i="1" l="1"/>
  <c r="S258" i="1" l="1"/>
  <c r="S259" i="1" l="1"/>
  <c r="S260" i="1" l="1"/>
  <c r="S261" i="1" l="1"/>
  <c r="S262" i="1" l="1"/>
  <c r="S263" i="1" l="1"/>
  <c r="S264" i="1" l="1"/>
  <c r="S265" i="1" l="1"/>
  <c r="S266" i="1" l="1"/>
  <c r="S267" i="1" l="1"/>
  <c r="S268" i="1" l="1"/>
  <c r="S269" i="1" l="1"/>
  <c r="S270" i="1" l="1"/>
  <c r="S271" i="1" l="1"/>
  <c r="S272" i="1" l="1"/>
  <c r="S273" i="1" l="1"/>
  <c r="S274" i="1" l="1"/>
  <c r="S275" i="1" l="1"/>
  <c r="S276" i="1" l="1"/>
  <c r="S277" i="1" l="1"/>
  <c r="S278" i="1" l="1"/>
  <c r="S279" i="1" l="1"/>
  <c r="S280" i="1" l="1"/>
  <c r="S281" i="1" l="1"/>
  <c r="S282" i="1" l="1"/>
  <c r="S283" i="1" l="1"/>
  <c r="S284" i="1" l="1"/>
  <c r="S285" i="1" l="1"/>
  <c r="S286" i="1" l="1"/>
  <c r="S287" i="1" l="1"/>
  <c r="S288" i="1" l="1"/>
  <c r="S289" i="1" l="1"/>
  <c r="S290" i="1" l="1"/>
  <c r="S291" i="1" l="1"/>
  <c r="S292" i="1" l="1"/>
  <c r="S293" i="1" l="1"/>
  <c r="S294" i="1" l="1"/>
  <c r="S295" i="1" l="1"/>
  <c r="S296" i="1" l="1"/>
  <c r="S297" i="1" l="1"/>
  <c r="S298" i="1" l="1"/>
  <c r="S299" i="1" l="1"/>
  <c r="S300" i="1" l="1"/>
  <c r="S301" i="1" l="1"/>
  <c r="S302" i="1" l="1"/>
  <c r="S303" i="1" l="1"/>
  <c r="S304" i="1" l="1"/>
  <c r="S305" i="1" l="1"/>
  <c r="S306" i="1" l="1"/>
  <c r="S307" i="1" l="1"/>
  <c r="S308" i="1" l="1"/>
  <c r="S309" i="1" l="1"/>
  <c r="S310" i="1" l="1"/>
  <c r="S311" i="1" l="1"/>
  <c r="S312" i="1" l="1"/>
  <c r="S313" i="1" l="1"/>
  <c r="S314" i="1" l="1"/>
  <c r="S315" i="1"/>
  <c r="S316" i="1" l="1"/>
  <c r="S317" i="1" l="1"/>
  <c r="S318" i="1" l="1"/>
  <c r="S319" i="1" l="1"/>
  <c r="S320" i="1" l="1"/>
  <c r="S321" i="1" l="1"/>
  <c r="S322" i="1" l="1"/>
  <c r="S323" i="1" l="1"/>
  <c r="S324" i="1" l="1"/>
  <c r="S325" i="1" l="1"/>
  <c r="S326" i="1" l="1"/>
  <c r="S327" i="1" l="1"/>
  <c r="S328" i="1" l="1"/>
  <c r="S329" i="1" l="1"/>
  <c r="S330" i="1" l="1"/>
  <c r="S331" i="1" l="1"/>
  <c r="S332" i="1" l="1"/>
  <c r="S333" i="1" l="1"/>
  <c r="S334" i="1" l="1"/>
  <c r="S335" i="1" l="1"/>
  <c r="S336" i="1" l="1"/>
  <c r="S337" i="1" l="1"/>
  <c r="S338" i="1" l="1"/>
  <c r="S339" i="1" l="1"/>
  <c r="S340" i="1" l="1"/>
  <c r="S341" i="1" l="1"/>
  <c r="S342" i="1" l="1"/>
  <c r="S343" i="1" l="1"/>
  <c r="S344" i="1" l="1"/>
  <c r="S345" i="1" l="1"/>
  <c r="S346" i="1" l="1"/>
  <c r="S347" i="1" l="1"/>
  <c r="S348" i="1" l="1"/>
  <c r="S349" i="1" l="1"/>
  <c r="S350" i="1" l="1"/>
  <c r="S351" i="1" l="1"/>
  <c r="S352" i="1" l="1"/>
  <c r="S353" i="1" l="1"/>
  <c r="S354" i="1" l="1"/>
  <c r="S355" i="1" l="1"/>
  <c r="S356" i="1" l="1"/>
  <c r="S357" i="1" l="1"/>
  <c r="S358" i="1" l="1"/>
  <c r="S359" i="1" l="1"/>
  <c r="S360" i="1" l="1"/>
  <c r="S361" i="1" l="1"/>
  <c r="S362" i="1" l="1"/>
  <c r="S363" i="1" l="1"/>
  <c r="S364" i="1" l="1"/>
  <c r="S365" i="1" l="1"/>
  <c r="S366" i="1" l="1"/>
  <c r="S367" i="1" l="1"/>
  <c r="S368" i="1" l="1"/>
  <c r="S369" i="1" l="1"/>
  <c r="S370" i="1" l="1"/>
  <c r="S371" i="1" l="1"/>
  <c r="S372" i="1" l="1"/>
  <c r="S373" i="1" l="1"/>
  <c r="S374" i="1" l="1"/>
  <c r="S375" i="1" l="1"/>
  <c r="S376" i="1" l="1"/>
  <c r="S377" i="1" l="1"/>
  <c r="S378" i="1" l="1"/>
  <c r="S379" i="1" l="1"/>
  <c r="S380" i="1" l="1"/>
  <c r="S381" i="1" l="1"/>
  <c r="S382" i="1" l="1"/>
  <c r="S383" i="1" l="1"/>
  <c r="S384" i="1" l="1"/>
  <c r="S385" i="1" l="1"/>
  <c r="S386" i="1" l="1"/>
  <c r="S387" i="1" l="1"/>
  <c r="S388" i="1" l="1"/>
  <c r="S389" i="1" l="1"/>
  <c r="S390" i="1" l="1"/>
  <c r="S391" i="1" l="1"/>
  <c r="S392" i="1" l="1"/>
  <c r="S393" i="1" l="1"/>
  <c r="S394" i="1" l="1"/>
  <c r="S395" i="1" l="1"/>
  <c r="S396" i="1" l="1"/>
  <c r="S397" i="1" l="1"/>
  <c r="S398" i="1" l="1"/>
  <c r="S399" i="1" l="1"/>
  <c r="S400" i="1" l="1"/>
  <c r="S401" i="1" l="1"/>
  <c r="S402" i="1" l="1"/>
  <c r="S403" i="1" l="1"/>
  <c r="S404" i="1" l="1"/>
  <c r="S405" i="1" l="1"/>
  <c r="S406" i="1" l="1"/>
  <c r="S407" i="1" l="1"/>
  <c r="S408" i="1" l="1"/>
  <c r="S409" i="1" l="1"/>
  <c r="S410" i="1" l="1"/>
  <c r="S411" i="1" l="1"/>
  <c r="S412" i="1" l="1"/>
  <c r="S413" i="1" l="1"/>
  <c r="S414" i="1" l="1"/>
  <c r="S415" i="1" l="1"/>
  <c r="S416" i="1" l="1"/>
  <c r="S417" i="1" l="1"/>
  <c r="S418" i="1" l="1"/>
  <c r="S419" i="1" l="1"/>
  <c r="S420" i="1" l="1"/>
  <c r="S421" i="1" l="1"/>
  <c r="S422" i="1" l="1"/>
  <c r="S423" i="1" l="1"/>
  <c r="S424" i="1" l="1"/>
  <c r="S425" i="1" l="1"/>
  <c r="S426" i="1" l="1"/>
  <c r="S427" i="1" l="1"/>
  <c r="S428" i="1" l="1"/>
  <c r="S429" i="1" l="1"/>
  <c r="S430" i="1" l="1"/>
  <c r="S431" i="1" l="1"/>
  <c r="S432" i="1" l="1"/>
  <c r="S433" i="1" l="1"/>
  <c r="S434" i="1" l="1"/>
  <c r="S435" i="1" l="1"/>
  <c r="S436" i="1" l="1"/>
  <c r="S437" i="1" l="1"/>
  <c r="S438" i="1" l="1"/>
  <c r="S439" i="1" l="1"/>
  <c r="S440" i="1" l="1"/>
  <c r="S441" i="1" l="1"/>
  <c r="S442" i="1" l="1"/>
  <c r="S443" i="1" l="1"/>
  <c r="S444" i="1" l="1"/>
  <c r="S445" i="1" l="1"/>
  <c r="S446" i="1" l="1"/>
  <c r="S447" i="1" l="1"/>
  <c r="S448" i="1" l="1"/>
  <c r="S449" i="1" l="1"/>
  <c r="S450" i="1" l="1"/>
  <c r="S451" i="1" l="1"/>
  <c r="S452" i="1" l="1"/>
  <c r="S453" i="1" l="1"/>
  <c r="S454" i="1" l="1"/>
  <c r="S455" i="1" l="1"/>
  <c r="S456" i="1" l="1"/>
  <c r="S457" i="1" l="1"/>
  <c r="S458" i="1" l="1"/>
  <c r="S459" i="1" l="1"/>
  <c r="S460" i="1" l="1"/>
  <c r="S461" i="1" l="1"/>
  <c r="S462" i="1" l="1"/>
  <c r="S463" i="1" l="1"/>
  <c r="S464" i="1" l="1"/>
  <c r="S465" i="1" l="1"/>
  <c r="S466" i="1" l="1"/>
  <c r="S467" i="1" l="1"/>
  <c r="S468" i="1" l="1"/>
  <c r="S469" i="1" l="1"/>
  <c r="S470" i="1" l="1"/>
  <c r="S471" i="1" l="1"/>
  <c r="S472" i="1" l="1"/>
  <c r="S473" i="1" l="1"/>
  <c r="S474" i="1" l="1"/>
  <c r="S475" i="1" l="1"/>
  <c r="S476" i="1" l="1"/>
  <c r="S477" i="1" l="1"/>
  <c r="S478" i="1" l="1"/>
  <c r="S479" i="1" l="1"/>
  <c r="S480" i="1" l="1"/>
  <c r="S481" i="1" l="1"/>
  <c r="S482" i="1" l="1"/>
  <c r="S483" i="1" l="1"/>
  <c r="S484" i="1" l="1"/>
  <c r="S485" i="1" l="1"/>
  <c r="S486" i="1" l="1"/>
  <c r="S487" i="1" l="1"/>
  <c r="S488" i="1" l="1"/>
  <c r="S489" i="1" l="1"/>
  <c r="S490" i="1" l="1"/>
  <c r="S491" i="1" l="1"/>
  <c r="S492" i="1" l="1"/>
  <c r="S493" i="1" l="1"/>
  <c r="S494" i="1" l="1"/>
  <c r="S495" i="1" l="1"/>
  <c r="S496" i="1" l="1"/>
  <c r="S497" i="1" l="1"/>
  <c r="S498" i="1" l="1"/>
  <c r="S499" i="1" l="1"/>
  <c r="S500" i="1" l="1"/>
  <c r="S501" i="1" l="1"/>
  <c r="S502" i="1" l="1"/>
  <c r="S503" i="1" l="1"/>
  <c r="S504" i="1" l="1"/>
  <c r="S505" i="1" l="1"/>
  <c r="S506" i="1" l="1"/>
  <c r="S507" i="1" l="1"/>
  <c r="S508" i="1" l="1"/>
  <c r="S509" i="1" l="1"/>
  <c r="S510" i="1" l="1"/>
  <c r="S511" i="1" l="1"/>
  <c r="S512" i="1" l="1"/>
  <c r="S513" i="1" l="1"/>
  <c r="S514" i="1" l="1"/>
  <c r="S515" i="1" l="1"/>
  <c r="S516" i="1" l="1"/>
  <c r="S517" i="1" l="1"/>
  <c r="S518" i="1" l="1"/>
  <c r="S519" i="1" l="1"/>
  <c r="S520" i="1" l="1"/>
  <c r="S521" i="1" l="1"/>
  <c r="S522" i="1" l="1"/>
  <c r="S523" i="1" l="1"/>
  <c r="S524" i="1" l="1"/>
  <c r="S525" i="1" l="1"/>
  <c r="S526" i="1" l="1"/>
  <c r="S527" i="1" l="1"/>
  <c r="S528" i="1" l="1"/>
  <c r="S529" i="1" l="1"/>
  <c r="S530" i="1" l="1"/>
  <c r="S531" i="1" l="1"/>
  <c r="S532" i="1" l="1"/>
  <c r="S533" i="1" l="1"/>
  <c r="S534" i="1" l="1"/>
  <c r="S535" i="1" l="1"/>
  <c r="S536" i="1" l="1"/>
  <c r="S537" i="1" l="1"/>
  <c r="S538" i="1" l="1"/>
  <c r="S539" i="1" l="1"/>
  <c r="S540" i="1" l="1"/>
  <c r="S541" i="1" l="1"/>
  <c r="S542" i="1" l="1"/>
  <c r="S543" i="1" l="1"/>
  <c r="S544" i="1" l="1"/>
  <c r="S545" i="1" l="1"/>
  <c r="S546" i="1" l="1"/>
  <c r="S547" i="1" l="1"/>
  <c r="S548" i="1" l="1"/>
  <c r="S549" i="1" l="1"/>
  <c r="S550" i="1" l="1"/>
  <c r="S551" i="1" l="1"/>
  <c r="S552" i="1" l="1"/>
  <c r="S553" i="1" l="1"/>
  <c r="S554" i="1" l="1"/>
  <c r="S555" i="1" l="1"/>
  <c r="S556" i="1" l="1"/>
  <c r="S557" i="1" l="1"/>
  <c r="S558" i="1" l="1"/>
  <c r="S559" i="1" l="1"/>
  <c r="S560" i="1" l="1"/>
  <c r="S561" i="1" l="1"/>
  <c r="S562" i="1" l="1"/>
  <c r="S563" i="1" l="1"/>
  <c r="S564" i="1" l="1"/>
  <c r="S565" i="1" l="1"/>
  <c r="S566" i="1" l="1"/>
  <c r="S567" i="1" l="1"/>
  <c r="S568" i="1" l="1"/>
  <c r="S569" i="1" l="1"/>
  <c r="S570" i="1" l="1"/>
  <c r="S571" i="1" l="1"/>
  <c r="S572" i="1" l="1"/>
  <c r="S573" i="1" l="1"/>
  <c r="S574" i="1" l="1"/>
  <c r="S575" i="1" l="1"/>
  <c r="S576" i="1" l="1"/>
  <c r="S577" i="1" l="1"/>
  <c r="S578" i="1" l="1"/>
  <c r="S579" i="1" l="1"/>
  <c r="S580" i="1" l="1"/>
  <c r="S581" i="1" l="1"/>
  <c r="S582" i="1" l="1"/>
  <c r="S583" i="1" l="1"/>
  <c r="S584" i="1" l="1"/>
  <c r="S585" i="1" l="1"/>
  <c r="S586" i="1" l="1"/>
  <c r="S587" i="1" l="1"/>
  <c r="S588" i="1" l="1"/>
  <c r="S589" i="1" l="1"/>
  <c r="S590" i="1" l="1"/>
  <c r="S591" i="1" l="1"/>
  <c r="S592" i="1" l="1"/>
  <c r="S593" i="1" l="1"/>
  <c r="S594" i="1" l="1"/>
  <c r="S595" i="1" l="1"/>
  <c r="S596" i="1" l="1"/>
  <c r="S597" i="1" l="1"/>
  <c r="S598" i="1" l="1"/>
  <c r="S599" i="1" l="1"/>
  <c r="S600" i="1" l="1"/>
  <c r="S601" i="1" l="1"/>
  <c r="S602" i="1" l="1"/>
  <c r="S603" i="1" l="1"/>
  <c r="S604" i="1" l="1"/>
  <c r="S605" i="1" l="1"/>
  <c r="S606" i="1" l="1"/>
  <c r="S607" i="1" l="1"/>
  <c r="S608" i="1" l="1"/>
  <c r="S609" i="1" l="1"/>
  <c r="S610" i="1" l="1"/>
  <c r="S611" i="1" l="1"/>
  <c r="S612" i="1" l="1"/>
  <c r="S613" i="1" l="1"/>
  <c r="S614" i="1" l="1"/>
  <c r="S615" i="1" l="1"/>
  <c r="S616" i="1" l="1"/>
  <c r="S617" i="1" l="1"/>
  <c r="S618" i="1" l="1"/>
  <c r="S619" i="1" l="1"/>
  <c r="S620" i="1" l="1"/>
  <c r="S621" i="1" l="1"/>
  <c r="S622" i="1" l="1"/>
  <c r="S623" i="1" l="1"/>
  <c r="S624" i="1" l="1"/>
  <c r="S625" i="1" l="1"/>
  <c r="S626" i="1" l="1"/>
  <c r="S627" i="1" l="1"/>
  <c r="S628" i="1" l="1"/>
  <c r="S629" i="1" l="1"/>
  <c r="S630" i="1" l="1"/>
  <c r="S631" i="1" l="1"/>
  <c r="S632" i="1" l="1"/>
  <c r="S633" i="1" l="1"/>
  <c r="S634" i="1" l="1"/>
  <c r="S635" i="1" l="1"/>
  <c r="S636" i="1" l="1"/>
  <c r="S637" i="1" l="1"/>
  <c r="S638" i="1" l="1"/>
  <c r="S639" i="1" l="1"/>
  <c r="S640" i="1" l="1"/>
  <c r="S641" i="1" l="1"/>
  <c r="S642" i="1" l="1"/>
  <c r="S643" i="1" l="1"/>
  <c r="S644" i="1" l="1"/>
  <c r="S645" i="1" l="1"/>
  <c r="S646" i="1" l="1"/>
  <c r="S647" i="1" l="1"/>
  <c r="S648" i="1" l="1"/>
  <c r="S649" i="1" l="1"/>
  <c r="S650" i="1" l="1"/>
  <c r="S651" i="1" l="1"/>
  <c r="S652" i="1" l="1"/>
  <c r="S653" i="1" l="1"/>
  <c r="S654" i="1" l="1"/>
  <c r="S655" i="1" l="1"/>
  <c r="S656" i="1" l="1"/>
  <c r="S657" i="1" l="1"/>
  <c r="S658" i="1" l="1"/>
  <c r="S659" i="1" l="1"/>
  <c r="S660" i="1" l="1"/>
  <c r="S661" i="1" l="1"/>
  <c r="S662" i="1" l="1"/>
  <c r="S663" i="1" l="1"/>
  <c r="S664" i="1" l="1"/>
  <c r="S665" i="1" l="1"/>
  <c r="S666" i="1" l="1"/>
  <c r="S667" i="1" l="1"/>
  <c r="S668" i="1" l="1"/>
  <c r="S669" i="1" l="1"/>
  <c r="S670" i="1" l="1"/>
  <c r="S671" i="1" l="1"/>
  <c r="S672" i="1" l="1"/>
  <c r="S673" i="1" l="1"/>
  <c r="S674" i="1" l="1"/>
  <c r="S675" i="1" l="1"/>
  <c r="S676" i="1" l="1"/>
  <c r="S677" i="1" l="1"/>
  <c r="S678" i="1" l="1"/>
  <c r="S679" i="1" l="1"/>
  <c r="S680" i="1" l="1"/>
  <c r="S681" i="1" l="1"/>
  <c r="S682" i="1" l="1"/>
  <c r="S683" i="1" l="1"/>
  <c r="S684" i="1" l="1"/>
  <c r="S685" i="1" l="1"/>
  <c r="S686" i="1" l="1"/>
  <c r="S687" i="1" l="1"/>
  <c r="S688" i="1" l="1"/>
  <c r="S689" i="1" l="1"/>
  <c r="S690" i="1" l="1"/>
  <c r="S691" i="1" l="1"/>
  <c r="S692" i="1" l="1"/>
  <c r="S693" i="1" l="1"/>
  <c r="S694" i="1" l="1"/>
  <c r="S695" i="1" l="1"/>
  <c r="S696" i="1" l="1"/>
  <c r="S697" i="1" l="1"/>
  <c r="S698" i="1" l="1"/>
  <c r="S699" i="1" l="1"/>
  <c r="S700" i="1" l="1"/>
  <c r="S701" i="1" l="1"/>
  <c r="S702" i="1" l="1"/>
  <c r="S703" i="1" l="1"/>
  <c r="S704" i="1" l="1"/>
  <c r="S705" i="1" l="1"/>
  <c r="S706" i="1" l="1"/>
  <c r="S707" i="1" l="1"/>
  <c r="S708" i="1" l="1"/>
  <c r="S709" i="1" l="1"/>
  <c r="S710" i="1" l="1"/>
  <c r="S711" i="1" l="1"/>
  <c r="S712" i="1" l="1"/>
  <c r="S713" i="1" l="1"/>
  <c r="S714" i="1" l="1"/>
  <c r="S715" i="1" l="1"/>
  <c r="S716" i="1" l="1"/>
  <c r="S717" i="1" l="1"/>
  <c r="S718" i="1" l="1"/>
  <c r="S719" i="1" l="1"/>
  <c r="S720" i="1" l="1"/>
  <c r="S721" i="1" l="1"/>
  <c r="S722" i="1" l="1"/>
  <c r="S723" i="1" l="1"/>
  <c r="S724" i="1" l="1"/>
  <c r="S725" i="1" l="1"/>
  <c r="S726" i="1" l="1"/>
  <c r="S727" i="1" l="1"/>
  <c r="S728" i="1" l="1"/>
  <c r="S729" i="1" l="1"/>
  <c r="S730" i="1" l="1"/>
  <c r="S731" i="1" l="1"/>
  <c r="S732" i="1" l="1"/>
  <c r="S733" i="1" l="1"/>
  <c r="S734" i="1" l="1"/>
  <c r="S735" i="1" l="1"/>
  <c r="S736" i="1" l="1"/>
  <c r="S737" i="1" l="1"/>
  <c r="S738" i="1" l="1"/>
  <c r="S739" i="1" l="1"/>
  <c r="S740" i="1" l="1"/>
  <c r="S741" i="1" l="1"/>
  <c r="S742" i="1" l="1"/>
  <c r="S743" i="1" l="1"/>
  <c r="S744" i="1" l="1"/>
  <c r="S745" i="1" l="1"/>
  <c r="S746" i="1" l="1"/>
  <c r="S747" i="1" l="1"/>
  <c r="S748" i="1" l="1"/>
  <c r="S749" i="1" l="1"/>
  <c r="S750" i="1" l="1"/>
  <c r="S751" i="1" l="1"/>
  <c r="S752" i="1" l="1"/>
  <c r="S753" i="1" l="1"/>
  <c r="S754" i="1" l="1"/>
  <c r="S755" i="1" l="1"/>
  <c r="S756" i="1" l="1"/>
  <c r="S757" i="1" l="1"/>
  <c r="S758" i="1" l="1"/>
  <c r="S759" i="1" l="1"/>
  <c r="S760" i="1" l="1"/>
  <c r="S761" i="1" l="1"/>
  <c r="S762" i="1" l="1"/>
  <c r="S763" i="1" l="1"/>
  <c r="S764" i="1" l="1"/>
  <c r="S765" i="1" l="1"/>
  <c r="S766" i="1" l="1"/>
  <c r="S767" i="1" l="1"/>
  <c r="S768" i="1" l="1"/>
  <c r="S769" i="1" l="1"/>
  <c r="S770" i="1" l="1"/>
  <c r="S771" i="1" l="1"/>
  <c r="S772" i="1" l="1"/>
  <c r="S773" i="1" l="1"/>
  <c r="S774" i="1" l="1"/>
  <c r="S775" i="1" l="1"/>
  <c r="S776" i="1" l="1"/>
  <c r="S777" i="1" l="1"/>
  <c r="S778" i="1" l="1"/>
  <c r="S779" i="1" l="1"/>
  <c r="S780" i="1" l="1"/>
  <c r="S781" i="1" l="1"/>
  <c r="S782" i="1" l="1"/>
  <c r="S783" i="1" l="1"/>
  <c r="S784" i="1" l="1"/>
  <c r="S785" i="1" l="1"/>
  <c r="S786" i="1" l="1"/>
  <c r="S787" i="1" l="1"/>
  <c r="S788" i="1" l="1"/>
  <c r="S789" i="1" l="1"/>
  <c r="S790" i="1" l="1"/>
  <c r="S791" i="1" l="1"/>
  <c r="S792" i="1" l="1"/>
  <c r="S793" i="1" l="1"/>
  <c r="S794" i="1" l="1"/>
  <c r="S795" i="1" l="1"/>
  <c r="S796" i="1" l="1"/>
  <c r="S797" i="1" l="1"/>
  <c r="S798" i="1" l="1"/>
  <c r="S799" i="1" l="1"/>
  <c r="S800" i="1" l="1"/>
  <c r="S801" i="1" l="1"/>
  <c r="S802" i="1" l="1"/>
  <c r="S803" i="1" l="1"/>
  <c r="S804" i="1" l="1"/>
  <c r="S805" i="1" l="1"/>
  <c r="S806" i="1" l="1"/>
  <c r="S807" i="1" l="1"/>
  <c r="S808" i="1" l="1"/>
  <c r="S809" i="1" l="1"/>
  <c r="S810" i="1" l="1"/>
  <c r="S811" i="1" l="1"/>
  <c r="S812" i="1" l="1"/>
  <c r="S813" i="1" l="1"/>
  <c r="S814" i="1" l="1"/>
  <c r="S815" i="1" l="1"/>
  <c r="S816" i="1" l="1"/>
  <c r="S817" i="1" l="1"/>
  <c r="S818" i="1" l="1"/>
  <c r="S819" i="1" l="1"/>
  <c r="S820" i="1" l="1"/>
  <c r="S821" i="1" l="1"/>
  <c r="S822" i="1" l="1"/>
  <c r="S823" i="1" l="1"/>
  <c r="S824" i="1" l="1"/>
  <c r="S825" i="1" l="1"/>
  <c r="S826" i="1" l="1"/>
  <c r="S827" i="1" l="1"/>
  <c r="S828" i="1" l="1"/>
  <c r="S829" i="1" l="1"/>
  <c r="S830" i="1" l="1"/>
  <c r="S831" i="1" l="1"/>
  <c r="S832" i="1" l="1"/>
  <c r="S833" i="1" l="1"/>
  <c r="S834" i="1" l="1"/>
  <c r="S835" i="1" l="1"/>
  <c r="S836" i="1" l="1"/>
  <c r="S837" i="1" l="1"/>
  <c r="S838" i="1" l="1"/>
  <c r="S839" i="1" l="1"/>
  <c r="S840" i="1" l="1"/>
  <c r="S841" i="1" l="1"/>
  <c r="S842" i="1" l="1"/>
  <c r="S843" i="1" l="1"/>
  <c r="S844" i="1" l="1"/>
  <c r="S845" i="1" l="1"/>
  <c r="S846" i="1" l="1"/>
  <c r="S847" i="1" l="1"/>
  <c r="S848" i="1" l="1"/>
  <c r="S849" i="1" l="1"/>
  <c r="S850" i="1" l="1"/>
  <c r="S851" i="1" l="1"/>
  <c r="S852" i="1" l="1"/>
  <c r="S853" i="1" l="1"/>
  <c r="S854" i="1" l="1"/>
  <c r="S855" i="1" l="1"/>
  <c r="S856" i="1" l="1"/>
  <c r="S857" i="1" l="1"/>
  <c r="S858" i="1" l="1"/>
  <c r="S859" i="1" l="1"/>
  <c r="S860" i="1" l="1"/>
  <c r="S861" i="1" l="1"/>
  <c r="S862" i="1" l="1"/>
  <c r="S863" i="1" l="1"/>
  <c r="S864" i="1" l="1"/>
  <c r="S865" i="1" l="1"/>
  <c r="S866" i="1" l="1"/>
  <c r="S867" i="1" l="1"/>
  <c r="S868" i="1" l="1"/>
  <c r="S869" i="1" l="1"/>
  <c r="S870" i="1" l="1"/>
  <c r="S871" i="1" l="1"/>
  <c r="S872" i="1" l="1"/>
  <c r="S873" i="1" l="1"/>
  <c r="S874" i="1" l="1"/>
  <c r="S875" i="1" l="1"/>
  <c r="S876" i="1" l="1"/>
  <c r="S877" i="1" l="1"/>
  <c r="S878" i="1" l="1"/>
  <c r="S879" i="1" l="1"/>
  <c r="S880" i="1" l="1"/>
  <c r="S881" i="1" l="1"/>
  <c r="S882" i="1" l="1"/>
  <c r="S883" i="1" l="1"/>
  <c r="S884" i="1" l="1"/>
  <c r="S885" i="1" l="1"/>
  <c r="S886" i="1" l="1"/>
  <c r="S887" i="1" l="1"/>
  <c r="S888" i="1" l="1"/>
  <c r="S889" i="1" l="1"/>
  <c r="S890" i="1" l="1"/>
  <c r="S891" i="1" l="1"/>
  <c r="S892" i="1" l="1"/>
  <c r="S893" i="1" l="1"/>
  <c r="S894" i="1" l="1"/>
  <c r="S895" i="1" l="1"/>
  <c r="S896" i="1" l="1"/>
  <c r="S897" i="1" l="1"/>
  <c r="S898" i="1" l="1"/>
  <c r="S899" i="1" l="1"/>
  <c r="S900" i="1" l="1"/>
  <c r="S901" i="1" l="1"/>
  <c r="S902" i="1" l="1"/>
  <c r="S903" i="1" l="1"/>
  <c r="S904" i="1" l="1"/>
  <c r="S905" i="1" l="1"/>
  <c r="S906" i="1" l="1"/>
  <c r="S907" i="1" l="1"/>
  <c r="S908" i="1" l="1"/>
  <c r="S909" i="1" l="1"/>
  <c r="S910" i="1" l="1"/>
  <c r="S911" i="1" l="1"/>
  <c r="S912" i="1" l="1"/>
  <c r="S913" i="1" l="1"/>
  <c r="S914" i="1" l="1"/>
  <c r="S915" i="1" l="1"/>
  <c r="S916" i="1" l="1"/>
  <c r="S917" i="1" l="1"/>
  <c r="S918" i="1" l="1"/>
  <c r="S919" i="1" l="1"/>
  <c r="S920" i="1" l="1"/>
  <c r="S921" i="1" l="1"/>
  <c r="S922" i="1" l="1"/>
  <c r="S923" i="1" l="1"/>
  <c r="S924" i="1" l="1"/>
  <c r="S925" i="1" l="1"/>
  <c r="S926" i="1" l="1"/>
  <c r="S927" i="1" l="1"/>
  <c r="S928" i="1" l="1"/>
  <c r="S929" i="1" l="1"/>
  <c r="S930" i="1" l="1"/>
  <c r="S931" i="1" l="1"/>
  <c r="S932" i="1" l="1"/>
  <c r="S933" i="1" l="1"/>
  <c r="S934" i="1" l="1"/>
  <c r="S935" i="1" l="1"/>
  <c r="S936" i="1" l="1"/>
  <c r="S937" i="1" l="1"/>
  <c r="S938" i="1" l="1"/>
  <c r="S939" i="1" l="1"/>
  <c r="S940" i="1" l="1"/>
  <c r="S941" i="1" l="1"/>
  <c r="S942" i="1" l="1"/>
  <c r="S943" i="1" l="1"/>
  <c r="S944" i="1" l="1"/>
  <c r="S945" i="1" l="1"/>
  <c r="S946" i="1" l="1"/>
  <c r="S947" i="1" l="1"/>
  <c r="S948" i="1" l="1"/>
  <c r="S949" i="1" l="1"/>
  <c r="S950" i="1" l="1"/>
  <c r="S951" i="1" l="1"/>
  <c r="S952" i="1"/>
  <c r="S953" i="1" l="1"/>
  <c r="S954" i="1" l="1"/>
  <c r="S955" i="1" l="1"/>
  <c r="S956" i="1" l="1"/>
  <c r="S957" i="1" l="1"/>
  <c r="S958" i="1" l="1"/>
  <c r="S959" i="1" l="1"/>
  <c r="S960" i="1" l="1"/>
  <c r="S961" i="1" l="1"/>
  <c r="S962" i="1" l="1"/>
  <c r="S963" i="1" l="1"/>
  <c r="S964" i="1" l="1"/>
  <c r="S965" i="1" l="1"/>
  <c r="S966" i="1" l="1"/>
  <c r="S967" i="1" l="1"/>
  <c r="S968" i="1" l="1"/>
  <c r="S969" i="1" l="1"/>
  <c r="S970" i="1" l="1"/>
  <c r="S971" i="1" l="1"/>
  <c r="S972" i="1" l="1"/>
  <c r="S973" i="1" l="1"/>
  <c r="S974" i="1"/>
  <c r="S975" i="1" l="1"/>
  <c r="S976" i="1" l="1"/>
  <c r="S977" i="1" l="1"/>
  <c r="S978" i="1" l="1"/>
  <c r="S979" i="1" l="1"/>
  <c r="S980" i="1" l="1"/>
  <c r="S981" i="1" l="1"/>
  <c r="S982" i="1" l="1"/>
  <c r="S983" i="1" l="1"/>
  <c r="S984" i="1" l="1"/>
  <c r="S985" i="1" l="1"/>
  <c r="S986" i="1" l="1"/>
  <c r="S987" i="1" l="1"/>
  <c r="S988" i="1" l="1"/>
  <c r="S989" i="1" l="1"/>
  <c r="S990" i="1" l="1"/>
  <c r="S991" i="1" l="1"/>
  <c r="S992" i="1" l="1"/>
  <c r="S993" i="1" l="1"/>
  <c r="S994" i="1" l="1"/>
  <c r="S995" i="1" l="1"/>
  <c r="S996" i="1" l="1"/>
  <c r="S997" i="1" l="1"/>
  <c r="S998" i="1" l="1"/>
  <c r="S999" i="1" l="1"/>
  <c r="S1000" i="1" l="1"/>
  <c r="S1001" i="1" l="1"/>
  <c r="S1002" i="1" l="1"/>
  <c r="S1003" i="1" l="1"/>
  <c r="S1004" i="1" l="1"/>
  <c r="S1005" i="1" l="1"/>
  <c r="S1006" i="1" l="1"/>
  <c r="S1007" i="1" l="1"/>
  <c r="S1008" i="1" l="1"/>
  <c r="S1009" i="1" l="1"/>
  <c r="S1010" i="1" l="1"/>
  <c r="S1011" i="1" l="1"/>
  <c r="S1012" i="1" l="1"/>
  <c r="S1013" i="1" l="1"/>
  <c r="S1014" i="1" l="1"/>
  <c r="S1015" i="1" l="1"/>
  <c r="S1016" i="1" l="1"/>
  <c r="S1017" i="1" l="1"/>
  <c r="S1018" i="1" l="1"/>
  <c r="S1019" i="1" l="1"/>
  <c r="S1020" i="1" l="1"/>
  <c r="S1021" i="1" l="1"/>
  <c r="S1022" i="1" l="1"/>
  <c r="S1023" i="1" l="1"/>
  <c r="S1024" i="1" l="1"/>
  <c r="S1025" i="1"/>
  <c r="S1026" i="1" l="1"/>
  <c r="S1027" i="1" l="1"/>
  <c r="S1028" i="1" l="1"/>
  <c r="S1029" i="1" l="1"/>
  <c r="S1030" i="1" l="1"/>
  <c r="S1031" i="1" l="1"/>
  <c r="S1032" i="1" l="1"/>
  <c r="S1033" i="1" l="1"/>
  <c r="S1034" i="1" l="1"/>
  <c r="S1035" i="1" l="1"/>
  <c r="S1036" i="1" l="1"/>
  <c r="S1037" i="1" l="1"/>
  <c r="S1038" i="1" l="1"/>
  <c r="S1039" i="1" l="1"/>
  <c r="S1040" i="1" l="1"/>
  <c r="S1041" i="1" l="1"/>
  <c r="S1042" i="1" l="1"/>
  <c r="S1043" i="1" l="1"/>
  <c r="S1044" i="1" l="1"/>
  <c r="S1045" i="1" l="1"/>
  <c r="S1046" i="1" l="1"/>
  <c r="S1047" i="1" l="1"/>
  <c r="S1048" i="1" l="1"/>
  <c r="S1049" i="1" l="1"/>
  <c r="S1050" i="1" l="1"/>
  <c r="S1051" i="1" l="1"/>
  <c r="S1052" i="1" l="1"/>
  <c r="S1053" i="1" l="1"/>
  <c r="S1054" i="1" l="1"/>
  <c r="S1055" i="1" l="1"/>
  <c r="S1056" i="1" l="1"/>
  <c r="S1057" i="1" l="1"/>
  <c r="S1058" i="1" l="1"/>
  <c r="S1059" i="1" l="1"/>
  <c r="S1060" i="1" l="1"/>
  <c r="S1061" i="1" l="1"/>
  <c r="S1062" i="1" l="1"/>
  <c r="S1063" i="1" l="1"/>
  <c r="S1064" i="1" l="1"/>
  <c r="S1065" i="1" l="1"/>
  <c r="S1066" i="1" l="1"/>
  <c r="S1067" i="1" l="1"/>
  <c r="S1068" i="1" l="1"/>
  <c r="S1069" i="1" l="1"/>
  <c r="S1070" i="1" l="1"/>
  <c r="S1071" i="1" l="1"/>
  <c r="S1072" i="1" l="1"/>
  <c r="S1073" i="1" l="1"/>
  <c r="S1074" i="1" l="1"/>
  <c r="S1075" i="1" l="1"/>
  <c r="S1076" i="1" l="1"/>
  <c r="S1077" i="1" l="1"/>
  <c r="S1078" i="1" l="1"/>
  <c r="S1079" i="1" l="1"/>
  <c r="S1080" i="1" l="1"/>
  <c r="S1081" i="1" l="1"/>
  <c r="S1082" i="1" l="1"/>
  <c r="S1083" i="1" l="1"/>
  <c r="S1084" i="1" l="1"/>
  <c r="S1085" i="1" l="1"/>
  <c r="S1086" i="1" l="1"/>
  <c r="S1087" i="1" l="1"/>
  <c r="S1088" i="1" l="1"/>
  <c r="S1089" i="1" l="1"/>
  <c r="S1090" i="1" l="1"/>
  <c r="S1091" i="1" l="1"/>
  <c r="S1092" i="1" l="1"/>
  <c r="S1093" i="1" l="1"/>
  <c r="S1094" i="1" l="1"/>
  <c r="S1095" i="1" l="1"/>
  <c r="S1096" i="1" l="1"/>
  <c r="S1097" i="1" l="1"/>
  <c r="S1098" i="1" l="1"/>
  <c r="S1099" i="1" l="1"/>
  <c r="S1100" i="1" l="1"/>
  <c r="S1101" i="1" l="1"/>
  <c r="S1102" i="1" l="1"/>
  <c r="S1103" i="1" l="1"/>
  <c r="S1104" i="1" l="1"/>
  <c r="S1105" i="1" l="1"/>
  <c r="S1106" i="1" l="1"/>
  <c r="S1107" i="1" l="1"/>
  <c r="S1108" i="1" l="1"/>
  <c r="S1109" i="1" l="1"/>
  <c r="S1110" i="1" l="1"/>
  <c r="S1111" i="1" l="1"/>
  <c r="S1112" i="1" l="1"/>
  <c r="S1113" i="1" l="1"/>
  <c r="S1114" i="1" l="1"/>
  <c r="S1115" i="1" l="1"/>
  <c r="S1116" i="1" l="1"/>
  <c r="S1117" i="1" l="1"/>
  <c r="S1118" i="1" l="1"/>
  <c r="S1119" i="1" l="1"/>
  <c r="S1120" i="1" l="1"/>
  <c r="S1121" i="1" l="1"/>
  <c r="S1122" i="1" l="1"/>
  <c r="S1123" i="1" l="1"/>
  <c r="S1124" i="1" l="1"/>
  <c r="S1125" i="1" l="1"/>
  <c r="S1126" i="1" l="1"/>
  <c r="S1127" i="1" l="1"/>
  <c r="S1128" i="1" l="1"/>
  <c r="S1129" i="1" l="1"/>
  <c r="S1130" i="1" l="1"/>
  <c r="S1131" i="1" l="1"/>
  <c r="S1132" i="1" l="1"/>
  <c r="S1133" i="1" l="1"/>
  <c r="S1134" i="1" l="1"/>
  <c r="S1135" i="1" l="1"/>
  <c r="S1136" i="1" l="1"/>
  <c r="S1137" i="1" l="1"/>
  <c r="S1138" i="1" l="1"/>
  <c r="S1139" i="1" l="1"/>
  <c r="S1140" i="1" l="1"/>
  <c r="S1141" i="1" l="1"/>
  <c r="S1142" i="1" l="1"/>
  <c r="S1143" i="1" l="1"/>
  <c r="S1144" i="1" l="1"/>
  <c r="S1145" i="1" l="1"/>
  <c r="S1146" i="1" l="1"/>
  <c r="S1147" i="1" l="1"/>
  <c r="S1148" i="1" l="1"/>
  <c r="S1149" i="1" l="1"/>
  <c r="S1150" i="1" l="1"/>
  <c r="S1151" i="1" l="1"/>
  <c r="S1152" i="1" l="1"/>
  <c r="S1153" i="1" l="1"/>
  <c r="S1154" i="1" l="1"/>
  <c r="S1155" i="1" l="1"/>
  <c r="S1156" i="1" l="1"/>
  <c r="S1157" i="1" l="1"/>
  <c r="S1158" i="1" l="1"/>
  <c r="S1159" i="1" l="1"/>
  <c r="S1160" i="1" l="1"/>
  <c r="S1161" i="1" l="1"/>
  <c r="S1162" i="1" l="1"/>
  <c r="S1163" i="1" l="1"/>
  <c r="S1164" i="1" l="1"/>
  <c r="S1165" i="1" l="1"/>
  <c r="S1166" i="1" l="1"/>
  <c r="S1167" i="1" l="1"/>
  <c r="S1168" i="1" l="1"/>
  <c r="S1169" i="1" l="1"/>
  <c r="S1170" i="1" l="1"/>
  <c r="S1171" i="1" l="1"/>
  <c r="S1172" i="1" l="1"/>
  <c r="S1173" i="1" l="1"/>
  <c r="S1174" i="1" l="1"/>
  <c r="S1175" i="1" l="1"/>
  <c r="S1176" i="1" l="1"/>
  <c r="S1177" i="1" l="1"/>
  <c r="S1178" i="1" l="1"/>
  <c r="S1179" i="1" l="1"/>
  <c r="S1180" i="1" l="1"/>
  <c r="S1181" i="1" l="1"/>
  <c r="S1182" i="1" l="1"/>
  <c r="S1183" i="1" l="1"/>
  <c r="S1184" i="1" l="1"/>
  <c r="S1185" i="1" l="1"/>
  <c r="S1186" i="1" l="1"/>
  <c r="S1187" i="1" l="1"/>
  <c r="S1188" i="1" l="1"/>
  <c r="S1189" i="1" l="1"/>
  <c r="S1190" i="1" l="1"/>
  <c r="S1191" i="1" l="1"/>
  <c r="S1192" i="1" l="1"/>
  <c r="S1193" i="1" l="1"/>
  <c r="S1194" i="1" l="1"/>
  <c r="S1195" i="1" l="1"/>
  <c r="S1196" i="1" l="1"/>
  <c r="S1197" i="1" l="1"/>
  <c r="S1198" i="1" l="1"/>
  <c r="S1199" i="1" l="1"/>
  <c r="S1200" i="1" l="1"/>
  <c r="S1201" i="1" l="1"/>
  <c r="S1202" i="1" l="1"/>
  <c r="S1203" i="1" l="1"/>
  <c r="S1204" i="1" l="1"/>
  <c r="S1205" i="1" l="1"/>
  <c r="S1206" i="1" l="1"/>
  <c r="S1207" i="1" l="1"/>
  <c r="S1208" i="1" l="1"/>
  <c r="S1209" i="1" l="1"/>
  <c r="S1210" i="1" l="1"/>
  <c r="S1211" i="1" l="1"/>
  <c r="S1212" i="1" l="1"/>
  <c r="S1213" i="1" l="1"/>
  <c r="S1214" i="1" l="1"/>
  <c r="S1215" i="1" l="1"/>
  <c r="S1216" i="1" l="1"/>
  <c r="S1217" i="1" l="1"/>
  <c r="S1218" i="1" l="1"/>
  <c r="S1219" i="1" l="1"/>
  <c r="S1220" i="1" l="1"/>
  <c r="S1221" i="1" l="1"/>
  <c r="S1222" i="1" l="1"/>
  <c r="S1223" i="1" l="1"/>
  <c r="S1224" i="1" l="1"/>
  <c r="S1225" i="1" l="1"/>
  <c r="S1226" i="1" l="1"/>
  <c r="S1227" i="1" l="1"/>
  <c r="S1228" i="1" l="1"/>
  <c r="S1229" i="1" l="1"/>
  <c r="S1230" i="1" l="1"/>
  <c r="S1231" i="1" l="1"/>
  <c r="S1232" i="1" l="1"/>
  <c r="S1233" i="1" l="1"/>
  <c r="S1234" i="1" l="1"/>
  <c r="S1235" i="1" l="1"/>
  <c r="S1236" i="1" l="1"/>
  <c r="S1237" i="1" l="1"/>
  <c r="S1238" i="1" l="1"/>
  <c r="S1239" i="1" l="1"/>
  <c r="S1240" i="1" l="1"/>
  <c r="S1241" i="1" l="1"/>
  <c r="S1242" i="1" l="1"/>
  <c r="S1243" i="1" l="1"/>
  <c r="S1244" i="1" l="1"/>
  <c r="S1245" i="1" l="1"/>
  <c r="S1246" i="1" l="1"/>
  <c r="S1247" i="1" l="1"/>
  <c r="S1248" i="1" l="1"/>
  <c r="S1249" i="1" l="1"/>
  <c r="S1250" i="1" l="1"/>
  <c r="S1251" i="1" l="1"/>
  <c r="S1252" i="1" l="1"/>
  <c r="S1253" i="1" l="1"/>
  <c r="S1254" i="1"/>
  <c r="S1255" i="1" l="1"/>
  <c r="S1256" i="1" l="1"/>
  <c r="S1257" i="1" l="1"/>
  <c r="S1258" i="1" l="1"/>
  <c r="S1259" i="1" l="1"/>
  <c r="S1260" i="1" l="1"/>
  <c r="S1261" i="1" l="1"/>
  <c r="S1262" i="1" l="1"/>
  <c r="S1263" i="1" l="1"/>
  <c r="S1264" i="1" l="1"/>
  <c r="S1265" i="1" l="1"/>
  <c r="S1266" i="1" l="1"/>
  <c r="S1267" i="1" l="1"/>
  <c r="S1268" i="1" l="1"/>
  <c r="S1269" i="1" l="1"/>
  <c r="S1270" i="1" l="1"/>
  <c r="S1271" i="1" l="1"/>
  <c r="S1272" i="1" l="1"/>
  <c r="S1273" i="1" l="1"/>
  <c r="S1274" i="1" l="1"/>
  <c r="S1275" i="1" l="1"/>
  <c r="S1276" i="1" l="1"/>
  <c r="S1277" i="1" l="1"/>
  <c r="S1278" i="1" l="1"/>
  <c r="S1279" i="1" l="1"/>
  <c r="S1280" i="1" l="1"/>
  <c r="S1281" i="1" l="1"/>
  <c r="S1282" i="1" l="1"/>
  <c r="S1283" i="1" l="1"/>
  <c r="S1284" i="1" l="1"/>
  <c r="S1285" i="1" l="1"/>
  <c r="S1286" i="1" l="1"/>
  <c r="S1287" i="1" l="1"/>
  <c r="S1288" i="1" l="1"/>
  <c r="S1289" i="1" l="1"/>
  <c r="S1290" i="1" l="1"/>
  <c r="S1291" i="1" l="1"/>
  <c r="S1292" i="1" l="1"/>
  <c r="S1293" i="1" l="1"/>
  <c r="S1294" i="1" l="1"/>
  <c r="S1295" i="1" l="1"/>
  <c r="S1296" i="1" l="1"/>
  <c r="S1297" i="1" l="1"/>
  <c r="S1298" i="1" l="1"/>
  <c r="S1299" i="1" l="1"/>
  <c r="S1300" i="1" l="1"/>
  <c r="S1301" i="1" l="1"/>
  <c r="S1302" i="1" l="1"/>
  <c r="S1303" i="1" l="1"/>
  <c r="S1304" i="1" l="1"/>
  <c r="S1305" i="1" l="1"/>
  <c r="S1306" i="1" l="1"/>
  <c r="S1307" i="1" l="1"/>
  <c r="S1308" i="1" l="1"/>
  <c r="S1309" i="1" l="1"/>
  <c r="S1310" i="1" l="1"/>
  <c r="S1311" i="1" l="1"/>
  <c r="S1312" i="1" l="1"/>
  <c r="S1313" i="1" l="1"/>
  <c r="S1314" i="1" l="1"/>
  <c r="S1315" i="1" l="1"/>
  <c r="S1316" i="1" l="1"/>
  <c r="S1317" i="1" l="1"/>
  <c r="S1318" i="1" l="1"/>
  <c r="S1319" i="1" l="1"/>
  <c r="S1320" i="1" l="1"/>
  <c r="S1321" i="1" l="1"/>
  <c r="S1322" i="1" l="1"/>
  <c r="S1323" i="1" l="1"/>
  <c r="S1324" i="1" l="1"/>
  <c r="S1325" i="1" l="1"/>
  <c r="S1326" i="1" l="1"/>
  <c r="S1327" i="1" l="1"/>
  <c r="S1328" i="1" l="1"/>
  <c r="S1329" i="1" l="1"/>
  <c r="S1330" i="1" l="1"/>
  <c r="S1331" i="1" l="1"/>
  <c r="S1332" i="1" l="1"/>
  <c r="S1333" i="1" l="1"/>
  <c r="S1334" i="1" l="1"/>
  <c r="S1335" i="1" l="1"/>
  <c r="S1336" i="1" l="1"/>
  <c r="S1337" i="1" l="1"/>
  <c r="S1338" i="1" l="1"/>
  <c r="S1339" i="1" l="1"/>
  <c r="S1340" i="1" l="1"/>
  <c r="S1341" i="1" l="1"/>
  <c r="S1342" i="1" l="1"/>
  <c r="S1343" i="1" l="1"/>
  <c r="S1344" i="1" l="1"/>
  <c r="S1345" i="1" l="1"/>
  <c r="S1346" i="1" l="1"/>
  <c r="S1347" i="1" l="1"/>
  <c r="S1348" i="1" l="1"/>
  <c r="S1349" i="1" l="1"/>
  <c r="S1350" i="1" l="1"/>
  <c r="S1351" i="1" l="1"/>
  <c r="S1352" i="1" l="1"/>
  <c r="S1353" i="1" l="1"/>
  <c r="S1354" i="1" l="1"/>
  <c r="S1355" i="1" l="1"/>
  <c r="S1356" i="1" l="1"/>
  <c r="S1357" i="1" l="1"/>
  <c r="S1358" i="1" l="1"/>
  <c r="S1359" i="1" l="1"/>
  <c r="S1360" i="1" l="1"/>
  <c r="S1361" i="1" l="1"/>
  <c r="S1362" i="1" l="1"/>
  <c r="S1363" i="1" l="1"/>
  <c r="S1364" i="1" l="1"/>
  <c r="S1365" i="1" l="1"/>
  <c r="S1366" i="1" l="1"/>
  <c r="S1367" i="1" l="1"/>
  <c r="S1368" i="1" l="1"/>
  <c r="S1369" i="1" l="1"/>
  <c r="S1370" i="1" l="1"/>
  <c r="S1371" i="1" l="1"/>
  <c r="S1372" i="1" l="1"/>
  <c r="S1373" i="1" l="1"/>
  <c r="S1374" i="1" l="1"/>
  <c r="S1375" i="1" l="1"/>
  <c r="S1376" i="1" l="1"/>
  <c r="S1377" i="1" l="1"/>
  <c r="S1378" i="1" l="1"/>
  <c r="S1379" i="1" l="1"/>
  <c r="S1380" i="1" l="1"/>
  <c r="S1381" i="1" l="1"/>
  <c r="S1382" i="1" l="1"/>
  <c r="S1383" i="1" l="1"/>
  <c r="S1384" i="1" l="1"/>
  <c r="S1385" i="1" l="1"/>
  <c r="S1386" i="1" l="1"/>
  <c r="S1387" i="1" l="1"/>
  <c r="S1388" i="1" l="1"/>
  <c r="S1389" i="1" l="1"/>
  <c r="S1390" i="1" l="1"/>
  <c r="S1391" i="1" l="1"/>
  <c r="S1392" i="1" l="1"/>
  <c r="S1393" i="1" l="1"/>
  <c r="S1394" i="1" l="1"/>
  <c r="S1395" i="1" l="1"/>
  <c r="S1396" i="1" l="1"/>
  <c r="S1397" i="1" l="1"/>
  <c r="S1398" i="1" l="1"/>
  <c r="S1399" i="1" l="1"/>
  <c r="S1400" i="1" l="1"/>
  <c r="S1401" i="1" l="1"/>
  <c r="S1402" i="1" l="1"/>
  <c r="S1403" i="1" l="1"/>
  <c r="S1404" i="1" l="1"/>
  <c r="S1405" i="1" l="1"/>
  <c r="S1406" i="1"/>
  <c r="S1407" i="1" l="1"/>
  <c r="S1408" i="1" l="1"/>
  <c r="S1409" i="1" l="1"/>
  <c r="S1410" i="1" l="1"/>
  <c r="S1411" i="1" l="1"/>
  <c r="S1412" i="1" l="1"/>
  <c r="S1413" i="1" l="1"/>
  <c r="S1414" i="1" l="1"/>
  <c r="S1415" i="1" l="1"/>
  <c r="S1416" i="1" l="1"/>
  <c r="S1417" i="1" l="1"/>
  <c r="S1418" i="1" l="1"/>
  <c r="S1419" i="1" l="1"/>
  <c r="S1420" i="1" l="1"/>
  <c r="S1421" i="1" l="1"/>
  <c r="S1422" i="1" l="1"/>
  <c r="S1423" i="1" l="1"/>
  <c r="S1424" i="1" l="1"/>
  <c r="S1425" i="1" l="1"/>
  <c r="S1426" i="1" l="1"/>
  <c r="S1427" i="1" l="1"/>
  <c r="S1428" i="1" l="1"/>
  <c r="S1429" i="1" l="1"/>
  <c r="S1430" i="1" l="1"/>
  <c r="S1431" i="1" l="1"/>
  <c r="S1432" i="1" l="1"/>
  <c r="S1433" i="1" l="1"/>
  <c r="S1434" i="1" l="1"/>
  <c r="S1435" i="1" l="1"/>
  <c r="S1436" i="1" l="1"/>
  <c r="S1437" i="1" l="1"/>
  <c r="S1438" i="1" l="1"/>
  <c r="S1439" i="1" l="1"/>
  <c r="S1440" i="1" l="1"/>
  <c r="S1441" i="1" l="1"/>
  <c r="S1442" i="1" l="1"/>
  <c r="S1443" i="1" l="1"/>
  <c r="S1444" i="1" l="1"/>
  <c r="S1445" i="1" l="1"/>
  <c r="S1446" i="1" l="1"/>
  <c r="S1447" i="1" l="1"/>
  <c r="S1448" i="1" l="1"/>
  <c r="S1449" i="1" l="1"/>
  <c r="S1450" i="1" l="1"/>
  <c r="S1451" i="1" l="1"/>
  <c r="S1452" i="1" l="1"/>
  <c r="S1453" i="1"/>
  <c r="S1454" i="1" l="1"/>
  <c r="S1455" i="1" l="1"/>
  <c r="S1456" i="1" l="1"/>
  <c r="S1457" i="1" l="1"/>
  <c r="S1458" i="1" l="1"/>
  <c r="S1459" i="1" l="1"/>
  <c r="S1460" i="1" l="1"/>
  <c r="S1461" i="1" l="1"/>
  <c r="S1462" i="1" l="1"/>
  <c r="S1463" i="1" l="1"/>
  <c r="S1464" i="1" l="1"/>
  <c r="S1465" i="1" l="1"/>
  <c r="S1466" i="1" l="1"/>
  <c r="S1467" i="1" l="1"/>
  <c r="S1468" i="1" l="1"/>
  <c r="S1469" i="1" l="1"/>
  <c r="S1470" i="1" l="1"/>
  <c r="S1471" i="1" l="1"/>
  <c r="S1472" i="1" l="1"/>
  <c r="S1473" i="1" l="1"/>
  <c r="S1474" i="1" l="1"/>
  <c r="S1475" i="1" l="1"/>
  <c r="S1476" i="1" l="1"/>
  <c r="S1477" i="1" l="1"/>
  <c r="S1478" i="1" l="1"/>
  <c r="S1479" i="1" l="1"/>
  <c r="S1480" i="1" l="1"/>
  <c r="S1481" i="1" l="1"/>
  <c r="S1482" i="1" l="1"/>
  <c r="S1483" i="1" l="1"/>
  <c r="S1484" i="1" l="1"/>
  <c r="S1485" i="1" l="1"/>
  <c r="S1486" i="1" l="1"/>
  <c r="S1487" i="1" l="1"/>
  <c r="S1488" i="1" l="1"/>
  <c r="S1489" i="1"/>
  <c r="S1490" i="1" l="1"/>
  <c r="S1491" i="1" l="1"/>
  <c r="S1492" i="1" l="1"/>
  <c r="S1493" i="1" l="1"/>
  <c r="S1494" i="1" l="1"/>
  <c r="S1495" i="1" l="1"/>
  <c r="S1496" i="1" l="1"/>
  <c r="S1497" i="1" l="1"/>
  <c r="S1498" i="1" l="1"/>
  <c r="S1499" i="1" l="1"/>
  <c r="S1500" i="1" l="1"/>
  <c r="S1501" i="1" l="1"/>
  <c r="S1502" i="1" l="1"/>
  <c r="S1503" i="1" l="1"/>
  <c r="S1504" i="1" l="1"/>
  <c r="S1505" i="1" l="1"/>
  <c r="S1506" i="1" l="1"/>
  <c r="S1507" i="1" l="1"/>
  <c r="S1508" i="1" l="1"/>
  <c r="S1509" i="1" l="1"/>
  <c r="S1510" i="1" l="1"/>
  <c r="S1511" i="1" l="1"/>
  <c r="S1512" i="1" l="1"/>
  <c r="S1513" i="1" l="1"/>
  <c r="S1514" i="1" l="1"/>
  <c r="S1515" i="1" l="1"/>
  <c r="S1516" i="1" l="1"/>
  <c r="S1517" i="1" l="1"/>
  <c r="S1518" i="1" l="1"/>
  <c r="S1519" i="1" l="1"/>
  <c r="S1520" i="1" l="1"/>
  <c r="S1521" i="1" l="1"/>
  <c r="S1522" i="1" l="1"/>
  <c r="S1523" i="1" l="1"/>
  <c r="S1524" i="1" l="1"/>
  <c r="S1525" i="1" l="1"/>
  <c r="S1526" i="1" l="1"/>
  <c r="S1527" i="1" l="1"/>
  <c r="S1528" i="1" l="1"/>
  <c r="S1529" i="1" l="1"/>
  <c r="S1530" i="1" l="1"/>
  <c r="S1531" i="1" l="1"/>
  <c r="S1532" i="1" l="1"/>
  <c r="S1533" i="1" l="1"/>
  <c r="S1534" i="1" l="1"/>
  <c r="S1535" i="1" l="1"/>
  <c r="S1536" i="1" l="1"/>
  <c r="S1537" i="1" l="1"/>
  <c r="S1538" i="1" l="1"/>
  <c r="S1539" i="1" l="1"/>
  <c r="S1540" i="1" l="1"/>
  <c r="S1541" i="1" l="1"/>
  <c r="S1542" i="1" l="1"/>
  <c r="S1543" i="1" l="1"/>
  <c r="S1544" i="1" l="1"/>
  <c r="S1545" i="1" l="1"/>
  <c r="S1546" i="1" l="1"/>
  <c r="S1547" i="1" l="1"/>
  <c r="S1548" i="1" l="1"/>
  <c r="S1549" i="1" l="1"/>
  <c r="S1550" i="1" l="1"/>
  <c r="S1551" i="1" l="1"/>
  <c r="S1552" i="1" l="1"/>
  <c r="S1553" i="1" l="1"/>
  <c r="S1554" i="1" l="1"/>
  <c r="S1555" i="1" l="1"/>
  <c r="S1556" i="1" l="1"/>
  <c r="S1557" i="1" l="1"/>
  <c r="S1558" i="1" l="1"/>
  <c r="S1559" i="1" l="1"/>
  <c r="S1560" i="1" l="1"/>
  <c r="S1561" i="1" l="1"/>
  <c r="S1562" i="1" l="1"/>
  <c r="S1563" i="1" l="1"/>
  <c r="S1564" i="1" l="1"/>
  <c r="S1565" i="1" l="1"/>
  <c r="S1566" i="1" l="1"/>
  <c r="S1567" i="1" l="1"/>
  <c r="S1568" i="1" l="1"/>
  <c r="S1569" i="1" l="1"/>
  <c r="S1570" i="1" l="1"/>
  <c r="S1571" i="1" l="1"/>
  <c r="S1572" i="1" l="1"/>
  <c r="S1573" i="1" l="1"/>
  <c r="S1574" i="1" l="1"/>
  <c r="S1575" i="1" l="1"/>
  <c r="S1576" i="1" l="1"/>
  <c r="S1577" i="1" l="1"/>
  <c r="S1578" i="1" l="1"/>
  <c r="S1579" i="1" l="1"/>
  <c r="S1580" i="1" l="1"/>
  <c r="S1581" i="1" l="1"/>
  <c r="S1582" i="1" l="1"/>
  <c r="S1583" i="1" l="1"/>
  <c r="S1584" i="1" l="1"/>
  <c r="S1585" i="1" l="1"/>
  <c r="S1586" i="1" l="1"/>
  <c r="S1587" i="1" l="1"/>
  <c r="S1588" i="1" l="1"/>
  <c r="S1589" i="1" l="1"/>
  <c r="S1590" i="1" l="1"/>
  <c r="S1591" i="1" l="1"/>
  <c r="S1592" i="1" l="1"/>
  <c r="S1593" i="1" l="1"/>
  <c r="S1594" i="1" l="1"/>
  <c r="S1595" i="1" l="1"/>
  <c r="S1596" i="1" l="1"/>
  <c r="S1597" i="1" l="1"/>
  <c r="S1598" i="1"/>
  <c r="S1599" i="1" l="1"/>
  <c r="S1600" i="1" l="1"/>
  <c r="S1601" i="1" l="1"/>
  <c r="S1602" i="1" l="1"/>
  <c r="S1603" i="1" l="1"/>
  <c r="S1604" i="1" l="1"/>
  <c r="S1605" i="1" l="1"/>
  <c r="S1606" i="1" l="1"/>
  <c r="S1607" i="1" l="1"/>
  <c r="S1608" i="1" l="1"/>
  <c r="S1609" i="1" l="1"/>
  <c r="S1610" i="1" l="1"/>
  <c r="S1611" i="1" l="1"/>
  <c r="S1612" i="1" l="1"/>
  <c r="S1613" i="1" l="1"/>
  <c r="S1614" i="1" l="1"/>
  <c r="S1615" i="1" l="1"/>
  <c r="S1616" i="1" l="1"/>
  <c r="S1617" i="1" l="1"/>
  <c r="S1618" i="1" l="1"/>
  <c r="S1619" i="1" l="1"/>
  <c r="S1620" i="1" l="1"/>
  <c r="S1621" i="1" l="1"/>
  <c r="S1622" i="1" l="1"/>
  <c r="S1623" i="1" l="1"/>
  <c r="S1624" i="1" l="1"/>
  <c r="S1625" i="1" l="1"/>
  <c r="S1626" i="1" l="1"/>
  <c r="S1627" i="1" l="1"/>
  <c r="S1628" i="1" l="1"/>
  <c r="S1629" i="1" l="1"/>
  <c r="S1630" i="1" l="1"/>
  <c r="S1631" i="1" l="1"/>
  <c r="S1632" i="1" l="1"/>
  <c r="S1633" i="1" l="1"/>
  <c r="S1634" i="1" l="1"/>
  <c r="S1635" i="1" l="1"/>
  <c r="S1636" i="1" l="1"/>
  <c r="S1637" i="1" l="1"/>
  <c r="S1638" i="1" l="1"/>
  <c r="S1639" i="1" l="1"/>
  <c r="S1640" i="1" l="1"/>
  <c r="S1641" i="1" l="1"/>
  <c r="S1642" i="1" l="1"/>
  <c r="S1643" i="1" l="1"/>
  <c r="S1644" i="1" l="1"/>
  <c r="S1645" i="1" l="1"/>
  <c r="S1646" i="1" l="1"/>
  <c r="S1647" i="1" l="1"/>
  <c r="S1648" i="1" l="1"/>
  <c r="S1649" i="1" l="1"/>
  <c r="S1650" i="1" l="1"/>
  <c r="S1651" i="1" l="1"/>
  <c r="S1652" i="1" l="1"/>
  <c r="S1653" i="1" l="1"/>
  <c r="S1654" i="1" l="1"/>
  <c r="S1655" i="1" l="1"/>
  <c r="S1656" i="1"/>
  <c r="S1657" i="1" l="1"/>
  <c r="S1658" i="1" l="1"/>
  <c r="S1659" i="1" l="1"/>
  <c r="S1660" i="1" l="1"/>
  <c r="S1661" i="1" l="1"/>
  <c r="S1662" i="1" l="1"/>
  <c r="S1663" i="1" l="1"/>
  <c r="S1664" i="1" l="1"/>
  <c r="S1665" i="1" l="1"/>
  <c r="S1666" i="1" l="1"/>
  <c r="S1667" i="1" l="1"/>
  <c r="S1668" i="1" l="1"/>
  <c r="S1669" i="1" l="1"/>
  <c r="S1670" i="1" l="1"/>
  <c r="S1671" i="1" l="1"/>
  <c r="S1672" i="1" l="1"/>
  <c r="S1673" i="1" l="1"/>
  <c r="S1674" i="1" l="1"/>
  <c r="S1675" i="1" l="1"/>
  <c r="S1676" i="1" l="1"/>
  <c r="S1677" i="1"/>
  <c r="S1678" i="1" l="1"/>
  <c r="S1679" i="1" l="1"/>
  <c r="S1680" i="1" l="1"/>
  <c r="S1681" i="1" l="1"/>
  <c r="S1682" i="1"/>
  <c r="S1683" i="1" l="1"/>
  <c r="S1684" i="1" l="1"/>
  <c r="S1685" i="1" l="1"/>
  <c r="S1686" i="1" l="1"/>
  <c r="S1687" i="1" l="1"/>
  <c r="S1688" i="1" l="1"/>
  <c r="S1689" i="1" l="1"/>
  <c r="S1690" i="1" l="1"/>
  <c r="S1691" i="1" l="1"/>
  <c r="S1692" i="1" l="1"/>
  <c r="S1693" i="1" l="1"/>
  <c r="S1694" i="1" l="1"/>
  <c r="S1695" i="1" l="1"/>
  <c r="S1696" i="1" l="1"/>
  <c r="S1697" i="1" l="1"/>
  <c r="S1698" i="1" l="1"/>
  <c r="S1699" i="1" l="1"/>
  <c r="S1700" i="1" l="1"/>
  <c r="S1701" i="1" l="1"/>
  <c r="S1702" i="1" l="1"/>
  <c r="S1703" i="1" l="1"/>
  <c r="S1704" i="1" l="1"/>
  <c r="S1705" i="1" l="1"/>
  <c r="S1706" i="1" l="1"/>
  <c r="S1707" i="1" l="1"/>
  <c r="S1708" i="1" l="1"/>
  <c r="S1709" i="1" l="1"/>
  <c r="S1710" i="1" l="1"/>
  <c r="S1711" i="1" l="1"/>
  <c r="S1712" i="1" l="1"/>
  <c r="S1713" i="1" l="1"/>
  <c r="S1714" i="1" l="1"/>
  <c r="S1715" i="1" l="1"/>
  <c r="S1716" i="1" l="1"/>
  <c r="S1717" i="1" l="1"/>
  <c r="S1718" i="1" l="1"/>
  <c r="S1719" i="1" l="1"/>
  <c r="S1720" i="1" l="1"/>
  <c r="S1721" i="1" l="1"/>
  <c r="S1722" i="1" l="1"/>
  <c r="S1723" i="1" l="1"/>
  <c r="S1724" i="1" l="1"/>
  <c r="S1725" i="1" l="1"/>
  <c r="S1726" i="1" l="1"/>
  <c r="S1727" i="1" l="1"/>
  <c r="S1728" i="1" l="1"/>
  <c r="S1729" i="1" l="1"/>
  <c r="S1730" i="1" l="1"/>
  <c r="S1731" i="1" l="1"/>
  <c r="S1732" i="1" l="1"/>
  <c r="S1733" i="1" l="1"/>
  <c r="S1734" i="1" l="1"/>
  <c r="S1735" i="1" l="1"/>
  <c r="S1736" i="1" l="1"/>
  <c r="S1737" i="1" l="1"/>
  <c r="S1738" i="1" l="1"/>
  <c r="S1739" i="1" l="1"/>
  <c r="S1740" i="1" l="1"/>
  <c r="S1741" i="1" l="1"/>
  <c r="S1742" i="1" l="1"/>
  <c r="S1743" i="1" l="1"/>
  <c r="S1744" i="1" l="1"/>
  <c r="S1745" i="1" l="1"/>
  <c r="S1746" i="1" l="1"/>
  <c r="S1747" i="1" l="1"/>
  <c r="S1748" i="1" l="1"/>
  <c r="S1749" i="1" l="1"/>
  <c r="S1750" i="1" l="1"/>
  <c r="S1751" i="1" l="1"/>
  <c r="S1752" i="1" l="1"/>
  <c r="S1753" i="1" l="1"/>
  <c r="S1754" i="1" l="1"/>
  <c r="S1755" i="1" l="1"/>
  <c r="S1756" i="1" l="1"/>
</calcChain>
</file>

<file path=xl/sharedStrings.xml><?xml version="1.0" encoding="utf-8"?>
<sst xmlns="http://schemas.openxmlformats.org/spreadsheetml/2006/main" count="86" uniqueCount="55">
  <si>
    <t>Geonor_Depth_Average</t>
  </si>
  <si>
    <t>StdDev</t>
  </si>
  <si>
    <t>T1_Depth_Average</t>
  </si>
  <si>
    <t>T2_Depth_Average</t>
  </si>
  <si>
    <t>T3_Depth_Average</t>
  </si>
  <si>
    <t>T1_Depth_StdDev</t>
  </si>
  <si>
    <t>T2_Depth_StdDev</t>
  </si>
  <si>
    <t>T3_Depth_StdDev</t>
  </si>
  <si>
    <t>T1_Freq</t>
  </si>
  <si>
    <t>T2_Freq</t>
  </si>
  <si>
    <t>T3_Freq</t>
  </si>
  <si>
    <t>Comments</t>
  </si>
  <si>
    <t>Change</t>
  </si>
  <si>
    <t>Date</t>
  </si>
  <si>
    <t>Doy</t>
  </si>
  <si>
    <t>PST</t>
  </si>
  <si>
    <t>mm</t>
  </si>
  <si>
    <t>Hz</t>
  </si>
  <si>
    <t>Filtered</t>
  </si>
  <si>
    <t>blk</t>
  </si>
  <si>
    <t>Row Labels</t>
  </si>
  <si>
    <t>Grand Total</t>
  </si>
  <si>
    <t>Sum of Change</t>
  </si>
  <si>
    <t>DoY</t>
  </si>
  <si>
    <t>PPT</t>
  </si>
  <si>
    <t>SumPPT</t>
  </si>
  <si>
    <t xml:space="preserve">Geonor precipitation gauge on CSI 300 data logger at location of station PL </t>
  </si>
  <si>
    <t>Calculated change each hour in the reading and coverted to precipitation</t>
  </si>
  <si>
    <t>Values are an average of three spot readings at the end of the hour.</t>
  </si>
  <si>
    <t>Geonor_Depth_StdDev</t>
  </si>
  <si>
    <t>Day</t>
  </si>
  <si>
    <t>Sum</t>
  </si>
  <si>
    <t>Calculated change each day in the reading and coverted to precipitation</t>
  </si>
  <si>
    <t>Values are an average of three spot readings at the end of the day.</t>
  </si>
  <si>
    <t xml:space="preserve">Data summed to daily values </t>
  </si>
  <si>
    <t>Graphs</t>
  </si>
  <si>
    <t>Original and filtered hourly depth</t>
  </si>
  <si>
    <t>SO is September and October</t>
  </si>
  <si>
    <t>ND is November and December</t>
  </si>
  <si>
    <t>Original and filtered daily depth at midnight</t>
  </si>
  <si>
    <t>Graph of cumulative daily precipitation from hourly and daily analyses</t>
  </si>
  <si>
    <t xml:space="preserve">DataHr worksheet is the hourly output </t>
  </si>
  <si>
    <t>Analysis to produce hourly and daily precipitation  (mm)</t>
  </si>
  <si>
    <t xml:space="preserve">DataDy worksheet has data  at midnight </t>
  </si>
  <si>
    <t>CumPPT worksheet</t>
  </si>
  <si>
    <t>Geonor daily data 2022</t>
  </si>
  <si>
    <t>Installed</t>
  </si>
  <si>
    <t>Geonor 2022 value at end of hour</t>
  </si>
  <si>
    <t>Meta data for Geonor precipitation gauge  2022</t>
  </si>
  <si>
    <t>SD_Dy is September after installation to December</t>
  </si>
  <si>
    <t>Depth_Rounded</t>
  </si>
  <si>
    <t>Depth rounded to 0.1 mm</t>
  </si>
  <si>
    <t>Depth data filtered for gauge recharge, to remove noise and account for evporation loss</t>
  </si>
  <si>
    <t>Last edit 15/12/25</t>
  </si>
  <si>
    <t>Last edit 22/12/25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</si>
</sst>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2" fillId="0" borderId="0" xfId="0" applyNumberFormat="1" applyFont="1" applyFill="1"/>
    <xf numFmtId="0" fontId="2" fillId="0" borderId="0" xfId="0" applyFont="1" applyFill="1"/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Sept-October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DataHr!$B$5:$B$292</c:f>
              <c:numCache>
                <c:formatCode>General</c:formatCode>
                <c:ptCount val="288"/>
                <c:pt idx="0">
                  <c:v>293</c:v>
                </c:pt>
                <c:pt idx="1">
                  <c:v>293</c:v>
                </c:pt>
                <c:pt idx="2">
                  <c:v>293</c:v>
                </c:pt>
                <c:pt idx="3">
                  <c:v>293</c:v>
                </c:pt>
                <c:pt idx="4">
                  <c:v>293</c:v>
                </c:pt>
                <c:pt idx="5">
                  <c:v>293</c:v>
                </c:pt>
                <c:pt idx="6">
                  <c:v>293</c:v>
                </c:pt>
                <c:pt idx="7">
                  <c:v>293</c:v>
                </c:pt>
                <c:pt idx="8">
                  <c:v>293</c:v>
                </c:pt>
                <c:pt idx="9">
                  <c:v>293</c:v>
                </c:pt>
                <c:pt idx="10">
                  <c:v>293</c:v>
                </c:pt>
                <c:pt idx="11">
                  <c:v>293</c:v>
                </c:pt>
                <c:pt idx="12">
                  <c:v>293</c:v>
                </c:pt>
                <c:pt idx="13">
                  <c:v>293</c:v>
                </c:pt>
                <c:pt idx="14">
                  <c:v>293</c:v>
                </c:pt>
                <c:pt idx="15">
                  <c:v>293</c:v>
                </c:pt>
                <c:pt idx="16">
                  <c:v>293</c:v>
                </c:pt>
                <c:pt idx="17">
                  <c:v>293</c:v>
                </c:pt>
                <c:pt idx="18">
                  <c:v>293</c:v>
                </c:pt>
                <c:pt idx="19">
                  <c:v>293</c:v>
                </c:pt>
                <c:pt idx="20">
                  <c:v>293</c:v>
                </c:pt>
                <c:pt idx="21">
                  <c:v>293</c:v>
                </c:pt>
                <c:pt idx="22">
                  <c:v>293</c:v>
                </c:pt>
                <c:pt idx="23">
                  <c:v>293</c:v>
                </c:pt>
                <c:pt idx="24">
                  <c:v>294</c:v>
                </c:pt>
                <c:pt idx="25">
                  <c:v>294</c:v>
                </c:pt>
                <c:pt idx="26">
                  <c:v>294</c:v>
                </c:pt>
                <c:pt idx="27">
                  <c:v>294</c:v>
                </c:pt>
                <c:pt idx="28">
                  <c:v>294</c:v>
                </c:pt>
                <c:pt idx="29">
                  <c:v>294</c:v>
                </c:pt>
                <c:pt idx="30">
                  <c:v>294</c:v>
                </c:pt>
                <c:pt idx="31">
                  <c:v>294</c:v>
                </c:pt>
                <c:pt idx="32">
                  <c:v>294</c:v>
                </c:pt>
                <c:pt idx="33">
                  <c:v>294</c:v>
                </c:pt>
                <c:pt idx="34">
                  <c:v>294</c:v>
                </c:pt>
                <c:pt idx="35">
                  <c:v>294</c:v>
                </c:pt>
                <c:pt idx="36">
                  <c:v>294</c:v>
                </c:pt>
                <c:pt idx="37">
                  <c:v>294</c:v>
                </c:pt>
                <c:pt idx="38">
                  <c:v>294</c:v>
                </c:pt>
                <c:pt idx="39">
                  <c:v>294</c:v>
                </c:pt>
                <c:pt idx="40">
                  <c:v>294</c:v>
                </c:pt>
                <c:pt idx="41">
                  <c:v>294</c:v>
                </c:pt>
                <c:pt idx="42">
                  <c:v>294</c:v>
                </c:pt>
                <c:pt idx="43">
                  <c:v>294</c:v>
                </c:pt>
                <c:pt idx="44">
                  <c:v>294</c:v>
                </c:pt>
                <c:pt idx="45">
                  <c:v>294</c:v>
                </c:pt>
                <c:pt idx="46">
                  <c:v>294</c:v>
                </c:pt>
                <c:pt idx="47">
                  <c:v>294</c:v>
                </c:pt>
                <c:pt idx="48">
                  <c:v>295</c:v>
                </c:pt>
                <c:pt idx="49">
                  <c:v>295</c:v>
                </c:pt>
                <c:pt idx="50">
                  <c:v>295</c:v>
                </c:pt>
                <c:pt idx="51">
                  <c:v>295</c:v>
                </c:pt>
                <c:pt idx="52">
                  <c:v>295</c:v>
                </c:pt>
                <c:pt idx="53">
                  <c:v>295</c:v>
                </c:pt>
                <c:pt idx="54">
                  <c:v>295</c:v>
                </c:pt>
                <c:pt idx="55">
                  <c:v>295</c:v>
                </c:pt>
                <c:pt idx="56">
                  <c:v>295</c:v>
                </c:pt>
                <c:pt idx="57">
                  <c:v>295</c:v>
                </c:pt>
                <c:pt idx="58">
                  <c:v>295</c:v>
                </c:pt>
                <c:pt idx="59">
                  <c:v>295</c:v>
                </c:pt>
                <c:pt idx="60">
                  <c:v>295</c:v>
                </c:pt>
                <c:pt idx="61">
                  <c:v>295</c:v>
                </c:pt>
                <c:pt idx="62">
                  <c:v>295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295</c:v>
                </c:pt>
                <c:pt idx="67">
                  <c:v>295</c:v>
                </c:pt>
                <c:pt idx="68">
                  <c:v>295</c:v>
                </c:pt>
                <c:pt idx="69">
                  <c:v>295</c:v>
                </c:pt>
                <c:pt idx="70">
                  <c:v>295</c:v>
                </c:pt>
                <c:pt idx="71">
                  <c:v>295</c:v>
                </c:pt>
                <c:pt idx="72">
                  <c:v>296</c:v>
                </c:pt>
                <c:pt idx="73">
                  <c:v>296</c:v>
                </c:pt>
                <c:pt idx="74">
                  <c:v>296</c:v>
                </c:pt>
                <c:pt idx="75">
                  <c:v>296</c:v>
                </c:pt>
                <c:pt idx="76">
                  <c:v>296</c:v>
                </c:pt>
                <c:pt idx="77">
                  <c:v>296</c:v>
                </c:pt>
                <c:pt idx="78">
                  <c:v>296</c:v>
                </c:pt>
                <c:pt idx="79">
                  <c:v>296</c:v>
                </c:pt>
                <c:pt idx="80">
                  <c:v>296</c:v>
                </c:pt>
                <c:pt idx="81">
                  <c:v>296</c:v>
                </c:pt>
                <c:pt idx="82">
                  <c:v>296</c:v>
                </c:pt>
                <c:pt idx="83">
                  <c:v>296</c:v>
                </c:pt>
                <c:pt idx="84">
                  <c:v>296</c:v>
                </c:pt>
                <c:pt idx="85">
                  <c:v>296</c:v>
                </c:pt>
                <c:pt idx="86">
                  <c:v>296</c:v>
                </c:pt>
                <c:pt idx="87">
                  <c:v>296</c:v>
                </c:pt>
                <c:pt idx="88">
                  <c:v>296</c:v>
                </c:pt>
                <c:pt idx="89">
                  <c:v>296</c:v>
                </c:pt>
                <c:pt idx="90">
                  <c:v>296</c:v>
                </c:pt>
                <c:pt idx="91">
                  <c:v>296</c:v>
                </c:pt>
                <c:pt idx="92">
                  <c:v>296</c:v>
                </c:pt>
                <c:pt idx="93">
                  <c:v>296</c:v>
                </c:pt>
                <c:pt idx="94">
                  <c:v>296</c:v>
                </c:pt>
                <c:pt idx="95">
                  <c:v>296</c:v>
                </c:pt>
                <c:pt idx="96">
                  <c:v>297</c:v>
                </c:pt>
                <c:pt idx="97">
                  <c:v>297</c:v>
                </c:pt>
                <c:pt idx="98">
                  <c:v>297</c:v>
                </c:pt>
                <c:pt idx="99">
                  <c:v>297</c:v>
                </c:pt>
                <c:pt idx="100">
                  <c:v>297</c:v>
                </c:pt>
                <c:pt idx="101">
                  <c:v>297</c:v>
                </c:pt>
                <c:pt idx="102">
                  <c:v>297</c:v>
                </c:pt>
                <c:pt idx="103">
                  <c:v>297</c:v>
                </c:pt>
                <c:pt idx="104">
                  <c:v>297</c:v>
                </c:pt>
                <c:pt idx="105">
                  <c:v>297</c:v>
                </c:pt>
                <c:pt idx="106">
                  <c:v>297</c:v>
                </c:pt>
                <c:pt idx="107">
                  <c:v>297</c:v>
                </c:pt>
                <c:pt idx="108">
                  <c:v>297</c:v>
                </c:pt>
                <c:pt idx="109">
                  <c:v>297</c:v>
                </c:pt>
                <c:pt idx="110">
                  <c:v>297</c:v>
                </c:pt>
                <c:pt idx="111">
                  <c:v>297</c:v>
                </c:pt>
                <c:pt idx="112">
                  <c:v>297</c:v>
                </c:pt>
                <c:pt idx="113">
                  <c:v>297</c:v>
                </c:pt>
                <c:pt idx="114">
                  <c:v>297</c:v>
                </c:pt>
                <c:pt idx="115">
                  <c:v>297</c:v>
                </c:pt>
                <c:pt idx="116">
                  <c:v>297</c:v>
                </c:pt>
                <c:pt idx="117">
                  <c:v>297</c:v>
                </c:pt>
                <c:pt idx="118">
                  <c:v>297</c:v>
                </c:pt>
                <c:pt idx="119">
                  <c:v>297</c:v>
                </c:pt>
                <c:pt idx="120">
                  <c:v>298</c:v>
                </c:pt>
                <c:pt idx="121">
                  <c:v>298</c:v>
                </c:pt>
                <c:pt idx="122">
                  <c:v>298</c:v>
                </c:pt>
                <c:pt idx="123">
                  <c:v>298</c:v>
                </c:pt>
                <c:pt idx="124">
                  <c:v>298</c:v>
                </c:pt>
                <c:pt idx="125">
                  <c:v>298</c:v>
                </c:pt>
                <c:pt idx="126">
                  <c:v>298</c:v>
                </c:pt>
                <c:pt idx="127">
                  <c:v>298</c:v>
                </c:pt>
                <c:pt idx="128">
                  <c:v>298</c:v>
                </c:pt>
                <c:pt idx="129">
                  <c:v>298</c:v>
                </c:pt>
                <c:pt idx="130">
                  <c:v>298</c:v>
                </c:pt>
                <c:pt idx="131">
                  <c:v>298</c:v>
                </c:pt>
                <c:pt idx="132">
                  <c:v>298</c:v>
                </c:pt>
                <c:pt idx="133">
                  <c:v>298</c:v>
                </c:pt>
                <c:pt idx="134">
                  <c:v>298</c:v>
                </c:pt>
                <c:pt idx="135">
                  <c:v>298</c:v>
                </c:pt>
                <c:pt idx="136">
                  <c:v>298</c:v>
                </c:pt>
                <c:pt idx="137">
                  <c:v>298</c:v>
                </c:pt>
                <c:pt idx="138">
                  <c:v>298</c:v>
                </c:pt>
                <c:pt idx="139">
                  <c:v>298</c:v>
                </c:pt>
                <c:pt idx="140">
                  <c:v>298</c:v>
                </c:pt>
                <c:pt idx="141">
                  <c:v>298</c:v>
                </c:pt>
                <c:pt idx="142">
                  <c:v>298</c:v>
                </c:pt>
                <c:pt idx="143">
                  <c:v>298</c:v>
                </c:pt>
                <c:pt idx="144">
                  <c:v>299</c:v>
                </c:pt>
                <c:pt idx="145">
                  <c:v>299</c:v>
                </c:pt>
                <c:pt idx="146">
                  <c:v>299</c:v>
                </c:pt>
                <c:pt idx="147">
                  <c:v>299</c:v>
                </c:pt>
                <c:pt idx="148">
                  <c:v>299</c:v>
                </c:pt>
                <c:pt idx="149">
                  <c:v>299</c:v>
                </c:pt>
                <c:pt idx="150">
                  <c:v>299</c:v>
                </c:pt>
                <c:pt idx="151">
                  <c:v>299</c:v>
                </c:pt>
                <c:pt idx="152">
                  <c:v>299</c:v>
                </c:pt>
                <c:pt idx="153">
                  <c:v>299</c:v>
                </c:pt>
                <c:pt idx="154">
                  <c:v>299</c:v>
                </c:pt>
                <c:pt idx="155">
                  <c:v>299</c:v>
                </c:pt>
                <c:pt idx="156">
                  <c:v>299</c:v>
                </c:pt>
                <c:pt idx="157">
                  <c:v>299</c:v>
                </c:pt>
                <c:pt idx="158">
                  <c:v>299</c:v>
                </c:pt>
                <c:pt idx="159">
                  <c:v>299</c:v>
                </c:pt>
                <c:pt idx="160">
                  <c:v>299</c:v>
                </c:pt>
                <c:pt idx="161">
                  <c:v>299</c:v>
                </c:pt>
                <c:pt idx="162">
                  <c:v>299</c:v>
                </c:pt>
                <c:pt idx="163">
                  <c:v>299</c:v>
                </c:pt>
                <c:pt idx="164">
                  <c:v>299</c:v>
                </c:pt>
                <c:pt idx="165">
                  <c:v>299</c:v>
                </c:pt>
                <c:pt idx="166">
                  <c:v>299</c:v>
                </c:pt>
                <c:pt idx="167">
                  <c:v>299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301</c:v>
                </c:pt>
                <c:pt idx="193">
                  <c:v>301</c:v>
                </c:pt>
                <c:pt idx="194">
                  <c:v>301</c:v>
                </c:pt>
                <c:pt idx="195">
                  <c:v>301</c:v>
                </c:pt>
                <c:pt idx="196">
                  <c:v>301</c:v>
                </c:pt>
                <c:pt idx="197">
                  <c:v>301</c:v>
                </c:pt>
                <c:pt idx="198">
                  <c:v>301</c:v>
                </c:pt>
                <c:pt idx="199">
                  <c:v>301</c:v>
                </c:pt>
                <c:pt idx="200">
                  <c:v>301</c:v>
                </c:pt>
                <c:pt idx="201">
                  <c:v>301</c:v>
                </c:pt>
                <c:pt idx="202">
                  <c:v>301</c:v>
                </c:pt>
                <c:pt idx="203">
                  <c:v>301</c:v>
                </c:pt>
                <c:pt idx="204">
                  <c:v>301</c:v>
                </c:pt>
                <c:pt idx="205">
                  <c:v>301</c:v>
                </c:pt>
                <c:pt idx="206">
                  <c:v>301</c:v>
                </c:pt>
                <c:pt idx="207">
                  <c:v>301</c:v>
                </c:pt>
                <c:pt idx="208">
                  <c:v>301</c:v>
                </c:pt>
                <c:pt idx="209">
                  <c:v>301</c:v>
                </c:pt>
                <c:pt idx="210">
                  <c:v>301</c:v>
                </c:pt>
                <c:pt idx="211">
                  <c:v>301</c:v>
                </c:pt>
                <c:pt idx="212">
                  <c:v>301</c:v>
                </c:pt>
                <c:pt idx="213">
                  <c:v>301</c:v>
                </c:pt>
                <c:pt idx="214">
                  <c:v>301</c:v>
                </c:pt>
                <c:pt idx="215">
                  <c:v>301</c:v>
                </c:pt>
                <c:pt idx="216">
                  <c:v>302</c:v>
                </c:pt>
                <c:pt idx="217">
                  <c:v>302</c:v>
                </c:pt>
                <c:pt idx="218">
                  <c:v>302</c:v>
                </c:pt>
                <c:pt idx="219">
                  <c:v>302</c:v>
                </c:pt>
                <c:pt idx="220">
                  <c:v>302</c:v>
                </c:pt>
                <c:pt idx="221">
                  <c:v>302</c:v>
                </c:pt>
                <c:pt idx="222">
                  <c:v>302</c:v>
                </c:pt>
                <c:pt idx="223">
                  <c:v>302</c:v>
                </c:pt>
                <c:pt idx="224">
                  <c:v>302</c:v>
                </c:pt>
                <c:pt idx="225">
                  <c:v>302</c:v>
                </c:pt>
                <c:pt idx="226">
                  <c:v>302</c:v>
                </c:pt>
                <c:pt idx="227">
                  <c:v>302</c:v>
                </c:pt>
                <c:pt idx="228">
                  <c:v>302</c:v>
                </c:pt>
                <c:pt idx="229">
                  <c:v>302</c:v>
                </c:pt>
                <c:pt idx="230">
                  <c:v>302</c:v>
                </c:pt>
                <c:pt idx="231">
                  <c:v>302</c:v>
                </c:pt>
                <c:pt idx="232">
                  <c:v>302</c:v>
                </c:pt>
                <c:pt idx="233">
                  <c:v>302</c:v>
                </c:pt>
                <c:pt idx="234">
                  <c:v>302</c:v>
                </c:pt>
                <c:pt idx="235">
                  <c:v>302</c:v>
                </c:pt>
                <c:pt idx="236">
                  <c:v>302</c:v>
                </c:pt>
                <c:pt idx="237">
                  <c:v>302</c:v>
                </c:pt>
                <c:pt idx="238">
                  <c:v>302</c:v>
                </c:pt>
                <c:pt idx="239">
                  <c:v>302</c:v>
                </c:pt>
                <c:pt idx="240">
                  <c:v>303</c:v>
                </c:pt>
                <c:pt idx="241">
                  <c:v>303</c:v>
                </c:pt>
                <c:pt idx="242">
                  <c:v>303</c:v>
                </c:pt>
                <c:pt idx="243">
                  <c:v>303</c:v>
                </c:pt>
                <c:pt idx="244">
                  <c:v>303</c:v>
                </c:pt>
                <c:pt idx="245">
                  <c:v>303</c:v>
                </c:pt>
                <c:pt idx="246">
                  <c:v>303</c:v>
                </c:pt>
                <c:pt idx="247">
                  <c:v>303</c:v>
                </c:pt>
                <c:pt idx="248">
                  <c:v>303</c:v>
                </c:pt>
                <c:pt idx="249">
                  <c:v>303</c:v>
                </c:pt>
                <c:pt idx="250">
                  <c:v>303</c:v>
                </c:pt>
                <c:pt idx="251">
                  <c:v>303</c:v>
                </c:pt>
                <c:pt idx="252">
                  <c:v>303</c:v>
                </c:pt>
                <c:pt idx="253">
                  <c:v>303</c:v>
                </c:pt>
                <c:pt idx="254">
                  <c:v>303</c:v>
                </c:pt>
                <c:pt idx="255">
                  <c:v>303</c:v>
                </c:pt>
                <c:pt idx="256">
                  <c:v>303</c:v>
                </c:pt>
                <c:pt idx="257">
                  <c:v>303</c:v>
                </c:pt>
                <c:pt idx="258">
                  <c:v>303</c:v>
                </c:pt>
                <c:pt idx="259">
                  <c:v>303</c:v>
                </c:pt>
                <c:pt idx="260">
                  <c:v>303</c:v>
                </c:pt>
                <c:pt idx="261">
                  <c:v>303</c:v>
                </c:pt>
                <c:pt idx="262">
                  <c:v>303</c:v>
                </c:pt>
                <c:pt idx="263">
                  <c:v>303</c:v>
                </c:pt>
                <c:pt idx="264">
                  <c:v>304</c:v>
                </c:pt>
                <c:pt idx="265">
                  <c:v>304</c:v>
                </c:pt>
                <c:pt idx="266">
                  <c:v>304</c:v>
                </c:pt>
                <c:pt idx="267">
                  <c:v>304</c:v>
                </c:pt>
                <c:pt idx="268">
                  <c:v>304</c:v>
                </c:pt>
                <c:pt idx="269">
                  <c:v>304</c:v>
                </c:pt>
                <c:pt idx="270">
                  <c:v>304</c:v>
                </c:pt>
                <c:pt idx="271">
                  <c:v>304</c:v>
                </c:pt>
                <c:pt idx="272">
                  <c:v>304</c:v>
                </c:pt>
                <c:pt idx="273">
                  <c:v>304</c:v>
                </c:pt>
                <c:pt idx="274">
                  <c:v>304</c:v>
                </c:pt>
                <c:pt idx="275">
                  <c:v>304</c:v>
                </c:pt>
                <c:pt idx="276">
                  <c:v>304</c:v>
                </c:pt>
                <c:pt idx="277">
                  <c:v>304</c:v>
                </c:pt>
                <c:pt idx="278">
                  <c:v>304</c:v>
                </c:pt>
                <c:pt idx="279">
                  <c:v>304</c:v>
                </c:pt>
                <c:pt idx="280">
                  <c:v>304</c:v>
                </c:pt>
                <c:pt idx="281">
                  <c:v>304</c:v>
                </c:pt>
                <c:pt idx="282">
                  <c:v>304</c:v>
                </c:pt>
                <c:pt idx="283">
                  <c:v>304</c:v>
                </c:pt>
                <c:pt idx="284">
                  <c:v>304</c:v>
                </c:pt>
                <c:pt idx="285">
                  <c:v>304</c:v>
                </c:pt>
                <c:pt idx="286">
                  <c:v>304</c:v>
                </c:pt>
                <c:pt idx="287">
                  <c:v>304</c:v>
                </c:pt>
              </c:numCache>
            </c:numRef>
          </c:cat>
          <c:val>
            <c:numRef>
              <c:f>DataHr!$Q$5:$Q$292</c:f>
              <c:numCache>
                <c:formatCode>General</c:formatCode>
                <c:ptCount val="288"/>
                <c:pt idx="13">
                  <c:v>299.7</c:v>
                </c:pt>
                <c:pt idx="14">
                  <c:v>299</c:v>
                </c:pt>
                <c:pt idx="15">
                  <c:v>298.60000000000002</c:v>
                </c:pt>
                <c:pt idx="16">
                  <c:v>298.2</c:v>
                </c:pt>
                <c:pt idx="17">
                  <c:v>297.8</c:v>
                </c:pt>
                <c:pt idx="18">
                  <c:v>297.5</c:v>
                </c:pt>
                <c:pt idx="19">
                  <c:v>297.10000000000002</c:v>
                </c:pt>
                <c:pt idx="20">
                  <c:v>296.7</c:v>
                </c:pt>
                <c:pt idx="21">
                  <c:v>296.3</c:v>
                </c:pt>
                <c:pt idx="22">
                  <c:v>296</c:v>
                </c:pt>
                <c:pt idx="23">
                  <c:v>295.7</c:v>
                </c:pt>
                <c:pt idx="24">
                  <c:v>295.3</c:v>
                </c:pt>
                <c:pt idx="25">
                  <c:v>294.89999999999998</c:v>
                </c:pt>
                <c:pt idx="26">
                  <c:v>294.60000000000002</c:v>
                </c:pt>
                <c:pt idx="27">
                  <c:v>294.3</c:v>
                </c:pt>
                <c:pt idx="28">
                  <c:v>294.10000000000002</c:v>
                </c:pt>
                <c:pt idx="29">
                  <c:v>293.89999999999998</c:v>
                </c:pt>
                <c:pt idx="30">
                  <c:v>293.89999999999998</c:v>
                </c:pt>
                <c:pt idx="31">
                  <c:v>294.5</c:v>
                </c:pt>
                <c:pt idx="32">
                  <c:v>295.10000000000002</c:v>
                </c:pt>
                <c:pt idx="33">
                  <c:v>295.7</c:v>
                </c:pt>
                <c:pt idx="34">
                  <c:v>296.8</c:v>
                </c:pt>
                <c:pt idx="35">
                  <c:v>297.7</c:v>
                </c:pt>
                <c:pt idx="36">
                  <c:v>298.60000000000002</c:v>
                </c:pt>
                <c:pt idx="37">
                  <c:v>299.39999999999998</c:v>
                </c:pt>
                <c:pt idx="38">
                  <c:v>299.7</c:v>
                </c:pt>
                <c:pt idx="39">
                  <c:v>300.2</c:v>
                </c:pt>
                <c:pt idx="40">
                  <c:v>300.5</c:v>
                </c:pt>
                <c:pt idx="41">
                  <c:v>300.5</c:v>
                </c:pt>
                <c:pt idx="42">
                  <c:v>300.5</c:v>
                </c:pt>
                <c:pt idx="43">
                  <c:v>300.5</c:v>
                </c:pt>
                <c:pt idx="44">
                  <c:v>300.39999999999998</c:v>
                </c:pt>
                <c:pt idx="45">
                  <c:v>300.3</c:v>
                </c:pt>
                <c:pt idx="46">
                  <c:v>300.2</c:v>
                </c:pt>
                <c:pt idx="47">
                  <c:v>300.10000000000002</c:v>
                </c:pt>
                <c:pt idx="48">
                  <c:v>300.10000000000002</c:v>
                </c:pt>
                <c:pt idx="49">
                  <c:v>300</c:v>
                </c:pt>
                <c:pt idx="50">
                  <c:v>299.8</c:v>
                </c:pt>
                <c:pt idx="51">
                  <c:v>299.8</c:v>
                </c:pt>
                <c:pt idx="52">
                  <c:v>299.60000000000002</c:v>
                </c:pt>
                <c:pt idx="53">
                  <c:v>299.5</c:v>
                </c:pt>
                <c:pt idx="54">
                  <c:v>299.39999999999998</c:v>
                </c:pt>
                <c:pt idx="55">
                  <c:v>299.39999999999998</c:v>
                </c:pt>
                <c:pt idx="56">
                  <c:v>299.2</c:v>
                </c:pt>
                <c:pt idx="57">
                  <c:v>299.10000000000002</c:v>
                </c:pt>
                <c:pt idx="58">
                  <c:v>298.89999999999998</c:v>
                </c:pt>
                <c:pt idx="59">
                  <c:v>298.8</c:v>
                </c:pt>
                <c:pt idx="60">
                  <c:v>298.60000000000002</c:v>
                </c:pt>
                <c:pt idx="61">
                  <c:v>298.5</c:v>
                </c:pt>
                <c:pt idx="62">
                  <c:v>298.39999999999998</c:v>
                </c:pt>
                <c:pt idx="63">
                  <c:v>298.3</c:v>
                </c:pt>
                <c:pt idx="64">
                  <c:v>298.2</c:v>
                </c:pt>
                <c:pt idx="65">
                  <c:v>298.10000000000002</c:v>
                </c:pt>
                <c:pt idx="66">
                  <c:v>298</c:v>
                </c:pt>
                <c:pt idx="67">
                  <c:v>297.89999999999998</c:v>
                </c:pt>
                <c:pt idx="68">
                  <c:v>297.89999999999998</c:v>
                </c:pt>
                <c:pt idx="69">
                  <c:v>297.8</c:v>
                </c:pt>
                <c:pt idx="70">
                  <c:v>297.7</c:v>
                </c:pt>
                <c:pt idx="71">
                  <c:v>297.60000000000002</c:v>
                </c:pt>
                <c:pt idx="72">
                  <c:v>297.5</c:v>
                </c:pt>
                <c:pt idx="73">
                  <c:v>297.39999999999998</c:v>
                </c:pt>
                <c:pt idx="74">
                  <c:v>297.3</c:v>
                </c:pt>
                <c:pt idx="75">
                  <c:v>297.3</c:v>
                </c:pt>
                <c:pt idx="76">
                  <c:v>297.2</c:v>
                </c:pt>
                <c:pt idx="77">
                  <c:v>297.2</c:v>
                </c:pt>
                <c:pt idx="78">
                  <c:v>297.10000000000002</c:v>
                </c:pt>
                <c:pt idx="79">
                  <c:v>297</c:v>
                </c:pt>
                <c:pt idx="80">
                  <c:v>297</c:v>
                </c:pt>
                <c:pt idx="81">
                  <c:v>296.89999999999998</c:v>
                </c:pt>
                <c:pt idx="82">
                  <c:v>296.89999999999998</c:v>
                </c:pt>
                <c:pt idx="83">
                  <c:v>296.8</c:v>
                </c:pt>
                <c:pt idx="84">
                  <c:v>296.7</c:v>
                </c:pt>
                <c:pt idx="85">
                  <c:v>296.60000000000002</c:v>
                </c:pt>
                <c:pt idx="86">
                  <c:v>296.5</c:v>
                </c:pt>
                <c:pt idx="87">
                  <c:v>296.39999999999998</c:v>
                </c:pt>
                <c:pt idx="88">
                  <c:v>296.3</c:v>
                </c:pt>
                <c:pt idx="89">
                  <c:v>296.3</c:v>
                </c:pt>
                <c:pt idx="90">
                  <c:v>296.2</c:v>
                </c:pt>
                <c:pt idx="91">
                  <c:v>296.10000000000002</c:v>
                </c:pt>
                <c:pt idx="92">
                  <c:v>296</c:v>
                </c:pt>
                <c:pt idx="93">
                  <c:v>295.89999999999998</c:v>
                </c:pt>
                <c:pt idx="94">
                  <c:v>295.89999999999998</c:v>
                </c:pt>
                <c:pt idx="95">
                  <c:v>296.39999999999998</c:v>
                </c:pt>
                <c:pt idx="96">
                  <c:v>296.89999999999998</c:v>
                </c:pt>
                <c:pt idx="97">
                  <c:v>297</c:v>
                </c:pt>
                <c:pt idx="98">
                  <c:v>297</c:v>
                </c:pt>
                <c:pt idx="99">
                  <c:v>297.3</c:v>
                </c:pt>
                <c:pt idx="100">
                  <c:v>297.7</c:v>
                </c:pt>
                <c:pt idx="101">
                  <c:v>298.39999999999998</c:v>
                </c:pt>
                <c:pt idx="102">
                  <c:v>298.89999999999998</c:v>
                </c:pt>
                <c:pt idx="103">
                  <c:v>299</c:v>
                </c:pt>
                <c:pt idx="104">
                  <c:v>299.10000000000002</c:v>
                </c:pt>
                <c:pt idx="105">
                  <c:v>299.10000000000002</c:v>
                </c:pt>
                <c:pt idx="106">
                  <c:v>299</c:v>
                </c:pt>
                <c:pt idx="107">
                  <c:v>299.10000000000002</c:v>
                </c:pt>
                <c:pt idx="108">
                  <c:v>299</c:v>
                </c:pt>
                <c:pt idx="109">
                  <c:v>298.89999999999998</c:v>
                </c:pt>
                <c:pt idx="110">
                  <c:v>299</c:v>
                </c:pt>
                <c:pt idx="111">
                  <c:v>299.2</c:v>
                </c:pt>
                <c:pt idx="112">
                  <c:v>299.60000000000002</c:v>
                </c:pt>
                <c:pt idx="113">
                  <c:v>299.7</c:v>
                </c:pt>
                <c:pt idx="114">
                  <c:v>299.8</c:v>
                </c:pt>
                <c:pt idx="115">
                  <c:v>299.7</c:v>
                </c:pt>
                <c:pt idx="116">
                  <c:v>299.8</c:v>
                </c:pt>
                <c:pt idx="117">
                  <c:v>299.89999999999998</c:v>
                </c:pt>
                <c:pt idx="118">
                  <c:v>300.5</c:v>
                </c:pt>
                <c:pt idx="119">
                  <c:v>302.10000000000002</c:v>
                </c:pt>
                <c:pt idx="120">
                  <c:v>303.5</c:v>
                </c:pt>
                <c:pt idx="121">
                  <c:v>304.2</c:v>
                </c:pt>
                <c:pt idx="122">
                  <c:v>304.5</c:v>
                </c:pt>
                <c:pt idx="123">
                  <c:v>304.60000000000002</c:v>
                </c:pt>
                <c:pt idx="124">
                  <c:v>304.60000000000002</c:v>
                </c:pt>
                <c:pt idx="125">
                  <c:v>304.60000000000002</c:v>
                </c:pt>
                <c:pt idx="126">
                  <c:v>304.60000000000002</c:v>
                </c:pt>
                <c:pt idx="127">
                  <c:v>304.7</c:v>
                </c:pt>
                <c:pt idx="128">
                  <c:v>304.7</c:v>
                </c:pt>
                <c:pt idx="129">
                  <c:v>304.60000000000002</c:v>
                </c:pt>
                <c:pt idx="130">
                  <c:v>304.60000000000002</c:v>
                </c:pt>
                <c:pt idx="131">
                  <c:v>304.60000000000002</c:v>
                </c:pt>
                <c:pt idx="132">
                  <c:v>304.5</c:v>
                </c:pt>
                <c:pt idx="133">
                  <c:v>304.5</c:v>
                </c:pt>
                <c:pt idx="134">
                  <c:v>304.5</c:v>
                </c:pt>
                <c:pt idx="135">
                  <c:v>304.5</c:v>
                </c:pt>
                <c:pt idx="136">
                  <c:v>304.60000000000002</c:v>
                </c:pt>
                <c:pt idx="137">
                  <c:v>304.60000000000002</c:v>
                </c:pt>
                <c:pt idx="138">
                  <c:v>304.60000000000002</c:v>
                </c:pt>
                <c:pt idx="139">
                  <c:v>304.7</c:v>
                </c:pt>
                <c:pt idx="140">
                  <c:v>305.2</c:v>
                </c:pt>
                <c:pt idx="141">
                  <c:v>305.7</c:v>
                </c:pt>
                <c:pt idx="142">
                  <c:v>306.2</c:v>
                </c:pt>
                <c:pt idx="143">
                  <c:v>307.39999999999998</c:v>
                </c:pt>
                <c:pt idx="144">
                  <c:v>309.89999999999998</c:v>
                </c:pt>
                <c:pt idx="145">
                  <c:v>310.3</c:v>
                </c:pt>
                <c:pt idx="146">
                  <c:v>310.3</c:v>
                </c:pt>
                <c:pt idx="147">
                  <c:v>310.3</c:v>
                </c:pt>
                <c:pt idx="148">
                  <c:v>310.3</c:v>
                </c:pt>
                <c:pt idx="149">
                  <c:v>310.3</c:v>
                </c:pt>
                <c:pt idx="150">
                  <c:v>310.3</c:v>
                </c:pt>
                <c:pt idx="151">
                  <c:v>310.3</c:v>
                </c:pt>
                <c:pt idx="152">
                  <c:v>310.3</c:v>
                </c:pt>
                <c:pt idx="153">
                  <c:v>310.2</c:v>
                </c:pt>
                <c:pt idx="154">
                  <c:v>310.2</c:v>
                </c:pt>
                <c:pt idx="155">
                  <c:v>310.2</c:v>
                </c:pt>
                <c:pt idx="156">
                  <c:v>310.2</c:v>
                </c:pt>
                <c:pt idx="157">
                  <c:v>310.2</c:v>
                </c:pt>
                <c:pt idx="158">
                  <c:v>310.2</c:v>
                </c:pt>
                <c:pt idx="159">
                  <c:v>310.2</c:v>
                </c:pt>
                <c:pt idx="160">
                  <c:v>310.3</c:v>
                </c:pt>
                <c:pt idx="161">
                  <c:v>310.3</c:v>
                </c:pt>
                <c:pt idx="162">
                  <c:v>310.3</c:v>
                </c:pt>
                <c:pt idx="163">
                  <c:v>310.3</c:v>
                </c:pt>
                <c:pt idx="164">
                  <c:v>310.3</c:v>
                </c:pt>
                <c:pt idx="165">
                  <c:v>310.3</c:v>
                </c:pt>
                <c:pt idx="166">
                  <c:v>310.3</c:v>
                </c:pt>
                <c:pt idx="167">
                  <c:v>310.3</c:v>
                </c:pt>
                <c:pt idx="168">
                  <c:v>310.3</c:v>
                </c:pt>
                <c:pt idx="169">
                  <c:v>310.3</c:v>
                </c:pt>
                <c:pt idx="170">
                  <c:v>310.3</c:v>
                </c:pt>
                <c:pt idx="171">
                  <c:v>310.3</c:v>
                </c:pt>
                <c:pt idx="172">
                  <c:v>310.3</c:v>
                </c:pt>
                <c:pt idx="173">
                  <c:v>310.3</c:v>
                </c:pt>
                <c:pt idx="174">
                  <c:v>310.3</c:v>
                </c:pt>
                <c:pt idx="175">
                  <c:v>310.3</c:v>
                </c:pt>
                <c:pt idx="176">
                  <c:v>310.39999999999998</c:v>
                </c:pt>
                <c:pt idx="177">
                  <c:v>310.3</c:v>
                </c:pt>
                <c:pt idx="178">
                  <c:v>310.3</c:v>
                </c:pt>
                <c:pt idx="179">
                  <c:v>310.3</c:v>
                </c:pt>
                <c:pt idx="180">
                  <c:v>310.2</c:v>
                </c:pt>
                <c:pt idx="181">
                  <c:v>310.10000000000002</c:v>
                </c:pt>
                <c:pt idx="182">
                  <c:v>310.10000000000002</c:v>
                </c:pt>
                <c:pt idx="183">
                  <c:v>310.2</c:v>
                </c:pt>
                <c:pt idx="184">
                  <c:v>310.2</c:v>
                </c:pt>
                <c:pt idx="185">
                  <c:v>310.3</c:v>
                </c:pt>
                <c:pt idx="186">
                  <c:v>310.3</c:v>
                </c:pt>
                <c:pt idx="187">
                  <c:v>310.3</c:v>
                </c:pt>
                <c:pt idx="188">
                  <c:v>310.39999999999998</c:v>
                </c:pt>
                <c:pt idx="189">
                  <c:v>310.60000000000002</c:v>
                </c:pt>
                <c:pt idx="190">
                  <c:v>310.8</c:v>
                </c:pt>
                <c:pt idx="191">
                  <c:v>310.89999999999998</c:v>
                </c:pt>
                <c:pt idx="192">
                  <c:v>311.10000000000002</c:v>
                </c:pt>
                <c:pt idx="193">
                  <c:v>312</c:v>
                </c:pt>
                <c:pt idx="194">
                  <c:v>312.5</c:v>
                </c:pt>
                <c:pt idx="195">
                  <c:v>313.3</c:v>
                </c:pt>
                <c:pt idx="196">
                  <c:v>313.89999999999998</c:v>
                </c:pt>
                <c:pt idx="197">
                  <c:v>314.3</c:v>
                </c:pt>
                <c:pt idx="198">
                  <c:v>314.39999999999998</c:v>
                </c:pt>
                <c:pt idx="199">
                  <c:v>314.39999999999998</c:v>
                </c:pt>
                <c:pt idx="200">
                  <c:v>314.39999999999998</c:v>
                </c:pt>
                <c:pt idx="201">
                  <c:v>314.39999999999998</c:v>
                </c:pt>
                <c:pt idx="202">
                  <c:v>314.39999999999998</c:v>
                </c:pt>
                <c:pt idx="203">
                  <c:v>314.3</c:v>
                </c:pt>
                <c:pt idx="204">
                  <c:v>314.3</c:v>
                </c:pt>
                <c:pt idx="205">
                  <c:v>314.3</c:v>
                </c:pt>
                <c:pt idx="206">
                  <c:v>314.3</c:v>
                </c:pt>
                <c:pt idx="207">
                  <c:v>314.3</c:v>
                </c:pt>
                <c:pt idx="208">
                  <c:v>314.3</c:v>
                </c:pt>
                <c:pt idx="209">
                  <c:v>314.39999999999998</c:v>
                </c:pt>
                <c:pt idx="210">
                  <c:v>314.39999999999998</c:v>
                </c:pt>
                <c:pt idx="211">
                  <c:v>314.39999999999998</c:v>
                </c:pt>
                <c:pt idx="212">
                  <c:v>314.39999999999998</c:v>
                </c:pt>
                <c:pt idx="213">
                  <c:v>314.39999999999998</c:v>
                </c:pt>
                <c:pt idx="214">
                  <c:v>314.39999999999998</c:v>
                </c:pt>
                <c:pt idx="215">
                  <c:v>314.39999999999998</c:v>
                </c:pt>
                <c:pt idx="216">
                  <c:v>314.5</c:v>
                </c:pt>
                <c:pt idx="217">
                  <c:v>314.5</c:v>
                </c:pt>
                <c:pt idx="218">
                  <c:v>314.5</c:v>
                </c:pt>
                <c:pt idx="219">
                  <c:v>314.5</c:v>
                </c:pt>
                <c:pt idx="220">
                  <c:v>314.5</c:v>
                </c:pt>
                <c:pt idx="221">
                  <c:v>314.5</c:v>
                </c:pt>
                <c:pt idx="222">
                  <c:v>314.5</c:v>
                </c:pt>
                <c:pt idx="223">
                  <c:v>314.5</c:v>
                </c:pt>
                <c:pt idx="224">
                  <c:v>314.39999999999998</c:v>
                </c:pt>
                <c:pt idx="225">
                  <c:v>314.3</c:v>
                </c:pt>
                <c:pt idx="226">
                  <c:v>314.3</c:v>
                </c:pt>
                <c:pt idx="227">
                  <c:v>314.3</c:v>
                </c:pt>
                <c:pt idx="228">
                  <c:v>314.2</c:v>
                </c:pt>
                <c:pt idx="229">
                  <c:v>314.3</c:v>
                </c:pt>
                <c:pt idx="230">
                  <c:v>314.3</c:v>
                </c:pt>
                <c:pt idx="231">
                  <c:v>314.3</c:v>
                </c:pt>
                <c:pt idx="232">
                  <c:v>314.3</c:v>
                </c:pt>
                <c:pt idx="233">
                  <c:v>314.39999999999998</c:v>
                </c:pt>
                <c:pt idx="234">
                  <c:v>314.39999999999998</c:v>
                </c:pt>
                <c:pt idx="235">
                  <c:v>314.39999999999998</c:v>
                </c:pt>
                <c:pt idx="236">
                  <c:v>314.39999999999998</c:v>
                </c:pt>
                <c:pt idx="237">
                  <c:v>314.39999999999998</c:v>
                </c:pt>
                <c:pt idx="238">
                  <c:v>314.39999999999998</c:v>
                </c:pt>
                <c:pt idx="239">
                  <c:v>314.39999999999998</c:v>
                </c:pt>
                <c:pt idx="240">
                  <c:v>314.39999999999998</c:v>
                </c:pt>
                <c:pt idx="241">
                  <c:v>314.39999999999998</c:v>
                </c:pt>
                <c:pt idx="242">
                  <c:v>314.39999999999998</c:v>
                </c:pt>
                <c:pt idx="243">
                  <c:v>314.39999999999998</c:v>
                </c:pt>
                <c:pt idx="244">
                  <c:v>314.39999999999998</c:v>
                </c:pt>
                <c:pt idx="245">
                  <c:v>314.8</c:v>
                </c:pt>
                <c:pt idx="246">
                  <c:v>315</c:v>
                </c:pt>
                <c:pt idx="247">
                  <c:v>315.10000000000002</c:v>
                </c:pt>
                <c:pt idx="248">
                  <c:v>315.39999999999998</c:v>
                </c:pt>
                <c:pt idx="249">
                  <c:v>315.5</c:v>
                </c:pt>
                <c:pt idx="250">
                  <c:v>316</c:v>
                </c:pt>
                <c:pt idx="251">
                  <c:v>316.39999999999998</c:v>
                </c:pt>
                <c:pt idx="252">
                  <c:v>316.39999999999998</c:v>
                </c:pt>
                <c:pt idx="253">
                  <c:v>316.39999999999998</c:v>
                </c:pt>
                <c:pt idx="254">
                  <c:v>316.39999999999998</c:v>
                </c:pt>
                <c:pt idx="255">
                  <c:v>316.39999999999998</c:v>
                </c:pt>
                <c:pt idx="256">
                  <c:v>316.7</c:v>
                </c:pt>
                <c:pt idx="257">
                  <c:v>317.3</c:v>
                </c:pt>
                <c:pt idx="258">
                  <c:v>318.3</c:v>
                </c:pt>
                <c:pt idx="259">
                  <c:v>318.8</c:v>
                </c:pt>
                <c:pt idx="260">
                  <c:v>319.7</c:v>
                </c:pt>
                <c:pt idx="261">
                  <c:v>320.10000000000002</c:v>
                </c:pt>
                <c:pt idx="262">
                  <c:v>321.10000000000002</c:v>
                </c:pt>
                <c:pt idx="263">
                  <c:v>321.89999999999998</c:v>
                </c:pt>
                <c:pt idx="264">
                  <c:v>322.60000000000002</c:v>
                </c:pt>
                <c:pt idx="265">
                  <c:v>323.10000000000002</c:v>
                </c:pt>
                <c:pt idx="266">
                  <c:v>323.10000000000002</c:v>
                </c:pt>
                <c:pt idx="267">
                  <c:v>323.10000000000002</c:v>
                </c:pt>
                <c:pt idx="268">
                  <c:v>323.10000000000002</c:v>
                </c:pt>
                <c:pt idx="269">
                  <c:v>323.10000000000002</c:v>
                </c:pt>
                <c:pt idx="270">
                  <c:v>323.10000000000002</c:v>
                </c:pt>
                <c:pt idx="271">
                  <c:v>323.10000000000002</c:v>
                </c:pt>
                <c:pt idx="272">
                  <c:v>324.7</c:v>
                </c:pt>
                <c:pt idx="273">
                  <c:v>325.2</c:v>
                </c:pt>
                <c:pt idx="274">
                  <c:v>326.39999999999998</c:v>
                </c:pt>
                <c:pt idx="275">
                  <c:v>327.2</c:v>
                </c:pt>
                <c:pt idx="276">
                  <c:v>327.2</c:v>
                </c:pt>
                <c:pt idx="277">
                  <c:v>327.2</c:v>
                </c:pt>
                <c:pt idx="278">
                  <c:v>327.2</c:v>
                </c:pt>
                <c:pt idx="279">
                  <c:v>327.10000000000002</c:v>
                </c:pt>
                <c:pt idx="280">
                  <c:v>327.2</c:v>
                </c:pt>
                <c:pt idx="281">
                  <c:v>327.2</c:v>
                </c:pt>
                <c:pt idx="282">
                  <c:v>327.2</c:v>
                </c:pt>
                <c:pt idx="283">
                  <c:v>327.2</c:v>
                </c:pt>
                <c:pt idx="284">
                  <c:v>327.2</c:v>
                </c:pt>
                <c:pt idx="285">
                  <c:v>327.3</c:v>
                </c:pt>
                <c:pt idx="286">
                  <c:v>327.39999999999998</c:v>
                </c:pt>
                <c:pt idx="287">
                  <c:v>327.39999999999998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DataHr!$B$5:$B$292</c:f>
              <c:numCache>
                <c:formatCode>General</c:formatCode>
                <c:ptCount val="288"/>
                <c:pt idx="0">
                  <c:v>293</c:v>
                </c:pt>
                <c:pt idx="1">
                  <c:v>293</c:v>
                </c:pt>
                <c:pt idx="2">
                  <c:v>293</c:v>
                </c:pt>
                <c:pt idx="3">
                  <c:v>293</c:v>
                </c:pt>
                <c:pt idx="4">
                  <c:v>293</c:v>
                </c:pt>
                <c:pt idx="5">
                  <c:v>293</c:v>
                </c:pt>
                <c:pt idx="6">
                  <c:v>293</c:v>
                </c:pt>
                <c:pt idx="7">
                  <c:v>293</c:v>
                </c:pt>
                <c:pt idx="8">
                  <c:v>293</c:v>
                </c:pt>
                <c:pt idx="9">
                  <c:v>293</c:v>
                </c:pt>
                <c:pt idx="10">
                  <c:v>293</c:v>
                </c:pt>
                <c:pt idx="11">
                  <c:v>293</c:v>
                </c:pt>
                <c:pt idx="12">
                  <c:v>293</c:v>
                </c:pt>
                <c:pt idx="13">
                  <c:v>293</c:v>
                </c:pt>
                <c:pt idx="14">
                  <c:v>293</c:v>
                </c:pt>
                <c:pt idx="15">
                  <c:v>293</c:v>
                </c:pt>
                <c:pt idx="16">
                  <c:v>293</c:v>
                </c:pt>
                <c:pt idx="17">
                  <c:v>293</c:v>
                </c:pt>
                <c:pt idx="18">
                  <c:v>293</c:v>
                </c:pt>
                <c:pt idx="19">
                  <c:v>293</c:v>
                </c:pt>
                <c:pt idx="20">
                  <c:v>293</c:v>
                </c:pt>
                <c:pt idx="21">
                  <c:v>293</c:v>
                </c:pt>
                <c:pt idx="22">
                  <c:v>293</c:v>
                </c:pt>
                <c:pt idx="23">
                  <c:v>293</c:v>
                </c:pt>
                <c:pt idx="24">
                  <c:v>294</c:v>
                </c:pt>
                <c:pt idx="25">
                  <c:v>294</c:v>
                </c:pt>
                <c:pt idx="26">
                  <c:v>294</c:v>
                </c:pt>
                <c:pt idx="27">
                  <c:v>294</c:v>
                </c:pt>
                <c:pt idx="28">
                  <c:v>294</c:v>
                </c:pt>
                <c:pt idx="29">
                  <c:v>294</c:v>
                </c:pt>
                <c:pt idx="30">
                  <c:v>294</c:v>
                </c:pt>
                <c:pt idx="31">
                  <c:v>294</c:v>
                </c:pt>
                <c:pt idx="32">
                  <c:v>294</c:v>
                </c:pt>
                <c:pt idx="33">
                  <c:v>294</c:v>
                </c:pt>
                <c:pt idx="34">
                  <c:v>294</c:v>
                </c:pt>
                <c:pt idx="35">
                  <c:v>294</c:v>
                </c:pt>
                <c:pt idx="36">
                  <c:v>294</c:v>
                </c:pt>
                <c:pt idx="37">
                  <c:v>294</c:v>
                </c:pt>
                <c:pt idx="38">
                  <c:v>294</c:v>
                </c:pt>
                <c:pt idx="39">
                  <c:v>294</c:v>
                </c:pt>
                <c:pt idx="40">
                  <c:v>294</c:v>
                </c:pt>
                <c:pt idx="41">
                  <c:v>294</c:v>
                </c:pt>
                <c:pt idx="42">
                  <c:v>294</c:v>
                </c:pt>
                <c:pt idx="43">
                  <c:v>294</c:v>
                </c:pt>
                <c:pt idx="44">
                  <c:v>294</c:v>
                </c:pt>
                <c:pt idx="45">
                  <c:v>294</c:v>
                </c:pt>
                <c:pt idx="46">
                  <c:v>294</c:v>
                </c:pt>
                <c:pt idx="47">
                  <c:v>294</c:v>
                </c:pt>
                <c:pt idx="48">
                  <c:v>295</c:v>
                </c:pt>
                <c:pt idx="49">
                  <c:v>295</c:v>
                </c:pt>
                <c:pt idx="50">
                  <c:v>295</c:v>
                </c:pt>
                <c:pt idx="51">
                  <c:v>295</c:v>
                </c:pt>
                <c:pt idx="52">
                  <c:v>295</c:v>
                </c:pt>
                <c:pt idx="53">
                  <c:v>295</c:v>
                </c:pt>
                <c:pt idx="54">
                  <c:v>295</c:v>
                </c:pt>
                <c:pt idx="55">
                  <c:v>295</c:v>
                </c:pt>
                <c:pt idx="56">
                  <c:v>295</c:v>
                </c:pt>
                <c:pt idx="57">
                  <c:v>295</c:v>
                </c:pt>
                <c:pt idx="58">
                  <c:v>295</c:v>
                </c:pt>
                <c:pt idx="59">
                  <c:v>295</c:v>
                </c:pt>
                <c:pt idx="60">
                  <c:v>295</c:v>
                </c:pt>
                <c:pt idx="61">
                  <c:v>295</c:v>
                </c:pt>
                <c:pt idx="62">
                  <c:v>295</c:v>
                </c:pt>
                <c:pt idx="63">
                  <c:v>295</c:v>
                </c:pt>
                <c:pt idx="64">
                  <c:v>295</c:v>
                </c:pt>
                <c:pt idx="65">
                  <c:v>295</c:v>
                </c:pt>
                <c:pt idx="66">
                  <c:v>295</c:v>
                </c:pt>
                <c:pt idx="67">
                  <c:v>295</c:v>
                </c:pt>
                <c:pt idx="68">
                  <c:v>295</c:v>
                </c:pt>
                <c:pt idx="69">
                  <c:v>295</c:v>
                </c:pt>
                <c:pt idx="70">
                  <c:v>295</c:v>
                </c:pt>
                <c:pt idx="71">
                  <c:v>295</c:v>
                </c:pt>
                <c:pt idx="72">
                  <c:v>296</c:v>
                </c:pt>
                <c:pt idx="73">
                  <c:v>296</c:v>
                </c:pt>
                <c:pt idx="74">
                  <c:v>296</c:v>
                </c:pt>
                <c:pt idx="75">
                  <c:v>296</c:v>
                </c:pt>
                <c:pt idx="76">
                  <c:v>296</c:v>
                </c:pt>
                <c:pt idx="77">
                  <c:v>296</c:v>
                </c:pt>
                <c:pt idx="78">
                  <c:v>296</c:v>
                </c:pt>
                <c:pt idx="79">
                  <c:v>296</c:v>
                </c:pt>
                <c:pt idx="80">
                  <c:v>296</c:v>
                </c:pt>
                <c:pt idx="81">
                  <c:v>296</c:v>
                </c:pt>
                <c:pt idx="82">
                  <c:v>296</c:v>
                </c:pt>
                <c:pt idx="83">
                  <c:v>296</c:v>
                </c:pt>
                <c:pt idx="84">
                  <c:v>296</c:v>
                </c:pt>
                <c:pt idx="85">
                  <c:v>296</c:v>
                </c:pt>
                <c:pt idx="86">
                  <c:v>296</c:v>
                </c:pt>
                <c:pt idx="87">
                  <c:v>296</c:v>
                </c:pt>
                <c:pt idx="88">
                  <c:v>296</c:v>
                </c:pt>
                <c:pt idx="89">
                  <c:v>296</c:v>
                </c:pt>
                <c:pt idx="90">
                  <c:v>296</c:v>
                </c:pt>
                <c:pt idx="91">
                  <c:v>296</c:v>
                </c:pt>
                <c:pt idx="92">
                  <c:v>296</c:v>
                </c:pt>
                <c:pt idx="93">
                  <c:v>296</c:v>
                </c:pt>
                <c:pt idx="94">
                  <c:v>296</c:v>
                </c:pt>
                <c:pt idx="95">
                  <c:v>296</c:v>
                </c:pt>
                <c:pt idx="96">
                  <c:v>297</c:v>
                </c:pt>
                <c:pt idx="97">
                  <c:v>297</c:v>
                </c:pt>
                <c:pt idx="98">
                  <c:v>297</c:v>
                </c:pt>
                <c:pt idx="99">
                  <c:v>297</c:v>
                </c:pt>
                <c:pt idx="100">
                  <c:v>297</c:v>
                </c:pt>
                <c:pt idx="101">
                  <c:v>297</c:v>
                </c:pt>
                <c:pt idx="102">
                  <c:v>297</c:v>
                </c:pt>
                <c:pt idx="103">
                  <c:v>297</c:v>
                </c:pt>
                <c:pt idx="104">
                  <c:v>297</c:v>
                </c:pt>
                <c:pt idx="105">
                  <c:v>297</c:v>
                </c:pt>
                <c:pt idx="106">
                  <c:v>297</c:v>
                </c:pt>
                <c:pt idx="107">
                  <c:v>297</c:v>
                </c:pt>
                <c:pt idx="108">
                  <c:v>297</c:v>
                </c:pt>
                <c:pt idx="109">
                  <c:v>297</c:v>
                </c:pt>
                <c:pt idx="110">
                  <c:v>297</c:v>
                </c:pt>
                <c:pt idx="111">
                  <c:v>297</c:v>
                </c:pt>
                <c:pt idx="112">
                  <c:v>297</c:v>
                </c:pt>
                <c:pt idx="113">
                  <c:v>297</c:v>
                </c:pt>
                <c:pt idx="114">
                  <c:v>297</c:v>
                </c:pt>
                <c:pt idx="115">
                  <c:v>297</c:v>
                </c:pt>
                <c:pt idx="116">
                  <c:v>297</c:v>
                </c:pt>
                <c:pt idx="117">
                  <c:v>297</c:v>
                </c:pt>
                <c:pt idx="118">
                  <c:v>297</c:v>
                </c:pt>
                <c:pt idx="119">
                  <c:v>297</c:v>
                </c:pt>
                <c:pt idx="120">
                  <c:v>298</c:v>
                </c:pt>
                <c:pt idx="121">
                  <c:v>298</c:v>
                </c:pt>
                <c:pt idx="122">
                  <c:v>298</c:v>
                </c:pt>
                <c:pt idx="123">
                  <c:v>298</c:v>
                </c:pt>
                <c:pt idx="124">
                  <c:v>298</c:v>
                </c:pt>
                <c:pt idx="125">
                  <c:v>298</c:v>
                </c:pt>
                <c:pt idx="126">
                  <c:v>298</c:v>
                </c:pt>
                <c:pt idx="127">
                  <c:v>298</c:v>
                </c:pt>
                <c:pt idx="128">
                  <c:v>298</c:v>
                </c:pt>
                <c:pt idx="129">
                  <c:v>298</c:v>
                </c:pt>
                <c:pt idx="130">
                  <c:v>298</c:v>
                </c:pt>
                <c:pt idx="131">
                  <c:v>298</c:v>
                </c:pt>
                <c:pt idx="132">
                  <c:v>298</c:v>
                </c:pt>
                <c:pt idx="133">
                  <c:v>298</c:v>
                </c:pt>
                <c:pt idx="134">
                  <c:v>298</c:v>
                </c:pt>
                <c:pt idx="135">
                  <c:v>298</c:v>
                </c:pt>
                <c:pt idx="136">
                  <c:v>298</c:v>
                </c:pt>
                <c:pt idx="137">
                  <c:v>298</c:v>
                </c:pt>
                <c:pt idx="138">
                  <c:v>298</c:v>
                </c:pt>
                <c:pt idx="139">
                  <c:v>298</c:v>
                </c:pt>
                <c:pt idx="140">
                  <c:v>298</c:v>
                </c:pt>
                <c:pt idx="141">
                  <c:v>298</c:v>
                </c:pt>
                <c:pt idx="142">
                  <c:v>298</c:v>
                </c:pt>
                <c:pt idx="143">
                  <c:v>298</c:v>
                </c:pt>
                <c:pt idx="144">
                  <c:v>299</c:v>
                </c:pt>
                <c:pt idx="145">
                  <c:v>299</c:v>
                </c:pt>
                <c:pt idx="146">
                  <c:v>299</c:v>
                </c:pt>
                <c:pt idx="147">
                  <c:v>299</c:v>
                </c:pt>
                <c:pt idx="148">
                  <c:v>299</c:v>
                </c:pt>
                <c:pt idx="149">
                  <c:v>299</c:v>
                </c:pt>
                <c:pt idx="150">
                  <c:v>299</c:v>
                </c:pt>
                <c:pt idx="151">
                  <c:v>299</c:v>
                </c:pt>
                <c:pt idx="152">
                  <c:v>299</c:v>
                </c:pt>
                <c:pt idx="153">
                  <c:v>299</c:v>
                </c:pt>
                <c:pt idx="154">
                  <c:v>299</c:v>
                </c:pt>
                <c:pt idx="155">
                  <c:v>299</c:v>
                </c:pt>
                <c:pt idx="156">
                  <c:v>299</c:v>
                </c:pt>
                <c:pt idx="157">
                  <c:v>299</c:v>
                </c:pt>
                <c:pt idx="158">
                  <c:v>299</c:v>
                </c:pt>
                <c:pt idx="159">
                  <c:v>299</c:v>
                </c:pt>
                <c:pt idx="160">
                  <c:v>299</c:v>
                </c:pt>
                <c:pt idx="161">
                  <c:v>299</c:v>
                </c:pt>
                <c:pt idx="162">
                  <c:v>299</c:v>
                </c:pt>
                <c:pt idx="163">
                  <c:v>299</c:v>
                </c:pt>
                <c:pt idx="164">
                  <c:v>299</c:v>
                </c:pt>
                <c:pt idx="165">
                  <c:v>299</c:v>
                </c:pt>
                <c:pt idx="166">
                  <c:v>299</c:v>
                </c:pt>
                <c:pt idx="167">
                  <c:v>299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301</c:v>
                </c:pt>
                <c:pt idx="193">
                  <c:v>301</c:v>
                </c:pt>
                <c:pt idx="194">
                  <c:v>301</c:v>
                </c:pt>
                <c:pt idx="195">
                  <c:v>301</c:v>
                </c:pt>
                <c:pt idx="196">
                  <c:v>301</c:v>
                </c:pt>
                <c:pt idx="197">
                  <c:v>301</c:v>
                </c:pt>
                <c:pt idx="198">
                  <c:v>301</c:v>
                </c:pt>
                <c:pt idx="199">
                  <c:v>301</c:v>
                </c:pt>
                <c:pt idx="200">
                  <c:v>301</c:v>
                </c:pt>
                <c:pt idx="201">
                  <c:v>301</c:v>
                </c:pt>
                <c:pt idx="202">
                  <c:v>301</c:v>
                </c:pt>
                <c:pt idx="203">
                  <c:v>301</c:v>
                </c:pt>
                <c:pt idx="204">
                  <c:v>301</c:v>
                </c:pt>
                <c:pt idx="205">
                  <c:v>301</c:v>
                </c:pt>
                <c:pt idx="206">
                  <c:v>301</c:v>
                </c:pt>
                <c:pt idx="207">
                  <c:v>301</c:v>
                </c:pt>
                <c:pt idx="208">
                  <c:v>301</c:v>
                </c:pt>
                <c:pt idx="209">
                  <c:v>301</c:v>
                </c:pt>
                <c:pt idx="210">
                  <c:v>301</c:v>
                </c:pt>
                <c:pt idx="211">
                  <c:v>301</c:v>
                </c:pt>
                <c:pt idx="212">
                  <c:v>301</c:v>
                </c:pt>
                <c:pt idx="213">
                  <c:v>301</c:v>
                </c:pt>
                <c:pt idx="214">
                  <c:v>301</c:v>
                </c:pt>
                <c:pt idx="215">
                  <c:v>301</c:v>
                </c:pt>
                <c:pt idx="216">
                  <c:v>302</c:v>
                </c:pt>
                <c:pt idx="217">
                  <c:v>302</c:v>
                </c:pt>
                <c:pt idx="218">
                  <c:v>302</c:v>
                </c:pt>
                <c:pt idx="219">
                  <c:v>302</c:v>
                </c:pt>
                <c:pt idx="220">
                  <c:v>302</c:v>
                </c:pt>
                <c:pt idx="221">
                  <c:v>302</c:v>
                </c:pt>
                <c:pt idx="222">
                  <c:v>302</c:v>
                </c:pt>
                <c:pt idx="223">
                  <c:v>302</c:v>
                </c:pt>
                <c:pt idx="224">
                  <c:v>302</c:v>
                </c:pt>
                <c:pt idx="225">
                  <c:v>302</c:v>
                </c:pt>
                <c:pt idx="226">
                  <c:v>302</c:v>
                </c:pt>
                <c:pt idx="227">
                  <c:v>302</c:v>
                </c:pt>
                <c:pt idx="228">
                  <c:v>302</c:v>
                </c:pt>
                <c:pt idx="229">
                  <c:v>302</c:v>
                </c:pt>
                <c:pt idx="230">
                  <c:v>302</c:v>
                </c:pt>
                <c:pt idx="231">
                  <c:v>302</c:v>
                </c:pt>
                <c:pt idx="232">
                  <c:v>302</c:v>
                </c:pt>
                <c:pt idx="233">
                  <c:v>302</c:v>
                </c:pt>
                <c:pt idx="234">
                  <c:v>302</c:v>
                </c:pt>
                <c:pt idx="235">
                  <c:v>302</c:v>
                </c:pt>
                <c:pt idx="236">
                  <c:v>302</c:v>
                </c:pt>
                <c:pt idx="237">
                  <c:v>302</c:v>
                </c:pt>
                <c:pt idx="238">
                  <c:v>302</c:v>
                </c:pt>
                <c:pt idx="239">
                  <c:v>302</c:v>
                </c:pt>
                <c:pt idx="240">
                  <c:v>303</c:v>
                </c:pt>
                <c:pt idx="241">
                  <c:v>303</c:v>
                </c:pt>
                <c:pt idx="242">
                  <c:v>303</c:v>
                </c:pt>
                <c:pt idx="243">
                  <c:v>303</c:v>
                </c:pt>
                <c:pt idx="244">
                  <c:v>303</c:v>
                </c:pt>
                <c:pt idx="245">
                  <c:v>303</c:v>
                </c:pt>
                <c:pt idx="246">
                  <c:v>303</c:v>
                </c:pt>
                <c:pt idx="247">
                  <c:v>303</c:v>
                </c:pt>
                <c:pt idx="248">
                  <c:v>303</c:v>
                </c:pt>
                <c:pt idx="249">
                  <c:v>303</c:v>
                </c:pt>
                <c:pt idx="250">
                  <c:v>303</c:v>
                </c:pt>
                <c:pt idx="251">
                  <c:v>303</c:v>
                </c:pt>
                <c:pt idx="252">
                  <c:v>303</c:v>
                </c:pt>
                <c:pt idx="253">
                  <c:v>303</c:v>
                </c:pt>
                <c:pt idx="254">
                  <c:v>303</c:v>
                </c:pt>
                <c:pt idx="255">
                  <c:v>303</c:v>
                </c:pt>
                <c:pt idx="256">
                  <c:v>303</c:v>
                </c:pt>
                <c:pt idx="257">
                  <c:v>303</c:v>
                </c:pt>
                <c:pt idx="258">
                  <c:v>303</c:v>
                </c:pt>
                <c:pt idx="259">
                  <c:v>303</c:v>
                </c:pt>
                <c:pt idx="260">
                  <c:v>303</c:v>
                </c:pt>
                <c:pt idx="261">
                  <c:v>303</c:v>
                </c:pt>
                <c:pt idx="262">
                  <c:v>303</c:v>
                </c:pt>
                <c:pt idx="263">
                  <c:v>303</c:v>
                </c:pt>
                <c:pt idx="264">
                  <c:v>304</c:v>
                </c:pt>
                <c:pt idx="265">
                  <c:v>304</c:v>
                </c:pt>
                <c:pt idx="266">
                  <c:v>304</c:v>
                </c:pt>
                <c:pt idx="267">
                  <c:v>304</c:v>
                </c:pt>
                <c:pt idx="268">
                  <c:v>304</c:v>
                </c:pt>
                <c:pt idx="269">
                  <c:v>304</c:v>
                </c:pt>
                <c:pt idx="270">
                  <c:v>304</c:v>
                </c:pt>
                <c:pt idx="271">
                  <c:v>304</c:v>
                </c:pt>
                <c:pt idx="272">
                  <c:v>304</c:v>
                </c:pt>
                <c:pt idx="273">
                  <c:v>304</c:v>
                </c:pt>
                <c:pt idx="274">
                  <c:v>304</c:v>
                </c:pt>
                <c:pt idx="275">
                  <c:v>304</c:v>
                </c:pt>
                <c:pt idx="276">
                  <c:v>304</c:v>
                </c:pt>
                <c:pt idx="277">
                  <c:v>304</c:v>
                </c:pt>
                <c:pt idx="278">
                  <c:v>304</c:v>
                </c:pt>
                <c:pt idx="279">
                  <c:v>304</c:v>
                </c:pt>
                <c:pt idx="280">
                  <c:v>304</c:v>
                </c:pt>
                <c:pt idx="281">
                  <c:v>304</c:v>
                </c:pt>
                <c:pt idx="282">
                  <c:v>304</c:v>
                </c:pt>
                <c:pt idx="283">
                  <c:v>304</c:v>
                </c:pt>
                <c:pt idx="284">
                  <c:v>304</c:v>
                </c:pt>
                <c:pt idx="285">
                  <c:v>304</c:v>
                </c:pt>
                <c:pt idx="286">
                  <c:v>304</c:v>
                </c:pt>
                <c:pt idx="287">
                  <c:v>304</c:v>
                </c:pt>
              </c:numCache>
            </c:numRef>
          </c:cat>
          <c:val>
            <c:numRef>
              <c:f>DataHr!$R$5:$R$292</c:f>
              <c:numCache>
                <c:formatCode>General</c:formatCode>
                <c:ptCount val="288"/>
                <c:pt idx="12">
                  <c:v>299.7</c:v>
                </c:pt>
                <c:pt idx="13">
                  <c:v>299.7</c:v>
                </c:pt>
                <c:pt idx="14">
                  <c:v>299.7</c:v>
                </c:pt>
                <c:pt idx="15">
                  <c:v>299.7</c:v>
                </c:pt>
                <c:pt idx="16">
                  <c:v>299.7</c:v>
                </c:pt>
                <c:pt idx="17">
                  <c:v>299.7</c:v>
                </c:pt>
                <c:pt idx="18">
                  <c:v>299.7</c:v>
                </c:pt>
                <c:pt idx="19">
                  <c:v>299.7</c:v>
                </c:pt>
                <c:pt idx="20">
                  <c:v>299.7</c:v>
                </c:pt>
                <c:pt idx="21">
                  <c:v>299.7</c:v>
                </c:pt>
                <c:pt idx="22">
                  <c:v>299.7</c:v>
                </c:pt>
                <c:pt idx="23">
                  <c:v>299.7</c:v>
                </c:pt>
                <c:pt idx="24">
                  <c:v>299.7</c:v>
                </c:pt>
                <c:pt idx="25">
                  <c:v>299.7</c:v>
                </c:pt>
                <c:pt idx="26">
                  <c:v>299.7</c:v>
                </c:pt>
                <c:pt idx="27">
                  <c:v>299.7</c:v>
                </c:pt>
                <c:pt idx="28">
                  <c:v>299.7</c:v>
                </c:pt>
                <c:pt idx="29">
                  <c:v>299.7</c:v>
                </c:pt>
                <c:pt idx="30">
                  <c:v>293.89999999999998</c:v>
                </c:pt>
                <c:pt idx="31">
                  <c:v>294.5</c:v>
                </c:pt>
                <c:pt idx="32">
                  <c:v>295.10000000000002</c:v>
                </c:pt>
                <c:pt idx="33">
                  <c:v>295.7</c:v>
                </c:pt>
                <c:pt idx="34">
                  <c:v>296.8</c:v>
                </c:pt>
                <c:pt idx="35">
                  <c:v>297.7</c:v>
                </c:pt>
                <c:pt idx="36">
                  <c:v>298.60000000000002</c:v>
                </c:pt>
                <c:pt idx="37">
                  <c:v>299.39999999999998</c:v>
                </c:pt>
                <c:pt idx="38">
                  <c:v>299.7</c:v>
                </c:pt>
                <c:pt idx="39">
                  <c:v>300.2</c:v>
                </c:pt>
                <c:pt idx="40">
                  <c:v>300.5</c:v>
                </c:pt>
                <c:pt idx="41">
                  <c:v>300.5</c:v>
                </c:pt>
                <c:pt idx="42">
                  <c:v>300.5</c:v>
                </c:pt>
                <c:pt idx="43">
                  <c:v>300.5</c:v>
                </c:pt>
                <c:pt idx="44">
                  <c:v>300.5</c:v>
                </c:pt>
                <c:pt idx="45">
                  <c:v>300.5</c:v>
                </c:pt>
                <c:pt idx="46">
                  <c:v>300.5</c:v>
                </c:pt>
                <c:pt idx="47">
                  <c:v>300.5</c:v>
                </c:pt>
                <c:pt idx="48">
                  <c:v>300.5</c:v>
                </c:pt>
                <c:pt idx="49">
                  <c:v>300.5</c:v>
                </c:pt>
                <c:pt idx="50">
                  <c:v>300.5</c:v>
                </c:pt>
                <c:pt idx="51">
                  <c:v>300.5</c:v>
                </c:pt>
                <c:pt idx="52">
                  <c:v>300.5</c:v>
                </c:pt>
                <c:pt idx="53">
                  <c:v>300.5</c:v>
                </c:pt>
                <c:pt idx="54">
                  <c:v>300.5</c:v>
                </c:pt>
                <c:pt idx="55">
                  <c:v>300.5</c:v>
                </c:pt>
                <c:pt idx="56">
                  <c:v>300.5</c:v>
                </c:pt>
                <c:pt idx="57">
                  <c:v>300.5</c:v>
                </c:pt>
                <c:pt idx="58">
                  <c:v>300.5</c:v>
                </c:pt>
                <c:pt idx="59">
                  <c:v>300.5</c:v>
                </c:pt>
                <c:pt idx="60">
                  <c:v>300.5</c:v>
                </c:pt>
                <c:pt idx="61">
                  <c:v>300.5</c:v>
                </c:pt>
                <c:pt idx="62">
                  <c:v>300.5</c:v>
                </c:pt>
                <c:pt idx="63">
                  <c:v>300.5</c:v>
                </c:pt>
                <c:pt idx="64">
                  <c:v>300.5</c:v>
                </c:pt>
                <c:pt idx="65">
                  <c:v>300.5</c:v>
                </c:pt>
                <c:pt idx="66">
                  <c:v>300.5</c:v>
                </c:pt>
                <c:pt idx="67">
                  <c:v>300.5</c:v>
                </c:pt>
                <c:pt idx="68">
                  <c:v>300.5</c:v>
                </c:pt>
                <c:pt idx="69">
                  <c:v>300.5</c:v>
                </c:pt>
                <c:pt idx="70">
                  <c:v>300.5</c:v>
                </c:pt>
                <c:pt idx="71">
                  <c:v>300.5</c:v>
                </c:pt>
                <c:pt idx="72">
                  <c:v>300.5</c:v>
                </c:pt>
                <c:pt idx="73">
                  <c:v>300.5</c:v>
                </c:pt>
                <c:pt idx="74">
                  <c:v>300.5</c:v>
                </c:pt>
                <c:pt idx="75">
                  <c:v>300.5</c:v>
                </c:pt>
                <c:pt idx="76">
                  <c:v>300.5</c:v>
                </c:pt>
                <c:pt idx="77">
                  <c:v>300.5</c:v>
                </c:pt>
                <c:pt idx="78">
                  <c:v>300.5</c:v>
                </c:pt>
                <c:pt idx="79">
                  <c:v>300.5</c:v>
                </c:pt>
                <c:pt idx="80">
                  <c:v>300.5</c:v>
                </c:pt>
                <c:pt idx="81">
                  <c:v>300.5</c:v>
                </c:pt>
                <c:pt idx="82">
                  <c:v>300.5</c:v>
                </c:pt>
                <c:pt idx="83">
                  <c:v>300.5</c:v>
                </c:pt>
                <c:pt idx="84">
                  <c:v>300.5</c:v>
                </c:pt>
                <c:pt idx="85">
                  <c:v>300.5</c:v>
                </c:pt>
                <c:pt idx="86">
                  <c:v>300.5</c:v>
                </c:pt>
                <c:pt idx="87">
                  <c:v>300.5</c:v>
                </c:pt>
                <c:pt idx="88">
                  <c:v>300.5</c:v>
                </c:pt>
                <c:pt idx="89">
                  <c:v>300.5</c:v>
                </c:pt>
                <c:pt idx="90">
                  <c:v>300.5</c:v>
                </c:pt>
                <c:pt idx="91">
                  <c:v>300.5</c:v>
                </c:pt>
                <c:pt idx="92">
                  <c:v>296</c:v>
                </c:pt>
                <c:pt idx="93">
                  <c:v>296</c:v>
                </c:pt>
                <c:pt idx="94">
                  <c:v>296</c:v>
                </c:pt>
                <c:pt idx="95">
                  <c:v>296.39999999999998</c:v>
                </c:pt>
                <c:pt idx="96">
                  <c:v>296.89999999999998</c:v>
                </c:pt>
                <c:pt idx="97">
                  <c:v>297</c:v>
                </c:pt>
                <c:pt idx="98">
                  <c:v>297</c:v>
                </c:pt>
                <c:pt idx="99">
                  <c:v>297.3</c:v>
                </c:pt>
                <c:pt idx="100">
                  <c:v>297.7</c:v>
                </c:pt>
                <c:pt idx="101">
                  <c:v>298.39999999999998</c:v>
                </c:pt>
                <c:pt idx="102">
                  <c:v>298.89999999999998</c:v>
                </c:pt>
                <c:pt idx="103">
                  <c:v>299</c:v>
                </c:pt>
                <c:pt idx="104">
                  <c:v>299.10000000000002</c:v>
                </c:pt>
                <c:pt idx="105">
                  <c:v>299.10000000000002</c:v>
                </c:pt>
                <c:pt idx="106">
                  <c:v>299.10000000000002</c:v>
                </c:pt>
                <c:pt idx="107">
                  <c:v>299.10000000000002</c:v>
                </c:pt>
                <c:pt idx="108">
                  <c:v>299.10000000000002</c:v>
                </c:pt>
                <c:pt idx="109">
                  <c:v>299.10000000000002</c:v>
                </c:pt>
                <c:pt idx="110">
                  <c:v>299.10000000000002</c:v>
                </c:pt>
                <c:pt idx="111">
                  <c:v>299.2</c:v>
                </c:pt>
                <c:pt idx="112">
                  <c:v>299.60000000000002</c:v>
                </c:pt>
                <c:pt idx="113">
                  <c:v>299.7</c:v>
                </c:pt>
                <c:pt idx="114">
                  <c:v>299.8</c:v>
                </c:pt>
                <c:pt idx="115">
                  <c:v>299.8</c:v>
                </c:pt>
                <c:pt idx="116">
                  <c:v>299.8</c:v>
                </c:pt>
                <c:pt idx="117">
                  <c:v>299.89999999999998</c:v>
                </c:pt>
                <c:pt idx="118">
                  <c:v>300.5</c:v>
                </c:pt>
                <c:pt idx="119">
                  <c:v>302.10000000000002</c:v>
                </c:pt>
                <c:pt idx="120">
                  <c:v>303.5</c:v>
                </c:pt>
                <c:pt idx="121">
                  <c:v>304.2</c:v>
                </c:pt>
                <c:pt idx="122">
                  <c:v>304.5</c:v>
                </c:pt>
                <c:pt idx="123">
                  <c:v>304.60000000000002</c:v>
                </c:pt>
                <c:pt idx="124">
                  <c:v>304.60000000000002</c:v>
                </c:pt>
                <c:pt idx="125">
                  <c:v>304.60000000000002</c:v>
                </c:pt>
                <c:pt idx="126">
                  <c:v>304.60000000000002</c:v>
                </c:pt>
                <c:pt idx="127">
                  <c:v>304.7</c:v>
                </c:pt>
                <c:pt idx="128">
                  <c:v>304.7</c:v>
                </c:pt>
                <c:pt idx="129">
                  <c:v>304.7</c:v>
                </c:pt>
                <c:pt idx="130">
                  <c:v>304.7</c:v>
                </c:pt>
                <c:pt idx="131">
                  <c:v>304.7</c:v>
                </c:pt>
                <c:pt idx="132">
                  <c:v>304.7</c:v>
                </c:pt>
                <c:pt idx="133">
                  <c:v>304.7</c:v>
                </c:pt>
                <c:pt idx="134">
                  <c:v>304.7</c:v>
                </c:pt>
                <c:pt idx="135">
                  <c:v>304.7</c:v>
                </c:pt>
                <c:pt idx="136">
                  <c:v>304.7</c:v>
                </c:pt>
                <c:pt idx="137">
                  <c:v>304.7</c:v>
                </c:pt>
                <c:pt idx="138">
                  <c:v>304.7</c:v>
                </c:pt>
                <c:pt idx="139">
                  <c:v>304.7</c:v>
                </c:pt>
                <c:pt idx="140">
                  <c:v>305.2</c:v>
                </c:pt>
                <c:pt idx="141">
                  <c:v>305.7</c:v>
                </c:pt>
                <c:pt idx="142">
                  <c:v>306.2</c:v>
                </c:pt>
                <c:pt idx="143">
                  <c:v>307.39999999999998</c:v>
                </c:pt>
                <c:pt idx="144">
                  <c:v>309.89999999999998</c:v>
                </c:pt>
                <c:pt idx="145">
                  <c:v>310.3</c:v>
                </c:pt>
                <c:pt idx="146">
                  <c:v>310.3</c:v>
                </c:pt>
                <c:pt idx="147">
                  <c:v>310.3</c:v>
                </c:pt>
                <c:pt idx="148">
                  <c:v>310.3</c:v>
                </c:pt>
                <c:pt idx="149">
                  <c:v>310.3</c:v>
                </c:pt>
                <c:pt idx="150">
                  <c:v>310.3</c:v>
                </c:pt>
                <c:pt idx="151">
                  <c:v>310.3</c:v>
                </c:pt>
                <c:pt idx="152">
                  <c:v>310.3</c:v>
                </c:pt>
                <c:pt idx="153">
                  <c:v>310.3</c:v>
                </c:pt>
                <c:pt idx="154">
                  <c:v>310.3</c:v>
                </c:pt>
                <c:pt idx="155">
                  <c:v>310.3</c:v>
                </c:pt>
                <c:pt idx="156">
                  <c:v>310.3</c:v>
                </c:pt>
                <c:pt idx="157">
                  <c:v>310.3</c:v>
                </c:pt>
                <c:pt idx="158">
                  <c:v>310.3</c:v>
                </c:pt>
                <c:pt idx="159">
                  <c:v>310.3</c:v>
                </c:pt>
                <c:pt idx="160">
                  <c:v>310.3</c:v>
                </c:pt>
                <c:pt idx="161">
                  <c:v>310.3</c:v>
                </c:pt>
                <c:pt idx="162">
                  <c:v>310.3</c:v>
                </c:pt>
                <c:pt idx="163">
                  <c:v>310.3</c:v>
                </c:pt>
                <c:pt idx="164">
                  <c:v>310.3</c:v>
                </c:pt>
                <c:pt idx="165">
                  <c:v>310.3</c:v>
                </c:pt>
                <c:pt idx="166">
                  <c:v>310.3</c:v>
                </c:pt>
                <c:pt idx="167">
                  <c:v>310.3</c:v>
                </c:pt>
                <c:pt idx="168">
                  <c:v>310.3</c:v>
                </c:pt>
                <c:pt idx="169">
                  <c:v>310.3</c:v>
                </c:pt>
                <c:pt idx="170">
                  <c:v>310.3</c:v>
                </c:pt>
                <c:pt idx="171">
                  <c:v>310.3</c:v>
                </c:pt>
                <c:pt idx="172">
                  <c:v>310.3</c:v>
                </c:pt>
                <c:pt idx="173">
                  <c:v>310.3</c:v>
                </c:pt>
                <c:pt idx="174">
                  <c:v>310.3</c:v>
                </c:pt>
                <c:pt idx="175">
                  <c:v>310.3</c:v>
                </c:pt>
                <c:pt idx="176">
                  <c:v>310.39999999999998</c:v>
                </c:pt>
                <c:pt idx="177">
                  <c:v>310.39999999999998</c:v>
                </c:pt>
                <c:pt idx="178">
                  <c:v>310.39999999999998</c:v>
                </c:pt>
                <c:pt idx="179">
                  <c:v>310.39999999999998</c:v>
                </c:pt>
                <c:pt idx="180">
                  <c:v>310.39999999999998</c:v>
                </c:pt>
                <c:pt idx="181">
                  <c:v>310.39999999999998</c:v>
                </c:pt>
                <c:pt idx="182">
                  <c:v>310.39999999999998</c:v>
                </c:pt>
                <c:pt idx="183">
                  <c:v>310.39999999999998</c:v>
                </c:pt>
                <c:pt idx="184">
                  <c:v>310.39999999999998</c:v>
                </c:pt>
                <c:pt idx="185">
                  <c:v>310.39999999999998</c:v>
                </c:pt>
                <c:pt idx="186">
                  <c:v>310.39999999999998</c:v>
                </c:pt>
                <c:pt idx="187">
                  <c:v>310.39999999999998</c:v>
                </c:pt>
                <c:pt idx="188">
                  <c:v>310.39999999999998</c:v>
                </c:pt>
                <c:pt idx="189">
                  <c:v>310.60000000000002</c:v>
                </c:pt>
                <c:pt idx="190">
                  <c:v>310.8</c:v>
                </c:pt>
                <c:pt idx="191">
                  <c:v>310.89999999999998</c:v>
                </c:pt>
                <c:pt idx="192">
                  <c:v>311.10000000000002</c:v>
                </c:pt>
                <c:pt idx="193">
                  <c:v>312</c:v>
                </c:pt>
                <c:pt idx="194">
                  <c:v>312.5</c:v>
                </c:pt>
                <c:pt idx="195">
                  <c:v>313.3</c:v>
                </c:pt>
                <c:pt idx="196">
                  <c:v>313.89999999999998</c:v>
                </c:pt>
                <c:pt idx="197">
                  <c:v>314.3</c:v>
                </c:pt>
                <c:pt idx="198">
                  <c:v>314.39999999999998</c:v>
                </c:pt>
                <c:pt idx="199">
                  <c:v>314.39999999999998</c:v>
                </c:pt>
                <c:pt idx="200">
                  <c:v>314.39999999999998</c:v>
                </c:pt>
                <c:pt idx="201">
                  <c:v>314.39999999999998</c:v>
                </c:pt>
                <c:pt idx="202">
                  <c:v>314.39999999999998</c:v>
                </c:pt>
                <c:pt idx="203">
                  <c:v>314.39999999999998</c:v>
                </c:pt>
                <c:pt idx="204">
                  <c:v>314.39999999999998</c:v>
                </c:pt>
                <c:pt idx="205">
                  <c:v>314.39999999999998</c:v>
                </c:pt>
                <c:pt idx="206">
                  <c:v>314.39999999999998</c:v>
                </c:pt>
                <c:pt idx="207">
                  <c:v>314.39999999999998</c:v>
                </c:pt>
                <c:pt idx="208">
                  <c:v>314.39999999999998</c:v>
                </c:pt>
                <c:pt idx="209">
                  <c:v>314.39999999999998</c:v>
                </c:pt>
                <c:pt idx="210">
                  <c:v>314.39999999999998</c:v>
                </c:pt>
                <c:pt idx="211">
                  <c:v>314.39999999999998</c:v>
                </c:pt>
                <c:pt idx="212">
                  <c:v>314.39999999999998</c:v>
                </c:pt>
                <c:pt idx="213">
                  <c:v>314.39999999999998</c:v>
                </c:pt>
                <c:pt idx="214">
                  <c:v>314.39999999999998</c:v>
                </c:pt>
                <c:pt idx="215">
                  <c:v>314.39999999999998</c:v>
                </c:pt>
                <c:pt idx="216">
                  <c:v>314.5</c:v>
                </c:pt>
                <c:pt idx="217">
                  <c:v>314.5</c:v>
                </c:pt>
                <c:pt idx="218">
                  <c:v>314.5</c:v>
                </c:pt>
                <c:pt idx="219">
                  <c:v>314.5</c:v>
                </c:pt>
                <c:pt idx="220">
                  <c:v>314.5</c:v>
                </c:pt>
                <c:pt idx="221">
                  <c:v>314.5</c:v>
                </c:pt>
                <c:pt idx="222">
                  <c:v>314.5</c:v>
                </c:pt>
                <c:pt idx="223">
                  <c:v>314.5</c:v>
                </c:pt>
                <c:pt idx="224">
                  <c:v>314.5</c:v>
                </c:pt>
                <c:pt idx="225">
                  <c:v>314.5</c:v>
                </c:pt>
                <c:pt idx="226">
                  <c:v>314.5</c:v>
                </c:pt>
                <c:pt idx="227">
                  <c:v>314.5</c:v>
                </c:pt>
                <c:pt idx="228">
                  <c:v>314.5</c:v>
                </c:pt>
                <c:pt idx="229">
                  <c:v>314.5</c:v>
                </c:pt>
                <c:pt idx="230">
                  <c:v>314.5</c:v>
                </c:pt>
                <c:pt idx="231">
                  <c:v>314.5</c:v>
                </c:pt>
                <c:pt idx="232">
                  <c:v>314.5</c:v>
                </c:pt>
                <c:pt idx="233">
                  <c:v>314.5</c:v>
                </c:pt>
                <c:pt idx="234">
                  <c:v>314.5</c:v>
                </c:pt>
                <c:pt idx="235">
                  <c:v>314.5</c:v>
                </c:pt>
                <c:pt idx="236">
                  <c:v>314.5</c:v>
                </c:pt>
                <c:pt idx="237">
                  <c:v>314.5</c:v>
                </c:pt>
                <c:pt idx="238">
                  <c:v>314.5</c:v>
                </c:pt>
                <c:pt idx="239">
                  <c:v>314.5</c:v>
                </c:pt>
                <c:pt idx="240">
                  <c:v>314.5</c:v>
                </c:pt>
                <c:pt idx="241">
                  <c:v>314.5</c:v>
                </c:pt>
                <c:pt idx="242">
                  <c:v>314.5</c:v>
                </c:pt>
                <c:pt idx="243">
                  <c:v>314.5</c:v>
                </c:pt>
                <c:pt idx="244">
                  <c:v>314.5</c:v>
                </c:pt>
                <c:pt idx="245">
                  <c:v>314.8</c:v>
                </c:pt>
                <c:pt idx="246">
                  <c:v>315</c:v>
                </c:pt>
                <c:pt idx="247">
                  <c:v>315.10000000000002</c:v>
                </c:pt>
                <c:pt idx="248">
                  <c:v>315.39999999999998</c:v>
                </c:pt>
                <c:pt idx="249">
                  <c:v>315.5</c:v>
                </c:pt>
                <c:pt idx="250">
                  <c:v>316</c:v>
                </c:pt>
                <c:pt idx="251">
                  <c:v>316.39999999999998</c:v>
                </c:pt>
                <c:pt idx="252">
                  <c:v>316.39999999999998</c:v>
                </c:pt>
                <c:pt idx="253">
                  <c:v>316.39999999999998</c:v>
                </c:pt>
                <c:pt idx="254">
                  <c:v>316.39999999999998</c:v>
                </c:pt>
                <c:pt idx="255">
                  <c:v>316.39999999999998</c:v>
                </c:pt>
                <c:pt idx="256">
                  <c:v>316.7</c:v>
                </c:pt>
                <c:pt idx="257">
                  <c:v>317.3</c:v>
                </c:pt>
                <c:pt idx="258">
                  <c:v>318.3</c:v>
                </c:pt>
                <c:pt idx="259">
                  <c:v>318.8</c:v>
                </c:pt>
                <c:pt idx="260">
                  <c:v>319.7</c:v>
                </c:pt>
                <c:pt idx="261">
                  <c:v>320.10000000000002</c:v>
                </c:pt>
                <c:pt idx="262">
                  <c:v>321.10000000000002</c:v>
                </c:pt>
                <c:pt idx="263">
                  <c:v>321.89999999999998</c:v>
                </c:pt>
                <c:pt idx="264">
                  <c:v>322.60000000000002</c:v>
                </c:pt>
                <c:pt idx="265">
                  <c:v>323.10000000000002</c:v>
                </c:pt>
                <c:pt idx="266">
                  <c:v>323.10000000000002</c:v>
                </c:pt>
                <c:pt idx="267">
                  <c:v>323.10000000000002</c:v>
                </c:pt>
                <c:pt idx="268">
                  <c:v>323.10000000000002</c:v>
                </c:pt>
                <c:pt idx="269">
                  <c:v>323.10000000000002</c:v>
                </c:pt>
                <c:pt idx="270">
                  <c:v>323.10000000000002</c:v>
                </c:pt>
                <c:pt idx="271">
                  <c:v>323.10000000000002</c:v>
                </c:pt>
                <c:pt idx="272">
                  <c:v>324.7</c:v>
                </c:pt>
                <c:pt idx="273">
                  <c:v>325.2</c:v>
                </c:pt>
                <c:pt idx="274">
                  <c:v>326.39999999999998</c:v>
                </c:pt>
                <c:pt idx="275">
                  <c:v>327.2</c:v>
                </c:pt>
                <c:pt idx="276">
                  <c:v>327.2</c:v>
                </c:pt>
                <c:pt idx="277">
                  <c:v>327.2</c:v>
                </c:pt>
                <c:pt idx="278">
                  <c:v>327.2</c:v>
                </c:pt>
                <c:pt idx="279">
                  <c:v>327.2</c:v>
                </c:pt>
                <c:pt idx="280">
                  <c:v>327.2</c:v>
                </c:pt>
                <c:pt idx="281">
                  <c:v>327.2</c:v>
                </c:pt>
                <c:pt idx="282">
                  <c:v>327.2</c:v>
                </c:pt>
                <c:pt idx="283">
                  <c:v>327.2</c:v>
                </c:pt>
                <c:pt idx="284">
                  <c:v>327.2</c:v>
                </c:pt>
                <c:pt idx="285">
                  <c:v>327.3</c:v>
                </c:pt>
                <c:pt idx="286">
                  <c:v>327.39999999999998</c:v>
                </c:pt>
                <c:pt idx="287">
                  <c:v>327.39999999999998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03648"/>
        <c:axId val="42605184"/>
      </c:lineChart>
      <c:catAx>
        <c:axId val="42603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2605184"/>
        <c:crosses val="autoZero"/>
        <c:auto val="1"/>
        <c:lblAlgn val="ctr"/>
        <c:lblOffset val="100"/>
        <c:tickMarkSkip val="24"/>
        <c:noMultiLvlLbl val="0"/>
      </c:catAx>
      <c:valAx>
        <c:axId val="42605184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603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Nov-Dec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DataHr!$B$293:$B$1756</c:f>
              <c:numCache>
                <c:formatCode>General</c:formatCode>
                <c:ptCount val="1464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  <c:pt idx="24">
                  <c:v>306</c:v>
                </c:pt>
                <c:pt idx="25">
                  <c:v>306</c:v>
                </c:pt>
                <c:pt idx="26">
                  <c:v>306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306</c:v>
                </c:pt>
                <c:pt idx="35">
                  <c:v>306</c:v>
                </c:pt>
                <c:pt idx="36">
                  <c:v>306</c:v>
                </c:pt>
                <c:pt idx="37">
                  <c:v>306</c:v>
                </c:pt>
                <c:pt idx="38">
                  <c:v>306</c:v>
                </c:pt>
                <c:pt idx="39">
                  <c:v>306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307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308</c:v>
                </c:pt>
                <c:pt idx="73">
                  <c:v>308</c:v>
                </c:pt>
                <c:pt idx="74">
                  <c:v>308</c:v>
                </c:pt>
                <c:pt idx="75">
                  <c:v>308</c:v>
                </c:pt>
                <c:pt idx="76">
                  <c:v>308</c:v>
                </c:pt>
                <c:pt idx="77">
                  <c:v>308</c:v>
                </c:pt>
                <c:pt idx="78">
                  <c:v>308</c:v>
                </c:pt>
                <c:pt idx="79">
                  <c:v>308</c:v>
                </c:pt>
                <c:pt idx="80">
                  <c:v>308</c:v>
                </c:pt>
                <c:pt idx="81">
                  <c:v>308</c:v>
                </c:pt>
                <c:pt idx="82">
                  <c:v>308</c:v>
                </c:pt>
                <c:pt idx="83">
                  <c:v>308</c:v>
                </c:pt>
                <c:pt idx="84">
                  <c:v>308</c:v>
                </c:pt>
                <c:pt idx="85">
                  <c:v>308</c:v>
                </c:pt>
                <c:pt idx="86">
                  <c:v>308</c:v>
                </c:pt>
                <c:pt idx="87">
                  <c:v>308</c:v>
                </c:pt>
                <c:pt idx="88">
                  <c:v>308</c:v>
                </c:pt>
                <c:pt idx="89">
                  <c:v>308</c:v>
                </c:pt>
                <c:pt idx="90">
                  <c:v>308</c:v>
                </c:pt>
                <c:pt idx="91">
                  <c:v>308</c:v>
                </c:pt>
                <c:pt idx="92">
                  <c:v>308</c:v>
                </c:pt>
                <c:pt idx="93">
                  <c:v>308</c:v>
                </c:pt>
                <c:pt idx="94">
                  <c:v>308</c:v>
                </c:pt>
                <c:pt idx="95">
                  <c:v>308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309</c:v>
                </c:pt>
                <c:pt idx="100">
                  <c:v>309</c:v>
                </c:pt>
                <c:pt idx="101">
                  <c:v>309</c:v>
                </c:pt>
                <c:pt idx="102">
                  <c:v>309</c:v>
                </c:pt>
                <c:pt idx="103">
                  <c:v>309</c:v>
                </c:pt>
                <c:pt idx="104">
                  <c:v>309</c:v>
                </c:pt>
                <c:pt idx="105">
                  <c:v>309</c:v>
                </c:pt>
                <c:pt idx="106">
                  <c:v>309</c:v>
                </c:pt>
                <c:pt idx="107">
                  <c:v>309</c:v>
                </c:pt>
                <c:pt idx="108">
                  <c:v>309</c:v>
                </c:pt>
                <c:pt idx="109">
                  <c:v>309</c:v>
                </c:pt>
                <c:pt idx="110">
                  <c:v>309</c:v>
                </c:pt>
                <c:pt idx="111">
                  <c:v>309</c:v>
                </c:pt>
                <c:pt idx="112">
                  <c:v>309</c:v>
                </c:pt>
                <c:pt idx="113">
                  <c:v>309</c:v>
                </c:pt>
                <c:pt idx="114">
                  <c:v>309</c:v>
                </c:pt>
                <c:pt idx="115">
                  <c:v>309</c:v>
                </c:pt>
                <c:pt idx="116">
                  <c:v>309</c:v>
                </c:pt>
                <c:pt idx="117">
                  <c:v>309</c:v>
                </c:pt>
                <c:pt idx="118">
                  <c:v>309</c:v>
                </c:pt>
                <c:pt idx="119">
                  <c:v>309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311</c:v>
                </c:pt>
                <c:pt idx="145">
                  <c:v>311</c:v>
                </c:pt>
                <c:pt idx="146">
                  <c:v>311</c:v>
                </c:pt>
                <c:pt idx="147">
                  <c:v>311</c:v>
                </c:pt>
                <c:pt idx="148">
                  <c:v>311</c:v>
                </c:pt>
                <c:pt idx="149">
                  <c:v>311</c:v>
                </c:pt>
                <c:pt idx="150">
                  <c:v>311</c:v>
                </c:pt>
                <c:pt idx="151">
                  <c:v>311</c:v>
                </c:pt>
                <c:pt idx="152">
                  <c:v>311</c:v>
                </c:pt>
                <c:pt idx="153">
                  <c:v>311</c:v>
                </c:pt>
                <c:pt idx="154">
                  <c:v>311</c:v>
                </c:pt>
                <c:pt idx="155">
                  <c:v>311</c:v>
                </c:pt>
                <c:pt idx="156">
                  <c:v>311</c:v>
                </c:pt>
                <c:pt idx="157">
                  <c:v>311</c:v>
                </c:pt>
                <c:pt idx="158">
                  <c:v>311</c:v>
                </c:pt>
                <c:pt idx="159">
                  <c:v>311</c:v>
                </c:pt>
                <c:pt idx="160">
                  <c:v>311</c:v>
                </c:pt>
                <c:pt idx="161">
                  <c:v>311</c:v>
                </c:pt>
                <c:pt idx="162">
                  <c:v>311</c:v>
                </c:pt>
                <c:pt idx="163">
                  <c:v>311</c:v>
                </c:pt>
                <c:pt idx="164">
                  <c:v>311</c:v>
                </c:pt>
                <c:pt idx="165">
                  <c:v>311</c:v>
                </c:pt>
                <c:pt idx="166">
                  <c:v>311</c:v>
                </c:pt>
                <c:pt idx="167">
                  <c:v>311</c:v>
                </c:pt>
                <c:pt idx="168">
                  <c:v>312</c:v>
                </c:pt>
                <c:pt idx="169">
                  <c:v>312</c:v>
                </c:pt>
                <c:pt idx="170">
                  <c:v>312</c:v>
                </c:pt>
                <c:pt idx="171">
                  <c:v>312</c:v>
                </c:pt>
                <c:pt idx="172">
                  <c:v>312</c:v>
                </c:pt>
                <c:pt idx="173">
                  <c:v>312</c:v>
                </c:pt>
                <c:pt idx="174">
                  <c:v>312</c:v>
                </c:pt>
                <c:pt idx="175">
                  <c:v>312</c:v>
                </c:pt>
                <c:pt idx="176">
                  <c:v>312</c:v>
                </c:pt>
                <c:pt idx="177">
                  <c:v>312</c:v>
                </c:pt>
                <c:pt idx="178">
                  <c:v>312</c:v>
                </c:pt>
                <c:pt idx="179">
                  <c:v>312</c:v>
                </c:pt>
                <c:pt idx="180">
                  <c:v>312</c:v>
                </c:pt>
                <c:pt idx="181">
                  <c:v>312</c:v>
                </c:pt>
                <c:pt idx="182">
                  <c:v>312</c:v>
                </c:pt>
                <c:pt idx="183">
                  <c:v>312</c:v>
                </c:pt>
                <c:pt idx="184">
                  <c:v>312</c:v>
                </c:pt>
                <c:pt idx="185">
                  <c:v>312</c:v>
                </c:pt>
                <c:pt idx="186">
                  <c:v>312</c:v>
                </c:pt>
                <c:pt idx="187">
                  <c:v>312</c:v>
                </c:pt>
                <c:pt idx="188">
                  <c:v>312</c:v>
                </c:pt>
                <c:pt idx="189">
                  <c:v>312</c:v>
                </c:pt>
                <c:pt idx="190">
                  <c:v>312</c:v>
                </c:pt>
                <c:pt idx="191">
                  <c:v>312</c:v>
                </c:pt>
                <c:pt idx="192">
                  <c:v>313</c:v>
                </c:pt>
                <c:pt idx="193">
                  <c:v>313</c:v>
                </c:pt>
                <c:pt idx="194">
                  <c:v>313</c:v>
                </c:pt>
                <c:pt idx="195">
                  <c:v>313</c:v>
                </c:pt>
                <c:pt idx="196">
                  <c:v>313</c:v>
                </c:pt>
                <c:pt idx="197">
                  <c:v>313</c:v>
                </c:pt>
                <c:pt idx="198">
                  <c:v>313</c:v>
                </c:pt>
                <c:pt idx="199">
                  <c:v>313</c:v>
                </c:pt>
                <c:pt idx="200">
                  <c:v>313</c:v>
                </c:pt>
                <c:pt idx="201">
                  <c:v>313</c:v>
                </c:pt>
                <c:pt idx="202">
                  <c:v>313</c:v>
                </c:pt>
                <c:pt idx="203">
                  <c:v>313</c:v>
                </c:pt>
                <c:pt idx="204">
                  <c:v>313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313</c:v>
                </c:pt>
                <c:pt idx="216">
                  <c:v>314</c:v>
                </c:pt>
                <c:pt idx="217">
                  <c:v>314</c:v>
                </c:pt>
                <c:pt idx="218">
                  <c:v>314</c:v>
                </c:pt>
                <c:pt idx="219">
                  <c:v>314</c:v>
                </c:pt>
                <c:pt idx="220">
                  <c:v>314</c:v>
                </c:pt>
                <c:pt idx="221">
                  <c:v>314</c:v>
                </c:pt>
                <c:pt idx="222">
                  <c:v>314</c:v>
                </c:pt>
                <c:pt idx="223">
                  <c:v>314</c:v>
                </c:pt>
                <c:pt idx="224">
                  <c:v>314</c:v>
                </c:pt>
                <c:pt idx="225">
                  <c:v>314</c:v>
                </c:pt>
                <c:pt idx="226">
                  <c:v>314</c:v>
                </c:pt>
                <c:pt idx="227">
                  <c:v>314</c:v>
                </c:pt>
                <c:pt idx="228">
                  <c:v>314</c:v>
                </c:pt>
                <c:pt idx="229">
                  <c:v>314</c:v>
                </c:pt>
                <c:pt idx="230">
                  <c:v>314</c:v>
                </c:pt>
                <c:pt idx="231">
                  <c:v>314</c:v>
                </c:pt>
                <c:pt idx="232">
                  <c:v>314</c:v>
                </c:pt>
                <c:pt idx="233">
                  <c:v>314</c:v>
                </c:pt>
                <c:pt idx="234">
                  <c:v>314</c:v>
                </c:pt>
                <c:pt idx="235">
                  <c:v>314</c:v>
                </c:pt>
                <c:pt idx="236">
                  <c:v>314</c:v>
                </c:pt>
                <c:pt idx="237">
                  <c:v>314</c:v>
                </c:pt>
                <c:pt idx="238">
                  <c:v>314</c:v>
                </c:pt>
                <c:pt idx="239">
                  <c:v>314</c:v>
                </c:pt>
                <c:pt idx="240">
                  <c:v>315</c:v>
                </c:pt>
                <c:pt idx="241">
                  <c:v>315</c:v>
                </c:pt>
                <c:pt idx="242">
                  <c:v>315</c:v>
                </c:pt>
                <c:pt idx="243">
                  <c:v>315</c:v>
                </c:pt>
                <c:pt idx="244">
                  <c:v>315</c:v>
                </c:pt>
                <c:pt idx="245">
                  <c:v>315</c:v>
                </c:pt>
                <c:pt idx="246">
                  <c:v>315</c:v>
                </c:pt>
                <c:pt idx="247">
                  <c:v>315</c:v>
                </c:pt>
                <c:pt idx="248">
                  <c:v>315</c:v>
                </c:pt>
                <c:pt idx="249">
                  <c:v>315</c:v>
                </c:pt>
                <c:pt idx="250">
                  <c:v>315</c:v>
                </c:pt>
                <c:pt idx="251">
                  <c:v>315</c:v>
                </c:pt>
                <c:pt idx="252">
                  <c:v>315</c:v>
                </c:pt>
                <c:pt idx="253">
                  <c:v>315</c:v>
                </c:pt>
                <c:pt idx="254">
                  <c:v>315</c:v>
                </c:pt>
                <c:pt idx="255">
                  <c:v>315</c:v>
                </c:pt>
                <c:pt idx="256">
                  <c:v>315</c:v>
                </c:pt>
                <c:pt idx="257">
                  <c:v>315</c:v>
                </c:pt>
                <c:pt idx="258">
                  <c:v>315</c:v>
                </c:pt>
                <c:pt idx="259">
                  <c:v>315</c:v>
                </c:pt>
                <c:pt idx="260">
                  <c:v>315</c:v>
                </c:pt>
                <c:pt idx="261">
                  <c:v>315</c:v>
                </c:pt>
                <c:pt idx="262">
                  <c:v>315</c:v>
                </c:pt>
                <c:pt idx="263">
                  <c:v>315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316</c:v>
                </c:pt>
                <c:pt idx="269">
                  <c:v>316</c:v>
                </c:pt>
                <c:pt idx="270">
                  <c:v>316</c:v>
                </c:pt>
                <c:pt idx="271">
                  <c:v>316</c:v>
                </c:pt>
                <c:pt idx="272">
                  <c:v>316</c:v>
                </c:pt>
                <c:pt idx="273">
                  <c:v>316</c:v>
                </c:pt>
                <c:pt idx="274">
                  <c:v>316</c:v>
                </c:pt>
                <c:pt idx="275">
                  <c:v>316</c:v>
                </c:pt>
                <c:pt idx="276">
                  <c:v>316</c:v>
                </c:pt>
                <c:pt idx="277">
                  <c:v>316</c:v>
                </c:pt>
                <c:pt idx="278">
                  <c:v>316</c:v>
                </c:pt>
                <c:pt idx="279">
                  <c:v>316</c:v>
                </c:pt>
                <c:pt idx="280">
                  <c:v>316</c:v>
                </c:pt>
                <c:pt idx="281">
                  <c:v>316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318</c:v>
                </c:pt>
                <c:pt idx="313">
                  <c:v>318</c:v>
                </c:pt>
                <c:pt idx="314">
                  <c:v>318</c:v>
                </c:pt>
                <c:pt idx="315">
                  <c:v>318</c:v>
                </c:pt>
                <c:pt idx="316">
                  <c:v>318</c:v>
                </c:pt>
                <c:pt idx="317">
                  <c:v>318</c:v>
                </c:pt>
                <c:pt idx="318">
                  <c:v>318</c:v>
                </c:pt>
                <c:pt idx="319">
                  <c:v>318</c:v>
                </c:pt>
                <c:pt idx="320">
                  <c:v>318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318</c:v>
                </c:pt>
                <c:pt idx="329">
                  <c:v>318</c:v>
                </c:pt>
                <c:pt idx="330">
                  <c:v>318</c:v>
                </c:pt>
                <c:pt idx="331">
                  <c:v>318</c:v>
                </c:pt>
                <c:pt idx="332">
                  <c:v>318</c:v>
                </c:pt>
                <c:pt idx="333">
                  <c:v>318</c:v>
                </c:pt>
                <c:pt idx="334">
                  <c:v>318</c:v>
                </c:pt>
                <c:pt idx="335">
                  <c:v>318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319</c:v>
                </c:pt>
                <c:pt idx="340">
                  <c:v>319</c:v>
                </c:pt>
                <c:pt idx="341">
                  <c:v>319</c:v>
                </c:pt>
                <c:pt idx="342">
                  <c:v>319</c:v>
                </c:pt>
                <c:pt idx="343">
                  <c:v>319</c:v>
                </c:pt>
                <c:pt idx="344">
                  <c:v>319</c:v>
                </c:pt>
                <c:pt idx="345">
                  <c:v>319</c:v>
                </c:pt>
                <c:pt idx="346">
                  <c:v>319</c:v>
                </c:pt>
                <c:pt idx="347">
                  <c:v>319</c:v>
                </c:pt>
                <c:pt idx="348">
                  <c:v>319</c:v>
                </c:pt>
                <c:pt idx="349">
                  <c:v>319</c:v>
                </c:pt>
                <c:pt idx="350">
                  <c:v>319</c:v>
                </c:pt>
                <c:pt idx="351">
                  <c:v>319</c:v>
                </c:pt>
                <c:pt idx="352">
                  <c:v>319</c:v>
                </c:pt>
                <c:pt idx="353">
                  <c:v>319</c:v>
                </c:pt>
                <c:pt idx="354">
                  <c:v>319</c:v>
                </c:pt>
                <c:pt idx="355">
                  <c:v>319</c:v>
                </c:pt>
                <c:pt idx="356">
                  <c:v>319</c:v>
                </c:pt>
                <c:pt idx="357">
                  <c:v>319</c:v>
                </c:pt>
                <c:pt idx="358">
                  <c:v>319</c:v>
                </c:pt>
                <c:pt idx="359">
                  <c:v>319</c:v>
                </c:pt>
                <c:pt idx="360">
                  <c:v>320</c:v>
                </c:pt>
                <c:pt idx="361">
                  <c:v>320</c:v>
                </c:pt>
                <c:pt idx="362">
                  <c:v>320</c:v>
                </c:pt>
                <c:pt idx="363">
                  <c:v>320</c:v>
                </c:pt>
                <c:pt idx="364">
                  <c:v>320</c:v>
                </c:pt>
                <c:pt idx="365">
                  <c:v>320</c:v>
                </c:pt>
                <c:pt idx="366">
                  <c:v>320</c:v>
                </c:pt>
                <c:pt idx="367">
                  <c:v>320</c:v>
                </c:pt>
                <c:pt idx="368">
                  <c:v>320</c:v>
                </c:pt>
                <c:pt idx="369">
                  <c:v>320</c:v>
                </c:pt>
                <c:pt idx="370">
                  <c:v>320</c:v>
                </c:pt>
                <c:pt idx="371">
                  <c:v>320</c:v>
                </c:pt>
                <c:pt idx="372">
                  <c:v>320</c:v>
                </c:pt>
                <c:pt idx="373">
                  <c:v>320</c:v>
                </c:pt>
                <c:pt idx="374">
                  <c:v>320</c:v>
                </c:pt>
                <c:pt idx="375">
                  <c:v>320</c:v>
                </c:pt>
                <c:pt idx="376">
                  <c:v>320</c:v>
                </c:pt>
                <c:pt idx="377">
                  <c:v>320</c:v>
                </c:pt>
                <c:pt idx="378">
                  <c:v>320</c:v>
                </c:pt>
                <c:pt idx="379">
                  <c:v>320</c:v>
                </c:pt>
                <c:pt idx="380">
                  <c:v>320</c:v>
                </c:pt>
                <c:pt idx="381">
                  <c:v>320</c:v>
                </c:pt>
                <c:pt idx="382">
                  <c:v>320</c:v>
                </c:pt>
                <c:pt idx="383">
                  <c:v>320</c:v>
                </c:pt>
                <c:pt idx="384">
                  <c:v>321</c:v>
                </c:pt>
                <c:pt idx="385">
                  <c:v>321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321</c:v>
                </c:pt>
                <c:pt idx="391">
                  <c:v>321</c:v>
                </c:pt>
                <c:pt idx="392">
                  <c:v>321</c:v>
                </c:pt>
                <c:pt idx="393">
                  <c:v>321</c:v>
                </c:pt>
                <c:pt idx="394">
                  <c:v>321</c:v>
                </c:pt>
                <c:pt idx="395">
                  <c:v>321</c:v>
                </c:pt>
                <c:pt idx="396">
                  <c:v>321</c:v>
                </c:pt>
                <c:pt idx="397">
                  <c:v>321</c:v>
                </c:pt>
                <c:pt idx="398">
                  <c:v>321</c:v>
                </c:pt>
                <c:pt idx="399">
                  <c:v>321</c:v>
                </c:pt>
                <c:pt idx="400">
                  <c:v>321</c:v>
                </c:pt>
                <c:pt idx="401">
                  <c:v>321</c:v>
                </c:pt>
                <c:pt idx="402">
                  <c:v>321</c:v>
                </c:pt>
                <c:pt idx="403">
                  <c:v>321</c:v>
                </c:pt>
                <c:pt idx="404">
                  <c:v>321</c:v>
                </c:pt>
                <c:pt idx="405">
                  <c:v>321</c:v>
                </c:pt>
                <c:pt idx="406">
                  <c:v>321</c:v>
                </c:pt>
                <c:pt idx="407">
                  <c:v>321</c:v>
                </c:pt>
                <c:pt idx="408">
                  <c:v>322</c:v>
                </c:pt>
                <c:pt idx="409">
                  <c:v>322</c:v>
                </c:pt>
                <c:pt idx="410">
                  <c:v>322</c:v>
                </c:pt>
                <c:pt idx="411">
                  <c:v>322</c:v>
                </c:pt>
                <c:pt idx="412">
                  <c:v>322</c:v>
                </c:pt>
                <c:pt idx="413">
                  <c:v>322</c:v>
                </c:pt>
                <c:pt idx="414">
                  <c:v>322</c:v>
                </c:pt>
                <c:pt idx="415">
                  <c:v>322</c:v>
                </c:pt>
                <c:pt idx="416">
                  <c:v>322</c:v>
                </c:pt>
                <c:pt idx="417">
                  <c:v>322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322</c:v>
                </c:pt>
                <c:pt idx="425">
                  <c:v>322</c:v>
                </c:pt>
                <c:pt idx="426">
                  <c:v>322</c:v>
                </c:pt>
                <c:pt idx="427">
                  <c:v>322</c:v>
                </c:pt>
                <c:pt idx="428">
                  <c:v>322</c:v>
                </c:pt>
                <c:pt idx="429">
                  <c:v>322</c:v>
                </c:pt>
                <c:pt idx="430">
                  <c:v>322</c:v>
                </c:pt>
                <c:pt idx="431">
                  <c:v>322</c:v>
                </c:pt>
                <c:pt idx="432">
                  <c:v>323</c:v>
                </c:pt>
                <c:pt idx="433">
                  <c:v>323</c:v>
                </c:pt>
                <c:pt idx="434">
                  <c:v>323</c:v>
                </c:pt>
                <c:pt idx="435">
                  <c:v>323</c:v>
                </c:pt>
                <c:pt idx="436">
                  <c:v>323</c:v>
                </c:pt>
                <c:pt idx="437">
                  <c:v>323</c:v>
                </c:pt>
                <c:pt idx="438">
                  <c:v>323</c:v>
                </c:pt>
                <c:pt idx="439">
                  <c:v>323</c:v>
                </c:pt>
                <c:pt idx="440">
                  <c:v>323</c:v>
                </c:pt>
                <c:pt idx="441">
                  <c:v>323</c:v>
                </c:pt>
                <c:pt idx="442">
                  <c:v>323</c:v>
                </c:pt>
                <c:pt idx="443">
                  <c:v>323</c:v>
                </c:pt>
                <c:pt idx="444">
                  <c:v>323</c:v>
                </c:pt>
                <c:pt idx="445">
                  <c:v>323</c:v>
                </c:pt>
                <c:pt idx="446">
                  <c:v>323</c:v>
                </c:pt>
                <c:pt idx="447">
                  <c:v>323</c:v>
                </c:pt>
                <c:pt idx="448">
                  <c:v>323</c:v>
                </c:pt>
                <c:pt idx="449">
                  <c:v>323</c:v>
                </c:pt>
                <c:pt idx="450">
                  <c:v>323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324</c:v>
                </c:pt>
                <c:pt idx="457">
                  <c:v>324</c:v>
                </c:pt>
                <c:pt idx="458">
                  <c:v>324</c:v>
                </c:pt>
                <c:pt idx="459">
                  <c:v>324</c:v>
                </c:pt>
                <c:pt idx="460">
                  <c:v>324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324</c:v>
                </c:pt>
                <c:pt idx="465">
                  <c:v>324</c:v>
                </c:pt>
                <c:pt idx="466">
                  <c:v>324</c:v>
                </c:pt>
                <c:pt idx="467">
                  <c:v>324</c:v>
                </c:pt>
                <c:pt idx="468">
                  <c:v>324</c:v>
                </c:pt>
                <c:pt idx="469">
                  <c:v>324</c:v>
                </c:pt>
                <c:pt idx="470">
                  <c:v>324</c:v>
                </c:pt>
                <c:pt idx="471">
                  <c:v>324</c:v>
                </c:pt>
                <c:pt idx="472">
                  <c:v>324</c:v>
                </c:pt>
                <c:pt idx="473">
                  <c:v>324</c:v>
                </c:pt>
                <c:pt idx="474">
                  <c:v>324</c:v>
                </c:pt>
                <c:pt idx="475">
                  <c:v>324</c:v>
                </c:pt>
                <c:pt idx="476">
                  <c:v>324</c:v>
                </c:pt>
                <c:pt idx="477">
                  <c:v>324</c:v>
                </c:pt>
                <c:pt idx="478">
                  <c:v>324</c:v>
                </c:pt>
                <c:pt idx="479">
                  <c:v>324</c:v>
                </c:pt>
                <c:pt idx="480">
                  <c:v>325</c:v>
                </c:pt>
                <c:pt idx="481">
                  <c:v>325</c:v>
                </c:pt>
                <c:pt idx="482">
                  <c:v>325</c:v>
                </c:pt>
                <c:pt idx="483">
                  <c:v>325</c:v>
                </c:pt>
                <c:pt idx="484">
                  <c:v>325</c:v>
                </c:pt>
                <c:pt idx="485">
                  <c:v>325</c:v>
                </c:pt>
                <c:pt idx="486">
                  <c:v>325</c:v>
                </c:pt>
                <c:pt idx="487">
                  <c:v>325</c:v>
                </c:pt>
                <c:pt idx="488">
                  <c:v>325</c:v>
                </c:pt>
                <c:pt idx="489">
                  <c:v>325</c:v>
                </c:pt>
                <c:pt idx="490">
                  <c:v>325</c:v>
                </c:pt>
                <c:pt idx="491">
                  <c:v>325</c:v>
                </c:pt>
                <c:pt idx="492">
                  <c:v>325</c:v>
                </c:pt>
                <c:pt idx="493">
                  <c:v>325</c:v>
                </c:pt>
                <c:pt idx="494">
                  <c:v>325</c:v>
                </c:pt>
                <c:pt idx="495">
                  <c:v>325</c:v>
                </c:pt>
                <c:pt idx="496">
                  <c:v>325</c:v>
                </c:pt>
                <c:pt idx="497">
                  <c:v>325</c:v>
                </c:pt>
                <c:pt idx="498">
                  <c:v>325</c:v>
                </c:pt>
                <c:pt idx="499">
                  <c:v>325</c:v>
                </c:pt>
                <c:pt idx="500">
                  <c:v>325</c:v>
                </c:pt>
                <c:pt idx="501">
                  <c:v>325</c:v>
                </c:pt>
                <c:pt idx="502">
                  <c:v>325</c:v>
                </c:pt>
                <c:pt idx="503">
                  <c:v>325</c:v>
                </c:pt>
                <c:pt idx="504">
                  <c:v>326</c:v>
                </c:pt>
                <c:pt idx="505">
                  <c:v>326</c:v>
                </c:pt>
                <c:pt idx="506">
                  <c:v>326</c:v>
                </c:pt>
                <c:pt idx="507">
                  <c:v>326</c:v>
                </c:pt>
                <c:pt idx="508">
                  <c:v>326</c:v>
                </c:pt>
                <c:pt idx="509">
                  <c:v>326</c:v>
                </c:pt>
                <c:pt idx="510">
                  <c:v>326</c:v>
                </c:pt>
                <c:pt idx="511">
                  <c:v>326</c:v>
                </c:pt>
                <c:pt idx="512">
                  <c:v>326</c:v>
                </c:pt>
                <c:pt idx="513">
                  <c:v>326</c:v>
                </c:pt>
                <c:pt idx="514">
                  <c:v>326</c:v>
                </c:pt>
                <c:pt idx="515">
                  <c:v>326</c:v>
                </c:pt>
                <c:pt idx="516">
                  <c:v>326</c:v>
                </c:pt>
                <c:pt idx="517">
                  <c:v>326</c:v>
                </c:pt>
                <c:pt idx="518">
                  <c:v>326</c:v>
                </c:pt>
                <c:pt idx="519">
                  <c:v>326</c:v>
                </c:pt>
                <c:pt idx="520">
                  <c:v>326</c:v>
                </c:pt>
                <c:pt idx="521">
                  <c:v>326</c:v>
                </c:pt>
                <c:pt idx="522">
                  <c:v>326</c:v>
                </c:pt>
                <c:pt idx="523">
                  <c:v>326</c:v>
                </c:pt>
                <c:pt idx="524">
                  <c:v>326</c:v>
                </c:pt>
                <c:pt idx="525">
                  <c:v>326</c:v>
                </c:pt>
                <c:pt idx="526">
                  <c:v>326</c:v>
                </c:pt>
                <c:pt idx="527">
                  <c:v>326</c:v>
                </c:pt>
                <c:pt idx="528">
                  <c:v>327</c:v>
                </c:pt>
                <c:pt idx="529">
                  <c:v>327</c:v>
                </c:pt>
                <c:pt idx="530">
                  <c:v>327</c:v>
                </c:pt>
                <c:pt idx="531">
                  <c:v>327</c:v>
                </c:pt>
                <c:pt idx="532">
                  <c:v>327</c:v>
                </c:pt>
                <c:pt idx="533">
                  <c:v>327</c:v>
                </c:pt>
                <c:pt idx="534">
                  <c:v>327</c:v>
                </c:pt>
                <c:pt idx="535">
                  <c:v>327</c:v>
                </c:pt>
                <c:pt idx="536">
                  <c:v>327</c:v>
                </c:pt>
                <c:pt idx="537">
                  <c:v>327</c:v>
                </c:pt>
                <c:pt idx="538">
                  <c:v>327</c:v>
                </c:pt>
                <c:pt idx="539">
                  <c:v>327</c:v>
                </c:pt>
                <c:pt idx="540">
                  <c:v>327</c:v>
                </c:pt>
                <c:pt idx="541">
                  <c:v>327</c:v>
                </c:pt>
                <c:pt idx="542">
                  <c:v>327</c:v>
                </c:pt>
                <c:pt idx="543">
                  <c:v>327</c:v>
                </c:pt>
                <c:pt idx="544">
                  <c:v>327</c:v>
                </c:pt>
                <c:pt idx="545">
                  <c:v>327</c:v>
                </c:pt>
                <c:pt idx="546">
                  <c:v>327</c:v>
                </c:pt>
                <c:pt idx="547">
                  <c:v>327</c:v>
                </c:pt>
                <c:pt idx="548">
                  <c:v>327</c:v>
                </c:pt>
                <c:pt idx="549">
                  <c:v>327</c:v>
                </c:pt>
                <c:pt idx="550">
                  <c:v>327</c:v>
                </c:pt>
                <c:pt idx="551">
                  <c:v>327</c:v>
                </c:pt>
                <c:pt idx="552">
                  <c:v>328</c:v>
                </c:pt>
                <c:pt idx="553">
                  <c:v>328</c:v>
                </c:pt>
                <c:pt idx="554">
                  <c:v>328</c:v>
                </c:pt>
                <c:pt idx="555">
                  <c:v>328</c:v>
                </c:pt>
                <c:pt idx="556">
                  <c:v>328</c:v>
                </c:pt>
                <c:pt idx="557">
                  <c:v>328</c:v>
                </c:pt>
                <c:pt idx="558">
                  <c:v>328</c:v>
                </c:pt>
                <c:pt idx="559">
                  <c:v>328</c:v>
                </c:pt>
                <c:pt idx="560">
                  <c:v>328</c:v>
                </c:pt>
                <c:pt idx="561">
                  <c:v>328</c:v>
                </c:pt>
                <c:pt idx="562">
                  <c:v>328</c:v>
                </c:pt>
                <c:pt idx="563">
                  <c:v>328</c:v>
                </c:pt>
                <c:pt idx="564">
                  <c:v>328</c:v>
                </c:pt>
                <c:pt idx="565">
                  <c:v>328</c:v>
                </c:pt>
                <c:pt idx="566">
                  <c:v>328</c:v>
                </c:pt>
                <c:pt idx="567">
                  <c:v>328</c:v>
                </c:pt>
                <c:pt idx="568">
                  <c:v>328</c:v>
                </c:pt>
                <c:pt idx="569">
                  <c:v>328</c:v>
                </c:pt>
                <c:pt idx="570">
                  <c:v>328</c:v>
                </c:pt>
                <c:pt idx="571">
                  <c:v>328</c:v>
                </c:pt>
                <c:pt idx="572">
                  <c:v>328</c:v>
                </c:pt>
                <c:pt idx="573">
                  <c:v>328</c:v>
                </c:pt>
                <c:pt idx="574">
                  <c:v>328</c:v>
                </c:pt>
                <c:pt idx="575">
                  <c:v>328</c:v>
                </c:pt>
                <c:pt idx="576">
                  <c:v>329</c:v>
                </c:pt>
                <c:pt idx="577">
                  <c:v>329</c:v>
                </c:pt>
                <c:pt idx="578">
                  <c:v>329</c:v>
                </c:pt>
                <c:pt idx="579">
                  <c:v>329</c:v>
                </c:pt>
                <c:pt idx="580">
                  <c:v>329</c:v>
                </c:pt>
                <c:pt idx="581">
                  <c:v>329</c:v>
                </c:pt>
                <c:pt idx="582">
                  <c:v>329</c:v>
                </c:pt>
                <c:pt idx="583">
                  <c:v>329</c:v>
                </c:pt>
                <c:pt idx="584">
                  <c:v>329</c:v>
                </c:pt>
                <c:pt idx="585">
                  <c:v>329</c:v>
                </c:pt>
                <c:pt idx="586">
                  <c:v>329</c:v>
                </c:pt>
                <c:pt idx="587">
                  <c:v>329</c:v>
                </c:pt>
                <c:pt idx="588">
                  <c:v>329</c:v>
                </c:pt>
                <c:pt idx="589">
                  <c:v>329</c:v>
                </c:pt>
                <c:pt idx="590">
                  <c:v>329</c:v>
                </c:pt>
                <c:pt idx="591">
                  <c:v>329</c:v>
                </c:pt>
                <c:pt idx="592">
                  <c:v>329</c:v>
                </c:pt>
                <c:pt idx="593">
                  <c:v>329</c:v>
                </c:pt>
                <c:pt idx="594">
                  <c:v>329</c:v>
                </c:pt>
                <c:pt idx="595">
                  <c:v>329</c:v>
                </c:pt>
                <c:pt idx="596">
                  <c:v>329</c:v>
                </c:pt>
                <c:pt idx="597">
                  <c:v>329</c:v>
                </c:pt>
                <c:pt idx="598">
                  <c:v>329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330</c:v>
                </c:pt>
                <c:pt idx="603">
                  <c:v>330</c:v>
                </c:pt>
                <c:pt idx="604">
                  <c:v>330</c:v>
                </c:pt>
                <c:pt idx="605">
                  <c:v>330</c:v>
                </c:pt>
                <c:pt idx="606">
                  <c:v>330</c:v>
                </c:pt>
                <c:pt idx="607">
                  <c:v>330</c:v>
                </c:pt>
                <c:pt idx="608">
                  <c:v>330</c:v>
                </c:pt>
                <c:pt idx="609">
                  <c:v>330</c:v>
                </c:pt>
                <c:pt idx="610">
                  <c:v>330</c:v>
                </c:pt>
                <c:pt idx="611">
                  <c:v>330</c:v>
                </c:pt>
                <c:pt idx="612">
                  <c:v>330</c:v>
                </c:pt>
                <c:pt idx="613">
                  <c:v>330</c:v>
                </c:pt>
                <c:pt idx="614">
                  <c:v>330</c:v>
                </c:pt>
                <c:pt idx="615">
                  <c:v>330</c:v>
                </c:pt>
                <c:pt idx="616">
                  <c:v>330</c:v>
                </c:pt>
                <c:pt idx="617">
                  <c:v>330</c:v>
                </c:pt>
                <c:pt idx="618">
                  <c:v>330</c:v>
                </c:pt>
                <c:pt idx="619">
                  <c:v>330</c:v>
                </c:pt>
                <c:pt idx="620">
                  <c:v>330</c:v>
                </c:pt>
                <c:pt idx="621">
                  <c:v>330</c:v>
                </c:pt>
                <c:pt idx="622">
                  <c:v>330</c:v>
                </c:pt>
                <c:pt idx="623">
                  <c:v>330</c:v>
                </c:pt>
                <c:pt idx="624">
                  <c:v>331</c:v>
                </c:pt>
                <c:pt idx="625">
                  <c:v>331</c:v>
                </c:pt>
                <c:pt idx="626">
                  <c:v>331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331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331</c:v>
                </c:pt>
                <c:pt idx="641">
                  <c:v>331</c:v>
                </c:pt>
                <c:pt idx="642">
                  <c:v>331</c:v>
                </c:pt>
                <c:pt idx="643">
                  <c:v>331</c:v>
                </c:pt>
                <c:pt idx="644">
                  <c:v>331</c:v>
                </c:pt>
                <c:pt idx="645">
                  <c:v>331</c:v>
                </c:pt>
                <c:pt idx="646">
                  <c:v>331</c:v>
                </c:pt>
                <c:pt idx="647">
                  <c:v>331</c:v>
                </c:pt>
                <c:pt idx="648">
                  <c:v>332</c:v>
                </c:pt>
                <c:pt idx="649">
                  <c:v>332</c:v>
                </c:pt>
                <c:pt idx="650">
                  <c:v>332</c:v>
                </c:pt>
                <c:pt idx="651">
                  <c:v>332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332</c:v>
                </c:pt>
                <c:pt idx="657">
                  <c:v>332</c:v>
                </c:pt>
                <c:pt idx="658">
                  <c:v>332</c:v>
                </c:pt>
                <c:pt idx="659">
                  <c:v>332</c:v>
                </c:pt>
                <c:pt idx="660">
                  <c:v>332</c:v>
                </c:pt>
                <c:pt idx="661">
                  <c:v>332</c:v>
                </c:pt>
                <c:pt idx="662">
                  <c:v>332</c:v>
                </c:pt>
                <c:pt idx="663">
                  <c:v>332</c:v>
                </c:pt>
                <c:pt idx="664">
                  <c:v>332</c:v>
                </c:pt>
                <c:pt idx="665">
                  <c:v>332</c:v>
                </c:pt>
                <c:pt idx="666">
                  <c:v>332</c:v>
                </c:pt>
                <c:pt idx="667">
                  <c:v>332</c:v>
                </c:pt>
                <c:pt idx="668">
                  <c:v>332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333</c:v>
                </c:pt>
                <c:pt idx="673">
                  <c:v>333</c:v>
                </c:pt>
                <c:pt idx="674">
                  <c:v>333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333</c:v>
                </c:pt>
                <c:pt idx="689">
                  <c:v>333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334</c:v>
                </c:pt>
                <c:pt idx="697">
                  <c:v>334</c:v>
                </c:pt>
                <c:pt idx="698">
                  <c:v>334</c:v>
                </c:pt>
                <c:pt idx="699">
                  <c:v>334</c:v>
                </c:pt>
                <c:pt idx="700">
                  <c:v>334</c:v>
                </c:pt>
                <c:pt idx="701">
                  <c:v>334</c:v>
                </c:pt>
                <c:pt idx="702">
                  <c:v>334</c:v>
                </c:pt>
                <c:pt idx="703">
                  <c:v>334</c:v>
                </c:pt>
                <c:pt idx="704">
                  <c:v>334</c:v>
                </c:pt>
                <c:pt idx="705">
                  <c:v>334</c:v>
                </c:pt>
                <c:pt idx="706">
                  <c:v>334</c:v>
                </c:pt>
                <c:pt idx="707">
                  <c:v>334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334</c:v>
                </c:pt>
                <c:pt idx="712">
                  <c:v>334</c:v>
                </c:pt>
                <c:pt idx="713">
                  <c:v>334</c:v>
                </c:pt>
                <c:pt idx="714">
                  <c:v>334</c:v>
                </c:pt>
                <c:pt idx="715">
                  <c:v>334</c:v>
                </c:pt>
                <c:pt idx="716">
                  <c:v>334</c:v>
                </c:pt>
                <c:pt idx="717">
                  <c:v>334</c:v>
                </c:pt>
                <c:pt idx="718">
                  <c:v>334</c:v>
                </c:pt>
                <c:pt idx="719">
                  <c:v>334</c:v>
                </c:pt>
                <c:pt idx="720">
                  <c:v>335</c:v>
                </c:pt>
                <c:pt idx="721">
                  <c:v>335</c:v>
                </c:pt>
                <c:pt idx="722">
                  <c:v>335</c:v>
                </c:pt>
                <c:pt idx="723">
                  <c:v>335</c:v>
                </c:pt>
                <c:pt idx="724">
                  <c:v>335</c:v>
                </c:pt>
                <c:pt idx="725">
                  <c:v>335</c:v>
                </c:pt>
                <c:pt idx="726">
                  <c:v>335</c:v>
                </c:pt>
                <c:pt idx="727">
                  <c:v>335</c:v>
                </c:pt>
                <c:pt idx="728">
                  <c:v>335</c:v>
                </c:pt>
                <c:pt idx="729">
                  <c:v>335</c:v>
                </c:pt>
                <c:pt idx="730">
                  <c:v>335</c:v>
                </c:pt>
                <c:pt idx="731">
                  <c:v>335</c:v>
                </c:pt>
                <c:pt idx="732">
                  <c:v>335</c:v>
                </c:pt>
                <c:pt idx="733">
                  <c:v>335</c:v>
                </c:pt>
                <c:pt idx="734">
                  <c:v>335</c:v>
                </c:pt>
                <c:pt idx="735">
                  <c:v>335</c:v>
                </c:pt>
                <c:pt idx="736">
                  <c:v>335</c:v>
                </c:pt>
                <c:pt idx="737">
                  <c:v>335</c:v>
                </c:pt>
                <c:pt idx="738">
                  <c:v>335</c:v>
                </c:pt>
                <c:pt idx="739">
                  <c:v>335</c:v>
                </c:pt>
                <c:pt idx="740">
                  <c:v>335</c:v>
                </c:pt>
                <c:pt idx="741">
                  <c:v>335</c:v>
                </c:pt>
                <c:pt idx="742">
                  <c:v>335</c:v>
                </c:pt>
                <c:pt idx="743">
                  <c:v>335</c:v>
                </c:pt>
                <c:pt idx="744">
                  <c:v>336</c:v>
                </c:pt>
                <c:pt idx="745">
                  <c:v>336</c:v>
                </c:pt>
                <c:pt idx="746">
                  <c:v>336</c:v>
                </c:pt>
                <c:pt idx="747">
                  <c:v>336</c:v>
                </c:pt>
                <c:pt idx="748">
                  <c:v>336</c:v>
                </c:pt>
                <c:pt idx="749">
                  <c:v>336</c:v>
                </c:pt>
                <c:pt idx="750">
                  <c:v>336</c:v>
                </c:pt>
                <c:pt idx="751">
                  <c:v>336</c:v>
                </c:pt>
                <c:pt idx="752">
                  <c:v>336</c:v>
                </c:pt>
                <c:pt idx="753">
                  <c:v>336</c:v>
                </c:pt>
                <c:pt idx="754">
                  <c:v>336</c:v>
                </c:pt>
                <c:pt idx="755">
                  <c:v>336</c:v>
                </c:pt>
                <c:pt idx="756">
                  <c:v>336</c:v>
                </c:pt>
                <c:pt idx="757">
                  <c:v>336</c:v>
                </c:pt>
                <c:pt idx="758">
                  <c:v>336</c:v>
                </c:pt>
                <c:pt idx="759">
                  <c:v>336</c:v>
                </c:pt>
                <c:pt idx="760">
                  <c:v>336</c:v>
                </c:pt>
                <c:pt idx="761">
                  <c:v>336</c:v>
                </c:pt>
                <c:pt idx="762">
                  <c:v>336</c:v>
                </c:pt>
                <c:pt idx="763">
                  <c:v>336</c:v>
                </c:pt>
                <c:pt idx="764">
                  <c:v>336</c:v>
                </c:pt>
                <c:pt idx="765">
                  <c:v>336</c:v>
                </c:pt>
                <c:pt idx="766">
                  <c:v>336</c:v>
                </c:pt>
                <c:pt idx="767">
                  <c:v>336</c:v>
                </c:pt>
                <c:pt idx="768">
                  <c:v>337</c:v>
                </c:pt>
                <c:pt idx="769">
                  <c:v>337</c:v>
                </c:pt>
                <c:pt idx="770">
                  <c:v>337</c:v>
                </c:pt>
                <c:pt idx="771">
                  <c:v>337</c:v>
                </c:pt>
                <c:pt idx="772">
                  <c:v>337</c:v>
                </c:pt>
                <c:pt idx="773">
                  <c:v>337</c:v>
                </c:pt>
                <c:pt idx="774">
                  <c:v>337</c:v>
                </c:pt>
                <c:pt idx="775">
                  <c:v>337</c:v>
                </c:pt>
                <c:pt idx="776">
                  <c:v>337</c:v>
                </c:pt>
                <c:pt idx="777">
                  <c:v>337</c:v>
                </c:pt>
                <c:pt idx="778">
                  <c:v>337</c:v>
                </c:pt>
                <c:pt idx="779">
                  <c:v>337</c:v>
                </c:pt>
                <c:pt idx="780">
                  <c:v>337</c:v>
                </c:pt>
                <c:pt idx="781">
                  <c:v>337</c:v>
                </c:pt>
                <c:pt idx="782">
                  <c:v>337</c:v>
                </c:pt>
                <c:pt idx="783">
                  <c:v>337</c:v>
                </c:pt>
                <c:pt idx="784">
                  <c:v>337</c:v>
                </c:pt>
                <c:pt idx="785">
                  <c:v>337</c:v>
                </c:pt>
                <c:pt idx="786">
                  <c:v>337</c:v>
                </c:pt>
                <c:pt idx="787">
                  <c:v>337</c:v>
                </c:pt>
                <c:pt idx="788">
                  <c:v>337</c:v>
                </c:pt>
                <c:pt idx="789">
                  <c:v>337</c:v>
                </c:pt>
                <c:pt idx="790">
                  <c:v>337</c:v>
                </c:pt>
                <c:pt idx="791">
                  <c:v>337</c:v>
                </c:pt>
                <c:pt idx="792">
                  <c:v>338</c:v>
                </c:pt>
                <c:pt idx="793">
                  <c:v>338</c:v>
                </c:pt>
                <c:pt idx="794">
                  <c:v>338</c:v>
                </c:pt>
                <c:pt idx="795">
                  <c:v>338</c:v>
                </c:pt>
                <c:pt idx="796">
                  <c:v>338</c:v>
                </c:pt>
                <c:pt idx="797">
                  <c:v>338</c:v>
                </c:pt>
                <c:pt idx="798">
                  <c:v>338</c:v>
                </c:pt>
                <c:pt idx="799">
                  <c:v>338</c:v>
                </c:pt>
                <c:pt idx="800">
                  <c:v>338</c:v>
                </c:pt>
                <c:pt idx="801">
                  <c:v>338</c:v>
                </c:pt>
                <c:pt idx="802">
                  <c:v>338</c:v>
                </c:pt>
                <c:pt idx="803">
                  <c:v>338</c:v>
                </c:pt>
                <c:pt idx="804">
                  <c:v>338</c:v>
                </c:pt>
                <c:pt idx="805">
                  <c:v>338</c:v>
                </c:pt>
                <c:pt idx="806">
                  <c:v>338</c:v>
                </c:pt>
                <c:pt idx="807">
                  <c:v>338</c:v>
                </c:pt>
                <c:pt idx="808">
                  <c:v>338</c:v>
                </c:pt>
                <c:pt idx="809">
                  <c:v>338</c:v>
                </c:pt>
                <c:pt idx="810">
                  <c:v>338</c:v>
                </c:pt>
                <c:pt idx="811">
                  <c:v>338</c:v>
                </c:pt>
                <c:pt idx="812">
                  <c:v>338</c:v>
                </c:pt>
                <c:pt idx="813">
                  <c:v>338</c:v>
                </c:pt>
                <c:pt idx="814">
                  <c:v>338</c:v>
                </c:pt>
                <c:pt idx="815">
                  <c:v>338</c:v>
                </c:pt>
                <c:pt idx="816">
                  <c:v>339</c:v>
                </c:pt>
                <c:pt idx="817">
                  <c:v>339</c:v>
                </c:pt>
                <c:pt idx="818">
                  <c:v>339</c:v>
                </c:pt>
                <c:pt idx="819">
                  <c:v>339</c:v>
                </c:pt>
                <c:pt idx="820">
                  <c:v>339</c:v>
                </c:pt>
                <c:pt idx="821">
                  <c:v>339</c:v>
                </c:pt>
                <c:pt idx="822">
                  <c:v>339</c:v>
                </c:pt>
                <c:pt idx="823">
                  <c:v>339</c:v>
                </c:pt>
                <c:pt idx="824">
                  <c:v>339</c:v>
                </c:pt>
                <c:pt idx="825">
                  <c:v>339</c:v>
                </c:pt>
                <c:pt idx="826">
                  <c:v>339</c:v>
                </c:pt>
                <c:pt idx="827">
                  <c:v>339</c:v>
                </c:pt>
                <c:pt idx="828">
                  <c:v>339</c:v>
                </c:pt>
                <c:pt idx="829">
                  <c:v>339</c:v>
                </c:pt>
                <c:pt idx="830">
                  <c:v>339</c:v>
                </c:pt>
                <c:pt idx="831">
                  <c:v>339</c:v>
                </c:pt>
                <c:pt idx="832">
                  <c:v>339</c:v>
                </c:pt>
                <c:pt idx="833">
                  <c:v>339</c:v>
                </c:pt>
                <c:pt idx="834">
                  <c:v>339</c:v>
                </c:pt>
                <c:pt idx="835">
                  <c:v>339</c:v>
                </c:pt>
                <c:pt idx="836">
                  <c:v>339</c:v>
                </c:pt>
                <c:pt idx="837">
                  <c:v>339</c:v>
                </c:pt>
                <c:pt idx="838">
                  <c:v>339</c:v>
                </c:pt>
                <c:pt idx="839">
                  <c:v>339</c:v>
                </c:pt>
                <c:pt idx="840">
                  <c:v>340</c:v>
                </c:pt>
                <c:pt idx="841">
                  <c:v>340</c:v>
                </c:pt>
                <c:pt idx="842">
                  <c:v>340</c:v>
                </c:pt>
                <c:pt idx="843">
                  <c:v>340</c:v>
                </c:pt>
                <c:pt idx="844">
                  <c:v>340</c:v>
                </c:pt>
                <c:pt idx="845">
                  <c:v>340</c:v>
                </c:pt>
                <c:pt idx="846">
                  <c:v>340</c:v>
                </c:pt>
                <c:pt idx="847">
                  <c:v>340</c:v>
                </c:pt>
                <c:pt idx="848">
                  <c:v>340</c:v>
                </c:pt>
                <c:pt idx="849">
                  <c:v>340</c:v>
                </c:pt>
                <c:pt idx="850">
                  <c:v>340</c:v>
                </c:pt>
                <c:pt idx="851">
                  <c:v>340</c:v>
                </c:pt>
                <c:pt idx="852">
                  <c:v>340</c:v>
                </c:pt>
                <c:pt idx="853">
                  <c:v>340</c:v>
                </c:pt>
                <c:pt idx="854">
                  <c:v>340</c:v>
                </c:pt>
                <c:pt idx="855">
                  <c:v>340</c:v>
                </c:pt>
                <c:pt idx="856">
                  <c:v>340</c:v>
                </c:pt>
                <c:pt idx="857">
                  <c:v>340</c:v>
                </c:pt>
                <c:pt idx="858">
                  <c:v>340</c:v>
                </c:pt>
                <c:pt idx="859">
                  <c:v>340</c:v>
                </c:pt>
                <c:pt idx="860">
                  <c:v>340</c:v>
                </c:pt>
                <c:pt idx="861">
                  <c:v>340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343</c:v>
                </c:pt>
                <c:pt idx="913">
                  <c:v>343</c:v>
                </c:pt>
                <c:pt idx="914">
                  <c:v>343</c:v>
                </c:pt>
                <c:pt idx="915">
                  <c:v>343</c:v>
                </c:pt>
                <c:pt idx="916">
                  <c:v>343</c:v>
                </c:pt>
                <c:pt idx="917">
                  <c:v>343</c:v>
                </c:pt>
                <c:pt idx="918">
                  <c:v>343</c:v>
                </c:pt>
                <c:pt idx="919">
                  <c:v>343</c:v>
                </c:pt>
                <c:pt idx="920">
                  <c:v>343</c:v>
                </c:pt>
                <c:pt idx="921">
                  <c:v>343</c:v>
                </c:pt>
                <c:pt idx="922">
                  <c:v>343</c:v>
                </c:pt>
                <c:pt idx="923">
                  <c:v>343</c:v>
                </c:pt>
                <c:pt idx="924">
                  <c:v>343</c:v>
                </c:pt>
                <c:pt idx="925">
                  <c:v>343</c:v>
                </c:pt>
                <c:pt idx="926">
                  <c:v>343</c:v>
                </c:pt>
                <c:pt idx="927">
                  <c:v>343</c:v>
                </c:pt>
                <c:pt idx="928">
                  <c:v>343</c:v>
                </c:pt>
                <c:pt idx="929">
                  <c:v>343</c:v>
                </c:pt>
                <c:pt idx="930">
                  <c:v>343</c:v>
                </c:pt>
                <c:pt idx="931">
                  <c:v>343</c:v>
                </c:pt>
                <c:pt idx="932">
                  <c:v>343</c:v>
                </c:pt>
                <c:pt idx="933">
                  <c:v>343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344</c:v>
                </c:pt>
                <c:pt idx="938">
                  <c:v>344</c:v>
                </c:pt>
                <c:pt idx="939">
                  <c:v>344</c:v>
                </c:pt>
                <c:pt idx="940">
                  <c:v>344</c:v>
                </c:pt>
                <c:pt idx="941">
                  <c:v>344</c:v>
                </c:pt>
                <c:pt idx="942">
                  <c:v>344</c:v>
                </c:pt>
                <c:pt idx="943">
                  <c:v>344</c:v>
                </c:pt>
                <c:pt idx="944">
                  <c:v>344</c:v>
                </c:pt>
                <c:pt idx="945">
                  <c:v>344</c:v>
                </c:pt>
                <c:pt idx="946">
                  <c:v>344</c:v>
                </c:pt>
                <c:pt idx="947">
                  <c:v>344</c:v>
                </c:pt>
                <c:pt idx="948">
                  <c:v>344</c:v>
                </c:pt>
                <c:pt idx="949">
                  <c:v>344</c:v>
                </c:pt>
                <c:pt idx="950">
                  <c:v>344</c:v>
                </c:pt>
                <c:pt idx="951">
                  <c:v>344</c:v>
                </c:pt>
                <c:pt idx="952">
                  <c:v>344</c:v>
                </c:pt>
                <c:pt idx="953">
                  <c:v>344</c:v>
                </c:pt>
                <c:pt idx="954">
                  <c:v>344</c:v>
                </c:pt>
                <c:pt idx="955">
                  <c:v>344</c:v>
                </c:pt>
                <c:pt idx="956">
                  <c:v>344</c:v>
                </c:pt>
                <c:pt idx="957">
                  <c:v>344</c:v>
                </c:pt>
                <c:pt idx="958">
                  <c:v>344</c:v>
                </c:pt>
                <c:pt idx="959">
                  <c:v>344</c:v>
                </c:pt>
                <c:pt idx="960">
                  <c:v>345</c:v>
                </c:pt>
                <c:pt idx="961">
                  <c:v>345</c:v>
                </c:pt>
                <c:pt idx="962">
                  <c:v>345</c:v>
                </c:pt>
                <c:pt idx="963">
                  <c:v>345</c:v>
                </c:pt>
                <c:pt idx="964">
                  <c:v>345</c:v>
                </c:pt>
                <c:pt idx="965">
                  <c:v>345</c:v>
                </c:pt>
                <c:pt idx="966">
                  <c:v>345</c:v>
                </c:pt>
                <c:pt idx="967">
                  <c:v>345</c:v>
                </c:pt>
                <c:pt idx="968">
                  <c:v>345</c:v>
                </c:pt>
                <c:pt idx="969">
                  <c:v>345</c:v>
                </c:pt>
                <c:pt idx="970">
                  <c:v>345</c:v>
                </c:pt>
                <c:pt idx="971">
                  <c:v>345</c:v>
                </c:pt>
                <c:pt idx="972">
                  <c:v>345</c:v>
                </c:pt>
                <c:pt idx="973">
                  <c:v>345</c:v>
                </c:pt>
                <c:pt idx="974">
                  <c:v>345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345</c:v>
                </c:pt>
                <c:pt idx="979">
                  <c:v>345</c:v>
                </c:pt>
                <c:pt idx="980">
                  <c:v>345</c:v>
                </c:pt>
                <c:pt idx="981">
                  <c:v>345</c:v>
                </c:pt>
                <c:pt idx="982">
                  <c:v>345</c:v>
                </c:pt>
                <c:pt idx="983">
                  <c:v>345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346</c:v>
                </c:pt>
                <c:pt idx="997">
                  <c:v>346</c:v>
                </c:pt>
                <c:pt idx="998">
                  <c:v>346</c:v>
                </c:pt>
                <c:pt idx="999">
                  <c:v>346</c:v>
                </c:pt>
                <c:pt idx="1000">
                  <c:v>346</c:v>
                </c:pt>
                <c:pt idx="1001">
                  <c:v>346</c:v>
                </c:pt>
                <c:pt idx="1002">
                  <c:v>346</c:v>
                </c:pt>
                <c:pt idx="1003">
                  <c:v>346</c:v>
                </c:pt>
                <c:pt idx="1004">
                  <c:v>346</c:v>
                </c:pt>
                <c:pt idx="1005">
                  <c:v>346</c:v>
                </c:pt>
                <c:pt idx="1006">
                  <c:v>346</c:v>
                </c:pt>
                <c:pt idx="1007">
                  <c:v>346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347</c:v>
                </c:pt>
                <c:pt idx="1017">
                  <c:v>347</c:v>
                </c:pt>
                <c:pt idx="1018">
                  <c:v>347</c:v>
                </c:pt>
                <c:pt idx="1019">
                  <c:v>347</c:v>
                </c:pt>
                <c:pt idx="1020">
                  <c:v>347</c:v>
                </c:pt>
                <c:pt idx="1021">
                  <c:v>347</c:v>
                </c:pt>
                <c:pt idx="1022">
                  <c:v>347</c:v>
                </c:pt>
                <c:pt idx="1023">
                  <c:v>347</c:v>
                </c:pt>
                <c:pt idx="1024">
                  <c:v>347</c:v>
                </c:pt>
                <c:pt idx="1025">
                  <c:v>347</c:v>
                </c:pt>
                <c:pt idx="1026">
                  <c:v>347</c:v>
                </c:pt>
                <c:pt idx="1027">
                  <c:v>347</c:v>
                </c:pt>
                <c:pt idx="1028">
                  <c:v>347</c:v>
                </c:pt>
                <c:pt idx="1029">
                  <c:v>347</c:v>
                </c:pt>
                <c:pt idx="1030">
                  <c:v>347</c:v>
                </c:pt>
                <c:pt idx="1031">
                  <c:v>347</c:v>
                </c:pt>
                <c:pt idx="1032">
                  <c:v>348</c:v>
                </c:pt>
                <c:pt idx="1033">
                  <c:v>348</c:v>
                </c:pt>
                <c:pt idx="1034">
                  <c:v>348</c:v>
                </c:pt>
                <c:pt idx="1035">
                  <c:v>348</c:v>
                </c:pt>
                <c:pt idx="1036">
                  <c:v>348</c:v>
                </c:pt>
                <c:pt idx="1037">
                  <c:v>348</c:v>
                </c:pt>
                <c:pt idx="1038">
                  <c:v>348</c:v>
                </c:pt>
                <c:pt idx="1039">
                  <c:v>348</c:v>
                </c:pt>
                <c:pt idx="1040">
                  <c:v>348</c:v>
                </c:pt>
                <c:pt idx="1041">
                  <c:v>348</c:v>
                </c:pt>
                <c:pt idx="1042">
                  <c:v>348</c:v>
                </c:pt>
                <c:pt idx="1043">
                  <c:v>348</c:v>
                </c:pt>
                <c:pt idx="1044">
                  <c:v>348</c:v>
                </c:pt>
                <c:pt idx="1045">
                  <c:v>348</c:v>
                </c:pt>
                <c:pt idx="1046">
                  <c:v>348</c:v>
                </c:pt>
                <c:pt idx="1047">
                  <c:v>348</c:v>
                </c:pt>
                <c:pt idx="1048">
                  <c:v>348</c:v>
                </c:pt>
                <c:pt idx="1049">
                  <c:v>348</c:v>
                </c:pt>
                <c:pt idx="1050">
                  <c:v>348</c:v>
                </c:pt>
                <c:pt idx="1051">
                  <c:v>348</c:v>
                </c:pt>
                <c:pt idx="1052">
                  <c:v>348</c:v>
                </c:pt>
                <c:pt idx="1053">
                  <c:v>348</c:v>
                </c:pt>
                <c:pt idx="1054">
                  <c:v>348</c:v>
                </c:pt>
                <c:pt idx="1055">
                  <c:v>348</c:v>
                </c:pt>
                <c:pt idx="1056">
                  <c:v>349</c:v>
                </c:pt>
                <c:pt idx="1057">
                  <c:v>349</c:v>
                </c:pt>
                <c:pt idx="1058">
                  <c:v>349</c:v>
                </c:pt>
                <c:pt idx="1059">
                  <c:v>349</c:v>
                </c:pt>
                <c:pt idx="1060">
                  <c:v>349</c:v>
                </c:pt>
                <c:pt idx="1061">
                  <c:v>349</c:v>
                </c:pt>
                <c:pt idx="1062">
                  <c:v>349</c:v>
                </c:pt>
                <c:pt idx="1063">
                  <c:v>349</c:v>
                </c:pt>
                <c:pt idx="1064">
                  <c:v>349</c:v>
                </c:pt>
                <c:pt idx="1065">
                  <c:v>349</c:v>
                </c:pt>
                <c:pt idx="1066">
                  <c:v>349</c:v>
                </c:pt>
                <c:pt idx="1067">
                  <c:v>349</c:v>
                </c:pt>
                <c:pt idx="1068">
                  <c:v>349</c:v>
                </c:pt>
                <c:pt idx="1069">
                  <c:v>349</c:v>
                </c:pt>
                <c:pt idx="1070">
                  <c:v>349</c:v>
                </c:pt>
                <c:pt idx="1071">
                  <c:v>349</c:v>
                </c:pt>
                <c:pt idx="1072">
                  <c:v>349</c:v>
                </c:pt>
                <c:pt idx="1073">
                  <c:v>349</c:v>
                </c:pt>
                <c:pt idx="1074">
                  <c:v>349</c:v>
                </c:pt>
                <c:pt idx="1075">
                  <c:v>349</c:v>
                </c:pt>
                <c:pt idx="1076">
                  <c:v>349</c:v>
                </c:pt>
                <c:pt idx="1077">
                  <c:v>349</c:v>
                </c:pt>
                <c:pt idx="1078">
                  <c:v>349</c:v>
                </c:pt>
                <c:pt idx="1079">
                  <c:v>349</c:v>
                </c:pt>
                <c:pt idx="1080">
                  <c:v>350</c:v>
                </c:pt>
                <c:pt idx="1081">
                  <c:v>350</c:v>
                </c:pt>
                <c:pt idx="1082">
                  <c:v>350</c:v>
                </c:pt>
                <c:pt idx="1083">
                  <c:v>350</c:v>
                </c:pt>
                <c:pt idx="1084">
                  <c:v>350</c:v>
                </c:pt>
                <c:pt idx="1085">
                  <c:v>350</c:v>
                </c:pt>
                <c:pt idx="1086">
                  <c:v>350</c:v>
                </c:pt>
                <c:pt idx="1087">
                  <c:v>350</c:v>
                </c:pt>
                <c:pt idx="1088">
                  <c:v>350</c:v>
                </c:pt>
                <c:pt idx="1089">
                  <c:v>350</c:v>
                </c:pt>
                <c:pt idx="1090">
                  <c:v>350</c:v>
                </c:pt>
                <c:pt idx="1091">
                  <c:v>350</c:v>
                </c:pt>
                <c:pt idx="1092">
                  <c:v>350</c:v>
                </c:pt>
                <c:pt idx="1093">
                  <c:v>350</c:v>
                </c:pt>
                <c:pt idx="1094">
                  <c:v>350</c:v>
                </c:pt>
                <c:pt idx="1095">
                  <c:v>350</c:v>
                </c:pt>
                <c:pt idx="1096">
                  <c:v>350</c:v>
                </c:pt>
                <c:pt idx="1097">
                  <c:v>350</c:v>
                </c:pt>
                <c:pt idx="1098">
                  <c:v>350</c:v>
                </c:pt>
                <c:pt idx="1099">
                  <c:v>350</c:v>
                </c:pt>
                <c:pt idx="1100">
                  <c:v>350</c:v>
                </c:pt>
                <c:pt idx="1101">
                  <c:v>350</c:v>
                </c:pt>
                <c:pt idx="1102">
                  <c:v>350</c:v>
                </c:pt>
                <c:pt idx="1103">
                  <c:v>350</c:v>
                </c:pt>
                <c:pt idx="1104">
                  <c:v>351</c:v>
                </c:pt>
                <c:pt idx="1105">
                  <c:v>351</c:v>
                </c:pt>
                <c:pt idx="1106">
                  <c:v>351</c:v>
                </c:pt>
                <c:pt idx="1107">
                  <c:v>351</c:v>
                </c:pt>
                <c:pt idx="1108">
                  <c:v>351</c:v>
                </c:pt>
                <c:pt idx="1109">
                  <c:v>351</c:v>
                </c:pt>
                <c:pt idx="1110">
                  <c:v>351</c:v>
                </c:pt>
                <c:pt idx="1111">
                  <c:v>351</c:v>
                </c:pt>
                <c:pt idx="1112">
                  <c:v>351</c:v>
                </c:pt>
                <c:pt idx="1113">
                  <c:v>351</c:v>
                </c:pt>
                <c:pt idx="1114">
                  <c:v>351</c:v>
                </c:pt>
                <c:pt idx="1115">
                  <c:v>351</c:v>
                </c:pt>
                <c:pt idx="1116">
                  <c:v>351</c:v>
                </c:pt>
                <c:pt idx="1117">
                  <c:v>351</c:v>
                </c:pt>
                <c:pt idx="1118">
                  <c:v>351</c:v>
                </c:pt>
                <c:pt idx="1119">
                  <c:v>351</c:v>
                </c:pt>
                <c:pt idx="1120">
                  <c:v>351</c:v>
                </c:pt>
                <c:pt idx="1121">
                  <c:v>351</c:v>
                </c:pt>
                <c:pt idx="1122">
                  <c:v>351</c:v>
                </c:pt>
                <c:pt idx="1123">
                  <c:v>351</c:v>
                </c:pt>
                <c:pt idx="1124">
                  <c:v>351</c:v>
                </c:pt>
                <c:pt idx="1125">
                  <c:v>351</c:v>
                </c:pt>
                <c:pt idx="1126">
                  <c:v>351</c:v>
                </c:pt>
                <c:pt idx="1127">
                  <c:v>351</c:v>
                </c:pt>
                <c:pt idx="1128">
                  <c:v>352</c:v>
                </c:pt>
                <c:pt idx="1129">
                  <c:v>352</c:v>
                </c:pt>
                <c:pt idx="1130">
                  <c:v>352</c:v>
                </c:pt>
                <c:pt idx="1131">
                  <c:v>352</c:v>
                </c:pt>
                <c:pt idx="1132">
                  <c:v>352</c:v>
                </c:pt>
                <c:pt idx="1133">
                  <c:v>352</c:v>
                </c:pt>
                <c:pt idx="1134">
                  <c:v>352</c:v>
                </c:pt>
                <c:pt idx="1135">
                  <c:v>352</c:v>
                </c:pt>
                <c:pt idx="1136">
                  <c:v>352</c:v>
                </c:pt>
                <c:pt idx="1137">
                  <c:v>352</c:v>
                </c:pt>
                <c:pt idx="1138">
                  <c:v>352</c:v>
                </c:pt>
                <c:pt idx="1139">
                  <c:v>352</c:v>
                </c:pt>
                <c:pt idx="1140">
                  <c:v>352</c:v>
                </c:pt>
                <c:pt idx="1141">
                  <c:v>352</c:v>
                </c:pt>
                <c:pt idx="1142">
                  <c:v>352</c:v>
                </c:pt>
                <c:pt idx="1143">
                  <c:v>352</c:v>
                </c:pt>
                <c:pt idx="1144">
                  <c:v>352</c:v>
                </c:pt>
                <c:pt idx="1145">
                  <c:v>352</c:v>
                </c:pt>
                <c:pt idx="1146">
                  <c:v>352</c:v>
                </c:pt>
                <c:pt idx="1147">
                  <c:v>352</c:v>
                </c:pt>
                <c:pt idx="1148">
                  <c:v>352</c:v>
                </c:pt>
                <c:pt idx="1149">
                  <c:v>352</c:v>
                </c:pt>
                <c:pt idx="1150">
                  <c:v>352</c:v>
                </c:pt>
                <c:pt idx="1151">
                  <c:v>352</c:v>
                </c:pt>
                <c:pt idx="1152">
                  <c:v>353</c:v>
                </c:pt>
                <c:pt idx="1153">
                  <c:v>353</c:v>
                </c:pt>
                <c:pt idx="1154">
                  <c:v>353</c:v>
                </c:pt>
                <c:pt idx="1155">
                  <c:v>353</c:v>
                </c:pt>
                <c:pt idx="1156">
                  <c:v>353</c:v>
                </c:pt>
                <c:pt idx="1157">
                  <c:v>353</c:v>
                </c:pt>
                <c:pt idx="1158">
                  <c:v>353</c:v>
                </c:pt>
                <c:pt idx="1159">
                  <c:v>353</c:v>
                </c:pt>
                <c:pt idx="1160">
                  <c:v>353</c:v>
                </c:pt>
                <c:pt idx="1161">
                  <c:v>353</c:v>
                </c:pt>
                <c:pt idx="1162">
                  <c:v>353</c:v>
                </c:pt>
                <c:pt idx="1163">
                  <c:v>353</c:v>
                </c:pt>
                <c:pt idx="1164">
                  <c:v>353</c:v>
                </c:pt>
                <c:pt idx="1165">
                  <c:v>353</c:v>
                </c:pt>
                <c:pt idx="1166">
                  <c:v>353</c:v>
                </c:pt>
                <c:pt idx="1167">
                  <c:v>353</c:v>
                </c:pt>
                <c:pt idx="1168">
                  <c:v>353</c:v>
                </c:pt>
                <c:pt idx="1169">
                  <c:v>353</c:v>
                </c:pt>
                <c:pt idx="1170">
                  <c:v>353</c:v>
                </c:pt>
                <c:pt idx="1171">
                  <c:v>353</c:v>
                </c:pt>
                <c:pt idx="1172">
                  <c:v>353</c:v>
                </c:pt>
                <c:pt idx="1173">
                  <c:v>353</c:v>
                </c:pt>
                <c:pt idx="1174">
                  <c:v>353</c:v>
                </c:pt>
                <c:pt idx="1175">
                  <c:v>353</c:v>
                </c:pt>
                <c:pt idx="1176">
                  <c:v>354</c:v>
                </c:pt>
                <c:pt idx="1177">
                  <c:v>354</c:v>
                </c:pt>
                <c:pt idx="1178">
                  <c:v>354</c:v>
                </c:pt>
                <c:pt idx="1179">
                  <c:v>354</c:v>
                </c:pt>
                <c:pt idx="1180">
                  <c:v>354</c:v>
                </c:pt>
                <c:pt idx="1181">
                  <c:v>354</c:v>
                </c:pt>
                <c:pt idx="1182">
                  <c:v>354</c:v>
                </c:pt>
                <c:pt idx="1183">
                  <c:v>354</c:v>
                </c:pt>
                <c:pt idx="1184">
                  <c:v>354</c:v>
                </c:pt>
                <c:pt idx="1185">
                  <c:v>354</c:v>
                </c:pt>
                <c:pt idx="1186">
                  <c:v>354</c:v>
                </c:pt>
                <c:pt idx="1187">
                  <c:v>354</c:v>
                </c:pt>
                <c:pt idx="1188">
                  <c:v>354</c:v>
                </c:pt>
                <c:pt idx="1189">
                  <c:v>354</c:v>
                </c:pt>
                <c:pt idx="1190">
                  <c:v>354</c:v>
                </c:pt>
                <c:pt idx="1191">
                  <c:v>354</c:v>
                </c:pt>
                <c:pt idx="1192">
                  <c:v>354</c:v>
                </c:pt>
                <c:pt idx="1193">
                  <c:v>354</c:v>
                </c:pt>
                <c:pt idx="1194">
                  <c:v>354</c:v>
                </c:pt>
                <c:pt idx="1195">
                  <c:v>354</c:v>
                </c:pt>
                <c:pt idx="1196">
                  <c:v>354</c:v>
                </c:pt>
                <c:pt idx="1197">
                  <c:v>354</c:v>
                </c:pt>
                <c:pt idx="1198">
                  <c:v>354</c:v>
                </c:pt>
                <c:pt idx="1199">
                  <c:v>354</c:v>
                </c:pt>
                <c:pt idx="1200">
                  <c:v>355</c:v>
                </c:pt>
                <c:pt idx="1201">
                  <c:v>355</c:v>
                </c:pt>
                <c:pt idx="1202">
                  <c:v>355</c:v>
                </c:pt>
                <c:pt idx="1203">
                  <c:v>355</c:v>
                </c:pt>
                <c:pt idx="1204">
                  <c:v>355</c:v>
                </c:pt>
                <c:pt idx="1205">
                  <c:v>355</c:v>
                </c:pt>
                <c:pt idx="1206">
                  <c:v>355</c:v>
                </c:pt>
                <c:pt idx="1207">
                  <c:v>355</c:v>
                </c:pt>
                <c:pt idx="1208">
                  <c:v>355</c:v>
                </c:pt>
                <c:pt idx="1209">
                  <c:v>355</c:v>
                </c:pt>
                <c:pt idx="1210">
                  <c:v>355</c:v>
                </c:pt>
                <c:pt idx="1211">
                  <c:v>355</c:v>
                </c:pt>
                <c:pt idx="1212">
                  <c:v>355</c:v>
                </c:pt>
                <c:pt idx="1213">
                  <c:v>355</c:v>
                </c:pt>
                <c:pt idx="1214">
                  <c:v>355</c:v>
                </c:pt>
                <c:pt idx="1215">
                  <c:v>355</c:v>
                </c:pt>
                <c:pt idx="1216">
                  <c:v>355</c:v>
                </c:pt>
                <c:pt idx="1217">
                  <c:v>355</c:v>
                </c:pt>
                <c:pt idx="1218">
                  <c:v>355</c:v>
                </c:pt>
                <c:pt idx="1219">
                  <c:v>355</c:v>
                </c:pt>
                <c:pt idx="1220">
                  <c:v>355</c:v>
                </c:pt>
                <c:pt idx="1221">
                  <c:v>355</c:v>
                </c:pt>
                <c:pt idx="1222">
                  <c:v>355</c:v>
                </c:pt>
                <c:pt idx="1223">
                  <c:v>355</c:v>
                </c:pt>
                <c:pt idx="1224">
                  <c:v>356</c:v>
                </c:pt>
                <c:pt idx="1225">
                  <c:v>356</c:v>
                </c:pt>
                <c:pt idx="1226">
                  <c:v>356</c:v>
                </c:pt>
                <c:pt idx="1227">
                  <c:v>356</c:v>
                </c:pt>
                <c:pt idx="1228">
                  <c:v>356</c:v>
                </c:pt>
                <c:pt idx="1229">
                  <c:v>356</c:v>
                </c:pt>
                <c:pt idx="1230">
                  <c:v>356</c:v>
                </c:pt>
                <c:pt idx="1231">
                  <c:v>356</c:v>
                </c:pt>
                <c:pt idx="1232">
                  <c:v>356</c:v>
                </c:pt>
                <c:pt idx="1233">
                  <c:v>356</c:v>
                </c:pt>
                <c:pt idx="1234">
                  <c:v>356</c:v>
                </c:pt>
                <c:pt idx="1235">
                  <c:v>356</c:v>
                </c:pt>
                <c:pt idx="1236">
                  <c:v>356</c:v>
                </c:pt>
                <c:pt idx="1237">
                  <c:v>356</c:v>
                </c:pt>
                <c:pt idx="1238">
                  <c:v>356</c:v>
                </c:pt>
                <c:pt idx="1239">
                  <c:v>356</c:v>
                </c:pt>
                <c:pt idx="1240">
                  <c:v>356</c:v>
                </c:pt>
                <c:pt idx="1241">
                  <c:v>356</c:v>
                </c:pt>
                <c:pt idx="1242">
                  <c:v>356</c:v>
                </c:pt>
                <c:pt idx="1243">
                  <c:v>356</c:v>
                </c:pt>
                <c:pt idx="1244">
                  <c:v>356</c:v>
                </c:pt>
                <c:pt idx="1245">
                  <c:v>356</c:v>
                </c:pt>
                <c:pt idx="1246">
                  <c:v>356</c:v>
                </c:pt>
                <c:pt idx="1247">
                  <c:v>356</c:v>
                </c:pt>
                <c:pt idx="1248">
                  <c:v>357</c:v>
                </c:pt>
                <c:pt idx="1249">
                  <c:v>357</c:v>
                </c:pt>
                <c:pt idx="1250">
                  <c:v>357</c:v>
                </c:pt>
                <c:pt idx="1251">
                  <c:v>357</c:v>
                </c:pt>
                <c:pt idx="1252">
                  <c:v>357</c:v>
                </c:pt>
                <c:pt idx="1253">
                  <c:v>357</c:v>
                </c:pt>
                <c:pt idx="1254">
                  <c:v>357</c:v>
                </c:pt>
                <c:pt idx="1255">
                  <c:v>357</c:v>
                </c:pt>
                <c:pt idx="1256">
                  <c:v>357</c:v>
                </c:pt>
                <c:pt idx="1257">
                  <c:v>357</c:v>
                </c:pt>
                <c:pt idx="1258">
                  <c:v>357</c:v>
                </c:pt>
                <c:pt idx="1259">
                  <c:v>357</c:v>
                </c:pt>
                <c:pt idx="1260">
                  <c:v>357</c:v>
                </c:pt>
                <c:pt idx="1261">
                  <c:v>357</c:v>
                </c:pt>
                <c:pt idx="1262">
                  <c:v>357</c:v>
                </c:pt>
                <c:pt idx="1263">
                  <c:v>357</c:v>
                </c:pt>
                <c:pt idx="1264">
                  <c:v>357</c:v>
                </c:pt>
                <c:pt idx="1265">
                  <c:v>357</c:v>
                </c:pt>
                <c:pt idx="1266">
                  <c:v>357</c:v>
                </c:pt>
                <c:pt idx="1267">
                  <c:v>357</c:v>
                </c:pt>
                <c:pt idx="1268">
                  <c:v>357</c:v>
                </c:pt>
                <c:pt idx="1269">
                  <c:v>357</c:v>
                </c:pt>
                <c:pt idx="1270">
                  <c:v>357</c:v>
                </c:pt>
                <c:pt idx="1271">
                  <c:v>357</c:v>
                </c:pt>
                <c:pt idx="1272">
                  <c:v>358</c:v>
                </c:pt>
                <c:pt idx="1273">
                  <c:v>358</c:v>
                </c:pt>
                <c:pt idx="1274">
                  <c:v>358</c:v>
                </c:pt>
                <c:pt idx="1275">
                  <c:v>358</c:v>
                </c:pt>
                <c:pt idx="1276">
                  <c:v>358</c:v>
                </c:pt>
                <c:pt idx="1277">
                  <c:v>358</c:v>
                </c:pt>
                <c:pt idx="1278">
                  <c:v>358</c:v>
                </c:pt>
                <c:pt idx="1279">
                  <c:v>358</c:v>
                </c:pt>
                <c:pt idx="1280">
                  <c:v>358</c:v>
                </c:pt>
                <c:pt idx="1281">
                  <c:v>358</c:v>
                </c:pt>
                <c:pt idx="1282">
                  <c:v>358</c:v>
                </c:pt>
                <c:pt idx="1283">
                  <c:v>358</c:v>
                </c:pt>
                <c:pt idx="1284">
                  <c:v>358</c:v>
                </c:pt>
                <c:pt idx="1285">
                  <c:v>358</c:v>
                </c:pt>
                <c:pt idx="1286">
                  <c:v>358</c:v>
                </c:pt>
                <c:pt idx="1287">
                  <c:v>358</c:v>
                </c:pt>
                <c:pt idx="1288">
                  <c:v>358</c:v>
                </c:pt>
                <c:pt idx="1289">
                  <c:v>358</c:v>
                </c:pt>
                <c:pt idx="1290">
                  <c:v>358</c:v>
                </c:pt>
                <c:pt idx="1291">
                  <c:v>358</c:v>
                </c:pt>
                <c:pt idx="1292">
                  <c:v>358</c:v>
                </c:pt>
                <c:pt idx="1293">
                  <c:v>358</c:v>
                </c:pt>
                <c:pt idx="1294">
                  <c:v>358</c:v>
                </c:pt>
                <c:pt idx="1295">
                  <c:v>358</c:v>
                </c:pt>
                <c:pt idx="1296">
                  <c:v>359</c:v>
                </c:pt>
                <c:pt idx="1297">
                  <c:v>359</c:v>
                </c:pt>
                <c:pt idx="1298">
                  <c:v>359</c:v>
                </c:pt>
                <c:pt idx="1299">
                  <c:v>359</c:v>
                </c:pt>
                <c:pt idx="1300">
                  <c:v>359</c:v>
                </c:pt>
                <c:pt idx="1301">
                  <c:v>359</c:v>
                </c:pt>
                <c:pt idx="1302">
                  <c:v>359</c:v>
                </c:pt>
                <c:pt idx="1303">
                  <c:v>359</c:v>
                </c:pt>
                <c:pt idx="1304">
                  <c:v>359</c:v>
                </c:pt>
                <c:pt idx="1305">
                  <c:v>359</c:v>
                </c:pt>
                <c:pt idx="1306">
                  <c:v>359</c:v>
                </c:pt>
                <c:pt idx="1307">
                  <c:v>359</c:v>
                </c:pt>
                <c:pt idx="1308">
                  <c:v>359</c:v>
                </c:pt>
                <c:pt idx="1309">
                  <c:v>359</c:v>
                </c:pt>
                <c:pt idx="1310">
                  <c:v>359</c:v>
                </c:pt>
                <c:pt idx="1311">
                  <c:v>359</c:v>
                </c:pt>
                <c:pt idx="1312">
                  <c:v>359</c:v>
                </c:pt>
                <c:pt idx="1313">
                  <c:v>359</c:v>
                </c:pt>
                <c:pt idx="1314">
                  <c:v>359</c:v>
                </c:pt>
                <c:pt idx="1315">
                  <c:v>359</c:v>
                </c:pt>
                <c:pt idx="1316">
                  <c:v>359</c:v>
                </c:pt>
                <c:pt idx="1317">
                  <c:v>359</c:v>
                </c:pt>
                <c:pt idx="1318">
                  <c:v>359</c:v>
                </c:pt>
                <c:pt idx="1319">
                  <c:v>359</c:v>
                </c:pt>
                <c:pt idx="1320">
                  <c:v>360</c:v>
                </c:pt>
                <c:pt idx="1321">
                  <c:v>360</c:v>
                </c:pt>
                <c:pt idx="1322">
                  <c:v>360</c:v>
                </c:pt>
                <c:pt idx="1323">
                  <c:v>360</c:v>
                </c:pt>
                <c:pt idx="1324">
                  <c:v>360</c:v>
                </c:pt>
                <c:pt idx="1325">
                  <c:v>360</c:v>
                </c:pt>
                <c:pt idx="1326">
                  <c:v>360</c:v>
                </c:pt>
                <c:pt idx="1327">
                  <c:v>360</c:v>
                </c:pt>
                <c:pt idx="1328">
                  <c:v>360</c:v>
                </c:pt>
                <c:pt idx="1329">
                  <c:v>360</c:v>
                </c:pt>
                <c:pt idx="1330">
                  <c:v>360</c:v>
                </c:pt>
                <c:pt idx="1331">
                  <c:v>360</c:v>
                </c:pt>
                <c:pt idx="1332">
                  <c:v>360</c:v>
                </c:pt>
                <c:pt idx="1333">
                  <c:v>360</c:v>
                </c:pt>
                <c:pt idx="1334">
                  <c:v>360</c:v>
                </c:pt>
                <c:pt idx="1335">
                  <c:v>360</c:v>
                </c:pt>
                <c:pt idx="1336">
                  <c:v>360</c:v>
                </c:pt>
                <c:pt idx="1337">
                  <c:v>360</c:v>
                </c:pt>
                <c:pt idx="1338">
                  <c:v>360</c:v>
                </c:pt>
                <c:pt idx="1339">
                  <c:v>360</c:v>
                </c:pt>
                <c:pt idx="1340">
                  <c:v>360</c:v>
                </c:pt>
                <c:pt idx="1341">
                  <c:v>360</c:v>
                </c:pt>
                <c:pt idx="1342">
                  <c:v>360</c:v>
                </c:pt>
                <c:pt idx="1343">
                  <c:v>360</c:v>
                </c:pt>
                <c:pt idx="1344">
                  <c:v>361</c:v>
                </c:pt>
                <c:pt idx="1345">
                  <c:v>361</c:v>
                </c:pt>
                <c:pt idx="1346">
                  <c:v>361</c:v>
                </c:pt>
                <c:pt idx="1347">
                  <c:v>361</c:v>
                </c:pt>
                <c:pt idx="1348">
                  <c:v>361</c:v>
                </c:pt>
                <c:pt idx="1349">
                  <c:v>361</c:v>
                </c:pt>
                <c:pt idx="1350">
                  <c:v>361</c:v>
                </c:pt>
                <c:pt idx="1351">
                  <c:v>361</c:v>
                </c:pt>
                <c:pt idx="1352">
                  <c:v>361</c:v>
                </c:pt>
                <c:pt idx="1353">
                  <c:v>361</c:v>
                </c:pt>
                <c:pt idx="1354">
                  <c:v>361</c:v>
                </c:pt>
                <c:pt idx="1355">
                  <c:v>361</c:v>
                </c:pt>
                <c:pt idx="1356">
                  <c:v>361</c:v>
                </c:pt>
                <c:pt idx="1357">
                  <c:v>361</c:v>
                </c:pt>
                <c:pt idx="1358">
                  <c:v>361</c:v>
                </c:pt>
                <c:pt idx="1359">
                  <c:v>361</c:v>
                </c:pt>
                <c:pt idx="1360">
                  <c:v>361</c:v>
                </c:pt>
                <c:pt idx="1361">
                  <c:v>361</c:v>
                </c:pt>
                <c:pt idx="1362">
                  <c:v>361</c:v>
                </c:pt>
                <c:pt idx="1363">
                  <c:v>361</c:v>
                </c:pt>
                <c:pt idx="1364">
                  <c:v>361</c:v>
                </c:pt>
                <c:pt idx="1365">
                  <c:v>361</c:v>
                </c:pt>
                <c:pt idx="1366">
                  <c:v>361</c:v>
                </c:pt>
                <c:pt idx="1367">
                  <c:v>361</c:v>
                </c:pt>
                <c:pt idx="1368">
                  <c:v>362</c:v>
                </c:pt>
                <c:pt idx="1369">
                  <c:v>362</c:v>
                </c:pt>
                <c:pt idx="1370">
                  <c:v>362</c:v>
                </c:pt>
                <c:pt idx="1371">
                  <c:v>362</c:v>
                </c:pt>
                <c:pt idx="1372">
                  <c:v>362</c:v>
                </c:pt>
                <c:pt idx="1373">
                  <c:v>362</c:v>
                </c:pt>
                <c:pt idx="1374">
                  <c:v>362</c:v>
                </c:pt>
                <c:pt idx="1375">
                  <c:v>362</c:v>
                </c:pt>
                <c:pt idx="1376">
                  <c:v>362</c:v>
                </c:pt>
                <c:pt idx="1377">
                  <c:v>362</c:v>
                </c:pt>
                <c:pt idx="1378">
                  <c:v>362</c:v>
                </c:pt>
                <c:pt idx="1379">
                  <c:v>362</c:v>
                </c:pt>
                <c:pt idx="1380">
                  <c:v>362</c:v>
                </c:pt>
                <c:pt idx="1381">
                  <c:v>362</c:v>
                </c:pt>
                <c:pt idx="1382">
                  <c:v>362</c:v>
                </c:pt>
                <c:pt idx="1383">
                  <c:v>362</c:v>
                </c:pt>
                <c:pt idx="1384">
                  <c:v>362</c:v>
                </c:pt>
                <c:pt idx="1385">
                  <c:v>362</c:v>
                </c:pt>
                <c:pt idx="1386">
                  <c:v>362</c:v>
                </c:pt>
                <c:pt idx="1387">
                  <c:v>362</c:v>
                </c:pt>
                <c:pt idx="1388">
                  <c:v>362</c:v>
                </c:pt>
                <c:pt idx="1389">
                  <c:v>362</c:v>
                </c:pt>
                <c:pt idx="1390">
                  <c:v>362</c:v>
                </c:pt>
                <c:pt idx="1391">
                  <c:v>362</c:v>
                </c:pt>
                <c:pt idx="1392">
                  <c:v>363</c:v>
                </c:pt>
                <c:pt idx="1393">
                  <c:v>363</c:v>
                </c:pt>
                <c:pt idx="1394">
                  <c:v>363</c:v>
                </c:pt>
                <c:pt idx="1395">
                  <c:v>363</c:v>
                </c:pt>
                <c:pt idx="1396">
                  <c:v>363</c:v>
                </c:pt>
                <c:pt idx="1397">
                  <c:v>363</c:v>
                </c:pt>
                <c:pt idx="1398">
                  <c:v>363</c:v>
                </c:pt>
                <c:pt idx="1399">
                  <c:v>363</c:v>
                </c:pt>
                <c:pt idx="1400">
                  <c:v>363</c:v>
                </c:pt>
                <c:pt idx="1401">
                  <c:v>363</c:v>
                </c:pt>
                <c:pt idx="1402">
                  <c:v>363</c:v>
                </c:pt>
                <c:pt idx="1403">
                  <c:v>363</c:v>
                </c:pt>
                <c:pt idx="1404">
                  <c:v>363</c:v>
                </c:pt>
                <c:pt idx="1405">
                  <c:v>363</c:v>
                </c:pt>
                <c:pt idx="1406">
                  <c:v>363</c:v>
                </c:pt>
                <c:pt idx="1407">
                  <c:v>363</c:v>
                </c:pt>
                <c:pt idx="1408">
                  <c:v>363</c:v>
                </c:pt>
                <c:pt idx="1409">
                  <c:v>363</c:v>
                </c:pt>
                <c:pt idx="1410">
                  <c:v>363</c:v>
                </c:pt>
                <c:pt idx="1411">
                  <c:v>363</c:v>
                </c:pt>
                <c:pt idx="1412">
                  <c:v>363</c:v>
                </c:pt>
                <c:pt idx="1413">
                  <c:v>363</c:v>
                </c:pt>
                <c:pt idx="1414">
                  <c:v>363</c:v>
                </c:pt>
                <c:pt idx="1415">
                  <c:v>363</c:v>
                </c:pt>
                <c:pt idx="1416">
                  <c:v>364</c:v>
                </c:pt>
                <c:pt idx="1417">
                  <c:v>364</c:v>
                </c:pt>
                <c:pt idx="1418">
                  <c:v>364</c:v>
                </c:pt>
                <c:pt idx="1419">
                  <c:v>364</c:v>
                </c:pt>
                <c:pt idx="1420">
                  <c:v>364</c:v>
                </c:pt>
                <c:pt idx="1421">
                  <c:v>364</c:v>
                </c:pt>
                <c:pt idx="1422">
                  <c:v>364</c:v>
                </c:pt>
                <c:pt idx="1423">
                  <c:v>364</c:v>
                </c:pt>
                <c:pt idx="1424">
                  <c:v>364</c:v>
                </c:pt>
                <c:pt idx="1425">
                  <c:v>364</c:v>
                </c:pt>
                <c:pt idx="1426">
                  <c:v>364</c:v>
                </c:pt>
                <c:pt idx="1427">
                  <c:v>364</c:v>
                </c:pt>
                <c:pt idx="1428">
                  <c:v>364</c:v>
                </c:pt>
                <c:pt idx="1429">
                  <c:v>364</c:v>
                </c:pt>
                <c:pt idx="1430">
                  <c:v>364</c:v>
                </c:pt>
                <c:pt idx="1431">
                  <c:v>364</c:v>
                </c:pt>
                <c:pt idx="1432">
                  <c:v>364</c:v>
                </c:pt>
                <c:pt idx="1433">
                  <c:v>364</c:v>
                </c:pt>
                <c:pt idx="1434">
                  <c:v>364</c:v>
                </c:pt>
                <c:pt idx="1435">
                  <c:v>364</c:v>
                </c:pt>
                <c:pt idx="1436">
                  <c:v>364</c:v>
                </c:pt>
                <c:pt idx="1437">
                  <c:v>364</c:v>
                </c:pt>
                <c:pt idx="1438">
                  <c:v>364</c:v>
                </c:pt>
                <c:pt idx="1439">
                  <c:v>364</c:v>
                </c:pt>
                <c:pt idx="1440">
                  <c:v>365</c:v>
                </c:pt>
                <c:pt idx="1441">
                  <c:v>365</c:v>
                </c:pt>
                <c:pt idx="1442">
                  <c:v>365</c:v>
                </c:pt>
                <c:pt idx="1443">
                  <c:v>365</c:v>
                </c:pt>
                <c:pt idx="1444">
                  <c:v>365</c:v>
                </c:pt>
                <c:pt idx="1445">
                  <c:v>365</c:v>
                </c:pt>
                <c:pt idx="1446">
                  <c:v>365</c:v>
                </c:pt>
                <c:pt idx="1447">
                  <c:v>365</c:v>
                </c:pt>
                <c:pt idx="1448">
                  <c:v>365</c:v>
                </c:pt>
                <c:pt idx="1449">
                  <c:v>365</c:v>
                </c:pt>
                <c:pt idx="1450">
                  <c:v>365</c:v>
                </c:pt>
                <c:pt idx="1451">
                  <c:v>365</c:v>
                </c:pt>
                <c:pt idx="1452">
                  <c:v>365</c:v>
                </c:pt>
                <c:pt idx="1453">
                  <c:v>365</c:v>
                </c:pt>
                <c:pt idx="1454">
                  <c:v>365</c:v>
                </c:pt>
                <c:pt idx="1455">
                  <c:v>365</c:v>
                </c:pt>
                <c:pt idx="1456">
                  <c:v>365</c:v>
                </c:pt>
                <c:pt idx="1457">
                  <c:v>365</c:v>
                </c:pt>
                <c:pt idx="1458">
                  <c:v>365</c:v>
                </c:pt>
                <c:pt idx="1459">
                  <c:v>365</c:v>
                </c:pt>
                <c:pt idx="1460">
                  <c:v>365</c:v>
                </c:pt>
                <c:pt idx="1461">
                  <c:v>365</c:v>
                </c:pt>
                <c:pt idx="1462">
                  <c:v>365</c:v>
                </c:pt>
                <c:pt idx="1463">
                  <c:v>365</c:v>
                </c:pt>
              </c:numCache>
            </c:numRef>
          </c:cat>
          <c:val>
            <c:numRef>
              <c:f>DataHr!$Q$293:$Q$1756</c:f>
              <c:numCache>
                <c:formatCode>General</c:formatCode>
                <c:ptCount val="1464"/>
                <c:pt idx="0">
                  <c:v>327.39999999999998</c:v>
                </c:pt>
                <c:pt idx="1">
                  <c:v>327.39999999999998</c:v>
                </c:pt>
                <c:pt idx="2">
                  <c:v>327.39999999999998</c:v>
                </c:pt>
                <c:pt idx="3">
                  <c:v>327.39999999999998</c:v>
                </c:pt>
                <c:pt idx="4">
                  <c:v>327.39999999999998</c:v>
                </c:pt>
                <c:pt idx="5">
                  <c:v>327.39999999999998</c:v>
                </c:pt>
                <c:pt idx="6">
                  <c:v>327.39999999999998</c:v>
                </c:pt>
                <c:pt idx="7">
                  <c:v>327.5</c:v>
                </c:pt>
                <c:pt idx="8">
                  <c:v>327.39999999999998</c:v>
                </c:pt>
                <c:pt idx="9">
                  <c:v>327.39999999999998</c:v>
                </c:pt>
                <c:pt idx="10">
                  <c:v>327.39999999999998</c:v>
                </c:pt>
                <c:pt idx="11">
                  <c:v>327.3</c:v>
                </c:pt>
                <c:pt idx="12">
                  <c:v>327.3</c:v>
                </c:pt>
                <c:pt idx="13">
                  <c:v>327.3</c:v>
                </c:pt>
                <c:pt idx="14">
                  <c:v>327.2</c:v>
                </c:pt>
                <c:pt idx="15">
                  <c:v>327.3</c:v>
                </c:pt>
                <c:pt idx="16">
                  <c:v>327.3</c:v>
                </c:pt>
                <c:pt idx="17">
                  <c:v>327.39999999999998</c:v>
                </c:pt>
                <c:pt idx="18">
                  <c:v>327.39999999999998</c:v>
                </c:pt>
                <c:pt idx="19">
                  <c:v>327.39999999999998</c:v>
                </c:pt>
                <c:pt idx="20">
                  <c:v>327.39999999999998</c:v>
                </c:pt>
                <c:pt idx="21">
                  <c:v>327.39999999999998</c:v>
                </c:pt>
                <c:pt idx="22">
                  <c:v>327.39999999999998</c:v>
                </c:pt>
                <c:pt idx="23">
                  <c:v>327.39999999999998</c:v>
                </c:pt>
                <c:pt idx="24">
                  <c:v>327.39999999999998</c:v>
                </c:pt>
                <c:pt idx="25">
                  <c:v>327.39999999999998</c:v>
                </c:pt>
                <c:pt idx="26">
                  <c:v>327.39999999999998</c:v>
                </c:pt>
                <c:pt idx="27">
                  <c:v>327.5</c:v>
                </c:pt>
                <c:pt idx="28">
                  <c:v>327.5</c:v>
                </c:pt>
                <c:pt idx="29">
                  <c:v>327.5</c:v>
                </c:pt>
                <c:pt idx="30">
                  <c:v>327.5</c:v>
                </c:pt>
                <c:pt idx="31">
                  <c:v>327.5</c:v>
                </c:pt>
                <c:pt idx="32">
                  <c:v>327.5</c:v>
                </c:pt>
                <c:pt idx="33">
                  <c:v>327.39999999999998</c:v>
                </c:pt>
                <c:pt idx="34">
                  <c:v>327.39999999999998</c:v>
                </c:pt>
                <c:pt idx="35">
                  <c:v>327.39999999999998</c:v>
                </c:pt>
                <c:pt idx="36">
                  <c:v>327.39999999999998</c:v>
                </c:pt>
                <c:pt idx="37">
                  <c:v>327.39999999999998</c:v>
                </c:pt>
                <c:pt idx="38">
                  <c:v>327.39999999999998</c:v>
                </c:pt>
                <c:pt idx="39">
                  <c:v>327.39999999999998</c:v>
                </c:pt>
                <c:pt idx="40">
                  <c:v>327.39999999999998</c:v>
                </c:pt>
                <c:pt idx="41">
                  <c:v>327.5</c:v>
                </c:pt>
                <c:pt idx="42">
                  <c:v>327.5</c:v>
                </c:pt>
                <c:pt idx="43">
                  <c:v>327.5</c:v>
                </c:pt>
                <c:pt idx="44">
                  <c:v>327.5</c:v>
                </c:pt>
                <c:pt idx="45">
                  <c:v>327.60000000000002</c:v>
                </c:pt>
                <c:pt idx="46">
                  <c:v>327.60000000000002</c:v>
                </c:pt>
                <c:pt idx="47">
                  <c:v>327.60000000000002</c:v>
                </c:pt>
                <c:pt idx="48">
                  <c:v>327.60000000000002</c:v>
                </c:pt>
                <c:pt idx="49">
                  <c:v>327.60000000000002</c:v>
                </c:pt>
                <c:pt idx="50">
                  <c:v>327.60000000000002</c:v>
                </c:pt>
                <c:pt idx="51">
                  <c:v>327.60000000000002</c:v>
                </c:pt>
                <c:pt idx="52">
                  <c:v>327.60000000000002</c:v>
                </c:pt>
                <c:pt idx="53">
                  <c:v>327.7</c:v>
                </c:pt>
                <c:pt idx="54">
                  <c:v>327.7</c:v>
                </c:pt>
                <c:pt idx="55">
                  <c:v>327.60000000000002</c:v>
                </c:pt>
                <c:pt idx="56">
                  <c:v>327.60000000000002</c:v>
                </c:pt>
                <c:pt idx="57">
                  <c:v>327.5</c:v>
                </c:pt>
                <c:pt idx="58">
                  <c:v>327.39999999999998</c:v>
                </c:pt>
                <c:pt idx="59">
                  <c:v>327.39999999999998</c:v>
                </c:pt>
                <c:pt idx="60">
                  <c:v>327.5</c:v>
                </c:pt>
                <c:pt idx="61">
                  <c:v>327.9</c:v>
                </c:pt>
                <c:pt idx="62">
                  <c:v>328.7</c:v>
                </c:pt>
                <c:pt idx="63">
                  <c:v>329.2</c:v>
                </c:pt>
                <c:pt idx="64">
                  <c:v>330.3</c:v>
                </c:pt>
                <c:pt idx="65">
                  <c:v>332.4</c:v>
                </c:pt>
                <c:pt idx="66">
                  <c:v>333.6</c:v>
                </c:pt>
                <c:pt idx="67">
                  <c:v>334.6</c:v>
                </c:pt>
                <c:pt idx="68">
                  <c:v>335.3</c:v>
                </c:pt>
                <c:pt idx="69">
                  <c:v>335.8</c:v>
                </c:pt>
                <c:pt idx="70">
                  <c:v>336.6</c:v>
                </c:pt>
                <c:pt idx="71">
                  <c:v>337.5</c:v>
                </c:pt>
                <c:pt idx="72">
                  <c:v>338.5</c:v>
                </c:pt>
                <c:pt idx="73">
                  <c:v>339.5</c:v>
                </c:pt>
                <c:pt idx="74">
                  <c:v>340.8</c:v>
                </c:pt>
                <c:pt idx="75">
                  <c:v>342.8</c:v>
                </c:pt>
                <c:pt idx="76">
                  <c:v>344.9</c:v>
                </c:pt>
                <c:pt idx="77">
                  <c:v>348</c:v>
                </c:pt>
                <c:pt idx="78">
                  <c:v>350.9</c:v>
                </c:pt>
                <c:pt idx="79">
                  <c:v>354.1</c:v>
                </c:pt>
                <c:pt idx="80">
                  <c:v>357.5</c:v>
                </c:pt>
                <c:pt idx="81">
                  <c:v>360</c:v>
                </c:pt>
                <c:pt idx="82">
                  <c:v>362.7</c:v>
                </c:pt>
                <c:pt idx="83">
                  <c:v>365</c:v>
                </c:pt>
                <c:pt idx="84">
                  <c:v>365.9</c:v>
                </c:pt>
                <c:pt idx="85">
                  <c:v>366</c:v>
                </c:pt>
                <c:pt idx="86">
                  <c:v>366.1</c:v>
                </c:pt>
                <c:pt idx="87">
                  <c:v>366.1</c:v>
                </c:pt>
                <c:pt idx="88">
                  <c:v>366.1</c:v>
                </c:pt>
                <c:pt idx="89">
                  <c:v>366.1</c:v>
                </c:pt>
                <c:pt idx="90">
                  <c:v>366.1</c:v>
                </c:pt>
                <c:pt idx="91">
                  <c:v>366.1</c:v>
                </c:pt>
                <c:pt idx="92">
                  <c:v>366.4</c:v>
                </c:pt>
                <c:pt idx="93">
                  <c:v>366.7</c:v>
                </c:pt>
                <c:pt idx="94">
                  <c:v>366.7</c:v>
                </c:pt>
                <c:pt idx="95">
                  <c:v>366.7</c:v>
                </c:pt>
                <c:pt idx="96">
                  <c:v>366.7</c:v>
                </c:pt>
                <c:pt idx="97">
                  <c:v>372.2</c:v>
                </c:pt>
                <c:pt idx="98">
                  <c:v>376.3</c:v>
                </c:pt>
                <c:pt idx="99">
                  <c:v>377.9</c:v>
                </c:pt>
                <c:pt idx="100">
                  <c:v>381.6</c:v>
                </c:pt>
                <c:pt idx="101">
                  <c:v>381.6</c:v>
                </c:pt>
                <c:pt idx="102">
                  <c:v>381.6</c:v>
                </c:pt>
                <c:pt idx="103">
                  <c:v>381.6</c:v>
                </c:pt>
                <c:pt idx="104">
                  <c:v>381.6</c:v>
                </c:pt>
                <c:pt idx="105">
                  <c:v>381.6</c:v>
                </c:pt>
                <c:pt idx="106">
                  <c:v>381.6</c:v>
                </c:pt>
                <c:pt idx="107">
                  <c:v>381.6</c:v>
                </c:pt>
                <c:pt idx="108">
                  <c:v>382.1</c:v>
                </c:pt>
                <c:pt idx="109">
                  <c:v>382.4</c:v>
                </c:pt>
                <c:pt idx="110">
                  <c:v>382.4</c:v>
                </c:pt>
                <c:pt idx="111">
                  <c:v>382.5</c:v>
                </c:pt>
                <c:pt idx="112">
                  <c:v>382.8</c:v>
                </c:pt>
                <c:pt idx="113">
                  <c:v>382.8</c:v>
                </c:pt>
                <c:pt idx="114">
                  <c:v>382.8</c:v>
                </c:pt>
                <c:pt idx="115">
                  <c:v>382.8</c:v>
                </c:pt>
                <c:pt idx="116">
                  <c:v>382.8</c:v>
                </c:pt>
                <c:pt idx="117">
                  <c:v>382.8</c:v>
                </c:pt>
                <c:pt idx="118">
                  <c:v>382.9</c:v>
                </c:pt>
                <c:pt idx="119">
                  <c:v>382.9</c:v>
                </c:pt>
                <c:pt idx="120">
                  <c:v>382.9</c:v>
                </c:pt>
                <c:pt idx="121">
                  <c:v>382.9</c:v>
                </c:pt>
                <c:pt idx="122">
                  <c:v>382.9</c:v>
                </c:pt>
                <c:pt idx="123">
                  <c:v>382.9</c:v>
                </c:pt>
                <c:pt idx="124">
                  <c:v>382.9</c:v>
                </c:pt>
                <c:pt idx="125">
                  <c:v>382.9</c:v>
                </c:pt>
                <c:pt idx="126">
                  <c:v>382.9</c:v>
                </c:pt>
                <c:pt idx="127">
                  <c:v>383</c:v>
                </c:pt>
                <c:pt idx="128">
                  <c:v>383.2</c:v>
                </c:pt>
                <c:pt idx="129">
                  <c:v>383.6</c:v>
                </c:pt>
                <c:pt idx="130">
                  <c:v>384</c:v>
                </c:pt>
                <c:pt idx="131">
                  <c:v>384.4</c:v>
                </c:pt>
                <c:pt idx="132">
                  <c:v>384.8</c:v>
                </c:pt>
                <c:pt idx="133">
                  <c:v>385.4</c:v>
                </c:pt>
                <c:pt idx="134">
                  <c:v>386.1</c:v>
                </c:pt>
                <c:pt idx="135">
                  <c:v>386.9</c:v>
                </c:pt>
                <c:pt idx="136">
                  <c:v>387.3</c:v>
                </c:pt>
                <c:pt idx="137">
                  <c:v>387.9</c:v>
                </c:pt>
                <c:pt idx="138">
                  <c:v>388.6</c:v>
                </c:pt>
                <c:pt idx="139">
                  <c:v>389.4</c:v>
                </c:pt>
                <c:pt idx="140">
                  <c:v>390.6</c:v>
                </c:pt>
                <c:pt idx="141">
                  <c:v>392.3</c:v>
                </c:pt>
                <c:pt idx="142">
                  <c:v>394.3</c:v>
                </c:pt>
                <c:pt idx="143">
                  <c:v>396.1</c:v>
                </c:pt>
                <c:pt idx="144">
                  <c:v>397.8</c:v>
                </c:pt>
                <c:pt idx="145">
                  <c:v>400.1</c:v>
                </c:pt>
                <c:pt idx="146">
                  <c:v>402.1</c:v>
                </c:pt>
                <c:pt idx="147">
                  <c:v>403.5</c:v>
                </c:pt>
                <c:pt idx="148">
                  <c:v>404.6</c:v>
                </c:pt>
                <c:pt idx="149">
                  <c:v>406.7</c:v>
                </c:pt>
                <c:pt idx="150">
                  <c:v>408.3</c:v>
                </c:pt>
                <c:pt idx="151">
                  <c:v>409.6</c:v>
                </c:pt>
                <c:pt idx="152">
                  <c:v>410.9</c:v>
                </c:pt>
                <c:pt idx="153">
                  <c:v>412.1</c:v>
                </c:pt>
                <c:pt idx="154">
                  <c:v>413.3</c:v>
                </c:pt>
                <c:pt idx="155">
                  <c:v>414</c:v>
                </c:pt>
                <c:pt idx="156">
                  <c:v>414.5</c:v>
                </c:pt>
                <c:pt idx="157">
                  <c:v>415</c:v>
                </c:pt>
                <c:pt idx="158">
                  <c:v>415</c:v>
                </c:pt>
                <c:pt idx="159">
                  <c:v>415.2</c:v>
                </c:pt>
                <c:pt idx="160">
                  <c:v>415.3</c:v>
                </c:pt>
                <c:pt idx="161">
                  <c:v>415.4</c:v>
                </c:pt>
                <c:pt idx="162">
                  <c:v>415.5</c:v>
                </c:pt>
                <c:pt idx="163">
                  <c:v>415.6</c:v>
                </c:pt>
                <c:pt idx="164">
                  <c:v>415.7</c:v>
                </c:pt>
                <c:pt idx="165">
                  <c:v>416.5</c:v>
                </c:pt>
                <c:pt idx="166">
                  <c:v>416.8</c:v>
                </c:pt>
                <c:pt idx="167">
                  <c:v>416.9</c:v>
                </c:pt>
                <c:pt idx="168">
                  <c:v>417.9</c:v>
                </c:pt>
                <c:pt idx="169">
                  <c:v>418.3</c:v>
                </c:pt>
                <c:pt idx="170">
                  <c:v>418.3</c:v>
                </c:pt>
                <c:pt idx="171">
                  <c:v>418.4</c:v>
                </c:pt>
                <c:pt idx="172">
                  <c:v>418.5</c:v>
                </c:pt>
                <c:pt idx="173">
                  <c:v>418.6</c:v>
                </c:pt>
                <c:pt idx="174">
                  <c:v>418.7</c:v>
                </c:pt>
                <c:pt idx="175">
                  <c:v>418.7</c:v>
                </c:pt>
                <c:pt idx="176">
                  <c:v>418.7</c:v>
                </c:pt>
                <c:pt idx="177">
                  <c:v>418.9</c:v>
                </c:pt>
                <c:pt idx="178">
                  <c:v>418.9</c:v>
                </c:pt>
                <c:pt idx="179">
                  <c:v>419.1</c:v>
                </c:pt>
                <c:pt idx="180">
                  <c:v>419.1</c:v>
                </c:pt>
                <c:pt idx="181">
                  <c:v>419</c:v>
                </c:pt>
                <c:pt idx="182">
                  <c:v>419</c:v>
                </c:pt>
                <c:pt idx="183">
                  <c:v>418.9</c:v>
                </c:pt>
                <c:pt idx="184">
                  <c:v>419.1</c:v>
                </c:pt>
                <c:pt idx="185">
                  <c:v>419.1</c:v>
                </c:pt>
                <c:pt idx="186">
                  <c:v>419.2</c:v>
                </c:pt>
                <c:pt idx="187">
                  <c:v>419.2</c:v>
                </c:pt>
                <c:pt idx="188">
                  <c:v>419.2</c:v>
                </c:pt>
                <c:pt idx="189">
                  <c:v>419.2</c:v>
                </c:pt>
                <c:pt idx="190">
                  <c:v>419.2</c:v>
                </c:pt>
                <c:pt idx="191">
                  <c:v>419.2</c:v>
                </c:pt>
                <c:pt idx="192">
                  <c:v>419.2</c:v>
                </c:pt>
                <c:pt idx="193">
                  <c:v>419.2</c:v>
                </c:pt>
                <c:pt idx="194">
                  <c:v>419.2</c:v>
                </c:pt>
                <c:pt idx="195">
                  <c:v>419.2</c:v>
                </c:pt>
                <c:pt idx="196">
                  <c:v>419.2</c:v>
                </c:pt>
                <c:pt idx="197">
                  <c:v>419.2</c:v>
                </c:pt>
                <c:pt idx="198">
                  <c:v>419.2</c:v>
                </c:pt>
                <c:pt idx="199">
                  <c:v>419.2</c:v>
                </c:pt>
                <c:pt idx="200">
                  <c:v>419.1</c:v>
                </c:pt>
                <c:pt idx="201">
                  <c:v>419</c:v>
                </c:pt>
                <c:pt idx="202">
                  <c:v>419</c:v>
                </c:pt>
                <c:pt idx="203">
                  <c:v>419</c:v>
                </c:pt>
                <c:pt idx="204">
                  <c:v>419</c:v>
                </c:pt>
                <c:pt idx="205">
                  <c:v>419</c:v>
                </c:pt>
                <c:pt idx="206">
                  <c:v>419</c:v>
                </c:pt>
                <c:pt idx="207">
                  <c:v>419</c:v>
                </c:pt>
                <c:pt idx="208">
                  <c:v>419.1</c:v>
                </c:pt>
                <c:pt idx="209">
                  <c:v>419.1</c:v>
                </c:pt>
                <c:pt idx="210">
                  <c:v>419.2</c:v>
                </c:pt>
                <c:pt idx="211">
                  <c:v>419.2</c:v>
                </c:pt>
                <c:pt idx="212">
                  <c:v>419.2</c:v>
                </c:pt>
                <c:pt idx="213">
                  <c:v>419.2</c:v>
                </c:pt>
                <c:pt idx="214">
                  <c:v>419.2</c:v>
                </c:pt>
                <c:pt idx="215">
                  <c:v>419.2</c:v>
                </c:pt>
                <c:pt idx="216">
                  <c:v>419.2</c:v>
                </c:pt>
                <c:pt idx="217">
                  <c:v>419.2</c:v>
                </c:pt>
                <c:pt idx="218">
                  <c:v>419.2</c:v>
                </c:pt>
                <c:pt idx="219">
                  <c:v>419.3</c:v>
                </c:pt>
                <c:pt idx="220">
                  <c:v>419.3</c:v>
                </c:pt>
                <c:pt idx="221">
                  <c:v>419.3</c:v>
                </c:pt>
                <c:pt idx="222">
                  <c:v>419.3</c:v>
                </c:pt>
                <c:pt idx="223">
                  <c:v>419.2</c:v>
                </c:pt>
                <c:pt idx="224">
                  <c:v>419.1</c:v>
                </c:pt>
                <c:pt idx="225">
                  <c:v>419</c:v>
                </c:pt>
                <c:pt idx="226">
                  <c:v>419</c:v>
                </c:pt>
                <c:pt idx="227">
                  <c:v>419</c:v>
                </c:pt>
                <c:pt idx="228">
                  <c:v>418.9</c:v>
                </c:pt>
                <c:pt idx="229">
                  <c:v>418.9</c:v>
                </c:pt>
                <c:pt idx="230">
                  <c:v>418.9</c:v>
                </c:pt>
                <c:pt idx="231">
                  <c:v>418.9</c:v>
                </c:pt>
                <c:pt idx="232">
                  <c:v>419</c:v>
                </c:pt>
                <c:pt idx="233">
                  <c:v>419.1</c:v>
                </c:pt>
                <c:pt idx="234">
                  <c:v>419.1</c:v>
                </c:pt>
                <c:pt idx="235">
                  <c:v>419.1</c:v>
                </c:pt>
                <c:pt idx="236">
                  <c:v>419.2</c:v>
                </c:pt>
                <c:pt idx="237">
                  <c:v>419.2</c:v>
                </c:pt>
                <c:pt idx="238">
                  <c:v>419.2</c:v>
                </c:pt>
                <c:pt idx="239">
                  <c:v>419.2</c:v>
                </c:pt>
                <c:pt idx="240">
                  <c:v>419.2</c:v>
                </c:pt>
                <c:pt idx="241">
                  <c:v>419.2</c:v>
                </c:pt>
                <c:pt idx="242">
                  <c:v>419.2</c:v>
                </c:pt>
                <c:pt idx="243">
                  <c:v>419.2</c:v>
                </c:pt>
                <c:pt idx="244">
                  <c:v>419.2</c:v>
                </c:pt>
                <c:pt idx="245">
                  <c:v>419.2</c:v>
                </c:pt>
                <c:pt idx="246">
                  <c:v>419.2</c:v>
                </c:pt>
                <c:pt idx="247">
                  <c:v>419.2</c:v>
                </c:pt>
                <c:pt idx="248">
                  <c:v>419.2</c:v>
                </c:pt>
                <c:pt idx="249">
                  <c:v>419.2</c:v>
                </c:pt>
                <c:pt idx="250">
                  <c:v>419.2</c:v>
                </c:pt>
                <c:pt idx="251">
                  <c:v>419.1</c:v>
                </c:pt>
                <c:pt idx="252">
                  <c:v>419.1</c:v>
                </c:pt>
                <c:pt idx="253">
                  <c:v>419.1</c:v>
                </c:pt>
                <c:pt idx="254">
                  <c:v>419.1</c:v>
                </c:pt>
                <c:pt idx="255">
                  <c:v>419.2</c:v>
                </c:pt>
                <c:pt idx="256">
                  <c:v>419.2</c:v>
                </c:pt>
                <c:pt idx="257">
                  <c:v>419.2</c:v>
                </c:pt>
                <c:pt idx="258">
                  <c:v>419.2</c:v>
                </c:pt>
                <c:pt idx="259">
                  <c:v>419.2</c:v>
                </c:pt>
                <c:pt idx="260">
                  <c:v>419.3</c:v>
                </c:pt>
                <c:pt idx="261">
                  <c:v>419.2</c:v>
                </c:pt>
                <c:pt idx="262">
                  <c:v>419.2</c:v>
                </c:pt>
                <c:pt idx="263">
                  <c:v>419.2</c:v>
                </c:pt>
                <c:pt idx="264">
                  <c:v>419.1</c:v>
                </c:pt>
                <c:pt idx="265">
                  <c:v>419.1</c:v>
                </c:pt>
                <c:pt idx="266">
                  <c:v>419.1</c:v>
                </c:pt>
                <c:pt idx="267">
                  <c:v>419.2</c:v>
                </c:pt>
                <c:pt idx="268">
                  <c:v>419.2</c:v>
                </c:pt>
                <c:pt idx="269">
                  <c:v>419.1</c:v>
                </c:pt>
                <c:pt idx="270">
                  <c:v>419.1</c:v>
                </c:pt>
                <c:pt idx="271">
                  <c:v>419.2</c:v>
                </c:pt>
                <c:pt idx="272">
                  <c:v>419.1</c:v>
                </c:pt>
                <c:pt idx="273">
                  <c:v>419</c:v>
                </c:pt>
                <c:pt idx="274">
                  <c:v>419</c:v>
                </c:pt>
                <c:pt idx="275">
                  <c:v>418.9</c:v>
                </c:pt>
                <c:pt idx="276">
                  <c:v>418.9</c:v>
                </c:pt>
                <c:pt idx="277">
                  <c:v>418.9</c:v>
                </c:pt>
                <c:pt idx="278">
                  <c:v>419</c:v>
                </c:pt>
                <c:pt idx="279">
                  <c:v>419</c:v>
                </c:pt>
                <c:pt idx="280">
                  <c:v>419</c:v>
                </c:pt>
                <c:pt idx="281">
                  <c:v>419.1</c:v>
                </c:pt>
                <c:pt idx="282">
                  <c:v>419.1</c:v>
                </c:pt>
                <c:pt idx="283">
                  <c:v>419.1</c:v>
                </c:pt>
                <c:pt idx="284">
                  <c:v>419.1</c:v>
                </c:pt>
                <c:pt idx="285">
                  <c:v>419.1</c:v>
                </c:pt>
                <c:pt idx="286">
                  <c:v>419.1</c:v>
                </c:pt>
                <c:pt idx="287">
                  <c:v>419.1</c:v>
                </c:pt>
                <c:pt idx="288">
                  <c:v>419.1</c:v>
                </c:pt>
                <c:pt idx="289">
                  <c:v>419.1</c:v>
                </c:pt>
                <c:pt idx="290">
                  <c:v>419.1</c:v>
                </c:pt>
                <c:pt idx="291">
                  <c:v>419.1</c:v>
                </c:pt>
                <c:pt idx="292">
                  <c:v>419.1</c:v>
                </c:pt>
                <c:pt idx="293">
                  <c:v>419.1</c:v>
                </c:pt>
                <c:pt idx="294">
                  <c:v>419.1</c:v>
                </c:pt>
                <c:pt idx="295">
                  <c:v>419.1</c:v>
                </c:pt>
                <c:pt idx="296">
                  <c:v>419.1</c:v>
                </c:pt>
                <c:pt idx="297">
                  <c:v>419.1</c:v>
                </c:pt>
                <c:pt idx="298">
                  <c:v>419</c:v>
                </c:pt>
                <c:pt idx="299">
                  <c:v>419</c:v>
                </c:pt>
                <c:pt idx="300">
                  <c:v>419</c:v>
                </c:pt>
                <c:pt idx="301">
                  <c:v>418.9</c:v>
                </c:pt>
                <c:pt idx="302">
                  <c:v>418.9</c:v>
                </c:pt>
                <c:pt idx="303">
                  <c:v>419</c:v>
                </c:pt>
                <c:pt idx="304">
                  <c:v>419</c:v>
                </c:pt>
                <c:pt idx="305">
                  <c:v>419</c:v>
                </c:pt>
                <c:pt idx="306">
                  <c:v>419</c:v>
                </c:pt>
                <c:pt idx="307">
                  <c:v>419.1</c:v>
                </c:pt>
                <c:pt idx="308">
                  <c:v>419</c:v>
                </c:pt>
                <c:pt idx="309">
                  <c:v>419</c:v>
                </c:pt>
                <c:pt idx="310">
                  <c:v>419</c:v>
                </c:pt>
                <c:pt idx="311">
                  <c:v>419</c:v>
                </c:pt>
                <c:pt idx="312">
                  <c:v>419</c:v>
                </c:pt>
                <c:pt idx="313">
                  <c:v>419</c:v>
                </c:pt>
                <c:pt idx="314">
                  <c:v>419</c:v>
                </c:pt>
                <c:pt idx="315">
                  <c:v>419</c:v>
                </c:pt>
                <c:pt idx="316">
                  <c:v>419</c:v>
                </c:pt>
                <c:pt idx="317">
                  <c:v>419</c:v>
                </c:pt>
                <c:pt idx="318">
                  <c:v>419</c:v>
                </c:pt>
                <c:pt idx="319">
                  <c:v>419</c:v>
                </c:pt>
                <c:pt idx="320">
                  <c:v>419</c:v>
                </c:pt>
                <c:pt idx="321">
                  <c:v>418.9</c:v>
                </c:pt>
                <c:pt idx="322">
                  <c:v>418.9</c:v>
                </c:pt>
                <c:pt idx="323">
                  <c:v>418.9</c:v>
                </c:pt>
                <c:pt idx="324">
                  <c:v>418.8</c:v>
                </c:pt>
                <c:pt idx="325">
                  <c:v>418.8</c:v>
                </c:pt>
                <c:pt idx="326">
                  <c:v>418.8</c:v>
                </c:pt>
                <c:pt idx="327">
                  <c:v>418.8</c:v>
                </c:pt>
                <c:pt idx="328">
                  <c:v>418.9</c:v>
                </c:pt>
                <c:pt idx="329">
                  <c:v>419</c:v>
                </c:pt>
                <c:pt idx="330">
                  <c:v>419</c:v>
                </c:pt>
                <c:pt idx="331">
                  <c:v>419</c:v>
                </c:pt>
                <c:pt idx="332">
                  <c:v>419</c:v>
                </c:pt>
                <c:pt idx="333">
                  <c:v>419.1</c:v>
                </c:pt>
                <c:pt idx="334">
                  <c:v>419.1</c:v>
                </c:pt>
                <c:pt idx="335">
                  <c:v>419</c:v>
                </c:pt>
                <c:pt idx="336">
                  <c:v>419</c:v>
                </c:pt>
                <c:pt idx="337">
                  <c:v>419</c:v>
                </c:pt>
                <c:pt idx="338">
                  <c:v>419</c:v>
                </c:pt>
                <c:pt idx="339">
                  <c:v>419</c:v>
                </c:pt>
                <c:pt idx="340">
                  <c:v>419</c:v>
                </c:pt>
                <c:pt idx="341">
                  <c:v>419</c:v>
                </c:pt>
                <c:pt idx="342">
                  <c:v>419</c:v>
                </c:pt>
                <c:pt idx="343">
                  <c:v>419</c:v>
                </c:pt>
                <c:pt idx="344">
                  <c:v>418.9</c:v>
                </c:pt>
                <c:pt idx="345">
                  <c:v>418.8</c:v>
                </c:pt>
                <c:pt idx="346">
                  <c:v>418.8</c:v>
                </c:pt>
                <c:pt idx="347">
                  <c:v>418.8</c:v>
                </c:pt>
                <c:pt idx="348">
                  <c:v>418.7</c:v>
                </c:pt>
                <c:pt idx="349">
                  <c:v>418.7</c:v>
                </c:pt>
                <c:pt idx="350">
                  <c:v>418.7</c:v>
                </c:pt>
                <c:pt idx="351">
                  <c:v>418.7</c:v>
                </c:pt>
                <c:pt idx="352">
                  <c:v>418.8</c:v>
                </c:pt>
                <c:pt idx="353">
                  <c:v>418.9</c:v>
                </c:pt>
                <c:pt idx="354">
                  <c:v>418.9</c:v>
                </c:pt>
                <c:pt idx="355">
                  <c:v>419</c:v>
                </c:pt>
                <c:pt idx="356">
                  <c:v>419</c:v>
                </c:pt>
                <c:pt idx="357">
                  <c:v>419</c:v>
                </c:pt>
                <c:pt idx="358">
                  <c:v>419</c:v>
                </c:pt>
                <c:pt idx="359">
                  <c:v>419</c:v>
                </c:pt>
                <c:pt idx="360">
                  <c:v>419</c:v>
                </c:pt>
                <c:pt idx="361">
                  <c:v>419</c:v>
                </c:pt>
                <c:pt idx="362">
                  <c:v>419</c:v>
                </c:pt>
                <c:pt idx="363">
                  <c:v>419</c:v>
                </c:pt>
                <c:pt idx="364">
                  <c:v>419</c:v>
                </c:pt>
                <c:pt idx="365">
                  <c:v>419</c:v>
                </c:pt>
                <c:pt idx="366">
                  <c:v>419</c:v>
                </c:pt>
                <c:pt idx="367">
                  <c:v>419.1</c:v>
                </c:pt>
                <c:pt idx="368">
                  <c:v>419</c:v>
                </c:pt>
                <c:pt idx="369">
                  <c:v>418.8</c:v>
                </c:pt>
                <c:pt idx="370">
                  <c:v>418.8</c:v>
                </c:pt>
                <c:pt idx="371">
                  <c:v>418.8</c:v>
                </c:pt>
                <c:pt idx="372">
                  <c:v>418.8</c:v>
                </c:pt>
                <c:pt idx="373">
                  <c:v>418.8</c:v>
                </c:pt>
                <c:pt idx="374">
                  <c:v>418.9</c:v>
                </c:pt>
                <c:pt idx="375">
                  <c:v>418.9</c:v>
                </c:pt>
                <c:pt idx="376">
                  <c:v>418.9</c:v>
                </c:pt>
                <c:pt idx="377">
                  <c:v>419</c:v>
                </c:pt>
                <c:pt idx="378">
                  <c:v>419</c:v>
                </c:pt>
                <c:pt idx="379">
                  <c:v>419.1</c:v>
                </c:pt>
                <c:pt idx="380">
                  <c:v>419.1</c:v>
                </c:pt>
                <c:pt idx="381">
                  <c:v>419.1</c:v>
                </c:pt>
                <c:pt idx="382">
                  <c:v>419.1</c:v>
                </c:pt>
                <c:pt idx="383">
                  <c:v>419.1</c:v>
                </c:pt>
                <c:pt idx="384">
                  <c:v>419.2</c:v>
                </c:pt>
                <c:pt idx="385">
                  <c:v>419.2</c:v>
                </c:pt>
                <c:pt idx="386">
                  <c:v>419.2</c:v>
                </c:pt>
                <c:pt idx="387">
                  <c:v>419.2</c:v>
                </c:pt>
                <c:pt idx="388">
                  <c:v>419.2</c:v>
                </c:pt>
                <c:pt idx="389">
                  <c:v>419.3</c:v>
                </c:pt>
                <c:pt idx="390">
                  <c:v>419.3</c:v>
                </c:pt>
                <c:pt idx="391">
                  <c:v>419.3</c:v>
                </c:pt>
                <c:pt idx="392">
                  <c:v>419.3</c:v>
                </c:pt>
                <c:pt idx="393">
                  <c:v>419.2</c:v>
                </c:pt>
                <c:pt idx="394">
                  <c:v>419.2</c:v>
                </c:pt>
                <c:pt idx="395">
                  <c:v>419.1</c:v>
                </c:pt>
                <c:pt idx="396">
                  <c:v>419.1</c:v>
                </c:pt>
                <c:pt idx="397">
                  <c:v>419</c:v>
                </c:pt>
                <c:pt idx="398">
                  <c:v>419</c:v>
                </c:pt>
                <c:pt idx="399">
                  <c:v>419</c:v>
                </c:pt>
                <c:pt idx="400">
                  <c:v>419.2</c:v>
                </c:pt>
                <c:pt idx="401">
                  <c:v>419.3</c:v>
                </c:pt>
                <c:pt idx="402">
                  <c:v>419.3</c:v>
                </c:pt>
                <c:pt idx="403">
                  <c:v>419.3</c:v>
                </c:pt>
                <c:pt idx="404">
                  <c:v>419.4</c:v>
                </c:pt>
                <c:pt idx="405">
                  <c:v>419.4</c:v>
                </c:pt>
                <c:pt idx="406">
                  <c:v>419.4</c:v>
                </c:pt>
                <c:pt idx="407">
                  <c:v>419.3</c:v>
                </c:pt>
                <c:pt idx="408">
                  <c:v>419.4</c:v>
                </c:pt>
                <c:pt idx="409">
                  <c:v>419.4</c:v>
                </c:pt>
                <c:pt idx="410">
                  <c:v>419.4</c:v>
                </c:pt>
                <c:pt idx="411">
                  <c:v>419.4</c:v>
                </c:pt>
                <c:pt idx="412">
                  <c:v>419.4</c:v>
                </c:pt>
                <c:pt idx="413">
                  <c:v>419.4</c:v>
                </c:pt>
                <c:pt idx="414">
                  <c:v>419.4</c:v>
                </c:pt>
                <c:pt idx="415">
                  <c:v>419.4</c:v>
                </c:pt>
                <c:pt idx="416">
                  <c:v>419.3</c:v>
                </c:pt>
                <c:pt idx="417">
                  <c:v>419.2</c:v>
                </c:pt>
                <c:pt idx="418">
                  <c:v>419.1</c:v>
                </c:pt>
                <c:pt idx="419">
                  <c:v>419</c:v>
                </c:pt>
                <c:pt idx="420">
                  <c:v>419</c:v>
                </c:pt>
                <c:pt idx="421">
                  <c:v>419</c:v>
                </c:pt>
                <c:pt idx="422">
                  <c:v>418.9</c:v>
                </c:pt>
                <c:pt idx="423">
                  <c:v>418.9</c:v>
                </c:pt>
                <c:pt idx="424">
                  <c:v>419.1</c:v>
                </c:pt>
                <c:pt idx="425">
                  <c:v>419.2</c:v>
                </c:pt>
                <c:pt idx="426">
                  <c:v>419.2</c:v>
                </c:pt>
                <c:pt idx="427">
                  <c:v>419.2</c:v>
                </c:pt>
                <c:pt idx="428">
                  <c:v>419.3</c:v>
                </c:pt>
                <c:pt idx="429">
                  <c:v>419.3</c:v>
                </c:pt>
                <c:pt idx="430">
                  <c:v>419.3</c:v>
                </c:pt>
                <c:pt idx="431">
                  <c:v>419.3</c:v>
                </c:pt>
                <c:pt idx="432">
                  <c:v>419.3</c:v>
                </c:pt>
                <c:pt idx="433">
                  <c:v>419.3</c:v>
                </c:pt>
                <c:pt idx="434">
                  <c:v>419.3</c:v>
                </c:pt>
                <c:pt idx="435">
                  <c:v>419.3</c:v>
                </c:pt>
                <c:pt idx="436">
                  <c:v>419.3</c:v>
                </c:pt>
                <c:pt idx="437">
                  <c:v>419.3</c:v>
                </c:pt>
                <c:pt idx="438">
                  <c:v>419.3</c:v>
                </c:pt>
                <c:pt idx="439">
                  <c:v>419.3</c:v>
                </c:pt>
                <c:pt idx="440">
                  <c:v>419.2</c:v>
                </c:pt>
                <c:pt idx="441">
                  <c:v>419.1</c:v>
                </c:pt>
                <c:pt idx="442">
                  <c:v>419</c:v>
                </c:pt>
                <c:pt idx="443">
                  <c:v>418.9</c:v>
                </c:pt>
                <c:pt idx="444">
                  <c:v>418.9</c:v>
                </c:pt>
                <c:pt idx="445">
                  <c:v>418.8</c:v>
                </c:pt>
                <c:pt idx="446">
                  <c:v>418.8</c:v>
                </c:pt>
                <c:pt idx="447">
                  <c:v>418.8</c:v>
                </c:pt>
                <c:pt idx="448">
                  <c:v>419</c:v>
                </c:pt>
                <c:pt idx="449">
                  <c:v>419.1</c:v>
                </c:pt>
                <c:pt idx="450">
                  <c:v>419.1</c:v>
                </c:pt>
                <c:pt idx="451">
                  <c:v>419.2</c:v>
                </c:pt>
                <c:pt idx="452">
                  <c:v>419.2</c:v>
                </c:pt>
                <c:pt idx="453">
                  <c:v>419.2</c:v>
                </c:pt>
                <c:pt idx="454">
                  <c:v>419.2</c:v>
                </c:pt>
                <c:pt idx="455">
                  <c:v>419.2</c:v>
                </c:pt>
                <c:pt idx="456">
                  <c:v>419.2</c:v>
                </c:pt>
                <c:pt idx="457">
                  <c:v>419.2</c:v>
                </c:pt>
                <c:pt idx="458">
                  <c:v>419.2</c:v>
                </c:pt>
                <c:pt idx="459">
                  <c:v>419.2</c:v>
                </c:pt>
                <c:pt idx="460">
                  <c:v>419.2</c:v>
                </c:pt>
                <c:pt idx="461">
                  <c:v>419.2</c:v>
                </c:pt>
                <c:pt idx="462">
                  <c:v>419.2</c:v>
                </c:pt>
                <c:pt idx="463">
                  <c:v>419.2</c:v>
                </c:pt>
                <c:pt idx="464">
                  <c:v>419.2</c:v>
                </c:pt>
                <c:pt idx="465">
                  <c:v>419</c:v>
                </c:pt>
                <c:pt idx="466">
                  <c:v>419</c:v>
                </c:pt>
                <c:pt idx="467">
                  <c:v>418.9</c:v>
                </c:pt>
                <c:pt idx="468">
                  <c:v>418.9</c:v>
                </c:pt>
                <c:pt idx="469">
                  <c:v>418.9</c:v>
                </c:pt>
                <c:pt idx="470">
                  <c:v>418.9</c:v>
                </c:pt>
                <c:pt idx="471">
                  <c:v>418.9</c:v>
                </c:pt>
                <c:pt idx="472">
                  <c:v>419</c:v>
                </c:pt>
                <c:pt idx="473">
                  <c:v>419</c:v>
                </c:pt>
                <c:pt idx="474">
                  <c:v>419</c:v>
                </c:pt>
                <c:pt idx="475">
                  <c:v>419.1</c:v>
                </c:pt>
                <c:pt idx="476">
                  <c:v>419.1</c:v>
                </c:pt>
                <c:pt idx="477">
                  <c:v>419</c:v>
                </c:pt>
                <c:pt idx="478">
                  <c:v>419</c:v>
                </c:pt>
                <c:pt idx="479">
                  <c:v>419</c:v>
                </c:pt>
                <c:pt idx="480">
                  <c:v>419.3</c:v>
                </c:pt>
                <c:pt idx="481">
                  <c:v>420.2</c:v>
                </c:pt>
                <c:pt idx="482">
                  <c:v>420.5</c:v>
                </c:pt>
                <c:pt idx="483">
                  <c:v>420.5</c:v>
                </c:pt>
                <c:pt idx="484">
                  <c:v>420.5</c:v>
                </c:pt>
                <c:pt idx="485">
                  <c:v>420.5</c:v>
                </c:pt>
                <c:pt idx="486">
                  <c:v>420.5</c:v>
                </c:pt>
                <c:pt idx="487">
                  <c:v>420.5</c:v>
                </c:pt>
                <c:pt idx="488">
                  <c:v>420.5</c:v>
                </c:pt>
                <c:pt idx="489">
                  <c:v>420.5</c:v>
                </c:pt>
                <c:pt idx="490">
                  <c:v>420.5</c:v>
                </c:pt>
                <c:pt idx="491">
                  <c:v>420.4</c:v>
                </c:pt>
                <c:pt idx="492">
                  <c:v>420.4</c:v>
                </c:pt>
                <c:pt idx="493">
                  <c:v>420.4</c:v>
                </c:pt>
                <c:pt idx="494">
                  <c:v>420.4</c:v>
                </c:pt>
                <c:pt idx="495">
                  <c:v>420.4</c:v>
                </c:pt>
                <c:pt idx="496">
                  <c:v>420.4</c:v>
                </c:pt>
                <c:pt idx="497">
                  <c:v>420.4</c:v>
                </c:pt>
                <c:pt idx="498">
                  <c:v>420.4</c:v>
                </c:pt>
                <c:pt idx="499">
                  <c:v>420.4</c:v>
                </c:pt>
                <c:pt idx="500">
                  <c:v>420.5</c:v>
                </c:pt>
                <c:pt idx="501">
                  <c:v>420.5</c:v>
                </c:pt>
                <c:pt idx="502">
                  <c:v>420.5</c:v>
                </c:pt>
                <c:pt idx="503">
                  <c:v>420.5</c:v>
                </c:pt>
                <c:pt idx="504">
                  <c:v>420.5</c:v>
                </c:pt>
                <c:pt idx="505">
                  <c:v>420.5</c:v>
                </c:pt>
                <c:pt idx="506">
                  <c:v>420.5</c:v>
                </c:pt>
                <c:pt idx="507">
                  <c:v>420.5</c:v>
                </c:pt>
                <c:pt idx="508">
                  <c:v>420.5</c:v>
                </c:pt>
                <c:pt idx="509">
                  <c:v>420.5</c:v>
                </c:pt>
                <c:pt idx="510">
                  <c:v>420.6</c:v>
                </c:pt>
                <c:pt idx="511">
                  <c:v>420.6</c:v>
                </c:pt>
                <c:pt idx="512">
                  <c:v>420.8</c:v>
                </c:pt>
                <c:pt idx="513">
                  <c:v>420.8</c:v>
                </c:pt>
                <c:pt idx="514">
                  <c:v>421.3</c:v>
                </c:pt>
                <c:pt idx="515">
                  <c:v>421.4</c:v>
                </c:pt>
                <c:pt idx="516">
                  <c:v>421.5</c:v>
                </c:pt>
                <c:pt idx="517">
                  <c:v>421.6</c:v>
                </c:pt>
                <c:pt idx="518">
                  <c:v>422.3</c:v>
                </c:pt>
                <c:pt idx="519">
                  <c:v>422.6</c:v>
                </c:pt>
                <c:pt idx="520">
                  <c:v>422.8</c:v>
                </c:pt>
                <c:pt idx="521">
                  <c:v>423</c:v>
                </c:pt>
                <c:pt idx="522">
                  <c:v>423.6</c:v>
                </c:pt>
                <c:pt idx="523">
                  <c:v>424</c:v>
                </c:pt>
                <c:pt idx="524">
                  <c:v>424.1</c:v>
                </c:pt>
                <c:pt idx="525">
                  <c:v>424.2</c:v>
                </c:pt>
                <c:pt idx="526">
                  <c:v>424.2</c:v>
                </c:pt>
                <c:pt idx="527">
                  <c:v>424.2</c:v>
                </c:pt>
                <c:pt idx="528">
                  <c:v>424.2</c:v>
                </c:pt>
                <c:pt idx="529">
                  <c:v>424.2</c:v>
                </c:pt>
                <c:pt idx="530">
                  <c:v>424.2</c:v>
                </c:pt>
                <c:pt idx="531">
                  <c:v>424.2</c:v>
                </c:pt>
                <c:pt idx="532">
                  <c:v>424.2</c:v>
                </c:pt>
                <c:pt idx="533">
                  <c:v>424.2</c:v>
                </c:pt>
                <c:pt idx="534">
                  <c:v>424.2</c:v>
                </c:pt>
                <c:pt idx="535">
                  <c:v>424.2</c:v>
                </c:pt>
                <c:pt idx="536">
                  <c:v>424.1</c:v>
                </c:pt>
                <c:pt idx="537">
                  <c:v>424.1</c:v>
                </c:pt>
                <c:pt idx="538">
                  <c:v>424</c:v>
                </c:pt>
                <c:pt idx="539">
                  <c:v>424</c:v>
                </c:pt>
                <c:pt idx="540">
                  <c:v>424</c:v>
                </c:pt>
                <c:pt idx="541">
                  <c:v>424</c:v>
                </c:pt>
                <c:pt idx="542">
                  <c:v>423.9</c:v>
                </c:pt>
                <c:pt idx="543">
                  <c:v>424</c:v>
                </c:pt>
                <c:pt idx="544">
                  <c:v>424.1</c:v>
                </c:pt>
                <c:pt idx="545">
                  <c:v>424</c:v>
                </c:pt>
                <c:pt idx="546">
                  <c:v>424.1</c:v>
                </c:pt>
                <c:pt idx="547">
                  <c:v>424.1</c:v>
                </c:pt>
                <c:pt idx="548">
                  <c:v>424.1</c:v>
                </c:pt>
                <c:pt idx="549">
                  <c:v>424.1</c:v>
                </c:pt>
                <c:pt idx="550">
                  <c:v>424.1</c:v>
                </c:pt>
                <c:pt idx="551">
                  <c:v>424.1</c:v>
                </c:pt>
                <c:pt idx="552">
                  <c:v>424.1</c:v>
                </c:pt>
                <c:pt idx="553">
                  <c:v>424.1</c:v>
                </c:pt>
                <c:pt idx="554">
                  <c:v>424.1</c:v>
                </c:pt>
                <c:pt idx="555">
                  <c:v>424.1</c:v>
                </c:pt>
                <c:pt idx="556">
                  <c:v>424.1</c:v>
                </c:pt>
                <c:pt idx="557">
                  <c:v>424.1</c:v>
                </c:pt>
                <c:pt idx="558">
                  <c:v>424.1</c:v>
                </c:pt>
                <c:pt idx="559">
                  <c:v>424.1</c:v>
                </c:pt>
                <c:pt idx="560">
                  <c:v>424</c:v>
                </c:pt>
                <c:pt idx="561">
                  <c:v>424</c:v>
                </c:pt>
                <c:pt idx="562">
                  <c:v>424</c:v>
                </c:pt>
                <c:pt idx="563">
                  <c:v>424</c:v>
                </c:pt>
                <c:pt idx="564">
                  <c:v>423.9</c:v>
                </c:pt>
                <c:pt idx="565">
                  <c:v>424</c:v>
                </c:pt>
                <c:pt idx="566">
                  <c:v>424</c:v>
                </c:pt>
                <c:pt idx="567">
                  <c:v>424</c:v>
                </c:pt>
                <c:pt idx="568">
                  <c:v>424.1</c:v>
                </c:pt>
                <c:pt idx="569">
                  <c:v>424.1</c:v>
                </c:pt>
                <c:pt idx="570">
                  <c:v>424.1</c:v>
                </c:pt>
                <c:pt idx="571">
                  <c:v>424.1</c:v>
                </c:pt>
                <c:pt idx="572">
                  <c:v>424.1</c:v>
                </c:pt>
                <c:pt idx="573">
                  <c:v>424.1</c:v>
                </c:pt>
                <c:pt idx="574">
                  <c:v>424.1</c:v>
                </c:pt>
                <c:pt idx="575">
                  <c:v>424.1</c:v>
                </c:pt>
                <c:pt idx="576">
                  <c:v>424.1</c:v>
                </c:pt>
                <c:pt idx="577">
                  <c:v>424.1</c:v>
                </c:pt>
                <c:pt idx="578">
                  <c:v>424</c:v>
                </c:pt>
                <c:pt idx="579">
                  <c:v>424</c:v>
                </c:pt>
                <c:pt idx="580">
                  <c:v>424</c:v>
                </c:pt>
                <c:pt idx="581">
                  <c:v>424</c:v>
                </c:pt>
                <c:pt idx="582">
                  <c:v>424</c:v>
                </c:pt>
                <c:pt idx="583">
                  <c:v>424</c:v>
                </c:pt>
                <c:pt idx="584">
                  <c:v>424</c:v>
                </c:pt>
                <c:pt idx="585">
                  <c:v>424.1</c:v>
                </c:pt>
                <c:pt idx="586">
                  <c:v>424.4</c:v>
                </c:pt>
                <c:pt idx="587">
                  <c:v>424.4</c:v>
                </c:pt>
                <c:pt idx="588">
                  <c:v>424.4</c:v>
                </c:pt>
                <c:pt idx="589">
                  <c:v>425.1</c:v>
                </c:pt>
                <c:pt idx="590">
                  <c:v>426.5</c:v>
                </c:pt>
                <c:pt idx="591">
                  <c:v>427.5</c:v>
                </c:pt>
                <c:pt idx="592">
                  <c:v>428.5</c:v>
                </c:pt>
                <c:pt idx="593">
                  <c:v>428.8</c:v>
                </c:pt>
                <c:pt idx="594">
                  <c:v>428.8</c:v>
                </c:pt>
                <c:pt idx="595">
                  <c:v>428.8</c:v>
                </c:pt>
                <c:pt idx="596">
                  <c:v>428.8</c:v>
                </c:pt>
                <c:pt idx="597">
                  <c:v>428.8</c:v>
                </c:pt>
                <c:pt idx="598">
                  <c:v>428.8</c:v>
                </c:pt>
                <c:pt idx="599">
                  <c:v>428.8</c:v>
                </c:pt>
                <c:pt idx="600">
                  <c:v>428.8</c:v>
                </c:pt>
                <c:pt idx="601">
                  <c:v>428.8</c:v>
                </c:pt>
                <c:pt idx="602">
                  <c:v>428.8</c:v>
                </c:pt>
                <c:pt idx="603">
                  <c:v>428.8</c:v>
                </c:pt>
                <c:pt idx="604">
                  <c:v>428.8</c:v>
                </c:pt>
                <c:pt idx="605">
                  <c:v>428.8</c:v>
                </c:pt>
                <c:pt idx="606">
                  <c:v>428.8</c:v>
                </c:pt>
                <c:pt idx="607">
                  <c:v>428.8</c:v>
                </c:pt>
                <c:pt idx="608">
                  <c:v>428.8</c:v>
                </c:pt>
                <c:pt idx="609">
                  <c:v>428.7</c:v>
                </c:pt>
                <c:pt idx="610">
                  <c:v>428.7</c:v>
                </c:pt>
                <c:pt idx="611">
                  <c:v>428.7</c:v>
                </c:pt>
                <c:pt idx="612">
                  <c:v>428.7</c:v>
                </c:pt>
                <c:pt idx="613">
                  <c:v>428.7</c:v>
                </c:pt>
                <c:pt idx="614">
                  <c:v>428.7</c:v>
                </c:pt>
                <c:pt idx="615">
                  <c:v>428.7</c:v>
                </c:pt>
                <c:pt idx="616">
                  <c:v>428.7</c:v>
                </c:pt>
                <c:pt idx="617">
                  <c:v>428.9</c:v>
                </c:pt>
                <c:pt idx="618">
                  <c:v>429</c:v>
                </c:pt>
                <c:pt idx="619">
                  <c:v>429</c:v>
                </c:pt>
                <c:pt idx="620">
                  <c:v>429</c:v>
                </c:pt>
                <c:pt idx="621">
                  <c:v>429</c:v>
                </c:pt>
                <c:pt idx="622">
                  <c:v>429.1</c:v>
                </c:pt>
                <c:pt idx="623">
                  <c:v>429.1</c:v>
                </c:pt>
                <c:pt idx="624">
                  <c:v>429.1</c:v>
                </c:pt>
                <c:pt idx="625">
                  <c:v>429.2</c:v>
                </c:pt>
                <c:pt idx="626">
                  <c:v>431.1</c:v>
                </c:pt>
                <c:pt idx="627">
                  <c:v>433.6</c:v>
                </c:pt>
                <c:pt idx="628">
                  <c:v>435.9</c:v>
                </c:pt>
                <c:pt idx="629">
                  <c:v>440.1</c:v>
                </c:pt>
                <c:pt idx="630">
                  <c:v>440.4</c:v>
                </c:pt>
                <c:pt idx="631">
                  <c:v>440.4</c:v>
                </c:pt>
                <c:pt idx="632">
                  <c:v>440.4</c:v>
                </c:pt>
                <c:pt idx="633">
                  <c:v>440.4</c:v>
                </c:pt>
                <c:pt idx="634">
                  <c:v>440.4</c:v>
                </c:pt>
                <c:pt idx="635">
                  <c:v>440.4</c:v>
                </c:pt>
                <c:pt idx="636">
                  <c:v>440.8</c:v>
                </c:pt>
                <c:pt idx="637">
                  <c:v>440.9</c:v>
                </c:pt>
                <c:pt idx="638">
                  <c:v>441</c:v>
                </c:pt>
                <c:pt idx="639">
                  <c:v>441.4</c:v>
                </c:pt>
                <c:pt idx="640">
                  <c:v>442.6</c:v>
                </c:pt>
                <c:pt idx="641">
                  <c:v>442.8</c:v>
                </c:pt>
                <c:pt idx="642">
                  <c:v>442.8</c:v>
                </c:pt>
                <c:pt idx="643">
                  <c:v>442.8</c:v>
                </c:pt>
                <c:pt idx="644">
                  <c:v>443.2</c:v>
                </c:pt>
                <c:pt idx="645">
                  <c:v>443.5</c:v>
                </c:pt>
                <c:pt idx="646">
                  <c:v>443.5</c:v>
                </c:pt>
                <c:pt idx="647">
                  <c:v>443.6</c:v>
                </c:pt>
                <c:pt idx="648">
                  <c:v>444</c:v>
                </c:pt>
                <c:pt idx="649">
                  <c:v>445.7</c:v>
                </c:pt>
                <c:pt idx="650">
                  <c:v>446.7</c:v>
                </c:pt>
                <c:pt idx="651">
                  <c:v>447</c:v>
                </c:pt>
                <c:pt idx="652">
                  <c:v>447.1</c:v>
                </c:pt>
                <c:pt idx="653">
                  <c:v>447.1</c:v>
                </c:pt>
                <c:pt idx="654">
                  <c:v>447.1</c:v>
                </c:pt>
                <c:pt idx="655">
                  <c:v>447.1</c:v>
                </c:pt>
                <c:pt idx="656">
                  <c:v>447.1</c:v>
                </c:pt>
                <c:pt idx="657">
                  <c:v>447.1</c:v>
                </c:pt>
                <c:pt idx="658">
                  <c:v>447.1</c:v>
                </c:pt>
                <c:pt idx="659">
                  <c:v>447.2</c:v>
                </c:pt>
                <c:pt idx="660">
                  <c:v>447.3</c:v>
                </c:pt>
                <c:pt idx="661">
                  <c:v>447.5</c:v>
                </c:pt>
                <c:pt idx="662">
                  <c:v>447.6</c:v>
                </c:pt>
                <c:pt idx="663">
                  <c:v>447.6</c:v>
                </c:pt>
                <c:pt idx="664">
                  <c:v>447.7</c:v>
                </c:pt>
                <c:pt idx="665">
                  <c:v>447.7</c:v>
                </c:pt>
                <c:pt idx="666">
                  <c:v>447.7</c:v>
                </c:pt>
                <c:pt idx="667">
                  <c:v>447.7</c:v>
                </c:pt>
                <c:pt idx="668">
                  <c:v>447.7</c:v>
                </c:pt>
                <c:pt idx="669">
                  <c:v>447.7</c:v>
                </c:pt>
                <c:pt idx="670">
                  <c:v>447.7</c:v>
                </c:pt>
                <c:pt idx="671">
                  <c:v>447.7</c:v>
                </c:pt>
                <c:pt idx="672">
                  <c:v>447.7</c:v>
                </c:pt>
                <c:pt idx="673">
                  <c:v>447.6</c:v>
                </c:pt>
                <c:pt idx="674">
                  <c:v>447.6</c:v>
                </c:pt>
                <c:pt idx="675">
                  <c:v>447.6</c:v>
                </c:pt>
                <c:pt idx="676">
                  <c:v>447.7</c:v>
                </c:pt>
                <c:pt idx="677">
                  <c:v>447.8</c:v>
                </c:pt>
                <c:pt idx="678">
                  <c:v>447.8</c:v>
                </c:pt>
                <c:pt idx="679">
                  <c:v>447.7</c:v>
                </c:pt>
                <c:pt idx="680">
                  <c:v>447.6</c:v>
                </c:pt>
                <c:pt idx="681">
                  <c:v>447.6</c:v>
                </c:pt>
                <c:pt idx="682">
                  <c:v>447.6</c:v>
                </c:pt>
                <c:pt idx="683">
                  <c:v>447.6</c:v>
                </c:pt>
                <c:pt idx="684">
                  <c:v>447.8</c:v>
                </c:pt>
                <c:pt idx="685">
                  <c:v>448</c:v>
                </c:pt>
                <c:pt idx="686">
                  <c:v>448.1</c:v>
                </c:pt>
                <c:pt idx="687">
                  <c:v>448.3</c:v>
                </c:pt>
                <c:pt idx="688">
                  <c:v>448.4</c:v>
                </c:pt>
                <c:pt idx="689">
                  <c:v>448.5</c:v>
                </c:pt>
                <c:pt idx="690">
                  <c:v>448.9</c:v>
                </c:pt>
                <c:pt idx="691">
                  <c:v>449.8</c:v>
                </c:pt>
                <c:pt idx="692">
                  <c:v>450.4</c:v>
                </c:pt>
                <c:pt idx="693">
                  <c:v>451</c:v>
                </c:pt>
                <c:pt idx="694">
                  <c:v>451.9</c:v>
                </c:pt>
                <c:pt idx="695">
                  <c:v>452.3</c:v>
                </c:pt>
                <c:pt idx="696">
                  <c:v>452.4</c:v>
                </c:pt>
                <c:pt idx="697">
                  <c:v>452.5</c:v>
                </c:pt>
                <c:pt idx="698">
                  <c:v>452.8</c:v>
                </c:pt>
                <c:pt idx="699">
                  <c:v>453.1</c:v>
                </c:pt>
                <c:pt idx="700">
                  <c:v>453.4</c:v>
                </c:pt>
                <c:pt idx="701">
                  <c:v>453.5</c:v>
                </c:pt>
                <c:pt idx="702">
                  <c:v>453.5</c:v>
                </c:pt>
                <c:pt idx="703">
                  <c:v>453.5</c:v>
                </c:pt>
                <c:pt idx="704">
                  <c:v>453.5</c:v>
                </c:pt>
                <c:pt idx="705">
                  <c:v>453.5</c:v>
                </c:pt>
                <c:pt idx="706">
                  <c:v>454.1</c:v>
                </c:pt>
                <c:pt idx="707">
                  <c:v>454.1</c:v>
                </c:pt>
                <c:pt idx="708">
                  <c:v>454.1</c:v>
                </c:pt>
                <c:pt idx="709">
                  <c:v>454</c:v>
                </c:pt>
                <c:pt idx="710">
                  <c:v>453.9</c:v>
                </c:pt>
                <c:pt idx="711">
                  <c:v>454</c:v>
                </c:pt>
                <c:pt idx="712">
                  <c:v>454.1</c:v>
                </c:pt>
                <c:pt idx="713">
                  <c:v>454.2</c:v>
                </c:pt>
                <c:pt idx="714">
                  <c:v>454.2</c:v>
                </c:pt>
                <c:pt idx="715">
                  <c:v>454.2</c:v>
                </c:pt>
                <c:pt idx="716">
                  <c:v>454.1</c:v>
                </c:pt>
                <c:pt idx="717">
                  <c:v>454.1</c:v>
                </c:pt>
                <c:pt idx="718">
                  <c:v>454.3</c:v>
                </c:pt>
                <c:pt idx="719">
                  <c:v>455.3</c:v>
                </c:pt>
                <c:pt idx="720">
                  <c:v>456.3</c:v>
                </c:pt>
                <c:pt idx="721">
                  <c:v>456.8</c:v>
                </c:pt>
                <c:pt idx="722">
                  <c:v>457</c:v>
                </c:pt>
                <c:pt idx="723">
                  <c:v>457.2</c:v>
                </c:pt>
                <c:pt idx="724">
                  <c:v>457.3</c:v>
                </c:pt>
                <c:pt idx="725">
                  <c:v>457.3</c:v>
                </c:pt>
                <c:pt idx="726">
                  <c:v>457.3</c:v>
                </c:pt>
                <c:pt idx="727">
                  <c:v>457.2</c:v>
                </c:pt>
                <c:pt idx="728">
                  <c:v>457.2</c:v>
                </c:pt>
                <c:pt idx="729">
                  <c:v>457.2</c:v>
                </c:pt>
                <c:pt idx="730">
                  <c:v>457.2</c:v>
                </c:pt>
                <c:pt idx="731">
                  <c:v>457.2</c:v>
                </c:pt>
                <c:pt idx="732">
                  <c:v>457.1</c:v>
                </c:pt>
                <c:pt idx="733">
                  <c:v>457</c:v>
                </c:pt>
                <c:pt idx="734">
                  <c:v>456.9</c:v>
                </c:pt>
                <c:pt idx="735">
                  <c:v>456.9</c:v>
                </c:pt>
                <c:pt idx="736">
                  <c:v>457</c:v>
                </c:pt>
                <c:pt idx="737">
                  <c:v>457.1</c:v>
                </c:pt>
                <c:pt idx="738">
                  <c:v>457.1</c:v>
                </c:pt>
                <c:pt idx="739">
                  <c:v>457.1</c:v>
                </c:pt>
                <c:pt idx="740">
                  <c:v>457.1</c:v>
                </c:pt>
                <c:pt idx="741">
                  <c:v>457.1</c:v>
                </c:pt>
                <c:pt idx="742">
                  <c:v>457.1</c:v>
                </c:pt>
                <c:pt idx="743">
                  <c:v>457.1</c:v>
                </c:pt>
                <c:pt idx="744">
                  <c:v>457.1</c:v>
                </c:pt>
                <c:pt idx="745">
                  <c:v>457.1</c:v>
                </c:pt>
                <c:pt idx="746">
                  <c:v>457.1</c:v>
                </c:pt>
                <c:pt idx="747">
                  <c:v>457.1</c:v>
                </c:pt>
                <c:pt idx="748">
                  <c:v>457.1</c:v>
                </c:pt>
                <c:pt idx="749">
                  <c:v>457</c:v>
                </c:pt>
                <c:pt idx="750">
                  <c:v>457</c:v>
                </c:pt>
                <c:pt idx="751">
                  <c:v>457</c:v>
                </c:pt>
                <c:pt idx="752">
                  <c:v>457.1</c:v>
                </c:pt>
                <c:pt idx="753">
                  <c:v>457.1</c:v>
                </c:pt>
                <c:pt idx="754">
                  <c:v>456.9</c:v>
                </c:pt>
                <c:pt idx="755">
                  <c:v>456.9</c:v>
                </c:pt>
                <c:pt idx="756">
                  <c:v>457</c:v>
                </c:pt>
                <c:pt idx="757">
                  <c:v>456.9</c:v>
                </c:pt>
                <c:pt idx="758">
                  <c:v>457</c:v>
                </c:pt>
                <c:pt idx="759">
                  <c:v>457</c:v>
                </c:pt>
                <c:pt idx="760">
                  <c:v>457.2</c:v>
                </c:pt>
                <c:pt idx="761">
                  <c:v>457.2</c:v>
                </c:pt>
                <c:pt idx="762">
                  <c:v>457.2</c:v>
                </c:pt>
                <c:pt idx="763">
                  <c:v>457.2</c:v>
                </c:pt>
                <c:pt idx="764">
                  <c:v>457.2</c:v>
                </c:pt>
                <c:pt idx="765">
                  <c:v>457.2</c:v>
                </c:pt>
                <c:pt idx="766">
                  <c:v>457.1</c:v>
                </c:pt>
                <c:pt idx="767">
                  <c:v>457.2</c:v>
                </c:pt>
                <c:pt idx="768">
                  <c:v>457.2</c:v>
                </c:pt>
                <c:pt idx="769">
                  <c:v>457.2</c:v>
                </c:pt>
                <c:pt idx="770">
                  <c:v>457.2</c:v>
                </c:pt>
                <c:pt idx="771">
                  <c:v>457.2</c:v>
                </c:pt>
                <c:pt idx="772">
                  <c:v>457.2</c:v>
                </c:pt>
                <c:pt idx="773">
                  <c:v>457.2</c:v>
                </c:pt>
                <c:pt idx="774">
                  <c:v>457.2</c:v>
                </c:pt>
                <c:pt idx="775">
                  <c:v>457.2</c:v>
                </c:pt>
                <c:pt idx="776">
                  <c:v>457.2</c:v>
                </c:pt>
                <c:pt idx="777">
                  <c:v>457.2</c:v>
                </c:pt>
                <c:pt idx="778">
                  <c:v>457.1</c:v>
                </c:pt>
                <c:pt idx="779">
                  <c:v>457.1</c:v>
                </c:pt>
                <c:pt idx="780">
                  <c:v>457.1</c:v>
                </c:pt>
                <c:pt idx="781">
                  <c:v>457.1</c:v>
                </c:pt>
                <c:pt idx="782">
                  <c:v>457.1</c:v>
                </c:pt>
                <c:pt idx="783">
                  <c:v>457.1</c:v>
                </c:pt>
                <c:pt idx="784">
                  <c:v>457.1</c:v>
                </c:pt>
                <c:pt idx="785">
                  <c:v>457.2</c:v>
                </c:pt>
                <c:pt idx="786">
                  <c:v>457.1</c:v>
                </c:pt>
                <c:pt idx="787">
                  <c:v>457.1</c:v>
                </c:pt>
                <c:pt idx="788">
                  <c:v>457.2</c:v>
                </c:pt>
                <c:pt idx="789">
                  <c:v>457.1</c:v>
                </c:pt>
                <c:pt idx="790">
                  <c:v>457.1</c:v>
                </c:pt>
                <c:pt idx="791">
                  <c:v>457.2</c:v>
                </c:pt>
                <c:pt idx="792">
                  <c:v>457.2</c:v>
                </c:pt>
                <c:pt idx="793">
                  <c:v>457.2</c:v>
                </c:pt>
                <c:pt idx="794">
                  <c:v>457.2</c:v>
                </c:pt>
                <c:pt idx="795">
                  <c:v>457.2</c:v>
                </c:pt>
                <c:pt idx="796">
                  <c:v>457.2</c:v>
                </c:pt>
                <c:pt idx="797">
                  <c:v>457.2</c:v>
                </c:pt>
                <c:pt idx="798">
                  <c:v>457.2</c:v>
                </c:pt>
                <c:pt idx="799">
                  <c:v>457.2</c:v>
                </c:pt>
                <c:pt idx="800">
                  <c:v>457.1</c:v>
                </c:pt>
                <c:pt idx="801">
                  <c:v>457</c:v>
                </c:pt>
                <c:pt idx="802">
                  <c:v>459.1</c:v>
                </c:pt>
                <c:pt idx="803">
                  <c:v>459</c:v>
                </c:pt>
                <c:pt idx="804">
                  <c:v>458.9</c:v>
                </c:pt>
                <c:pt idx="805">
                  <c:v>458.9</c:v>
                </c:pt>
                <c:pt idx="806">
                  <c:v>458.9</c:v>
                </c:pt>
                <c:pt idx="807">
                  <c:v>459</c:v>
                </c:pt>
                <c:pt idx="808">
                  <c:v>459</c:v>
                </c:pt>
                <c:pt idx="809">
                  <c:v>459.1</c:v>
                </c:pt>
                <c:pt idx="810">
                  <c:v>459.1</c:v>
                </c:pt>
                <c:pt idx="811">
                  <c:v>459.1</c:v>
                </c:pt>
                <c:pt idx="812">
                  <c:v>459.1</c:v>
                </c:pt>
                <c:pt idx="813">
                  <c:v>459.1</c:v>
                </c:pt>
                <c:pt idx="814">
                  <c:v>459.1</c:v>
                </c:pt>
                <c:pt idx="815">
                  <c:v>459.1</c:v>
                </c:pt>
                <c:pt idx="816">
                  <c:v>459.1</c:v>
                </c:pt>
                <c:pt idx="817">
                  <c:v>459.2</c:v>
                </c:pt>
                <c:pt idx="818">
                  <c:v>459.2</c:v>
                </c:pt>
                <c:pt idx="819">
                  <c:v>459.2</c:v>
                </c:pt>
                <c:pt idx="820">
                  <c:v>459.2</c:v>
                </c:pt>
                <c:pt idx="821">
                  <c:v>459.2</c:v>
                </c:pt>
                <c:pt idx="822">
                  <c:v>459.2</c:v>
                </c:pt>
                <c:pt idx="823">
                  <c:v>459.2</c:v>
                </c:pt>
                <c:pt idx="824">
                  <c:v>459.2</c:v>
                </c:pt>
                <c:pt idx="825">
                  <c:v>459.2</c:v>
                </c:pt>
                <c:pt idx="826">
                  <c:v>459.2</c:v>
                </c:pt>
                <c:pt idx="827">
                  <c:v>459.2</c:v>
                </c:pt>
                <c:pt idx="828">
                  <c:v>459.2</c:v>
                </c:pt>
                <c:pt idx="829">
                  <c:v>459.1</c:v>
                </c:pt>
                <c:pt idx="830">
                  <c:v>459.1</c:v>
                </c:pt>
                <c:pt idx="831">
                  <c:v>459.1</c:v>
                </c:pt>
                <c:pt idx="832">
                  <c:v>459.1</c:v>
                </c:pt>
                <c:pt idx="833">
                  <c:v>459.2</c:v>
                </c:pt>
                <c:pt idx="834">
                  <c:v>459.2</c:v>
                </c:pt>
                <c:pt idx="835">
                  <c:v>459.2</c:v>
                </c:pt>
                <c:pt idx="836">
                  <c:v>459.2</c:v>
                </c:pt>
                <c:pt idx="837">
                  <c:v>459.1</c:v>
                </c:pt>
                <c:pt idx="838">
                  <c:v>459.1</c:v>
                </c:pt>
                <c:pt idx="839">
                  <c:v>459.1</c:v>
                </c:pt>
                <c:pt idx="840">
                  <c:v>459.1</c:v>
                </c:pt>
                <c:pt idx="841">
                  <c:v>459.1</c:v>
                </c:pt>
                <c:pt idx="842">
                  <c:v>459.2</c:v>
                </c:pt>
                <c:pt idx="843">
                  <c:v>459.2</c:v>
                </c:pt>
                <c:pt idx="844">
                  <c:v>459.2</c:v>
                </c:pt>
                <c:pt idx="845">
                  <c:v>459.2</c:v>
                </c:pt>
                <c:pt idx="846">
                  <c:v>459.2</c:v>
                </c:pt>
                <c:pt idx="847">
                  <c:v>459.2</c:v>
                </c:pt>
                <c:pt idx="848">
                  <c:v>459.1</c:v>
                </c:pt>
                <c:pt idx="849">
                  <c:v>459.1</c:v>
                </c:pt>
                <c:pt idx="850">
                  <c:v>459.1</c:v>
                </c:pt>
                <c:pt idx="851">
                  <c:v>459</c:v>
                </c:pt>
                <c:pt idx="852">
                  <c:v>459</c:v>
                </c:pt>
                <c:pt idx="853">
                  <c:v>459</c:v>
                </c:pt>
                <c:pt idx="854">
                  <c:v>459</c:v>
                </c:pt>
                <c:pt idx="855">
                  <c:v>459</c:v>
                </c:pt>
                <c:pt idx="856">
                  <c:v>459.1</c:v>
                </c:pt>
                <c:pt idx="857">
                  <c:v>459.1</c:v>
                </c:pt>
                <c:pt idx="858">
                  <c:v>459.1</c:v>
                </c:pt>
                <c:pt idx="859">
                  <c:v>459.1</c:v>
                </c:pt>
                <c:pt idx="860">
                  <c:v>459.1</c:v>
                </c:pt>
                <c:pt idx="861">
                  <c:v>459.1</c:v>
                </c:pt>
                <c:pt idx="862">
                  <c:v>459.1</c:v>
                </c:pt>
                <c:pt idx="863">
                  <c:v>459.1</c:v>
                </c:pt>
                <c:pt idx="864">
                  <c:v>459.1</c:v>
                </c:pt>
                <c:pt idx="865">
                  <c:v>459.2</c:v>
                </c:pt>
                <c:pt idx="866">
                  <c:v>459.2</c:v>
                </c:pt>
                <c:pt idx="867">
                  <c:v>459.2</c:v>
                </c:pt>
                <c:pt idx="868">
                  <c:v>459.1</c:v>
                </c:pt>
                <c:pt idx="869">
                  <c:v>459.1</c:v>
                </c:pt>
                <c:pt idx="870">
                  <c:v>459.1</c:v>
                </c:pt>
                <c:pt idx="871">
                  <c:v>459.1</c:v>
                </c:pt>
                <c:pt idx="872">
                  <c:v>459.2</c:v>
                </c:pt>
                <c:pt idx="873">
                  <c:v>459.2</c:v>
                </c:pt>
                <c:pt idx="874">
                  <c:v>459.1</c:v>
                </c:pt>
                <c:pt idx="875">
                  <c:v>459.9</c:v>
                </c:pt>
                <c:pt idx="876">
                  <c:v>459.8</c:v>
                </c:pt>
                <c:pt idx="877">
                  <c:v>459.8</c:v>
                </c:pt>
                <c:pt idx="878">
                  <c:v>459.8</c:v>
                </c:pt>
                <c:pt idx="879">
                  <c:v>459.9</c:v>
                </c:pt>
                <c:pt idx="880">
                  <c:v>460</c:v>
                </c:pt>
                <c:pt idx="881">
                  <c:v>460</c:v>
                </c:pt>
                <c:pt idx="882">
                  <c:v>460</c:v>
                </c:pt>
                <c:pt idx="883">
                  <c:v>460.1</c:v>
                </c:pt>
                <c:pt idx="884">
                  <c:v>460</c:v>
                </c:pt>
                <c:pt idx="885">
                  <c:v>460</c:v>
                </c:pt>
                <c:pt idx="886">
                  <c:v>460</c:v>
                </c:pt>
                <c:pt idx="887">
                  <c:v>460</c:v>
                </c:pt>
                <c:pt idx="888">
                  <c:v>460</c:v>
                </c:pt>
                <c:pt idx="889">
                  <c:v>460</c:v>
                </c:pt>
                <c:pt idx="890">
                  <c:v>460</c:v>
                </c:pt>
                <c:pt idx="891">
                  <c:v>460.1</c:v>
                </c:pt>
                <c:pt idx="892">
                  <c:v>460.3</c:v>
                </c:pt>
                <c:pt idx="893">
                  <c:v>460.5</c:v>
                </c:pt>
                <c:pt idx="894">
                  <c:v>460.5</c:v>
                </c:pt>
                <c:pt idx="895">
                  <c:v>460.5</c:v>
                </c:pt>
                <c:pt idx="896">
                  <c:v>460.5</c:v>
                </c:pt>
                <c:pt idx="897">
                  <c:v>460.5</c:v>
                </c:pt>
                <c:pt idx="898">
                  <c:v>460.5</c:v>
                </c:pt>
                <c:pt idx="899">
                  <c:v>460.5</c:v>
                </c:pt>
                <c:pt idx="900">
                  <c:v>460.5</c:v>
                </c:pt>
                <c:pt idx="901">
                  <c:v>460.5</c:v>
                </c:pt>
                <c:pt idx="902">
                  <c:v>460.5</c:v>
                </c:pt>
                <c:pt idx="903">
                  <c:v>460.5</c:v>
                </c:pt>
                <c:pt idx="904">
                  <c:v>460.6</c:v>
                </c:pt>
                <c:pt idx="905">
                  <c:v>460.6</c:v>
                </c:pt>
                <c:pt idx="906">
                  <c:v>460.6</c:v>
                </c:pt>
                <c:pt idx="907">
                  <c:v>460.6</c:v>
                </c:pt>
                <c:pt idx="908">
                  <c:v>460.6</c:v>
                </c:pt>
                <c:pt idx="909">
                  <c:v>460.6</c:v>
                </c:pt>
                <c:pt idx="910">
                  <c:v>460.5</c:v>
                </c:pt>
                <c:pt idx="911">
                  <c:v>460.5</c:v>
                </c:pt>
                <c:pt idx="912">
                  <c:v>460.6</c:v>
                </c:pt>
                <c:pt idx="913">
                  <c:v>460.6</c:v>
                </c:pt>
                <c:pt idx="914">
                  <c:v>460.6</c:v>
                </c:pt>
                <c:pt idx="915">
                  <c:v>460.6</c:v>
                </c:pt>
                <c:pt idx="916">
                  <c:v>460.6</c:v>
                </c:pt>
                <c:pt idx="917">
                  <c:v>460.6</c:v>
                </c:pt>
                <c:pt idx="918">
                  <c:v>460.6</c:v>
                </c:pt>
                <c:pt idx="919">
                  <c:v>460.6</c:v>
                </c:pt>
                <c:pt idx="920">
                  <c:v>460.7</c:v>
                </c:pt>
                <c:pt idx="921">
                  <c:v>460.6</c:v>
                </c:pt>
                <c:pt idx="922">
                  <c:v>460.7</c:v>
                </c:pt>
                <c:pt idx="923">
                  <c:v>460.7</c:v>
                </c:pt>
                <c:pt idx="924">
                  <c:v>460.8</c:v>
                </c:pt>
                <c:pt idx="925">
                  <c:v>460.8</c:v>
                </c:pt>
                <c:pt idx="926">
                  <c:v>460.9</c:v>
                </c:pt>
                <c:pt idx="927">
                  <c:v>460.9</c:v>
                </c:pt>
                <c:pt idx="928">
                  <c:v>460.9</c:v>
                </c:pt>
                <c:pt idx="929">
                  <c:v>461.1</c:v>
                </c:pt>
                <c:pt idx="930">
                  <c:v>461.6</c:v>
                </c:pt>
                <c:pt idx="931">
                  <c:v>462</c:v>
                </c:pt>
                <c:pt idx="932">
                  <c:v>462.8</c:v>
                </c:pt>
                <c:pt idx="933">
                  <c:v>463.5</c:v>
                </c:pt>
                <c:pt idx="934">
                  <c:v>463.8</c:v>
                </c:pt>
                <c:pt idx="935">
                  <c:v>463.9</c:v>
                </c:pt>
                <c:pt idx="936">
                  <c:v>463.9</c:v>
                </c:pt>
                <c:pt idx="937">
                  <c:v>464.1</c:v>
                </c:pt>
                <c:pt idx="938">
                  <c:v>464.2</c:v>
                </c:pt>
                <c:pt idx="939">
                  <c:v>464.3</c:v>
                </c:pt>
                <c:pt idx="940">
                  <c:v>464.3</c:v>
                </c:pt>
                <c:pt idx="941">
                  <c:v>464.3</c:v>
                </c:pt>
                <c:pt idx="942">
                  <c:v>464.4</c:v>
                </c:pt>
                <c:pt idx="943">
                  <c:v>464.6</c:v>
                </c:pt>
                <c:pt idx="944">
                  <c:v>464.7</c:v>
                </c:pt>
                <c:pt idx="945">
                  <c:v>464.7</c:v>
                </c:pt>
                <c:pt idx="946">
                  <c:v>464.8</c:v>
                </c:pt>
                <c:pt idx="947">
                  <c:v>464.8</c:v>
                </c:pt>
                <c:pt idx="948">
                  <c:v>464.9</c:v>
                </c:pt>
                <c:pt idx="949">
                  <c:v>465.3</c:v>
                </c:pt>
                <c:pt idx="950">
                  <c:v>465.5</c:v>
                </c:pt>
                <c:pt idx="951">
                  <c:v>465.6</c:v>
                </c:pt>
                <c:pt idx="952">
                  <c:v>466</c:v>
                </c:pt>
                <c:pt idx="953">
                  <c:v>466.2</c:v>
                </c:pt>
                <c:pt idx="954">
                  <c:v>466.3</c:v>
                </c:pt>
                <c:pt idx="955">
                  <c:v>467.4</c:v>
                </c:pt>
                <c:pt idx="956">
                  <c:v>467.7</c:v>
                </c:pt>
                <c:pt idx="957">
                  <c:v>467.8</c:v>
                </c:pt>
                <c:pt idx="958">
                  <c:v>467.8</c:v>
                </c:pt>
                <c:pt idx="959">
                  <c:v>467.8</c:v>
                </c:pt>
                <c:pt idx="960">
                  <c:v>468.4</c:v>
                </c:pt>
                <c:pt idx="961">
                  <c:v>468.8</c:v>
                </c:pt>
                <c:pt idx="962">
                  <c:v>468.9</c:v>
                </c:pt>
                <c:pt idx="963">
                  <c:v>468.9</c:v>
                </c:pt>
                <c:pt idx="964">
                  <c:v>468.9</c:v>
                </c:pt>
                <c:pt idx="965">
                  <c:v>468.8</c:v>
                </c:pt>
                <c:pt idx="966">
                  <c:v>468.9</c:v>
                </c:pt>
                <c:pt idx="967">
                  <c:v>468.9</c:v>
                </c:pt>
                <c:pt idx="968">
                  <c:v>468.9</c:v>
                </c:pt>
                <c:pt idx="969">
                  <c:v>469</c:v>
                </c:pt>
                <c:pt idx="970">
                  <c:v>468.9</c:v>
                </c:pt>
                <c:pt idx="971">
                  <c:v>468.9</c:v>
                </c:pt>
                <c:pt idx="972">
                  <c:v>469.5</c:v>
                </c:pt>
                <c:pt idx="973">
                  <c:v>469.9</c:v>
                </c:pt>
                <c:pt idx="974">
                  <c:v>469.8</c:v>
                </c:pt>
                <c:pt idx="975">
                  <c:v>469.9</c:v>
                </c:pt>
                <c:pt idx="976">
                  <c:v>469.9</c:v>
                </c:pt>
                <c:pt idx="977">
                  <c:v>469.9</c:v>
                </c:pt>
                <c:pt idx="978">
                  <c:v>469.9</c:v>
                </c:pt>
                <c:pt idx="979">
                  <c:v>470</c:v>
                </c:pt>
                <c:pt idx="980">
                  <c:v>470</c:v>
                </c:pt>
                <c:pt idx="981">
                  <c:v>470</c:v>
                </c:pt>
                <c:pt idx="982">
                  <c:v>470</c:v>
                </c:pt>
                <c:pt idx="983">
                  <c:v>470</c:v>
                </c:pt>
                <c:pt idx="984">
                  <c:v>470.1</c:v>
                </c:pt>
                <c:pt idx="985">
                  <c:v>470.1</c:v>
                </c:pt>
                <c:pt idx="986">
                  <c:v>470.1</c:v>
                </c:pt>
                <c:pt idx="987">
                  <c:v>470.1</c:v>
                </c:pt>
                <c:pt idx="988">
                  <c:v>470.1</c:v>
                </c:pt>
                <c:pt idx="989">
                  <c:v>470.1</c:v>
                </c:pt>
                <c:pt idx="990">
                  <c:v>470.2</c:v>
                </c:pt>
                <c:pt idx="991">
                  <c:v>470.2</c:v>
                </c:pt>
                <c:pt idx="992">
                  <c:v>470.2</c:v>
                </c:pt>
                <c:pt idx="993">
                  <c:v>470.2</c:v>
                </c:pt>
                <c:pt idx="994">
                  <c:v>470.2</c:v>
                </c:pt>
                <c:pt idx="995">
                  <c:v>470.2</c:v>
                </c:pt>
                <c:pt idx="996">
                  <c:v>470.2</c:v>
                </c:pt>
                <c:pt idx="997">
                  <c:v>470.2</c:v>
                </c:pt>
                <c:pt idx="998">
                  <c:v>470.2</c:v>
                </c:pt>
                <c:pt idx="999">
                  <c:v>470.2</c:v>
                </c:pt>
                <c:pt idx="1000">
                  <c:v>470.2</c:v>
                </c:pt>
                <c:pt idx="1001">
                  <c:v>470.2</c:v>
                </c:pt>
                <c:pt idx="1002">
                  <c:v>470.2</c:v>
                </c:pt>
                <c:pt idx="1003">
                  <c:v>470.2</c:v>
                </c:pt>
                <c:pt idx="1004">
                  <c:v>470.2</c:v>
                </c:pt>
                <c:pt idx="1005">
                  <c:v>470.2</c:v>
                </c:pt>
                <c:pt idx="1006">
                  <c:v>470.2</c:v>
                </c:pt>
                <c:pt idx="1007">
                  <c:v>470.2</c:v>
                </c:pt>
                <c:pt idx="1008">
                  <c:v>470.2</c:v>
                </c:pt>
                <c:pt idx="1009">
                  <c:v>470.2</c:v>
                </c:pt>
                <c:pt idx="1010">
                  <c:v>470.1</c:v>
                </c:pt>
                <c:pt idx="1011">
                  <c:v>470.1</c:v>
                </c:pt>
                <c:pt idx="1012">
                  <c:v>470.2</c:v>
                </c:pt>
                <c:pt idx="1013">
                  <c:v>470.1</c:v>
                </c:pt>
                <c:pt idx="1014">
                  <c:v>470.2</c:v>
                </c:pt>
                <c:pt idx="1015">
                  <c:v>470.2</c:v>
                </c:pt>
                <c:pt idx="1016">
                  <c:v>470.1</c:v>
                </c:pt>
                <c:pt idx="1017">
                  <c:v>470.1</c:v>
                </c:pt>
                <c:pt idx="1018">
                  <c:v>470.1</c:v>
                </c:pt>
                <c:pt idx="1019">
                  <c:v>470.1</c:v>
                </c:pt>
                <c:pt idx="1020">
                  <c:v>470.1</c:v>
                </c:pt>
                <c:pt idx="1021">
                  <c:v>470</c:v>
                </c:pt>
                <c:pt idx="1022">
                  <c:v>470</c:v>
                </c:pt>
                <c:pt idx="1023">
                  <c:v>470</c:v>
                </c:pt>
                <c:pt idx="1024">
                  <c:v>470.1</c:v>
                </c:pt>
                <c:pt idx="1025">
                  <c:v>470.1</c:v>
                </c:pt>
                <c:pt idx="1026">
                  <c:v>470.2</c:v>
                </c:pt>
                <c:pt idx="1027">
                  <c:v>470.4</c:v>
                </c:pt>
                <c:pt idx="1028">
                  <c:v>471.1</c:v>
                </c:pt>
                <c:pt idx="1029">
                  <c:v>471.7</c:v>
                </c:pt>
                <c:pt idx="1030">
                  <c:v>472.1</c:v>
                </c:pt>
                <c:pt idx="1031">
                  <c:v>472.4</c:v>
                </c:pt>
                <c:pt idx="1032">
                  <c:v>472.6</c:v>
                </c:pt>
                <c:pt idx="1033">
                  <c:v>472.6</c:v>
                </c:pt>
                <c:pt idx="1034">
                  <c:v>472.6</c:v>
                </c:pt>
                <c:pt idx="1035">
                  <c:v>472.6</c:v>
                </c:pt>
                <c:pt idx="1036">
                  <c:v>472.6</c:v>
                </c:pt>
                <c:pt idx="1037">
                  <c:v>472.7</c:v>
                </c:pt>
                <c:pt idx="1038">
                  <c:v>472.7</c:v>
                </c:pt>
                <c:pt idx="1039">
                  <c:v>472.7</c:v>
                </c:pt>
                <c:pt idx="1040">
                  <c:v>472.7</c:v>
                </c:pt>
                <c:pt idx="1041">
                  <c:v>472.7</c:v>
                </c:pt>
                <c:pt idx="1042">
                  <c:v>472.7</c:v>
                </c:pt>
                <c:pt idx="1043">
                  <c:v>472.6</c:v>
                </c:pt>
                <c:pt idx="1044">
                  <c:v>472.6</c:v>
                </c:pt>
                <c:pt idx="1045">
                  <c:v>472.6</c:v>
                </c:pt>
                <c:pt idx="1046">
                  <c:v>472.6</c:v>
                </c:pt>
                <c:pt idx="1047">
                  <c:v>472.6</c:v>
                </c:pt>
                <c:pt idx="1048">
                  <c:v>472.7</c:v>
                </c:pt>
                <c:pt idx="1049">
                  <c:v>472.7</c:v>
                </c:pt>
                <c:pt idx="1050">
                  <c:v>472.7</c:v>
                </c:pt>
                <c:pt idx="1051">
                  <c:v>472.7</c:v>
                </c:pt>
                <c:pt idx="1052">
                  <c:v>472.7</c:v>
                </c:pt>
                <c:pt idx="1053">
                  <c:v>472.7</c:v>
                </c:pt>
                <c:pt idx="1054">
                  <c:v>472.7</c:v>
                </c:pt>
                <c:pt idx="1055">
                  <c:v>472.7</c:v>
                </c:pt>
                <c:pt idx="1056">
                  <c:v>472.7</c:v>
                </c:pt>
                <c:pt idx="1057">
                  <c:v>472.7</c:v>
                </c:pt>
                <c:pt idx="1058">
                  <c:v>472.7</c:v>
                </c:pt>
                <c:pt idx="1059">
                  <c:v>472.7</c:v>
                </c:pt>
                <c:pt idx="1060">
                  <c:v>472.7</c:v>
                </c:pt>
                <c:pt idx="1061">
                  <c:v>472.7</c:v>
                </c:pt>
                <c:pt idx="1062">
                  <c:v>472.7</c:v>
                </c:pt>
                <c:pt idx="1063">
                  <c:v>472.7</c:v>
                </c:pt>
                <c:pt idx="1064">
                  <c:v>472.6</c:v>
                </c:pt>
                <c:pt idx="1065">
                  <c:v>472.6</c:v>
                </c:pt>
                <c:pt idx="1066">
                  <c:v>472.6</c:v>
                </c:pt>
                <c:pt idx="1067">
                  <c:v>472.5</c:v>
                </c:pt>
                <c:pt idx="1068">
                  <c:v>472.5</c:v>
                </c:pt>
                <c:pt idx="1069">
                  <c:v>472.5</c:v>
                </c:pt>
                <c:pt idx="1070">
                  <c:v>472.5</c:v>
                </c:pt>
                <c:pt idx="1071">
                  <c:v>472.6</c:v>
                </c:pt>
                <c:pt idx="1072">
                  <c:v>472.6</c:v>
                </c:pt>
                <c:pt idx="1073">
                  <c:v>472.6</c:v>
                </c:pt>
                <c:pt idx="1074">
                  <c:v>472.6</c:v>
                </c:pt>
                <c:pt idx="1075">
                  <c:v>472.6</c:v>
                </c:pt>
                <c:pt idx="1076">
                  <c:v>472.6</c:v>
                </c:pt>
                <c:pt idx="1077">
                  <c:v>472.6</c:v>
                </c:pt>
                <c:pt idx="1078">
                  <c:v>472.6</c:v>
                </c:pt>
                <c:pt idx="1079">
                  <c:v>472.6</c:v>
                </c:pt>
                <c:pt idx="1080">
                  <c:v>472.6</c:v>
                </c:pt>
                <c:pt idx="1081">
                  <c:v>472.6</c:v>
                </c:pt>
                <c:pt idx="1082">
                  <c:v>472.6</c:v>
                </c:pt>
                <c:pt idx="1083">
                  <c:v>472.6</c:v>
                </c:pt>
                <c:pt idx="1084">
                  <c:v>472.6</c:v>
                </c:pt>
                <c:pt idx="1085">
                  <c:v>472.6</c:v>
                </c:pt>
                <c:pt idx="1086">
                  <c:v>472.6</c:v>
                </c:pt>
                <c:pt idx="1087">
                  <c:v>472.6</c:v>
                </c:pt>
                <c:pt idx="1088">
                  <c:v>472.6</c:v>
                </c:pt>
                <c:pt idx="1089">
                  <c:v>472.6</c:v>
                </c:pt>
                <c:pt idx="1090">
                  <c:v>472.5</c:v>
                </c:pt>
                <c:pt idx="1091">
                  <c:v>472.5</c:v>
                </c:pt>
                <c:pt idx="1092">
                  <c:v>472.4</c:v>
                </c:pt>
                <c:pt idx="1093">
                  <c:v>472.3</c:v>
                </c:pt>
                <c:pt idx="1094">
                  <c:v>472.3</c:v>
                </c:pt>
                <c:pt idx="1095">
                  <c:v>472.4</c:v>
                </c:pt>
                <c:pt idx="1096">
                  <c:v>472.4</c:v>
                </c:pt>
                <c:pt idx="1097">
                  <c:v>472.5</c:v>
                </c:pt>
                <c:pt idx="1098">
                  <c:v>472.6</c:v>
                </c:pt>
                <c:pt idx="1099">
                  <c:v>472.5</c:v>
                </c:pt>
                <c:pt idx="1100">
                  <c:v>472.6</c:v>
                </c:pt>
                <c:pt idx="1101">
                  <c:v>472.6</c:v>
                </c:pt>
                <c:pt idx="1102">
                  <c:v>472.6</c:v>
                </c:pt>
                <c:pt idx="1103">
                  <c:v>472.6</c:v>
                </c:pt>
                <c:pt idx="1104">
                  <c:v>472.6</c:v>
                </c:pt>
                <c:pt idx="1105">
                  <c:v>472.6</c:v>
                </c:pt>
                <c:pt idx="1106">
                  <c:v>472.6</c:v>
                </c:pt>
                <c:pt idx="1107">
                  <c:v>472.6</c:v>
                </c:pt>
                <c:pt idx="1108">
                  <c:v>472.7</c:v>
                </c:pt>
                <c:pt idx="1109">
                  <c:v>472.7</c:v>
                </c:pt>
                <c:pt idx="1110">
                  <c:v>472.7</c:v>
                </c:pt>
                <c:pt idx="1111">
                  <c:v>472.7</c:v>
                </c:pt>
                <c:pt idx="1112">
                  <c:v>472.7</c:v>
                </c:pt>
                <c:pt idx="1113">
                  <c:v>472.7</c:v>
                </c:pt>
                <c:pt idx="1114">
                  <c:v>472.7</c:v>
                </c:pt>
                <c:pt idx="1115">
                  <c:v>472.7</c:v>
                </c:pt>
                <c:pt idx="1116">
                  <c:v>472.7</c:v>
                </c:pt>
                <c:pt idx="1117">
                  <c:v>472.8</c:v>
                </c:pt>
                <c:pt idx="1118">
                  <c:v>472.9</c:v>
                </c:pt>
                <c:pt idx="1119">
                  <c:v>473</c:v>
                </c:pt>
                <c:pt idx="1120">
                  <c:v>473.1</c:v>
                </c:pt>
                <c:pt idx="1121">
                  <c:v>473.1</c:v>
                </c:pt>
                <c:pt idx="1122">
                  <c:v>473.3</c:v>
                </c:pt>
                <c:pt idx="1123">
                  <c:v>473.4</c:v>
                </c:pt>
                <c:pt idx="1124">
                  <c:v>473.6</c:v>
                </c:pt>
                <c:pt idx="1125">
                  <c:v>473.7</c:v>
                </c:pt>
                <c:pt idx="1126">
                  <c:v>473.8</c:v>
                </c:pt>
                <c:pt idx="1127">
                  <c:v>473.9</c:v>
                </c:pt>
                <c:pt idx="1128">
                  <c:v>474</c:v>
                </c:pt>
                <c:pt idx="1129">
                  <c:v>474</c:v>
                </c:pt>
                <c:pt idx="1130">
                  <c:v>474.1</c:v>
                </c:pt>
                <c:pt idx="1131">
                  <c:v>474.1</c:v>
                </c:pt>
                <c:pt idx="1132">
                  <c:v>474</c:v>
                </c:pt>
                <c:pt idx="1133">
                  <c:v>474</c:v>
                </c:pt>
                <c:pt idx="1134">
                  <c:v>474.3</c:v>
                </c:pt>
                <c:pt idx="1135">
                  <c:v>474.5</c:v>
                </c:pt>
                <c:pt idx="1136">
                  <c:v>474.8</c:v>
                </c:pt>
                <c:pt idx="1137">
                  <c:v>475.2</c:v>
                </c:pt>
                <c:pt idx="1138">
                  <c:v>475.4</c:v>
                </c:pt>
                <c:pt idx="1139">
                  <c:v>475.6</c:v>
                </c:pt>
                <c:pt idx="1140">
                  <c:v>475.8</c:v>
                </c:pt>
                <c:pt idx="1141">
                  <c:v>476.1</c:v>
                </c:pt>
                <c:pt idx="1142">
                  <c:v>476.3</c:v>
                </c:pt>
                <c:pt idx="1143">
                  <c:v>476.4</c:v>
                </c:pt>
                <c:pt idx="1144">
                  <c:v>476.5</c:v>
                </c:pt>
                <c:pt idx="1145">
                  <c:v>476.6</c:v>
                </c:pt>
                <c:pt idx="1146">
                  <c:v>476.6</c:v>
                </c:pt>
                <c:pt idx="1147">
                  <c:v>476.7</c:v>
                </c:pt>
                <c:pt idx="1148">
                  <c:v>476.7</c:v>
                </c:pt>
                <c:pt idx="1149">
                  <c:v>476.7</c:v>
                </c:pt>
                <c:pt idx="1150">
                  <c:v>476.7</c:v>
                </c:pt>
                <c:pt idx="1151">
                  <c:v>476.7</c:v>
                </c:pt>
                <c:pt idx="1152">
                  <c:v>476.7</c:v>
                </c:pt>
                <c:pt idx="1153">
                  <c:v>476.7</c:v>
                </c:pt>
                <c:pt idx="1154">
                  <c:v>476.7</c:v>
                </c:pt>
                <c:pt idx="1155">
                  <c:v>476.8</c:v>
                </c:pt>
                <c:pt idx="1156">
                  <c:v>476.8</c:v>
                </c:pt>
                <c:pt idx="1157">
                  <c:v>476.9</c:v>
                </c:pt>
                <c:pt idx="1158">
                  <c:v>476.8</c:v>
                </c:pt>
                <c:pt idx="1159">
                  <c:v>476.9</c:v>
                </c:pt>
                <c:pt idx="1160">
                  <c:v>476.8</c:v>
                </c:pt>
                <c:pt idx="1161">
                  <c:v>476.9</c:v>
                </c:pt>
                <c:pt idx="1162">
                  <c:v>476.8</c:v>
                </c:pt>
                <c:pt idx="1163">
                  <c:v>476.8</c:v>
                </c:pt>
                <c:pt idx="1164">
                  <c:v>476.7</c:v>
                </c:pt>
                <c:pt idx="1165">
                  <c:v>476.7</c:v>
                </c:pt>
                <c:pt idx="1166">
                  <c:v>476.8</c:v>
                </c:pt>
                <c:pt idx="1167">
                  <c:v>476.8</c:v>
                </c:pt>
                <c:pt idx="1168">
                  <c:v>476.8</c:v>
                </c:pt>
                <c:pt idx="1169">
                  <c:v>476.9</c:v>
                </c:pt>
                <c:pt idx="1170">
                  <c:v>476.9</c:v>
                </c:pt>
                <c:pt idx="1171">
                  <c:v>476.9</c:v>
                </c:pt>
                <c:pt idx="1172">
                  <c:v>476.9</c:v>
                </c:pt>
                <c:pt idx="1173">
                  <c:v>476.9</c:v>
                </c:pt>
                <c:pt idx="1174">
                  <c:v>477</c:v>
                </c:pt>
                <c:pt idx="1175">
                  <c:v>477.2</c:v>
                </c:pt>
                <c:pt idx="1176">
                  <c:v>477.7</c:v>
                </c:pt>
                <c:pt idx="1177">
                  <c:v>478.3</c:v>
                </c:pt>
                <c:pt idx="1178">
                  <c:v>479</c:v>
                </c:pt>
                <c:pt idx="1179">
                  <c:v>479.9</c:v>
                </c:pt>
                <c:pt idx="1180">
                  <c:v>481.1</c:v>
                </c:pt>
                <c:pt idx="1181">
                  <c:v>482.3</c:v>
                </c:pt>
                <c:pt idx="1182">
                  <c:v>483.8</c:v>
                </c:pt>
                <c:pt idx="1183">
                  <c:v>485.4</c:v>
                </c:pt>
                <c:pt idx="1184">
                  <c:v>486.5</c:v>
                </c:pt>
                <c:pt idx="1185">
                  <c:v>486.8</c:v>
                </c:pt>
                <c:pt idx="1186">
                  <c:v>487.3</c:v>
                </c:pt>
                <c:pt idx="1187">
                  <c:v>487.7</c:v>
                </c:pt>
                <c:pt idx="1188">
                  <c:v>487.9</c:v>
                </c:pt>
                <c:pt idx="1189">
                  <c:v>488</c:v>
                </c:pt>
                <c:pt idx="1190">
                  <c:v>487.9</c:v>
                </c:pt>
                <c:pt idx="1191">
                  <c:v>488.1</c:v>
                </c:pt>
                <c:pt idx="1192">
                  <c:v>488.1</c:v>
                </c:pt>
                <c:pt idx="1193">
                  <c:v>488.1</c:v>
                </c:pt>
                <c:pt idx="1194">
                  <c:v>488.1</c:v>
                </c:pt>
                <c:pt idx="1195">
                  <c:v>488.2</c:v>
                </c:pt>
                <c:pt idx="1196">
                  <c:v>488.3</c:v>
                </c:pt>
                <c:pt idx="1197">
                  <c:v>488.4</c:v>
                </c:pt>
                <c:pt idx="1198">
                  <c:v>488.4</c:v>
                </c:pt>
                <c:pt idx="1199">
                  <c:v>488.4</c:v>
                </c:pt>
                <c:pt idx="1200">
                  <c:v>488.4</c:v>
                </c:pt>
                <c:pt idx="1201">
                  <c:v>488.5</c:v>
                </c:pt>
                <c:pt idx="1202">
                  <c:v>488.5</c:v>
                </c:pt>
                <c:pt idx="1203">
                  <c:v>488.6</c:v>
                </c:pt>
                <c:pt idx="1204">
                  <c:v>488.6</c:v>
                </c:pt>
                <c:pt idx="1205">
                  <c:v>488.6</c:v>
                </c:pt>
                <c:pt idx="1206">
                  <c:v>488.6</c:v>
                </c:pt>
                <c:pt idx="1207">
                  <c:v>488.6</c:v>
                </c:pt>
                <c:pt idx="1208">
                  <c:v>488.6</c:v>
                </c:pt>
                <c:pt idx="1209">
                  <c:v>488.7</c:v>
                </c:pt>
                <c:pt idx="1210">
                  <c:v>488.8</c:v>
                </c:pt>
                <c:pt idx="1211">
                  <c:v>488.8</c:v>
                </c:pt>
                <c:pt idx="1212">
                  <c:v>488.8</c:v>
                </c:pt>
                <c:pt idx="1213">
                  <c:v>488.9</c:v>
                </c:pt>
                <c:pt idx="1214">
                  <c:v>489.4</c:v>
                </c:pt>
                <c:pt idx="1215">
                  <c:v>489.5</c:v>
                </c:pt>
                <c:pt idx="1216">
                  <c:v>489.4</c:v>
                </c:pt>
                <c:pt idx="1217">
                  <c:v>489.4</c:v>
                </c:pt>
                <c:pt idx="1218">
                  <c:v>489.5</c:v>
                </c:pt>
                <c:pt idx="1219">
                  <c:v>489.4</c:v>
                </c:pt>
                <c:pt idx="1220">
                  <c:v>489.5</c:v>
                </c:pt>
                <c:pt idx="1221">
                  <c:v>489.5</c:v>
                </c:pt>
                <c:pt idx="1222">
                  <c:v>489.4</c:v>
                </c:pt>
                <c:pt idx="1223">
                  <c:v>489.5</c:v>
                </c:pt>
                <c:pt idx="1224">
                  <c:v>489.6</c:v>
                </c:pt>
                <c:pt idx="1225">
                  <c:v>489.5</c:v>
                </c:pt>
                <c:pt idx="1226">
                  <c:v>489.5</c:v>
                </c:pt>
                <c:pt idx="1227">
                  <c:v>489.5</c:v>
                </c:pt>
                <c:pt idx="1228">
                  <c:v>489.5</c:v>
                </c:pt>
                <c:pt idx="1229">
                  <c:v>489.5</c:v>
                </c:pt>
                <c:pt idx="1230">
                  <c:v>489.5</c:v>
                </c:pt>
                <c:pt idx="1231">
                  <c:v>489.5</c:v>
                </c:pt>
                <c:pt idx="1232">
                  <c:v>489.5</c:v>
                </c:pt>
                <c:pt idx="1233">
                  <c:v>489.5</c:v>
                </c:pt>
                <c:pt idx="1234">
                  <c:v>489.6</c:v>
                </c:pt>
                <c:pt idx="1235">
                  <c:v>489.5</c:v>
                </c:pt>
                <c:pt idx="1236">
                  <c:v>489.5</c:v>
                </c:pt>
                <c:pt idx="1237">
                  <c:v>489.4</c:v>
                </c:pt>
                <c:pt idx="1238">
                  <c:v>489.5</c:v>
                </c:pt>
                <c:pt idx="1239">
                  <c:v>489.5</c:v>
                </c:pt>
                <c:pt idx="1240">
                  <c:v>489.5</c:v>
                </c:pt>
                <c:pt idx="1241">
                  <c:v>489.5</c:v>
                </c:pt>
                <c:pt idx="1242">
                  <c:v>489.5</c:v>
                </c:pt>
                <c:pt idx="1243">
                  <c:v>489.5</c:v>
                </c:pt>
                <c:pt idx="1244">
                  <c:v>489.5</c:v>
                </c:pt>
                <c:pt idx="1245">
                  <c:v>489.5</c:v>
                </c:pt>
                <c:pt idx="1246">
                  <c:v>489.6</c:v>
                </c:pt>
                <c:pt idx="1247">
                  <c:v>489.8</c:v>
                </c:pt>
                <c:pt idx="1248">
                  <c:v>490.5</c:v>
                </c:pt>
                <c:pt idx="1249">
                  <c:v>491.6</c:v>
                </c:pt>
                <c:pt idx="1250">
                  <c:v>491.9</c:v>
                </c:pt>
                <c:pt idx="1251">
                  <c:v>492.4</c:v>
                </c:pt>
                <c:pt idx="1252">
                  <c:v>492.9</c:v>
                </c:pt>
                <c:pt idx="1253">
                  <c:v>493.6</c:v>
                </c:pt>
                <c:pt idx="1254">
                  <c:v>494.1</c:v>
                </c:pt>
                <c:pt idx="1255">
                  <c:v>494.7</c:v>
                </c:pt>
                <c:pt idx="1256">
                  <c:v>495.1</c:v>
                </c:pt>
                <c:pt idx="1257">
                  <c:v>495.4</c:v>
                </c:pt>
                <c:pt idx="1258">
                  <c:v>495.7</c:v>
                </c:pt>
                <c:pt idx="1259">
                  <c:v>495.9</c:v>
                </c:pt>
                <c:pt idx="1260">
                  <c:v>496</c:v>
                </c:pt>
                <c:pt idx="1261">
                  <c:v>496.1</c:v>
                </c:pt>
                <c:pt idx="1262">
                  <c:v>496.4</c:v>
                </c:pt>
                <c:pt idx="1263">
                  <c:v>496.7</c:v>
                </c:pt>
                <c:pt idx="1264">
                  <c:v>496.7</c:v>
                </c:pt>
                <c:pt idx="1265">
                  <c:v>496.7</c:v>
                </c:pt>
                <c:pt idx="1266">
                  <c:v>498.4</c:v>
                </c:pt>
                <c:pt idx="1267">
                  <c:v>498</c:v>
                </c:pt>
                <c:pt idx="1268">
                  <c:v>497.2</c:v>
                </c:pt>
                <c:pt idx="1269">
                  <c:v>496.9</c:v>
                </c:pt>
                <c:pt idx="1270">
                  <c:v>498.9</c:v>
                </c:pt>
                <c:pt idx="1271">
                  <c:v>498.9</c:v>
                </c:pt>
                <c:pt idx="1272">
                  <c:v>498.9</c:v>
                </c:pt>
                <c:pt idx="1273">
                  <c:v>499</c:v>
                </c:pt>
                <c:pt idx="1274">
                  <c:v>498.8</c:v>
                </c:pt>
                <c:pt idx="1275">
                  <c:v>498.8</c:v>
                </c:pt>
                <c:pt idx="1276">
                  <c:v>498.8</c:v>
                </c:pt>
                <c:pt idx="1277">
                  <c:v>498.9</c:v>
                </c:pt>
                <c:pt idx="1278">
                  <c:v>498.9</c:v>
                </c:pt>
                <c:pt idx="1279">
                  <c:v>499.1</c:v>
                </c:pt>
                <c:pt idx="1280">
                  <c:v>499.2</c:v>
                </c:pt>
                <c:pt idx="1281">
                  <c:v>499.2</c:v>
                </c:pt>
                <c:pt idx="1282">
                  <c:v>499.7</c:v>
                </c:pt>
                <c:pt idx="1283">
                  <c:v>500.4</c:v>
                </c:pt>
                <c:pt idx="1284">
                  <c:v>500.4</c:v>
                </c:pt>
                <c:pt idx="1285">
                  <c:v>500.5</c:v>
                </c:pt>
                <c:pt idx="1286">
                  <c:v>500.5</c:v>
                </c:pt>
                <c:pt idx="1287">
                  <c:v>500.5</c:v>
                </c:pt>
                <c:pt idx="1288">
                  <c:v>500.5</c:v>
                </c:pt>
                <c:pt idx="1289">
                  <c:v>500.6</c:v>
                </c:pt>
                <c:pt idx="1290">
                  <c:v>501</c:v>
                </c:pt>
                <c:pt idx="1291">
                  <c:v>501</c:v>
                </c:pt>
                <c:pt idx="1292">
                  <c:v>501.7</c:v>
                </c:pt>
                <c:pt idx="1293">
                  <c:v>501.7</c:v>
                </c:pt>
                <c:pt idx="1294">
                  <c:v>501.8</c:v>
                </c:pt>
                <c:pt idx="1295">
                  <c:v>501.8</c:v>
                </c:pt>
                <c:pt idx="1296">
                  <c:v>501.8</c:v>
                </c:pt>
                <c:pt idx="1297">
                  <c:v>501.8</c:v>
                </c:pt>
                <c:pt idx="1298">
                  <c:v>501.8</c:v>
                </c:pt>
                <c:pt idx="1299">
                  <c:v>501.8</c:v>
                </c:pt>
                <c:pt idx="1300">
                  <c:v>502</c:v>
                </c:pt>
                <c:pt idx="1301">
                  <c:v>502</c:v>
                </c:pt>
                <c:pt idx="1302">
                  <c:v>502</c:v>
                </c:pt>
                <c:pt idx="1303">
                  <c:v>502</c:v>
                </c:pt>
                <c:pt idx="1304">
                  <c:v>502</c:v>
                </c:pt>
                <c:pt idx="1305">
                  <c:v>502</c:v>
                </c:pt>
                <c:pt idx="1306">
                  <c:v>502.2</c:v>
                </c:pt>
                <c:pt idx="1307">
                  <c:v>502.5</c:v>
                </c:pt>
                <c:pt idx="1308">
                  <c:v>503</c:v>
                </c:pt>
                <c:pt idx="1309">
                  <c:v>503.4</c:v>
                </c:pt>
                <c:pt idx="1310">
                  <c:v>504.8</c:v>
                </c:pt>
                <c:pt idx="1311">
                  <c:v>505.4</c:v>
                </c:pt>
                <c:pt idx="1312">
                  <c:v>505.4</c:v>
                </c:pt>
                <c:pt idx="1313">
                  <c:v>505.4</c:v>
                </c:pt>
                <c:pt idx="1314">
                  <c:v>505.4</c:v>
                </c:pt>
                <c:pt idx="1315">
                  <c:v>505.5</c:v>
                </c:pt>
                <c:pt idx="1316">
                  <c:v>505.5</c:v>
                </c:pt>
                <c:pt idx="1317">
                  <c:v>505.5</c:v>
                </c:pt>
                <c:pt idx="1318">
                  <c:v>505.5</c:v>
                </c:pt>
                <c:pt idx="1319">
                  <c:v>505.5</c:v>
                </c:pt>
                <c:pt idx="1320">
                  <c:v>505.5</c:v>
                </c:pt>
                <c:pt idx="1321">
                  <c:v>505.5</c:v>
                </c:pt>
                <c:pt idx="1322">
                  <c:v>505.5</c:v>
                </c:pt>
                <c:pt idx="1323">
                  <c:v>505.6</c:v>
                </c:pt>
                <c:pt idx="1324">
                  <c:v>505.7</c:v>
                </c:pt>
                <c:pt idx="1325">
                  <c:v>505.8</c:v>
                </c:pt>
                <c:pt idx="1326">
                  <c:v>505.8</c:v>
                </c:pt>
                <c:pt idx="1327">
                  <c:v>505.9</c:v>
                </c:pt>
                <c:pt idx="1328">
                  <c:v>505.9</c:v>
                </c:pt>
                <c:pt idx="1329">
                  <c:v>505.9</c:v>
                </c:pt>
                <c:pt idx="1330">
                  <c:v>505.9</c:v>
                </c:pt>
                <c:pt idx="1331">
                  <c:v>506</c:v>
                </c:pt>
                <c:pt idx="1332">
                  <c:v>506</c:v>
                </c:pt>
                <c:pt idx="1333">
                  <c:v>506</c:v>
                </c:pt>
                <c:pt idx="1334">
                  <c:v>506</c:v>
                </c:pt>
                <c:pt idx="1335">
                  <c:v>505.9</c:v>
                </c:pt>
                <c:pt idx="1336">
                  <c:v>506</c:v>
                </c:pt>
                <c:pt idx="1337">
                  <c:v>505.9</c:v>
                </c:pt>
                <c:pt idx="1338">
                  <c:v>506</c:v>
                </c:pt>
                <c:pt idx="1339">
                  <c:v>506.2</c:v>
                </c:pt>
                <c:pt idx="1340">
                  <c:v>507.3</c:v>
                </c:pt>
                <c:pt idx="1341">
                  <c:v>508.9</c:v>
                </c:pt>
                <c:pt idx="1342">
                  <c:v>512.1</c:v>
                </c:pt>
                <c:pt idx="1343">
                  <c:v>513.70000000000005</c:v>
                </c:pt>
                <c:pt idx="1344">
                  <c:v>514.79999999999995</c:v>
                </c:pt>
                <c:pt idx="1345">
                  <c:v>515.9</c:v>
                </c:pt>
                <c:pt idx="1346">
                  <c:v>516</c:v>
                </c:pt>
                <c:pt idx="1347">
                  <c:v>516.1</c:v>
                </c:pt>
                <c:pt idx="1348">
                  <c:v>516.20000000000005</c:v>
                </c:pt>
                <c:pt idx="1349">
                  <c:v>516.4</c:v>
                </c:pt>
                <c:pt idx="1350">
                  <c:v>516.5</c:v>
                </c:pt>
                <c:pt idx="1351">
                  <c:v>516.70000000000005</c:v>
                </c:pt>
                <c:pt idx="1352">
                  <c:v>516.79999999999995</c:v>
                </c:pt>
                <c:pt idx="1353">
                  <c:v>517</c:v>
                </c:pt>
                <c:pt idx="1354">
                  <c:v>517.1</c:v>
                </c:pt>
                <c:pt idx="1355">
                  <c:v>517.6</c:v>
                </c:pt>
                <c:pt idx="1356">
                  <c:v>518.1</c:v>
                </c:pt>
                <c:pt idx="1357">
                  <c:v>518.4</c:v>
                </c:pt>
                <c:pt idx="1358">
                  <c:v>518.6</c:v>
                </c:pt>
                <c:pt idx="1359">
                  <c:v>519.1</c:v>
                </c:pt>
                <c:pt idx="1360">
                  <c:v>519.4</c:v>
                </c:pt>
                <c:pt idx="1361">
                  <c:v>519.79999999999995</c:v>
                </c:pt>
                <c:pt idx="1362">
                  <c:v>520.9</c:v>
                </c:pt>
                <c:pt idx="1363">
                  <c:v>522</c:v>
                </c:pt>
                <c:pt idx="1364">
                  <c:v>522.9</c:v>
                </c:pt>
                <c:pt idx="1365">
                  <c:v>523.6</c:v>
                </c:pt>
                <c:pt idx="1366">
                  <c:v>524.6</c:v>
                </c:pt>
                <c:pt idx="1367">
                  <c:v>525.20000000000005</c:v>
                </c:pt>
                <c:pt idx="1368">
                  <c:v>525.29999999999995</c:v>
                </c:pt>
                <c:pt idx="1369">
                  <c:v>525.70000000000005</c:v>
                </c:pt>
                <c:pt idx="1370">
                  <c:v>525.9</c:v>
                </c:pt>
                <c:pt idx="1371">
                  <c:v>525.9</c:v>
                </c:pt>
                <c:pt idx="1372">
                  <c:v>525.9</c:v>
                </c:pt>
                <c:pt idx="1373">
                  <c:v>525.9</c:v>
                </c:pt>
                <c:pt idx="1374">
                  <c:v>525.9</c:v>
                </c:pt>
                <c:pt idx="1375">
                  <c:v>525.9</c:v>
                </c:pt>
                <c:pt idx="1376">
                  <c:v>526</c:v>
                </c:pt>
                <c:pt idx="1377">
                  <c:v>526.6</c:v>
                </c:pt>
                <c:pt idx="1378">
                  <c:v>527.29999999999995</c:v>
                </c:pt>
                <c:pt idx="1379">
                  <c:v>527.79999999999995</c:v>
                </c:pt>
                <c:pt idx="1380">
                  <c:v>528.1</c:v>
                </c:pt>
                <c:pt idx="1381">
                  <c:v>528.1</c:v>
                </c:pt>
                <c:pt idx="1382">
                  <c:v>528.20000000000005</c:v>
                </c:pt>
                <c:pt idx="1383">
                  <c:v>528.20000000000005</c:v>
                </c:pt>
                <c:pt idx="1384">
                  <c:v>528.20000000000005</c:v>
                </c:pt>
                <c:pt idx="1385">
                  <c:v>528.20000000000005</c:v>
                </c:pt>
                <c:pt idx="1386">
                  <c:v>528.1</c:v>
                </c:pt>
                <c:pt idx="1387">
                  <c:v>528.20000000000005</c:v>
                </c:pt>
                <c:pt idx="1388">
                  <c:v>528.29999999999995</c:v>
                </c:pt>
                <c:pt idx="1389">
                  <c:v>528.20000000000005</c:v>
                </c:pt>
                <c:pt idx="1390">
                  <c:v>528</c:v>
                </c:pt>
                <c:pt idx="1391">
                  <c:v>527.9</c:v>
                </c:pt>
                <c:pt idx="1392">
                  <c:v>528</c:v>
                </c:pt>
                <c:pt idx="1393">
                  <c:v>528</c:v>
                </c:pt>
                <c:pt idx="1394">
                  <c:v>528</c:v>
                </c:pt>
                <c:pt idx="1395">
                  <c:v>528.1</c:v>
                </c:pt>
                <c:pt idx="1396">
                  <c:v>528.29999999999995</c:v>
                </c:pt>
                <c:pt idx="1397">
                  <c:v>528.29999999999995</c:v>
                </c:pt>
                <c:pt idx="1398">
                  <c:v>528.29999999999995</c:v>
                </c:pt>
                <c:pt idx="1399">
                  <c:v>528.29999999999995</c:v>
                </c:pt>
                <c:pt idx="1400">
                  <c:v>528.29999999999995</c:v>
                </c:pt>
                <c:pt idx="1401">
                  <c:v>528.20000000000005</c:v>
                </c:pt>
                <c:pt idx="1402">
                  <c:v>528.20000000000005</c:v>
                </c:pt>
                <c:pt idx="1403">
                  <c:v>528.20000000000005</c:v>
                </c:pt>
                <c:pt idx="1404">
                  <c:v>528.20000000000005</c:v>
                </c:pt>
                <c:pt idx="1405">
                  <c:v>528.20000000000005</c:v>
                </c:pt>
                <c:pt idx="1406">
                  <c:v>528.29999999999995</c:v>
                </c:pt>
                <c:pt idx="1407">
                  <c:v>528.6</c:v>
                </c:pt>
                <c:pt idx="1408">
                  <c:v>528.9</c:v>
                </c:pt>
                <c:pt idx="1409">
                  <c:v>529.29999999999995</c:v>
                </c:pt>
                <c:pt idx="1410">
                  <c:v>530.6</c:v>
                </c:pt>
                <c:pt idx="1411">
                  <c:v>530.9</c:v>
                </c:pt>
                <c:pt idx="1412">
                  <c:v>531.29999999999995</c:v>
                </c:pt>
                <c:pt idx="1413">
                  <c:v>531.4</c:v>
                </c:pt>
                <c:pt idx="1414">
                  <c:v>531.4</c:v>
                </c:pt>
                <c:pt idx="1415">
                  <c:v>531.4</c:v>
                </c:pt>
                <c:pt idx="1416">
                  <c:v>531.4</c:v>
                </c:pt>
                <c:pt idx="1417">
                  <c:v>531.5</c:v>
                </c:pt>
                <c:pt idx="1418">
                  <c:v>531.5</c:v>
                </c:pt>
                <c:pt idx="1419">
                  <c:v>531.70000000000005</c:v>
                </c:pt>
                <c:pt idx="1420">
                  <c:v>532.29999999999995</c:v>
                </c:pt>
                <c:pt idx="1421">
                  <c:v>532.79999999999995</c:v>
                </c:pt>
                <c:pt idx="1422">
                  <c:v>533.1</c:v>
                </c:pt>
                <c:pt idx="1423">
                  <c:v>533.6</c:v>
                </c:pt>
                <c:pt idx="1424">
                  <c:v>533.79999999999995</c:v>
                </c:pt>
                <c:pt idx="1425">
                  <c:v>533.79999999999995</c:v>
                </c:pt>
                <c:pt idx="1426">
                  <c:v>533.9</c:v>
                </c:pt>
                <c:pt idx="1427">
                  <c:v>533.79999999999995</c:v>
                </c:pt>
                <c:pt idx="1428">
                  <c:v>533.79999999999995</c:v>
                </c:pt>
                <c:pt idx="1429">
                  <c:v>533.9</c:v>
                </c:pt>
                <c:pt idx="1430">
                  <c:v>533.9</c:v>
                </c:pt>
                <c:pt idx="1431">
                  <c:v>533.79999999999995</c:v>
                </c:pt>
                <c:pt idx="1432">
                  <c:v>533.9</c:v>
                </c:pt>
                <c:pt idx="1433">
                  <c:v>533.9</c:v>
                </c:pt>
                <c:pt idx="1434">
                  <c:v>533.9</c:v>
                </c:pt>
                <c:pt idx="1435">
                  <c:v>533.9</c:v>
                </c:pt>
                <c:pt idx="1436">
                  <c:v>533.9</c:v>
                </c:pt>
                <c:pt idx="1437">
                  <c:v>534</c:v>
                </c:pt>
                <c:pt idx="1438">
                  <c:v>534</c:v>
                </c:pt>
                <c:pt idx="1439">
                  <c:v>534</c:v>
                </c:pt>
                <c:pt idx="1440">
                  <c:v>534</c:v>
                </c:pt>
                <c:pt idx="1441">
                  <c:v>533.9</c:v>
                </c:pt>
                <c:pt idx="1442">
                  <c:v>534</c:v>
                </c:pt>
                <c:pt idx="1443">
                  <c:v>534.20000000000005</c:v>
                </c:pt>
                <c:pt idx="1444">
                  <c:v>534.29999999999995</c:v>
                </c:pt>
                <c:pt idx="1445">
                  <c:v>534.29999999999995</c:v>
                </c:pt>
                <c:pt idx="1446">
                  <c:v>534.20000000000005</c:v>
                </c:pt>
                <c:pt idx="1447">
                  <c:v>534.20000000000005</c:v>
                </c:pt>
                <c:pt idx="1448">
                  <c:v>534.20000000000005</c:v>
                </c:pt>
                <c:pt idx="1449">
                  <c:v>534.1</c:v>
                </c:pt>
                <c:pt idx="1450">
                  <c:v>534.1</c:v>
                </c:pt>
                <c:pt idx="1451">
                  <c:v>534.20000000000005</c:v>
                </c:pt>
                <c:pt idx="1452">
                  <c:v>534.20000000000005</c:v>
                </c:pt>
                <c:pt idx="1453">
                  <c:v>534.20000000000005</c:v>
                </c:pt>
                <c:pt idx="1454">
                  <c:v>534.20000000000005</c:v>
                </c:pt>
                <c:pt idx="1455">
                  <c:v>534.6</c:v>
                </c:pt>
                <c:pt idx="1456">
                  <c:v>534.6</c:v>
                </c:pt>
                <c:pt idx="1457">
                  <c:v>534.6</c:v>
                </c:pt>
                <c:pt idx="1458">
                  <c:v>534.6</c:v>
                </c:pt>
                <c:pt idx="1459">
                  <c:v>534.79999999999995</c:v>
                </c:pt>
                <c:pt idx="1460">
                  <c:v>534.79999999999995</c:v>
                </c:pt>
                <c:pt idx="1461">
                  <c:v>535.20000000000005</c:v>
                </c:pt>
                <c:pt idx="1462">
                  <c:v>536.1</c:v>
                </c:pt>
                <c:pt idx="1463">
                  <c:v>537.5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DataHr!$B$293:$B$1756</c:f>
              <c:numCache>
                <c:formatCode>General</c:formatCode>
                <c:ptCount val="1464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  <c:pt idx="24">
                  <c:v>306</c:v>
                </c:pt>
                <c:pt idx="25">
                  <c:v>306</c:v>
                </c:pt>
                <c:pt idx="26">
                  <c:v>306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306</c:v>
                </c:pt>
                <c:pt idx="35">
                  <c:v>306</c:v>
                </c:pt>
                <c:pt idx="36">
                  <c:v>306</c:v>
                </c:pt>
                <c:pt idx="37">
                  <c:v>306</c:v>
                </c:pt>
                <c:pt idx="38">
                  <c:v>306</c:v>
                </c:pt>
                <c:pt idx="39">
                  <c:v>306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307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308</c:v>
                </c:pt>
                <c:pt idx="73">
                  <c:v>308</c:v>
                </c:pt>
                <c:pt idx="74">
                  <c:v>308</c:v>
                </c:pt>
                <c:pt idx="75">
                  <c:v>308</c:v>
                </c:pt>
                <c:pt idx="76">
                  <c:v>308</c:v>
                </c:pt>
                <c:pt idx="77">
                  <c:v>308</c:v>
                </c:pt>
                <c:pt idx="78">
                  <c:v>308</c:v>
                </c:pt>
                <c:pt idx="79">
                  <c:v>308</c:v>
                </c:pt>
                <c:pt idx="80">
                  <c:v>308</c:v>
                </c:pt>
                <c:pt idx="81">
                  <c:v>308</c:v>
                </c:pt>
                <c:pt idx="82">
                  <c:v>308</c:v>
                </c:pt>
                <c:pt idx="83">
                  <c:v>308</c:v>
                </c:pt>
                <c:pt idx="84">
                  <c:v>308</c:v>
                </c:pt>
                <c:pt idx="85">
                  <c:v>308</c:v>
                </c:pt>
                <c:pt idx="86">
                  <c:v>308</c:v>
                </c:pt>
                <c:pt idx="87">
                  <c:v>308</c:v>
                </c:pt>
                <c:pt idx="88">
                  <c:v>308</c:v>
                </c:pt>
                <c:pt idx="89">
                  <c:v>308</c:v>
                </c:pt>
                <c:pt idx="90">
                  <c:v>308</c:v>
                </c:pt>
                <c:pt idx="91">
                  <c:v>308</c:v>
                </c:pt>
                <c:pt idx="92">
                  <c:v>308</c:v>
                </c:pt>
                <c:pt idx="93">
                  <c:v>308</c:v>
                </c:pt>
                <c:pt idx="94">
                  <c:v>308</c:v>
                </c:pt>
                <c:pt idx="95">
                  <c:v>308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309</c:v>
                </c:pt>
                <c:pt idx="100">
                  <c:v>309</c:v>
                </c:pt>
                <c:pt idx="101">
                  <c:v>309</c:v>
                </c:pt>
                <c:pt idx="102">
                  <c:v>309</c:v>
                </c:pt>
                <c:pt idx="103">
                  <c:v>309</c:v>
                </c:pt>
                <c:pt idx="104">
                  <c:v>309</c:v>
                </c:pt>
                <c:pt idx="105">
                  <c:v>309</c:v>
                </c:pt>
                <c:pt idx="106">
                  <c:v>309</c:v>
                </c:pt>
                <c:pt idx="107">
                  <c:v>309</c:v>
                </c:pt>
                <c:pt idx="108">
                  <c:v>309</c:v>
                </c:pt>
                <c:pt idx="109">
                  <c:v>309</c:v>
                </c:pt>
                <c:pt idx="110">
                  <c:v>309</c:v>
                </c:pt>
                <c:pt idx="111">
                  <c:v>309</c:v>
                </c:pt>
                <c:pt idx="112">
                  <c:v>309</c:v>
                </c:pt>
                <c:pt idx="113">
                  <c:v>309</c:v>
                </c:pt>
                <c:pt idx="114">
                  <c:v>309</c:v>
                </c:pt>
                <c:pt idx="115">
                  <c:v>309</c:v>
                </c:pt>
                <c:pt idx="116">
                  <c:v>309</c:v>
                </c:pt>
                <c:pt idx="117">
                  <c:v>309</c:v>
                </c:pt>
                <c:pt idx="118">
                  <c:v>309</c:v>
                </c:pt>
                <c:pt idx="119">
                  <c:v>309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311</c:v>
                </c:pt>
                <c:pt idx="145">
                  <c:v>311</c:v>
                </c:pt>
                <c:pt idx="146">
                  <c:v>311</c:v>
                </c:pt>
                <c:pt idx="147">
                  <c:v>311</c:v>
                </c:pt>
                <c:pt idx="148">
                  <c:v>311</c:v>
                </c:pt>
                <c:pt idx="149">
                  <c:v>311</c:v>
                </c:pt>
                <c:pt idx="150">
                  <c:v>311</c:v>
                </c:pt>
                <c:pt idx="151">
                  <c:v>311</c:v>
                </c:pt>
                <c:pt idx="152">
                  <c:v>311</c:v>
                </c:pt>
                <c:pt idx="153">
                  <c:v>311</c:v>
                </c:pt>
                <c:pt idx="154">
                  <c:v>311</c:v>
                </c:pt>
                <c:pt idx="155">
                  <c:v>311</c:v>
                </c:pt>
                <c:pt idx="156">
                  <c:v>311</c:v>
                </c:pt>
                <c:pt idx="157">
                  <c:v>311</c:v>
                </c:pt>
                <c:pt idx="158">
                  <c:v>311</c:v>
                </c:pt>
                <c:pt idx="159">
                  <c:v>311</c:v>
                </c:pt>
                <c:pt idx="160">
                  <c:v>311</c:v>
                </c:pt>
                <c:pt idx="161">
                  <c:v>311</c:v>
                </c:pt>
                <c:pt idx="162">
                  <c:v>311</c:v>
                </c:pt>
                <c:pt idx="163">
                  <c:v>311</c:v>
                </c:pt>
                <c:pt idx="164">
                  <c:v>311</c:v>
                </c:pt>
                <c:pt idx="165">
                  <c:v>311</c:v>
                </c:pt>
                <c:pt idx="166">
                  <c:v>311</c:v>
                </c:pt>
                <c:pt idx="167">
                  <c:v>311</c:v>
                </c:pt>
                <c:pt idx="168">
                  <c:v>312</c:v>
                </c:pt>
                <c:pt idx="169">
                  <c:v>312</c:v>
                </c:pt>
                <c:pt idx="170">
                  <c:v>312</c:v>
                </c:pt>
                <c:pt idx="171">
                  <c:v>312</c:v>
                </c:pt>
                <c:pt idx="172">
                  <c:v>312</c:v>
                </c:pt>
                <c:pt idx="173">
                  <c:v>312</c:v>
                </c:pt>
                <c:pt idx="174">
                  <c:v>312</c:v>
                </c:pt>
                <c:pt idx="175">
                  <c:v>312</c:v>
                </c:pt>
                <c:pt idx="176">
                  <c:v>312</c:v>
                </c:pt>
                <c:pt idx="177">
                  <c:v>312</c:v>
                </c:pt>
                <c:pt idx="178">
                  <c:v>312</c:v>
                </c:pt>
                <c:pt idx="179">
                  <c:v>312</c:v>
                </c:pt>
                <c:pt idx="180">
                  <c:v>312</c:v>
                </c:pt>
                <c:pt idx="181">
                  <c:v>312</c:v>
                </c:pt>
                <c:pt idx="182">
                  <c:v>312</c:v>
                </c:pt>
                <c:pt idx="183">
                  <c:v>312</c:v>
                </c:pt>
                <c:pt idx="184">
                  <c:v>312</c:v>
                </c:pt>
                <c:pt idx="185">
                  <c:v>312</c:v>
                </c:pt>
                <c:pt idx="186">
                  <c:v>312</c:v>
                </c:pt>
                <c:pt idx="187">
                  <c:v>312</c:v>
                </c:pt>
                <c:pt idx="188">
                  <c:v>312</c:v>
                </c:pt>
                <c:pt idx="189">
                  <c:v>312</c:v>
                </c:pt>
                <c:pt idx="190">
                  <c:v>312</c:v>
                </c:pt>
                <c:pt idx="191">
                  <c:v>312</c:v>
                </c:pt>
                <c:pt idx="192">
                  <c:v>313</c:v>
                </c:pt>
                <c:pt idx="193">
                  <c:v>313</c:v>
                </c:pt>
                <c:pt idx="194">
                  <c:v>313</c:v>
                </c:pt>
                <c:pt idx="195">
                  <c:v>313</c:v>
                </c:pt>
                <c:pt idx="196">
                  <c:v>313</c:v>
                </c:pt>
                <c:pt idx="197">
                  <c:v>313</c:v>
                </c:pt>
                <c:pt idx="198">
                  <c:v>313</c:v>
                </c:pt>
                <c:pt idx="199">
                  <c:v>313</c:v>
                </c:pt>
                <c:pt idx="200">
                  <c:v>313</c:v>
                </c:pt>
                <c:pt idx="201">
                  <c:v>313</c:v>
                </c:pt>
                <c:pt idx="202">
                  <c:v>313</c:v>
                </c:pt>
                <c:pt idx="203">
                  <c:v>313</c:v>
                </c:pt>
                <c:pt idx="204">
                  <c:v>313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313</c:v>
                </c:pt>
                <c:pt idx="216">
                  <c:v>314</c:v>
                </c:pt>
                <c:pt idx="217">
                  <c:v>314</c:v>
                </c:pt>
                <c:pt idx="218">
                  <c:v>314</c:v>
                </c:pt>
                <c:pt idx="219">
                  <c:v>314</c:v>
                </c:pt>
                <c:pt idx="220">
                  <c:v>314</c:v>
                </c:pt>
                <c:pt idx="221">
                  <c:v>314</c:v>
                </c:pt>
                <c:pt idx="222">
                  <c:v>314</c:v>
                </c:pt>
                <c:pt idx="223">
                  <c:v>314</c:v>
                </c:pt>
                <c:pt idx="224">
                  <c:v>314</c:v>
                </c:pt>
                <c:pt idx="225">
                  <c:v>314</c:v>
                </c:pt>
                <c:pt idx="226">
                  <c:v>314</c:v>
                </c:pt>
                <c:pt idx="227">
                  <c:v>314</c:v>
                </c:pt>
                <c:pt idx="228">
                  <c:v>314</c:v>
                </c:pt>
                <c:pt idx="229">
                  <c:v>314</c:v>
                </c:pt>
                <c:pt idx="230">
                  <c:v>314</c:v>
                </c:pt>
                <c:pt idx="231">
                  <c:v>314</c:v>
                </c:pt>
                <c:pt idx="232">
                  <c:v>314</c:v>
                </c:pt>
                <c:pt idx="233">
                  <c:v>314</c:v>
                </c:pt>
                <c:pt idx="234">
                  <c:v>314</c:v>
                </c:pt>
                <c:pt idx="235">
                  <c:v>314</c:v>
                </c:pt>
                <c:pt idx="236">
                  <c:v>314</c:v>
                </c:pt>
                <c:pt idx="237">
                  <c:v>314</c:v>
                </c:pt>
                <c:pt idx="238">
                  <c:v>314</c:v>
                </c:pt>
                <c:pt idx="239">
                  <c:v>314</c:v>
                </c:pt>
                <c:pt idx="240">
                  <c:v>315</c:v>
                </c:pt>
                <c:pt idx="241">
                  <c:v>315</c:v>
                </c:pt>
                <c:pt idx="242">
                  <c:v>315</c:v>
                </c:pt>
                <c:pt idx="243">
                  <c:v>315</c:v>
                </c:pt>
                <c:pt idx="244">
                  <c:v>315</c:v>
                </c:pt>
                <c:pt idx="245">
                  <c:v>315</c:v>
                </c:pt>
                <c:pt idx="246">
                  <c:v>315</c:v>
                </c:pt>
                <c:pt idx="247">
                  <c:v>315</c:v>
                </c:pt>
                <c:pt idx="248">
                  <c:v>315</c:v>
                </c:pt>
                <c:pt idx="249">
                  <c:v>315</c:v>
                </c:pt>
                <c:pt idx="250">
                  <c:v>315</c:v>
                </c:pt>
                <c:pt idx="251">
                  <c:v>315</c:v>
                </c:pt>
                <c:pt idx="252">
                  <c:v>315</c:v>
                </c:pt>
                <c:pt idx="253">
                  <c:v>315</c:v>
                </c:pt>
                <c:pt idx="254">
                  <c:v>315</c:v>
                </c:pt>
                <c:pt idx="255">
                  <c:v>315</c:v>
                </c:pt>
                <c:pt idx="256">
                  <c:v>315</c:v>
                </c:pt>
                <c:pt idx="257">
                  <c:v>315</c:v>
                </c:pt>
                <c:pt idx="258">
                  <c:v>315</c:v>
                </c:pt>
                <c:pt idx="259">
                  <c:v>315</c:v>
                </c:pt>
                <c:pt idx="260">
                  <c:v>315</c:v>
                </c:pt>
                <c:pt idx="261">
                  <c:v>315</c:v>
                </c:pt>
                <c:pt idx="262">
                  <c:v>315</c:v>
                </c:pt>
                <c:pt idx="263">
                  <c:v>315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316</c:v>
                </c:pt>
                <c:pt idx="269">
                  <c:v>316</c:v>
                </c:pt>
                <c:pt idx="270">
                  <c:v>316</c:v>
                </c:pt>
                <c:pt idx="271">
                  <c:v>316</c:v>
                </c:pt>
                <c:pt idx="272">
                  <c:v>316</c:v>
                </c:pt>
                <c:pt idx="273">
                  <c:v>316</c:v>
                </c:pt>
                <c:pt idx="274">
                  <c:v>316</c:v>
                </c:pt>
                <c:pt idx="275">
                  <c:v>316</c:v>
                </c:pt>
                <c:pt idx="276">
                  <c:v>316</c:v>
                </c:pt>
                <c:pt idx="277">
                  <c:v>316</c:v>
                </c:pt>
                <c:pt idx="278">
                  <c:v>316</c:v>
                </c:pt>
                <c:pt idx="279">
                  <c:v>316</c:v>
                </c:pt>
                <c:pt idx="280">
                  <c:v>316</c:v>
                </c:pt>
                <c:pt idx="281">
                  <c:v>316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318</c:v>
                </c:pt>
                <c:pt idx="313">
                  <c:v>318</c:v>
                </c:pt>
                <c:pt idx="314">
                  <c:v>318</c:v>
                </c:pt>
                <c:pt idx="315">
                  <c:v>318</c:v>
                </c:pt>
                <c:pt idx="316">
                  <c:v>318</c:v>
                </c:pt>
                <c:pt idx="317">
                  <c:v>318</c:v>
                </c:pt>
                <c:pt idx="318">
                  <c:v>318</c:v>
                </c:pt>
                <c:pt idx="319">
                  <c:v>318</c:v>
                </c:pt>
                <c:pt idx="320">
                  <c:v>318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318</c:v>
                </c:pt>
                <c:pt idx="329">
                  <c:v>318</c:v>
                </c:pt>
                <c:pt idx="330">
                  <c:v>318</c:v>
                </c:pt>
                <c:pt idx="331">
                  <c:v>318</c:v>
                </c:pt>
                <c:pt idx="332">
                  <c:v>318</c:v>
                </c:pt>
                <c:pt idx="333">
                  <c:v>318</c:v>
                </c:pt>
                <c:pt idx="334">
                  <c:v>318</c:v>
                </c:pt>
                <c:pt idx="335">
                  <c:v>318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319</c:v>
                </c:pt>
                <c:pt idx="340">
                  <c:v>319</c:v>
                </c:pt>
                <c:pt idx="341">
                  <c:v>319</c:v>
                </c:pt>
                <c:pt idx="342">
                  <c:v>319</c:v>
                </c:pt>
                <c:pt idx="343">
                  <c:v>319</c:v>
                </c:pt>
                <c:pt idx="344">
                  <c:v>319</c:v>
                </c:pt>
                <c:pt idx="345">
                  <c:v>319</c:v>
                </c:pt>
                <c:pt idx="346">
                  <c:v>319</c:v>
                </c:pt>
                <c:pt idx="347">
                  <c:v>319</c:v>
                </c:pt>
                <c:pt idx="348">
                  <c:v>319</c:v>
                </c:pt>
                <c:pt idx="349">
                  <c:v>319</c:v>
                </c:pt>
                <c:pt idx="350">
                  <c:v>319</c:v>
                </c:pt>
                <c:pt idx="351">
                  <c:v>319</c:v>
                </c:pt>
                <c:pt idx="352">
                  <c:v>319</c:v>
                </c:pt>
                <c:pt idx="353">
                  <c:v>319</c:v>
                </c:pt>
                <c:pt idx="354">
                  <c:v>319</c:v>
                </c:pt>
                <c:pt idx="355">
                  <c:v>319</c:v>
                </c:pt>
                <c:pt idx="356">
                  <c:v>319</c:v>
                </c:pt>
                <c:pt idx="357">
                  <c:v>319</c:v>
                </c:pt>
                <c:pt idx="358">
                  <c:v>319</c:v>
                </c:pt>
                <c:pt idx="359">
                  <c:v>319</c:v>
                </c:pt>
                <c:pt idx="360">
                  <c:v>320</c:v>
                </c:pt>
                <c:pt idx="361">
                  <c:v>320</c:v>
                </c:pt>
                <c:pt idx="362">
                  <c:v>320</c:v>
                </c:pt>
                <c:pt idx="363">
                  <c:v>320</c:v>
                </c:pt>
                <c:pt idx="364">
                  <c:v>320</c:v>
                </c:pt>
                <c:pt idx="365">
                  <c:v>320</c:v>
                </c:pt>
                <c:pt idx="366">
                  <c:v>320</c:v>
                </c:pt>
                <c:pt idx="367">
                  <c:v>320</c:v>
                </c:pt>
                <c:pt idx="368">
                  <c:v>320</c:v>
                </c:pt>
                <c:pt idx="369">
                  <c:v>320</c:v>
                </c:pt>
                <c:pt idx="370">
                  <c:v>320</c:v>
                </c:pt>
                <c:pt idx="371">
                  <c:v>320</c:v>
                </c:pt>
                <c:pt idx="372">
                  <c:v>320</c:v>
                </c:pt>
                <c:pt idx="373">
                  <c:v>320</c:v>
                </c:pt>
                <c:pt idx="374">
                  <c:v>320</c:v>
                </c:pt>
                <c:pt idx="375">
                  <c:v>320</c:v>
                </c:pt>
                <c:pt idx="376">
                  <c:v>320</c:v>
                </c:pt>
                <c:pt idx="377">
                  <c:v>320</c:v>
                </c:pt>
                <c:pt idx="378">
                  <c:v>320</c:v>
                </c:pt>
                <c:pt idx="379">
                  <c:v>320</c:v>
                </c:pt>
                <c:pt idx="380">
                  <c:v>320</c:v>
                </c:pt>
                <c:pt idx="381">
                  <c:v>320</c:v>
                </c:pt>
                <c:pt idx="382">
                  <c:v>320</c:v>
                </c:pt>
                <c:pt idx="383">
                  <c:v>320</c:v>
                </c:pt>
                <c:pt idx="384">
                  <c:v>321</c:v>
                </c:pt>
                <c:pt idx="385">
                  <c:v>321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321</c:v>
                </c:pt>
                <c:pt idx="391">
                  <c:v>321</c:v>
                </c:pt>
                <c:pt idx="392">
                  <c:v>321</c:v>
                </c:pt>
                <c:pt idx="393">
                  <c:v>321</c:v>
                </c:pt>
                <c:pt idx="394">
                  <c:v>321</c:v>
                </c:pt>
                <c:pt idx="395">
                  <c:v>321</c:v>
                </c:pt>
                <c:pt idx="396">
                  <c:v>321</c:v>
                </c:pt>
                <c:pt idx="397">
                  <c:v>321</c:v>
                </c:pt>
                <c:pt idx="398">
                  <c:v>321</c:v>
                </c:pt>
                <c:pt idx="399">
                  <c:v>321</c:v>
                </c:pt>
                <c:pt idx="400">
                  <c:v>321</c:v>
                </c:pt>
                <c:pt idx="401">
                  <c:v>321</c:v>
                </c:pt>
                <c:pt idx="402">
                  <c:v>321</c:v>
                </c:pt>
                <c:pt idx="403">
                  <c:v>321</c:v>
                </c:pt>
                <c:pt idx="404">
                  <c:v>321</c:v>
                </c:pt>
                <c:pt idx="405">
                  <c:v>321</c:v>
                </c:pt>
                <c:pt idx="406">
                  <c:v>321</c:v>
                </c:pt>
                <c:pt idx="407">
                  <c:v>321</c:v>
                </c:pt>
                <c:pt idx="408">
                  <c:v>322</c:v>
                </c:pt>
                <c:pt idx="409">
                  <c:v>322</c:v>
                </c:pt>
                <c:pt idx="410">
                  <c:v>322</c:v>
                </c:pt>
                <c:pt idx="411">
                  <c:v>322</c:v>
                </c:pt>
                <c:pt idx="412">
                  <c:v>322</c:v>
                </c:pt>
                <c:pt idx="413">
                  <c:v>322</c:v>
                </c:pt>
                <c:pt idx="414">
                  <c:v>322</c:v>
                </c:pt>
                <c:pt idx="415">
                  <c:v>322</c:v>
                </c:pt>
                <c:pt idx="416">
                  <c:v>322</c:v>
                </c:pt>
                <c:pt idx="417">
                  <c:v>322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322</c:v>
                </c:pt>
                <c:pt idx="425">
                  <c:v>322</c:v>
                </c:pt>
                <c:pt idx="426">
                  <c:v>322</c:v>
                </c:pt>
                <c:pt idx="427">
                  <c:v>322</c:v>
                </c:pt>
                <c:pt idx="428">
                  <c:v>322</c:v>
                </c:pt>
                <c:pt idx="429">
                  <c:v>322</c:v>
                </c:pt>
                <c:pt idx="430">
                  <c:v>322</c:v>
                </c:pt>
                <c:pt idx="431">
                  <c:v>322</c:v>
                </c:pt>
                <c:pt idx="432">
                  <c:v>323</c:v>
                </c:pt>
                <c:pt idx="433">
                  <c:v>323</c:v>
                </c:pt>
                <c:pt idx="434">
                  <c:v>323</c:v>
                </c:pt>
                <c:pt idx="435">
                  <c:v>323</c:v>
                </c:pt>
                <c:pt idx="436">
                  <c:v>323</c:v>
                </c:pt>
                <c:pt idx="437">
                  <c:v>323</c:v>
                </c:pt>
                <c:pt idx="438">
                  <c:v>323</c:v>
                </c:pt>
                <c:pt idx="439">
                  <c:v>323</c:v>
                </c:pt>
                <c:pt idx="440">
                  <c:v>323</c:v>
                </c:pt>
                <c:pt idx="441">
                  <c:v>323</c:v>
                </c:pt>
                <c:pt idx="442">
                  <c:v>323</c:v>
                </c:pt>
                <c:pt idx="443">
                  <c:v>323</c:v>
                </c:pt>
                <c:pt idx="444">
                  <c:v>323</c:v>
                </c:pt>
                <c:pt idx="445">
                  <c:v>323</c:v>
                </c:pt>
                <c:pt idx="446">
                  <c:v>323</c:v>
                </c:pt>
                <c:pt idx="447">
                  <c:v>323</c:v>
                </c:pt>
                <c:pt idx="448">
                  <c:v>323</c:v>
                </c:pt>
                <c:pt idx="449">
                  <c:v>323</c:v>
                </c:pt>
                <c:pt idx="450">
                  <c:v>323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324</c:v>
                </c:pt>
                <c:pt idx="457">
                  <c:v>324</c:v>
                </c:pt>
                <c:pt idx="458">
                  <c:v>324</c:v>
                </c:pt>
                <c:pt idx="459">
                  <c:v>324</c:v>
                </c:pt>
                <c:pt idx="460">
                  <c:v>324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324</c:v>
                </c:pt>
                <c:pt idx="465">
                  <c:v>324</c:v>
                </c:pt>
                <c:pt idx="466">
                  <c:v>324</c:v>
                </c:pt>
                <c:pt idx="467">
                  <c:v>324</c:v>
                </c:pt>
                <c:pt idx="468">
                  <c:v>324</c:v>
                </c:pt>
                <c:pt idx="469">
                  <c:v>324</c:v>
                </c:pt>
                <c:pt idx="470">
                  <c:v>324</c:v>
                </c:pt>
                <c:pt idx="471">
                  <c:v>324</c:v>
                </c:pt>
                <c:pt idx="472">
                  <c:v>324</c:v>
                </c:pt>
                <c:pt idx="473">
                  <c:v>324</c:v>
                </c:pt>
                <c:pt idx="474">
                  <c:v>324</c:v>
                </c:pt>
                <c:pt idx="475">
                  <c:v>324</c:v>
                </c:pt>
                <c:pt idx="476">
                  <c:v>324</c:v>
                </c:pt>
                <c:pt idx="477">
                  <c:v>324</c:v>
                </c:pt>
                <c:pt idx="478">
                  <c:v>324</c:v>
                </c:pt>
                <c:pt idx="479">
                  <c:v>324</c:v>
                </c:pt>
                <c:pt idx="480">
                  <c:v>325</c:v>
                </c:pt>
                <c:pt idx="481">
                  <c:v>325</c:v>
                </c:pt>
                <c:pt idx="482">
                  <c:v>325</c:v>
                </c:pt>
                <c:pt idx="483">
                  <c:v>325</c:v>
                </c:pt>
                <c:pt idx="484">
                  <c:v>325</c:v>
                </c:pt>
                <c:pt idx="485">
                  <c:v>325</c:v>
                </c:pt>
                <c:pt idx="486">
                  <c:v>325</c:v>
                </c:pt>
                <c:pt idx="487">
                  <c:v>325</c:v>
                </c:pt>
                <c:pt idx="488">
                  <c:v>325</c:v>
                </c:pt>
                <c:pt idx="489">
                  <c:v>325</c:v>
                </c:pt>
                <c:pt idx="490">
                  <c:v>325</c:v>
                </c:pt>
                <c:pt idx="491">
                  <c:v>325</c:v>
                </c:pt>
                <c:pt idx="492">
                  <c:v>325</c:v>
                </c:pt>
                <c:pt idx="493">
                  <c:v>325</c:v>
                </c:pt>
                <c:pt idx="494">
                  <c:v>325</c:v>
                </c:pt>
                <c:pt idx="495">
                  <c:v>325</c:v>
                </c:pt>
                <c:pt idx="496">
                  <c:v>325</c:v>
                </c:pt>
                <c:pt idx="497">
                  <c:v>325</c:v>
                </c:pt>
                <c:pt idx="498">
                  <c:v>325</c:v>
                </c:pt>
                <c:pt idx="499">
                  <c:v>325</c:v>
                </c:pt>
                <c:pt idx="500">
                  <c:v>325</c:v>
                </c:pt>
                <c:pt idx="501">
                  <c:v>325</c:v>
                </c:pt>
                <c:pt idx="502">
                  <c:v>325</c:v>
                </c:pt>
                <c:pt idx="503">
                  <c:v>325</c:v>
                </c:pt>
                <c:pt idx="504">
                  <c:v>326</c:v>
                </c:pt>
                <c:pt idx="505">
                  <c:v>326</c:v>
                </c:pt>
                <c:pt idx="506">
                  <c:v>326</c:v>
                </c:pt>
                <c:pt idx="507">
                  <c:v>326</c:v>
                </c:pt>
                <c:pt idx="508">
                  <c:v>326</c:v>
                </c:pt>
                <c:pt idx="509">
                  <c:v>326</c:v>
                </c:pt>
                <c:pt idx="510">
                  <c:v>326</c:v>
                </c:pt>
                <c:pt idx="511">
                  <c:v>326</c:v>
                </c:pt>
                <c:pt idx="512">
                  <c:v>326</c:v>
                </c:pt>
                <c:pt idx="513">
                  <c:v>326</c:v>
                </c:pt>
                <c:pt idx="514">
                  <c:v>326</c:v>
                </c:pt>
                <c:pt idx="515">
                  <c:v>326</c:v>
                </c:pt>
                <c:pt idx="516">
                  <c:v>326</c:v>
                </c:pt>
                <c:pt idx="517">
                  <c:v>326</c:v>
                </c:pt>
                <c:pt idx="518">
                  <c:v>326</c:v>
                </c:pt>
                <c:pt idx="519">
                  <c:v>326</c:v>
                </c:pt>
                <c:pt idx="520">
                  <c:v>326</c:v>
                </c:pt>
                <c:pt idx="521">
                  <c:v>326</c:v>
                </c:pt>
                <c:pt idx="522">
                  <c:v>326</c:v>
                </c:pt>
                <c:pt idx="523">
                  <c:v>326</c:v>
                </c:pt>
                <c:pt idx="524">
                  <c:v>326</c:v>
                </c:pt>
                <c:pt idx="525">
                  <c:v>326</c:v>
                </c:pt>
                <c:pt idx="526">
                  <c:v>326</c:v>
                </c:pt>
                <c:pt idx="527">
                  <c:v>326</c:v>
                </c:pt>
                <c:pt idx="528">
                  <c:v>327</c:v>
                </c:pt>
                <c:pt idx="529">
                  <c:v>327</c:v>
                </c:pt>
                <c:pt idx="530">
                  <c:v>327</c:v>
                </c:pt>
                <c:pt idx="531">
                  <c:v>327</c:v>
                </c:pt>
                <c:pt idx="532">
                  <c:v>327</c:v>
                </c:pt>
                <c:pt idx="533">
                  <c:v>327</c:v>
                </c:pt>
                <c:pt idx="534">
                  <c:v>327</c:v>
                </c:pt>
                <c:pt idx="535">
                  <c:v>327</c:v>
                </c:pt>
                <c:pt idx="536">
                  <c:v>327</c:v>
                </c:pt>
                <c:pt idx="537">
                  <c:v>327</c:v>
                </c:pt>
                <c:pt idx="538">
                  <c:v>327</c:v>
                </c:pt>
                <c:pt idx="539">
                  <c:v>327</c:v>
                </c:pt>
                <c:pt idx="540">
                  <c:v>327</c:v>
                </c:pt>
                <c:pt idx="541">
                  <c:v>327</c:v>
                </c:pt>
                <c:pt idx="542">
                  <c:v>327</c:v>
                </c:pt>
                <c:pt idx="543">
                  <c:v>327</c:v>
                </c:pt>
                <c:pt idx="544">
                  <c:v>327</c:v>
                </c:pt>
                <c:pt idx="545">
                  <c:v>327</c:v>
                </c:pt>
                <c:pt idx="546">
                  <c:v>327</c:v>
                </c:pt>
                <c:pt idx="547">
                  <c:v>327</c:v>
                </c:pt>
                <c:pt idx="548">
                  <c:v>327</c:v>
                </c:pt>
                <c:pt idx="549">
                  <c:v>327</c:v>
                </c:pt>
                <c:pt idx="550">
                  <c:v>327</c:v>
                </c:pt>
                <c:pt idx="551">
                  <c:v>327</c:v>
                </c:pt>
                <c:pt idx="552">
                  <c:v>328</c:v>
                </c:pt>
                <c:pt idx="553">
                  <c:v>328</c:v>
                </c:pt>
                <c:pt idx="554">
                  <c:v>328</c:v>
                </c:pt>
                <c:pt idx="555">
                  <c:v>328</c:v>
                </c:pt>
                <c:pt idx="556">
                  <c:v>328</c:v>
                </c:pt>
                <c:pt idx="557">
                  <c:v>328</c:v>
                </c:pt>
                <c:pt idx="558">
                  <c:v>328</c:v>
                </c:pt>
                <c:pt idx="559">
                  <c:v>328</c:v>
                </c:pt>
                <c:pt idx="560">
                  <c:v>328</c:v>
                </c:pt>
                <c:pt idx="561">
                  <c:v>328</c:v>
                </c:pt>
                <c:pt idx="562">
                  <c:v>328</c:v>
                </c:pt>
                <c:pt idx="563">
                  <c:v>328</c:v>
                </c:pt>
                <c:pt idx="564">
                  <c:v>328</c:v>
                </c:pt>
                <c:pt idx="565">
                  <c:v>328</c:v>
                </c:pt>
                <c:pt idx="566">
                  <c:v>328</c:v>
                </c:pt>
                <c:pt idx="567">
                  <c:v>328</c:v>
                </c:pt>
                <c:pt idx="568">
                  <c:v>328</c:v>
                </c:pt>
                <c:pt idx="569">
                  <c:v>328</c:v>
                </c:pt>
                <c:pt idx="570">
                  <c:v>328</c:v>
                </c:pt>
                <c:pt idx="571">
                  <c:v>328</c:v>
                </c:pt>
                <c:pt idx="572">
                  <c:v>328</c:v>
                </c:pt>
                <c:pt idx="573">
                  <c:v>328</c:v>
                </c:pt>
                <c:pt idx="574">
                  <c:v>328</c:v>
                </c:pt>
                <c:pt idx="575">
                  <c:v>328</c:v>
                </c:pt>
                <c:pt idx="576">
                  <c:v>329</c:v>
                </c:pt>
                <c:pt idx="577">
                  <c:v>329</c:v>
                </c:pt>
                <c:pt idx="578">
                  <c:v>329</c:v>
                </c:pt>
                <c:pt idx="579">
                  <c:v>329</c:v>
                </c:pt>
                <c:pt idx="580">
                  <c:v>329</c:v>
                </c:pt>
                <c:pt idx="581">
                  <c:v>329</c:v>
                </c:pt>
                <c:pt idx="582">
                  <c:v>329</c:v>
                </c:pt>
                <c:pt idx="583">
                  <c:v>329</c:v>
                </c:pt>
                <c:pt idx="584">
                  <c:v>329</c:v>
                </c:pt>
                <c:pt idx="585">
                  <c:v>329</c:v>
                </c:pt>
                <c:pt idx="586">
                  <c:v>329</c:v>
                </c:pt>
                <c:pt idx="587">
                  <c:v>329</c:v>
                </c:pt>
                <c:pt idx="588">
                  <c:v>329</c:v>
                </c:pt>
                <c:pt idx="589">
                  <c:v>329</c:v>
                </c:pt>
                <c:pt idx="590">
                  <c:v>329</c:v>
                </c:pt>
                <c:pt idx="591">
                  <c:v>329</c:v>
                </c:pt>
                <c:pt idx="592">
                  <c:v>329</c:v>
                </c:pt>
                <c:pt idx="593">
                  <c:v>329</c:v>
                </c:pt>
                <c:pt idx="594">
                  <c:v>329</c:v>
                </c:pt>
                <c:pt idx="595">
                  <c:v>329</c:v>
                </c:pt>
                <c:pt idx="596">
                  <c:v>329</c:v>
                </c:pt>
                <c:pt idx="597">
                  <c:v>329</c:v>
                </c:pt>
                <c:pt idx="598">
                  <c:v>329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330</c:v>
                </c:pt>
                <c:pt idx="603">
                  <c:v>330</c:v>
                </c:pt>
                <c:pt idx="604">
                  <c:v>330</c:v>
                </c:pt>
                <c:pt idx="605">
                  <c:v>330</c:v>
                </c:pt>
                <c:pt idx="606">
                  <c:v>330</c:v>
                </c:pt>
                <c:pt idx="607">
                  <c:v>330</c:v>
                </c:pt>
                <c:pt idx="608">
                  <c:v>330</c:v>
                </c:pt>
                <c:pt idx="609">
                  <c:v>330</c:v>
                </c:pt>
                <c:pt idx="610">
                  <c:v>330</c:v>
                </c:pt>
                <c:pt idx="611">
                  <c:v>330</c:v>
                </c:pt>
                <c:pt idx="612">
                  <c:v>330</c:v>
                </c:pt>
                <c:pt idx="613">
                  <c:v>330</c:v>
                </c:pt>
                <c:pt idx="614">
                  <c:v>330</c:v>
                </c:pt>
                <c:pt idx="615">
                  <c:v>330</c:v>
                </c:pt>
                <c:pt idx="616">
                  <c:v>330</c:v>
                </c:pt>
                <c:pt idx="617">
                  <c:v>330</c:v>
                </c:pt>
                <c:pt idx="618">
                  <c:v>330</c:v>
                </c:pt>
                <c:pt idx="619">
                  <c:v>330</c:v>
                </c:pt>
                <c:pt idx="620">
                  <c:v>330</c:v>
                </c:pt>
                <c:pt idx="621">
                  <c:v>330</c:v>
                </c:pt>
                <c:pt idx="622">
                  <c:v>330</c:v>
                </c:pt>
                <c:pt idx="623">
                  <c:v>330</c:v>
                </c:pt>
                <c:pt idx="624">
                  <c:v>331</c:v>
                </c:pt>
                <c:pt idx="625">
                  <c:v>331</c:v>
                </c:pt>
                <c:pt idx="626">
                  <c:v>331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331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331</c:v>
                </c:pt>
                <c:pt idx="641">
                  <c:v>331</c:v>
                </c:pt>
                <c:pt idx="642">
                  <c:v>331</c:v>
                </c:pt>
                <c:pt idx="643">
                  <c:v>331</c:v>
                </c:pt>
                <c:pt idx="644">
                  <c:v>331</c:v>
                </c:pt>
                <c:pt idx="645">
                  <c:v>331</c:v>
                </c:pt>
                <c:pt idx="646">
                  <c:v>331</c:v>
                </c:pt>
                <c:pt idx="647">
                  <c:v>331</c:v>
                </c:pt>
                <c:pt idx="648">
                  <c:v>332</c:v>
                </c:pt>
                <c:pt idx="649">
                  <c:v>332</c:v>
                </c:pt>
                <c:pt idx="650">
                  <c:v>332</c:v>
                </c:pt>
                <c:pt idx="651">
                  <c:v>332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332</c:v>
                </c:pt>
                <c:pt idx="657">
                  <c:v>332</c:v>
                </c:pt>
                <c:pt idx="658">
                  <c:v>332</c:v>
                </c:pt>
                <c:pt idx="659">
                  <c:v>332</c:v>
                </c:pt>
                <c:pt idx="660">
                  <c:v>332</c:v>
                </c:pt>
                <c:pt idx="661">
                  <c:v>332</c:v>
                </c:pt>
                <c:pt idx="662">
                  <c:v>332</c:v>
                </c:pt>
                <c:pt idx="663">
                  <c:v>332</c:v>
                </c:pt>
                <c:pt idx="664">
                  <c:v>332</c:v>
                </c:pt>
                <c:pt idx="665">
                  <c:v>332</c:v>
                </c:pt>
                <c:pt idx="666">
                  <c:v>332</c:v>
                </c:pt>
                <c:pt idx="667">
                  <c:v>332</c:v>
                </c:pt>
                <c:pt idx="668">
                  <c:v>332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333</c:v>
                </c:pt>
                <c:pt idx="673">
                  <c:v>333</c:v>
                </c:pt>
                <c:pt idx="674">
                  <c:v>333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333</c:v>
                </c:pt>
                <c:pt idx="689">
                  <c:v>333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334</c:v>
                </c:pt>
                <c:pt idx="697">
                  <c:v>334</c:v>
                </c:pt>
                <c:pt idx="698">
                  <c:v>334</c:v>
                </c:pt>
                <c:pt idx="699">
                  <c:v>334</c:v>
                </c:pt>
                <c:pt idx="700">
                  <c:v>334</c:v>
                </c:pt>
                <c:pt idx="701">
                  <c:v>334</c:v>
                </c:pt>
                <c:pt idx="702">
                  <c:v>334</c:v>
                </c:pt>
                <c:pt idx="703">
                  <c:v>334</c:v>
                </c:pt>
                <c:pt idx="704">
                  <c:v>334</c:v>
                </c:pt>
                <c:pt idx="705">
                  <c:v>334</c:v>
                </c:pt>
                <c:pt idx="706">
                  <c:v>334</c:v>
                </c:pt>
                <c:pt idx="707">
                  <c:v>334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334</c:v>
                </c:pt>
                <c:pt idx="712">
                  <c:v>334</c:v>
                </c:pt>
                <c:pt idx="713">
                  <c:v>334</c:v>
                </c:pt>
                <c:pt idx="714">
                  <c:v>334</c:v>
                </c:pt>
                <c:pt idx="715">
                  <c:v>334</c:v>
                </c:pt>
                <c:pt idx="716">
                  <c:v>334</c:v>
                </c:pt>
                <c:pt idx="717">
                  <c:v>334</c:v>
                </c:pt>
                <c:pt idx="718">
                  <c:v>334</c:v>
                </c:pt>
                <c:pt idx="719">
                  <c:v>334</c:v>
                </c:pt>
                <c:pt idx="720">
                  <c:v>335</c:v>
                </c:pt>
                <c:pt idx="721">
                  <c:v>335</c:v>
                </c:pt>
                <c:pt idx="722">
                  <c:v>335</c:v>
                </c:pt>
                <c:pt idx="723">
                  <c:v>335</c:v>
                </c:pt>
                <c:pt idx="724">
                  <c:v>335</c:v>
                </c:pt>
                <c:pt idx="725">
                  <c:v>335</c:v>
                </c:pt>
                <c:pt idx="726">
                  <c:v>335</c:v>
                </c:pt>
                <c:pt idx="727">
                  <c:v>335</c:v>
                </c:pt>
                <c:pt idx="728">
                  <c:v>335</c:v>
                </c:pt>
                <c:pt idx="729">
                  <c:v>335</c:v>
                </c:pt>
                <c:pt idx="730">
                  <c:v>335</c:v>
                </c:pt>
                <c:pt idx="731">
                  <c:v>335</c:v>
                </c:pt>
                <c:pt idx="732">
                  <c:v>335</c:v>
                </c:pt>
                <c:pt idx="733">
                  <c:v>335</c:v>
                </c:pt>
                <c:pt idx="734">
                  <c:v>335</c:v>
                </c:pt>
                <c:pt idx="735">
                  <c:v>335</c:v>
                </c:pt>
                <c:pt idx="736">
                  <c:v>335</c:v>
                </c:pt>
                <c:pt idx="737">
                  <c:v>335</c:v>
                </c:pt>
                <c:pt idx="738">
                  <c:v>335</c:v>
                </c:pt>
                <c:pt idx="739">
                  <c:v>335</c:v>
                </c:pt>
                <c:pt idx="740">
                  <c:v>335</c:v>
                </c:pt>
                <c:pt idx="741">
                  <c:v>335</c:v>
                </c:pt>
                <c:pt idx="742">
                  <c:v>335</c:v>
                </c:pt>
                <c:pt idx="743">
                  <c:v>335</c:v>
                </c:pt>
                <c:pt idx="744">
                  <c:v>336</c:v>
                </c:pt>
                <c:pt idx="745">
                  <c:v>336</c:v>
                </c:pt>
                <c:pt idx="746">
                  <c:v>336</c:v>
                </c:pt>
                <c:pt idx="747">
                  <c:v>336</c:v>
                </c:pt>
                <c:pt idx="748">
                  <c:v>336</c:v>
                </c:pt>
                <c:pt idx="749">
                  <c:v>336</c:v>
                </c:pt>
                <c:pt idx="750">
                  <c:v>336</c:v>
                </c:pt>
                <c:pt idx="751">
                  <c:v>336</c:v>
                </c:pt>
                <c:pt idx="752">
                  <c:v>336</c:v>
                </c:pt>
                <c:pt idx="753">
                  <c:v>336</c:v>
                </c:pt>
                <c:pt idx="754">
                  <c:v>336</c:v>
                </c:pt>
                <c:pt idx="755">
                  <c:v>336</c:v>
                </c:pt>
                <c:pt idx="756">
                  <c:v>336</c:v>
                </c:pt>
                <c:pt idx="757">
                  <c:v>336</c:v>
                </c:pt>
                <c:pt idx="758">
                  <c:v>336</c:v>
                </c:pt>
                <c:pt idx="759">
                  <c:v>336</c:v>
                </c:pt>
                <c:pt idx="760">
                  <c:v>336</c:v>
                </c:pt>
                <c:pt idx="761">
                  <c:v>336</c:v>
                </c:pt>
                <c:pt idx="762">
                  <c:v>336</c:v>
                </c:pt>
                <c:pt idx="763">
                  <c:v>336</c:v>
                </c:pt>
                <c:pt idx="764">
                  <c:v>336</c:v>
                </c:pt>
                <c:pt idx="765">
                  <c:v>336</c:v>
                </c:pt>
                <c:pt idx="766">
                  <c:v>336</c:v>
                </c:pt>
                <c:pt idx="767">
                  <c:v>336</c:v>
                </c:pt>
                <c:pt idx="768">
                  <c:v>337</c:v>
                </c:pt>
                <c:pt idx="769">
                  <c:v>337</c:v>
                </c:pt>
                <c:pt idx="770">
                  <c:v>337</c:v>
                </c:pt>
                <c:pt idx="771">
                  <c:v>337</c:v>
                </c:pt>
                <c:pt idx="772">
                  <c:v>337</c:v>
                </c:pt>
                <c:pt idx="773">
                  <c:v>337</c:v>
                </c:pt>
                <c:pt idx="774">
                  <c:v>337</c:v>
                </c:pt>
                <c:pt idx="775">
                  <c:v>337</c:v>
                </c:pt>
                <c:pt idx="776">
                  <c:v>337</c:v>
                </c:pt>
                <c:pt idx="777">
                  <c:v>337</c:v>
                </c:pt>
                <c:pt idx="778">
                  <c:v>337</c:v>
                </c:pt>
                <c:pt idx="779">
                  <c:v>337</c:v>
                </c:pt>
                <c:pt idx="780">
                  <c:v>337</c:v>
                </c:pt>
                <c:pt idx="781">
                  <c:v>337</c:v>
                </c:pt>
                <c:pt idx="782">
                  <c:v>337</c:v>
                </c:pt>
                <c:pt idx="783">
                  <c:v>337</c:v>
                </c:pt>
                <c:pt idx="784">
                  <c:v>337</c:v>
                </c:pt>
                <c:pt idx="785">
                  <c:v>337</c:v>
                </c:pt>
                <c:pt idx="786">
                  <c:v>337</c:v>
                </c:pt>
                <c:pt idx="787">
                  <c:v>337</c:v>
                </c:pt>
                <c:pt idx="788">
                  <c:v>337</c:v>
                </c:pt>
                <c:pt idx="789">
                  <c:v>337</c:v>
                </c:pt>
                <c:pt idx="790">
                  <c:v>337</c:v>
                </c:pt>
                <c:pt idx="791">
                  <c:v>337</c:v>
                </c:pt>
                <c:pt idx="792">
                  <c:v>338</c:v>
                </c:pt>
                <c:pt idx="793">
                  <c:v>338</c:v>
                </c:pt>
                <c:pt idx="794">
                  <c:v>338</c:v>
                </c:pt>
                <c:pt idx="795">
                  <c:v>338</c:v>
                </c:pt>
                <c:pt idx="796">
                  <c:v>338</c:v>
                </c:pt>
                <c:pt idx="797">
                  <c:v>338</c:v>
                </c:pt>
                <c:pt idx="798">
                  <c:v>338</c:v>
                </c:pt>
                <c:pt idx="799">
                  <c:v>338</c:v>
                </c:pt>
                <c:pt idx="800">
                  <c:v>338</c:v>
                </c:pt>
                <c:pt idx="801">
                  <c:v>338</c:v>
                </c:pt>
                <c:pt idx="802">
                  <c:v>338</c:v>
                </c:pt>
                <c:pt idx="803">
                  <c:v>338</c:v>
                </c:pt>
                <c:pt idx="804">
                  <c:v>338</c:v>
                </c:pt>
                <c:pt idx="805">
                  <c:v>338</c:v>
                </c:pt>
                <c:pt idx="806">
                  <c:v>338</c:v>
                </c:pt>
                <c:pt idx="807">
                  <c:v>338</c:v>
                </c:pt>
                <c:pt idx="808">
                  <c:v>338</c:v>
                </c:pt>
                <c:pt idx="809">
                  <c:v>338</c:v>
                </c:pt>
                <c:pt idx="810">
                  <c:v>338</c:v>
                </c:pt>
                <c:pt idx="811">
                  <c:v>338</c:v>
                </c:pt>
                <c:pt idx="812">
                  <c:v>338</c:v>
                </c:pt>
                <c:pt idx="813">
                  <c:v>338</c:v>
                </c:pt>
                <c:pt idx="814">
                  <c:v>338</c:v>
                </c:pt>
                <c:pt idx="815">
                  <c:v>338</c:v>
                </c:pt>
                <c:pt idx="816">
                  <c:v>339</c:v>
                </c:pt>
                <c:pt idx="817">
                  <c:v>339</c:v>
                </c:pt>
                <c:pt idx="818">
                  <c:v>339</c:v>
                </c:pt>
                <c:pt idx="819">
                  <c:v>339</c:v>
                </c:pt>
                <c:pt idx="820">
                  <c:v>339</c:v>
                </c:pt>
                <c:pt idx="821">
                  <c:v>339</c:v>
                </c:pt>
                <c:pt idx="822">
                  <c:v>339</c:v>
                </c:pt>
                <c:pt idx="823">
                  <c:v>339</c:v>
                </c:pt>
                <c:pt idx="824">
                  <c:v>339</c:v>
                </c:pt>
                <c:pt idx="825">
                  <c:v>339</c:v>
                </c:pt>
                <c:pt idx="826">
                  <c:v>339</c:v>
                </c:pt>
                <c:pt idx="827">
                  <c:v>339</c:v>
                </c:pt>
                <c:pt idx="828">
                  <c:v>339</c:v>
                </c:pt>
                <c:pt idx="829">
                  <c:v>339</c:v>
                </c:pt>
                <c:pt idx="830">
                  <c:v>339</c:v>
                </c:pt>
                <c:pt idx="831">
                  <c:v>339</c:v>
                </c:pt>
                <c:pt idx="832">
                  <c:v>339</c:v>
                </c:pt>
                <c:pt idx="833">
                  <c:v>339</c:v>
                </c:pt>
                <c:pt idx="834">
                  <c:v>339</c:v>
                </c:pt>
                <c:pt idx="835">
                  <c:v>339</c:v>
                </c:pt>
                <c:pt idx="836">
                  <c:v>339</c:v>
                </c:pt>
                <c:pt idx="837">
                  <c:v>339</c:v>
                </c:pt>
                <c:pt idx="838">
                  <c:v>339</c:v>
                </c:pt>
                <c:pt idx="839">
                  <c:v>339</c:v>
                </c:pt>
                <c:pt idx="840">
                  <c:v>340</c:v>
                </c:pt>
                <c:pt idx="841">
                  <c:v>340</c:v>
                </c:pt>
                <c:pt idx="842">
                  <c:v>340</c:v>
                </c:pt>
                <c:pt idx="843">
                  <c:v>340</c:v>
                </c:pt>
                <c:pt idx="844">
                  <c:v>340</c:v>
                </c:pt>
                <c:pt idx="845">
                  <c:v>340</c:v>
                </c:pt>
                <c:pt idx="846">
                  <c:v>340</c:v>
                </c:pt>
                <c:pt idx="847">
                  <c:v>340</c:v>
                </c:pt>
                <c:pt idx="848">
                  <c:v>340</c:v>
                </c:pt>
                <c:pt idx="849">
                  <c:v>340</c:v>
                </c:pt>
                <c:pt idx="850">
                  <c:v>340</c:v>
                </c:pt>
                <c:pt idx="851">
                  <c:v>340</c:v>
                </c:pt>
                <c:pt idx="852">
                  <c:v>340</c:v>
                </c:pt>
                <c:pt idx="853">
                  <c:v>340</c:v>
                </c:pt>
                <c:pt idx="854">
                  <c:v>340</c:v>
                </c:pt>
                <c:pt idx="855">
                  <c:v>340</c:v>
                </c:pt>
                <c:pt idx="856">
                  <c:v>340</c:v>
                </c:pt>
                <c:pt idx="857">
                  <c:v>340</c:v>
                </c:pt>
                <c:pt idx="858">
                  <c:v>340</c:v>
                </c:pt>
                <c:pt idx="859">
                  <c:v>340</c:v>
                </c:pt>
                <c:pt idx="860">
                  <c:v>340</c:v>
                </c:pt>
                <c:pt idx="861">
                  <c:v>340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343</c:v>
                </c:pt>
                <c:pt idx="913">
                  <c:v>343</c:v>
                </c:pt>
                <c:pt idx="914">
                  <c:v>343</c:v>
                </c:pt>
                <c:pt idx="915">
                  <c:v>343</c:v>
                </c:pt>
                <c:pt idx="916">
                  <c:v>343</c:v>
                </c:pt>
                <c:pt idx="917">
                  <c:v>343</c:v>
                </c:pt>
                <c:pt idx="918">
                  <c:v>343</c:v>
                </c:pt>
                <c:pt idx="919">
                  <c:v>343</c:v>
                </c:pt>
                <c:pt idx="920">
                  <c:v>343</c:v>
                </c:pt>
                <c:pt idx="921">
                  <c:v>343</c:v>
                </c:pt>
                <c:pt idx="922">
                  <c:v>343</c:v>
                </c:pt>
                <c:pt idx="923">
                  <c:v>343</c:v>
                </c:pt>
                <c:pt idx="924">
                  <c:v>343</c:v>
                </c:pt>
                <c:pt idx="925">
                  <c:v>343</c:v>
                </c:pt>
                <c:pt idx="926">
                  <c:v>343</c:v>
                </c:pt>
                <c:pt idx="927">
                  <c:v>343</c:v>
                </c:pt>
                <c:pt idx="928">
                  <c:v>343</c:v>
                </c:pt>
                <c:pt idx="929">
                  <c:v>343</c:v>
                </c:pt>
                <c:pt idx="930">
                  <c:v>343</c:v>
                </c:pt>
                <c:pt idx="931">
                  <c:v>343</c:v>
                </c:pt>
                <c:pt idx="932">
                  <c:v>343</c:v>
                </c:pt>
                <c:pt idx="933">
                  <c:v>343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344</c:v>
                </c:pt>
                <c:pt idx="938">
                  <c:v>344</c:v>
                </c:pt>
                <c:pt idx="939">
                  <c:v>344</c:v>
                </c:pt>
                <c:pt idx="940">
                  <c:v>344</c:v>
                </c:pt>
                <c:pt idx="941">
                  <c:v>344</c:v>
                </c:pt>
                <c:pt idx="942">
                  <c:v>344</c:v>
                </c:pt>
                <c:pt idx="943">
                  <c:v>344</c:v>
                </c:pt>
                <c:pt idx="944">
                  <c:v>344</c:v>
                </c:pt>
                <c:pt idx="945">
                  <c:v>344</c:v>
                </c:pt>
                <c:pt idx="946">
                  <c:v>344</c:v>
                </c:pt>
                <c:pt idx="947">
                  <c:v>344</c:v>
                </c:pt>
                <c:pt idx="948">
                  <c:v>344</c:v>
                </c:pt>
                <c:pt idx="949">
                  <c:v>344</c:v>
                </c:pt>
                <c:pt idx="950">
                  <c:v>344</c:v>
                </c:pt>
                <c:pt idx="951">
                  <c:v>344</c:v>
                </c:pt>
                <c:pt idx="952">
                  <c:v>344</c:v>
                </c:pt>
                <c:pt idx="953">
                  <c:v>344</c:v>
                </c:pt>
                <c:pt idx="954">
                  <c:v>344</c:v>
                </c:pt>
                <c:pt idx="955">
                  <c:v>344</c:v>
                </c:pt>
                <c:pt idx="956">
                  <c:v>344</c:v>
                </c:pt>
                <c:pt idx="957">
                  <c:v>344</c:v>
                </c:pt>
                <c:pt idx="958">
                  <c:v>344</c:v>
                </c:pt>
                <c:pt idx="959">
                  <c:v>344</c:v>
                </c:pt>
                <c:pt idx="960">
                  <c:v>345</c:v>
                </c:pt>
                <c:pt idx="961">
                  <c:v>345</c:v>
                </c:pt>
                <c:pt idx="962">
                  <c:v>345</c:v>
                </c:pt>
                <c:pt idx="963">
                  <c:v>345</c:v>
                </c:pt>
                <c:pt idx="964">
                  <c:v>345</c:v>
                </c:pt>
                <c:pt idx="965">
                  <c:v>345</c:v>
                </c:pt>
                <c:pt idx="966">
                  <c:v>345</c:v>
                </c:pt>
                <c:pt idx="967">
                  <c:v>345</c:v>
                </c:pt>
                <c:pt idx="968">
                  <c:v>345</c:v>
                </c:pt>
                <c:pt idx="969">
                  <c:v>345</c:v>
                </c:pt>
                <c:pt idx="970">
                  <c:v>345</c:v>
                </c:pt>
                <c:pt idx="971">
                  <c:v>345</c:v>
                </c:pt>
                <c:pt idx="972">
                  <c:v>345</c:v>
                </c:pt>
                <c:pt idx="973">
                  <c:v>345</c:v>
                </c:pt>
                <c:pt idx="974">
                  <c:v>345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345</c:v>
                </c:pt>
                <c:pt idx="979">
                  <c:v>345</c:v>
                </c:pt>
                <c:pt idx="980">
                  <c:v>345</c:v>
                </c:pt>
                <c:pt idx="981">
                  <c:v>345</c:v>
                </c:pt>
                <c:pt idx="982">
                  <c:v>345</c:v>
                </c:pt>
                <c:pt idx="983">
                  <c:v>345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346</c:v>
                </c:pt>
                <c:pt idx="997">
                  <c:v>346</c:v>
                </c:pt>
                <c:pt idx="998">
                  <c:v>346</c:v>
                </c:pt>
                <c:pt idx="999">
                  <c:v>346</c:v>
                </c:pt>
                <c:pt idx="1000">
                  <c:v>346</c:v>
                </c:pt>
                <c:pt idx="1001">
                  <c:v>346</c:v>
                </c:pt>
                <c:pt idx="1002">
                  <c:v>346</c:v>
                </c:pt>
                <c:pt idx="1003">
                  <c:v>346</c:v>
                </c:pt>
                <c:pt idx="1004">
                  <c:v>346</c:v>
                </c:pt>
                <c:pt idx="1005">
                  <c:v>346</c:v>
                </c:pt>
                <c:pt idx="1006">
                  <c:v>346</c:v>
                </c:pt>
                <c:pt idx="1007">
                  <c:v>346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347</c:v>
                </c:pt>
                <c:pt idx="1017">
                  <c:v>347</c:v>
                </c:pt>
                <c:pt idx="1018">
                  <c:v>347</c:v>
                </c:pt>
                <c:pt idx="1019">
                  <c:v>347</c:v>
                </c:pt>
                <c:pt idx="1020">
                  <c:v>347</c:v>
                </c:pt>
                <c:pt idx="1021">
                  <c:v>347</c:v>
                </c:pt>
                <c:pt idx="1022">
                  <c:v>347</c:v>
                </c:pt>
                <c:pt idx="1023">
                  <c:v>347</c:v>
                </c:pt>
                <c:pt idx="1024">
                  <c:v>347</c:v>
                </c:pt>
                <c:pt idx="1025">
                  <c:v>347</c:v>
                </c:pt>
                <c:pt idx="1026">
                  <c:v>347</c:v>
                </c:pt>
                <c:pt idx="1027">
                  <c:v>347</c:v>
                </c:pt>
                <c:pt idx="1028">
                  <c:v>347</c:v>
                </c:pt>
                <c:pt idx="1029">
                  <c:v>347</c:v>
                </c:pt>
                <c:pt idx="1030">
                  <c:v>347</c:v>
                </c:pt>
                <c:pt idx="1031">
                  <c:v>347</c:v>
                </c:pt>
                <c:pt idx="1032">
                  <c:v>348</c:v>
                </c:pt>
                <c:pt idx="1033">
                  <c:v>348</c:v>
                </c:pt>
                <c:pt idx="1034">
                  <c:v>348</c:v>
                </c:pt>
                <c:pt idx="1035">
                  <c:v>348</c:v>
                </c:pt>
                <c:pt idx="1036">
                  <c:v>348</c:v>
                </c:pt>
                <c:pt idx="1037">
                  <c:v>348</c:v>
                </c:pt>
                <c:pt idx="1038">
                  <c:v>348</c:v>
                </c:pt>
                <c:pt idx="1039">
                  <c:v>348</c:v>
                </c:pt>
                <c:pt idx="1040">
                  <c:v>348</c:v>
                </c:pt>
                <c:pt idx="1041">
                  <c:v>348</c:v>
                </c:pt>
                <c:pt idx="1042">
                  <c:v>348</c:v>
                </c:pt>
                <c:pt idx="1043">
                  <c:v>348</c:v>
                </c:pt>
                <c:pt idx="1044">
                  <c:v>348</c:v>
                </c:pt>
                <c:pt idx="1045">
                  <c:v>348</c:v>
                </c:pt>
                <c:pt idx="1046">
                  <c:v>348</c:v>
                </c:pt>
                <c:pt idx="1047">
                  <c:v>348</c:v>
                </c:pt>
                <c:pt idx="1048">
                  <c:v>348</c:v>
                </c:pt>
                <c:pt idx="1049">
                  <c:v>348</c:v>
                </c:pt>
                <c:pt idx="1050">
                  <c:v>348</c:v>
                </c:pt>
                <c:pt idx="1051">
                  <c:v>348</c:v>
                </c:pt>
                <c:pt idx="1052">
                  <c:v>348</c:v>
                </c:pt>
                <c:pt idx="1053">
                  <c:v>348</c:v>
                </c:pt>
                <c:pt idx="1054">
                  <c:v>348</c:v>
                </c:pt>
                <c:pt idx="1055">
                  <c:v>348</c:v>
                </c:pt>
                <c:pt idx="1056">
                  <c:v>349</c:v>
                </c:pt>
                <c:pt idx="1057">
                  <c:v>349</c:v>
                </c:pt>
                <c:pt idx="1058">
                  <c:v>349</c:v>
                </c:pt>
                <c:pt idx="1059">
                  <c:v>349</c:v>
                </c:pt>
                <c:pt idx="1060">
                  <c:v>349</c:v>
                </c:pt>
                <c:pt idx="1061">
                  <c:v>349</c:v>
                </c:pt>
                <c:pt idx="1062">
                  <c:v>349</c:v>
                </c:pt>
                <c:pt idx="1063">
                  <c:v>349</c:v>
                </c:pt>
                <c:pt idx="1064">
                  <c:v>349</c:v>
                </c:pt>
                <c:pt idx="1065">
                  <c:v>349</c:v>
                </c:pt>
                <c:pt idx="1066">
                  <c:v>349</c:v>
                </c:pt>
                <c:pt idx="1067">
                  <c:v>349</c:v>
                </c:pt>
                <c:pt idx="1068">
                  <c:v>349</c:v>
                </c:pt>
                <c:pt idx="1069">
                  <c:v>349</c:v>
                </c:pt>
                <c:pt idx="1070">
                  <c:v>349</c:v>
                </c:pt>
                <c:pt idx="1071">
                  <c:v>349</c:v>
                </c:pt>
                <c:pt idx="1072">
                  <c:v>349</c:v>
                </c:pt>
                <c:pt idx="1073">
                  <c:v>349</c:v>
                </c:pt>
                <c:pt idx="1074">
                  <c:v>349</c:v>
                </c:pt>
                <c:pt idx="1075">
                  <c:v>349</c:v>
                </c:pt>
                <c:pt idx="1076">
                  <c:v>349</c:v>
                </c:pt>
                <c:pt idx="1077">
                  <c:v>349</c:v>
                </c:pt>
                <c:pt idx="1078">
                  <c:v>349</c:v>
                </c:pt>
                <c:pt idx="1079">
                  <c:v>349</c:v>
                </c:pt>
                <c:pt idx="1080">
                  <c:v>350</c:v>
                </c:pt>
                <c:pt idx="1081">
                  <c:v>350</c:v>
                </c:pt>
                <c:pt idx="1082">
                  <c:v>350</c:v>
                </c:pt>
                <c:pt idx="1083">
                  <c:v>350</c:v>
                </c:pt>
                <c:pt idx="1084">
                  <c:v>350</c:v>
                </c:pt>
                <c:pt idx="1085">
                  <c:v>350</c:v>
                </c:pt>
                <c:pt idx="1086">
                  <c:v>350</c:v>
                </c:pt>
                <c:pt idx="1087">
                  <c:v>350</c:v>
                </c:pt>
                <c:pt idx="1088">
                  <c:v>350</c:v>
                </c:pt>
                <c:pt idx="1089">
                  <c:v>350</c:v>
                </c:pt>
                <c:pt idx="1090">
                  <c:v>350</c:v>
                </c:pt>
                <c:pt idx="1091">
                  <c:v>350</c:v>
                </c:pt>
                <c:pt idx="1092">
                  <c:v>350</c:v>
                </c:pt>
                <c:pt idx="1093">
                  <c:v>350</c:v>
                </c:pt>
                <c:pt idx="1094">
                  <c:v>350</c:v>
                </c:pt>
                <c:pt idx="1095">
                  <c:v>350</c:v>
                </c:pt>
                <c:pt idx="1096">
                  <c:v>350</c:v>
                </c:pt>
                <c:pt idx="1097">
                  <c:v>350</c:v>
                </c:pt>
                <c:pt idx="1098">
                  <c:v>350</c:v>
                </c:pt>
                <c:pt idx="1099">
                  <c:v>350</c:v>
                </c:pt>
                <c:pt idx="1100">
                  <c:v>350</c:v>
                </c:pt>
                <c:pt idx="1101">
                  <c:v>350</c:v>
                </c:pt>
                <c:pt idx="1102">
                  <c:v>350</c:v>
                </c:pt>
                <c:pt idx="1103">
                  <c:v>350</c:v>
                </c:pt>
                <c:pt idx="1104">
                  <c:v>351</c:v>
                </c:pt>
                <c:pt idx="1105">
                  <c:v>351</c:v>
                </c:pt>
                <c:pt idx="1106">
                  <c:v>351</c:v>
                </c:pt>
                <c:pt idx="1107">
                  <c:v>351</c:v>
                </c:pt>
                <c:pt idx="1108">
                  <c:v>351</c:v>
                </c:pt>
                <c:pt idx="1109">
                  <c:v>351</c:v>
                </c:pt>
                <c:pt idx="1110">
                  <c:v>351</c:v>
                </c:pt>
                <c:pt idx="1111">
                  <c:v>351</c:v>
                </c:pt>
                <c:pt idx="1112">
                  <c:v>351</c:v>
                </c:pt>
                <c:pt idx="1113">
                  <c:v>351</c:v>
                </c:pt>
                <c:pt idx="1114">
                  <c:v>351</c:v>
                </c:pt>
                <c:pt idx="1115">
                  <c:v>351</c:v>
                </c:pt>
                <c:pt idx="1116">
                  <c:v>351</c:v>
                </c:pt>
                <c:pt idx="1117">
                  <c:v>351</c:v>
                </c:pt>
                <c:pt idx="1118">
                  <c:v>351</c:v>
                </c:pt>
                <c:pt idx="1119">
                  <c:v>351</c:v>
                </c:pt>
                <c:pt idx="1120">
                  <c:v>351</c:v>
                </c:pt>
                <c:pt idx="1121">
                  <c:v>351</c:v>
                </c:pt>
                <c:pt idx="1122">
                  <c:v>351</c:v>
                </c:pt>
                <c:pt idx="1123">
                  <c:v>351</c:v>
                </c:pt>
                <c:pt idx="1124">
                  <c:v>351</c:v>
                </c:pt>
                <c:pt idx="1125">
                  <c:v>351</c:v>
                </c:pt>
                <c:pt idx="1126">
                  <c:v>351</c:v>
                </c:pt>
                <c:pt idx="1127">
                  <c:v>351</c:v>
                </c:pt>
                <c:pt idx="1128">
                  <c:v>352</c:v>
                </c:pt>
                <c:pt idx="1129">
                  <c:v>352</c:v>
                </c:pt>
                <c:pt idx="1130">
                  <c:v>352</c:v>
                </c:pt>
                <c:pt idx="1131">
                  <c:v>352</c:v>
                </c:pt>
                <c:pt idx="1132">
                  <c:v>352</c:v>
                </c:pt>
                <c:pt idx="1133">
                  <c:v>352</c:v>
                </c:pt>
                <c:pt idx="1134">
                  <c:v>352</c:v>
                </c:pt>
                <c:pt idx="1135">
                  <c:v>352</c:v>
                </c:pt>
                <c:pt idx="1136">
                  <c:v>352</c:v>
                </c:pt>
                <c:pt idx="1137">
                  <c:v>352</c:v>
                </c:pt>
                <c:pt idx="1138">
                  <c:v>352</c:v>
                </c:pt>
                <c:pt idx="1139">
                  <c:v>352</c:v>
                </c:pt>
                <c:pt idx="1140">
                  <c:v>352</c:v>
                </c:pt>
                <c:pt idx="1141">
                  <c:v>352</c:v>
                </c:pt>
                <c:pt idx="1142">
                  <c:v>352</c:v>
                </c:pt>
                <c:pt idx="1143">
                  <c:v>352</c:v>
                </c:pt>
                <c:pt idx="1144">
                  <c:v>352</c:v>
                </c:pt>
                <c:pt idx="1145">
                  <c:v>352</c:v>
                </c:pt>
                <c:pt idx="1146">
                  <c:v>352</c:v>
                </c:pt>
                <c:pt idx="1147">
                  <c:v>352</c:v>
                </c:pt>
                <c:pt idx="1148">
                  <c:v>352</c:v>
                </c:pt>
                <c:pt idx="1149">
                  <c:v>352</c:v>
                </c:pt>
                <c:pt idx="1150">
                  <c:v>352</c:v>
                </c:pt>
                <c:pt idx="1151">
                  <c:v>352</c:v>
                </c:pt>
                <c:pt idx="1152">
                  <c:v>353</c:v>
                </c:pt>
                <c:pt idx="1153">
                  <c:v>353</c:v>
                </c:pt>
                <c:pt idx="1154">
                  <c:v>353</c:v>
                </c:pt>
                <c:pt idx="1155">
                  <c:v>353</c:v>
                </c:pt>
                <c:pt idx="1156">
                  <c:v>353</c:v>
                </c:pt>
                <c:pt idx="1157">
                  <c:v>353</c:v>
                </c:pt>
                <c:pt idx="1158">
                  <c:v>353</c:v>
                </c:pt>
                <c:pt idx="1159">
                  <c:v>353</c:v>
                </c:pt>
                <c:pt idx="1160">
                  <c:v>353</c:v>
                </c:pt>
                <c:pt idx="1161">
                  <c:v>353</c:v>
                </c:pt>
                <c:pt idx="1162">
                  <c:v>353</c:v>
                </c:pt>
                <c:pt idx="1163">
                  <c:v>353</c:v>
                </c:pt>
                <c:pt idx="1164">
                  <c:v>353</c:v>
                </c:pt>
                <c:pt idx="1165">
                  <c:v>353</c:v>
                </c:pt>
                <c:pt idx="1166">
                  <c:v>353</c:v>
                </c:pt>
                <c:pt idx="1167">
                  <c:v>353</c:v>
                </c:pt>
                <c:pt idx="1168">
                  <c:v>353</c:v>
                </c:pt>
                <c:pt idx="1169">
                  <c:v>353</c:v>
                </c:pt>
                <c:pt idx="1170">
                  <c:v>353</c:v>
                </c:pt>
                <c:pt idx="1171">
                  <c:v>353</c:v>
                </c:pt>
                <c:pt idx="1172">
                  <c:v>353</c:v>
                </c:pt>
                <c:pt idx="1173">
                  <c:v>353</c:v>
                </c:pt>
                <c:pt idx="1174">
                  <c:v>353</c:v>
                </c:pt>
                <c:pt idx="1175">
                  <c:v>353</c:v>
                </c:pt>
                <c:pt idx="1176">
                  <c:v>354</c:v>
                </c:pt>
                <c:pt idx="1177">
                  <c:v>354</c:v>
                </c:pt>
                <c:pt idx="1178">
                  <c:v>354</c:v>
                </c:pt>
                <c:pt idx="1179">
                  <c:v>354</c:v>
                </c:pt>
                <c:pt idx="1180">
                  <c:v>354</c:v>
                </c:pt>
                <c:pt idx="1181">
                  <c:v>354</c:v>
                </c:pt>
                <c:pt idx="1182">
                  <c:v>354</c:v>
                </c:pt>
                <c:pt idx="1183">
                  <c:v>354</c:v>
                </c:pt>
                <c:pt idx="1184">
                  <c:v>354</c:v>
                </c:pt>
                <c:pt idx="1185">
                  <c:v>354</c:v>
                </c:pt>
                <c:pt idx="1186">
                  <c:v>354</c:v>
                </c:pt>
                <c:pt idx="1187">
                  <c:v>354</c:v>
                </c:pt>
                <c:pt idx="1188">
                  <c:v>354</c:v>
                </c:pt>
                <c:pt idx="1189">
                  <c:v>354</c:v>
                </c:pt>
                <c:pt idx="1190">
                  <c:v>354</c:v>
                </c:pt>
                <c:pt idx="1191">
                  <c:v>354</c:v>
                </c:pt>
                <c:pt idx="1192">
                  <c:v>354</c:v>
                </c:pt>
                <c:pt idx="1193">
                  <c:v>354</c:v>
                </c:pt>
                <c:pt idx="1194">
                  <c:v>354</c:v>
                </c:pt>
                <c:pt idx="1195">
                  <c:v>354</c:v>
                </c:pt>
                <c:pt idx="1196">
                  <c:v>354</c:v>
                </c:pt>
                <c:pt idx="1197">
                  <c:v>354</c:v>
                </c:pt>
                <c:pt idx="1198">
                  <c:v>354</c:v>
                </c:pt>
                <c:pt idx="1199">
                  <c:v>354</c:v>
                </c:pt>
                <c:pt idx="1200">
                  <c:v>355</c:v>
                </c:pt>
                <c:pt idx="1201">
                  <c:v>355</c:v>
                </c:pt>
                <c:pt idx="1202">
                  <c:v>355</c:v>
                </c:pt>
                <c:pt idx="1203">
                  <c:v>355</c:v>
                </c:pt>
                <c:pt idx="1204">
                  <c:v>355</c:v>
                </c:pt>
                <c:pt idx="1205">
                  <c:v>355</c:v>
                </c:pt>
                <c:pt idx="1206">
                  <c:v>355</c:v>
                </c:pt>
                <c:pt idx="1207">
                  <c:v>355</c:v>
                </c:pt>
                <c:pt idx="1208">
                  <c:v>355</c:v>
                </c:pt>
                <c:pt idx="1209">
                  <c:v>355</c:v>
                </c:pt>
                <c:pt idx="1210">
                  <c:v>355</c:v>
                </c:pt>
                <c:pt idx="1211">
                  <c:v>355</c:v>
                </c:pt>
                <c:pt idx="1212">
                  <c:v>355</c:v>
                </c:pt>
                <c:pt idx="1213">
                  <c:v>355</c:v>
                </c:pt>
                <c:pt idx="1214">
                  <c:v>355</c:v>
                </c:pt>
                <c:pt idx="1215">
                  <c:v>355</c:v>
                </c:pt>
                <c:pt idx="1216">
                  <c:v>355</c:v>
                </c:pt>
                <c:pt idx="1217">
                  <c:v>355</c:v>
                </c:pt>
                <c:pt idx="1218">
                  <c:v>355</c:v>
                </c:pt>
                <c:pt idx="1219">
                  <c:v>355</c:v>
                </c:pt>
                <c:pt idx="1220">
                  <c:v>355</c:v>
                </c:pt>
                <c:pt idx="1221">
                  <c:v>355</c:v>
                </c:pt>
                <c:pt idx="1222">
                  <c:v>355</c:v>
                </c:pt>
                <c:pt idx="1223">
                  <c:v>355</c:v>
                </c:pt>
                <c:pt idx="1224">
                  <c:v>356</c:v>
                </c:pt>
                <c:pt idx="1225">
                  <c:v>356</c:v>
                </c:pt>
                <c:pt idx="1226">
                  <c:v>356</c:v>
                </c:pt>
                <c:pt idx="1227">
                  <c:v>356</c:v>
                </c:pt>
                <c:pt idx="1228">
                  <c:v>356</c:v>
                </c:pt>
                <c:pt idx="1229">
                  <c:v>356</c:v>
                </c:pt>
                <c:pt idx="1230">
                  <c:v>356</c:v>
                </c:pt>
                <c:pt idx="1231">
                  <c:v>356</c:v>
                </c:pt>
                <c:pt idx="1232">
                  <c:v>356</c:v>
                </c:pt>
                <c:pt idx="1233">
                  <c:v>356</c:v>
                </c:pt>
                <c:pt idx="1234">
                  <c:v>356</c:v>
                </c:pt>
                <c:pt idx="1235">
                  <c:v>356</c:v>
                </c:pt>
                <c:pt idx="1236">
                  <c:v>356</c:v>
                </c:pt>
                <c:pt idx="1237">
                  <c:v>356</c:v>
                </c:pt>
                <c:pt idx="1238">
                  <c:v>356</c:v>
                </c:pt>
                <c:pt idx="1239">
                  <c:v>356</c:v>
                </c:pt>
                <c:pt idx="1240">
                  <c:v>356</c:v>
                </c:pt>
                <c:pt idx="1241">
                  <c:v>356</c:v>
                </c:pt>
                <c:pt idx="1242">
                  <c:v>356</c:v>
                </c:pt>
                <c:pt idx="1243">
                  <c:v>356</c:v>
                </c:pt>
                <c:pt idx="1244">
                  <c:v>356</c:v>
                </c:pt>
                <c:pt idx="1245">
                  <c:v>356</c:v>
                </c:pt>
                <c:pt idx="1246">
                  <c:v>356</c:v>
                </c:pt>
                <c:pt idx="1247">
                  <c:v>356</c:v>
                </c:pt>
                <c:pt idx="1248">
                  <c:v>357</c:v>
                </c:pt>
                <c:pt idx="1249">
                  <c:v>357</c:v>
                </c:pt>
                <c:pt idx="1250">
                  <c:v>357</c:v>
                </c:pt>
                <c:pt idx="1251">
                  <c:v>357</c:v>
                </c:pt>
                <c:pt idx="1252">
                  <c:v>357</c:v>
                </c:pt>
                <c:pt idx="1253">
                  <c:v>357</c:v>
                </c:pt>
                <c:pt idx="1254">
                  <c:v>357</c:v>
                </c:pt>
                <c:pt idx="1255">
                  <c:v>357</c:v>
                </c:pt>
                <c:pt idx="1256">
                  <c:v>357</c:v>
                </c:pt>
                <c:pt idx="1257">
                  <c:v>357</c:v>
                </c:pt>
                <c:pt idx="1258">
                  <c:v>357</c:v>
                </c:pt>
                <c:pt idx="1259">
                  <c:v>357</c:v>
                </c:pt>
                <c:pt idx="1260">
                  <c:v>357</c:v>
                </c:pt>
                <c:pt idx="1261">
                  <c:v>357</c:v>
                </c:pt>
                <c:pt idx="1262">
                  <c:v>357</c:v>
                </c:pt>
                <c:pt idx="1263">
                  <c:v>357</c:v>
                </c:pt>
                <c:pt idx="1264">
                  <c:v>357</c:v>
                </c:pt>
                <c:pt idx="1265">
                  <c:v>357</c:v>
                </c:pt>
                <c:pt idx="1266">
                  <c:v>357</c:v>
                </c:pt>
                <c:pt idx="1267">
                  <c:v>357</c:v>
                </c:pt>
                <c:pt idx="1268">
                  <c:v>357</c:v>
                </c:pt>
                <c:pt idx="1269">
                  <c:v>357</c:v>
                </c:pt>
                <c:pt idx="1270">
                  <c:v>357</c:v>
                </c:pt>
                <c:pt idx="1271">
                  <c:v>357</c:v>
                </c:pt>
                <c:pt idx="1272">
                  <c:v>358</c:v>
                </c:pt>
                <c:pt idx="1273">
                  <c:v>358</c:v>
                </c:pt>
                <c:pt idx="1274">
                  <c:v>358</c:v>
                </c:pt>
                <c:pt idx="1275">
                  <c:v>358</c:v>
                </c:pt>
                <c:pt idx="1276">
                  <c:v>358</c:v>
                </c:pt>
                <c:pt idx="1277">
                  <c:v>358</c:v>
                </c:pt>
                <c:pt idx="1278">
                  <c:v>358</c:v>
                </c:pt>
                <c:pt idx="1279">
                  <c:v>358</c:v>
                </c:pt>
                <c:pt idx="1280">
                  <c:v>358</c:v>
                </c:pt>
                <c:pt idx="1281">
                  <c:v>358</c:v>
                </c:pt>
                <c:pt idx="1282">
                  <c:v>358</c:v>
                </c:pt>
                <c:pt idx="1283">
                  <c:v>358</c:v>
                </c:pt>
                <c:pt idx="1284">
                  <c:v>358</c:v>
                </c:pt>
                <c:pt idx="1285">
                  <c:v>358</c:v>
                </c:pt>
                <c:pt idx="1286">
                  <c:v>358</c:v>
                </c:pt>
                <c:pt idx="1287">
                  <c:v>358</c:v>
                </c:pt>
                <c:pt idx="1288">
                  <c:v>358</c:v>
                </c:pt>
                <c:pt idx="1289">
                  <c:v>358</c:v>
                </c:pt>
                <c:pt idx="1290">
                  <c:v>358</c:v>
                </c:pt>
                <c:pt idx="1291">
                  <c:v>358</c:v>
                </c:pt>
                <c:pt idx="1292">
                  <c:v>358</c:v>
                </c:pt>
                <c:pt idx="1293">
                  <c:v>358</c:v>
                </c:pt>
                <c:pt idx="1294">
                  <c:v>358</c:v>
                </c:pt>
                <c:pt idx="1295">
                  <c:v>358</c:v>
                </c:pt>
                <c:pt idx="1296">
                  <c:v>359</c:v>
                </c:pt>
                <c:pt idx="1297">
                  <c:v>359</c:v>
                </c:pt>
                <c:pt idx="1298">
                  <c:v>359</c:v>
                </c:pt>
                <c:pt idx="1299">
                  <c:v>359</c:v>
                </c:pt>
                <c:pt idx="1300">
                  <c:v>359</c:v>
                </c:pt>
                <c:pt idx="1301">
                  <c:v>359</c:v>
                </c:pt>
                <c:pt idx="1302">
                  <c:v>359</c:v>
                </c:pt>
                <c:pt idx="1303">
                  <c:v>359</c:v>
                </c:pt>
                <c:pt idx="1304">
                  <c:v>359</c:v>
                </c:pt>
                <c:pt idx="1305">
                  <c:v>359</c:v>
                </c:pt>
                <c:pt idx="1306">
                  <c:v>359</c:v>
                </c:pt>
                <c:pt idx="1307">
                  <c:v>359</c:v>
                </c:pt>
                <c:pt idx="1308">
                  <c:v>359</c:v>
                </c:pt>
                <c:pt idx="1309">
                  <c:v>359</c:v>
                </c:pt>
                <c:pt idx="1310">
                  <c:v>359</c:v>
                </c:pt>
                <c:pt idx="1311">
                  <c:v>359</c:v>
                </c:pt>
                <c:pt idx="1312">
                  <c:v>359</c:v>
                </c:pt>
                <c:pt idx="1313">
                  <c:v>359</c:v>
                </c:pt>
                <c:pt idx="1314">
                  <c:v>359</c:v>
                </c:pt>
                <c:pt idx="1315">
                  <c:v>359</c:v>
                </c:pt>
                <c:pt idx="1316">
                  <c:v>359</c:v>
                </c:pt>
                <c:pt idx="1317">
                  <c:v>359</c:v>
                </c:pt>
                <c:pt idx="1318">
                  <c:v>359</c:v>
                </c:pt>
                <c:pt idx="1319">
                  <c:v>359</c:v>
                </c:pt>
                <c:pt idx="1320">
                  <c:v>360</c:v>
                </c:pt>
                <c:pt idx="1321">
                  <c:v>360</c:v>
                </c:pt>
                <c:pt idx="1322">
                  <c:v>360</c:v>
                </c:pt>
                <c:pt idx="1323">
                  <c:v>360</c:v>
                </c:pt>
                <c:pt idx="1324">
                  <c:v>360</c:v>
                </c:pt>
                <c:pt idx="1325">
                  <c:v>360</c:v>
                </c:pt>
                <c:pt idx="1326">
                  <c:v>360</c:v>
                </c:pt>
                <c:pt idx="1327">
                  <c:v>360</c:v>
                </c:pt>
                <c:pt idx="1328">
                  <c:v>360</c:v>
                </c:pt>
                <c:pt idx="1329">
                  <c:v>360</c:v>
                </c:pt>
                <c:pt idx="1330">
                  <c:v>360</c:v>
                </c:pt>
                <c:pt idx="1331">
                  <c:v>360</c:v>
                </c:pt>
                <c:pt idx="1332">
                  <c:v>360</c:v>
                </c:pt>
                <c:pt idx="1333">
                  <c:v>360</c:v>
                </c:pt>
                <c:pt idx="1334">
                  <c:v>360</c:v>
                </c:pt>
                <c:pt idx="1335">
                  <c:v>360</c:v>
                </c:pt>
                <c:pt idx="1336">
                  <c:v>360</c:v>
                </c:pt>
                <c:pt idx="1337">
                  <c:v>360</c:v>
                </c:pt>
                <c:pt idx="1338">
                  <c:v>360</c:v>
                </c:pt>
                <c:pt idx="1339">
                  <c:v>360</c:v>
                </c:pt>
                <c:pt idx="1340">
                  <c:v>360</c:v>
                </c:pt>
                <c:pt idx="1341">
                  <c:v>360</c:v>
                </c:pt>
                <c:pt idx="1342">
                  <c:v>360</c:v>
                </c:pt>
                <c:pt idx="1343">
                  <c:v>360</c:v>
                </c:pt>
                <c:pt idx="1344">
                  <c:v>361</c:v>
                </c:pt>
                <c:pt idx="1345">
                  <c:v>361</c:v>
                </c:pt>
                <c:pt idx="1346">
                  <c:v>361</c:v>
                </c:pt>
                <c:pt idx="1347">
                  <c:v>361</c:v>
                </c:pt>
                <c:pt idx="1348">
                  <c:v>361</c:v>
                </c:pt>
                <c:pt idx="1349">
                  <c:v>361</c:v>
                </c:pt>
                <c:pt idx="1350">
                  <c:v>361</c:v>
                </c:pt>
                <c:pt idx="1351">
                  <c:v>361</c:v>
                </c:pt>
                <c:pt idx="1352">
                  <c:v>361</c:v>
                </c:pt>
                <c:pt idx="1353">
                  <c:v>361</c:v>
                </c:pt>
                <c:pt idx="1354">
                  <c:v>361</c:v>
                </c:pt>
                <c:pt idx="1355">
                  <c:v>361</c:v>
                </c:pt>
                <c:pt idx="1356">
                  <c:v>361</c:v>
                </c:pt>
                <c:pt idx="1357">
                  <c:v>361</c:v>
                </c:pt>
                <c:pt idx="1358">
                  <c:v>361</c:v>
                </c:pt>
                <c:pt idx="1359">
                  <c:v>361</c:v>
                </c:pt>
                <c:pt idx="1360">
                  <c:v>361</c:v>
                </c:pt>
                <c:pt idx="1361">
                  <c:v>361</c:v>
                </c:pt>
                <c:pt idx="1362">
                  <c:v>361</c:v>
                </c:pt>
                <c:pt idx="1363">
                  <c:v>361</c:v>
                </c:pt>
                <c:pt idx="1364">
                  <c:v>361</c:v>
                </c:pt>
                <c:pt idx="1365">
                  <c:v>361</c:v>
                </c:pt>
                <c:pt idx="1366">
                  <c:v>361</c:v>
                </c:pt>
                <c:pt idx="1367">
                  <c:v>361</c:v>
                </c:pt>
                <c:pt idx="1368">
                  <c:v>362</c:v>
                </c:pt>
                <c:pt idx="1369">
                  <c:v>362</c:v>
                </c:pt>
                <c:pt idx="1370">
                  <c:v>362</c:v>
                </c:pt>
                <c:pt idx="1371">
                  <c:v>362</c:v>
                </c:pt>
                <c:pt idx="1372">
                  <c:v>362</c:v>
                </c:pt>
                <c:pt idx="1373">
                  <c:v>362</c:v>
                </c:pt>
                <c:pt idx="1374">
                  <c:v>362</c:v>
                </c:pt>
                <c:pt idx="1375">
                  <c:v>362</c:v>
                </c:pt>
                <c:pt idx="1376">
                  <c:v>362</c:v>
                </c:pt>
                <c:pt idx="1377">
                  <c:v>362</c:v>
                </c:pt>
                <c:pt idx="1378">
                  <c:v>362</c:v>
                </c:pt>
                <c:pt idx="1379">
                  <c:v>362</c:v>
                </c:pt>
                <c:pt idx="1380">
                  <c:v>362</c:v>
                </c:pt>
                <c:pt idx="1381">
                  <c:v>362</c:v>
                </c:pt>
                <c:pt idx="1382">
                  <c:v>362</c:v>
                </c:pt>
                <c:pt idx="1383">
                  <c:v>362</c:v>
                </c:pt>
                <c:pt idx="1384">
                  <c:v>362</c:v>
                </c:pt>
                <c:pt idx="1385">
                  <c:v>362</c:v>
                </c:pt>
                <c:pt idx="1386">
                  <c:v>362</c:v>
                </c:pt>
                <c:pt idx="1387">
                  <c:v>362</c:v>
                </c:pt>
                <c:pt idx="1388">
                  <c:v>362</c:v>
                </c:pt>
                <c:pt idx="1389">
                  <c:v>362</c:v>
                </c:pt>
                <c:pt idx="1390">
                  <c:v>362</c:v>
                </c:pt>
                <c:pt idx="1391">
                  <c:v>362</c:v>
                </c:pt>
                <c:pt idx="1392">
                  <c:v>363</c:v>
                </c:pt>
                <c:pt idx="1393">
                  <c:v>363</c:v>
                </c:pt>
                <c:pt idx="1394">
                  <c:v>363</c:v>
                </c:pt>
                <c:pt idx="1395">
                  <c:v>363</c:v>
                </c:pt>
                <c:pt idx="1396">
                  <c:v>363</c:v>
                </c:pt>
                <c:pt idx="1397">
                  <c:v>363</c:v>
                </c:pt>
                <c:pt idx="1398">
                  <c:v>363</c:v>
                </c:pt>
                <c:pt idx="1399">
                  <c:v>363</c:v>
                </c:pt>
                <c:pt idx="1400">
                  <c:v>363</c:v>
                </c:pt>
                <c:pt idx="1401">
                  <c:v>363</c:v>
                </c:pt>
                <c:pt idx="1402">
                  <c:v>363</c:v>
                </c:pt>
                <c:pt idx="1403">
                  <c:v>363</c:v>
                </c:pt>
                <c:pt idx="1404">
                  <c:v>363</c:v>
                </c:pt>
                <c:pt idx="1405">
                  <c:v>363</c:v>
                </c:pt>
                <c:pt idx="1406">
                  <c:v>363</c:v>
                </c:pt>
                <c:pt idx="1407">
                  <c:v>363</c:v>
                </c:pt>
                <c:pt idx="1408">
                  <c:v>363</c:v>
                </c:pt>
                <c:pt idx="1409">
                  <c:v>363</c:v>
                </c:pt>
                <c:pt idx="1410">
                  <c:v>363</c:v>
                </c:pt>
                <c:pt idx="1411">
                  <c:v>363</c:v>
                </c:pt>
                <c:pt idx="1412">
                  <c:v>363</c:v>
                </c:pt>
                <c:pt idx="1413">
                  <c:v>363</c:v>
                </c:pt>
                <c:pt idx="1414">
                  <c:v>363</c:v>
                </c:pt>
                <c:pt idx="1415">
                  <c:v>363</c:v>
                </c:pt>
                <c:pt idx="1416">
                  <c:v>364</c:v>
                </c:pt>
                <c:pt idx="1417">
                  <c:v>364</c:v>
                </c:pt>
                <c:pt idx="1418">
                  <c:v>364</c:v>
                </c:pt>
                <c:pt idx="1419">
                  <c:v>364</c:v>
                </c:pt>
                <c:pt idx="1420">
                  <c:v>364</c:v>
                </c:pt>
                <c:pt idx="1421">
                  <c:v>364</c:v>
                </c:pt>
                <c:pt idx="1422">
                  <c:v>364</c:v>
                </c:pt>
                <c:pt idx="1423">
                  <c:v>364</c:v>
                </c:pt>
                <c:pt idx="1424">
                  <c:v>364</c:v>
                </c:pt>
                <c:pt idx="1425">
                  <c:v>364</c:v>
                </c:pt>
                <c:pt idx="1426">
                  <c:v>364</c:v>
                </c:pt>
                <c:pt idx="1427">
                  <c:v>364</c:v>
                </c:pt>
                <c:pt idx="1428">
                  <c:v>364</c:v>
                </c:pt>
                <c:pt idx="1429">
                  <c:v>364</c:v>
                </c:pt>
                <c:pt idx="1430">
                  <c:v>364</c:v>
                </c:pt>
                <c:pt idx="1431">
                  <c:v>364</c:v>
                </c:pt>
                <c:pt idx="1432">
                  <c:v>364</c:v>
                </c:pt>
                <c:pt idx="1433">
                  <c:v>364</c:v>
                </c:pt>
                <c:pt idx="1434">
                  <c:v>364</c:v>
                </c:pt>
                <c:pt idx="1435">
                  <c:v>364</c:v>
                </c:pt>
                <c:pt idx="1436">
                  <c:v>364</c:v>
                </c:pt>
                <c:pt idx="1437">
                  <c:v>364</c:v>
                </c:pt>
                <c:pt idx="1438">
                  <c:v>364</c:v>
                </c:pt>
                <c:pt idx="1439">
                  <c:v>364</c:v>
                </c:pt>
                <c:pt idx="1440">
                  <c:v>365</c:v>
                </c:pt>
                <c:pt idx="1441">
                  <c:v>365</c:v>
                </c:pt>
                <c:pt idx="1442">
                  <c:v>365</c:v>
                </c:pt>
                <c:pt idx="1443">
                  <c:v>365</c:v>
                </c:pt>
                <c:pt idx="1444">
                  <c:v>365</c:v>
                </c:pt>
                <c:pt idx="1445">
                  <c:v>365</c:v>
                </c:pt>
                <c:pt idx="1446">
                  <c:v>365</c:v>
                </c:pt>
                <c:pt idx="1447">
                  <c:v>365</c:v>
                </c:pt>
                <c:pt idx="1448">
                  <c:v>365</c:v>
                </c:pt>
                <c:pt idx="1449">
                  <c:v>365</c:v>
                </c:pt>
                <c:pt idx="1450">
                  <c:v>365</c:v>
                </c:pt>
                <c:pt idx="1451">
                  <c:v>365</c:v>
                </c:pt>
                <c:pt idx="1452">
                  <c:v>365</c:v>
                </c:pt>
                <c:pt idx="1453">
                  <c:v>365</c:v>
                </c:pt>
                <c:pt idx="1454">
                  <c:v>365</c:v>
                </c:pt>
                <c:pt idx="1455">
                  <c:v>365</c:v>
                </c:pt>
                <c:pt idx="1456">
                  <c:v>365</c:v>
                </c:pt>
                <c:pt idx="1457">
                  <c:v>365</c:v>
                </c:pt>
                <c:pt idx="1458">
                  <c:v>365</c:v>
                </c:pt>
                <c:pt idx="1459">
                  <c:v>365</c:v>
                </c:pt>
                <c:pt idx="1460">
                  <c:v>365</c:v>
                </c:pt>
                <c:pt idx="1461">
                  <c:v>365</c:v>
                </c:pt>
                <c:pt idx="1462">
                  <c:v>365</c:v>
                </c:pt>
                <c:pt idx="1463">
                  <c:v>365</c:v>
                </c:pt>
              </c:numCache>
            </c:numRef>
          </c:cat>
          <c:val>
            <c:numRef>
              <c:f>DataHr!$R$293:$R$1756</c:f>
              <c:numCache>
                <c:formatCode>General</c:formatCode>
                <c:ptCount val="1464"/>
                <c:pt idx="0">
                  <c:v>327.39999999999998</c:v>
                </c:pt>
                <c:pt idx="1">
                  <c:v>327.39999999999998</c:v>
                </c:pt>
                <c:pt idx="2">
                  <c:v>327.39999999999998</c:v>
                </c:pt>
                <c:pt idx="3">
                  <c:v>327.39999999999998</c:v>
                </c:pt>
                <c:pt idx="4">
                  <c:v>327.39999999999998</c:v>
                </c:pt>
                <c:pt idx="5">
                  <c:v>327.39999999999998</c:v>
                </c:pt>
                <c:pt idx="6">
                  <c:v>327.39999999999998</c:v>
                </c:pt>
                <c:pt idx="7">
                  <c:v>327.5</c:v>
                </c:pt>
                <c:pt idx="8">
                  <c:v>327.5</c:v>
                </c:pt>
                <c:pt idx="9">
                  <c:v>327.5</c:v>
                </c:pt>
                <c:pt idx="10">
                  <c:v>327.5</c:v>
                </c:pt>
                <c:pt idx="11">
                  <c:v>327.5</c:v>
                </c:pt>
                <c:pt idx="12">
                  <c:v>327.5</c:v>
                </c:pt>
                <c:pt idx="13">
                  <c:v>327.5</c:v>
                </c:pt>
                <c:pt idx="14">
                  <c:v>327.5</c:v>
                </c:pt>
                <c:pt idx="15">
                  <c:v>327.5</c:v>
                </c:pt>
                <c:pt idx="16">
                  <c:v>327.5</c:v>
                </c:pt>
                <c:pt idx="17">
                  <c:v>327.5</c:v>
                </c:pt>
                <c:pt idx="18">
                  <c:v>327.5</c:v>
                </c:pt>
                <c:pt idx="19">
                  <c:v>327.5</c:v>
                </c:pt>
                <c:pt idx="20">
                  <c:v>327.5</c:v>
                </c:pt>
                <c:pt idx="21">
                  <c:v>327.5</c:v>
                </c:pt>
                <c:pt idx="22">
                  <c:v>327.5</c:v>
                </c:pt>
                <c:pt idx="23">
                  <c:v>327.5</c:v>
                </c:pt>
                <c:pt idx="24">
                  <c:v>327.5</c:v>
                </c:pt>
                <c:pt idx="25">
                  <c:v>327.5</c:v>
                </c:pt>
                <c:pt idx="26">
                  <c:v>327.5</c:v>
                </c:pt>
                <c:pt idx="27">
                  <c:v>327.5</c:v>
                </c:pt>
                <c:pt idx="28">
                  <c:v>327.5</c:v>
                </c:pt>
                <c:pt idx="29">
                  <c:v>327.5</c:v>
                </c:pt>
                <c:pt idx="30">
                  <c:v>327.5</c:v>
                </c:pt>
                <c:pt idx="31">
                  <c:v>327.5</c:v>
                </c:pt>
                <c:pt idx="32">
                  <c:v>327.5</c:v>
                </c:pt>
                <c:pt idx="33">
                  <c:v>327.5</c:v>
                </c:pt>
                <c:pt idx="34">
                  <c:v>327.5</c:v>
                </c:pt>
                <c:pt idx="35">
                  <c:v>327.5</c:v>
                </c:pt>
                <c:pt idx="36">
                  <c:v>327.5</c:v>
                </c:pt>
                <c:pt idx="37">
                  <c:v>327.5</c:v>
                </c:pt>
                <c:pt idx="38">
                  <c:v>327.5</c:v>
                </c:pt>
                <c:pt idx="39">
                  <c:v>327.5</c:v>
                </c:pt>
                <c:pt idx="40">
                  <c:v>327.5</c:v>
                </c:pt>
                <c:pt idx="41">
                  <c:v>327.5</c:v>
                </c:pt>
                <c:pt idx="42">
                  <c:v>327.5</c:v>
                </c:pt>
                <c:pt idx="43">
                  <c:v>327.5</c:v>
                </c:pt>
                <c:pt idx="44">
                  <c:v>327.5</c:v>
                </c:pt>
                <c:pt idx="45">
                  <c:v>327.60000000000002</c:v>
                </c:pt>
                <c:pt idx="46">
                  <c:v>327.60000000000002</c:v>
                </c:pt>
                <c:pt idx="47">
                  <c:v>327.60000000000002</c:v>
                </c:pt>
                <c:pt idx="48">
                  <c:v>327.60000000000002</c:v>
                </c:pt>
                <c:pt idx="49">
                  <c:v>327.60000000000002</c:v>
                </c:pt>
                <c:pt idx="50">
                  <c:v>327.60000000000002</c:v>
                </c:pt>
                <c:pt idx="51">
                  <c:v>327.60000000000002</c:v>
                </c:pt>
                <c:pt idx="52">
                  <c:v>327.60000000000002</c:v>
                </c:pt>
                <c:pt idx="53">
                  <c:v>327.7</c:v>
                </c:pt>
                <c:pt idx="54">
                  <c:v>327.7</c:v>
                </c:pt>
                <c:pt idx="55">
                  <c:v>327.7</c:v>
                </c:pt>
                <c:pt idx="56">
                  <c:v>327.7</c:v>
                </c:pt>
                <c:pt idx="57">
                  <c:v>327.7</c:v>
                </c:pt>
                <c:pt idx="58">
                  <c:v>327.7</c:v>
                </c:pt>
                <c:pt idx="59">
                  <c:v>327.7</c:v>
                </c:pt>
                <c:pt idx="60">
                  <c:v>327.7</c:v>
                </c:pt>
                <c:pt idx="61">
                  <c:v>327.9</c:v>
                </c:pt>
                <c:pt idx="62">
                  <c:v>328.7</c:v>
                </c:pt>
                <c:pt idx="63">
                  <c:v>329.2</c:v>
                </c:pt>
                <c:pt idx="64">
                  <c:v>330.3</c:v>
                </c:pt>
                <c:pt idx="65">
                  <c:v>332.4</c:v>
                </c:pt>
                <c:pt idx="66">
                  <c:v>333.6</c:v>
                </c:pt>
                <c:pt idx="67">
                  <c:v>334.6</c:v>
                </c:pt>
                <c:pt idx="68">
                  <c:v>335.3</c:v>
                </c:pt>
                <c:pt idx="69">
                  <c:v>335.8</c:v>
                </c:pt>
                <c:pt idx="70">
                  <c:v>336.6</c:v>
                </c:pt>
                <c:pt idx="71">
                  <c:v>337.5</c:v>
                </c:pt>
                <c:pt idx="72">
                  <c:v>338.5</c:v>
                </c:pt>
                <c:pt idx="73">
                  <c:v>339.5</c:v>
                </c:pt>
                <c:pt idx="74">
                  <c:v>340.8</c:v>
                </c:pt>
                <c:pt idx="75">
                  <c:v>342.8</c:v>
                </c:pt>
                <c:pt idx="76">
                  <c:v>344.9</c:v>
                </c:pt>
                <c:pt idx="77">
                  <c:v>348</c:v>
                </c:pt>
                <c:pt idx="78">
                  <c:v>350.9</c:v>
                </c:pt>
                <c:pt idx="79">
                  <c:v>354.1</c:v>
                </c:pt>
                <c:pt idx="80">
                  <c:v>357.5</c:v>
                </c:pt>
                <c:pt idx="81">
                  <c:v>360</c:v>
                </c:pt>
                <c:pt idx="82">
                  <c:v>362.7</c:v>
                </c:pt>
                <c:pt idx="83">
                  <c:v>365</c:v>
                </c:pt>
                <c:pt idx="84">
                  <c:v>365.9</c:v>
                </c:pt>
                <c:pt idx="85">
                  <c:v>366</c:v>
                </c:pt>
                <c:pt idx="86">
                  <c:v>366.1</c:v>
                </c:pt>
                <c:pt idx="87">
                  <c:v>366.1</c:v>
                </c:pt>
                <c:pt idx="88">
                  <c:v>366.1</c:v>
                </c:pt>
                <c:pt idx="89">
                  <c:v>366.1</c:v>
                </c:pt>
                <c:pt idx="90">
                  <c:v>366.1</c:v>
                </c:pt>
                <c:pt idx="91">
                  <c:v>366.1</c:v>
                </c:pt>
                <c:pt idx="92">
                  <c:v>366.4</c:v>
                </c:pt>
                <c:pt idx="93">
                  <c:v>366.7</c:v>
                </c:pt>
                <c:pt idx="94">
                  <c:v>366.7</c:v>
                </c:pt>
                <c:pt idx="95">
                  <c:v>366.7</c:v>
                </c:pt>
                <c:pt idx="96">
                  <c:v>366.7</c:v>
                </c:pt>
                <c:pt idx="97">
                  <c:v>372.2</c:v>
                </c:pt>
                <c:pt idx="98">
                  <c:v>376.3</c:v>
                </c:pt>
                <c:pt idx="99">
                  <c:v>377.9</c:v>
                </c:pt>
                <c:pt idx="100">
                  <c:v>381.6</c:v>
                </c:pt>
                <c:pt idx="101">
                  <c:v>381.6</c:v>
                </c:pt>
                <c:pt idx="102">
                  <c:v>381.6</c:v>
                </c:pt>
                <c:pt idx="103">
                  <c:v>381.6</c:v>
                </c:pt>
                <c:pt idx="104">
                  <c:v>381.6</c:v>
                </c:pt>
                <c:pt idx="105">
                  <c:v>381.6</c:v>
                </c:pt>
                <c:pt idx="106">
                  <c:v>381.6</c:v>
                </c:pt>
                <c:pt idx="107">
                  <c:v>381.6</c:v>
                </c:pt>
                <c:pt idx="108">
                  <c:v>382.1</c:v>
                </c:pt>
                <c:pt idx="109">
                  <c:v>382.4</c:v>
                </c:pt>
                <c:pt idx="110">
                  <c:v>382.4</c:v>
                </c:pt>
                <c:pt idx="111">
                  <c:v>382.5</c:v>
                </c:pt>
                <c:pt idx="112">
                  <c:v>382.8</c:v>
                </c:pt>
                <c:pt idx="113">
                  <c:v>382.8</c:v>
                </c:pt>
                <c:pt idx="114">
                  <c:v>382.8</c:v>
                </c:pt>
                <c:pt idx="115">
                  <c:v>382.8</c:v>
                </c:pt>
                <c:pt idx="116">
                  <c:v>382.8</c:v>
                </c:pt>
                <c:pt idx="117">
                  <c:v>382.8</c:v>
                </c:pt>
                <c:pt idx="118">
                  <c:v>382.9</c:v>
                </c:pt>
                <c:pt idx="119">
                  <c:v>382.9</c:v>
                </c:pt>
                <c:pt idx="120">
                  <c:v>382.9</c:v>
                </c:pt>
                <c:pt idx="121">
                  <c:v>382.9</c:v>
                </c:pt>
                <c:pt idx="122">
                  <c:v>382.9</c:v>
                </c:pt>
                <c:pt idx="123">
                  <c:v>382.9</c:v>
                </c:pt>
                <c:pt idx="124">
                  <c:v>382.9</c:v>
                </c:pt>
                <c:pt idx="125">
                  <c:v>382.9</c:v>
                </c:pt>
                <c:pt idx="126">
                  <c:v>382.9</c:v>
                </c:pt>
                <c:pt idx="127">
                  <c:v>383</c:v>
                </c:pt>
                <c:pt idx="128">
                  <c:v>383.2</c:v>
                </c:pt>
                <c:pt idx="129">
                  <c:v>383.6</c:v>
                </c:pt>
                <c:pt idx="130">
                  <c:v>384</c:v>
                </c:pt>
                <c:pt idx="131">
                  <c:v>384.4</c:v>
                </c:pt>
                <c:pt idx="132">
                  <c:v>384.8</c:v>
                </c:pt>
                <c:pt idx="133">
                  <c:v>385.4</c:v>
                </c:pt>
                <c:pt idx="134">
                  <c:v>386.1</c:v>
                </c:pt>
                <c:pt idx="135">
                  <c:v>386.9</c:v>
                </c:pt>
                <c:pt idx="136">
                  <c:v>387.3</c:v>
                </c:pt>
                <c:pt idx="137">
                  <c:v>387.9</c:v>
                </c:pt>
                <c:pt idx="138">
                  <c:v>388.6</c:v>
                </c:pt>
                <c:pt idx="139">
                  <c:v>389.4</c:v>
                </c:pt>
                <c:pt idx="140">
                  <c:v>390.6</c:v>
                </c:pt>
                <c:pt idx="141">
                  <c:v>392.3</c:v>
                </c:pt>
                <c:pt idx="142">
                  <c:v>394.3</c:v>
                </c:pt>
                <c:pt idx="143">
                  <c:v>396.1</c:v>
                </c:pt>
                <c:pt idx="144">
                  <c:v>397.8</c:v>
                </c:pt>
                <c:pt idx="145">
                  <c:v>400.1</c:v>
                </c:pt>
                <c:pt idx="146">
                  <c:v>402.1</c:v>
                </c:pt>
                <c:pt idx="147">
                  <c:v>403.5</c:v>
                </c:pt>
                <c:pt idx="148">
                  <c:v>404.6</c:v>
                </c:pt>
                <c:pt idx="149">
                  <c:v>406.7</c:v>
                </c:pt>
                <c:pt idx="150">
                  <c:v>408.3</c:v>
                </c:pt>
                <c:pt idx="151">
                  <c:v>409.6</c:v>
                </c:pt>
                <c:pt idx="152">
                  <c:v>410.9</c:v>
                </c:pt>
                <c:pt idx="153">
                  <c:v>412.1</c:v>
                </c:pt>
                <c:pt idx="154">
                  <c:v>413.3</c:v>
                </c:pt>
                <c:pt idx="155">
                  <c:v>414</c:v>
                </c:pt>
                <c:pt idx="156">
                  <c:v>414.5</c:v>
                </c:pt>
                <c:pt idx="157">
                  <c:v>415</c:v>
                </c:pt>
                <c:pt idx="158">
                  <c:v>415</c:v>
                </c:pt>
                <c:pt idx="159">
                  <c:v>415.2</c:v>
                </c:pt>
                <c:pt idx="160">
                  <c:v>415.3</c:v>
                </c:pt>
                <c:pt idx="161">
                  <c:v>415.4</c:v>
                </c:pt>
                <c:pt idx="162">
                  <c:v>415.5</c:v>
                </c:pt>
                <c:pt idx="163">
                  <c:v>415.6</c:v>
                </c:pt>
                <c:pt idx="164">
                  <c:v>415.7</c:v>
                </c:pt>
                <c:pt idx="165">
                  <c:v>416.5</c:v>
                </c:pt>
                <c:pt idx="166">
                  <c:v>416.8</c:v>
                </c:pt>
                <c:pt idx="167">
                  <c:v>416.9</c:v>
                </c:pt>
                <c:pt idx="168">
                  <c:v>417.9</c:v>
                </c:pt>
                <c:pt idx="169">
                  <c:v>418.3</c:v>
                </c:pt>
                <c:pt idx="170">
                  <c:v>418.3</c:v>
                </c:pt>
                <c:pt idx="171">
                  <c:v>418.4</c:v>
                </c:pt>
                <c:pt idx="172">
                  <c:v>418.5</c:v>
                </c:pt>
                <c:pt idx="173">
                  <c:v>418.6</c:v>
                </c:pt>
                <c:pt idx="174">
                  <c:v>418.7</c:v>
                </c:pt>
                <c:pt idx="175">
                  <c:v>418.7</c:v>
                </c:pt>
                <c:pt idx="176">
                  <c:v>418.7</c:v>
                </c:pt>
                <c:pt idx="177">
                  <c:v>418.9</c:v>
                </c:pt>
                <c:pt idx="178">
                  <c:v>418.9</c:v>
                </c:pt>
                <c:pt idx="179">
                  <c:v>419.1</c:v>
                </c:pt>
                <c:pt idx="180">
                  <c:v>419.1</c:v>
                </c:pt>
                <c:pt idx="181">
                  <c:v>419.1</c:v>
                </c:pt>
                <c:pt idx="182">
                  <c:v>419.1</c:v>
                </c:pt>
                <c:pt idx="183">
                  <c:v>419.1</c:v>
                </c:pt>
                <c:pt idx="184">
                  <c:v>419.1</c:v>
                </c:pt>
                <c:pt idx="185">
                  <c:v>419.1</c:v>
                </c:pt>
                <c:pt idx="186">
                  <c:v>419.2</c:v>
                </c:pt>
                <c:pt idx="187">
                  <c:v>419.2</c:v>
                </c:pt>
                <c:pt idx="188">
                  <c:v>419.2</c:v>
                </c:pt>
                <c:pt idx="189">
                  <c:v>419.2</c:v>
                </c:pt>
                <c:pt idx="190">
                  <c:v>419.2</c:v>
                </c:pt>
                <c:pt idx="191">
                  <c:v>419.2</c:v>
                </c:pt>
                <c:pt idx="192">
                  <c:v>419.2</c:v>
                </c:pt>
                <c:pt idx="193">
                  <c:v>419.2</c:v>
                </c:pt>
                <c:pt idx="194">
                  <c:v>419.2</c:v>
                </c:pt>
                <c:pt idx="195">
                  <c:v>419.2</c:v>
                </c:pt>
                <c:pt idx="196">
                  <c:v>419.2</c:v>
                </c:pt>
                <c:pt idx="197">
                  <c:v>419.2</c:v>
                </c:pt>
                <c:pt idx="198">
                  <c:v>419.2</c:v>
                </c:pt>
                <c:pt idx="199">
                  <c:v>419.2</c:v>
                </c:pt>
                <c:pt idx="200">
                  <c:v>419.2</c:v>
                </c:pt>
                <c:pt idx="201">
                  <c:v>419.2</c:v>
                </c:pt>
                <c:pt idx="202">
                  <c:v>419.2</c:v>
                </c:pt>
                <c:pt idx="203">
                  <c:v>419.2</c:v>
                </c:pt>
                <c:pt idx="204">
                  <c:v>419.2</c:v>
                </c:pt>
                <c:pt idx="205">
                  <c:v>419.2</c:v>
                </c:pt>
                <c:pt idx="206">
                  <c:v>419.2</c:v>
                </c:pt>
                <c:pt idx="207">
                  <c:v>419.2</c:v>
                </c:pt>
                <c:pt idx="208">
                  <c:v>419.2</c:v>
                </c:pt>
                <c:pt idx="209">
                  <c:v>419.2</c:v>
                </c:pt>
                <c:pt idx="210">
                  <c:v>419.2</c:v>
                </c:pt>
                <c:pt idx="211">
                  <c:v>419.2</c:v>
                </c:pt>
                <c:pt idx="212">
                  <c:v>419.2</c:v>
                </c:pt>
                <c:pt idx="213">
                  <c:v>419.2</c:v>
                </c:pt>
                <c:pt idx="214">
                  <c:v>419.2</c:v>
                </c:pt>
                <c:pt idx="215">
                  <c:v>419.2</c:v>
                </c:pt>
                <c:pt idx="216">
                  <c:v>419.2</c:v>
                </c:pt>
                <c:pt idx="217">
                  <c:v>419.2</c:v>
                </c:pt>
                <c:pt idx="218">
                  <c:v>419.2</c:v>
                </c:pt>
                <c:pt idx="219">
                  <c:v>419.3</c:v>
                </c:pt>
                <c:pt idx="220">
                  <c:v>419.3</c:v>
                </c:pt>
                <c:pt idx="221">
                  <c:v>419.3</c:v>
                </c:pt>
                <c:pt idx="222">
                  <c:v>419.3</c:v>
                </c:pt>
                <c:pt idx="223">
                  <c:v>419.3</c:v>
                </c:pt>
                <c:pt idx="224">
                  <c:v>419.3</c:v>
                </c:pt>
                <c:pt idx="225">
                  <c:v>419.3</c:v>
                </c:pt>
                <c:pt idx="226">
                  <c:v>419.3</c:v>
                </c:pt>
                <c:pt idx="227">
                  <c:v>419.3</c:v>
                </c:pt>
                <c:pt idx="228">
                  <c:v>419.3</c:v>
                </c:pt>
                <c:pt idx="229">
                  <c:v>419.3</c:v>
                </c:pt>
                <c:pt idx="230">
                  <c:v>419.3</c:v>
                </c:pt>
                <c:pt idx="231">
                  <c:v>419.3</c:v>
                </c:pt>
                <c:pt idx="232">
                  <c:v>419.3</c:v>
                </c:pt>
                <c:pt idx="233">
                  <c:v>419.3</c:v>
                </c:pt>
                <c:pt idx="234">
                  <c:v>419.3</c:v>
                </c:pt>
                <c:pt idx="235">
                  <c:v>419.3</c:v>
                </c:pt>
                <c:pt idx="236">
                  <c:v>419.3</c:v>
                </c:pt>
                <c:pt idx="237">
                  <c:v>419.3</c:v>
                </c:pt>
                <c:pt idx="238">
                  <c:v>419.3</c:v>
                </c:pt>
                <c:pt idx="239">
                  <c:v>419.3</c:v>
                </c:pt>
                <c:pt idx="240">
                  <c:v>419.3</c:v>
                </c:pt>
                <c:pt idx="241">
                  <c:v>419.3</c:v>
                </c:pt>
                <c:pt idx="242">
                  <c:v>419.3</c:v>
                </c:pt>
                <c:pt idx="243">
                  <c:v>419.3</c:v>
                </c:pt>
                <c:pt idx="244">
                  <c:v>419.3</c:v>
                </c:pt>
                <c:pt idx="245">
                  <c:v>419.3</c:v>
                </c:pt>
                <c:pt idx="246">
                  <c:v>419.3</c:v>
                </c:pt>
                <c:pt idx="247">
                  <c:v>419.3</c:v>
                </c:pt>
                <c:pt idx="248">
                  <c:v>419.3</c:v>
                </c:pt>
                <c:pt idx="249">
                  <c:v>419.3</c:v>
                </c:pt>
                <c:pt idx="250">
                  <c:v>419.3</c:v>
                </c:pt>
                <c:pt idx="251">
                  <c:v>419.3</c:v>
                </c:pt>
                <c:pt idx="252">
                  <c:v>419.3</c:v>
                </c:pt>
                <c:pt idx="253">
                  <c:v>419.3</c:v>
                </c:pt>
                <c:pt idx="254">
                  <c:v>419.3</c:v>
                </c:pt>
                <c:pt idx="255">
                  <c:v>419.3</c:v>
                </c:pt>
                <c:pt idx="256">
                  <c:v>419.3</c:v>
                </c:pt>
                <c:pt idx="257">
                  <c:v>419.3</c:v>
                </c:pt>
                <c:pt idx="258">
                  <c:v>419.3</c:v>
                </c:pt>
                <c:pt idx="259">
                  <c:v>419.3</c:v>
                </c:pt>
                <c:pt idx="260">
                  <c:v>419.3</c:v>
                </c:pt>
                <c:pt idx="261">
                  <c:v>419.3</c:v>
                </c:pt>
                <c:pt idx="262">
                  <c:v>419.3</c:v>
                </c:pt>
                <c:pt idx="263">
                  <c:v>419.3</c:v>
                </c:pt>
                <c:pt idx="264">
                  <c:v>419.3</c:v>
                </c:pt>
                <c:pt idx="265">
                  <c:v>419.3</c:v>
                </c:pt>
                <c:pt idx="266">
                  <c:v>419.3</c:v>
                </c:pt>
                <c:pt idx="267">
                  <c:v>419.3</c:v>
                </c:pt>
                <c:pt idx="268">
                  <c:v>419.3</c:v>
                </c:pt>
                <c:pt idx="269">
                  <c:v>419.3</c:v>
                </c:pt>
                <c:pt idx="270">
                  <c:v>419.3</c:v>
                </c:pt>
                <c:pt idx="271">
                  <c:v>419.3</c:v>
                </c:pt>
                <c:pt idx="272">
                  <c:v>419.3</c:v>
                </c:pt>
                <c:pt idx="273">
                  <c:v>419.3</c:v>
                </c:pt>
                <c:pt idx="274">
                  <c:v>419.3</c:v>
                </c:pt>
                <c:pt idx="275">
                  <c:v>419.3</c:v>
                </c:pt>
                <c:pt idx="276">
                  <c:v>419.3</c:v>
                </c:pt>
                <c:pt idx="277">
                  <c:v>419.3</c:v>
                </c:pt>
                <c:pt idx="278">
                  <c:v>419.3</c:v>
                </c:pt>
                <c:pt idx="279">
                  <c:v>419.3</c:v>
                </c:pt>
                <c:pt idx="280">
                  <c:v>419.3</c:v>
                </c:pt>
                <c:pt idx="281">
                  <c:v>419.3</c:v>
                </c:pt>
                <c:pt idx="282">
                  <c:v>419.3</c:v>
                </c:pt>
                <c:pt idx="283">
                  <c:v>419.3</c:v>
                </c:pt>
                <c:pt idx="284">
                  <c:v>419.3</c:v>
                </c:pt>
                <c:pt idx="285">
                  <c:v>419.3</c:v>
                </c:pt>
                <c:pt idx="286">
                  <c:v>419.3</c:v>
                </c:pt>
                <c:pt idx="287">
                  <c:v>419.3</c:v>
                </c:pt>
                <c:pt idx="288">
                  <c:v>419.3</c:v>
                </c:pt>
                <c:pt idx="289">
                  <c:v>419.3</c:v>
                </c:pt>
                <c:pt idx="290">
                  <c:v>419.3</c:v>
                </c:pt>
                <c:pt idx="291">
                  <c:v>419.3</c:v>
                </c:pt>
                <c:pt idx="292">
                  <c:v>419.3</c:v>
                </c:pt>
                <c:pt idx="293">
                  <c:v>419.3</c:v>
                </c:pt>
                <c:pt idx="294">
                  <c:v>419.3</c:v>
                </c:pt>
                <c:pt idx="295">
                  <c:v>419.3</c:v>
                </c:pt>
                <c:pt idx="296">
                  <c:v>419.3</c:v>
                </c:pt>
                <c:pt idx="297">
                  <c:v>419.3</c:v>
                </c:pt>
                <c:pt idx="298">
                  <c:v>419.3</c:v>
                </c:pt>
                <c:pt idx="299">
                  <c:v>419.3</c:v>
                </c:pt>
                <c:pt idx="300">
                  <c:v>419.3</c:v>
                </c:pt>
                <c:pt idx="301">
                  <c:v>419.3</c:v>
                </c:pt>
                <c:pt idx="302">
                  <c:v>419.3</c:v>
                </c:pt>
                <c:pt idx="303">
                  <c:v>419.3</c:v>
                </c:pt>
                <c:pt idx="304">
                  <c:v>419.3</c:v>
                </c:pt>
                <c:pt idx="305">
                  <c:v>419.3</c:v>
                </c:pt>
                <c:pt idx="306">
                  <c:v>419.3</c:v>
                </c:pt>
                <c:pt idx="307">
                  <c:v>419.3</c:v>
                </c:pt>
                <c:pt idx="308">
                  <c:v>419.3</c:v>
                </c:pt>
                <c:pt idx="309">
                  <c:v>419.3</c:v>
                </c:pt>
                <c:pt idx="310">
                  <c:v>419.3</c:v>
                </c:pt>
                <c:pt idx="311">
                  <c:v>419.3</c:v>
                </c:pt>
                <c:pt idx="312">
                  <c:v>419.3</c:v>
                </c:pt>
                <c:pt idx="313">
                  <c:v>419.3</c:v>
                </c:pt>
                <c:pt idx="314">
                  <c:v>419.3</c:v>
                </c:pt>
                <c:pt idx="315">
                  <c:v>419.3</c:v>
                </c:pt>
                <c:pt idx="316">
                  <c:v>419.3</c:v>
                </c:pt>
                <c:pt idx="317">
                  <c:v>419.3</c:v>
                </c:pt>
                <c:pt idx="318">
                  <c:v>419.3</c:v>
                </c:pt>
                <c:pt idx="319">
                  <c:v>419.3</c:v>
                </c:pt>
                <c:pt idx="320">
                  <c:v>419.3</c:v>
                </c:pt>
                <c:pt idx="321">
                  <c:v>419.3</c:v>
                </c:pt>
                <c:pt idx="322">
                  <c:v>419.3</c:v>
                </c:pt>
                <c:pt idx="323">
                  <c:v>419.3</c:v>
                </c:pt>
                <c:pt idx="324">
                  <c:v>419.3</c:v>
                </c:pt>
                <c:pt idx="325">
                  <c:v>419.3</c:v>
                </c:pt>
                <c:pt idx="326">
                  <c:v>419.3</c:v>
                </c:pt>
                <c:pt idx="327">
                  <c:v>419.3</c:v>
                </c:pt>
                <c:pt idx="328">
                  <c:v>419.3</c:v>
                </c:pt>
                <c:pt idx="329">
                  <c:v>419.3</c:v>
                </c:pt>
                <c:pt idx="330">
                  <c:v>419.3</c:v>
                </c:pt>
                <c:pt idx="331">
                  <c:v>419.3</c:v>
                </c:pt>
                <c:pt idx="332">
                  <c:v>419.3</c:v>
                </c:pt>
                <c:pt idx="333">
                  <c:v>419.3</c:v>
                </c:pt>
                <c:pt idx="334">
                  <c:v>419.3</c:v>
                </c:pt>
                <c:pt idx="335">
                  <c:v>419.3</c:v>
                </c:pt>
                <c:pt idx="336">
                  <c:v>419.3</c:v>
                </c:pt>
                <c:pt idx="337">
                  <c:v>419.3</c:v>
                </c:pt>
                <c:pt idx="338">
                  <c:v>419.3</c:v>
                </c:pt>
                <c:pt idx="339">
                  <c:v>419.3</c:v>
                </c:pt>
                <c:pt idx="340">
                  <c:v>419.3</c:v>
                </c:pt>
                <c:pt idx="341">
                  <c:v>419.3</c:v>
                </c:pt>
                <c:pt idx="342">
                  <c:v>419.3</c:v>
                </c:pt>
                <c:pt idx="343">
                  <c:v>419.3</c:v>
                </c:pt>
                <c:pt idx="344">
                  <c:v>419.3</c:v>
                </c:pt>
                <c:pt idx="345">
                  <c:v>419.3</c:v>
                </c:pt>
                <c:pt idx="346">
                  <c:v>419.3</c:v>
                </c:pt>
                <c:pt idx="347">
                  <c:v>419.3</c:v>
                </c:pt>
                <c:pt idx="348">
                  <c:v>419.3</c:v>
                </c:pt>
                <c:pt idx="349">
                  <c:v>419.3</c:v>
                </c:pt>
                <c:pt idx="350">
                  <c:v>419.3</c:v>
                </c:pt>
                <c:pt idx="351">
                  <c:v>419.3</c:v>
                </c:pt>
                <c:pt idx="352">
                  <c:v>419.3</c:v>
                </c:pt>
                <c:pt idx="353">
                  <c:v>419.3</c:v>
                </c:pt>
                <c:pt idx="354">
                  <c:v>419.3</c:v>
                </c:pt>
                <c:pt idx="355">
                  <c:v>419.3</c:v>
                </c:pt>
                <c:pt idx="356">
                  <c:v>419.3</c:v>
                </c:pt>
                <c:pt idx="357">
                  <c:v>419.3</c:v>
                </c:pt>
                <c:pt idx="358">
                  <c:v>419.3</c:v>
                </c:pt>
                <c:pt idx="359">
                  <c:v>419.3</c:v>
                </c:pt>
                <c:pt idx="360">
                  <c:v>419.3</c:v>
                </c:pt>
                <c:pt idx="361">
                  <c:v>419.3</c:v>
                </c:pt>
                <c:pt idx="362">
                  <c:v>419.3</c:v>
                </c:pt>
                <c:pt idx="363">
                  <c:v>419.3</c:v>
                </c:pt>
                <c:pt idx="364">
                  <c:v>419.3</c:v>
                </c:pt>
                <c:pt idx="365">
                  <c:v>419.3</c:v>
                </c:pt>
                <c:pt idx="366">
                  <c:v>419.3</c:v>
                </c:pt>
                <c:pt idx="367">
                  <c:v>419.3</c:v>
                </c:pt>
                <c:pt idx="368">
                  <c:v>419.3</c:v>
                </c:pt>
                <c:pt idx="369">
                  <c:v>419.3</c:v>
                </c:pt>
                <c:pt idx="370">
                  <c:v>419.3</c:v>
                </c:pt>
                <c:pt idx="371">
                  <c:v>419.3</c:v>
                </c:pt>
                <c:pt idx="372">
                  <c:v>419.3</c:v>
                </c:pt>
                <c:pt idx="373">
                  <c:v>419.3</c:v>
                </c:pt>
                <c:pt idx="374">
                  <c:v>419.3</c:v>
                </c:pt>
                <c:pt idx="375">
                  <c:v>419.3</c:v>
                </c:pt>
                <c:pt idx="376">
                  <c:v>419.3</c:v>
                </c:pt>
                <c:pt idx="377">
                  <c:v>419.3</c:v>
                </c:pt>
                <c:pt idx="378">
                  <c:v>419.3</c:v>
                </c:pt>
                <c:pt idx="379">
                  <c:v>419.3</c:v>
                </c:pt>
                <c:pt idx="380">
                  <c:v>419.3</c:v>
                </c:pt>
                <c:pt idx="381">
                  <c:v>419.3</c:v>
                </c:pt>
                <c:pt idx="382">
                  <c:v>419.3</c:v>
                </c:pt>
                <c:pt idx="383">
                  <c:v>419.3</c:v>
                </c:pt>
                <c:pt idx="384">
                  <c:v>419.3</c:v>
                </c:pt>
                <c:pt idx="385">
                  <c:v>419.3</c:v>
                </c:pt>
                <c:pt idx="386">
                  <c:v>419.3</c:v>
                </c:pt>
                <c:pt idx="387">
                  <c:v>419.3</c:v>
                </c:pt>
                <c:pt idx="388">
                  <c:v>419.3</c:v>
                </c:pt>
                <c:pt idx="389">
                  <c:v>419.3</c:v>
                </c:pt>
                <c:pt idx="390">
                  <c:v>419.3</c:v>
                </c:pt>
                <c:pt idx="391">
                  <c:v>419.3</c:v>
                </c:pt>
                <c:pt idx="392">
                  <c:v>419.3</c:v>
                </c:pt>
                <c:pt idx="393">
                  <c:v>419.3</c:v>
                </c:pt>
                <c:pt idx="394">
                  <c:v>419.3</c:v>
                </c:pt>
                <c:pt idx="395">
                  <c:v>419.3</c:v>
                </c:pt>
                <c:pt idx="396">
                  <c:v>419.3</c:v>
                </c:pt>
                <c:pt idx="397">
                  <c:v>419.3</c:v>
                </c:pt>
                <c:pt idx="398">
                  <c:v>419.3</c:v>
                </c:pt>
                <c:pt idx="399">
                  <c:v>419.3</c:v>
                </c:pt>
                <c:pt idx="400">
                  <c:v>419.3</c:v>
                </c:pt>
                <c:pt idx="401">
                  <c:v>419.3</c:v>
                </c:pt>
                <c:pt idx="402">
                  <c:v>419.3</c:v>
                </c:pt>
                <c:pt idx="403">
                  <c:v>419.3</c:v>
                </c:pt>
                <c:pt idx="404">
                  <c:v>419.4</c:v>
                </c:pt>
                <c:pt idx="405">
                  <c:v>419.4</c:v>
                </c:pt>
                <c:pt idx="406">
                  <c:v>419.4</c:v>
                </c:pt>
                <c:pt idx="407">
                  <c:v>419.4</c:v>
                </c:pt>
                <c:pt idx="408">
                  <c:v>419.4</c:v>
                </c:pt>
                <c:pt idx="409">
                  <c:v>419.4</c:v>
                </c:pt>
                <c:pt idx="410">
                  <c:v>419.4</c:v>
                </c:pt>
                <c:pt idx="411">
                  <c:v>419.4</c:v>
                </c:pt>
                <c:pt idx="412">
                  <c:v>419.4</c:v>
                </c:pt>
                <c:pt idx="413">
                  <c:v>419.4</c:v>
                </c:pt>
                <c:pt idx="414">
                  <c:v>419.4</c:v>
                </c:pt>
                <c:pt idx="415">
                  <c:v>419.4</c:v>
                </c:pt>
                <c:pt idx="416">
                  <c:v>419.4</c:v>
                </c:pt>
                <c:pt idx="417">
                  <c:v>419.4</c:v>
                </c:pt>
                <c:pt idx="418">
                  <c:v>419.4</c:v>
                </c:pt>
                <c:pt idx="419">
                  <c:v>419.4</c:v>
                </c:pt>
                <c:pt idx="420">
                  <c:v>419.4</c:v>
                </c:pt>
                <c:pt idx="421">
                  <c:v>419.4</c:v>
                </c:pt>
                <c:pt idx="422">
                  <c:v>419.4</c:v>
                </c:pt>
                <c:pt idx="423">
                  <c:v>419.4</c:v>
                </c:pt>
                <c:pt idx="424">
                  <c:v>419.4</c:v>
                </c:pt>
                <c:pt idx="425">
                  <c:v>419.4</c:v>
                </c:pt>
                <c:pt idx="426">
                  <c:v>419.4</c:v>
                </c:pt>
                <c:pt idx="427">
                  <c:v>419.4</c:v>
                </c:pt>
                <c:pt idx="428">
                  <c:v>419.4</c:v>
                </c:pt>
                <c:pt idx="429">
                  <c:v>419.4</c:v>
                </c:pt>
                <c:pt idx="430">
                  <c:v>419.4</c:v>
                </c:pt>
                <c:pt idx="431">
                  <c:v>419.4</c:v>
                </c:pt>
                <c:pt idx="432">
                  <c:v>419.4</c:v>
                </c:pt>
                <c:pt idx="433">
                  <c:v>419.4</c:v>
                </c:pt>
                <c:pt idx="434">
                  <c:v>419.4</c:v>
                </c:pt>
                <c:pt idx="435">
                  <c:v>419.4</c:v>
                </c:pt>
                <c:pt idx="436">
                  <c:v>419.4</c:v>
                </c:pt>
                <c:pt idx="437">
                  <c:v>419.4</c:v>
                </c:pt>
                <c:pt idx="438">
                  <c:v>419.4</c:v>
                </c:pt>
                <c:pt idx="439">
                  <c:v>419.4</c:v>
                </c:pt>
                <c:pt idx="440">
                  <c:v>419.4</c:v>
                </c:pt>
                <c:pt idx="441">
                  <c:v>419.4</c:v>
                </c:pt>
                <c:pt idx="442">
                  <c:v>419.4</c:v>
                </c:pt>
                <c:pt idx="443">
                  <c:v>419.4</c:v>
                </c:pt>
                <c:pt idx="444">
                  <c:v>419.4</c:v>
                </c:pt>
                <c:pt idx="445">
                  <c:v>419.4</c:v>
                </c:pt>
                <c:pt idx="446">
                  <c:v>419.4</c:v>
                </c:pt>
                <c:pt idx="447">
                  <c:v>419.4</c:v>
                </c:pt>
                <c:pt idx="448">
                  <c:v>419.4</c:v>
                </c:pt>
                <c:pt idx="449">
                  <c:v>419.4</c:v>
                </c:pt>
                <c:pt idx="450">
                  <c:v>419.4</c:v>
                </c:pt>
                <c:pt idx="451">
                  <c:v>419.4</c:v>
                </c:pt>
                <c:pt idx="452">
                  <c:v>419.4</c:v>
                </c:pt>
                <c:pt idx="453">
                  <c:v>419.4</c:v>
                </c:pt>
                <c:pt idx="454">
                  <c:v>419.4</c:v>
                </c:pt>
                <c:pt idx="455">
                  <c:v>419.4</c:v>
                </c:pt>
                <c:pt idx="456">
                  <c:v>419.4</c:v>
                </c:pt>
                <c:pt idx="457">
                  <c:v>419.4</c:v>
                </c:pt>
                <c:pt idx="458">
                  <c:v>419.4</c:v>
                </c:pt>
                <c:pt idx="459">
                  <c:v>419.4</c:v>
                </c:pt>
                <c:pt idx="460">
                  <c:v>419.4</c:v>
                </c:pt>
                <c:pt idx="461">
                  <c:v>419.4</c:v>
                </c:pt>
                <c:pt idx="462">
                  <c:v>419.4</c:v>
                </c:pt>
                <c:pt idx="463">
                  <c:v>419.4</c:v>
                </c:pt>
                <c:pt idx="464">
                  <c:v>419.4</c:v>
                </c:pt>
                <c:pt idx="465">
                  <c:v>419.4</c:v>
                </c:pt>
                <c:pt idx="466">
                  <c:v>419.4</c:v>
                </c:pt>
                <c:pt idx="467">
                  <c:v>419.4</c:v>
                </c:pt>
                <c:pt idx="468">
                  <c:v>419.4</c:v>
                </c:pt>
                <c:pt idx="469">
                  <c:v>419.4</c:v>
                </c:pt>
                <c:pt idx="470">
                  <c:v>419.4</c:v>
                </c:pt>
                <c:pt idx="471">
                  <c:v>419.4</c:v>
                </c:pt>
                <c:pt idx="472">
                  <c:v>419.4</c:v>
                </c:pt>
                <c:pt idx="473">
                  <c:v>419.4</c:v>
                </c:pt>
                <c:pt idx="474">
                  <c:v>419.4</c:v>
                </c:pt>
                <c:pt idx="475">
                  <c:v>419.4</c:v>
                </c:pt>
                <c:pt idx="476">
                  <c:v>419.4</c:v>
                </c:pt>
                <c:pt idx="477">
                  <c:v>419.4</c:v>
                </c:pt>
                <c:pt idx="478">
                  <c:v>419.4</c:v>
                </c:pt>
                <c:pt idx="479">
                  <c:v>419.4</c:v>
                </c:pt>
                <c:pt idx="480">
                  <c:v>419.4</c:v>
                </c:pt>
                <c:pt idx="481">
                  <c:v>420.2</c:v>
                </c:pt>
                <c:pt idx="482">
                  <c:v>420.5</c:v>
                </c:pt>
                <c:pt idx="483">
                  <c:v>420.5</c:v>
                </c:pt>
                <c:pt idx="484">
                  <c:v>420.5</c:v>
                </c:pt>
                <c:pt idx="485">
                  <c:v>420.5</c:v>
                </c:pt>
                <c:pt idx="486">
                  <c:v>420.5</c:v>
                </c:pt>
                <c:pt idx="487">
                  <c:v>420.5</c:v>
                </c:pt>
                <c:pt idx="488">
                  <c:v>420.5</c:v>
                </c:pt>
                <c:pt idx="489">
                  <c:v>420.5</c:v>
                </c:pt>
                <c:pt idx="490">
                  <c:v>420.5</c:v>
                </c:pt>
                <c:pt idx="491">
                  <c:v>420.5</c:v>
                </c:pt>
                <c:pt idx="492">
                  <c:v>420.5</c:v>
                </c:pt>
                <c:pt idx="493">
                  <c:v>420.5</c:v>
                </c:pt>
                <c:pt idx="494">
                  <c:v>420.5</c:v>
                </c:pt>
                <c:pt idx="495">
                  <c:v>420.5</c:v>
                </c:pt>
                <c:pt idx="496">
                  <c:v>420.5</c:v>
                </c:pt>
                <c:pt idx="497">
                  <c:v>420.5</c:v>
                </c:pt>
                <c:pt idx="498">
                  <c:v>420.5</c:v>
                </c:pt>
                <c:pt idx="499">
                  <c:v>420.5</c:v>
                </c:pt>
                <c:pt idx="500">
                  <c:v>420.5</c:v>
                </c:pt>
                <c:pt idx="501">
                  <c:v>420.5</c:v>
                </c:pt>
                <c:pt idx="502">
                  <c:v>420.5</c:v>
                </c:pt>
                <c:pt idx="503">
                  <c:v>420.5</c:v>
                </c:pt>
                <c:pt idx="504">
                  <c:v>420.5</c:v>
                </c:pt>
                <c:pt idx="505">
                  <c:v>420.5</c:v>
                </c:pt>
                <c:pt idx="506">
                  <c:v>420.5</c:v>
                </c:pt>
                <c:pt idx="507">
                  <c:v>420.5</c:v>
                </c:pt>
                <c:pt idx="508">
                  <c:v>420.5</c:v>
                </c:pt>
                <c:pt idx="509">
                  <c:v>420.5</c:v>
                </c:pt>
                <c:pt idx="510">
                  <c:v>420.6</c:v>
                </c:pt>
                <c:pt idx="511">
                  <c:v>420.6</c:v>
                </c:pt>
                <c:pt idx="512">
                  <c:v>420.8</c:v>
                </c:pt>
                <c:pt idx="513">
                  <c:v>420.8</c:v>
                </c:pt>
                <c:pt idx="514">
                  <c:v>421.3</c:v>
                </c:pt>
                <c:pt idx="515">
                  <c:v>421.4</c:v>
                </c:pt>
                <c:pt idx="516">
                  <c:v>421.5</c:v>
                </c:pt>
                <c:pt idx="517">
                  <c:v>421.6</c:v>
                </c:pt>
                <c:pt idx="518">
                  <c:v>422.3</c:v>
                </c:pt>
                <c:pt idx="519">
                  <c:v>422.6</c:v>
                </c:pt>
                <c:pt idx="520">
                  <c:v>422.8</c:v>
                </c:pt>
                <c:pt idx="521">
                  <c:v>423</c:v>
                </c:pt>
                <c:pt idx="522">
                  <c:v>423.6</c:v>
                </c:pt>
                <c:pt idx="523">
                  <c:v>424</c:v>
                </c:pt>
                <c:pt idx="524">
                  <c:v>424.1</c:v>
                </c:pt>
                <c:pt idx="525">
                  <c:v>424.2</c:v>
                </c:pt>
                <c:pt idx="526">
                  <c:v>424.2</c:v>
                </c:pt>
                <c:pt idx="527">
                  <c:v>424.2</c:v>
                </c:pt>
                <c:pt idx="528">
                  <c:v>424.2</c:v>
                </c:pt>
                <c:pt idx="529">
                  <c:v>424.2</c:v>
                </c:pt>
                <c:pt idx="530">
                  <c:v>424.2</c:v>
                </c:pt>
                <c:pt idx="531">
                  <c:v>424.2</c:v>
                </c:pt>
                <c:pt idx="532">
                  <c:v>424.2</c:v>
                </c:pt>
                <c:pt idx="533">
                  <c:v>424.2</c:v>
                </c:pt>
                <c:pt idx="534">
                  <c:v>424.2</c:v>
                </c:pt>
                <c:pt idx="535">
                  <c:v>424.2</c:v>
                </c:pt>
                <c:pt idx="536">
                  <c:v>424.2</c:v>
                </c:pt>
                <c:pt idx="537">
                  <c:v>424.2</c:v>
                </c:pt>
                <c:pt idx="538">
                  <c:v>424.2</c:v>
                </c:pt>
                <c:pt idx="539">
                  <c:v>424.2</c:v>
                </c:pt>
                <c:pt idx="540">
                  <c:v>424.2</c:v>
                </c:pt>
                <c:pt idx="541">
                  <c:v>424.2</c:v>
                </c:pt>
                <c:pt idx="542">
                  <c:v>424.2</c:v>
                </c:pt>
                <c:pt idx="543">
                  <c:v>424.2</c:v>
                </c:pt>
                <c:pt idx="544">
                  <c:v>424.2</c:v>
                </c:pt>
                <c:pt idx="545">
                  <c:v>424.2</c:v>
                </c:pt>
                <c:pt idx="546">
                  <c:v>424.2</c:v>
                </c:pt>
                <c:pt idx="547">
                  <c:v>424.2</c:v>
                </c:pt>
                <c:pt idx="548">
                  <c:v>424.2</c:v>
                </c:pt>
                <c:pt idx="549">
                  <c:v>424.2</c:v>
                </c:pt>
                <c:pt idx="550">
                  <c:v>424.2</c:v>
                </c:pt>
                <c:pt idx="551">
                  <c:v>424.2</c:v>
                </c:pt>
                <c:pt idx="552">
                  <c:v>424.2</c:v>
                </c:pt>
                <c:pt idx="553">
                  <c:v>424.2</c:v>
                </c:pt>
                <c:pt idx="554">
                  <c:v>424.2</c:v>
                </c:pt>
                <c:pt idx="555">
                  <c:v>424.2</c:v>
                </c:pt>
                <c:pt idx="556">
                  <c:v>424.2</c:v>
                </c:pt>
                <c:pt idx="557">
                  <c:v>424.2</c:v>
                </c:pt>
                <c:pt idx="558">
                  <c:v>424.2</c:v>
                </c:pt>
                <c:pt idx="559">
                  <c:v>424.2</c:v>
                </c:pt>
                <c:pt idx="560">
                  <c:v>424.2</c:v>
                </c:pt>
                <c:pt idx="561">
                  <c:v>424.2</c:v>
                </c:pt>
                <c:pt idx="562">
                  <c:v>424.2</c:v>
                </c:pt>
                <c:pt idx="563">
                  <c:v>424.2</c:v>
                </c:pt>
                <c:pt idx="564">
                  <c:v>424.2</c:v>
                </c:pt>
                <c:pt idx="565">
                  <c:v>424.2</c:v>
                </c:pt>
                <c:pt idx="566">
                  <c:v>424.2</c:v>
                </c:pt>
                <c:pt idx="567">
                  <c:v>424.2</c:v>
                </c:pt>
                <c:pt idx="568">
                  <c:v>424.2</c:v>
                </c:pt>
                <c:pt idx="569">
                  <c:v>424.2</c:v>
                </c:pt>
                <c:pt idx="570">
                  <c:v>424.2</c:v>
                </c:pt>
                <c:pt idx="571">
                  <c:v>424.2</c:v>
                </c:pt>
                <c:pt idx="572">
                  <c:v>424.2</c:v>
                </c:pt>
                <c:pt idx="573">
                  <c:v>424.2</c:v>
                </c:pt>
                <c:pt idx="574">
                  <c:v>424.2</c:v>
                </c:pt>
                <c:pt idx="575">
                  <c:v>424.2</c:v>
                </c:pt>
                <c:pt idx="576">
                  <c:v>424.2</c:v>
                </c:pt>
                <c:pt idx="577">
                  <c:v>424.2</c:v>
                </c:pt>
                <c:pt idx="578">
                  <c:v>424.2</c:v>
                </c:pt>
                <c:pt idx="579">
                  <c:v>424.2</c:v>
                </c:pt>
                <c:pt idx="580">
                  <c:v>424.2</c:v>
                </c:pt>
                <c:pt idx="581">
                  <c:v>424.2</c:v>
                </c:pt>
                <c:pt idx="582">
                  <c:v>424.2</c:v>
                </c:pt>
                <c:pt idx="583">
                  <c:v>424.2</c:v>
                </c:pt>
                <c:pt idx="584">
                  <c:v>424.2</c:v>
                </c:pt>
                <c:pt idx="585">
                  <c:v>424.2</c:v>
                </c:pt>
                <c:pt idx="586">
                  <c:v>424.4</c:v>
                </c:pt>
                <c:pt idx="587">
                  <c:v>424.4</c:v>
                </c:pt>
                <c:pt idx="588">
                  <c:v>424.4</c:v>
                </c:pt>
                <c:pt idx="589">
                  <c:v>425.1</c:v>
                </c:pt>
                <c:pt idx="590">
                  <c:v>426.5</c:v>
                </c:pt>
                <c:pt idx="591">
                  <c:v>427.5</c:v>
                </c:pt>
                <c:pt idx="592">
                  <c:v>428.5</c:v>
                </c:pt>
                <c:pt idx="593">
                  <c:v>428.8</c:v>
                </c:pt>
                <c:pt idx="594">
                  <c:v>428.8</c:v>
                </c:pt>
                <c:pt idx="595">
                  <c:v>428.8</c:v>
                </c:pt>
                <c:pt idx="596">
                  <c:v>428.8</c:v>
                </c:pt>
                <c:pt idx="597">
                  <c:v>428.8</c:v>
                </c:pt>
                <c:pt idx="598">
                  <c:v>428.8</c:v>
                </c:pt>
                <c:pt idx="599">
                  <c:v>428.8</c:v>
                </c:pt>
                <c:pt idx="600">
                  <c:v>428.8</c:v>
                </c:pt>
                <c:pt idx="601">
                  <c:v>428.8</c:v>
                </c:pt>
                <c:pt idx="602">
                  <c:v>428.8</c:v>
                </c:pt>
                <c:pt idx="603">
                  <c:v>428.8</c:v>
                </c:pt>
                <c:pt idx="604">
                  <c:v>428.8</c:v>
                </c:pt>
                <c:pt idx="605">
                  <c:v>428.8</c:v>
                </c:pt>
                <c:pt idx="606">
                  <c:v>428.8</c:v>
                </c:pt>
                <c:pt idx="607">
                  <c:v>428.8</c:v>
                </c:pt>
                <c:pt idx="608">
                  <c:v>428.8</c:v>
                </c:pt>
                <c:pt idx="609">
                  <c:v>428.8</c:v>
                </c:pt>
                <c:pt idx="610">
                  <c:v>428.8</c:v>
                </c:pt>
                <c:pt idx="611">
                  <c:v>428.8</c:v>
                </c:pt>
                <c:pt idx="612">
                  <c:v>428.8</c:v>
                </c:pt>
                <c:pt idx="613">
                  <c:v>428.8</c:v>
                </c:pt>
                <c:pt idx="614">
                  <c:v>428.8</c:v>
                </c:pt>
                <c:pt idx="615">
                  <c:v>428.8</c:v>
                </c:pt>
                <c:pt idx="616">
                  <c:v>428.8</c:v>
                </c:pt>
                <c:pt idx="617">
                  <c:v>428.9</c:v>
                </c:pt>
                <c:pt idx="618">
                  <c:v>429</c:v>
                </c:pt>
                <c:pt idx="619">
                  <c:v>429</c:v>
                </c:pt>
                <c:pt idx="620">
                  <c:v>429</c:v>
                </c:pt>
                <c:pt idx="621">
                  <c:v>429</c:v>
                </c:pt>
                <c:pt idx="622">
                  <c:v>429.1</c:v>
                </c:pt>
                <c:pt idx="623">
                  <c:v>429.1</c:v>
                </c:pt>
                <c:pt idx="624">
                  <c:v>429.1</c:v>
                </c:pt>
                <c:pt idx="625">
                  <c:v>429.2</c:v>
                </c:pt>
                <c:pt idx="626">
                  <c:v>431.1</c:v>
                </c:pt>
                <c:pt idx="627">
                  <c:v>433.6</c:v>
                </c:pt>
                <c:pt idx="628">
                  <c:v>435.9</c:v>
                </c:pt>
                <c:pt idx="629">
                  <c:v>440.1</c:v>
                </c:pt>
                <c:pt idx="630">
                  <c:v>440.4</c:v>
                </c:pt>
                <c:pt idx="631">
                  <c:v>440.4</c:v>
                </c:pt>
                <c:pt idx="632">
                  <c:v>440.4</c:v>
                </c:pt>
                <c:pt idx="633">
                  <c:v>440.4</c:v>
                </c:pt>
                <c:pt idx="634">
                  <c:v>440.4</c:v>
                </c:pt>
                <c:pt idx="635">
                  <c:v>440.4</c:v>
                </c:pt>
                <c:pt idx="636">
                  <c:v>440.8</c:v>
                </c:pt>
                <c:pt idx="637">
                  <c:v>440.9</c:v>
                </c:pt>
                <c:pt idx="638">
                  <c:v>441</c:v>
                </c:pt>
                <c:pt idx="639">
                  <c:v>441.4</c:v>
                </c:pt>
                <c:pt idx="640">
                  <c:v>442.6</c:v>
                </c:pt>
                <c:pt idx="641">
                  <c:v>442.8</c:v>
                </c:pt>
                <c:pt idx="642">
                  <c:v>442.8</c:v>
                </c:pt>
                <c:pt idx="643">
                  <c:v>442.8</c:v>
                </c:pt>
                <c:pt idx="644">
                  <c:v>443.2</c:v>
                </c:pt>
                <c:pt idx="645">
                  <c:v>443.5</c:v>
                </c:pt>
                <c:pt idx="646">
                  <c:v>443.5</c:v>
                </c:pt>
                <c:pt idx="647">
                  <c:v>443.6</c:v>
                </c:pt>
                <c:pt idx="648">
                  <c:v>444</c:v>
                </c:pt>
                <c:pt idx="649">
                  <c:v>445.7</c:v>
                </c:pt>
                <c:pt idx="650">
                  <c:v>446.7</c:v>
                </c:pt>
                <c:pt idx="651">
                  <c:v>447</c:v>
                </c:pt>
                <c:pt idx="652">
                  <c:v>447.1</c:v>
                </c:pt>
                <c:pt idx="653">
                  <c:v>447.1</c:v>
                </c:pt>
                <c:pt idx="654">
                  <c:v>447.1</c:v>
                </c:pt>
                <c:pt idx="655">
                  <c:v>447.1</c:v>
                </c:pt>
                <c:pt idx="656">
                  <c:v>447.1</c:v>
                </c:pt>
                <c:pt idx="657">
                  <c:v>447.1</c:v>
                </c:pt>
                <c:pt idx="658">
                  <c:v>447.1</c:v>
                </c:pt>
                <c:pt idx="659">
                  <c:v>447.2</c:v>
                </c:pt>
                <c:pt idx="660">
                  <c:v>447.3</c:v>
                </c:pt>
                <c:pt idx="661">
                  <c:v>447.5</c:v>
                </c:pt>
                <c:pt idx="662">
                  <c:v>447.6</c:v>
                </c:pt>
                <c:pt idx="663">
                  <c:v>447.6</c:v>
                </c:pt>
                <c:pt idx="664">
                  <c:v>447.7</c:v>
                </c:pt>
                <c:pt idx="665">
                  <c:v>447.7</c:v>
                </c:pt>
                <c:pt idx="666">
                  <c:v>447.7</c:v>
                </c:pt>
                <c:pt idx="667">
                  <c:v>447.7</c:v>
                </c:pt>
                <c:pt idx="668">
                  <c:v>447.7</c:v>
                </c:pt>
                <c:pt idx="669">
                  <c:v>447.7</c:v>
                </c:pt>
                <c:pt idx="670">
                  <c:v>447.7</c:v>
                </c:pt>
                <c:pt idx="671">
                  <c:v>447.7</c:v>
                </c:pt>
                <c:pt idx="672">
                  <c:v>447.7</c:v>
                </c:pt>
                <c:pt idx="673">
                  <c:v>447.7</c:v>
                </c:pt>
                <c:pt idx="674">
                  <c:v>447.7</c:v>
                </c:pt>
                <c:pt idx="675">
                  <c:v>447.7</c:v>
                </c:pt>
                <c:pt idx="676">
                  <c:v>447.7</c:v>
                </c:pt>
                <c:pt idx="677">
                  <c:v>447.8</c:v>
                </c:pt>
                <c:pt idx="678">
                  <c:v>447.8</c:v>
                </c:pt>
                <c:pt idx="679">
                  <c:v>447.8</c:v>
                </c:pt>
                <c:pt idx="680">
                  <c:v>447.8</c:v>
                </c:pt>
                <c:pt idx="681">
                  <c:v>447.8</c:v>
                </c:pt>
                <c:pt idx="682">
                  <c:v>447.8</c:v>
                </c:pt>
                <c:pt idx="683">
                  <c:v>447.8</c:v>
                </c:pt>
                <c:pt idx="684">
                  <c:v>447.8</c:v>
                </c:pt>
                <c:pt idx="685">
                  <c:v>448</c:v>
                </c:pt>
                <c:pt idx="686">
                  <c:v>448.1</c:v>
                </c:pt>
                <c:pt idx="687">
                  <c:v>448.3</c:v>
                </c:pt>
                <c:pt idx="688">
                  <c:v>448.4</c:v>
                </c:pt>
                <c:pt idx="689">
                  <c:v>448.5</c:v>
                </c:pt>
                <c:pt idx="690">
                  <c:v>448.9</c:v>
                </c:pt>
                <c:pt idx="691">
                  <c:v>449.8</c:v>
                </c:pt>
                <c:pt idx="692">
                  <c:v>450.4</c:v>
                </c:pt>
                <c:pt idx="693">
                  <c:v>451</c:v>
                </c:pt>
                <c:pt idx="694">
                  <c:v>451.9</c:v>
                </c:pt>
                <c:pt idx="695">
                  <c:v>452.3</c:v>
                </c:pt>
                <c:pt idx="696">
                  <c:v>452.4</c:v>
                </c:pt>
                <c:pt idx="697">
                  <c:v>452.5</c:v>
                </c:pt>
                <c:pt idx="698">
                  <c:v>452.8</c:v>
                </c:pt>
                <c:pt idx="699">
                  <c:v>453.1</c:v>
                </c:pt>
                <c:pt idx="700">
                  <c:v>453.4</c:v>
                </c:pt>
                <c:pt idx="701">
                  <c:v>453.5</c:v>
                </c:pt>
                <c:pt idx="702">
                  <c:v>453.5</c:v>
                </c:pt>
                <c:pt idx="703">
                  <c:v>453.5</c:v>
                </c:pt>
                <c:pt idx="704">
                  <c:v>453.5</c:v>
                </c:pt>
                <c:pt idx="705">
                  <c:v>453.5</c:v>
                </c:pt>
                <c:pt idx="706">
                  <c:v>454.1</c:v>
                </c:pt>
                <c:pt idx="707">
                  <c:v>454.1</c:v>
                </c:pt>
                <c:pt idx="708">
                  <c:v>454.1</c:v>
                </c:pt>
                <c:pt idx="709">
                  <c:v>454.1</c:v>
                </c:pt>
                <c:pt idx="710">
                  <c:v>454.1</c:v>
                </c:pt>
                <c:pt idx="711">
                  <c:v>454.1</c:v>
                </c:pt>
                <c:pt idx="712">
                  <c:v>454.1</c:v>
                </c:pt>
                <c:pt idx="713">
                  <c:v>454.2</c:v>
                </c:pt>
                <c:pt idx="714">
                  <c:v>454.2</c:v>
                </c:pt>
                <c:pt idx="715">
                  <c:v>454.2</c:v>
                </c:pt>
                <c:pt idx="716">
                  <c:v>454.2</c:v>
                </c:pt>
                <c:pt idx="717">
                  <c:v>454.2</c:v>
                </c:pt>
                <c:pt idx="718">
                  <c:v>454.3</c:v>
                </c:pt>
                <c:pt idx="719">
                  <c:v>455.3</c:v>
                </c:pt>
                <c:pt idx="720">
                  <c:v>456.3</c:v>
                </c:pt>
                <c:pt idx="721">
                  <c:v>456.8</c:v>
                </c:pt>
                <c:pt idx="722">
                  <c:v>457</c:v>
                </c:pt>
                <c:pt idx="723">
                  <c:v>457.2</c:v>
                </c:pt>
                <c:pt idx="724">
                  <c:v>457.3</c:v>
                </c:pt>
                <c:pt idx="725">
                  <c:v>457.3</c:v>
                </c:pt>
                <c:pt idx="726">
                  <c:v>457.3</c:v>
                </c:pt>
                <c:pt idx="727">
                  <c:v>457.3</c:v>
                </c:pt>
                <c:pt idx="728">
                  <c:v>457.3</c:v>
                </c:pt>
                <c:pt idx="729">
                  <c:v>457.3</c:v>
                </c:pt>
                <c:pt idx="730">
                  <c:v>457.3</c:v>
                </c:pt>
                <c:pt idx="731">
                  <c:v>457.3</c:v>
                </c:pt>
                <c:pt idx="732">
                  <c:v>457.3</c:v>
                </c:pt>
                <c:pt idx="733">
                  <c:v>457.3</c:v>
                </c:pt>
                <c:pt idx="734">
                  <c:v>457.3</c:v>
                </c:pt>
                <c:pt idx="735">
                  <c:v>457.3</c:v>
                </c:pt>
                <c:pt idx="736">
                  <c:v>457.3</c:v>
                </c:pt>
                <c:pt idx="737">
                  <c:v>457.3</c:v>
                </c:pt>
                <c:pt idx="738">
                  <c:v>457.3</c:v>
                </c:pt>
                <c:pt idx="739">
                  <c:v>457.3</c:v>
                </c:pt>
                <c:pt idx="740">
                  <c:v>457.3</c:v>
                </c:pt>
                <c:pt idx="741">
                  <c:v>457.3</c:v>
                </c:pt>
                <c:pt idx="742">
                  <c:v>457.3</c:v>
                </c:pt>
                <c:pt idx="743">
                  <c:v>457.3</c:v>
                </c:pt>
                <c:pt idx="744">
                  <c:v>457.3</c:v>
                </c:pt>
                <c:pt idx="745">
                  <c:v>457.3</c:v>
                </c:pt>
                <c:pt idx="746">
                  <c:v>457.3</c:v>
                </c:pt>
                <c:pt idx="747">
                  <c:v>457.3</c:v>
                </c:pt>
                <c:pt idx="748">
                  <c:v>457.3</c:v>
                </c:pt>
                <c:pt idx="749">
                  <c:v>457.3</c:v>
                </c:pt>
                <c:pt idx="750">
                  <c:v>457.3</c:v>
                </c:pt>
                <c:pt idx="751">
                  <c:v>457.3</c:v>
                </c:pt>
                <c:pt idx="752">
                  <c:v>457.3</c:v>
                </c:pt>
                <c:pt idx="753">
                  <c:v>457.3</c:v>
                </c:pt>
                <c:pt idx="754">
                  <c:v>457.3</c:v>
                </c:pt>
                <c:pt idx="755">
                  <c:v>457.3</c:v>
                </c:pt>
                <c:pt idx="756">
                  <c:v>457.3</c:v>
                </c:pt>
                <c:pt idx="757">
                  <c:v>457.3</c:v>
                </c:pt>
                <c:pt idx="758">
                  <c:v>457.3</c:v>
                </c:pt>
                <c:pt idx="759">
                  <c:v>457.3</c:v>
                </c:pt>
                <c:pt idx="760">
                  <c:v>457.3</c:v>
                </c:pt>
                <c:pt idx="761">
                  <c:v>457.3</c:v>
                </c:pt>
                <c:pt idx="762">
                  <c:v>457.3</c:v>
                </c:pt>
                <c:pt idx="763">
                  <c:v>457.3</c:v>
                </c:pt>
                <c:pt idx="764">
                  <c:v>457.3</c:v>
                </c:pt>
                <c:pt idx="765">
                  <c:v>457.3</c:v>
                </c:pt>
                <c:pt idx="766">
                  <c:v>457.3</c:v>
                </c:pt>
                <c:pt idx="767">
                  <c:v>457.3</c:v>
                </c:pt>
                <c:pt idx="768">
                  <c:v>457.3</c:v>
                </c:pt>
                <c:pt idx="769">
                  <c:v>457.3</c:v>
                </c:pt>
                <c:pt idx="770">
                  <c:v>457.3</c:v>
                </c:pt>
                <c:pt idx="771">
                  <c:v>457.3</c:v>
                </c:pt>
                <c:pt idx="772">
                  <c:v>457.3</c:v>
                </c:pt>
                <c:pt idx="773">
                  <c:v>457.3</c:v>
                </c:pt>
                <c:pt idx="774">
                  <c:v>457.3</c:v>
                </c:pt>
                <c:pt idx="775">
                  <c:v>457.3</c:v>
                </c:pt>
                <c:pt idx="776">
                  <c:v>457.3</c:v>
                </c:pt>
                <c:pt idx="777">
                  <c:v>457.3</c:v>
                </c:pt>
                <c:pt idx="778">
                  <c:v>457.3</c:v>
                </c:pt>
                <c:pt idx="779">
                  <c:v>457.3</c:v>
                </c:pt>
                <c:pt idx="780">
                  <c:v>457.3</c:v>
                </c:pt>
                <c:pt idx="781">
                  <c:v>457.3</c:v>
                </c:pt>
                <c:pt idx="782">
                  <c:v>457.3</c:v>
                </c:pt>
                <c:pt idx="783">
                  <c:v>457.3</c:v>
                </c:pt>
                <c:pt idx="784">
                  <c:v>457.3</c:v>
                </c:pt>
                <c:pt idx="785">
                  <c:v>457.3</c:v>
                </c:pt>
                <c:pt idx="786">
                  <c:v>457.3</c:v>
                </c:pt>
                <c:pt idx="787">
                  <c:v>457.3</c:v>
                </c:pt>
                <c:pt idx="788">
                  <c:v>457.3</c:v>
                </c:pt>
                <c:pt idx="789">
                  <c:v>457.3</c:v>
                </c:pt>
                <c:pt idx="790">
                  <c:v>457.3</c:v>
                </c:pt>
                <c:pt idx="791">
                  <c:v>457.3</c:v>
                </c:pt>
                <c:pt idx="792">
                  <c:v>457.3</c:v>
                </c:pt>
                <c:pt idx="793">
                  <c:v>457.3</c:v>
                </c:pt>
                <c:pt idx="794">
                  <c:v>457.3</c:v>
                </c:pt>
                <c:pt idx="795">
                  <c:v>457.3</c:v>
                </c:pt>
                <c:pt idx="796">
                  <c:v>457.3</c:v>
                </c:pt>
                <c:pt idx="797">
                  <c:v>457.3</c:v>
                </c:pt>
                <c:pt idx="798">
                  <c:v>457.3</c:v>
                </c:pt>
                <c:pt idx="799">
                  <c:v>457.3</c:v>
                </c:pt>
                <c:pt idx="800">
                  <c:v>457.3</c:v>
                </c:pt>
                <c:pt idx="801">
                  <c:v>457.3</c:v>
                </c:pt>
                <c:pt idx="802">
                  <c:v>459.1</c:v>
                </c:pt>
                <c:pt idx="803">
                  <c:v>459.1</c:v>
                </c:pt>
                <c:pt idx="804">
                  <c:v>459.1</c:v>
                </c:pt>
                <c:pt idx="805">
                  <c:v>459.1</c:v>
                </c:pt>
                <c:pt idx="806">
                  <c:v>459.1</c:v>
                </c:pt>
                <c:pt idx="807">
                  <c:v>459.1</c:v>
                </c:pt>
                <c:pt idx="808">
                  <c:v>459.1</c:v>
                </c:pt>
                <c:pt idx="809">
                  <c:v>459.1</c:v>
                </c:pt>
                <c:pt idx="810">
                  <c:v>459.1</c:v>
                </c:pt>
                <c:pt idx="811">
                  <c:v>459.1</c:v>
                </c:pt>
                <c:pt idx="812">
                  <c:v>459.1</c:v>
                </c:pt>
                <c:pt idx="813">
                  <c:v>459.1</c:v>
                </c:pt>
                <c:pt idx="814">
                  <c:v>459.1</c:v>
                </c:pt>
                <c:pt idx="815">
                  <c:v>459.1</c:v>
                </c:pt>
                <c:pt idx="816">
                  <c:v>459.1</c:v>
                </c:pt>
                <c:pt idx="817">
                  <c:v>459.2</c:v>
                </c:pt>
                <c:pt idx="818">
                  <c:v>459.2</c:v>
                </c:pt>
                <c:pt idx="819">
                  <c:v>459.2</c:v>
                </c:pt>
                <c:pt idx="820">
                  <c:v>459.2</c:v>
                </c:pt>
                <c:pt idx="821">
                  <c:v>459.2</c:v>
                </c:pt>
                <c:pt idx="822">
                  <c:v>459.2</c:v>
                </c:pt>
                <c:pt idx="823">
                  <c:v>459.2</c:v>
                </c:pt>
                <c:pt idx="824">
                  <c:v>459.2</c:v>
                </c:pt>
                <c:pt idx="825">
                  <c:v>459.2</c:v>
                </c:pt>
                <c:pt idx="826">
                  <c:v>459.2</c:v>
                </c:pt>
                <c:pt idx="827">
                  <c:v>459.2</c:v>
                </c:pt>
                <c:pt idx="828">
                  <c:v>459.2</c:v>
                </c:pt>
                <c:pt idx="829">
                  <c:v>459.2</c:v>
                </c:pt>
                <c:pt idx="830">
                  <c:v>459.2</c:v>
                </c:pt>
                <c:pt idx="831">
                  <c:v>459.2</c:v>
                </c:pt>
                <c:pt idx="832">
                  <c:v>459.2</c:v>
                </c:pt>
                <c:pt idx="833">
                  <c:v>459.2</c:v>
                </c:pt>
                <c:pt idx="834">
                  <c:v>459.2</c:v>
                </c:pt>
                <c:pt idx="835">
                  <c:v>459.2</c:v>
                </c:pt>
                <c:pt idx="836">
                  <c:v>459.2</c:v>
                </c:pt>
                <c:pt idx="837">
                  <c:v>459.2</c:v>
                </c:pt>
                <c:pt idx="838">
                  <c:v>459.2</c:v>
                </c:pt>
                <c:pt idx="839">
                  <c:v>459.2</c:v>
                </c:pt>
                <c:pt idx="840">
                  <c:v>459.2</c:v>
                </c:pt>
                <c:pt idx="841">
                  <c:v>459.2</c:v>
                </c:pt>
                <c:pt idx="842">
                  <c:v>459.2</c:v>
                </c:pt>
                <c:pt idx="843">
                  <c:v>459.2</c:v>
                </c:pt>
                <c:pt idx="844">
                  <c:v>459.2</c:v>
                </c:pt>
                <c:pt idx="845">
                  <c:v>459.2</c:v>
                </c:pt>
                <c:pt idx="846">
                  <c:v>459.2</c:v>
                </c:pt>
                <c:pt idx="847">
                  <c:v>459.2</c:v>
                </c:pt>
                <c:pt idx="848">
                  <c:v>459.2</c:v>
                </c:pt>
                <c:pt idx="849">
                  <c:v>459.2</c:v>
                </c:pt>
                <c:pt idx="850">
                  <c:v>459.2</c:v>
                </c:pt>
                <c:pt idx="851">
                  <c:v>459.2</c:v>
                </c:pt>
                <c:pt idx="852">
                  <c:v>459.2</c:v>
                </c:pt>
                <c:pt idx="853">
                  <c:v>459.2</c:v>
                </c:pt>
                <c:pt idx="854">
                  <c:v>459.2</c:v>
                </c:pt>
                <c:pt idx="855">
                  <c:v>459.2</c:v>
                </c:pt>
                <c:pt idx="856">
                  <c:v>459.2</c:v>
                </c:pt>
                <c:pt idx="857">
                  <c:v>459.2</c:v>
                </c:pt>
                <c:pt idx="858">
                  <c:v>459.2</c:v>
                </c:pt>
                <c:pt idx="859">
                  <c:v>459.2</c:v>
                </c:pt>
                <c:pt idx="860">
                  <c:v>459.2</c:v>
                </c:pt>
                <c:pt idx="861">
                  <c:v>459.2</c:v>
                </c:pt>
                <c:pt idx="862">
                  <c:v>459.2</c:v>
                </c:pt>
                <c:pt idx="863">
                  <c:v>459.2</c:v>
                </c:pt>
                <c:pt idx="864">
                  <c:v>459.2</c:v>
                </c:pt>
                <c:pt idx="865">
                  <c:v>459.2</c:v>
                </c:pt>
                <c:pt idx="866">
                  <c:v>459.2</c:v>
                </c:pt>
                <c:pt idx="867">
                  <c:v>459.2</c:v>
                </c:pt>
                <c:pt idx="868">
                  <c:v>459.2</c:v>
                </c:pt>
                <c:pt idx="869">
                  <c:v>459.2</c:v>
                </c:pt>
                <c:pt idx="870">
                  <c:v>459.2</c:v>
                </c:pt>
                <c:pt idx="871">
                  <c:v>459.2</c:v>
                </c:pt>
                <c:pt idx="872">
                  <c:v>459.2</c:v>
                </c:pt>
                <c:pt idx="873">
                  <c:v>459.2</c:v>
                </c:pt>
                <c:pt idx="874">
                  <c:v>459.2</c:v>
                </c:pt>
                <c:pt idx="875">
                  <c:v>459.9</c:v>
                </c:pt>
                <c:pt idx="876">
                  <c:v>459.9</c:v>
                </c:pt>
                <c:pt idx="877">
                  <c:v>459.9</c:v>
                </c:pt>
                <c:pt idx="878">
                  <c:v>459.9</c:v>
                </c:pt>
                <c:pt idx="879">
                  <c:v>459.9</c:v>
                </c:pt>
                <c:pt idx="880">
                  <c:v>460</c:v>
                </c:pt>
                <c:pt idx="881">
                  <c:v>460</c:v>
                </c:pt>
                <c:pt idx="882">
                  <c:v>460</c:v>
                </c:pt>
                <c:pt idx="883">
                  <c:v>460.1</c:v>
                </c:pt>
                <c:pt idx="884">
                  <c:v>460.1</c:v>
                </c:pt>
                <c:pt idx="885">
                  <c:v>460.1</c:v>
                </c:pt>
                <c:pt idx="886">
                  <c:v>460.1</c:v>
                </c:pt>
                <c:pt idx="887">
                  <c:v>460.1</c:v>
                </c:pt>
                <c:pt idx="888">
                  <c:v>460.1</c:v>
                </c:pt>
                <c:pt idx="889">
                  <c:v>460.1</c:v>
                </c:pt>
                <c:pt idx="890">
                  <c:v>460.1</c:v>
                </c:pt>
                <c:pt idx="891">
                  <c:v>460.1</c:v>
                </c:pt>
                <c:pt idx="892">
                  <c:v>460.3</c:v>
                </c:pt>
                <c:pt idx="893">
                  <c:v>460.5</c:v>
                </c:pt>
                <c:pt idx="894">
                  <c:v>460.5</c:v>
                </c:pt>
                <c:pt idx="895">
                  <c:v>460.5</c:v>
                </c:pt>
                <c:pt idx="896">
                  <c:v>460.5</c:v>
                </c:pt>
                <c:pt idx="897">
                  <c:v>460.5</c:v>
                </c:pt>
                <c:pt idx="898">
                  <c:v>460.5</c:v>
                </c:pt>
                <c:pt idx="899">
                  <c:v>460.5</c:v>
                </c:pt>
                <c:pt idx="900">
                  <c:v>460.5</c:v>
                </c:pt>
                <c:pt idx="901">
                  <c:v>460.5</c:v>
                </c:pt>
                <c:pt idx="902">
                  <c:v>460.5</c:v>
                </c:pt>
                <c:pt idx="903">
                  <c:v>460.5</c:v>
                </c:pt>
                <c:pt idx="904">
                  <c:v>460.6</c:v>
                </c:pt>
                <c:pt idx="905">
                  <c:v>460.6</c:v>
                </c:pt>
                <c:pt idx="906">
                  <c:v>460.6</c:v>
                </c:pt>
                <c:pt idx="907">
                  <c:v>460.6</c:v>
                </c:pt>
                <c:pt idx="908">
                  <c:v>460.6</c:v>
                </c:pt>
                <c:pt idx="909">
                  <c:v>460.6</c:v>
                </c:pt>
                <c:pt idx="910">
                  <c:v>460.6</c:v>
                </c:pt>
                <c:pt idx="911">
                  <c:v>460.6</c:v>
                </c:pt>
                <c:pt idx="912">
                  <c:v>460.6</c:v>
                </c:pt>
                <c:pt idx="913">
                  <c:v>460.6</c:v>
                </c:pt>
                <c:pt idx="914">
                  <c:v>460.6</c:v>
                </c:pt>
                <c:pt idx="915">
                  <c:v>460.6</c:v>
                </c:pt>
                <c:pt idx="916">
                  <c:v>460.6</c:v>
                </c:pt>
                <c:pt idx="917">
                  <c:v>460.6</c:v>
                </c:pt>
                <c:pt idx="918">
                  <c:v>460.6</c:v>
                </c:pt>
                <c:pt idx="919">
                  <c:v>460.6</c:v>
                </c:pt>
                <c:pt idx="920">
                  <c:v>460.7</c:v>
                </c:pt>
                <c:pt idx="921">
                  <c:v>460.7</c:v>
                </c:pt>
                <c:pt idx="922">
                  <c:v>460.7</c:v>
                </c:pt>
                <c:pt idx="923">
                  <c:v>460.7</c:v>
                </c:pt>
                <c:pt idx="924">
                  <c:v>460.8</c:v>
                </c:pt>
                <c:pt idx="925">
                  <c:v>460.8</c:v>
                </c:pt>
                <c:pt idx="926">
                  <c:v>460.9</c:v>
                </c:pt>
                <c:pt idx="927">
                  <c:v>460.9</c:v>
                </c:pt>
                <c:pt idx="928">
                  <c:v>460.9</c:v>
                </c:pt>
                <c:pt idx="929">
                  <c:v>461.1</c:v>
                </c:pt>
                <c:pt idx="930">
                  <c:v>461.6</c:v>
                </c:pt>
                <c:pt idx="931">
                  <c:v>462</c:v>
                </c:pt>
                <c:pt idx="932">
                  <c:v>462.8</c:v>
                </c:pt>
                <c:pt idx="933">
                  <c:v>463.5</c:v>
                </c:pt>
                <c:pt idx="934">
                  <c:v>463.8</c:v>
                </c:pt>
                <c:pt idx="935">
                  <c:v>463.9</c:v>
                </c:pt>
                <c:pt idx="936">
                  <c:v>463.9</c:v>
                </c:pt>
                <c:pt idx="937">
                  <c:v>464.1</c:v>
                </c:pt>
                <c:pt idx="938">
                  <c:v>464.2</c:v>
                </c:pt>
                <c:pt idx="939">
                  <c:v>464.3</c:v>
                </c:pt>
                <c:pt idx="940">
                  <c:v>464.3</c:v>
                </c:pt>
                <c:pt idx="941">
                  <c:v>464.3</c:v>
                </c:pt>
                <c:pt idx="942">
                  <c:v>464.4</c:v>
                </c:pt>
                <c:pt idx="943">
                  <c:v>464.6</c:v>
                </c:pt>
                <c:pt idx="944">
                  <c:v>464.7</c:v>
                </c:pt>
                <c:pt idx="945">
                  <c:v>464.7</c:v>
                </c:pt>
                <c:pt idx="946">
                  <c:v>464.8</c:v>
                </c:pt>
                <c:pt idx="947">
                  <c:v>464.8</c:v>
                </c:pt>
                <c:pt idx="948">
                  <c:v>464.9</c:v>
                </c:pt>
                <c:pt idx="949">
                  <c:v>465.3</c:v>
                </c:pt>
                <c:pt idx="950">
                  <c:v>465.5</c:v>
                </c:pt>
                <c:pt idx="951">
                  <c:v>465.6</c:v>
                </c:pt>
                <c:pt idx="952">
                  <c:v>466</c:v>
                </c:pt>
                <c:pt idx="953">
                  <c:v>466.2</c:v>
                </c:pt>
                <c:pt idx="954">
                  <c:v>466.3</c:v>
                </c:pt>
                <c:pt idx="955">
                  <c:v>467.4</c:v>
                </c:pt>
                <c:pt idx="956">
                  <c:v>467.7</c:v>
                </c:pt>
                <c:pt idx="957">
                  <c:v>467.8</c:v>
                </c:pt>
                <c:pt idx="958">
                  <c:v>467.8</c:v>
                </c:pt>
                <c:pt idx="959">
                  <c:v>467.8</c:v>
                </c:pt>
                <c:pt idx="960">
                  <c:v>468.4</c:v>
                </c:pt>
                <c:pt idx="961">
                  <c:v>468.8</c:v>
                </c:pt>
                <c:pt idx="962">
                  <c:v>468.9</c:v>
                </c:pt>
                <c:pt idx="963">
                  <c:v>468.9</c:v>
                </c:pt>
                <c:pt idx="964">
                  <c:v>468.9</c:v>
                </c:pt>
                <c:pt idx="965">
                  <c:v>468.9</c:v>
                </c:pt>
                <c:pt idx="966">
                  <c:v>468.9</c:v>
                </c:pt>
                <c:pt idx="967">
                  <c:v>468.9</c:v>
                </c:pt>
                <c:pt idx="968">
                  <c:v>468.9</c:v>
                </c:pt>
                <c:pt idx="969">
                  <c:v>469</c:v>
                </c:pt>
                <c:pt idx="970">
                  <c:v>469</c:v>
                </c:pt>
                <c:pt idx="971">
                  <c:v>469</c:v>
                </c:pt>
                <c:pt idx="972">
                  <c:v>469.5</c:v>
                </c:pt>
                <c:pt idx="973">
                  <c:v>469.9</c:v>
                </c:pt>
                <c:pt idx="974">
                  <c:v>469.9</c:v>
                </c:pt>
                <c:pt idx="975">
                  <c:v>469.9</c:v>
                </c:pt>
                <c:pt idx="976">
                  <c:v>469.9</c:v>
                </c:pt>
                <c:pt idx="977">
                  <c:v>469.9</c:v>
                </c:pt>
                <c:pt idx="978">
                  <c:v>469.9</c:v>
                </c:pt>
                <c:pt idx="979">
                  <c:v>470</c:v>
                </c:pt>
                <c:pt idx="980">
                  <c:v>470</c:v>
                </c:pt>
                <c:pt idx="981">
                  <c:v>470</c:v>
                </c:pt>
                <c:pt idx="982">
                  <c:v>470</c:v>
                </c:pt>
                <c:pt idx="983">
                  <c:v>470</c:v>
                </c:pt>
                <c:pt idx="984">
                  <c:v>470.1</c:v>
                </c:pt>
                <c:pt idx="985">
                  <c:v>470.1</c:v>
                </c:pt>
                <c:pt idx="986">
                  <c:v>470.1</c:v>
                </c:pt>
                <c:pt idx="987">
                  <c:v>470.1</c:v>
                </c:pt>
                <c:pt idx="988">
                  <c:v>470.1</c:v>
                </c:pt>
                <c:pt idx="989">
                  <c:v>470.1</c:v>
                </c:pt>
                <c:pt idx="990">
                  <c:v>470.2</c:v>
                </c:pt>
                <c:pt idx="991">
                  <c:v>470.2</c:v>
                </c:pt>
                <c:pt idx="992">
                  <c:v>470.2</c:v>
                </c:pt>
                <c:pt idx="993">
                  <c:v>470.2</c:v>
                </c:pt>
                <c:pt idx="994">
                  <c:v>470.2</c:v>
                </c:pt>
                <c:pt idx="995">
                  <c:v>470.2</c:v>
                </c:pt>
                <c:pt idx="996">
                  <c:v>470.2</c:v>
                </c:pt>
                <c:pt idx="997">
                  <c:v>470.2</c:v>
                </c:pt>
                <c:pt idx="998">
                  <c:v>470.2</c:v>
                </c:pt>
                <c:pt idx="999">
                  <c:v>470.2</c:v>
                </c:pt>
                <c:pt idx="1000">
                  <c:v>470.2</c:v>
                </c:pt>
                <c:pt idx="1001">
                  <c:v>470.2</c:v>
                </c:pt>
                <c:pt idx="1002">
                  <c:v>470.2</c:v>
                </c:pt>
                <c:pt idx="1003">
                  <c:v>470.2</c:v>
                </c:pt>
                <c:pt idx="1004">
                  <c:v>470.2</c:v>
                </c:pt>
                <c:pt idx="1005">
                  <c:v>470.2</c:v>
                </c:pt>
                <c:pt idx="1006">
                  <c:v>470.2</c:v>
                </c:pt>
                <c:pt idx="1007">
                  <c:v>470.2</c:v>
                </c:pt>
                <c:pt idx="1008">
                  <c:v>470.2</c:v>
                </c:pt>
                <c:pt idx="1009">
                  <c:v>470.2</c:v>
                </c:pt>
                <c:pt idx="1010">
                  <c:v>470.2</c:v>
                </c:pt>
                <c:pt idx="1011">
                  <c:v>470.2</c:v>
                </c:pt>
                <c:pt idx="1012">
                  <c:v>470.2</c:v>
                </c:pt>
                <c:pt idx="1013">
                  <c:v>470.2</c:v>
                </c:pt>
                <c:pt idx="1014">
                  <c:v>470.2</c:v>
                </c:pt>
                <c:pt idx="1015">
                  <c:v>470.2</c:v>
                </c:pt>
                <c:pt idx="1016">
                  <c:v>470.2</c:v>
                </c:pt>
                <c:pt idx="1017">
                  <c:v>470.2</c:v>
                </c:pt>
                <c:pt idx="1018">
                  <c:v>470.2</c:v>
                </c:pt>
                <c:pt idx="1019">
                  <c:v>470.2</c:v>
                </c:pt>
                <c:pt idx="1020">
                  <c:v>470.2</c:v>
                </c:pt>
                <c:pt idx="1021">
                  <c:v>470.2</c:v>
                </c:pt>
                <c:pt idx="1022">
                  <c:v>470.2</c:v>
                </c:pt>
                <c:pt idx="1023">
                  <c:v>470.2</c:v>
                </c:pt>
                <c:pt idx="1024">
                  <c:v>470.2</c:v>
                </c:pt>
                <c:pt idx="1025">
                  <c:v>470.2</c:v>
                </c:pt>
                <c:pt idx="1026">
                  <c:v>470.2</c:v>
                </c:pt>
                <c:pt idx="1027">
                  <c:v>470.4</c:v>
                </c:pt>
                <c:pt idx="1028">
                  <c:v>471.1</c:v>
                </c:pt>
                <c:pt idx="1029">
                  <c:v>471.7</c:v>
                </c:pt>
                <c:pt idx="1030">
                  <c:v>472.1</c:v>
                </c:pt>
                <c:pt idx="1031">
                  <c:v>472.4</c:v>
                </c:pt>
                <c:pt idx="1032">
                  <c:v>472.6</c:v>
                </c:pt>
                <c:pt idx="1033">
                  <c:v>472.6</c:v>
                </c:pt>
                <c:pt idx="1034">
                  <c:v>472.6</c:v>
                </c:pt>
                <c:pt idx="1035">
                  <c:v>472.6</c:v>
                </c:pt>
                <c:pt idx="1036">
                  <c:v>472.6</c:v>
                </c:pt>
                <c:pt idx="1037">
                  <c:v>472.7</c:v>
                </c:pt>
                <c:pt idx="1038">
                  <c:v>472.7</c:v>
                </c:pt>
                <c:pt idx="1039">
                  <c:v>472.7</c:v>
                </c:pt>
                <c:pt idx="1040">
                  <c:v>472.7</c:v>
                </c:pt>
                <c:pt idx="1041">
                  <c:v>472.7</c:v>
                </c:pt>
                <c:pt idx="1042">
                  <c:v>472.7</c:v>
                </c:pt>
                <c:pt idx="1043">
                  <c:v>472.7</c:v>
                </c:pt>
                <c:pt idx="1044">
                  <c:v>472.7</c:v>
                </c:pt>
                <c:pt idx="1045">
                  <c:v>472.7</c:v>
                </c:pt>
                <c:pt idx="1046">
                  <c:v>472.7</c:v>
                </c:pt>
                <c:pt idx="1047">
                  <c:v>472.7</c:v>
                </c:pt>
                <c:pt idx="1048">
                  <c:v>472.7</c:v>
                </c:pt>
                <c:pt idx="1049">
                  <c:v>472.7</c:v>
                </c:pt>
                <c:pt idx="1050">
                  <c:v>472.7</c:v>
                </c:pt>
                <c:pt idx="1051">
                  <c:v>472.7</c:v>
                </c:pt>
                <c:pt idx="1052">
                  <c:v>472.7</c:v>
                </c:pt>
                <c:pt idx="1053">
                  <c:v>472.7</c:v>
                </c:pt>
                <c:pt idx="1054">
                  <c:v>472.7</c:v>
                </c:pt>
                <c:pt idx="1055">
                  <c:v>472.7</c:v>
                </c:pt>
                <c:pt idx="1056">
                  <c:v>472.7</c:v>
                </c:pt>
                <c:pt idx="1057">
                  <c:v>472.7</c:v>
                </c:pt>
                <c:pt idx="1058">
                  <c:v>472.7</c:v>
                </c:pt>
                <c:pt idx="1059">
                  <c:v>472.7</c:v>
                </c:pt>
                <c:pt idx="1060">
                  <c:v>472.7</c:v>
                </c:pt>
                <c:pt idx="1061">
                  <c:v>472.7</c:v>
                </c:pt>
                <c:pt idx="1062">
                  <c:v>472.7</c:v>
                </c:pt>
                <c:pt idx="1063">
                  <c:v>472.7</c:v>
                </c:pt>
                <c:pt idx="1064">
                  <c:v>472.7</c:v>
                </c:pt>
                <c:pt idx="1065">
                  <c:v>472.7</c:v>
                </c:pt>
                <c:pt idx="1066">
                  <c:v>472.7</c:v>
                </c:pt>
                <c:pt idx="1067">
                  <c:v>472.7</c:v>
                </c:pt>
                <c:pt idx="1068">
                  <c:v>472.7</c:v>
                </c:pt>
                <c:pt idx="1069">
                  <c:v>472.7</c:v>
                </c:pt>
                <c:pt idx="1070">
                  <c:v>472.7</c:v>
                </c:pt>
                <c:pt idx="1071">
                  <c:v>472.7</c:v>
                </c:pt>
                <c:pt idx="1072">
                  <c:v>472.7</c:v>
                </c:pt>
                <c:pt idx="1073">
                  <c:v>472.7</c:v>
                </c:pt>
                <c:pt idx="1074">
                  <c:v>472.7</c:v>
                </c:pt>
                <c:pt idx="1075">
                  <c:v>472.7</c:v>
                </c:pt>
                <c:pt idx="1076">
                  <c:v>472.7</c:v>
                </c:pt>
                <c:pt idx="1077">
                  <c:v>472.7</c:v>
                </c:pt>
                <c:pt idx="1078">
                  <c:v>472.7</c:v>
                </c:pt>
                <c:pt idx="1079">
                  <c:v>472.7</c:v>
                </c:pt>
                <c:pt idx="1080">
                  <c:v>472.7</c:v>
                </c:pt>
                <c:pt idx="1081">
                  <c:v>472.7</c:v>
                </c:pt>
                <c:pt idx="1082">
                  <c:v>472.7</c:v>
                </c:pt>
                <c:pt idx="1083">
                  <c:v>472.7</c:v>
                </c:pt>
                <c:pt idx="1084">
                  <c:v>472.7</c:v>
                </c:pt>
                <c:pt idx="1085">
                  <c:v>472.7</c:v>
                </c:pt>
                <c:pt idx="1086">
                  <c:v>472.7</c:v>
                </c:pt>
                <c:pt idx="1087">
                  <c:v>472.7</c:v>
                </c:pt>
                <c:pt idx="1088">
                  <c:v>472.7</c:v>
                </c:pt>
                <c:pt idx="1089">
                  <c:v>472.7</c:v>
                </c:pt>
                <c:pt idx="1090">
                  <c:v>472.7</c:v>
                </c:pt>
                <c:pt idx="1091">
                  <c:v>472.7</c:v>
                </c:pt>
                <c:pt idx="1092">
                  <c:v>472.7</c:v>
                </c:pt>
                <c:pt idx="1093">
                  <c:v>472.7</c:v>
                </c:pt>
                <c:pt idx="1094">
                  <c:v>472.7</c:v>
                </c:pt>
                <c:pt idx="1095">
                  <c:v>472.7</c:v>
                </c:pt>
                <c:pt idx="1096">
                  <c:v>472.7</c:v>
                </c:pt>
                <c:pt idx="1097">
                  <c:v>472.7</c:v>
                </c:pt>
                <c:pt idx="1098">
                  <c:v>472.7</c:v>
                </c:pt>
                <c:pt idx="1099">
                  <c:v>472.7</c:v>
                </c:pt>
                <c:pt idx="1100">
                  <c:v>472.7</c:v>
                </c:pt>
                <c:pt idx="1101">
                  <c:v>472.7</c:v>
                </c:pt>
                <c:pt idx="1102">
                  <c:v>472.7</c:v>
                </c:pt>
                <c:pt idx="1103">
                  <c:v>472.7</c:v>
                </c:pt>
                <c:pt idx="1104">
                  <c:v>472.7</c:v>
                </c:pt>
                <c:pt idx="1105">
                  <c:v>472.7</c:v>
                </c:pt>
                <c:pt idx="1106">
                  <c:v>472.7</c:v>
                </c:pt>
                <c:pt idx="1107">
                  <c:v>472.7</c:v>
                </c:pt>
                <c:pt idx="1108">
                  <c:v>472.7</c:v>
                </c:pt>
                <c:pt idx="1109">
                  <c:v>472.7</c:v>
                </c:pt>
                <c:pt idx="1110">
                  <c:v>472.7</c:v>
                </c:pt>
                <c:pt idx="1111">
                  <c:v>472.7</c:v>
                </c:pt>
                <c:pt idx="1112">
                  <c:v>472.7</c:v>
                </c:pt>
                <c:pt idx="1113">
                  <c:v>472.7</c:v>
                </c:pt>
                <c:pt idx="1114">
                  <c:v>472.7</c:v>
                </c:pt>
                <c:pt idx="1115">
                  <c:v>472.7</c:v>
                </c:pt>
                <c:pt idx="1116">
                  <c:v>472.7</c:v>
                </c:pt>
                <c:pt idx="1117">
                  <c:v>472.8</c:v>
                </c:pt>
                <c:pt idx="1118">
                  <c:v>472.9</c:v>
                </c:pt>
                <c:pt idx="1119">
                  <c:v>473</c:v>
                </c:pt>
                <c:pt idx="1120">
                  <c:v>473.1</c:v>
                </c:pt>
                <c:pt idx="1121">
                  <c:v>473.1</c:v>
                </c:pt>
                <c:pt idx="1122">
                  <c:v>473.3</c:v>
                </c:pt>
                <c:pt idx="1123">
                  <c:v>473.4</c:v>
                </c:pt>
                <c:pt idx="1124">
                  <c:v>473.6</c:v>
                </c:pt>
                <c:pt idx="1125">
                  <c:v>473.7</c:v>
                </c:pt>
                <c:pt idx="1126">
                  <c:v>473.8</c:v>
                </c:pt>
                <c:pt idx="1127">
                  <c:v>473.9</c:v>
                </c:pt>
                <c:pt idx="1128">
                  <c:v>474</c:v>
                </c:pt>
                <c:pt idx="1129">
                  <c:v>474</c:v>
                </c:pt>
                <c:pt idx="1130">
                  <c:v>474.1</c:v>
                </c:pt>
                <c:pt idx="1131">
                  <c:v>474.1</c:v>
                </c:pt>
                <c:pt idx="1132">
                  <c:v>474.1</c:v>
                </c:pt>
                <c:pt idx="1133">
                  <c:v>474.1</c:v>
                </c:pt>
                <c:pt idx="1134">
                  <c:v>474.3</c:v>
                </c:pt>
                <c:pt idx="1135">
                  <c:v>474.5</c:v>
                </c:pt>
                <c:pt idx="1136">
                  <c:v>474.8</c:v>
                </c:pt>
                <c:pt idx="1137">
                  <c:v>475.2</c:v>
                </c:pt>
                <c:pt idx="1138">
                  <c:v>475.4</c:v>
                </c:pt>
                <c:pt idx="1139">
                  <c:v>475.6</c:v>
                </c:pt>
                <c:pt idx="1140">
                  <c:v>475.8</c:v>
                </c:pt>
                <c:pt idx="1141">
                  <c:v>476.1</c:v>
                </c:pt>
                <c:pt idx="1142">
                  <c:v>476.3</c:v>
                </c:pt>
                <c:pt idx="1143">
                  <c:v>476.4</c:v>
                </c:pt>
                <c:pt idx="1144">
                  <c:v>476.5</c:v>
                </c:pt>
                <c:pt idx="1145">
                  <c:v>476.6</c:v>
                </c:pt>
                <c:pt idx="1146">
                  <c:v>476.6</c:v>
                </c:pt>
                <c:pt idx="1147">
                  <c:v>476.7</c:v>
                </c:pt>
                <c:pt idx="1148">
                  <c:v>476.7</c:v>
                </c:pt>
                <c:pt idx="1149">
                  <c:v>476.7</c:v>
                </c:pt>
                <c:pt idx="1150">
                  <c:v>476.7</c:v>
                </c:pt>
                <c:pt idx="1151">
                  <c:v>476.7</c:v>
                </c:pt>
                <c:pt idx="1152">
                  <c:v>476.7</c:v>
                </c:pt>
                <c:pt idx="1153">
                  <c:v>476.7</c:v>
                </c:pt>
                <c:pt idx="1154">
                  <c:v>476.7</c:v>
                </c:pt>
                <c:pt idx="1155">
                  <c:v>476.8</c:v>
                </c:pt>
                <c:pt idx="1156">
                  <c:v>476.8</c:v>
                </c:pt>
                <c:pt idx="1157">
                  <c:v>476.9</c:v>
                </c:pt>
                <c:pt idx="1158">
                  <c:v>476.9</c:v>
                </c:pt>
                <c:pt idx="1159">
                  <c:v>476.9</c:v>
                </c:pt>
                <c:pt idx="1160">
                  <c:v>476.9</c:v>
                </c:pt>
                <c:pt idx="1161">
                  <c:v>476.9</c:v>
                </c:pt>
                <c:pt idx="1162">
                  <c:v>476.9</c:v>
                </c:pt>
                <c:pt idx="1163">
                  <c:v>476.9</c:v>
                </c:pt>
                <c:pt idx="1164">
                  <c:v>476.9</c:v>
                </c:pt>
                <c:pt idx="1165">
                  <c:v>476.9</c:v>
                </c:pt>
                <c:pt idx="1166">
                  <c:v>476.9</c:v>
                </c:pt>
                <c:pt idx="1167">
                  <c:v>476.9</c:v>
                </c:pt>
                <c:pt idx="1168">
                  <c:v>476.9</c:v>
                </c:pt>
                <c:pt idx="1169">
                  <c:v>476.9</c:v>
                </c:pt>
                <c:pt idx="1170">
                  <c:v>476.9</c:v>
                </c:pt>
                <c:pt idx="1171">
                  <c:v>476.9</c:v>
                </c:pt>
                <c:pt idx="1172">
                  <c:v>476.9</c:v>
                </c:pt>
                <c:pt idx="1173">
                  <c:v>476.9</c:v>
                </c:pt>
                <c:pt idx="1174">
                  <c:v>477</c:v>
                </c:pt>
                <c:pt idx="1175">
                  <c:v>477.2</c:v>
                </c:pt>
                <c:pt idx="1176">
                  <c:v>477.7</c:v>
                </c:pt>
                <c:pt idx="1177">
                  <c:v>478.3</c:v>
                </c:pt>
                <c:pt idx="1178">
                  <c:v>479</c:v>
                </c:pt>
                <c:pt idx="1179">
                  <c:v>479.9</c:v>
                </c:pt>
                <c:pt idx="1180">
                  <c:v>481.1</c:v>
                </c:pt>
                <c:pt idx="1181">
                  <c:v>482.3</c:v>
                </c:pt>
                <c:pt idx="1182">
                  <c:v>483.8</c:v>
                </c:pt>
                <c:pt idx="1183">
                  <c:v>485.4</c:v>
                </c:pt>
                <c:pt idx="1184">
                  <c:v>486.5</c:v>
                </c:pt>
                <c:pt idx="1185">
                  <c:v>486.8</c:v>
                </c:pt>
                <c:pt idx="1186">
                  <c:v>487.3</c:v>
                </c:pt>
                <c:pt idx="1187">
                  <c:v>487.7</c:v>
                </c:pt>
                <c:pt idx="1188">
                  <c:v>487.9</c:v>
                </c:pt>
                <c:pt idx="1189">
                  <c:v>488</c:v>
                </c:pt>
                <c:pt idx="1190">
                  <c:v>488</c:v>
                </c:pt>
                <c:pt idx="1191">
                  <c:v>488.1</c:v>
                </c:pt>
                <c:pt idx="1192">
                  <c:v>488.1</c:v>
                </c:pt>
                <c:pt idx="1193">
                  <c:v>488.1</c:v>
                </c:pt>
                <c:pt idx="1194">
                  <c:v>488.1</c:v>
                </c:pt>
                <c:pt idx="1195">
                  <c:v>488.2</c:v>
                </c:pt>
                <c:pt idx="1196">
                  <c:v>488.3</c:v>
                </c:pt>
                <c:pt idx="1197">
                  <c:v>488.4</c:v>
                </c:pt>
                <c:pt idx="1198">
                  <c:v>488.4</c:v>
                </c:pt>
                <c:pt idx="1199">
                  <c:v>488.4</c:v>
                </c:pt>
                <c:pt idx="1200">
                  <c:v>488.4</c:v>
                </c:pt>
                <c:pt idx="1201">
                  <c:v>488.5</c:v>
                </c:pt>
                <c:pt idx="1202">
                  <c:v>488.5</c:v>
                </c:pt>
                <c:pt idx="1203">
                  <c:v>488.6</c:v>
                </c:pt>
                <c:pt idx="1204">
                  <c:v>488.6</c:v>
                </c:pt>
                <c:pt idx="1205">
                  <c:v>488.6</c:v>
                </c:pt>
                <c:pt idx="1206">
                  <c:v>488.6</c:v>
                </c:pt>
                <c:pt idx="1207">
                  <c:v>488.6</c:v>
                </c:pt>
                <c:pt idx="1208">
                  <c:v>488.6</c:v>
                </c:pt>
                <c:pt idx="1209">
                  <c:v>488.7</c:v>
                </c:pt>
                <c:pt idx="1210">
                  <c:v>488.8</c:v>
                </c:pt>
                <c:pt idx="1211">
                  <c:v>488.8</c:v>
                </c:pt>
                <c:pt idx="1212">
                  <c:v>488.8</c:v>
                </c:pt>
                <c:pt idx="1213">
                  <c:v>488.9</c:v>
                </c:pt>
                <c:pt idx="1214">
                  <c:v>489.4</c:v>
                </c:pt>
                <c:pt idx="1215">
                  <c:v>489.5</c:v>
                </c:pt>
                <c:pt idx="1216">
                  <c:v>489.5</c:v>
                </c:pt>
                <c:pt idx="1217">
                  <c:v>489.5</c:v>
                </c:pt>
                <c:pt idx="1218">
                  <c:v>489.5</c:v>
                </c:pt>
                <c:pt idx="1219">
                  <c:v>489.5</c:v>
                </c:pt>
                <c:pt idx="1220">
                  <c:v>489.5</c:v>
                </c:pt>
                <c:pt idx="1221">
                  <c:v>489.5</c:v>
                </c:pt>
                <c:pt idx="1222">
                  <c:v>489.5</c:v>
                </c:pt>
                <c:pt idx="1223">
                  <c:v>489.5</c:v>
                </c:pt>
                <c:pt idx="1224">
                  <c:v>489.6</c:v>
                </c:pt>
                <c:pt idx="1225">
                  <c:v>489.6</c:v>
                </c:pt>
                <c:pt idx="1226">
                  <c:v>489.6</c:v>
                </c:pt>
                <c:pt idx="1227">
                  <c:v>489.6</c:v>
                </c:pt>
                <c:pt idx="1228">
                  <c:v>489.6</c:v>
                </c:pt>
                <c:pt idx="1229">
                  <c:v>489.6</c:v>
                </c:pt>
                <c:pt idx="1230">
                  <c:v>489.6</c:v>
                </c:pt>
                <c:pt idx="1231">
                  <c:v>489.6</c:v>
                </c:pt>
                <c:pt idx="1232">
                  <c:v>489.6</c:v>
                </c:pt>
                <c:pt idx="1233">
                  <c:v>489.6</c:v>
                </c:pt>
                <c:pt idx="1234">
                  <c:v>489.6</c:v>
                </c:pt>
                <c:pt idx="1235">
                  <c:v>489.6</c:v>
                </c:pt>
                <c:pt idx="1236">
                  <c:v>489.6</c:v>
                </c:pt>
                <c:pt idx="1237">
                  <c:v>489.6</c:v>
                </c:pt>
                <c:pt idx="1238">
                  <c:v>489.6</c:v>
                </c:pt>
                <c:pt idx="1239">
                  <c:v>489.6</c:v>
                </c:pt>
                <c:pt idx="1240">
                  <c:v>489.6</c:v>
                </c:pt>
                <c:pt idx="1241">
                  <c:v>489.6</c:v>
                </c:pt>
                <c:pt idx="1242">
                  <c:v>489.6</c:v>
                </c:pt>
                <c:pt idx="1243">
                  <c:v>489.6</c:v>
                </c:pt>
                <c:pt idx="1244">
                  <c:v>489.6</c:v>
                </c:pt>
                <c:pt idx="1245">
                  <c:v>489.6</c:v>
                </c:pt>
                <c:pt idx="1246">
                  <c:v>489.6</c:v>
                </c:pt>
                <c:pt idx="1247">
                  <c:v>489.8</c:v>
                </c:pt>
                <c:pt idx="1248">
                  <c:v>490.5</c:v>
                </c:pt>
                <c:pt idx="1249">
                  <c:v>491.6</c:v>
                </c:pt>
                <c:pt idx="1250">
                  <c:v>491.9</c:v>
                </c:pt>
                <c:pt idx="1251">
                  <c:v>492.4</c:v>
                </c:pt>
                <c:pt idx="1252">
                  <c:v>492.9</c:v>
                </c:pt>
                <c:pt idx="1253">
                  <c:v>493.6</c:v>
                </c:pt>
                <c:pt idx="1254">
                  <c:v>494.1</c:v>
                </c:pt>
                <c:pt idx="1255">
                  <c:v>494.7</c:v>
                </c:pt>
                <c:pt idx="1256">
                  <c:v>495.1</c:v>
                </c:pt>
                <c:pt idx="1257">
                  <c:v>495.4</c:v>
                </c:pt>
                <c:pt idx="1258">
                  <c:v>495.7</c:v>
                </c:pt>
                <c:pt idx="1259">
                  <c:v>495.9</c:v>
                </c:pt>
                <c:pt idx="1260">
                  <c:v>496</c:v>
                </c:pt>
                <c:pt idx="1261">
                  <c:v>496.1</c:v>
                </c:pt>
                <c:pt idx="1262">
                  <c:v>496.4</c:v>
                </c:pt>
                <c:pt idx="1263">
                  <c:v>496.7</c:v>
                </c:pt>
                <c:pt idx="1264">
                  <c:v>496.7</c:v>
                </c:pt>
                <c:pt idx="1265">
                  <c:v>496.7</c:v>
                </c:pt>
                <c:pt idx="1266">
                  <c:v>498.4</c:v>
                </c:pt>
                <c:pt idx="1267">
                  <c:v>498.4</c:v>
                </c:pt>
                <c:pt idx="1268">
                  <c:v>498.4</c:v>
                </c:pt>
                <c:pt idx="1269">
                  <c:v>498.4</c:v>
                </c:pt>
                <c:pt idx="1270">
                  <c:v>498.9</c:v>
                </c:pt>
                <c:pt idx="1271">
                  <c:v>498.9</c:v>
                </c:pt>
                <c:pt idx="1272">
                  <c:v>498.9</c:v>
                </c:pt>
                <c:pt idx="1273">
                  <c:v>499</c:v>
                </c:pt>
                <c:pt idx="1274">
                  <c:v>499</c:v>
                </c:pt>
                <c:pt idx="1275">
                  <c:v>499</c:v>
                </c:pt>
                <c:pt idx="1276">
                  <c:v>499</c:v>
                </c:pt>
                <c:pt idx="1277">
                  <c:v>499</c:v>
                </c:pt>
                <c:pt idx="1278">
                  <c:v>499</c:v>
                </c:pt>
                <c:pt idx="1279">
                  <c:v>499.1</c:v>
                </c:pt>
                <c:pt idx="1280">
                  <c:v>499.2</c:v>
                </c:pt>
                <c:pt idx="1281">
                  <c:v>499.2</c:v>
                </c:pt>
                <c:pt idx="1282">
                  <c:v>499.7</c:v>
                </c:pt>
                <c:pt idx="1283">
                  <c:v>500.4</c:v>
                </c:pt>
                <c:pt idx="1284">
                  <c:v>500.4</c:v>
                </c:pt>
                <c:pt idx="1285">
                  <c:v>500.5</c:v>
                </c:pt>
                <c:pt idx="1286">
                  <c:v>500.5</c:v>
                </c:pt>
                <c:pt idx="1287">
                  <c:v>500.5</c:v>
                </c:pt>
                <c:pt idx="1288">
                  <c:v>500.5</c:v>
                </c:pt>
                <c:pt idx="1289">
                  <c:v>500.6</c:v>
                </c:pt>
                <c:pt idx="1290">
                  <c:v>501</c:v>
                </c:pt>
                <c:pt idx="1291">
                  <c:v>501</c:v>
                </c:pt>
                <c:pt idx="1292">
                  <c:v>501.7</c:v>
                </c:pt>
                <c:pt idx="1293">
                  <c:v>501.7</c:v>
                </c:pt>
                <c:pt idx="1294">
                  <c:v>501.8</c:v>
                </c:pt>
                <c:pt idx="1295">
                  <c:v>501.8</c:v>
                </c:pt>
                <c:pt idx="1296">
                  <c:v>501.8</c:v>
                </c:pt>
                <c:pt idx="1297">
                  <c:v>501.8</c:v>
                </c:pt>
                <c:pt idx="1298">
                  <c:v>501.8</c:v>
                </c:pt>
                <c:pt idx="1299">
                  <c:v>501.8</c:v>
                </c:pt>
                <c:pt idx="1300">
                  <c:v>502</c:v>
                </c:pt>
                <c:pt idx="1301">
                  <c:v>502</c:v>
                </c:pt>
                <c:pt idx="1302">
                  <c:v>502</c:v>
                </c:pt>
                <c:pt idx="1303">
                  <c:v>502</c:v>
                </c:pt>
                <c:pt idx="1304">
                  <c:v>502</c:v>
                </c:pt>
                <c:pt idx="1305">
                  <c:v>502</c:v>
                </c:pt>
                <c:pt idx="1306">
                  <c:v>502.2</c:v>
                </c:pt>
                <c:pt idx="1307">
                  <c:v>502.5</c:v>
                </c:pt>
                <c:pt idx="1308">
                  <c:v>503</c:v>
                </c:pt>
                <c:pt idx="1309">
                  <c:v>503.4</c:v>
                </c:pt>
                <c:pt idx="1310">
                  <c:v>504.8</c:v>
                </c:pt>
                <c:pt idx="1311">
                  <c:v>505.4</c:v>
                </c:pt>
                <c:pt idx="1312">
                  <c:v>505.4</c:v>
                </c:pt>
                <c:pt idx="1313">
                  <c:v>505.4</c:v>
                </c:pt>
                <c:pt idx="1314">
                  <c:v>505.4</c:v>
                </c:pt>
                <c:pt idx="1315">
                  <c:v>505.5</c:v>
                </c:pt>
                <c:pt idx="1316">
                  <c:v>505.5</c:v>
                </c:pt>
                <c:pt idx="1317">
                  <c:v>505.5</c:v>
                </c:pt>
                <c:pt idx="1318">
                  <c:v>505.5</c:v>
                </c:pt>
                <c:pt idx="1319">
                  <c:v>505.5</c:v>
                </c:pt>
                <c:pt idx="1320">
                  <c:v>505.5</c:v>
                </c:pt>
                <c:pt idx="1321">
                  <c:v>505.5</c:v>
                </c:pt>
                <c:pt idx="1322">
                  <c:v>505.5</c:v>
                </c:pt>
                <c:pt idx="1323">
                  <c:v>505.6</c:v>
                </c:pt>
                <c:pt idx="1324">
                  <c:v>505.7</c:v>
                </c:pt>
                <c:pt idx="1325">
                  <c:v>505.8</c:v>
                </c:pt>
                <c:pt idx="1326">
                  <c:v>505.8</c:v>
                </c:pt>
                <c:pt idx="1327">
                  <c:v>505.9</c:v>
                </c:pt>
                <c:pt idx="1328">
                  <c:v>505.9</c:v>
                </c:pt>
                <c:pt idx="1329">
                  <c:v>505.9</c:v>
                </c:pt>
                <c:pt idx="1330">
                  <c:v>505.9</c:v>
                </c:pt>
                <c:pt idx="1331">
                  <c:v>506</c:v>
                </c:pt>
                <c:pt idx="1332">
                  <c:v>506</c:v>
                </c:pt>
                <c:pt idx="1333">
                  <c:v>506</c:v>
                </c:pt>
                <c:pt idx="1334">
                  <c:v>506</c:v>
                </c:pt>
                <c:pt idx="1335">
                  <c:v>506</c:v>
                </c:pt>
                <c:pt idx="1336">
                  <c:v>506</c:v>
                </c:pt>
                <c:pt idx="1337">
                  <c:v>506</c:v>
                </c:pt>
                <c:pt idx="1338">
                  <c:v>506</c:v>
                </c:pt>
                <c:pt idx="1339">
                  <c:v>506.2</c:v>
                </c:pt>
                <c:pt idx="1340">
                  <c:v>507.3</c:v>
                </c:pt>
                <c:pt idx="1341">
                  <c:v>508.9</c:v>
                </c:pt>
                <c:pt idx="1342">
                  <c:v>512.1</c:v>
                </c:pt>
                <c:pt idx="1343">
                  <c:v>513.70000000000005</c:v>
                </c:pt>
                <c:pt idx="1344">
                  <c:v>514.79999999999995</c:v>
                </c:pt>
                <c:pt idx="1345">
                  <c:v>515.9</c:v>
                </c:pt>
                <c:pt idx="1346">
                  <c:v>516</c:v>
                </c:pt>
                <c:pt idx="1347">
                  <c:v>516.1</c:v>
                </c:pt>
                <c:pt idx="1348">
                  <c:v>516.20000000000005</c:v>
                </c:pt>
                <c:pt idx="1349">
                  <c:v>516.4</c:v>
                </c:pt>
                <c:pt idx="1350">
                  <c:v>516.5</c:v>
                </c:pt>
                <c:pt idx="1351">
                  <c:v>516.70000000000005</c:v>
                </c:pt>
                <c:pt idx="1352">
                  <c:v>516.79999999999995</c:v>
                </c:pt>
                <c:pt idx="1353">
                  <c:v>517</c:v>
                </c:pt>
                <c:pt idx="1354">
                  <c:v>517.1</c:v>
                </c:pt>
                <c:pt idx="1355">
                  <c:v>517.6</c:v>
                </c:pt>
                <c:pt idx="1356">
                  <c:v>518.1</c:v>
                </c:pt>
                <c:pt idx="1357">
                  <c:v>518.4</c:v>
                </c:pt>
                <c:pt idx="1358">
                  <c:v>518.6</c:v>
                </c:pt>
                <c:pt idx="1359">
                  <c:v>519.1</c:v>
                </c:pt>
                <c:pt idx="1360">
                  <c:v>519.4</c:v>
                </c:pt>
                <c:pt idx="1361">
                  <c:v>519.79999999999995</c:v>
                </c:pt>
                <c:pt idx="1362">
                  <c:v>520.9</c:v>
                </c:pt>
                <c:pt idx="1363">
                  <c:v>522</c:v>
                </c:pt>
                <c:pt idx="1364">
                  <c:v>522.9</c:v>
                </c:pt>
                <c:pt idx="1365">
                  <c:v>523.6</c:v>
                </c:pt>
                <c:pt idx="1366">
                  <c:v>524.6</c:v>
                </c:pt>
                <c:pt idx="1367">
                  <c:v>525.20000000000005</c:v>
                </c:pt>
                <c:pt idx="1368">
                  <c:v>525.29999999999995</c:v>
                </c:pt>
                <c:pt idx="1369">
                  <c:v>525.70000000000005</c:v>
                </c:pt>
                <c:pt idx="1370">
                  <c:v>525.9</c:v>
                </c:pt>
                <c:pt idx="1371">
                  <c:v>525.9</c:v>
                </c:pt>
                <c:pt idx="1372">
                  <c:v>525.9</c:v>
                </c:pt>
                <c:pt idx="1373">
                  <c:v>525.9</c:v>
                </c:pt>
                <c:pt idx="1374">
                  <c:v>525.9</c:v>
                </c:pt>
                <c:pt idx="1375">
                  <c:v>525.9</c:v>
                </c:pt>
                <c:pt idx="1376">
                  <c:v>526</c:v>
                </c:pt>
                <c:pt idx="1377">
                  <c:v>526.6</c:v>
                </c:pt>
                <c:pt idx="1378">
                  <c:v>527.29999999999995</c:v>
                </c:pt>
                <c:pt idx="1379">
                  <c:v>527.79999999999995</c:v>
                </c:pt>
                <c:pt idx="1380">
                  <c:v>528.1</c:v>
                </c:pt>
                <c:pt idx="1381">
                  <c:v>528.1</c:v>
                </c:pt>
                <c:pt idx="1382">
                  <c:v>528.20000000000005</c:v>
                </c:pt>
                <c:pt idx="1383">
                  <c:v>528.20000000000005</c:v>
                </c:pt>
                <c:pt idx="1384">
                  <c:v>528.20000000000005</c:v>
                </c:pt>
                <c:pt idx="1385">
                  <c:v>528.20000000000005</c:v>
                </c:pt>
                <c:pt idx="1386">
                  <c:v>528.20000000000005</c:v>
                </c:pt>
                <c:pt idx="1387">
                  <c:v>528.20000000000005</c:v>
                </c:pt>
                <c:pt idx="1388">
                  <c:v>528.29999999999995</c:v>
                </c:pt>
                <c:pt idx="1389">
                  <c:v>528.29999999999995</c:v>
                </c:pt>
                <c:pt idx="1390">
                  <c:v>528.29999999999995</c:v>
                </c:pt>
                <c:pt idx="1391">
                  <c:v>528.29999999999995</c:v>
                </c:pt>
                <c:pt idx="1392">
                  <c:v>528.29999999999995</c:v>
                </c:pt>
                <c:pt idx="1393">
                  <c:v>528.29999999999995</c:v>
                </c:pt>
                <c:pt idx="1394">
                  <c:v>528.29999999999995</c:v>
                </c:pt>
                <c:pt idx="1395">
                  <c:v>528.29999999999995</c:v>
                </c:pt>
                <c:pt idx="1396">
                  <c:v>528.29999999999995</c:v>
                </c:pt>
                <c:pt idx="1397">
                  <c:v>528.29999999999995</c:v>
                </c:pt>
                <c:pt idx="1398">
                  <c:v>528.29999999999995</c:v>
                </c:pt>
                <c:pt idx="1399">
                  <c:v>528.29999999999995</c:v>
                </c:pt>
                <c:pt idx="1400">
                  <c:v>528.29999999999995</c:v>
                </c:pt>
                <c:pt idx="1401">
                  <c:v>528.29999999999995</c:v>
                </c:pt>
                <c:pt idx="1402">
                  <c:v>528.29999999999995</c:v>
                </c:pt>
                <c:pt idx="1403">
                  <c:v>528.29999999999995</c:v>
                </c:pt>
                <c:pt idx="1404">
                  <c:v>528.29999999999995</c:v>
                </c:pt>
                <c:pt idx="1405">
                  <c:v>528.29999999999995</c:v>
                </c:pt>
                <c:pt idx="1406">
                  <c:v>528.29999999999995</c:v>
                </c:pt>
                <c:pt idx="1407">
                  <c:v>528.6</c:v>
                </c:pt>
                <c:pt idx="1408">
                  <c:v>528.9</c:v>
                </c:pt>
                <c:pt idx="1409">
                  <c:v>529.29999999999995</c:v>
                </c:pt>
                <c:pt idx="1410">
                  <c:v>530.6</c:v>
                </c:pt>
                <c:pt idx="1411">
                  <c:v>530.9</c:v>
                </c:pt>
                <c:pt idx="1412">
                  <c:v>531.29999999999995</c:v>
                </c:pt>
                <c:pt idx="1413">
                  <c:v>531.4</c:v>
                </c:pt>
                <c:pt idx="1414">
                  <c:v>531.4</c:v>
                </c:pt>
                <c:pt idx="1415">
                  <c:v>531.4</c:v>
                </c:pt>
                <c:pt idx="1416">
                  <c:v>531.4</c:v>
                </c:pt>
                <c:pt idx="1417">
                  <c:v>531.5</c:v>
                </c:pt>
                <c:pt idx="1418">
                  <c:v>531.5</c:v>
                </c:pt>
                <c:pt idx="1419">
                  <c:v>531.70000000000005</c:v>
                </c:pt>
                <c:pt idx="1420">
                  <c:v>532.29999999999995</c:v>
                </c:pt>
                <c:pt idx="1421">
                  <c:v>532.79999999999995</c:v>
                </c:pt>
                <c:pt idx="1422">
                  <c:v>533.1</c:v>
                </c:pt>
                <c:pt idx="1423">
                  <c:v>533.6</c:v>
                </c:pt>
                <c:pt idx="1424">
                  <c:v>533.79999999999995</c:v>
                </c:pt>
                <c:pt idx="1425">
                  <c:v>533.79999999999995</c:v>
                </c:pt>
                <c:pt idx="1426">
                  <c:v>533.9</c:v>
                </c:pt>
                <c:pt idx="1427">
                  <c:v>533.9</c:v>
                </c:pt>
                <c:pt idx="1428">
                  <c:v>533.9</c:v>
                </c:pt>
                <c:pt idx="1429">
                  <c:v>533.9</c:v>
                </c:pt>
                <c:pt idx="1430">
                  <c:v>533.9</c:v>
                </c:pt>
                <c:pt idx="1431">
                  <c:v>533.9</c:v>
                </c:pt>
                <c:pt idx="1432">
                  <c:v>533.9</c:v>
                </c:pt>
                <c:pt idx="1433">
                  <c:v>533.9</c:v>
                </c:pt>
                <c:pt idx="1434">
                  <c:v>533.9</c:v>
                </c:pt>
                <c:pt idx="1435">
                  <c:v>533.9</c:v>
                </c:pt>
                <c:pt idx="1436">
                  <c:v>533.9</c:v>
                </c:pt>
                <c:pt idx="1437">
                  <c:v>534</c:v>
                </c:pt>
                <c:pt idx="1438">
                  <c:v>534</c:v>
                </c:pt>
                <c:pt idx="1439">
                  <c:v>534</c:v>
                </c:pt>
                <c:pt idx="1440">
                  <c:v>534</c:v>
                </c:pt>
                <c:pt idx="1441">
                  <c:v>534</c:v>
                </c:pt>
                <c:pt idx="1442">
                  <c:v>534</c:v>
                </c:pt>
                <c:pt idx="1443">
                  <c:v>534.20000000000005</c:v>
                </c:pt>
                <c:pt idx="1444">
                  <c:v>534.29999999999995</c:v>
                </c:pt>
                <c:pt idx="1445">
                  <c:v>534.29999999999995</c:v>
                </c:pt>
                <c:pt idx="1446">
                  <c:v>534.29999999999995</c:v>
                </c:pt>
                <c:pt idx="1447">
                  <c:v>534.29999999999995</c:v>
                </c:pt>
                <c:pt idx="1448">
                  <c:v>534.29999999999995</c:v>
                </c:pt>
                <c:pt idx="1449">
                  <c:v>534.29999999999995</c:v>
                </c:pt>
                <c:pt idx="1450">
                  <c:v>534.29999999999995</c:v>
                </c:pt>
                <c:pt idx="1451">
                  <c:v>534.29999999999995</c:v>
                </c:pt>
                <c:pt idx="1452">
                  <c:v>534.29999999999995</c:v>
                </c:pt>
                <c:pt idx="1453">
                  <c:v>534.29999999999995</c:v>
                </c:pt>
                <c:pt idx="1454">
                  <c:v>534.29999999999995</c:v>
                </c:pt>
                <c:pt idx="1455">
                  <c:v>534.6</c:v>
                </c:pt>
                <c:pt idx="1456">
                  <c:v>534.6</c:v>
                </c:pt>
                <c:pt idx="1457">
                  <c:v>534.6</c:v>
                </c:pt>
                <c:pt idx="1458">
                  <c:v>534.6</c:v>
                </c:pt>
                <c:pt idx="1459">
                  <c:v>534.79999999999995</c:v>
                </c:pt>
                <c:pt idx="1460">
                  <c:v>534.79999999999995</c:v>
                </c:pt>
                <c:pt idx="1461">
                  <c:v>535.20000000000005</c:v>
                </c:pt>
                <c:pt idx="1462">
                  <c:v>536.1</c:v>
                </c:pt>
                <c:pt idx="1463">
                  <c:v>537.5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06496"/>
        <c:axId val="146509184"/>
      </c:lineChart>
      <c:catAx>
        <c:axId val="146506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509184"/>
        <c:crosses val="autoZero"/>
        <c:auto val="1"/>
        <c:lblAlgn val="ctr"/>
        <c:lblOffset val="100"/>
        <c:tickMarkSkip val="24"/>
        <c:noMultiLvlLbl val="0"/>
      </c:catAx>
      <c:valAx>
        <c:axId val="146509184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6506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Oct-Dec 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19050"/>
          </c:spPr>
          <c:marker>
            <c:symbol val="none"/>
          </c:marker>
          <c:cat>
            <c:numRef>
              <c:f>DataDy!$B$6:$B$77</c:f>
              <c:numCache>
                <c:formatCode>General</c:formatCode>
                <c:ptCount val="72"/>
                <c:pt idx="0">
                  <c:v>294</c:v>
                </c:pt>
                <c:pt idx="1">
                  <c:v>295</c:v>
                </c:pt>
                <c:pt idx="2">
                  <c:v>296</c:v>
                </c:pt>
                <c:pt idx="3">
                  <c:v>297</c:v>
                </c:pt>
                <c:pt idx="4">
                  <c:v>298</c:v>
                </c:pt>
                <c:pt idx="5">
                  <c:v>299</c:v>
                </c:pt>
                <c:pt idx="6">
                  <c:v>300</c:v>
                </c:pt>
                <c:pt idx="7">
                  <c:v>301</c:v>
                </c:pt>
                <c:pt idx="8">
                  <c:v>302</c:v>
                </c:pt>
                <c:pt idx="9">
                  <c:v>303</c:v>
                </c:pt>
                <c:pt idx="10">
                  <c:v>304</c:v>
                </c:pt>
                <c:pt idx="11">
                  <c:v>305</c:v>
                </c:pt>
                <c:pt idx="12">
                  <c:v>306</c:v>
                </c:pt>
                <c:pt idx="13">
                  <c:v>307</c:v>
                </c:pt>
                <c:pt idx="14">
                  <c:v>308</c:v>
                </c:pt>
                <c:pt idx="15">
                  <c:v>309</c:v>
                </c:pt>
                <c:pt idx="16">
                  <c:v>310</c:v>
                </c:pt>
                <c:pt idx="17">
                  <c:v>311</c:v>
                </c:pt>
                <c:pt idx="18">
                  <c:v>312</c:v>
                </c:pt>
                <c:pt idx="19">
                  <c:v>313</c:v>
                </c:pt>
                <c:pt idx="20">
                  <c:v>314</c:v>
                </c:pt>
                <c:pt idx="21">
                  <c:v>315</c:v>
                </c:pt>
                <c:pt idx="22">
                  <c:v>316</c:v>
                </c:pt>
                <c:pt idx="23">
                  <c:v>317</c:v>
                </c:pt>
                <c:pt idx="24">
                  <c:v>318</c:v>
                </c:pt>
                <c:pt idx="25">
                  <c:v>319</c:v>
                </c:pt>
                <c:pt idx="26">
                  <c:v>320</c:v>
                </c:pt>
                <c:pt idx="27">
                  <c:v>321</c:v>
                </c:pt>
                <c:pt idx="28">
                  <c:v>322</c:v>
                </c:pt>
                <c:pt idx="29">
                  <c:v>323</c:v>
                </c:pt>
                <c:pt idx="30">
                  <c:v>324</c:v>
                </c:pt>
                <c:pt idx="31">
                  <c:v>325</c:v>
                </c:pt>
                <c:pt idx="32">
                  <c:v>326</c:v>
                </c:pt>
                <c:pt idx="33">
                  <c:v>327</c:v>
                </c:pt>
                <c:pt idx="34">
                  <c:v>328</c:v>
                </c:pt>
                <c:pt idx="35">
                  <c:v>329</c:v>
                </c:pt>
                <c:pt idx="36">
                  <c:v>330</c:v>
                </c:pt>
                <c:pt idx="37">
                  <c:v>331</c:v>
                </c:pt>
                <c:pt idx="38">
                  <c:v>332</c:v>
                </c:pt>
                <c:pt idx="39">
                  <c:v>333</c:v>
                </c:pt>
                <c:pt idx="40">
                  <c:v>334</c:v>
                </c:pt>
                <c:pt idx="41">
                  <c:v>335</c:v>
                </c:pt>
                <c:pt idx="42">
                  <c:v>336</c:v>
                </c:pt>
                <c:pt idx="43">
                  <c:v>337</c:v>
                </c:pt>
                <c:pt idx="44">
                  <c:v>338</c:v>
                </c:pt>
                <c:pt idx="45">
                  <c:v>339</c:v>
                </c:pt>
                <c:pt idx="46">
                  <c:v>340</c:v>
                </c:pt>
                <c:pt idx="47">
                  <c:v>341</c:v>
                </c:pt>
                <c:pt idx="48">
                  <c:v>342</c:v>
                </c:pt>
                <c:pt idx="49">
                  <c:v>343</c:v>
                </c:pt>
                <c:pt idx="50">
                  <c:v>344</c:v>
                </c:pt>
                <c:pt idx="51">
                  <c:v>345</c:v>
                </c:pt>
                <c:pt idx="52">
                  <c:v>346</c:v>
                </c:pt>
                <c:pt idx="53">
                  <c:v>347</c:v>
                </c:pt>
                <c:pt idx="54">
                  <c:v>348</c:v>
                </c:pt>
                <c:pt idx="55">
                  <c:v>349</c:v>
                </c:pt>
                <c:pt idx="56">
                  <c:v>350</c:v>
                </c:pt>
                <c:pt idx="57">
                  <c:v>351</c:v>
                </c:pt>
                <c:pt idx="58">
                  <c:v>352</c:v>
                </c:pt>
                <c:pt idx="59">
                  <c:v>353</c:v>
                </c:pt>
                <c:pt idx="60">
                  <c:v>354</c:v>
                </c:pt>
                <c:pt idx="61">
                  <c:v>355</c:v>
                </c:pt>
                <c:pt idx="62">
                  <c:v>356</c:v>
                </c:pt>
                <c:pt idx="63">
                  <c:v>357</c:v>
                </c:pt>
                <c:pt idx="64">
                  <c:v>358</c:v>
                </c:pt>
                <c:pt idx="65">
                  <c:v>359</c:v>
                </c:pt>
                <c:pt idx="66">
                  <c:v>360</c:v>
                </c:pt>
                <c:pt idx="67">
                  <c:v>361</c:v>
                </c:pt>
                <c:pt idx="68">
                  <c:v>362</c:v>
                </c:pt>
                <c:pt idx="69">
                  <c:v>363</c:v>
                </c:pt>
                <c:pt idx="70">
                  <c:v>364</c:v>
                </c:pt>
                <c:pt idx="71">
                  <c:v>365</c:v>
                </c:pt>
              </c:numCache>
            </c:numRef>
          </c:cat>
          <c:val>
            <c:numRef>
              <c:f>DataDy!$P$6:$P$77</c:f>
              <c:numCache>
                <c:formatCode>General</c:formatCode>
                <c:ptCount val="72"/>
                <c:pt idx="0">
                  <c:v>300.10000000000002</c:v>
                </c:pt>
                <c:pt idx="1">
                  <c:v>297.60000000000002</c:v>
                </c:pt>
                <c:pt idx="2">
                  <c:v>296.39999999999998</c:v>
                </c:pt>
                <c:pt idx="3">
                  <c:v>302.10000000000002</c:v>
                </c:pt>
                <c:pt idx="4">
                  <c:v>307.39999999999998</c:v>
                </c:pt>
                <c:pt idx="5">
                  <c:v>310.3</c:v>
                </c:pt>
                <c:pt idx="6">
                  <c:v>310.89999999999998</c:v>
                </c:pt>
                <c:pt idx="7">
                  <c:v>314.39999999999998</c:v>
                </c:pt>
                <c:pt idx="8">
                  <c:v>314.39999999999998</c:v>
                </c:pt>
                <c:pt idx="9">
                  <c:v>321.89999999999998</c:v>
                </c:pt>
                <c:pt idx="10">
                  <c:v>327.39999999999998</c:v>
                </c:pt>
                <c:pt idx="11">
                  <c:v>327.39999999999998</c:v>
                </c:pt>
                <c:pt idx="12">
                  <c:v>327.60000000000002</c:v>
                </c:pt>
                <c:pt idx="13">
                  <c:v>337.5</c:v>
                </c:pt>
                <c:pt idx="14">
                  <c:v>366.7</c:v>
                </c:pt>
                <c:pt idx="15">
                  <c:v>382.9</c:v>
                </c:pt>
                <c:pt idx="16">
                  <c:v>396.1</c:v>
                </c:pt>
                <c:pt idx="17">
                  <c:v>416.9</c:v>
                </c:pt>
                <c:pt idx="18">
                  <c:v>419.2</c:v>
                </c:pt>
                <c:pt idx="19">
                  <c:v>419.2</c:v>
                </c:pt>
                <c:pt idx="20">
                  <c:v>419.2</c:v>
                </c:pt>
                <c:pt idx="21">
                  <c:v>419.2</c:v>
                </c:pt>
                <c:pt idx="22">
                  <c:v>419.1</c:v>
                </c:pt>
                <c:pt idx="23">
                  <c:v>419</c:v>
                </c:pt>
                <c:pt idx="24">
                  <c:v>419</c:v>
                </c:pt>
                <c:pt idx="25">
                  <c:v>419</c:v>
                </c:pt>
                <c:pt idx="26">
                  <c:v>419.1</c:v>
                </c:pt>
                <c:pt idx="27">
                  <c:v>419.3</c:v>
                </c:pt>
                <c:pt idx="28">
                  <c:v>419.3</c:v>
                </c:pt>
                <c:pt idx="29">
                  <c:v>419.2</c:v>
                </c:pt>
                <c:pt idx="30">
                  <c:v>419</c:v>
                </c:pt>
                <c:pt idx="31">
                  <c:v>420.5</c:v>
                </c:pt>
                <c:pt idx="32">
                  <c:v>424.2</c:v>
                </c:pt>
                <c:pt idx="33">
                  <c:v>424.1</c:v>
                </c:pt>
                <c:pt idx="34">
                  <c:v>424.1</c:v>
                </c:pt>
                <c:pt idx="35">
                  <c:v>428.8</c:v>
                </c:pt>
                <c:pt idx="36">
                  <c:v>429.1</c:v>
                </c:pt>
                <c:pt idx="37">
                  <c:v>443.6</c:v>
                </c:pt>
                <c:pt idx="38">
                  <c:v>447.7</c:v>
                </c:pt>
                <c:pt idx="39">
                  <c:v>452.3</c:v>
                </c:pt>
                <c:pt idx="40">
                  <c:v>455.3</c:v>
                </c:pt>
                <c:pt idx="41">
                  <c:v>457.1</c:v>
                </c:pt>
                <c:pt idx="42">
                  <c:v>457.2</c:v>
                </c:pt>
                <c:pt idx="43">
                  <c:v>457.2</c:v>
                </c:pt>
                <c:pt idx="44">
                  <c:v>459.1</c:v>
                </c:pt>
                <c:pt idx="45">
                  <c:v>459.1</c:v>
                </c:pt>
                <c:pt idx="46">
                  <c:v>459.1</c:v>
                </c:pt>
                <c:pt idx="47">
                  <c:v>460</c:v>
                </c:pt>
                <c:pt idx="48">
                  <c:v>460.5</c:v>
                </c:pt>
                <c:pt idx="49">
                  <c:v>463.9</c:v>
                </c:pt>
                <c:pt idx="50">
                  <c:v>467.8</c:v>
                </c:pt>
                <c:pt idx="51">
                  <c:v>470</c:v>
                </c:pt>
                <c:pt idx="52">
                  <c:v>470.2</c:v>
                </c:pt>
                <c:pt idx="53">
                  <c:v>472.4</c:v>
                </c:pt>
                <c:pt idx="54">
                  <c:v>472.7</c:v>
                </c:pt>
                <c:pt idx="55">
                  <c:v>472.6</c:v>
                </c:pt>
                <c:pt idx="56">
                  <c:v>472.6</c:v>
                </c:pt>
                <c:pt idx="57">
                  <c:v>473.9</c:v>
                </c:pt>
                <c:pt idx="58">
                  <c:v>476.7</c:v>
                </c:pt>
                <c:pt idx="59">
                  <c:v>477.2</c:v>
                </c:pt>
                <c:pt idx="60">
                  <c:v>488.4</c:v>
                </c:pt>
                <c:pt idx="61">
                  <c:v>489.5</c:v>
                </c:pt>
                <c:pt idx="62">
                  <c:v>489.8</c:v>
                </c:pt>
                <c:pt idx="63">
                  <c:v>498.9</c:v>
                </c:pt>
                <c:pt idx="64">
                  <c:v>501.8</c:v>
                </c:pt>
                <c:pt idx="65">
                  <c:v>505.5</c:v>
                </c:pt>
                <c:pt idx="66">
                  <c:v>513.70000000000005</c:v>
                </c:pt>
                <c:pt idx="67">
                  <c:v>525.20000000000005</c:v>
                </c:pt>
                <c:pt idx="68">
                  <c:v>527.9</c:v>
                </c:pt>
                <c:pt idx="69">
                  <c:v>531.4</c:v>
                </c:pt>
                <c:pt idx="70">
                  <c:v>534</c:v>
                </c:pt>
                <c:pt idx="71">
                  <c:v>537.5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19050"/>
          </c:spPr>
          <c:marker>
            <c:symbol val="none"/>
          </c:marker>
          <c:cat>
            <c:numRef>
              <c:f>DataDy!$B$6:$B$77</c:f>
              <c:numCache>
                <c:formatCode>General</c:formatCode>
                <c:ptCount val="72"/>
                <c:pt idx="0">
                  <c:v>294</c:v>
                </c:pt>
                <c:pt idx="1">
                  <c:v>295</c:v>
                </c:pt>
                <c:pt idx="2">
                  <c:v>296</c:v>
                </c:pt>
                <c:pt idx="3">
                  <c:v>297</c:v>
                </c:pt>
                <c:pt idx="4">
                  <c:v>298</c:v>
                </c:pt>
                <c:pt idx="5">
                  <c:v>299</c:v>
                </c:pt>
                <c:pt idx="6">
                  <c:v>300</c:v>
                </c:pt>
                <c:pt idx="7">
                  <c:v>301</c:v>
                </c:pt>
                <c:pt idx="8">
                  <c:v>302</c:v>
                </c:pt>
                <c:pt idx="9">
                  <c:v>303</c:v>
                </c:pt>
                <c:pt idx="10">
                  <c:v>304</c:v>
                </c:pt>
                <c:pt idx="11">
                  <c:v>305</c:v>
                </c:pt>
                <c:pt idx="12">
                  <c:v>306</c:v>
                </c:pt>
                <c:pt idx="13">
                  <c:v>307</c:v>
                </c:pt>
                <c:pt idx="14">
                  <c:v>308</c:v>
                </c:pt>
                <c:pt idx="15">
                  <c:v>309</c:v>
                </c:pt>
                <c:pt idx="16">
                  <c:v>310</c:v>
                </c:pt>
                <c:pt idx="17">
                  <c:v>311</c:v>
                </c:pt>
                <c:pt idx="18">
                  <c:v>312</c:v>
                </c:pt>
                <c:pt idx="19">
                  <c:v>313</c:v>
                </c:pt>
                <c:pt idx="20">
                  <c:v>314</c:v>
                </c:pt>
                <c:pt idx="21">
                  <c:v>315</c:v>
                </c:pt>
                <c:pt idx="22">
                  <c:v>316</c:v>
                </c:pt>
                <c:pt idx="23">
                  <c:v>317</c:v>
                </c:pt>
                <c:pt idx="24">
                  <c:v>318</c:v>
                </c:pt>
                <c:pt idx="25">
                  <c:v>319</c:v>
                </c:pt>
                <c:pt idx="26">
                  <c:v>320</c:v>
                </c:pt>
                <c:pt idx="27">
                  <c:v>321</c:v>
                </c:pt>
                <c:pt idx="28">
                  <c:v>322</c:v>
                </c:pt>
                <c:pt idx="29">
                  <c:v>323</c:v>
                </c:pt>
                <c:pt idx="30">
                  <c:v>324</c:v>
                </c:pt>
                <c:pt idx="31">
                  <c:v>325</c:v>
                </c:pt>
                <c:pt idx="32">
                  <c:v>326</c:v>
                </c:pt>
                <c:pt idx="33">
                  <c:v>327</c:v>
                </c:pt>
                <c:pt idx="34">
                  <c:v>328</c:v>
                </c:pt>
                <c:pt idx="35">
                  <c:v>329</c:v>
                </c:pt>
                <c:pt idx="36">
                  <c:v>330</c:v>
                </c:pt>
                <c:pt idx="37">
                  <c:v>331</c:v>
                </c:pt>
                <c:pt idx="38">
                  <c:v>332</c:v>
                </c:pt>
                <c:pt idx="39">
                  <c:v>333</c:v>
                </c:pt>
                <c:pt idx="40">
                  <c:v>334</c:v>
                </c:pt>
                <c:pt idx="41">
                  <c:v>335</c:v>
                </c:pt>
                <c:pt idx="42">
                  <c:v>336</c:v>
                </c:pt>
                <c:pt idx="43">
                  <c:v>337</c:v>
                </c:pt>
                <c:pt idx="44">
                  <c:v>338</c:v>
                </c:pt>
                <c:pt idx="45">
                  <c:v>339</c:v>
                </c:pt>
                <c:pt idx="46">
                  <c:v>340</c:v>
                </c:pt>
                <c:pt idx="47">
                  <c:v>341</c:v>
                </c:pt>
                <c:pt idx="48">
                  <c:v>342</c:v>
                </c:pt>
                <c:pt idx="49">
                  <c:v>343</c:v>
                </c:pt>
                <c:pt idx="50">
                  <c:v>344</c:v>
                </c:pt>
                <c:pt idx="51">
                  <c:v>345</c:v>
                </c:pt>
                <c:pt idx="52">
                  <c:v>346</c:v>
                </c:pt>
                <c:pt idx="53">
                  <c:v>347</c:v>
                </c:pt>
                <c:pt idx="54">
                  <c:v>348</c:v>
                </c:pt>
                <c:pt idx="55">
                  <c:v>349</c:v>
                </c:pt>
                <c:pt idx="56">
                  <c:v>350</c:v>
                </c:pt>
                <c:pt idx="57">
                  <c:v>351</c:v>
                </c:pt>
                <c:pt idx="58">
                  <c:v>352</c:v>
                </c:pt>
                <c:pt idx="59">
                  <c:v>353</c:v>
                </c:pt>
                <c:pt idx="60">
                  <c:v>354</c:v>
                </c:pt>
                <c:pt idx="61">
                  <c:v>355</c:v>
                </c:pt>
                <c:pt idx="62">
                  <c:v>356</c:v>
                </c:pt>
                <c:pt idx="63">
                  <c:v>357</c:v>
                </c:pt>
                <c:pt idx="64">
                  <c:v>358</c:v>
                </c:pt>
                <c:pt idx="65">
                  <c:v>359</c:v>
                </c:pt>
                <c:pt idx="66">
                  <c:v>360</c:v>
                </c:pt>
                <c:pt idx="67">
                  <c:v>361</c:v>
                </c:pt>
                <c:pt idx="68">
                  <c:v>362</c:v>
                </c:pt>
                <c:pt idx="69">
                  <c:v>363</c:v>
                </c:pt>
                <c:pt idx="70">
                  <c:v>364</c:v>
                </c:pt>
                <c:pt idx="71">
                  <c:v>365</c:v>
                </c:pt>
              </c:numCache>
            </c:numRef>
          </c:cat>
          <c:val>
            <c:numRef>
              <c:f>DataDy!$Q$6:$Q$77</c:f>
              <c:numCache>
                <c:formatCode>General</c:formatCode>
                <c:ptCount val="72"/>
                <c:pt idx="0">
                  <c:v>300.10000000000002</c:v>
                </c:pt>
                <c:pt idx="1">
                  <c:v>300.10000000000002</c:v>
                </c:pt>
                <c:pt idx="2">
                  <c:v>296.39999999999998</c:v>
                </c:pt>
                <c:pt idx="3">
                  <c:v>302.10000000000002</c:v>
                </c:pt>
                <c:pt idx="4">
                  <c:v>307.39999999999998</c:v>
                </c:pt>
                <c:pt idx="5">
                  <c:v>310.3</c:v>
                </c:pt>
                <c:pt idx="6">
                  <c:v>310.89999999999998</c:v>
                </c:pt>
                <c:pt idx="7">
                  <c:v>314.39999999999998</c:v>
                </c:pt>
                <c:pt idx="8">
                  <c:v>314.39999999999998</c:v>
                </c:pt>
                <c:pt idx="9">
                  <c:v>321.89999999999998</c:v>
                </c:pt>
                <c:pt idx="10">
                  <c:v>327.39999999999998</c:v>
                </c:pt>
                <c:pt idx="11">
                  <c:v>327.39999999999998</c:v>
                </c:pt>
                <c:pt idx="12">
                  <c:v>327.60000000000002</c:v>
                </c:pt>
                <c:pt idx="13">
                  <c:v>337.5</c:v>
                </c:pt>
                <c:pt idx="14">
                  <c:v>366.7</c:v>
                </c:pt>
                <c:pt idx="15">
                  <c:v>382.9</c:v>
                </c:pt>
                <c:pt idx="16">
                  <c:v>396.1</c:v>
                </c:pt>
                <c:pt idx="17">
                  <c:v>416.9</c:v>
                </c:pt>
                <c:pt idx="18">
                  <c:v>419.2</c:v>
                </c:pt>
                <c:pt idx="19">
                  <c:v>419.2</c:v>
                </c:pt>
                <c:pt idx="20">
                  <c:v>419.2</c:v>
                </c:pt>
                <c:pt idx="21">
                  <c:v>419.2</c:v>
                </c:pt>
                <c:pt idx="22">
                  <c:v>419.2</c:v>
                </c:pt>
                <c:pt idx="23">
                  <c:v>419.2</c:v>
                </c:pt>
                <c:pt idx="24">
                  <c:v>419.2</c:v>
                </c:pt>
                <c:pt idx="25">
                  <c:v>419.2</c:v>
                </c:pt>
                <c:pt idx="26">
                  <c:v>419.2</c:v>
                </c:pt>
                <c:pt idx="27">
                  <c:v>419.3</c:v>
                </c:pt>
                <c:pt idx="28">
                  <c:v>419.3</c:v>
                </c:pt>
                <c:pt idx="29">
                  <c:v>419.3</c:v>
                </c:pt>
                <c:pt idx="30">
                  <c:v>419.3</c:v>
                </c:pt>
                <c:pt idx="31">
                  <c:v>420.5</c:v>
                </c:pt>
                <c:pt idx="32">
                  <c:v>424.2</c:v>
                </c:pt>
                <c:pt idx="33">
                  <c:v>424.2</c:v>
                </c:pt>
                <c:pt idx="34">
                  <c:v>424.2</c:v>
                </c:pt>
                <c:pt idx="35">
                  <c:v>428.8</c:v>
                </c:pt>
                <c:pt idx="36">
                  <c:v>429.1</c:v>
                </c:pt>
                <c:pt idx="37">
                  <c:v>443.6</c:v>
                </c:pt>
                <c:pt idx="38">
                  <c:v>447.7</c:v>
                </c:pt>
                <c:pt idx="39">
                  <c:v>452.3</c:v>
                </c:pt>
                <c:pt idx="40">
                  <c:v>455.3</c:v>
                </c:pt>
                <c:pt idx="41">
                  <c:v>457.1</c:v>
                </c:pt>
                <c:pt idx="42">
                  <c:v>457.2</c:v>
                </c:pt>
                <c:pt idx="43">
                  <c:v>457.2</c:v>
                </c:pt>
                <c:pt idx="44">
                  <c:v>459.1</c:v>
                </c:pt>
                <c:pt idx="45">
                  <c:v>459.1</c:v>
                </c:pt>
                <c:pt idx="46">
                  <c:v>459.1</c:v>
                </c:pt>
                <c:pt idx="47">
                  <c:v>460</c:v>
                </c:pt>
                <c:pt idx="48">
                  <c:v>460.5</c:v>
                </c:pt>
                <c:pt idx="49">
                  <c:v>463.9</c:v>
                </c:pt>
                <c:pt idx="50">
                  <c:v>467.8</c:v>
                </c:pt>
                <c:pt idx="51">
                  <c:v>470</c:v>
                </c:pt>
                <c:pt idx="52">
                  <c:v>470.2</c:v>
                </c:pt>
                <c:pt idx="53">
                  <c:v>472.4</c:v>
                </c:pt>
                <c:pt idx="54">
                  <c:v>472.7</c:v>
                </c:pt>
                <c:pt idx="55">
                  <c:v>472.7</c:v>
                </c:pt>
                <c:pt idx="56">
                  <c:v>472.7</c:v>
                </c:pt>
                <c:pt idx="57">
                  <c:v>473.9</c:v>
                </c:pt>
                <c:pt idx="58">
                  <c:v>476.7</c:v>
                </c:pt>
                <c:pt idx="59">
                  <c:v>477.2</c:v>
                </c:pt>
                <c:pt idx="60">
                  <c:v>488.4</c:v>
                </c:pt>
                <c:pt idx="61">
                  <c:v>489.5</c:v>
                </c:pt>
                <c:pt idx="62">
                  <c:v>489.8</c:v>
                </c:pt>
                <c:pt idx="63">
                  <c:v>498.9</c:v>
                </c:pt>
                <c:pt idx="64">
                  <c:v>501.8</c:v>
                </c:pt>
                <c:pt idx="65">
                  <c:v>505.5</c:v>
                </c:pt>
                <c:pt idx="66">
                  <c:v>513.70000000000005</c:v>
                </c:pt>
                <c:pt idx="67">
                  <c:v>525.20000000000005</c:v>
                </c:pt>
                <c:pt idx="68">
                  <c:v>527.9</c:v>
                </c:pt>
                <c:pt idx="69">
                  <c:v>531.4</c:v>
                </c:pt>
                <c:pt idx="70">
                  <c:v>534</c:v>
                </c:pt>
                <c:pt idx="71">
                  <c:v>537.5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36192"/>
        <c:axId val="146937728"/>
      </c:lineChart>
      <c:catAx>
        <c:axId val="146936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93772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46937728"/>
        <c:scaling>
          <c:orientation val="minMax"/>
          <c:min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6936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precipitation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Day</c:v>
          </c:tx>
          <c:spPr>
            <a:ln w="15875"/>
          </c:spPr>
          <c:marker>
            <c:symbol val="none"/>
          </c:marker>
          <c:cat>
            <c:numRef>
              <c:f>DataDy!$B$5:$B$77</c:f>
              <c:numCache>
                <c:formatCode>General</c:formatCode>
                <c:ptCount val="73"/>
                <c:pt idx="0">
                  <c:v>293</c:v>
                </c:pt>
                <c:pt idx="1">
                  <c:v>294</c:v>
                </c:pt>
                <c:pt idx="2">
                  <c:v>295</c:v>
                </c:pt>
                <c:pt idx="3">
                  <c:v>296</c:v>
                </c:pt>
                <c:pt idx="4">
                  <c:v>297</c:v>
                </c:pt>
                <c:pt idx="5">
                  <c:v>298</c:v>
                </c:pt>
                <c:pt idx="6">
                  <c:v>299</c:v>
                </c:pt>
                <c:pt idx="7">
                  <c:v>300</c:v>
                </c:pt>
                <c:pt idx="8">
                  <c:v>301</c:v>
                </c:pt>
                <c:pt idx="9">
                  <c:v>302</c:v>
                </c:pt>
                <c:pt idx="10">
                  <c:v>303</c:v>
                </c:pt>
                <c:pt idx="11">
                  <c:v>304</c:v>
                </c:pt>
                <c:pt idx="12">
                  <c:v>305</c:v>
                </c:pt>
                <c:pt idx="13">
                  <c:v>306</c:v>
                </c:pt>
                <c:pt idx="14">
                  <c:v>307</c:v>
                </c:pt>
                <c:pt idx="15">
                  <c:v>308</c:v>
                </c:pt>
                <c:pt idx="16">
                  <c:v>309</c:v>
                </c:pt>
                <c:pt idx="17">
                  <c:v>310</c:v>
                </c:pt>
                <c:pt idx="18">
                  <c:v>311</c:v>
                </c:pt>
                <c:pt idx="19">
                  <c:v>312</c:v>
                </c:pt>
                <c:pt idx="20">
                  <c:v>313</c:v>
                </c:pt>
                <c:pt idx="21">
                  <c:v>314</c:v>
                </c:pt>
                <c:pt idx="22">
                  <c:v>315</c:v>
                </c:pt>
                <c:pt idx="23">
                  <c:v>316</c:v>
                </c:pt>
                <c:pt idx="24">
                  <c:v>317</c:v>
                </c:pt>
                <c:pt idx="25">
                  <c:v>318</c:v>
                </c:pt>
                <c:pt idx="26">
                  <c:v>319</c:v>
                </c:pt>
                <c:pt idx="27">
                  <c:v>320</c:v>
                </c:pt>
                <c:pt idx="28">
                  <c:v>321</c:v>
                </c:pt>
                <c:pt idx="29">
                  <c:v>322</c:v>
                </c:pt>
                <c:pt idx="30">
                  <c:v>323</c:v>
                </c:pt>
                <c:pt idx="31">
                  <c:v>324</c:v>
                </c:pt>
                <c:pt idx="32">
                  <c:v>325</c:v>
                </c:pt>
                <c:pt idx="33">
                  <c:v>326</c:v>
                </c:pt>
                <c:pt idx="34">
                  <c:v>327</c:v>
                </c:pt>
                <c:pt idx="35">
                  <c:v>328</c:v>
                </c:pt>
                <c:pt idx="36">
                  <c:v>329</c:v>
                </c:pt>
                <c:pt idx="37">
                  <c:v>330</c:v>
                </c:pt>
                <c:pt idx="38">
                  <c:v>331</c:v>
                </c:pt>
                <c:pt idx="39">
                  <c:v>332</c:v>
                </c:pt>
                <c:pt idx="40">
                  <c:v>333</c:v>
                </c:pt>
                <c:pt idx="41">
                  <c:v>334</c:v>
                </c:pt>
                <c:pt idx="42">
                  <c:v>335</c:v>
                </c:pt>
                <c:pt idx="43">
                  <c:v>336</c:v>
                </c:pt>
                <c:pt idx="44">
                  <c:v>337</c:v>
                </c:pt>
                <c:pt idx="45">
                  <c:v>338</c:v>
                </c:pt>
                <c:pt idx="46">
                  <c:v>339</c:v>
                </c:pt>
                <c:pt idx="47">
                  <c:v>340</c:v>
                </c:pt>
                <c:pt idx="48">
                  <c:v>341</c:v>
                </c:pt>
                <c:pt idx="49">
                  <c:v>342</c:v>
                </c:pt>
                <c:pt idx="50">
                  <c:v>343</c:v>
                </c:pt>
                <c:pt idx="51">
                  <c:v>344</c:v>
                </c:pt>
                <c:pt idx="52">
                  <c:v>345</c:v>
                </c:pt>
                <c:pt idx="53">
                  <c:v>346</c:v>
                </c:pt>
                <c:pt idx="54">
                  <c:v>347</c:v>
                </c:pt>
                <c:pt idx="55">
                  <c:v>348</c:v>
                </c:pt>
                <c:pt idx="56">
                  <c:v>349</c:v>
                </c:pt>
                <c:pt idx="57">
                  <c:v>350</c:v>
                </c:pt>
                <c:pt idx="58">
                  <c:v>351</c:v>
                </c:pt>
                <c:pt idx="59">
                  <c:v>352</c:v>
                </c:pt>
                <c:pt idx="60">
                  <c:v>353</c:v>
                </c:pt>
                <c:pt idx="61">
                  <c:v>354</c:v>
                </c:pt>
                <c:pt idx="62">
                  <c:v>355</c:v>
                </c:pt>
                <c:pt idx="63">
                  <c:v>356</c:v>
                </c:pt>
                <c:pt idx="64">
                  <c:v>357</c:v>
                </c:pt>
                <c:pt idx="65">
                  <c:v>358</c:v>
                </c:pt>
                <c:pt idx="66">
                  <c:v>359</c:v>
                </c:pt>
                <c:pt idx="67">
                  <c:v>360</c:v>
                </c:pt>
                <c:pt idx="68">
                  <c:v>361</c:v>
                </c:pt>
                <c:pt idx="69">
                  <c:v>362</c:v>
                </c:pt>
                <c:pt idx="70">
                  <c:v>363</c:v>
                </c:pt>
                <c:pt idx="71">
                  <c:v>364</c:v>
                </c:pt>
                <c:pt idx="72">
                  <c:v>365</c:v>
                </c:pt>
              </c:numCache>
            </c:numRef>
          </c:cat>
          <c:val>
            <c:numRef>
              <c:f>DataDy!$S$5:$S$77</c:f>
              <c:numCache>
                <c:formatCode>General</c:formatCode>
                <c:ptCount val="73"/>
                <c:pt idx="0">
                  <c:v>0</c:v>
                </c:pt>
                <c:pt idx="1">
                  <c:v>4.4000000000000341</c:v>
                </c:pt>
                <c:pt idx="2">
                  <c:v>4.4000000000000341</c:v>
                </c:pt>
                <c:pt idx="3">
                  <c:v>4.4000000000000341</c:v>
                </c:pt>
                <c:pt idx="4">
                  <c:v>10.10000000000008</c:v>
                </c:pt>
                <c:pt idx="5">
                  <c:v>15.400000000000034</c:v>
                </c:pt>
                <c:pt idx="6">
                  <c:v>18.300000000000068</c:v>
                </c:pt>
                <c:pt idx="7">
                  <c:v>18.900000000000034</c:v>
                </c:pt>
                <c:pt idx="8">
                  <c:v>22.400000000000034</c:v>
                </c:pt>
                <c:pt idx="9">
                  <c:v>22.400000000000034</c:v>
                </c:pt>
                <c:pt idx="10">
                  <c:v>29.900000000000034</c:v>
                </c:pt>
                <c:pt idx="11">
                  <c:v>35.400000000000034</c:v>
                </c:pt>
                <c:pt idx="12">
                  <c:v>35.400000000000034</c:v>
                </c:pt>
                <c:pt idx="13">
                  <c:v>35.60000000000008</c:v>
                </c:pt>
                <c:pt idx="14">
                  <c:v>45.500000000000057</c:v>
                </c:pt>
                <c:pt idx="15">
                  <c:v>74.700000000000045</c:v>
                </c:pt>
                <c:pt idx="16">
                  <c:v>90.900000000000034</c:v>
                </c:pt>
                <c:pt idx="17">
                  <c:v>104.10000000000008</c:v>
                </c:pt>
                <c:pt idx="18">
                  <c:v>124.90000000000003</c:v>
                </c:pt>
                <c:pt idx="19">
                  <c:v>127.20000000000005</c:v>
                </c:pt>
                <c:pt idx="20">
                  <c:v>127.20000000000005</c:v>
                </c:pt>
                <c:pt idx="21">
                  <c:v>127.20000000000005</c:v>
                </c:pt>
                <c:pt idx="22">
                  <c:v>127.20000000000005</c:v>
                </c:pt>
                <c:pt idx="23">
                  <c:v>127.20000000000005</c:v>
                </c:pt>
                <c:pt idx="24">
                  <c:v>127.20000000000005</c:v>
                </c:pt>
                <c:pt idx="25">
                  <c:v>127.20000000000005</c:v>
                </c:pt>
                <c:pt idx="26">
                  <c:v>127.20000000000005</c:v>
                </c:pt>
                <c:pt idx="27">
                  <c:v>127.20000000000005</c:v>
                </c:pt>
                <c:pt idx="28">
                  <c:v>127.30000000000007</c:v>
                </c:pt>
                <c:pt idx="29">
                  <c:v>127.30000000000007</c:v>
                </c:pt>
                <c:pt idx="30">
                  <c:v>127.30000000000007</c:v>
                </c:pt>
                <c:pt idx="31">
                  <c:v>127.30000000000007</c:v>
                </c:pt>
                <c:pt idx="32">
                  <c:v>128.50000000000006</c:v>
                </c:pt>
                <c:pt idx="33">
                  <c:v>132.20000000000005</c:v>
                </c:pt>
                <c:pt idx="34">
                  <c:v>132.20000000000005</c:v>
                </c:pt>
                <c:pt idx="35">
                  <c:v>132.20000000000005</c:v>
                </c:pt>
                <c:pt idx="36">
                  <c:v>136.80000000000007</c:v>
                </c:pt>
                <c:pt idx="37">
                  <c:v>137.10000000000008</c:v>
                </c:pt>
                <c:pt idx="38">
                  <c:v>151.60000000000008</c:v>
                </c:pt>
                <c:pt idx="39">
                  <c:v>155.70000000000005</c:v>
                </c:pt>
                <c:pt idx="40">
                  <c:v>160.30000000000007</c:v>
                </c:pt>
                <c:pt idx="41">
                  <c:v>163.30000000000007</c:v>
                </c:pt>
                <c:pt idx="42">
                  <c:v>165.10000000000008</c:v>
                </c:pt>
                <c:pt idx="43">
                  <c:v>165.20000000000005</c:v>
                </c:pt>
                <c:pt idx="44">
                  <c:v>165.20000000000005</c:v>
                </c:pt>
                <c:pt idx="45">
                  <c:v>167.10000000000008</c:v>
                </c:pt>
                <c:pt idx="46">
                  <c:v>167.10000000000008</c:v>
                </c:pt>
                <c:pt idx="47">
                  <c:v>167.10000000000008</c:v>
                </c:pt>
                <c:pt idx="48">
                  <c:v>168.00000000000006</c:v>
                </c:pt>
                <c:pt idx="49">
                  <c:v>168.50000000000006</c:v>
                </c:pt>
                <c:pt idx="50">
                  <c:v>171.90000000000003</c:v>
                </c:pt>
                <c:pt idx="51">
                  <c:v>175.80000000000007</c:v>
                </c:pt>
                <c:pt idx="52">
                  <c:v>178.00000000000006</c:v>
                </c:pt>
                <c:pt idx="53">
                  <c:v>178.20000000000005</c:v>
                </c:pt>
                <c:pt idx="54">
                  <c:v>180.40000000000003</c:v>
                </c:pt>
                <c:pt idx="55">
                  <c:v>180.70000000000005</c:v>
                </c:pt>
                <c:pt idx="56">
                  <c:v>180.70000000000005</c:v>
                </c:pt>
                <c:pt idx="57">
                  <c:v>180.70000000000005</c:v>
                </c:pt>
                <c:pt idx="58">
                  <c:v>181.90000000000003</c:v>
                </c:pt>
                <c:pt idx="59">
                  <c:v>184.70000000000005</c:v>
                </c:pt>
                <c:pt idx="60">
                  <c:v>185.20000000000005</c:v>
                </c:pt>
                <c:pt idx="61">
                  <c:v>196.40000000000003</c:v>
                </c:pt>
                <c:pt idx="62">
                  <c:v>197.50000000000006</c:v>
                </c:pt>
                <c:pt idx="63">
                  <c:v>197.80000000000007</c:v>
                </c:pt>
                <c:pt idx="64">
                  <c:v>206.90000000000003</c:v>
                </c:pt>
                <c:pt idx="65">
                  <c:v>209.80000000000007</c:v>
                </c:pt>
                <c:pt idx="66">
                  <c:v>213.50000000000006</c:v>
                </c:pt>
                <c:pt idx="67">
                  <c:v>221.7000000000001</c:v>
                </c:pt>
                <c:pt idx="68">
                  <c:v>233.2000000000001</c:v>
                </c:pt>
                <c:pt idx="69">
                  <c:v>235.90000000000003</c:v>
                </c:pt>
                <c:pt idx="70">
                  <c:v>239.40000000000003</c:v>
                </c:pt>
                <c:pt idx="71">
                  <c:v>242.00000000000006</c:v>
                </c:pt>
                <c:pt idx="72">
                  <c:v>245.50000000000006</c:v>
                </c:pt>
              </c:numCache>
            </c:numRef>
          </c:val>
          <c:smooth val="0"/>
        </c:ser>
        <c:ser>
          <c:idx val="1"/>
          <c:order val="1"/>
          <c:tx>
            <c:v>Hour</c:v>
          </c:tx>
          <c:spPr>
            <a:ln w="15875"/>
          </c:spPr>
          <c:marker>
            <c:symbol val="none"/>
          </c:marker>
          <c:cat>
            <c:numRef>
              <c:f>DataDy!$B$5:$B$77</c:f>
              <c:numCache>
                <c:formatCode>General</c:formatCode>
                <c:ptCount val="73"/>
                <c:pt idx="0">
                  <c:v>293</c:v>
                </c:pt>
                <c:pt idx="1">
                  <c:v>294</c:v>
                </c:pt>
                <c:pt idx="2">
                  <c:v>295</c:v>
                </c:pt>
                <c:pt idx="3">
                  <c:v>296</c:v>
                </c:pt>
                <c:pt idx="4">
                  <c:v>297</c:v>
                </c:pt>
                <c:pt idx="5">
                  <c:v>298</c:v>
                </c:pt>
                <c:pt idx="6">
                  <c:v>299</c:v>
                </c:pt>
                <c:pt idx="7">
                  <c:v>300</c:v>
                </c:pt>
                <c:pt idx="8">
                  <c:v>301</c:v>
                </c:pt>
                <c:pt idx="9">
                  <c:v>302</c:v>
                </c:pt>
                <c:pt idx="10">
                  <c:v>303</c:v>
                </c:pt>
                <c:pt idx="11">
                  <c:v>304</c:v>
                </c:pt>
                <c:pt idx="12">
                  <c:v>305</c:v>
                </c:pt>
                <c:pt idx="13">
                  <c:v>306</c:v>
                </c:pt>
                <c:pt idx="14">
                  <c:v>307</c:v>
                </c:pt>
                <c:pt idx="15">
                  <c:v>308</c:v>
                </c:pt>
                <c:pt idx="16">
                  <c:v>309</c:v>
                </c:pt>
                <c:pt idx="17">
                  <c:v>310</c:v>
                </c:pt>
                <c:pt idx="18">
                  <c:v>311</c:v>
                </c:pt>
                <c:pt idx="19">
                  <c:v>312</c:v>
                </c:pt>
                <c:pt idx="20">
                  <c:v>313</c:v>
                </c:pt>
                <c:pt idx="21">
                  <c:v>314</c:v>
                </c:pt>
                <c:pt idx="22">
                  <c:v>315</c:v>
                </c:pt>
                <c:pt idx="23">
                  <c:v>316</c:v>
                </c:pt>
                <c:pt idx="24">
                  <c:v>317</c:v>
                </c:pt>
                <c:pt idx="25">
                  <c:v>318</c:v>
                </c:pt>
                <c:pt idx="26">
                  <c:v>319</c:v>
                </c:pt>
                <c:pt idx="27">
                  <c:v>320</c:v>
                </c:pt>
                <c:pt idx="28">
                  <c:v>321</c:v>
                </c:pt>
                <c:pt idx="29">
                  <c:v>322</c:v>
                </c:pt>
                <c:pt idx="30">
                  <c:v>323</c:v>
                </c:pt>
                <c:pt idx="31">
                  <c:v>324</c:v>
                </c:pt>
                <c:pt idx="32">
                  <c:v>325</c:v>
                </c:pt>
                <c:pt idx="33">
                  <c:v>326</c:v>
                </c:pt>
                <c:pt idx="34">
                  <c:v>327</c:v>
                </c:pt>
                <c:pt idx="35">
                  <c:v>328</c:v>
                </c:pt>
                <c:pt idx="36">
                  <c:v>329</c:v>
                </c:pt>
                <c:pt idx="37">
                  <c:v>330</c:v>
                </c:pt>
                <c:pt idx="38">
                  <c:v>331</c:v>
                </c:pt>
                <c:pt idx="39">
                  <c:v>332</c:v>
                </c:pt>
                <c:pt idx="40">
                  <c:v>333</c:v>
                </c:pt>
                <c:pt idx="41">
                  <c:v>334</c:v>
                </c:pt>
                <c:pt idx="42">
                  <c:v>335</c:v>
                </c:pt>
                <c:pt idx="43">
                  <c:v>336</c:v>
                </c:pt>
                <c:pt idx="44">
                  <c:v>337</c:v>
                </c:pt>
                <c:pt idx="45">
                  <c:v>338</c:v>
                </c:pt>
                <c:pt idx="46">
                  <c:v>339</c:v>
                </c:pt>
                <c:pt idx="47">
                  <c:v>340</c:v>
                </c:pt>
                <c:pt idx="48">
                  <c:v>341</c:v>
                </c:pt>
                <c:pt idx="49">
                  <c:v>342</c:v>
                </c:pt>
                <c:pt idx="50">
                  <c:v>343</c:v>
                </c:pt>
                <c:pt idx="51">
                  <c:v>344</c:v>
                </c:pt>
                <c:pt idx="52">
                  <c:v>345</c:v>
                </c:pt>
                <c:pt idx="53">
                  <c:v>346</c:v>
                </c:pt>
                <c:pt idx="54">
                  <c:v>347</c:v>
                </c:pt>
                <c:pt idx="55">
                  <c:v>348</c:v>
                </c:pt>
                <c:pt idx="56">
                  <c:v>349</c:v>
                </c:pt>
                <c:pt idx="57">
                  <c:v>350</c:v>
                </c:pt>
                <c:pt idx="58">
                  <c:v>351</c:v>
                </c:pt>
                <c:pt idx="59">
                  <c:v>352</c:v>
                </c:pt>
                <c:pt idx="60">
                  <c:v>353</c:v>
                </c:pt>
                <c:pt idx="61">
                  <c:v>354</c:v>
                </c:pt>
                <c:pt idx="62">
                  <c:v>355</c:v>
                </c:pt>
                <c:pt idx="63">
                  <c:v>356</c:v>
                </c:pt>
                <c:pt idx="64">
                  <c:v>357</c:v>
                </c:pt>
                <c:pt idx="65">
                  <c:v>358</c:v>
                </c:pt>
                <c:pt idx="66">
                  <c:v>359</c:v>
                </c:pt>
                <c:pt idx="67">
                  <c:v>360</c:v>
                </c:pt>
                <c:pt idx="68">
                  <c:v>361</c:v>
                </c:pt>
                <c:pt idx="69">
                  <c:v>362</c:v>
                </c:pt>
                <c:pt idx="70">
                  <c:v>363</c:v>
                </c:pt>
                <c:pt idx="71">
                  <c:v>364</c:v>
                </c:pt>
                <c:pt idx="72">
                  <c:v>365</c:v>
                </c:pt>
              </c:numCache>
            </c:numRef>
          </c:cat>
          <c:val>
            <c:numRef>
              <c:f>DataHr!$Z$5:$Z$77</c:f>
              <c:numCache>
                <c:formatCode>General</c:formatCode>
                <c:ptCount val="73"/>
                <c:pt idx="0">
                  <c:v>0</c:v>
                </c:pt>
                <c:pt idx="1">
                  <c:v>6.6000000000000227</c:v>
                </c:pt>
                <c:pt idx="2">
                  <c:v>6.6000000000000227</c:v>
                </c:pt>
                <c:pt idx="3">
                  <c:v>7</c:v>
                </c:pt>
                <c:pt idx="4">
                  <c:v>12.700000000000045</c:v>
                </c:pt>
                <c:pt idx="5">
                  <c:v>18</c:v>
                </c:pt>
                <c:pt idx="6">
                  <c:v>20.900000000000034</c:v>
                </c:pt>
                <c:pt idx="7">
                  <c:v>21.5</c:v>
                </c:pt>
                <c:pt idx="8">
                  <c:v>25</c:v>
                </c:pt>
                <c:pt idx="9">
                  <c:v>25.100000000000023</c:v>
                </c:pt>
                <c:pt idx="10">
                  <c:v>32.5</c:v>
                </c:pt>
                <c:pt idx="11">
                  <c:v>38</c:v>
                </c:pt>
                <c:pt idx="12">
                  <c:v>38.100000000000023</c:v>
                </c:pt>
                <c:pt idx="13">
                  <c:v>38.200000000000045</c:v>
                </c:pt>
                <c:pt idx="14">
                  <c:v>48.100000000000023</c:v>
                </c:pt>
                <c:pt idx="15">
                  <c:v>77.300000000000011</c:v>
                </c:pt>
                <c:pt idx="16">
                  <c:v>93.5</c:v>
                </c:pt>
                <c:pt idx="17">
                  <c:v>106.70000000000005</c:v>
                </c:pt>
                <c:pt idx="18">
                  <c:v>127.5</c:v>
                </c:pt>
                <c:pt idx="19">
                  <c:v>129.80000000000001</c:v>
                </c:pt>
                <c:pt idx="20">
                  <c:v>129.80000000000001</c:v>
                </c:pt>
                <c:pt idx="21">
                  <c:v>129.90000000000003</c:v>
                </c:pt>
                <c:pt idx="22">
                  <c:v>129.90000000000003</c:v>
                </c:pt>
                <c:pt idx="23">
                  <c:v>129.90000000000003</c:v>
                </c:pt>
                <c:pt idx="24">
                  <c:v>129.90000000000003</c:v>
                </c:pt>
                <c:pt idx="25">
                  <c:v>129.90000000000003</c:v>
                </c:pt>
                <c:pt idx="26">
                  <c:v>129.90000000000003</c:v>
                </c:pt>
                <c:pt idx="27">
                  <c:v>129.90000000000003</c:v>
                </c:pt>
                <c:pt idx="28">
                  <c:v>130</c:v>
                </c:pt>
                <c:pt idx="29">
                  <c:v>130</c:v>
                </c:pt>
                <c:pt idx="30">
                  <c:v>130</c:v>
                </c:pt>
                <c:pt idx="31">
                  <c:v>130</c:v>
                </c:pt>
                <c:pt idx="32">
                  <c:v>131.10000000000002</c:v>
                </c:pt>
                <c:pt idx="33">
                  <c:v>134.80000000000001</c:v>
                </c:pt>
                <c:pt idx="34">
                  <c:v>134.80000000000001</c:v>
                </c:pt>
                <c:pt idx="35">
                  <c:v>134.80000000000001</c:v>
                </c:pt>
                <c:pt idx="36">
                  <c:v>139.40000000000003</c:v>
                </c:pt>
                <c:pt idx="37">
                  <c:v>139.70000000000005</c:v>
                </c:pt>
                <c:pt idx="38">
                  <c:v>154.20000000000005</c:v>
                </c:pt>
                <c:pt idx="39">
                  <c:v>158.30000000000001</c:v>
                </c:pt>
                <c:pt idx="40">
                  <c:v>162.90000000000003</c:v>
                </c:pt>
                <c:pt idx="41">
                  <c:v>165.90000000000003</c:v>
                </c:pt>
                <c:pt idx="42">
                  <c:v>167.90000000000003</c:v>
                </c:pt>
                <c:pt idx="43">
                  <c:v>167.90000000000003</c:v>
                </c:pt>
                <c:pt idx="44">
                  <c:v>167.90000000000003</c:v>
                </c:pt>
                <c:pt idx="45">
                  <c:v>169.70000000000005</c:v>
                </c:pt>
                <c:pt idx="46">
                  <c:v>169.8</c:v>
                </c:pt>
                <c:pt idx="47">
                  <c:v>169.8</c:v>
                </c:pt>
                <c:pt idx="48">
                  <c:v>170.70000000000005</c:v>
                </c:pt>
                <c:pt idx="49">
                  <c:v>171.20000000000005</c:v>
                </c:pt>
                <c:pt idx="50">
                  <c:v>174.5</c:v>
                </c:pt>
                <c:pt idx="51">
                  <c:v>178.40000000000003</c:v>
                </c:pt>
                <c:pt idx="52">
                  <c:v>180.60000000000002</c:v>
                </c:pt>
                <c:pt idx="53">
                  <c:v>180.8</c:v>
                </c:pt>
                <c:pt idx="54">
                  <c:v>183</c:v>
                </c:pt>
                <c:pt idx="55">
                  <c:v>183.3</c:v>
                </c:pt>
                <c:pt idx="56">
                  <c:v>183.3</c:v>
                </c:pt>
                <c:pt idx="57">
                  <c:v>183.3</c:v>
                </c:pt>
                <c:pt idx="58">
                  <c:v>184.5</c:v>
                </c:pt>
                <c:pt idx="59">
                  <c:v>187.3</c:v>
                </c:pt>
                <c:pt idx="60">
                  <c:v>187.8</c:v>
                </c:pt>
                <c:pt idx="61">
                  <c:v>199</c:v>
                </c:pt>
                <c:pt idx="62">
                  <c:v>200.10000000000002</c:v>
                </c:pt>
                <c:pt idx="63">
                  <c:v>200.40000000000003</c:v>
                </c:pt>
                <c:pt idx="64">
                  <c:v>209.5</c:v>
                </c:pt>
                <c:pt idx="65">
                  <c:v>212.40000000000003</c:v>
                </c:pt>
                <c:pt idx="66">
                  <c:v>216.10000000000002</c:v>
                </c:pt>
                <c:pt idx="67">
                  <c:v>224.30000000000007</c:v>
                </c:pt>
                <c:pt idx="68">
                  <c:v>235.80000000000007</c:v>
                </c:pt>
                <c:pt idx="69">
                  <c:v>238.89999999999998</c:v>
                </c:pt>
                <c:pt idx="70">
                  <c:v>242</c:v>
                </c:pt>
                <c:pt idx="71">
                  <c:v>244.60000000000002</c:v>
                </c:pt>
                <c:pt idx="72">
                  <c:v>248.10000000000002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80704"/>
        <c:axId val="147082624"/>
      </c:lineChart>
      <c:catAx>
        <c:axId val="1470807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0826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7082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080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Precipitation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PPT</c:v>
          </c:tx>
          <c:invertIfNegative val="0"/>
          <c:cat>
            <c:numRef>
              <c:f>DataHr!$X$5:$X$77</c:f>
              <c:numCache>
                <c:formatCode>General</c:formatCode>
                <c:ptCount val="73"/>
                <c:pt idx="0">
                  <c:v>293</c:v>
                </c:pt>
                <c:pt idx="1">
                  <c:v>294</c:v>
                </c:pt>
                <c:pt idx="2">
                  <c:v>295</c:v>
                </c:pt>
                <c:pt idx="3">
                  <c:v>296</c:v>
                </c:pt>
                <c:pt idx="4">
                  <c:v>297</c:v>
                </c:pt>
                <c:pt idx="5">
                  <c:v>298</c:v>
                </c:pt>
                <c:pt idx="6">
                  <c:v>299</c:v>
                </c:pt>
                <c:pt idx="7">
                  <c:v>300</c:v>
                </c:pt>
                <c:pt idx="8">
                  <c:v>301</c:v>
                </c:pt>
                <c:pt idx="9">
                  <c:v>302</c:v>
                </c:pt>
                <c:pt idx="10">
                  <c:v>303</c:v>
                </c:pt>
                <c:pt idx="11">
                  <c:v>304</c:v>
                </c:pt>
                <c:pt idx="12">
                  <c:v>305</c:v>
                </c:pt>
                <c:pt idx="13">
                  <c:v>306</c:v>
                </c:pt>
                <c:pt idx="14">
                  <c:v>307</c:v>
                </c:pt>
                <c:pt idx="15">
                  <c:v>308</c:v>
                </c:pt>
                <c:pt idx="16">
                  <c:v>309</c:v>
                </c:pt>
                <c:pt idx="17">
                  <c:v>310</c:v>
                </c:pt>
                <c:pt idx="18">
                  <c:v>311</c:v>
                </c:pt>
                <c:pt idx="19">
                  <c:v>312</c:v>
                </c:pt>
                <c:pt idx="20">
                  <c:v>313</c:v>
                </c:pt>
                <c:pt idx="21">
                  <c:v>314</c:v>
                </c:pt>
                <c:pt idx="22">
                  <c:v>315</c:v>
                </c:pt>
                <c:pt idx="23">
                  <c:v>316</c:v>
                </c:pt>
                <c:pt idx="24">
                  <c:v>317</c:v>
                </c:pt>
                <c:pt idx="25">
                  <c:v>318</c:v>
                </c:pt>
                <c:pt idx="26">
                  <c:v>319</c:v>
                </c:pt>
                <c:pt idx="27">
                  <c:v>320</c:v>
                </c:pt>
                <c:pt idx="28">
                  <c:v>321</c:v>
                </c:pt>
                <c:pt idx="29">
                  <c:v>322</c:v>
                </c:pt>
                <c:pt idx="30">
                  <c:v>323</c:v>
                </c:pt>
                <c:pt idx="31">
                  <c:v>324</c:v>
                </c:pt>
                <c:pt idx="32">
                  <c:v>325</c:v>
                </c:pt>
                <c:pt idx="33">
                  <c:v>326</c:v>
                </c:pt>
                <c:pt idx="34">
                  <c:v>327</c:v>
                </c:pt>
                <c:pt idx="35">
                  <c:v>328</c:v>
                </c:pt>
                <c:pt idx="36">
                  <c:v>329</c:v>
                </c:pt>
                <c:pt idx="37">
                  <c:v>330</c:v>
                </c:pt>
                <c:pt idx="38">
                  <c:v>331</c:v>
                </c:pt>
                <c:pt idx="39">
                  <c:v>332</c:v>
                </c:pt>
                <c:pt idx="40">
                  <c:v>333</c:v>
                </c:pt>
                <c:pt idx="41">
                  <c:v>334</c:v>
                </c:pt>
                <c:pt idx="42">
                  <c:v>335</c:v>
                </c:pt>
                <c:pt idx="43">
                  <c:v>336</c:v>
                </c:pt>
                <c:pt idx="44">
                  <c:v>337</c:v>
                </c:pt>
                <c:pt idx="45">
                  <c:v>338</c:v>
                </c:pt>
                <c:pt idx="46">
                  <c:v>339</c:v>
                </c:pt>
                <c:pt idx="47">
                  <c:v>340</c:v>
                </c:pt>
                <c:pt idx="48">
                  <c:v>341</c:v>
                </c:pt>
                <c:pt idx="49">
                  <c:v>342</c:v>
                </c:pt>
                <c:pt idx="50">
                  <c:v>343</c:v>
                </c:pt>
                <c:pt idx="51">
                  <c:v>344</c:v>
                </c:pt>
                <c:pt idx="52">
                  <c:v>345</c:v>
                </c:pt>
                <c:pt idx="53">
                  <c:v>346</c:v>
                </c:pt>
                <c:pt idx="54">
                  <c:v>347</c:v>
                </c:pt>
                <c:pt idx="55">
                  <c:v>348</c:v>
                </c:pt>
                <c:pt idx="56">
                  <c:v>349</c:v>
                </c:pt>
                <c:pt idx="57">
                  <c:v>350</c:v>
                </c:pt>
                <c:pt idx="58">
                  <c:v>351</c:v>
                </c:pt>
                <c:pt idx="59">
                  <c:v>352</c:v>
                </c:pt>
                <c:pt idx="60">
                  <c:v>353</c:v>
                </c:pt>
                <c:pt idx="61">
                  <c:v>354</c:v>
                </c:pt>
                <c:pt idx="62">
                  <c:v>355</c:v>
                </c:pt>
                <c:pt idx="63">
                  <c:v>356</c:v>
                </c:pt>
                <c:pt idx="64">
                  <c:v>357</c:v>
                </c:pt>
                <c:pt idx="65">
                  <c:v>358</c:v>
                </c:pt>
                <c:pt idx="66">
                  <c:v>359</c:v>
                </c:pt>
                <c:pt idx="67">
                  <c:v>360</c:v>
                </c:pt>
                <c:pt idx="68">
                  <c:v>361</c:v>
                </c:pt>
                <c:pt idx="69">
                  <c:v>362</c:v>
                </c:pt>
                <c:pt idx="70">
                  <c:v>363</c:v>
                </c:pt>
                <c:pt idx="71">
                  <c:v>364</c:v>
                </c:pt>
                <c:pt idx="72">
                  <c:v>365</c:v>
                </c:pt>
              </c:numCache>
            </c:numRef>
          </c:cat>
          <c:val>
            <c:numRef>
              <c:f>DataHr!$Y$5:$Y$77</c:f>
              <c:numCache>
                <c:formatCode>General</c:formatCode>
                <c:ptCount val="73"/>
                <c:pt idx="0">
                  <c:v>0</c:v>
                </c:pt>
                <c:pt idx="1">
                  <c:v>6.6000000000000227</c:v>
                </c:pt>
                <c:pt idx="2">
                  <c:v>0</c:v>
                </c:pt>
                <c:pt idx="3">
                  <c:v>0.39999999999997726</c:v>
                </c:pt>
                <c:pt idx="4">
                  <c:v>5.7000000000000455</c:v>
                </c:pt>
                <c:pt idx="5">
                  <c:v>5.2999999999999545</c:v>
                </c:pt>
                <c:pt idx="6">
                  <c:v>2.9000000000000341</c:v>
                </c:pt>
                <c:pt idx="7">
                  <c:v>0.59999999999996589</c:v>
                </c:pt>
                <c:pt idx="8">
                  <c:v>3.5</c:v>
                </c:pt>
                <c:pt idx="9">
                  <c:v>0.10000000000002274</c:v>
                </c:pt>
                <c:pt idx="10">
                  <c:v>7.3999999999999773</c:v>
                </c:pt>
                <c:pt idx="11">
                  <c:v>5.5</c:v>
                </c:pt>
                <c:pt idx="12">
                  <c:v>0.10000000000002274</c:v>
                </c:pt>
                <c:pt idx="13">
                  <c:v>0.10000000000002274</c:v>
                </c:pt>
                <c:pt idx="14">
                  <c:v>9.8999999999999773</c:v>
                </c:pt>
                <c:pt idx="15">
                  <c:v>29.199999999999989</c:v>
                </c:pt>
                <c:pt idx="16">
                  <c:v>16.199999999999989</c:v>
                </c:pt>
                <c:pt idx="17">
                  <c:v>13.200000000000045</c:v>
                </c:pt>
                <c:pt idx="18">
                  <c:v>20.799999999999955</c:v>
                </c:pt>
                <c:pt idx="19">
                  <c:v>2.3000000000000114</c:v>
                </c:pt>
                <c:pt idx="20">
                  <c:v>0</c:v>
                </c:pt>
                <c:pt idx="21">
                  <c:v>0.10000000000002274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9.9999999999965894E-2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1.1000000000000227</c:v>
                </c:pt>
                <c:pt idx="33">
                  <c:v>3.6999999999999886</c:v>
                </c:pt>
                <c:pt idx="34">
                  <c:v>0</c:v>
                </c:pt>
                <c:pt idx="35">
                  <c:v>0</c:v>
                </c:pt>
                <c:pt idx="36">
                  <c:v>4.6000000000000227</c:v>
                </c:pt>
                <c:pt idx="37">
                  <c:v>0.30000000000001137</c:v>
                </c:pt>
                <c:pt idx="38">
                  <c:v>14.5</c:v>
                </c:pt>
                <c:pt idx="39">
                  <c:v>4.0999999999999659</c:v>
                </c:pt>
                <c:pt idx="40">
                  <c:v>4.6000000000000227</c:v>
                </c:pt>
                <c:pt idx="41">
                  <c:v>3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1.8000000000000114</c:v>
                </c:pt>
                <c:pt idx="46">
                  <c:v>9.9999999999965894E-2</c:v>
                </c:pt>
                <c:pt idx="47">
                  <c:v>0</c:v>
                </c:pt>
                <c:pt idx="48">
                  <c:v>0.90000000000003411</c:v>
                </c:pt>
                <c:pt idx="49">
                  <c:v>0.5</c:v>
                </c:pt>
                <c:pt idx="50">
                  <c:v>3.2999999999999545</c:v>
                </c:pt>
                <c:pt idx="51">
                  <c:v>3.9000000000000341</c:v>
                </c:pt>
                <c:pt idx="52">
                  <c:v>2.1999999999999886</c:v>
                </c:pt>
                <c:pt idx="53">
                  <c:v>0.19999999999998863</c:v>
                </c:pt>
                <c:pt idx="54">
                  <c:v>2.1999999999999886</c:v>
                </c:pt>
                <c:pt idx="55">
                  <c:v>0.30000000000001137</c:v>
                </c:pt>
                <c:pt idx="56">
                  <c:v>0</c:v>
                </c:pt>
                <c:pt idx="57">
                  <c:v>0</c:v>
                </c:pt>
                <c:pt idx="58">
                  <c:v>1.1999999999999886</c:v>
                </c:pt>
                <c:pt idx="59">
                  <c:v>2.8000000000000114</c:v>
                </c:pt>
                <c:pt idx="60">
                  <c:v>0.5</c:v>
                </c:pt>
                <c:pt idx="61">
                  <c:v>11.199999999999989</c:v>
                </c:pt>
                <c:pt idx="62">
                  <c:v>1.1000000000000227</c:v>
                </c:pt>
                <c:pt idx="63">
                  <c:v>0.30000000000001137</c:v>
                </c:pt>
                <c:pt idx="64">
                  <c:v>9.0999999999999659</c:v>
                </c:pt>
                <c:pt idx="65">
                  <c:v>2.9000000000000341</c:v>
                </c:pt>
                <c:pt idx="66">
                  <c:v>3.6999999999999886</c:v>
                </c:pt>
                <c:pt idx="67">
                  <c:v>8.2000000000000455</c:v>
                </c:pt>
                <c:pt idx="68">
                  <c:v>11.5</c:v>
                </c:pt>
                <c:pt idx="69">
                  <c:v>3.0999999999999091</c:v>
                </c:pt>
                <c:pt idx="70">
                  <c:v>3.1000000000000227</c:v>
                </c:pt>
                <c:pt idx="71">
                  <c:v>2.6000000000000227</c:v>
                </c:pt>
                <c:pt idx="72">
                  <c:v>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73472"/>
        <c:axId val="147706624"/>
      </c:barChart>
      <c:catAx>
        <c:axId val="1476734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70662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47706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673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Daily Precipitation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DataHr!$X$5:$X$77</c:f>
              <c:numCache>
                <c:formatCode>General</c:formatCode>
                <c:ptCount val="73"/>
                <c:pt idx="0">
                  <c:v>293</c:v>
                </c:pt>
                <c:pt idx="1">
                  <c:v>294</c:v>
                </c:pt>
                <c:pt idx="2">
                  <c:v>295</c:v>
                </c:pt>
                <c:pt idx="3">
                  <c:v>296</c:v>
                </c:pt>
                <c:pt idx="4">
                  <c:v>297</c:v>
                </c:pt>
                <c:pt idx="5">
                  <c:v>298</c:v>
                </c:pt>
                <c:pt idx="6">
                  <c:v>299</c:v>
                </c:pt>
                <c:pt idx="7">
                  <c:v>300</c:v>
                </c:pt>
                <c:pt idx="8">
                  <c:v>301</c:v>
                </c:pt>
                <c:pt idx="9">
                  <c:v>302</c:v>
                </c:pt>
                <c:pt idx="10">
                  <c:v>303</c:v>
                </c:pt>
                <c:pt idx="11">
                  <c:v>304</c:v>
                </c:pt>
                <c:pt idx="12">
                  <c:v>305</c:v>
                </c:pt>
                <c:pt idx="13">
                  <c:v>306</c:v>
                </c:pt>
                <c:pt idx="14">
                  <c:v>307</c:v>
                </c:pt>
                <c:pt idx="15">
                  <c:v>308</c:v>
                </c:pt>
                <c:pt idx="16">
                  <c:v>309</c:v>
                </c:pt>
                <c:pt idx="17">
                  <c:v>310</c:v>
                </c:pt>
                <c:pt idx="18">
                  <c:v>311</c:v>
                </c:pt>
                <c:pt idx="19">
                  <c:v>312</c:v>
                </c:pt>
                <c:pt idx="20">
                  <c:v>313</c:v>
                </c:pt>
                <c:pt idx="21">
                  <c:v>314</c:v>
                </c:pt>
                <c:pt idx="22">
                  <c:v>315</c:v>
                </c:pt>
                <c:pt idx="23">
                  <c:v>316</c:v>
                </c:pt>
                <c:pt idx="24">
                  <c:v>317</c:v>
                </c:pt>
                <c:pt idx="25">
                  <c:v>318</c:v>
                </c:pt>
                <c:pt idx="26">
                  <c:v>319</c:v>
                </c:pt>
                <c:pt idx="27">
                  <c:v>320</c:v>
                </c:pt>
                <c:pt idx="28">
                  <c:v>321</c:v>
                </c:pt>
                <c:pt idx="29">
                  <c:v>322</c:v>
                </c:pt>
                <c:pt idx="30">
                  <c:v>323</c:v>
                </c:pt>
                <c:pt idx="31">
                  <c:v>324</c:v>
                </c:pt>
                <c:pt idx="32">
                  <c:v>325</c:v>
                </c:pt>
                <c:pt idx="33">
                  <c:v>326</c:v>
                </c:pt>
                <c:pt idx="34">
                  <c:v>327</c:v>
                </c:pt>
                <c:pt idx="35">
                  <c:v>328</c:v>
                </c:pt>
                <c:pt idx="36">
                  <c:v>329</c:v>
                </c:pt>
                <c:pt idx="37">
                  <c:v>330</c:v>
                </c:pt>
                <c:pt idx="38">
                  <c:v>331</c:v>
                </c:pt>
                <c:pt idx="39">
                  <c:v>332</c:v>
                </c:pt>
                <c:pt idx="40">
                  <c:v>333</c:v>
                </c:pt>
                <c:pt idx="41">
                  <c:v>334</c:v>
                </c:pt>
                <c:pt idx="42">
                  <c:v>335</c:v>
                </c:pt>
                <c:pt idx="43">
                  <c:v>336</c:v>
                </c:pt>
                <c:pt idx="44">
                  <c:v>337</c:v>
                </c:pt>
                <c:pt idx="45">
                  <c:v>338</c:v>
                </c:pt>
                <c:pt idx="46">
                  <c:v>339</c:v>
                </c:pt>
                <c:pt idx="47">
                  <c:v>340</c:v>
                </c:pt>
                <c:pt idx="48">
                  <c:v>341</c:v>
                </c:pt>
                <c:pt idx="49">
                  <c:v>342</c:v>
                </c:pt>
                <c:pt idx="50">
                  <c:v>343</c:v>
                </c:pt>
                <c:pt idx="51">
                  <c:v>344</c:v>
                </c:pt>
                <c:pt idx="52">
                  <c:v>345</c:v>
                </c:pt>
                <c:pt idx="53">
                  <c:v>346</c:v>
                </c:pt>
                <c:pt idx="54">
                  <c:v>347</c:v>
                </c:pt>
                <c:pt idx="55">
                  <c:v>348</c:v>
                </c:pt>
                <c:pt idx="56">
                  <c:v>349</c:v>
                </c:pt>
                <c:pt idx="57">
                  <c:v>350</c:v>
                </c:pt>
                <c:pt idx="58">
                  <c:v>351</c:v>
                </c:pt>
                <c:pt idx="59">
                  <c:v>352</c:v>
                </c:pt>
                <c:pt idx="60">
                  <c:v>353</c:v>
                </c:pt>
                <c:pt idx="61">
                  <c:v>354</c:v>
                </c:pt>
                <c:pt idx="62">
                  <c:v>355</c:v>
                </c:pt>
                <c:pt idx="63">
                  <c:v>356</c:v>
                </c:pt>
                <c:pt idx="64">
                  <c:v>357</c:v>
                </c:pt>
                <c:pt idx="65">
                  <c:v>358</c:v>
                </c:pt>
                <c:pt idx="66">
                  <c:v>359</c:v>
                </c:pt>
                <c:pt idx="67">
                  <c:v>360</c:v>
                </c:pt>
                <c:pt idx="68">
                  <c:v>361</c:v>
                </c:pt>
                <c:pt idx="69">
                  <c:v>362</c:v>
                </c:pt>
                <c:pt idx="70">
                  <c:v>363</c:v>
                </c:pt>
                <c:pt idx="71">
                  <c:v>364</c:v>
                </c:pt>
                <c:pt idx="72">
                  <c:v>365</c:v>
                </c:pt>
              </c:numCache>
            </c:numRef>
          </c:cat>
          <c:val>
            <c:numRef>
              <c:f>DataHr!$Z$5:$Z$77</c:f>
              <c:numCache>
                <c:formatCode>General</c:formatCode>
                <c:ptCount val="73"/>
                <c:pt idx="0">
                  <c:v>0</c:v>
                </c:pt>
                <c:pt idx="1">
                  <c:v>6.6000000000000227</c:v>
                </c:pt>
                <c:pt idx="2">
                  <c:v>6.6000000000000227</c:v>
                </c:pt>
                <c:pt idx="3">
                  <c:v>7</c:v>
                </c:pt>
                <c:pt idx="4">
                  <c:v>12.700000000000045</c:v>
                </c:pt>
                <c:pt idx="5">
                  <c:v>18</c:v>
                </c:pt>
                <c:pt idx="6">
                  <c:v>20.900000000000034</c:v>
                </c:pt>
                <c:pt idx="7">
                  <c:v>21.5</c:v>
                </c:pt>
                <c:pt idx="8">
                  <c:v>25</c:v>
                </c:pt>
                <c:pt idx="9">
                  <c:v>25.100000000000023</c:v>
                </c:pt>
                <c:pt idx="10">
                  <c:v>32.5</c:v>
                </c:pt>
                <c:pt idx="11">
                  <c:v>38</c:v>
                </c:pt>
                <c:pt idx="12">
                  <c:v>38.100000000000023</c:v>
                </c:pt>
                <c:pt idx="13">
                  <c:v>38.200000000000045</c:v>
                </c:pt>
                <c:pt idx="14">
                  <c:v>48.100000000000023</c:v>
                </c:pt>
                <c:pt idx="15">
                  <c:v>77.300000000000011</c:v>
                </c:pt>
                <c:pt idx="16">
                  <c:v>93.5</c:v>
                </c:pt>
                <c:pt idx="17">
                  <c:v>106.70000000000005</c:v>
                </c:pt>
                <c:pt idx="18">
                  <c:v>127.5</c:v>
                </c:pt>
                <c:pt idx="19">
                  <c:v>129.80000000000001</c:v>
                </c:pt>
                <c:pt idx="20">
                  <c:v>129.80000000000001</c:v>
                </c:pt>
                <c:pt idx="21">
                  <c:v>129.90000000000003</c:v>
                </c:pt>
                <c:pt idx="22">
                  <c:v>129.90000000000003</c:v>
                </c:pt>
                <c:pt idx="23">
                  <c:v>129.90000000000003</c:v>
                </c:pt>
                <c:pt idx="24">
                  <c:v>129.90000000000003</c:v>
                </c:pt>
                <c:pt idx="25">
                  <c:v>129.90000000000003</c:v>
                </c:pt>
                <c:pt idx="26">
                  <c:v>129.90000000000003</c:v>
                </c:pt>
                <c:pt idx="27">
                  <c:v>129.90000000000003</c:v>
                </c:pt>
                <c:pt idx="28">
                  <c:v>130</c:v>
                </c:pt>
                <c:pt idx="29">
                  <c:v>130</c:v>
                </c:pt>
                <c:pt idx="30">
                  <c:v>130</c:v>
                </c:pt>
                <c:pt idx="31">
                  <c:v>130</c:v>
                </c:pt>
                <c:pt idx="32">
                  <c:v>131.10000000000002</c:v>
                </c:pt>
                <c:pt idx="33">
                  <c:v>134.80000000000001</c:v>
                </c:pt>
                <c:pt idx="34">
                  <c:v>134.80000000000001</c:v>
                </c:pt>
                <c:pt idx="35">
                  <c:v>134.80000000000001</c:v>
                </c:pt>
                <c:pt idx="36">
                  <c:v>139.40000000000003</c:v>
                </c:pt>
                <c:pt idx="37">
                  <c:v>139.70000000000005</c:v>
                </c:pt>
                <c:pt idx="38">
                  <c:v>154.20000000000005</c:v>
                </c:pt>
                <c:pt idx="39">
                  <c:v>158.30000000000001</c:v>
                </c:pt>
                <c:pt idx="40">
                  <c:v>162.90000000000003</c:v>
                </c:pt>
                <c:pt idx="41">
                  <c:v>165.90000000000003</c:v>
                </c:pt>
                <c:pt idx="42">
                  <c:v>167.90000000000003</c:v>
                </c:pt>
                <c:pt idx="43">
                  <c:v>167.90000000000003</c:v>
                </c:pt>
                <c:pt idx="44">
                  <c:v>167.90000000000003</c:v>
                </c:pt>
                <c:pt idx="45">
                  <c:v>169.70000000000005</c:v>
                </c:pt>
                <c:pt idx="46">
                  <c:v>169.8</c:v>
                </c:pt>
                <c:pt idx="47">
                  <c:v>169.8</c:v>
                </c:pt>
                <c:pt idx="48">
                  <c:v>170.70000000000005</c:v>
                </c:pt>
                <c:pt idx="49">
                  <c:v>171.20000000000005</c:v>
                </c:pt>
                <c:pt idx="50">
                  <c:v>174.5</c:v>
                </c:pt>
                <c:pt idx="51">
                  <c:v>178.40000000000003</c:v>
                </c:pt>
                <c:pt idx="52">
                  <c:v>180.60000000000002</c:v>
                </c:pt>
                <c:pt idx="53">
                  <c:v>180.8</c:v>
                </c:pt>
                <c:pt idx="54">
                  <c:v>183</c:v>
                </c:pt>
                <c:pt idx="55">
                  <c:v>183.3</c:v>
                </c:pt>
                <c:pt idx="56">
                  <c:v>183.3</c:v>
                </c:pt>
                <c:pt idx="57">
                  <c:v>183.3</c:v>
                </c:pt>
                <c:pt idx="58">
                  <c:v>184.5</c:v>
                </c:pt>
                <c:pt idx="59">
                  <c:v>187.3</c:v>
                </c:pt>
                <c:pt idx="60">
                  <c:v>187.8</c:v>
                </c:pt>
                <c:pt idx="61">
                  <c:v>199</c:v>
                </c:pt>
                <c:pt idx="62">
                  <c:v>200.10000000000002</c:v>
                </c:pt>
                <c:pt idx="63">
                  <c:v>200.40000000000003</c:v>
                </c:pt>
                <c:pt idx="64">
                  <c:v>209.5</c:v>
                </c:pt>
                <c:pt idx="65">
                  <c:v>212.40000000000003</c:v>
                </c:pt>
                <c:pt idx="66">
                  <c:v>216.10000000000002</c:v>
                </c:pt>
                <c:pt idx="67">
                  <c:v>224.30000000000007</c:v>
                </c:pt>
                <c:pt idx="68">
                  <c:v>235.80000000000007</c:v>
                </c:pt>
                <c:pt idx="69">
                  <c:v>238.89999999999998</c:v>
                </c:pt>
                <c:pt idx="70">
                  <c:v>242</c:v>
                </c:pt>
                <c:pt idx="71">
                  <c:v>244.60000000000002</c:v>
                </c:pt>
                <c:pt idx="72">
                  <c:v>248.10000000000002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80576"/>
        <c:axId val="149827584"/>
      </c:lineChart>
      <c:catAx>
        <c:axId val="1478805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982758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49827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880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precipitation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DataDy!$B$5:$B$77</c:f>
              <c:numCache>
                <c:formatCode>General</c:formatCode>
                <c:ptCount val="73"/>
                <c:pt idx="0">
                  <c:v>293</c:v>
                </c:pt>
                <c:pt idx="1">
                  <c:v>294</c:v>
                </c:pt>
                <c:pt idx="2">
                  <c:v>295</c:v>
                </c:pt>
                <c:pt idx="3">
                  <c:v>296</c:v>
                </c:pt>
                <c:pt idx="4">
                  <c:v>297</c:v>
                </c:pt>
                <c:pt idx="5">
                  <c:v>298</c:v>
                </c:pt>
                <c:pt idx="6">
                  <c:v>299</c:v>
                </c:pt>
                <c:pt idx="7">
                  <c:v>300</c:v>
                </c:pt>
                <c:pt idx="8">
                  <c:v>301</c:v>
                </c:pt>
                <c:pt idx="9">
                  <c:v>302</c:v>
                </c:pt>
                <c:pt idx="10">
                  <c:v>303</c:v>
                </c:pt>
                <c:pt idx="11">
                  <c:v>304</c:v>
                </c:pt>
                <c:pt idx="12">
                  <c:v>305</c:v>
                </c:pt>
                <c:pt idx="13">
                  <c:v>306</c:v>
                </c:pt>
                <c:pt idx="14">
                  <c:v>307</c:v>
                </c:pt>
                <c:pt idx="15">
                  <c:v>308</c:v>
                </c:pt>
                <c:pt idx="16">
                  <c:v>309</c:v>
                </c:pt>
                <c:pt idx="17">
                  <c:v>310</c:v>
                </c:pt>
                <c:pt idx="18">
                  <c:v>311</c:v>
                </c:pt>
                <c:pt idx="19">
                  <c:v>312</c:v>
                </c:pt>
                <c:pt idx="20">
                  <c:v>313</c:v>
                </c:pt>
                <c:pt idx="21">
                  <c:v>314</c:v>
                </c:pt>
                <c:pt idx="22">
                  <c:v>315</c:v>
                </c:pt>
                <c:pt idx="23">
                  <c:v>316</c:v>
                </c:pt>
                <c:pt idx="24">
                  <c:v>317</c:v>
                </c:pt>
                <c:pt idx="25">
                  <c:v>318</c:v>
                </c:pt>
                <c:pt idx="26">
                  <c:v>319</c:v>
                </c:pt>
                <c:pt idx="27">
                  <c:v>320</c:v>
                </c:pt>
                <c:pt idx="28">
                  <c:v>321</c:v>
                </c:pt>
                <c:pt idx="29">
                  <c:v>322</c:v>
                </c:pt>
                <c:pt idx="30">
                  <c:v>323</c:v>
                </c:pt>
                <c:pt idx="31">
                  <c:v>324</c:v>
                </c:pt>
                <c:pt idx="32">
                  <c:v>325</c:v>
                </c:pt>
                <c:pt idx="33">
                  <c:v>326</c:v>
                </c:pt>
                <c:pt idx="34">
                  <c:v>327</c:v>
                </c:pt>
                <c:pt idx="35">
                  <c:v>328</c:v>
                </c:pt>
                <c:pt idx="36">
                  <c:v>329</c:v>
                </c:pt>
                <c:pt idx="37">
                  <c:v>330</c:v>
                </c:pt>
                <c:pt idx="38">
                  <c:v>331</c:v>
                </c:pt>
                <c:pt idx="39">
                  <c:v>332</c:v>
                </c:pt>
                <c:pt idx="40">
                  <c:v>333</c:v>
                </c:pt>
                <c:pt idx="41">
                  <c:v>334</c:v>
                </c:pt>
                <c:pt idx="42">
                  <c:v>335</c:v>
                </c:pt>
                <c:pt idx="43">
                  <c:v>336</c:v>
                </c:pt>
                <c:pt idx="44">
                  <c:v>337</c:v>
                </c:pt>
                <c:pt idx="45">
                  <c:v>338</c:v>
                </c:pt>
                <c:pt idx="46">
                  <c:v>339</c:v>
                </c:pt>
                <c:pt idx="47">
                  <c:v>340</c:v>
                </c:pt>
                <c:pt idx="48">
                  <c:v>341</c:v>
                </c:pt>
                <c:pt idx="49">
                  <c:v>342</c:v>
                </c:pt>
                <c:pt idx="50">
                  <c:v>343</c:v>
                </c:pt>
                <c:pt idx="51">
                  <c:v>344</c:v>
                </c:pt>
                <c:pt idx="52">
                  <c:v>345</c:v>
                </c:pt>
                <c:pt idx="53">
                  <c:v>346</c:v>
                </c:pt>
                <c:pt idx="54">
                  <c:v>347</c:v>
                </c:pt>
                <c:pt idx="55">
                  <c:v>348</c:v>
                </c:pt>
                <c:pt idx="56">
                  <c:v>349</c:v>
                </c:pt>
                <c:pt idx="57">
                  <c:v>350</c:v>
                </c:pt>
                <c:pt idx="58">
                  <c:v>351</c:v>
                </c:pt>
                <c:pt idx="59">
                  <c:v>352</c:v>
                </c:pt>
                <c:pt idx="60">
                  <c:v>353</c:v>
                </c:pt>
                <c:pt idx="61">
                  <c:v>354</c:v>
                </c:pt>
                <c:pt idx="62">
                  <c:v>355</c:v>
                </c:pt>
                <c:pt idx="63">
                  <c:v>356</c:v>
                </c:pt>
                <c:pt idx="64">
                  <c:v>357</c:v>
                </c:pt>
                <c:pt idx="65">
                  <c:v>358</c:v>
                </c:pt>
                <c:pt idx="66">
                  <c:v>359</c:v>
                </c:pt>
                <c:pt idx="67">
                  <c:v>360</c:v>
                </c:pt>
                <c:pt idx="68">
                  <c:v>361</c:v>
                </c:pt>
                <c:pt idx="69">
                  <c:v>362</c:v>
                </c:pt>
                <c:pt idx="70">
                  <c:v>363</c:v>
                </c:pt>
                <c:pt idx="71">
                  <c:v>364</c:v>
                </c:pt>
                <c:pt idx="72">
                  <c:v>365</c:v>
                </c:pt>
              </c:numCache>
            </c:numRef>
          </c:cat>
          <c:val>
            <c:numRef>
              <c:f>DataDy!$R$5:$R$77</c:f>
              <c:numCache>
                <c:formatCode>General</c:formatCode>
                <c:ptCount val="73"/>
                <c:pt idx="0">
                  <c:v>0</c:v>
                </c:pt>
                <c:pt idx="1">
                  <c:v>4.4000000000000341</c:v>
                </c:pt>
                <c:pt idx="2">
                  <c:v>0</c:v>
                </c:pt>
                <c:pt idx="3">
                  <c:v>0</c:v>
                </c:pt>
                <c:pt idx="4">
                  <c:v>5.7000000000000455</c:v>
                </c:pt>
                <c:pt idx="5">
                  <c:v>5.2999999999999545</c:v>
                </c:pt>
                <c:pt idx="6">
                  <c:v>2.9000000000000341</c:v>
                </c:pt>
                <c:pt idx="7">
                  <c:v>0.59999999999996589</c:v>
                </c:pt>
                <c:pt idx="8">
                  <c:v>3.5</c:v>
                </c:pt>
                <c:pt idx="9">
                  <c:v>0</c:v>
                </c:pt>
                <c:pt idx="10">
                  <c:v>7.5</c:v>
                </c:pt>
                <c:pt idx="11">
                  <c:v>5.5</c:v>
                </c:pt>
                <c:pt idx="12">
                  <c:v>0</c:v>
                </c:pt>
                <c:pt idx="13">
                  <c:v>0.20000000000004547</c:v>
                </c:pt>
                <c:pt idx="14">
                  <c:v>9.8999999999999773</c:v>
                </c:pt>
                <c:pt idx="15">
                  <c:v>29.199999999999989</c:v>
                </c:pt>
                <c:pt idx="16">
                  <c:v>16.199999999999989</c:v>
                </c:pt>
                <c:pt idx="17">
                  <c:v>13.200000000000045</c:v>
                </c:pt>
                <c:pt idx="18">
                  <c:v>20.799999999999955</c:v>
                </c:pt>
                <c:pt idx="19">
                  <c:v>2.3000000000000114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0.10000000000002274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1.1999999999999886</c:v>
                </c:pt>
                <c:pt idx="33">
                  <c:v>3.6999999999999886</c:v>
                </c:pt>
                <c:pt idx="34">
                  <c:v>0</c:v>
                </c:pt>
                <c:pt idx="35">
                  <c:v>0</c:v>
                </c:pt>
                <c:pt idx="36">
                  <c:v>4.6000000000000227</c:v>
                </c:pt>
                <c:pt idx="37">
                  <c:v>0.30000000000001137</c:v>
                </c:pt>
                <c:pt idx="38">
                  <c:v>14.5</c:v>
                </c:pt>
                <c:pt idx="39">
                  <c:v>4.0999999999999659</c:v>
                </c:pt>
                <c:pt idx="40">
                  <c:v>4.6000000000000227</c:v>
                </c:pt>
                <c:pt idx="41">
                  <c:v>3</c:v>
                </c:pt>
                <c:pt idx="42">
                  <c:v>1.8000000000000114</c:v>
                </c:pt>
                <c:pt idx="43">
                  <c:v>9.9999999999965894E-2</c:v>
                </c:pt>
                <c:pt idx="44">
                  <c:v>0</c:v>
                </c:pt>
                <c:pt idx="45">
                  <c:v>1.9000000000000341</c:v>
                </c:pt>
                <c:pt idx="46">
                  <c:v>0</c:v>
                </c:pt>
                <c:pt idx="47">
                  <c:v>0</c:v>
                </c:pt>
                <c:pt idx="48">
                  <c:v>0.89999999999997726</c:v>
                </c:pt>
                <c:pt idx="49">
                  <c:v>0.5</c:v>
                </c:pt>
                <c:pt idx="50">
                  <c:v>3.3999999999999773</c:v>
                </c:pt>
                <c:pt idx="51">
                  <c:v>3.9000000000000341</c:v>
                </c:pt>
                <c:pt idx="52">
                  <c:v>2.1999999999999886</c:v>
                </c:pt>
                <c:pt idx="53">
                  <c:v>0.19999999999998863</c:v>
                </c:pt>
                <c:pt idx="54">
                  <c:v>2.1999999999999886</c:v>
                </c:pt>
                <c:pt idx="55">
                  <c:v>0.30000000000001137</c:v>
                </c:pt>
                <c:pt idx="56">
                  <c:v>0</c:v>
                </c:pt>
                <c:pt idx="57">
                  <c:v>0</c:v>
                </c:pt>
                <c:pt idx="58">
                  <c:v>1.1999999999999886</c:v>
                </c:pt>
                <c:pt idx="59">
                  <c:v>2.8000000000000114</c:v>
                </c:pt>
                <c:pt idx="60">
                  <c:v>0.5</c:v>
                </c:pt>
                <c:pt idx="61">
                  <c:v>11.199999999999989</c:v>
                </c:pt>
                <c:pt idx="62">
                  <c:v>1.1000000000000227</c:v>
                </c:pt>
                <c:pt idx="63">
                  <c:v>0.30000000000001137</c:v>
                </c:pt>
                <c:pt idx="64">
                  <c:v>9.0999999999999659</c:v>
                </c:pt>
                <c:pt idx="65">
                  <c:v>2.9000000000000341</c:v>
                </c:pt>
                <c:pt idx="66">
                  <c:v>3.6999999999999886</c:v>
                </c:pt>
                <c:pt idx="67">
                  <c:v>8.2000000000000455</c:v>
                </c:pt>
                <c:pt idx="68">
                  <c:v>11.5</c:v>
                </c:pt>
                <c:pt idx="69">
                  <c:v>2.6999999999999318</c:v>
                </c:pt>
                <c:pt idx="70">
                  <c:v>3.5</c:v>
                </c:pt>
                <c:pt idx="71">
                  <c:v>2.6000000000000227</c:v>
                </c:pt>
                <c:pt idx="72">
                  <c:v>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075456"/>
        <c:axId val="198463872"/>
      </c:barChart>
      <c:catAx>
        <c:axId val="173075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98463872"/>
        <c:crosses val="autoZero"/>
        <c:auto val="1"/>
        <c:lblAlgn val="ctr"/>
        <c:lblOffset val="100"/>
        <c:noMultiLvlLbl val="0"/>
      </c:catAx>
      <c:valAx>
        <c:axId val="198463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73075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Daily Precipitation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248715798491993E-2"/>
          <c:y val="0.13065218925873875"/>
          <c:w val="0.88346543818952095"/>
          <c:h val="0.77136373845689832"/>
        </c:manualLayout>
      </c:layout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DataDy!$B$5:$B$77</c:f>
              <c:numCache>
                <c:formatCode>General</c:formatCode>
                <c:ptCount val="73"/>
                <c:pt idx="0">
                  <c:v>293</c:v>
                </c:pt>
                <c:pt idx="1">
                  <c:v>294</c:v>
                </c:pt>
                <c:pt idx="2">
                  <c:v>295</c:v>
                </c:pt>
                <c:pt idx="3">
                  <c:v>296</c:v>
                </c:pt>
                <c:pt idx="4">
                  <c:v>297</c:v>
                </c:pt>
                <c:pt idx="5">
                  <c:v>298</c:v>
                </c:pt>
                <c:pt idx="6">
                  <c:v>299</c:v>
                </c:pt>
                <c:pt idx="7">
                  <c:v>300</c:v>
                </c:pt>
                <c:pt idx="8">
                  <c:v>301</c:v>
                </c:pt>
                <c:pt idx="9">
                  <c:v>302</c:v>
                </c:pt>
                <c:pt idx="10">
                  <c:v>303</c:v>
                </c:pt>
                <c:pt idx="11">
                  <c:v>304</c:v>
                </c:pt>
                <c:pt idx="12">
                  <c:v>305</c:v>
                </c:pt>
                <c:pt idx="13">
                  <c:v>306</c:v>
                </c:pt>
                <c:pt idx="14">
                  <c:v>307</c:v>
                </c:pt>
                <c:pt idx="15">
                  <c:v>308</c:v>
                </c:pt>
                <c:pt idx="16">
                  <c:v>309</c:v>
                </c:pt>
                <c:pt idx="17">
                  <c:v>310</c:v>
                </c:pt>
                <c:pt idx="18">
                  <c:v>311</c:v>
                </c:pt>
                <c:pt idx="19">
                  <c:v>312</c:v>
                </c:pt>
                <c:pt idx="20">
                  <c:v>313</c:v>
                </c:pt>
                <c:pt idx="21">
                  <c:v>314</c:v>
                </c:pt>
                <c:pt idx="22">
                  <c:v>315</c:v>
                </c:pt>
                <c:pt idx="23">
                  <c:v>316</c:v>
                </c:pt>
                <c:pt idx="24">
                  <c:v>317</c:v>
                </c:pt>
                <c:pt idx="25">
                  <c:v>318</c:v>
                </c:pt>
                <c:pt idx="26">
                  <c:v>319</c:v>
                </c:pt>
                <c:pt idx="27">
                  <c:v>320</c:v>
                </c:pt>
                <c:pt idx="28">
                  <c:v>321</c:v>
                </c:pt>
                <c:pt idx="29">
                  <c:v>322</c:v>
                </c:pt>
                <c:pt idx="30">
                  <c:v>323</c:v>
                </c:pt>
                <c:pt idx="31">
                  <c:v>324</c:v>
                </c:pt>
                <c:pt idx="32">
                  <c:v>325</c:v>
                </c:pt>
                <c:pt idx="33">
                  <c:v>326</c:v>
                </c:pt>
                <c:pt idx="34">
                  <c:v>327</c:v>
                </c:pt>
                <c:pt idx="35">
                  <c:v>328</c:v>
                </c:pt>
                <c:pt idx="36">
                  <c:v>329</c:v>
                </c:pt>
                <c:pt idx="37">
                  <c:v>330</c:v>
                </c:pt>
                <c:pt idx="38">
                  <c:v>331</c:v>
                </c:pt>
                <c:pt idx="39">
                  <c:v>332</c:v>
                </c:pt>
                <c:pt idx="40">
                  <c:v>333</c:v>
                </c:pt>
                <c:pt idx="41">
                  <c:v>334</c:v>
                </c:pt>
                <c:pt idx="42">
                  <c:v>335</c:v>
                </c:pt>
                <c:pt idx="43">
                  <c:v>336</c:v>
                </c:pt>
                <c:pt idx="44">
                  <c:v>337</c:v>
                </c:pt>
                <c:pt idx="45">
                  <c:v>338</c:v>
                </c:pt>
                <c:pt idx="46">
                  <c:v>339</c:v>
                </c:pt>
                <c:pt idx="47">
                  <c:v>340</c:v>
                </c:pt>
                <c:pt idx="48">
                  <c:v>341</c:v>
                </c:pt>
                <c:pt idx="49">
                  <c:v>342</c:v>
                </c:pt>
                <c:pt idx="50">
                  <c:v>343</c:v>
                </c:pt>
                <c:pt idx="51">
                  <c:v>344</c:v>
                </c:pt>
                <c:pt idx="52">
                  <c:v>345</c:v>
                </c:pt>
                <c:pt idx="53">
                  <c:v>346</c:v>
                </c:pt>
                <c:pt idx="54">
                  <c:v>347</c:v>
                </c:pt>
                <c:pt idx="55">
                  <c:v>348</c:v>
                </c:pt>
                <c:pt idx="56">
                  <c:v>349</c:v>
                </c:pt>
                <c:pt idx="57">
                  <c:v>350</c:v>
                </c:pt>
                <c:pt idx="58">
                  <c:v>351</c:v>
                </c:pt>
                <c:pt idx="59">
                  <c:v>352</c:v>
                </c:pt>
                <c:pt idx="60">
                  <c:v>353</c:v>
                </c:pt>
                <c:pt idx="61">
                  <c:v>354</c:v>
                </c:pt>
                <c:pt idx="62">
                  <c:v>355</c:v>
                </c:pt>
                <c:pt idx="63">
                  <c:v>356</c:v>
                </c:pt>
                <c:pt idx="64">
                  <c:v>357</c:v>
                </c:pt>
                <c:pt idx="65">
                  <c:v>358</c:v>
                </c:pt>
                <c:pt idx="66">
                  <c:v>359</c:v>
                </c:pt>
                <c:pt idx="67">
                  <c:v>360</c:v>
                </c:pt>
                <c:pt idx="68">
                  <c:v>361</c:v>
                </c:pt>
                <c:pt idx="69">
                  <c:v>362</c:v>
                </c:pt>
                <c:pt idx="70">
                  <c:v>363</c:v>
                </c:pt>
                <c:pt idx="71">
                  <c:v>364</c:v>
                </c:pt>
                <c:pt idx="72">
                  <c:v>365</c:v>
                </c:pt>
              </c:numCache>
            </c:numRef>
          </c:cat>
          <c:val>
            <c:numRef>
              <c:f>DataDy!$S$5:$S$77</c:f>
              <c:numCache>
                <c:formatCode>General</c:formatCode>
                <c:ptCount val="73"/>
                <c:pt idx="0">
                  <c:v>0</c:v>
                </c:pt>
                <c:pt idx="1">
                  <c:v>4.4000000000000341</c:v>
                </c:pt>
                <c:pt idx="2">
                  <c:v>4.4000000000000341</c:v>
                </c:pt>
                <c:pt idx="3">
                  <c:v>4.4000000000000341</c:v>
                </c:pt>
                <c:pt idx="4">
                  <c:v>10.10000000000008</c:v>
                </c:pt>
                <c:pt idx="5">
                  <c:v>15.400000000000034</c:v>
                </c:pt>
                <c:pt idx="6">
                  <c:v>18.300000000000068</c:v>
                </c:pt>
                <c:pt idx="7">
                  <c:v>18.900000000000034</c:v>
                </c:pt>
                <c:pt idx="8">
                  <c:v>22.400000000000034</c:v>
                </c:pt>
                <c:pt idx="9">
                  <c:v>22.400000000000034</c:v>
                </c:pt>
                <c:pt idx="10">
                  <c:v>29.900000000000034</c:v>
                </c:pt>
                <c:pt idx="11">
                  <c:v>35.400000000000034</c:v>
                </c:pt>
                <c:pt idx="12">
                  <c:v>35.400000000000034</c:v>
                </c:pt>
                <c:pt idx="13">
                  <c:v>35.60000000000008</c:v>
                </c:pt>
                <c:pt idx="14">
                  <c:v>45.500000000000057</c:v>
                </c:pt>
                <c:pt idx="15">
                  <c:v>74.700000000000045</c:v>
                </c:pt>
                <c:pt idx="16">
                  <c:v>90.900000000000034</c:v>
                </c:pt>
                <c:pt idx="17">
                  <c:v>104.10000000000008</c:v>
                </c:pt>
                <c:pt idx="18">
                  <c:v>124.90000000000003</c:v>
                </c:pt>
                <c:pt idx="19">
                  <c:v>127.20000000000005</c:v>
                </c:pt>
                <c:pt idx="20">
                  <c:v>127.20000000000005</c:v>
                </c:pt>
                <c:pt idx="21">
                  <c:v>127.20000000000005</c:v>
                </c:pt>
                <c:pt idx="22">
                  <c:v>127.20000000000005</c:v>
                </c:pt>
                <c:pt idx="23">
                  <c:v>127.20000000000005</c:v>
                </c:pt>
                <c:pt idx="24">
                  <c:v>127.20000000000005</c:v>
                </c:pt>
                <c:pt idx="25">
                  <c:v>127.20000000000005</c:v>
                </c:pt>
                <c:pt idx="26">
                  <c:v>127.20000000000005</c:v>
                </c:pt>
                <c:pt idx="27">
                  <c:v>127.20000000000005</c:v>
                </c:pt>
                <c:pt idx="28">
                  <c:v>127.30000000000007</c:v>
                </c:pt>
                <c:pt idx="29">
                  <c:v>127.30000000000007</c:v>
                </c:pt>
                <c:pt idx="30">
                  <c:v>127.30000000000007</c:v>
                </c:pt>
                <c:pt idx="31">
                  <c:v>127.30000000000007</c:v>
                </c:pt>
                <c:pt idx="32">
                  <c:v>128.50000000000006</c:v>
                </c:pt>
                <c:pt idx="33">
                  <c:v>132.20000000000005</c:v>
                </c:pt>
                <c:pt idx="34">
                  <c:v>132.20000000000005</c:v>
                </c:pt>
                <c:pt idx="35">
                  <c:v>132.20000000000005</c:v>
                </c:pt>
                <c:pt idx="36">
                  <c:v>136.80000000000007</c:v>
                </c:pt>
                <c:pt idx="37">
                  <c:v>137.10000000000008</c:v>
                </c:pt>
                <c:pt idx="38">
                  <c:v>151.60000000000008</c:v>
                </c:pt>
                <c:pt idx="39">
                  <c:v>155.70000000000005</c:v>
                </c:pt>
                <c:pt idx="40">
                  <c:v>160.30000000000007</c:v>
                </c:pt>
                <c:pt idx="41">
                  <c:v>163.30000000000007</c:v>
                </c:pt>
                <c:pt idx="42">
                  <c:v>165.10000000000008</c:v>
                </c:pt>
                <c:pt idx="43">
                  <c:v>165.20000000000005</c:v>
                </c:pt>
                <c:pt idx="44">
                  <c:v>165.20000000000005</c:v>
                </c:pt>
                <c:pt idx="45">
                  <c:v>167.10000000000008</c:v>
                </c:pt>
                <c:pt idx="46">
                  <c:v>167.10000000000008</c:v>
                </c:pt>
                <c:pt idx="47">
                  <c:v>167.10000000000008</c:v>
                </c:pt>
                <c:pt idx="48">
                  <c:v>168.00000000000006</c:v>
                </c:pt>
                <c:pt idx="49">
                  <c:v>168.50000000000006</c:v>
                </c:pt>
                <c:pt idx="50">
                  <c:v>171.90000000000003</c:v>
                </c:pt>
                <c:pt idx="51">
                  <c:v>175.80000000000007</c:v>
                </c:pt>
                <c:pt idx="52">
                  <c:v>178.00000000000006</c:v>
                </c:pt>
                <c:pt idx="53">
                  <c:v>178.20000000000005</c:v>
                </c:pt>
                <c:pt idx="54">
                  <c:v>180.40000000000003</c:v>
                </c:pt>
                <c:pt idx="55">
                  <c:v>180.70000000000005</c:v>
                </c:pt>
                <c:pt idx="56">
                  <c:v>180.70000000000005</c:v>
                </c:pt>
                <c:pt idx="57">
                  <c:v>180.70000000000005</c:v>
                </c:pt>
                <c:pt idx="58">
                  <c:v>181.90000000000003</c:v>
                </c:pt>
                <c:pt idx="59">
                  <c:v>184.70000000000005</c:v>
                </c:pt>
                <c:pt idx="60">
                  <c:v>185.20000000000005</c:v>
                </c:pt>
                <c:pt idx="61">
                  <c:v>196.40000000000003</c:v>
                </c:pt>
                <c:pt idx="62">
                  <c:v>197.50000000000006</c:v>
                </c:pt>
                <c:pt idx="63">
                  <c:v>197.80000000000007</c:v>
                </c:pt>
                <c:pt idx="64">
                  <c:v>206.90000000000003</c:v>
                </c:pt>
                <c:pt idx="65">
                  <c:v>209.80000000000007</c:v>
                </c:pt>
                <c:pt idx="66">
                  <c:v>213.50000000000006</c:v>
                </c:pt>
                <c:pt idx="67">
                  <c:v>221.7000000000001</c:v>
                </c:pt>
                <c:pt idx="68">
                  <c:v>233.2000000000001</c:v>
                </c:pt>
                <c:pt idx="69">
                  <c:v>235.90000000000003</c:v>
                </c:pt>
                <c:pt idx="70">
                  <c:v>239.40000000000003</c:v>
                </c:pt>
                <c:pt idx="71">
                  <c:v>242.00000000000006</c:v>
                </c:pt>
                <c:pt idx="72">
                  <c:v>245.50000000000006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08352"/>
        <c:axId val="203623424"/>
      </c:lineChart>
      <c:catAx>
        <c:axId val="2031083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362342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03623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31083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 from midnight and hourly change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2.1032199406446742E-2"/>
                  <c:y val="-2.2329446670828552E-2"/>
                </c:manualLayout>
              </c:layout>
              <c:numFmt formatCode="General" sourceLinked="0"/>
            </c:trendlineLbl>
          </c:trendline>
          <c:xVal>
            <c:numRef>
              <c:f>DataHr!$Y$5:$Y$77</c:f>
              <c:numCache>
                <c:formatCode>General</c:formatCode>
                <c:ptCount val="73"/>
                <c:pt idx="0">
                  <c:v>0</c:v>
                </c:pt>
                <c:pt idx="1">
                  <c:v>6.6000000000000227</c:v>
                </c:pt>
                <c:pt idx="2">
                  <c:v>0</c:v>
                </c:pt>
                <c:pt idx="3">
                  <c:v>0.39999999999997726</c:v>
                </c:pt>
                <c:pt idx="4">
                  <c:v>5.7000000000000455</c:v>
                </c:pt>
                <c:pt idx="5">
                  <c:v>5.2999999999999545</c:v>
                </c:pt>
                <c:pt idx="6">
                  <c:v>2.9000000000000341</c:v>
                </c:pt>
                <c:pt idx="7">
                  <c:v>0.59999999999996589</c:v>
                </c:pt>
                <c:pt idx="8">
                  <c:v>3.5</c:v>
                </c:pt>
                <c:pt idx="9">
                  <c:v>0.10000000000002274</c:v>
                </c:pt>
                <c:pt idx="10">
                  <c:v>7.3999999999999773</c:v>
                </c:pt>
                <c:pt idx="11">
                  <c:v>5.5</c:v>
                </c:pt>
                <c:pt idx="12">
                  <c:v>0.10000000000002274</c:v>
                </c:pt>
                <c:pt idx="13">
                  <c:v>0.10000000000002274</c:v>
                </c:pt>
                <c:pt idx="14">
                  <c:v>9.8999999999999773</c:v>
                </c:pt>
                <c:pt idx="15">
                  <c:v>29.199999999999989</c:v>
                </c:pt>
                <c:pt idx="16">
                  <c:v>16.199999999999989</c:v>
                </c:pt>
                <c:pt idx="17">
                  <c:v>13.200000000000045</c:v>
                </c:pt>
                <c:pt idx="18">
                  <c:v>20.799999999999955</c:v>
                </c:pt>
                <c:pt idx="19">
                  <c:v>2.3000000000000114</c:v>
                </c:pt>
                <c:pt idx="20">
                  <c:v>0</c:v>
                </c:pt>
                <c:pt idx="21">
                  <c:v>0.10000000000002274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9.9999999999965894E-2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1.1000000000000227</c:v>
                </c:pt>
                <c:pt idx="33">
                  <c:v>3.6999999999999886</c:v>
                </c:pt>
                <c:pt idx="34">
                  <c:v>0</c:v>
                </c:pt>
                <c:pt idx="35">
                  <c:v>0</c:v>
                </c:pt>
                <c:pt idx="36">
                  <c:v>4.6000000000000227</c:v>
                </c:pt>
                <c:pt idx="37">
                  <c:v>0.30000000000001137</c:v>
                </c:pt>
                <c:pt idx="38">
                  <c:v>14.5</c:v>
                </c:pt>
                <c:pt idx="39">
                  <c:v>4.0999999999999659</c:v>
                </c:pt>
                <c:pt idx="40">
                  <c:v>4.6000000000000227</c:v>
                </c:pt>
                <c:pt idx="41">
                  <c:v>3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1.8000000000000114</c:v>
                </c:pt>
                <c:pt idx="46">
                  <c:v>9.9999999999965894E-2</c:v>
                </c:pt>
                <c:pt idx="47">
                  <c:v>0</c:v>
                </c:pt>
                <c:pt idx="48">
                  <c:v>0.90000000000003411</c:v>
                </c:pt>
                <c:pt idx="49">
                  <c:v>0.5</c:v>
                </c:pt>
                <c:pt idx="50">
                  <c:v>3.2999999999999545</c:v>
                </c:pt>
                <c:pt idx="51">
                  <c:v>3.9000000000000341</c:v>
                </c:pt>
                <c:pt idx="52">
                  <c:v>2.1999999999999886</c:v>
                </c:pt>
                <c:pt idx="53">
                  <c:v>0.19999999999998863</c:v>
                </c:pt>
                <c:pt idx="54">
                  <c:v>2.1999999999999886</c:v>
                </c:pt>
                <c:pt idx="55">
                  <c:v>0.30000000000001137</c:v>
                </c:pt>
                <c:pt idx="56">
                  <c:v>0</c:v>
                </c:pt>
                <c:pt idx="57">
                  <c:v>0</c:v>
                </c:pt>
                <c:pt idx="58">
                  <c:v>1.1999999999999886</c:v>
                </c:pt>
                <c:pt idx="59">
                  <c:v>2.8000000000000114</c:v>
                </c:pt>
                <c:pt idx="60">
                  <c:v>0.5</c:v>
                </c:pt>
                <c:pt idx="61">
                  <c:v>11.199999999999989</c:v>
                </c:pt>
                <c:pt idx="62">
                  <c:v>1.1000000000000227</c:v>
                </c:pt>
                <c:pt idx="63">
                  <c:v>0.30000000000001137</c:v>
                </c:pt>
                <c:pt idx="64">
                  <c:v>9.0999999999999659</c:v>
                </c:pt>
                <c:pt idx="65">
                  <c:v>2.9000000000000341</c:v>
                </c:pt>
                <c:pt idx="66">
                  <c:v>3.6999999999999886</c:v>
                </c:pt>
                <c:pt idx="67">
                  <c:v>8.2000000000000455</c:v>
                </c:pt>
                <c:pt idx="68">
                  <c:v>11.5</c:v>
                </c:pt>
                <c:pt idx="69">
                  <c:v>3.0999999999999091</c:v>
                </c:pt>
                <c:pt idx="70">
                  <c:v>3.1000000000000227</c:v>
                </c:pt>
                <c:pt idx="71">
                  <c:v>2.6000000000000227</c:v>
                </c:pt>
                <c:pt idx="72">
                  <c:v>3.5</c:v>
                </c:pt>
              </c:numCache>
            </c:numRef>
          </c:xVal>
          <c:yVal>
            <c:numRef>
              <c:f>DataDy!$R$5:$R$77</c:f>
              <c:numCache>
                <c:formatCode>General</c:formatCode>
                <c:ptCount val="73"/>
                <c:pt idx="0">
                  <c:v>0</c:v>
                </c:pt>
                <c:pt idx="1">
                  <c:v>4.4000000000000341</c:v>
                </c:pt>
                <c:pt idx="2">
                  <c:v>0</c:v>
                </c:pt>
                <c:pt idx="3">
                  <c:v>0</c:v>
                </c:pt>
                <c:pt idx="4">
                  <c:v>5.7000000000000455</c:v>
                </c:pt>
                <c:pt idx="5">
                  <c:v>5.2999999999999545</c:v>
                </c:pt>
                <c:pt idx="6">
                  <c:v>2.9000000000000341</c:v>
                </c:pt>
                <c:pt idx="7">
                  <c:v>0.59999999999996589</c:v>
                </c:pt>
                <c:pt idx="8">
                  <c:v>3.5</c:v>
                </c:pt>
                <c:pt idx="9">
                  <c:v>0</c:v>
                </c:pt>
                <c:pt idx="10">
                  <c:v>7.5</c:v>
                </c:pt>
                <c:pt idx="11">
                  <c:v>5.5</c:v>
                </c:pt>
                <c:pt idx="12">
                  <c:v>0</c:v>
                </c:pt>
                <c:pt idx="13">
                  <c:v>0.20000000000004547</c:v>
                </c:pt>
                <c:pt idx="14">
                  <c:v>9.8999999999999773</c:v>
                </c:pt>
                <c:pt idx="15">
                  <c:v>29.199999999999989</c:v>
                </c:pt>
                <c:pt idx="16">
                  <c:v>16.199999999999989</c:v>
                </c:pt>
                <c:pt idx="17">
                  <c:v>13.200000000000045</c:v>
                </c:pt>
                <c:pt idx="18">
                  <c:v>20.799999999999955</c:v>
                </c:pt>
                <c:pt idx="19">
                  <c:v>2.3000000000000114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0.10000000000002274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1.1999999999999886</c:v>
                </c:pt>
                <c:pt idx="33">
                  <c:v>3.6999999999999886</c:v>
                </c:pt>
                <c:pt idx="34">
                  <c:v>0</c:v>
                </c:pt>
                <c:pt idx="35">
                  <c:v>0</c:v>
                </c:pt>
                <c:pt idx="36">
                  <c:v>4.6000000000000227</c:v>
                </c:pt>
                <c:pt idx="37">
                  <c:v>0.30000000000001137</c:v>
                </c:pt>
                <c:pt idx="38">
                  <c:v>14.5</c:v>
                </c:pt>
                <c:pt idx="39">
                  <c:v>4.0999999999999659</c:v>
                </c:pt>
                <c:pt idx="40">
                  <c:v>4.6000000000000227</c:v>
                </c:pt>
                <c:pt idx="41">
                  <c:v>3</c:v>
                </c:pt>
                <c:pt idx="42">
                  <c:v>1.8000000000000114</c:v>
                </c:pt>
                <c:pt idx="43">
                  <c:v>9.9999999999965894E-2</c:v>
                </c:pt>
                <c:pt idx="44">
                  <c:v>0</c:v>
                </c:pt>
                <c:pt idx="45">
                  <c:v>1.9000000000000341</c:v>
                </c:pt>
                <c:pt idx="46">
                  <c:v>0</c:v>
                </c:pt>
                <c:pt idx="47">
                  <c:v>0</c:v>
                </c:pt>
                <c:pt idx="48">
                  <c:v>0.89999999999997726</c:v>
                </c:pt>
                <c:pt idx="49">
                  <c:v>0.5</c:v>
                </c:pt>
                <c:pt idx="50">
                  <c:v>3.3999999999999773</c:v>
                </c:pt>
                <c:pt idx="51">
                  <c:v>3.9000000000000341</c:v>
                </c:pt>
                <c:pt idx="52">
                  <c:v>2.1999999999999886</c:v>
                </c:pt>
                <c:pt idx="53">
                  <c:v>0.19999999999998863</c:v>
                </c:pt>
                <c:pt idx="54">
                  <c:v>2.1999999999999886</c:v>
                </c:pt>
                <c:pt idx="55">
                  <c:v>0.30000000000001137</c:v>
                </c:pt>
                <c:pt idx="56">
                  <c:v>0</c:v>
                </c:pt>
                <c:pt idx="57">
                  <c:v>0</c:v>
                </c:pt>
                <c:pt idx="58">
                  <c:v>1.1999999999999886</c:v>
                </c:pt>
                <c:pt idx="59">
                  <c:v>2.8000000000000114</c:v>
                </c:pt>
                <c:pt idx="60">
                  <c:v>0.5</c:v>
                </c:pt>
                <c:pt idx="61">
                  <c:v>11.199999999999989</c:v>
                </c:pt>
                <c:pt idx="62">
                  <c:v>1.1000000000000227</c:v>
                </c:pt>
                <c:pt idx="63">
                  <c:v>0.30000000000001137</c:v>
                </c:pt>
                <c:pt idx="64">
                  <c:v>9.0999999999999659</c:v>
                </c:pt>
                <c:pt idx="65">
                  <c:v>2.9000000000000341</c:v>
                </c:pt>
                <c:pt idx="66">
                  <c:v>3.6999999999999886</c:v>
                </c:pt>
                <c:pt idx="67">
                  <c:v>8.2000000000000455</c:v>
                </c:pt>
                <c:pt idx="68">
                  <c:v>11.5</c:v>
                </c:pt>
                <c:pt idx="69">
                  <c:v>2.6999999999999318</c:v>
                </c:pt>
                <c:pt idx="70">
                  <c:v>3.5</c:v>
                </c:pt>
                <c:pt idx="71">
                  <c:v>2.6000000000000227</c:v>
                </c:pt>
                <c:pt idx="72">
                  <c:v>3.5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35584"/>
        <c:axId val="227637888"/>
      </c:scatterChart>
      <c:valAx>
        <c:axId val="22763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Hourly (mm/d)</a:t>
                </a: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crossAx val="227637888"/>
        <c:crosses val="autoZero"/>
        <c:crossBetween val="midCat"/>
      </c:valAx>
      <c:valAx>
        <c:axId val="227637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Daily (mm/d)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27635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352425</xdr:colOff>
      <xdr:row>4</xdr:row>
      <xdr:rowOff>47625</xdr:rowOff>
    </xdr:from>
    <xdr:to>
      <xdr:col>35</xdr:col>
      <xdr:colOff>523875</xdr:colOff>
      <xdr:row>22</xdr:row>
      <xdr:rowOff>180976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361950</xdr:colOff>
      <xdr:row>24</xdr:row>
      <xdr:rowOff>1</xdr:rowOff>
    </xdr:from>
    <xdr:to>
      <xdr:col>35</xdr:col>
      <xdr:colOff>533400</xdr:colOff>
      <xdr:row>42</xdr:row>
      <xdr:rowOff>133352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57148</xdr:colOff>
      <xdr:row>5</xdr:row>
      <xdr:rowOff>0</xdr:rowOff>
    </xdr:from>
    <xdr:to>
      <xdr:col>29</xdr:col>
      <xdr:colOff>76200</xdr:colOff>
      <xdr:row>21</xdr:row>
      <xdr:rowOff>85725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21</xdr:row>
      <xdr:rowOff>152401</xdr:rowOff>
    </xdr:from>
    <xdr:to>
      <xdr:col>29</xdr:col>
      <xdr:colOff>95250</xdr:colOff>
      <xdr:row>38</xdr:row>
      <xdr:rowOff>1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39</xdr:row>
      <xdr:rowOff>0</xdr:rowOff>
    </xdr:from>
    <xdr:to>
      <xdr:col>29</xdr:col>
      <xdr:colOff>504825</xdr:colOff>
      <xdr:row>58</xdr:row>
      <xdr:rowOff>104775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6006.697256250001" createdVersion="4" refreshedVersion="4" minRefreshableVersion="3" recordCount="1752">
  <cacheSource type="worksheet">
    <worksheetSource ref="B4:S1756" sheet="DataHr"/>
  </cacheSource>
  <cacheFields count="18">
    <cacheField name="Doy" numFmtId="0">
      <sharedItems containsSemiMixedTypes="0" containsString="0" containsNumber="1" containsInteger="1" minValue="1" maxValue="365" count="365"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96" u="1"/>
        <n v="135" u="1"/>
        <n v="206" u="1"/>
        <n v="57" u="1"/>
        <n v="121" u="1"/>
        <n v="185" u="1"/>
        <n v="256" u="1"/>
        <n v="34" u="1"/>
        <n v="75" u="1"/>
        <n v="164" u="1"/>
        <n v="235" u="1"/>
        <n v="285" u="1"/>
        <n v="100" u="1"/>
        <n v="143" u="1"/>
        <n v="214" u="1"/>
        <n v="13" u="1"/>
        <n v="59" u="1"/>
        <n v="125" u="1"/>
        <n v="193" u="1"/>
        <n v="272" u="1"/>
        <n v="36" u="1"/>
        <n v="79" u="1"/>
        <n v="172" u="1"/>
        <n v="243" u="1"/>
        <n v="104" u="1"/>
        <n v="151" u="1"/>
        <n v="222" u="1"/>
        <n v="259" u="1"/>
        <n v="61" u="1"/>
        <n v="130" u="1"/>
        <n v="201" u="1"/>
        <n v="288" u="1"/>
        <n v="38" u="1"/>
        <n v="83" u="1"/>
        <n v="180" u="1"/>
        <n v="251" u="1"/>
        <n v="5" u="1"/>
        <n v="108" u="1"/>
        <n v="159" u="1"/>
        <n v="230" u="1"/>
        <n v="275" u="1"/>
        <n v="14" u="1"/>
        <n v="63" u="1"/>
        <n v="138" u="1"/>
        <n v="209" u="1"/>
        <n v="40" u="1"/>
        <n v="87" u="1"/>
        <n v="188" u="1"/>
        <n v="262" u="1"/>
        <n v="112" u="1"/>
        <n v="167" u="1"/>
        <n v="238" u="1"/>
        <n v="291" u="1"/>
        <n v="66" u="1"/>
        <n v="146" u="1"/>
        <n v="217" u="1"/>
        <n v="42" u="1"/>
        <n v="91" u="1"/>
        <n v="196" u="1"/>
        <n v="278" u="1"/>
        <n v="116" u="1"/>
        <n v="175" u="1"/>
        <n v="246" u="1"/>
        <n v="15" u="1"/>
        <n v="70" u="1"/>
        <n v="154" u="1"/>
        <n v="225" u="1"/>
        <n v="265" u="1"/>
        <n v="44" u="1"/>
        <n v="95" u="1"/>
        <n v="133" u="1"/>
        <n v="204" u="1"/>
        <n v="120" u="1"/>
        <n v="183" u="1"/>
        <n v="254" u="1"/>
        <n v="74" u="1"/>
        <n v="162" u="1"/>
        <n v="233" u="1"/>
        <n v="281" u="1"/>
        <n v="2" u="1"/>
        <n v="46" u="1"/>
        <n v="99" u="1"/>
        <n v="141" u="1"/>
        <n v="212" u="1"/>
        <n v="6" u="1"/>
        <n v="124" u="1"/>
        <n v="191" u="1"/>
        <n v="268" u="1"/>
        <n v="16" u="1"/>
        <n v="78" u="1"/>
        <n v="170" u="1"/>
        <n v="241" u="1"/>
        <n v="48" u="1"/>
        <n v="103" u="1"/>
        <n v="149" u="1"/>
        <n v="220" u="1"/>
        <n v="128" u="1"/>
        <n v="199" u="1"/>
        <n v="284" u="1"/>
        <n v="17" u="1"/>
        <n v="82" u="1"/>
        <n v="178" u="1"/>
        <n v="249" u="1"/>
        <n v="50" u="1"/>
        <n v="107" u="1"/>
        <n v="157" u="1"/>
        <n v="228" u="1"/>
        <n v="271" u="1"/>
        <n v="136" u="1"/>
        <n v="207" u="1"/>
        <n v="18" u="1"/>
        <n v="86" u="1"/>
        <n v="186" u="1"/>
        <n v="258" u="1"/>
        <n v="52" u="1"/>
        <n v="111" u="1"/>
        <n v="165" u="1"/>
        <n v="236" u="1"/>
        <n v="287" u="1"/>
        <n v="65" u="1"/>
        <n v="144" u="1"/>
        <n v="215" u="1"/>
        <n v="19" u="1"/>
        <n v="90" u="1"/>
        <n v="194" u="1"/>
        <n v="274" u="1"/>
        <n v="54" u="1"/>
        <n v="115" u="1"/>
        <n v="173" u="1"/>
        <n v="244" u="1"/>
        <n v="7" u="1"/>
        <n v="69" u="1"/>
        <n v="152" u="1"/>
        <n v="223" u="1"/>
        <n v="261" u="1"/>
        <n v="20" u="1"/>
        <n v="94" u="1"/>
        <n v="131" u="1"/>
        <n v="202" u="1"/>
        <n v="290" u="1"/>
        <n v="56" u="1"/>
        <n v="119" u="1"/>
        <n v="181" u="1"/>
        <n v="252" u="1"/>
        <n v="33" u="1"/>
        <n v="73" u="1"/>
        <n v="160" u="1"/>
        <n v="231" u="1"/>
        <n v="277" u="1"/>
        <n v="21" u="1"/>
        <n v="98" u="1"/>
        <n v="139" u="1"/>
        <n v="210" u="1"/>
        <n v="58" u="1"/>
        <n v="123" u="1"/>
        <n v="189" u="1"/>
        <n v="264" u="1"/>
        <n v="35" u="1"/>
        <n v="77" u="1"/>
        <n v="168" u="1"/>
        <n v="239" u="1"/>
        <n v="22" u="1"/>
        <n v="102" u="1"/>
        <n v="147" u="1"/>
        <n v="218" u="1"/>
        <n v="60" u="1"/>
        <n v="127" u="1"/>
        <n v="197" u="1"/>
        <n v="280" u="1"/>
        <n v="37" u="1"/>
        <n v="81" u="1"/>
        <n v="176" u="1"/>
        <n v="247" u="1"/>
        <n v="1" u="1"/>
        <n v="23" u="1"/>
        <n v="106" u="1"/>
        <n v="155" u="1"/>
        <n v="226" u="1"/>
        <n v="267" u="1"/>
        <n v="3" u="1"/>
        <n v="62" u="1"/>
        <n v="134" u="1"/>
        <n v="205" u="1"/>
        <n v="8" u="1"/>
        <n v="39" u="1"/>
        <n v="85" u="1"/>
        <n v="184" u="1"/>
        <n v="255" u="1"/>
        <n v="24" u="1"/>
        <n v="110" u="1"/>
        <n v="163" u="1"/>
        <n v="234" u="1"/>
        <n v="283" u="1"/>
        <n v="64" u="1"/>
        <n v="142" u="1"/>
        <n v="213" u="1"/>
        <n v="41" u="1"/>
        <n v="89" u="1"/>
        <n v="192" u="1"/>
        <n v="270" u="1"/>
        <n v="25" u="1"/>
        <n v="114" u="1"/>
        <n v="171" u="1"/>
        <n v="242" u="1"/>
        <n v="68" u="1"/>
        <n v="150" u="1"/>
        <n v="221" u="1"/>
        <n v="257" u="1"/>
        <n v="9" u="1"/>
        <n v="43" u="1"/>
        <n v="93" u="1"/>
        <n v="129" u="1"/>
        <n v="200" u="1"/>
        <n v="286" u="1"/>
        <n v="26" u="1"/>
        <n v="118" u="1"/>
        <n v="179" u="1"/>
        <n v="250" u="1"/>
        <n v="72" u="1"/>
        <n v="158" u="1"/>
        <n v="229" u="1"/>
        <n v="273" u="1"/>
        <n v="45" u="1"/>
        <n v="97" u="1"/>
        <n v="137" u="1"/>
        <n v="208" u="1"/>
        <n v="27" u="1"/>
        <n v="122" u="1"/>
        <n v="187" u="1"/>
        <n v="260" u="1"/>
        <n v="76" u="1"/>
        <n v="166" u="1"/>
        <n v="237" u="1"/>
        <n v="289" u="1"/>
        <n v="10" u="1"/>
        <n v="47" u="1"/>
        <n v="101" u="1"/>
        <n v="145" u="1"/>
        <n v="216" u="1"/>
        <n v="28" u="1"/>
        <n v="126" u="1"/>
        <n v="195" u="1"/>
        <n v="276" u="1"/>
        <n v="80" u="1"/>
        <n v="174" u="1"/>
        <n v="245" u="1"/>
        <n v="49" u="1"/>
        <n v="105" u="1"/>
        <n v="153" u="1"/>
        <n v="224" u="1"/>
        <n v="263" u="1"/>
        <n v="29" u="1"/>
        <n v="132" u="1"/>
        <n v="203" u="1"/>
        <n v="292" u="1"/>
        <n v="84" u="1"/>
        <n v="182" u="1"/>
        <n v="253" u="1"/>
        <n v="11" u="1"/>
        <n v="51" u="1"/>
        <n v="109" u="1"/>
        <n v="161" u="1"/>
        <n v="232" u="1"/>
        <n v="279" u="1"/>
        <n v="30" u="1"/>
        <n v="140" u="1"/>
        <n v="211" u="1"/>
        <n v="88" u="1"/>
        <n v="190" u="1"/>
        <n v="266" u="1"/>
        <n v="53" u="1"/>
        <n v="113" u="1"/>
        <n v="169" u="1"/>
        <n v="240" u="1"/>
        <n v="31" u="1"/>
        <n v="67" u="1"/>
        <n v="148" u="1"/>
        <n v="219" u="1"/>
        <n v="4" u="1"/>
        <n v="92" u="1"/>
        <n v="198" u="1"/>
        <n v="282" u="1"/>
        <n v="12" u="1"/>
        <n v="55" u="1"/>
        <n v="117" u="1"/>
        <n v="177" u="1"/>
        <n v="248" u="1"/>
        <n v="32" u="1"/>
        <n v="71" u="1"/>
        <n v="156" u="1"/>
        <n v="227" u="1"/>
        <n v="269" u="1"/>
      </sharedItems>
    </cacheField>
    <cacheField name="PST" numFmtId="0">
      <sharedItems containsSemiMixedTypes="0" containsString="0" containsNumber="1" containsInteger="1" minValue="100" maxValue="2400"/>
    </cacheField>
    <cacheField name="Geonor_Depth_Average" numFmtId="0">
      <sharedItems containsString="0" containsBlank="1" containsNumber="1" minValue="293.91250000000002" maxValue="537.46519999999998"/>
    </cacheField>
    <cacheField name="StdDev" numFmtId="0">
      <sharedItems containsString="0" containsBlank="1" containsNumber="1" minValue="2.4E-2" maxValue="0.185"/>
    </cacheField>
    <cacheField name="T1_Depth_Average" numFmtId="0">
      <sharedItems containsString="0" containsBlank="1" containsNumber="1" minValue="288.9744" maxValue="529.25559999999996"/>
    </cacheField>
    <cacheField name="T2_Depth_Average" numFmtId="0">
      <sharedItems containsString="0" containsBlank="1" containsNumber="1" minValue="294.80070000000001" maxValue="540.21900000000005"/>
    </cacheField>
    <cacheField name="T3_Depth_Average" numFmtId="0">
      <sharedItems containsString="0" containsBlank="1" containsNumber="1" minValue="297.96249999999998" maxValue="542.92100000000005"/>
    </cacheField>
    <cacheField name="T1_Depth_StdDev" numFmtId="0">
      <sharedItems containsString="0" containsBlank="1" containsNumber="1" minValue="0" maxValue="0.184"/>
    </cacheField>
    <cacheField name="T2_Depth_StdDev" numFmtId="0">
      <sharedItems containsString="0" containsBlank="1" containsNumber="1" minValue="0" maxValue="0.188"/>
    </cacheField>
    <cacheField name="T3_Depth_StdDev" numFmtId="0">
      <sharedItems containsString="0" containsBlank="1" containsNumber="1" minValue="0" maxValue="0.183"/>
    </cacheField>
    <cacheField name="T1_Freq" numFmtId="0">
      <sharedItems containsString="0" containsBlank="1" containsNumber="1" minValue="1967.2" maxValue="2453.8000000000002"/>
    </cacheField>
    <cacheField name="T2_Freq" numFmtId="0">
      <sharedItems containsString="0" containsBlank="1" containsNumber="1" minValue="1972.6" maxValue="2465.6"/>
    </cacheField>
    <cacheField name="T3_Freq" numFmtId="0">
      <sharedItems containsString="0" containsBlank="1" containsNumber="1" minValue="1990.4" maxValue="2481.1999999999998"/>
    </cacheField>
    <cacheField name="Comments" numFmtId="0">
      <sharedItems containsBlank="1"/>
    </cacheField>
    <cacheField name="blk" numFmtId="0">
      <sharedItems containsNonDate="0" containsString="0" containsBlank="1"/>
    </cacheField>
    <cacheField name="Depth_Rounded" numFmtId="0">
      <sharedItems containsString="0" containsBlank="1" containsNumber="1" minValue="293.89999999999998" maxValue="537.5"/>
    </cacheField>
    <cacheField name="Filtered" numFmtId="0">
      <sharedItems containsString="0" containsBlank="1" containsNumber="1" minValue="293.89999999999998" maxValue="537.5"/>
    </cacheField>
    <cacheField name="Change" numFmtId="0">
      <sharedItems containsSemiMixedTypes="0" containsString="0" containsNumber="1" minValue="0" maxValue="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52">
  <r>
    <x v="0"/>
    <n v="100"/>
    <m/>
    <m/>
    <m/>
    <m/>
    <m/>
    <m/>
    <m/>
    <m/>
    <m/>
    <m/>
    <m/>
    <m/>
    <m/>
    <m/>
    <m/>
    <n v="0"/>
  </r>
  <r>
    <x v="0"/>
    <n v="200"/>
    <m/>
    <m/>
    <m/>
    <m/>
    <m/>
    <m/>
    <m/>
    <m/>
    <m/>
    <m/>
    <m/>
    <m/>
    <m/>
    <m/>
    <m/>
    <n v="0"/>
  </r>
  <r>
    <x v="0"/>
    <n v="300"/>
    <m/>
    <m/>
    <m/>
    <m/>
    <m/>
    <m/>
    <m/>
    <m/>
    <m/>
    <m/>
    <m/>
    <m/>
    <m/>
    <m/>
    <m/>
    <n v="0"/>
  </r>
  <r>
    <x v="0"/>
    <n v="400"/>
    <m/>
    <m/>
    <m/>
    <m/>
    <m/>
    <m/>
    <m/>
    <m/>
    <m/>
    <m/>
    <m/>
    <m/>
    <m/>
    <m/>
    <m/>
    <n v="0"/>
  </r>
  <r>
    <x v="0"/>
    <n v="500"/>
    <m/>
    <m/>
    <m/>
    <m/>
    <m/>
    <m/>
    <m/>
    <m/>
    <m/>
    <m/>
    <m/>
    <m/>
    <m/>
    <m/>
    <m/>
    <n v="0"/>
  </r>
  <r>
    <x v="0"/>
    <n v="600"/>
    <m/>
    <m/>
    <m/>
    <m/>
    <m/>
    <m/>
    <m/>
    <m/>
    <m/>
    <m/>
    <m/>
    <m/>
    <m/>
    <m/>
    <m/>
    <n v="0"/>
  </r>
  <r>
    <x v="0"/>
    <n v="700"/>
    <m/>
    <m/>
    <m/>
    <m/>
    <m/>
    <m/>
    <m/>
    <m/>
    <m/>
    <m/>
    <m/>
    <m/>
    <m/>
    <m/>
    <m/>
    <n v="0"/>
  </r>
  <r>
    <x v="0"/>
    <n v="800"/>
    <m/>
    <m/>
    <m/>
    <m/>
    <m/>
    <m/>
    <m/>
    <m/>
    <m/>
    <m/>
    <m/>
    <m/>
    <m/>
    <m/>
    <m/>
    <n v="0"/>
  </r>
  <r>
    <x v="0"/>
    <n v="900"/>
    <m/>
    <m/>
    <m/>
    <m/>
    <m/>
    <m/>
    <m/>
    <m/>
    <m/>
    <m/>
    <m/>
    <m/>
    <m/>
    <m/>
    <m/>
    <n v="0"/>
  </r>
  <r>
    <x v="0"/>
    <n v="1000"/>
    <m/>
    <m/>
    <m/>
    <m/>
    <m/>
    <m/>
    <m/>
    <m/>
    <m/>
    <m/>
    <m/>
    <m/>
    <m/>
    <m/>
    <m/>
    <n v="0"/>
  </r>
  <r>
    <x v="0"/>
    <n v="1100"/>
    <m/>
    <m/>
    <m/>
    <m/>
    <m/>
    <m/>
    <m/>
    <m/>
    <m/>
    <m/>
    <m/>
    <m/>
    <m/>
    <m/>
    <m/>
    <n v="0"/>
  </r>
  <r>
    <x v="0"/>
    <n v="1200"/>
    <m/>
    <m/>
    <m/>
    <m/>
    <m/>
    <m/>
    <m/>
    <m/>
    <m/>
    <m/>
    <m/>
    <m/>
    <m/>
    <m/>
    <m/>
    <n v="0"/>
  </r>
  <r>
    <x v="0"/>
    <n v="1300"/>
    <m/>
    <m/>
    <m/>
    <m/>
    <m/>
    <m/>
    <m/>
    <m/>
    <m/>
    <m/>
    <m/>
    <m/>
    <m/>
    <m/>
    <n v="299.7"/>
    <n v="0"/>
  </r>
  <r>
    <x v="0"/>
    <n v="1400"/>
    <n v="299.66899999999998"/>
    <n v="0.15"/>
    <n v="293.94690000000003"/>
    <n v="300.89069999999998"/>
    <n v="304.16950000000003"/>
    <n v="0.14199999999999999"/>
    <n v="0.13100000000000001"/>
    <n v="0.17399999999999999"/>
    <n v="1978.4"/>
    <n v="1987"/>
    <n v="2003.8"/>
    <s v="Installed"/>
    <m/>
    <n v="299.7"/>
    <n v="299.7"/>
    <n v="0"/>
  </r>
  <r>
    <x v="0"/>
    <n v="1500"/>
    <n v="298.9742"/>
    <n v="3.7999999999999999E-2"/>
    <n v="293.71510000000001"/>
    <n v="300.12009999999998"/>
    <n v="303.0874"/>
    <n v="2.8000000000000001E-2"/>
    <n v="3.9E-2"/>
    <n v="4.3999999999999997E-2"/>
    <n v="1978"/>
    <n v="1984.8"/>
    <n v="2001.8"/>
    <m/>
    <m/>
    <n v="299"/>
    <n v="299.7"/>
    <n v="0"/>
  </r>
  <r>
    <x v="0"/>
    <n v="1600"/>
    <n v="298.55509999999998"/>
    <n v="0.04"/>
    <n v="293.35599999999999"/>
    <n v="299.65780000000001"/>
    <n v="302.65159999999997"/>
    <n v="3.3000000000000002E-2"/>
    <n v="4.3999999999999997E-2"/>
    <n v="4.2999999999999997E-2"/>
    <n v="1977.2"/>
    <n v="1983.6"/>
    <n v="2000.8"/>
    <m/>
    <m/>
    <n v="298.60000000000002"/>
    <n v="299.7"/>
    <n v="0"/>
  </r>
  <r>
    <x v="0"/>
    <n v="1700"/>
    <n v="298.17099999999999"/>
    <n v="0.04"/>
    <n v="292.9588"/>
    <n v="299.25760000000002"/>
    <n v="302.29660000000001"/>
    <n v="3.9E-2"/>
    <n v="3.5000000000000003E-2"/>
    <n v="4.3999999999999997E-2"/>
    <n v="1976.2"/>
    <n v="1982.8"/>
    <n v="2000.2"/>
    <m/>
    <m/>
    <n v="298.2"/>
    <n v="299.7"/>
    <n v="0"/>
  </r>
  <r>
    <x v="0"/>
    <n v="1800"/>
    <n v="297.83449999999999"/>
    <n v="3.4000000000000002E-2"/>
    <n v="292.68740000000003"/>
    <n v="298.90230000000003"/>
    <n v="301.91379999999998"/>
    <n v="3.3000000000000002E-2"/>
    <n v="0.03"/>
    <n v="3.7999999999999999E-2"/>
    <n v="1975.6"/>
    <n v="1982"/>
    <n v="1999.2"/>
    <m/>
    <m/>
    <n v="297.8"/>
    <n v="299.7"/>
    <n v="0"/>
  </r>
  <r>
    <x v="0"/>
    <n v="1900"/>
    <n v="297.4511"/>
    <n v="3.5999999999999997E-2"/>
    <n v="292.32889999999998"/>
    <n v="298.5009"/>
    <n v="301.52359999999999"/>
    <n v="3.2000000000000001E-2"/>
    <n v="4.2000000000000003E-2"/>
    <n v="3.4000000000000002E-2"/>
    <n v="1974.6"/>
    <n v="1981.2"/>
    <n v="1998.4"/>
    <m/>
    <m/>
    <n v="297.5"/>
    <n v="299.7"/>
    <n v="0"/>
  </r>
  <r>
    <x v="0"/>
    <n v="2000"/>
    <n v="297.05349999999999"/>
    <n v="0.04"/>
    <n v="291.9597"/>
    <n v="298.07810000000001"/>
    <n v="301.12270000000001"/>
    <n v="3.5999999999999997E-2"/>
    <n v="4.3999999999999997E-2"/>
    <n v="0.04"/>
    <n v="1973.8"/>
    <n v="1980.2"/>
    <n v="1997.4"/>
    <m/>
    <m/>
    <n v="297.10000000000002"/>
    <n v="299.7"/>
    <n v="0"/>
  </r>
  <r>
    <x v="0"/>
    <n v="2100"/>
    <n v="296.65089999999998"/>
    <n v="4.2000000000000003E-2"/>
    <n v="291.58609999999999"/>
    <n v="297.64780000000002"/>
    <n v="300.71879999999999"/>
    <n v="4.2999999999999997E-2"/>
    <n v="4.2000000000000003E-2"/>
    <n v="0.04"/>
    <n v="1973.2"/>
    <n v="1979"/>
    <n v="1996.4"/>
    <m/>
    <m/>
    <n v="296.7"/>
    <n v="299.7"/>
    <n v="0"/>
  </r>
  <r>
    <x v="0"/>
    <n v="2200"/>
    <n v="296.32760000000002"/>
    <n v="4.2999999999999997E-2"/>
    <n v="291.28460000000001"/>
    <n v="297.30410000000001"/>
    <n v="300.39409999999998"/>
    <n v="3.9E-2"/>
    <n v="4.8000000000000001E-2"/>
    <n v="4.2000000000000003E-2"/>
    <n v="1972.4"/>
    <n v="1978.4"/>
    <n v="1995.8"/>
    <m/>
    <m/>
    <n v="296.3"/>
    <n v="299.7"/>
    <n v="0"/>
  </r>
  <r>
    <x v="0"/>
    <n v="2300"/>
    <n v="296.03620000000001"/>
    <n v="0.04"/>
    <n v="291"/>
    <n v="297.00979999999998"/>
    <n v="300.09879999999998"/>
    <n v="3.2000000000000001E-2"/>
    <n v="4.5999999999999999E-2"/>
    <n v="4.2000000000000003E-2"/>
    <n v="1971.8"/>
    <n v="1977.6"/>
    <n v="1995"/>
    <m/>
    <m/>
    <n v="296"/>
    <n v="299.7"/>
    <n v="0"/>
  </r>
  <r>
    <x v="0"/>
    <n v="2400"/>
    <n v="295.69009999999997"/>
    <n v="4.2000000000000003E-2"/>
    <n v="290.66820000000001"/>
    <n v="296.65859999999998"/>
    <n v="299.74340000000001"/>
    <n v="0.04"/>
    <n v="4.2999999999999997E-2"/>
    <n v="4.2000000000000003E-2"/>
    <n v="1971"/>
    <n v="1976.8"/>
    <n v="1994.2"/>
    <m/>
    <m/>
    <n v="295.7"/>
    <n v="299.7"/>
    <n v="0"/>
  </r>
  <r>
    <x v="1"/>
    <n v="100"/>
    <n v="295.2851"/>
    <n v="0.05"/>
    <n v="290.29669999999999"/>
    <n v="296.23829999999998"/>
    <n v="299.3202"/>
    <n v="6.5000000000000002E-2"/>
    <n v="4.2999999999999997E-2"/>
    <n v="3.6999999999999998E-2"/>
    <n v="1970"/>
    <n v="1975.8"/>
    <n v="1993.2"/>
    <m/>
    <m/>
    <n v="295.3"/>
    <n v="299.7"/>
    <n v="0"/>
  </r>
  <r>
    <x v="1"/>
    <n v="200"/>
    <n v="294.90339999999998"/>
    <n v="3.7999999999999999E-2"/>
    <n v="289.9468"/>
    <n v="295.8229"/>
    <n v="298.94040000000001"/>
    <n v="3.7999999999999999E-2"/>
    <n v="0.03"/>
    <n v="4.3999999999999997E-2"/>
    <n v="1969.4"/>
    <n v="1975"/>
    <n v="1992.6"/>
    <m/>
    <m/>
    <n v="294.89999999999998"/>
    <n v="299.7"/>
    <n v="0"/>
  </r>
  <r>
    <x v="1"/>
    <n v="300"/>
    <n v="294.6284"/>
    <n v="4.4999999999999998E-2"/>
    <n v="289.67649999999998"/>
    <n v="295.53840000000002"/>
    <n v="298.67039999999997"/>
    <n v="4.2000000000000003E-2"/>
    <n v="4.2999999999999997E-2"/>
    <n v="4.9000000000000002E-2"/>
    <n v="1968.6"/>
    <n v="1974.2"/>
    <n v="1991.6"/>
    <m/>
    <m/>
    <n v="294.60000000000002"/>
    <n v="299.7"/>
    <n v="0"/>
  </r>
  <r>
    <x v="1"/>
    <n v="400"/>
    <n v="294.32740000000001"/>
    <n v="3.3000000000000002E-2"/>
    <n v="289.40010000000001"/>
    <n v="295.21710000000002"/>
    <n v="298.36489999999998"/>
    <n v="4.2999999999999997E-2"/>
    <n v="0.03"/>
    <n v="2.3E-2"/>
    <n v="1968.2"/>
    <n v="1973.6"/>
    <n v="1991.2"/>
    <m/>
    <m/>
    <n v="294.3"/>
    <n v="299.7"/>
    <n v="0"/>
  </r>
  <r>
    <x v="1"/>
    <n v="500"/>
    <n v="294.06490000000002"/>
    <n v="2.9000000000000001E-2"/>
    <n v="289.13760000000002"/>
    <n v="294.95269999999999"/>
    <n v="298.10430000000002"/>
    <n v="4.2999999999999997E-2"/>
    <n v="2.1999999999999999E-2"/>
    <n v="1.6E-2"/>
    <n v="1967.4"/>
    <n v="1973"/>
    <n v="1990.6"/>
    <m/>
    <m/>
    <n v="294.10000000000002"/>
    <n v="299.7"/>
    <n v="0"/>
  </r>
  <r>
    <x v="1"/>
    <n v="600"/>
    <n v="293.92219999999998"/>
    <n v="4.1000000000000002E-2"/>
    <n v="288.98809999999997"/>
    <n v="294.81599999999997"/>
    <n v="297.96249999999998"/>
    <n v="3.7999999999999999E-2"/>
    <n v="4.2000000000000003E-2"/>
    <n v="4.2999999999999997E-2"/>
    <n v="1967.2"/>
    <n v="1972.6"/>
    <n v="1990.4"/>
    <m/>
    <m/>
    <n v="293.89999999999998"/>
    <n v="299.7"/>
    <n v="0"/>
  </r>
  <r>
    <x v="1"/>
    <n v="700"/>
    <n v="293.91250000000002"/>
    <n v="4.1000000000000002E-2"/>
    <n v="288.9744"/>
    <n v="294.80070000000001"/>
    <n v="297.96249999999998"/>
    <n v="4.2999999999999997E-2"/>
    <n v="3.5000000000000003E-2"/>
    <n v="4.2999999999999997E-2"/>
    <n v="1967.2"/>
    <n v="1972.6"/>
    <n v="1990.4"/>
    <m/>
    <m/>
    <n v="293.89999999999998"/>
    <n v="293.89999999999998"/>
    <n v="0"/>
  </r>
  <r>
    <x v="1"/>
    <n v="800"/>
    <n v="294.54340000000002"/>
    <n v="4.9000000000000002E-2"/>
    <n v="289.6139"/>
    <n v="295.4169"/>
    <n v="298.5994"/>
    <n v="4.9000000000000002E-2"/>
    <n v="5.1999999999999998E-2"/>
    <n v="4.5999999999999999E-2"/>
    <n v="1968.6"/>
    <n v="1974.2"/>
    <n v="1992"/>
    <m/>
    <m/>
    <n v="294.5"/>
    <n v="294.5"/>
    <n v="0.60000000000002274"/>
  </r>
  <r>
    <x v="1"/>
    <n v="900"/>
    <n v="295.11750000000001"/>
    <n v="4.2999999999999997E-2"/>
    <n v="290.18209999999999"/>
    <n v="295.95979999999997"/>
    <n v="299.21050000000002"/>
    <n v="4.2999999999999997E-2"/>
    <n v="4.2999999999999997E-2"/>
    <n v="4.2999999999999997E-2"/>
    <n v="1969.8"/>
    <n v="1975.2"/>
    <n v="1993.2"/>
    <m/>
    <m/>
    <n v="295.10000000000002"/>
    <n v="295.10000000000002"/>
    <n v="0.60000000000002274"/>
  </r>
  <r>
    <x v="1"/>
    <n v="1000"/>
    <n v="295.69499999999999"/>
    <n v="3.5000000000000003E-2"/>
    <n v="290.7645"/>
    <n v="296.55549999999999"/>
    <n v="299.76499999999999"/>
    <n v="3.4000000000000002E-2"/>
    <n v="3.9E-2"/>
    <n v="3.3000000000000002E-2"/>
    <n v="1971.2"/>
    <n v="1976.8"/>
    <n v="1994.4"/>
    <m/>
    <m/>
    <n v="295.7"/>
    <n v="295.7"/>
    <n v="0.59999999999996589"/>
  </r>
  <r>
    <x v="1"/>
    <n v="1100"/>
    <n v="296.79849999999999"/>
    <n v="4.8000000000000001E-2"/>
    <n v="291.85550000000001"/>
    <n v="297.68020000000001"/>
    <n v="300.8596"/>
    <n v="4.8000000000000001E-2"/>
    <n v="4.8000000000000001E-2"/>
    <n v="4.7E-2"/>
    <n v="1973.8"/>
    <n v="1979.2"/>
    <n v="1997"/>
    <m/>
    <m/>
    <n v="296.8"/>
    <n v="296.8"/>
    <n v="1.1000000000000227"/>
  </r>
  <r>
    <x v="1"/>
    <n v="1200"/>
    <n v="297.71269999999998"/>
    <n v="4.8000000000000001E-2"/>
    <n v="292.77330000000001"/>
    <n v="298.58890000000002"/>
    <n v="301.77600000000001"/>
    <n v="4.9000000000000002E-2"/>
    <n v="4.8000000000000001E-2"/>
    <n v="4.7E-2"/>
    <n v="1976"/>
    <n v="1981.2"/>
    <n v="1999"/>
    <m/>
    <m/>
    <n v="297.7"/>
    <n v="297.7"/>
    <n v="0.89999999999997726"/>
  </r>
  <r>
    <x v="1"/>
    <n v="1300"/>
    <n v="298.61939999999998"/>
    <n v="4.5999999999999999E-2"/>
    <n v="293.66750000000002"/>
    <n v="299.49549999999999"/>
    <n v="302.69499999999999"/>
    <n v="4.8000000000000001E-2"/>
    <n v="4.4999999999999998E-2"/>
    <n v="4.4999999999999998E-2"/>
    <n v="1978"/>
    <n v="1983.4"/>
    <n v="2001.2"/>
    <m/>
    <m/>
    <n v="298.60000000000002"/>
    <n v="298.60000000000002"/>
    <n v="0.90000000000003411"/>
  </r>
  <r>
    <x v="1"/>
    <n v="1400"/>
    <n v="299.37860000000001"/>
    <n v="3.7999999999999999E-2"/>
    <n v="294.42610000000002"/>
    <n v="300.25619999999998"/>
    <n v="303.45359999999999"/>
    <n v="0.03"/>
    <n v="0.04"/>
    <n v="4.2000000000000003E-2"/>
    <n v="1979.8"/>
    <n v="1985.2"/>
    <n v="2002.8"/>
    <m/>
    <m/>
    <n v="299.39999999999998"/>
    <n v="299.39999999999998"/>
    <n v="0.79999999999995453"/>
  </r>
  <r>
    <x v="1"/>
    <n v="1500"/>
    <n v="299.74340000000001"/>
    <n v="3.9E-2"/>
    <n v="294.78559999999999"/>
    <n v="300.62450000000001"/>
    <n v="303.81990000000002"/>
    <n v="3.5999999999999997E-2"/>
    <n v="4.3999999999999997E-2"/>
    <n v="3.5000000000000003E-2"/>
    <n v="1980.4"/>
    <n v="1985.8"/>
    <n v="2003.6"/>
    <m/>
    <m/>
    <n v="299.7"/>
    <n v="299.7"/>
    <n v="0.30000000000001137"/>
  </r>
  <r>
    <x v="1"/>
    <n v="1600"/>
    <n v="300.18720000000002"/>
    <n v="3.2000000000000001E-2"/>
    <n v="295.21910000000003"/>
    <n v="301.05950000000001"/>
    <n v="304.28280000000001"/>
    <n v="3.2000000000000001E-2"/>
    <n v="4.2999999999999997E-2"/>
    <n v="1.6E-2"/>
    <n v="1981.6"/>
    <n v="1986.8"/>
    <n v="2004.6"/>
    <m/>
    <m/>
    <n v="300.2"/>
    <n v="300.2"/>
    <n v="0.5"/>
  </r>
  <r>
    <x v="1"/>
    <n v="1700"/>
    <n v="300.52330000000001"/>
    <n v="3.5000000000000003E-2"/>
    <n v="295.55599999999998"/>
    <n v="301.40640000000002"/>
    <n v="304.60759999999999"/>
    <n v="0.02"/>
    <n v="4.1000000000000002E-2"/>
    <n v="4.1000000000000002E-2"/>
    <n v="1982.2"/>
    <n v="1987.8"/>
    <n v="2005.4"/>
    <m/>
    <m/>
    <n v="300.5"/>
    <n v="300.5"/>
    <n v="0.30000000000001137"/>
  </r>
  <r>
    <x v="1"/>
    <n v="1800"/>
    <n v="300.51049999999998"/>
    <n v="3.5000000000000003E-2"/>
    <n v="295.53289999999998"/>
    <n v="301.38619999999997"/>
    <n v="304.6123"/>
    <n v="4.1000000000000002E-2"/>
    <n v="2.5000000000000001E-2"/>
    <n v="3.7999999999999999E-2"/>
    <n v="1982.2"/>
    <n v="1987.6"/>
    <n v="2005.4"/>
    <m/>
    <m/>
    <n v="300.5"/>
    <n v="300.5"/>
    <n v="0"/>
  </r>
  <r>
    <x v="1"/>
    <n v="1900"/>
    <n v="300.54090000000002"/>
    <n v="3.4000000000000002E-2"/>
    <n v="295.5652"/>
    <n v="301.411"/>
    <n v="304.6465"/>
    <n v="2.5999999999999999E-2"/>
    <n v="4.2999999999999997E-2"/>
    <n v="3.1E-2"/>
    <n v="1982.2"/>
    <n v="1987.8"/>
    <n v="2005.4"/>
    <m/>
    <m/>
    <n v="300.5"/>
    <n v="300.5"/>
    <n v="0"/>
  </r>
  <r>
    <x v="1"/>
    <n v="2000"/>
    <n v="300.53059999999999"/>
    <n v="0.03"/>
    <n v="295.55290000000002"/>
    <n v="301.39400000000001"/>
    <n v="304.64499999999998"/>
    <n v="2.5000000000000001E-2"/>
    <n v="3.4000000000000002E-2"/>
    <n v="2.9000000000000001E-2"/>
    <n v="1982.2"/>
    <n v="1987.6"/>
    <n v="2005.4"/>
    <m/>
    <m/>
    <n v="300.5"/>
    <n v="300.5"/>
    <n v="0"/>
  </r>
  <r>
    <x v="1"/>
    <n v="2100"/>
    <n v="300.41149999999999"/>
    <n v="3.7999999999999999E-2"/>
    <n v="295.43299999999999"/>
    <n v="301.27159999999998"/>
    <n v="304.5299"/>
    <n v="4.3999999999999997E-2"/>
    <n v="3.5999999999999997E-2"/>
    <n v="3.4000000000000002E-2"/>
    <n v="1982"/>
    <n v="1987.4"/>
    <n v="2005"/>
    <m/>
    <m/>
    <n v="300.39999999999998"/>
    <n v="300.5"/>
    <n v="0"/>
  </r>
  <r>
    <x v="1"/>
    <n v="2200"/>
    <n v="300.30680000000001"/>
    <n v="4.2000000000000003E-2"/>
    <n v="295.32990000000001"/>
    <n v="301.1601"/>
    <n v="304.43049999999999"/>
    <n v="4.2000000000000003E-2"/>
    <n v="4.3999999999999997E-2"/>
    <n v="4.1000000000000002E-2"/>
    <n v="1981.6"/>
    <n v="1987"/>
    <n v="2005"/>
    <m/>
    <m/>
    <n v="300.3"/>
    <n v="300.5"/>
    <n v="0"/>
  </r>
  <r>
    <x v="1"/>
    <n v="2300"/>
    <n v="300.1857"/>
    <n v="3.3000000000000002E-2"/>
    <n v="295.20679999999999"/>
    <n v="301.0378"/>
    <n v="304.31240000000003"/>
    <n v="2.3E-2"/>
    <n v="3.1E-2"/>
    <n v="4.2999999999999997E-2"/>
    <n v="1981.4"/>
    <n v="1986.8"/>
    <n v="2004.6"/>
    <m/>
    <m/>
    <n v="300.2"/>
    <n v="300.5"/>
    <n v="0"/>
  </r>
  <r>
    <x v="1"/>
    <n v="2400"/>
    <n v="300.11559999999997"/>
    <n v="3.9E-2"/>
    <n v="295.13920000000002"/>
    <n v="300.96350000000001"/>
    <n v="304.24400000000003"/>
    <n v="3.5000000000000003E-2"/>
    <n v="0.04"/>
    <n v="4.2999999999999997E-2"/>
    <n v="1981.2"/>
    <n v="1986.6"/>
    <n v="2004.6"/>
    <m/>
    <m/>
    <n v="300.10000000000002"/>
    <n v="300.5"/>
    <n v="0"/>
  </r>
  <r>
    <x v="2"/>
    <n v="100"/>
    <n v="300.0532"/>
    <n v="3.5999999999999997E-2"/>
    <n v="295.07150000000001"/>
    <n v="300.89839999999998"/>
    <n v="304.18970000000002"/>
    <n v="4.2999999999999997E-2"/>
    <n v="4.3999999999999997E-2"/>
    <n v="1.2E-2"/>
    <n v="1981.2"/>
    <n v="1986.4"/>
    <n v="2004.4"/>
    <m/>
    <m/>
    <n v="300.10000000000002"/>
    <n v="300.5"/>
    <n v="0"/>
  </r>
  <r>
    <x v="2"/>
    <n v="200"/>
    <n v="299.96300000000002"/>
    <n v="3.7999999999999999E-2"/>
    <n v="294.99009999999998"/>
    <n v="300.80239999999998"/>
    <n v="304.09640000000002"/>
    <n v="4.3999999999999997E-2"/>
    <n v="4.3999999999999997E-2"/>
    <n v="2.3E-2"/>
    <n v="1980.8"/>
    <n v="1986.2"/>
    <n v="2004.2"/>
    <m/>
    <m/>
    <n v="300"/>
    <n v="300.5"/>
    <n v="0"/>
  </r>
  <r>
    <x v="2"/>
    <n v="300"/>
    <n v="299.84809999999999"/>
    <n v="3.5999999999999997E-2"/>
    <n v="294.87630000000001"/>
    <n v="300.68329999999997"/>
    <n v="303.9846"/>
    <n v="3.5000000000000003E-2"/>
    <n v="2.9000000000000001E-2"/>
    <n v="4.2000000000000003E-2"/>
    <n v="1980.8"/>
    <n v="1986"/>
    <n v="2004"/>
    <m/>
    <m/>
    <n v="299.8"/>
    <n v="300.5"/>
    <n v="0"/>
  </r>
  <r>
    <x v="2"/>
    <n v="400"/>
    <n v="299.75220000000002"/>
    <n v="0.03"/>
    <n v="294.77949999999998"/>
    <n v="300.58429999999998"/>
    <n v="303.89299999999997"/>
    <n v="2.5000000000000001E-2"/>
    <n v="1.7000000000000001E-2"/>
    <n v="4.2999999999999997E-2"/>
    <n v="1980.4"/>
    <n v="1985.8"/>
    <n v="2003.8"/>
    <m/>
    <m/>
    <n v="299.8"/>
    <n v="300.5"/>
    <n v="0"/>
  </r>
  <r>
    <x v="2"/>
    <n v="500"/>
    <n v="299.61619999999999"/>
    <n v="3.9E-2"/>
    <n v="294.64269999999999"/>
    <n v="300.44810000000001"/>
    <n v="303.75779999999997"/>
    <n v="4.3999999999999997E-2"/>
    <n v="4.3999999999999997E-2"/>
    <n v="2.7E-2"/>
    <n v="1980"/>
    <n v="1985.4"/>
    <n v="2003.4"/>
    <m/>
    <m/>
    <n v="299.60000000000002"/>
    <n v="300.5"/>
    <n v="0"/>
  </r>
  <r>
    <x v="2"/>
    <n v="600"/>
    <n v="299.49259999999998"/>
    <n v="0.03"/>
    <n v="294.51819999999998"/>
    <n v="300.3227"/>
    <n v="303.63670000000002"/>
    <n v="3.1E-2"/>
    <n v="1.6E-2"/>
    <n v="3.9E-2"/>
    <n v="1979.8"/>
    <n v="1985.2"/>
    <n v="2003.2"/>
    <m/>
    <m/>
    <n v="299.5"/>
    <n v="300.5"/>
    <n v="0"/>
  </r>
  <r>
    <x v="2"/>
    <n v="700"/>
    <n v="299.38650000000001"/>
    <n v="3.5999999999999997E-2"/>
    <n v="294.40910000000002"/>
    <n v="300.21449999999999"/>
    <n v="303.53590000000003"/>
    <n v="0.03"/>
    <n v="3.5000000000000003E-2"/>
    <n v="4.2999999999999997E-2"/>
    <n v="1979.4"/>
    <n v="1985"/>
    <n v="2002.8"/>
    <m/>
    <m/>
    <n v="299.39999999999998"/>
    <n v="300.5"/>
    <n v="0"/>
  </r>
  <r>
    <x v="2"/>
    <n v="800"/>
    <n v="299.35610000000003"/>
    <n v="4.1000000000000002E-2"/>
    <n v="294.38459999999998"/>
    <n v="300.18049999999999"/>
    <n v="303.50330000000002"/>
    <n v="4.2999999999999997E-2"/>
    <n v="4.3999999999999997E-2"/>
    <n v="3.6999999999999998E-2"/>
    <n v="1979.4"/>
    <n v="1985"/>
    <n v="2002.8"/>
    <m/>
    <m/>
    <n v="299.39999999999998"/>
    <n v="300.5"/>
    <n v="0"/>
  </r>
  <r>
    <x v="2"/>
    <n v="900"/>
    <n v="299.24119999999999"/>
    <n v="3.2000000000000001E-2"/>
    <n v="294.26940000000002"/>
    <n v="300.0675"/>
    <n v="303.38690000000003"/>
    <n v="3.9E-2"/>
    <n v="3.1E-2"/>
    <n v="2.5000000000000001E-2"/>
    <n v="1979.2"/>
    <n v="1984.6"/>
    <n v="2002.6"/>
    <m/>
    <m/>
    <n v="299.2"/>
    <n v="300.5"/>
    <n v="0"/>
  </r>
  <r>
    <x v="2"/>
    <n v="1000"/>
    <n v="299.08010000000002"/>
    <n v="3.6999999999999998E-2"/>
    <n v="294.12200000000001"/>
    <n v="299.9067"/>
    <n v="303.2115"/>
    <n v="4.2999999999999997E-2"/>
    <n v="4.1000000000000002E-2"/>
    <n v="2.3E-2"/>
    <n v="1979"/>
    <n v="1984.2"/>
    <n v="2002.2"/>
    <m/>
    <m/>
    <n v="299.10000000000002"/>
    <n v="300.5"/>
    <n v="0"/>
  </r>
  <r>
    <x v="2"/>
    <n v="1100"/>
    <n v="298.9205"/>
    <n v="3.5000000000000003E-2"/>
    <n v="293.97300000000001"/>
    <n v="299.73970000000003"/>
    <n v="303.04860000000002"/>
    <n v="3.3000000000000002E-2"/>
    <n v="4.3999999999999997E-2"/>
    <n v="2.5000000000000001E-2"/>
    <n v="1978.4"/>
    <n v="1984"/>
    <n v="2001.8"/>
    <m/>
    <m/>
    <n v="298.89999999999998"/>
    <n v="300.5"/>
    <n v="0"/>
  </r>
  <r>
    <x v="2"/>
    <n v="1200"/>
    <n v="298.7568"/>
    <n v="3.5999999999999997E-2"/>
    <n v="293.81029999999998"/>
    <n v="299.57279999999997"/>
    <n v="302.88729999999998"/>
    <n v="0.02"/>
    <n v="4.3999999999999997E-2"/>
    <n v="3.9E-2"/>
    <n v="1978.2"/>
    <n v="1983.4"/>
    <n v="2001.4"/>
    <m/>
    <m/>
    <n v="298.8"/>
    <n v="300.5"/>
    <n v="0"/>
  </r>
  <r>
    <x v="2"/>
    <n v="1300"/>
    <n v="298.61430000000001"/>
    <n v="3.4000000000000002E-2"/>
    <n v="293.65679999999998"/>
    <n v="299.43220000000002"/>
    <n v="302.75389999999999"/>
    <n v="3.9E-2"/>
    <n v="2.1999999999999999E-2"/>
    <n v="3.7999999999999999E-2"/>
    <n v="1977.8"/>
    <n v="1983"/>
    <n v="2001.2"/>
    <m/>
    <m/>
    <n v="298.60000000000002"/>
    <n v="300.5"/>
    <n v="0"/>
  </r>
  <r>
    <x v="2"/>
    <n v="1400"/>
    <n v="298.50580000000002"/>
    <n v="3.6999999999999998E-2"/>
    <n v="293.52940000000001"/>
    <n v="299.33479999999997"/>
    <n v="302.65309999999999"/>
    <n v="3.5000000000000003E-2"/>
    <n v="3.3000000000000002E-2"/>
    <n v="4.2999999999999997E-2"/>
    <n v="1977.6"/>
    <n v="1982.8"/>
    <n v="2000.8"/>
    <m/>
    <m/>
    <n v="298.5"/>
    <n v="300.5"/>
    <n v="0"/>
  </r>
  <r>
    <x v="2"/>
    <n v="1500"/>
    <n v="298.40809999999999"/>
    <n v="4.2000000000000003E-2"/>
    <n v="293.43579999999997"/>
    <n v="299.23129999999998"/>
    <n v="302.55700000000002"/>
    <n v="3.9E-2"/>
    <n v="4.2000000000000003E-2"/>
    <n v="4.3999999999999997E-2"/>
    <n v="1977.2"/>
    <n v="1982.6"/>
    <n v="2000.6"/>
    <m/>
    <m/>
    <n v="298.39999999999998"/>
    <n v="300.5"/>
    <n v="0"/>
  </r>
  <r>
    <x v="2"/>
    <n v="1600"/>
    <n v="298.33300000000003"/>
    <n v="3.5000000000000003E-2"/>
    <n v="293.35750000000002"/>
    <n v="299.12009999999998"/>
    <n v="302.52140000000003"/>
    <n v="3.2000000000000001E-2"/>
    <n v="4.2999999999999997E-2"/>
    <n v="2.9000000000000001E-2"/>
    <n v="1977.2"/>
    <n v="1982.6"/>
    <n v="2000.6"/>
    <m/>
    <m/>
    <n v="298.3"/>
    <n v="300.5"/>
    <n v="0"/>
  </r>
  <r>
    <x v="2"/>
    <n v="1700"/>
    <n v="298.22710000000001"/>
    <n v="4.2999999999999997E-2"/>
    <n v="293.23790000000002"/>
    <n v="299.04899999999998"/>
    <n v="302.39420000000001"/>
    <n v="4.3999999999999997E-2"/>
    <n v="4.2999999999999997E-2"/>
    <n v="4.1000000000000002E-2"/>
    <n v="1976.8"/>
    <n v="1982.2"/>
    <n v="2000.4"/>
    <m/>
    <m/>
    <n v="298.2"/>
    <n v="300.5"/>
    <n v="0"/>
  </r>
  <r>
    <x v="2"/>
    <n v="1800"/>
    <n v="298.1422"/>
    <n v="0.04"/>
    <n v="293.1474"/>
    <n v="298.96100000000001"/>
    <n v="302.31819999999999"/>
    <n v="4.2999999999999997E-2"/>
    <n v="4.2999999999999997E-2"/>
    <n v="3.4000000000000002E-2"/>
    <n v="1976.6"/>
    <n v="1982.2"/>
    <n v="2000.2"/>
    <m/>
    <m/>
    <n v="298.10000000000002"/>
    <n v="300.5"/>
    <n v="0"/>
  </r>
  <r>
    <x v="2"/>
    <n v="1900"/>
    <n v="298.0369"/>
    <n v="3.9E-2"/>
    <n v="293.03550000000001"/>
    <n v="298.85599999999999"/>
    <n v="302.21910000000003"/>
    <n v="3.2000000000000001E-2"/>
    <n v="4.2999999999999997E-2"/>
    <n v="0.04"/>
    <n v="1976.4"/>
    <n v="1982"/>
    <n v="1999.8"/>
    <m/>
    <m/>
    <n v="298"/>
    <n v="300.5"/>
    <n v="0"/>
  </r>
  <r>
    <x v="2"/>
    <n v="2000"/>
    <n v="297.94639999999998"/>
    <n v="3.6999999999999998E-2"/>
    <n v="292.94959999999998"/>
    <n v="298.75720000000001"/>
    <n v="302.13229999999999"/>
    <n v="3.3000000000000002E-2"/>
    <n v="3.9E-2"/>
    <n v="0.04"/>
    <n v="1976.2"/>
    <n v="1981.6"/>
    <n v="1999.8"/>
    <m/>
    <m/>
    <n v="297.89999999999998"/>
    <n v="300.5"/>
    <n v="0"/>
  </r>
  <r>
    <x v="2"/>
    <n v="2100"/>
    <n v="297.85789999999997"/>
    <n v="3.5999999999999997E-2"/>
    <n v="292.86219999999997"/>
    <n v="298.66609999999997"/>
    <n v="302.0455"/>
    <n v="3.3000000000000002E-2"/>
    <n v="3.6999999999999998E-2"/>
    <n v="3.9E-2"/>
    <n v="1976"/>
    <n v="1981.6"/>
    <n v="1999.4"/>
    <m/>
    <m/>
    <n v="297.89999999999998"/>
    <n v="300.5"/>
    <n v="0"/>
  </r>
  <r>
    <x v="2"/>
    <n v="2200"/>
    <n v="297.77730000000003"/>
    <n v="3.6999999999999998E-2"/>
    <n v="292.78250000000003"/>
    <n v="298.58429999999998"/>
    <n v="301.96499999999997"/>
    <n v="3.7999999999999999E-2"/>
    <n v="0.04"/>
    <n v="3.4000000000000002E-2"/>
    <n v="1976"/>
    <n v="1981.4"/>
    <n v="1999.4"/>
    <m/>
    <m/>
    <n v="297.8"/>
    <n v="300.5"/>
    <n v="0"/>
  </r>
  <r>
    <x v="2"/>
    <n v="2300"/>
    <n v="297.6909"/>
    <n v="3.5999999999999997E-2"/>
    <n v="292.69659999999999"/>
    <n v="298.49470000000002"/>
    <n v="301.88130000000001"/>
    <n v="3.9E-2"/>
    <n v="0.04"/>
    <n v="2.9000000000000001E-2"/>
    <n v="1975.6"/>
    <n v="1981"/>
    <n v="1999.2"/>
    <m/>
    <m/>
    <n v="297.7"/>
    <n v="300.5"/>
    <n v="0"/>
  </r>
  <r>
    <x v="2"/>
    <n v="2400"/>
    <n v="297.60199999999998"/>
    <n v="3.6999999999999998E-2"/>
    <n v="292.61079999999998"/>
    <n v="298.40370000000001"/>
    <n v="301.79149999999998"/>
    <n v="0.04"/>
    <n v="3.7999999999999999E-2"/>
    <n v="3.1E-2"/>
    <n v="1975.4"/>
    <n v="1980.8"/>
    <n v="1999"/>
    <m/>
    <m/>
    <n v="297.60000000000002"/>
    <n v="300.5"/>
    <n v="0"/>
  </r>
  <r>
    <x v="3"/>
    <n v="100"/>
    <n v="297.5059"/>
    <n v="3.4000000000000002E-2"/>
    <n v="292.51429999999999"/>
    <n v="298.30650000000003"/>
    <n v="301.69709999999998"/>
    <n v="3.4000000000000002E-2"/>
    <n v="3.1E-2"/>
    <n v="3.5999999999999997E-2"/>
    <n v="1975.2"/>
    <n v="1980.6"/>
    <n v="1998.8"/>
    <m/>
    <m/>
    <n v="297.5"/>
    <n v="300.5"/>
    <n v="0"/>
  </r>
  <r>
    <x v="3"/>
    <n v="200"/>
    <n v="297.42829999999998"/>
    <n v="3.3000000000000002E-2"/>
    <n v="292.43299999999999"/>
    <n v="298.22620000000001"/>
    <n v="301.62580000000003"/>
    <n v="3.7999999999999999E-2"/>
    <n v="3.6999999999999998E-2"/>
    <n v="0.02"/>
    <n v="1975"/>
    <n v="1980.4"/>
    <n v="1998.6"/>
    <m/>
    <m/>
    <n v="297.39999999999998"/>
    <n v="300.5"/>
    <n v="0"/>
  </r>
  <r>
    <x v="3"/>
    <n v="300"/>
    <n v="297.34460000000001"/>
    <n v="3.5000000000000003E-2"/>
    <n v="292.35340000000002"/>
    <n v="298.14139999999998"/>
    <n v="301.53910000000002"/>
    <n v="4.2000000000000003E-2"/>
    <n v="3.9E-2"/>
    <n v="1.7000000000000001E-2"/>
    <n v="1974.8"/>
    <n v="1980.4"/>
    <n v="1998.4"/>
    <m/>
    <m/>
    <n v="297.3"/>
    <n v="300.5"/>
    <n v="0"/>
  </r>
  <r>
    <x v="3"/>
    <n v="400"/>
    <n v="297.29169999999999"/>
    <n v="4.1000000000000002E-2"/>
    <n v="292.30279999999999"/>
    <n v="298.0874"/>
    <n v="301.48489999999998"/>
    <n v="3.6999999999999998E-2"/>
    <n v="4.2000000000000003E-2"/>
    <n v="4.2999999999999997E-2"/>
    <n v="1974.6"/>
    <n v="1980.2"/>
    <n v="1998.2"/>
    <m/>
    <m/>
    <n v="297.3"/>
    <n v="300.5"/>
    <n v="0"/>
  </r>
  <r>
    <x v="3"/>
    <n v="500"/>
    <n v="297.22699999999998"/>
    <n v="2.8000000000000001E-2"/>
    <n v="292.23230000000001"/>
    <n v="298.02420000000001"/>
    <n v="301.42450000000002"/>
    <n v="1.6E-2"/>
    <n v="2.1999999999999999E-2"/>
    <n v="0.04"/>
    <n v="1974.6"/>
    <n v="1980"/>
    <n v="1998"/>
    <m/>
    <m/>
    <n v="297.2"/>
    <n v="300.5"/>
    <n v="0"/>
  </r>
  <r>
    <x v="3"/>
    <n v="600"/>
    <n v="297.18029999999999"/>
    <n v="0.04"/>
    <n v="292.18790000000001"/>
    <n v="297.97320000000002"/>
    <n v="301.37959999999998"/>
    <n v="4.2999999999999997E-2"/>
    <n v="4.2000000000000003E-2"/>
    <n v="3.5000000000000003E-2"/>
    <n v="1974.6"/>
    <n v="1979.8"/>
    <n v="1998.2"/>
    <m/>
    <m/>
    <n v="297.2"/>
    <n v="300.5"/>
    <n v="0"/>
  </r>
  <r>
    <x v="3"/>
    <n v="700"/>
    <n v="297.1191"/>
    <n v="4.1000000000000002E-2"/>
    <n v="292.12509999999997"/>
    <n v="297.91149999999999"/>
    <n v="301.32080000000002"/>
    <n v="3.7999999999999999E-2"/>
    <n v="4.2000000000000003E-2"/>
    <n v="4.3999999999999997E-2"/>
    <n v="1974.4"/>
    <n v="1979.8"/>
    <n v="1997.8"/>
    <m/>
    <m/>
    <n v="297.10000000000002"/>
    <n v="300.5"/>
    <n v="0"/>
  </r>
  <r>
    <x v="3"/>
    <n v="800"/>
    <n v="297.0308"/>
    <n v="4.2000000000000003E-2"/>
    <n v="292.03320000000002"/>
    <n v="297.82670000000002"/>
    <n v="301.23250000000002"/>
    <n v="4.1000000000000002E-2"/>
    <n v="4.1000000000000002E-2"/>
    <n v="4.3999999999999997E-2"/>
    <n v="1974.2"/>
    <n v="1979.6"/>
    <n v="1997.8"/>
    <m/>
    <m/>
    <n v="297"/>
    <n v="300.5"/>
    <n v="0"/>
  </r>
  <r>
    <x v="3"/>
    <n v="900"/>
    <n v="296.98970000000003"/>
    <n v="3.5000000000000003E-2"/>
    <n v="292.0163"/>
    <n v="297.7774"/>
    <n v="301.17529999999999"/>
    <n v="4.3999999999999997E-2"/>
    <n v="2.9000000000000001E-2"/>
    <n v="2.9000000000000001E-2"/>
    <n v="1974.2"/>
    <n v="1979.4"/>
    <n v="1997.4"/>
    <m/>
    <m/>
    <n v="297"/>
    <n v="300.5"/>
    <n v="0"/>
  </r>
  <r>
    <x v="3"/>
    <n v="1000"/>
    <n v="296.91359999999997"/>
    <n v="0.04"/>
    <n v="291.95659999999998"/>
    <n v="297.71409999999997"/>
    <n v="301.07"/>
    <n v="3.4000000000000002E-2"/>
    <n v="4.2999999999999997E-2"/>
    <n v="4.1000000000000002E-2"/>
    <n v="1974"/>
    <n v="1979.2"/>
    <n v="1997.4"/>
    <m/>
    <m/>
    <n v="296.89999999999998"/>
    <n v="300.5"/>
    <n v="0"/>
  </r>
  <r>
    <x v="3"/>
    <n v="1100"/>
    <n v="296.87959999999998"/>
    <n v="3.2000000000000001E-2"/>
    <n v="291.95359999999999"/>
    <n v="297.66629999999998"/>
    <n v="301.01900000000001"/>
    <n v="3.6999999999999998E-2"/>
    <n v="3.1E-2"/>
    <n v="2.7E-2"/>
    <n v="1974"/>
    <n v="1979.2"/>
    <n v="1997.2"/>
    <m/>
    <m/>
    <n v="296.89999999999998"/>
    <n v="300.5"/>
    <n v="0"/>
  </r>
  <r>
    <x v="3"/>
    <n v="1200"/>
    <n v="296.76220000000001"/>
    <n v="3.3000000000000002E-2"/>
    <n v="291.80500000000001"/>
    <n v="297.56459999999998"/>
    <n v="300.91680000000002"/>
    <n v="3.2000000000000001E-2"/>
    <n v="4.2999999999999997E-2"/>
    <n v="0.02"/>
    <n v="1973.6"/>
    <n v="1979"/>
    <n v="1997"/>
    <m/>
    <m/>
    <n v="296.8"/>
    <n v="300.5"/>
    <n v="0"/>
  </r>
  <r>
    <x v="3"/>
    <n v="1300"/>
    <n v="296.73099999999999"/>
    <n v="3.5999999999999997E-2"/>
    <n v="291.7285"/>
    <n v="297.58"/>
    <n v="300.88440000000003"/>
    <n v="3.4000000000000002E-2"/>
    <n v="2.9000000000000001E-2"/>
    <n v="4.3999999999999997E-2"/>
    <n v="1973.6"/>
    <n v="1979"/>
    <n v="1997"/>
    <m/>
    <m/>
    <n v="296.7"/>
    <n v="300.5"/>
    <n v="0"/>
  </r>
  <r>
    <x v="3"/>
    <n v="1400"/>
    <n v="296.59890000000001"/>
    <n v="3.9E-2"/>
    <n v="291.65649999999999"/>
    <n v="297.38119999999998"/>
    <n v="300.75900000000001"/>
    <n v="4.2000000000000003E-2"/>
    <n v="4.2999999999999997E-2"/>
    <n v="3.2000000000000001E-2"/>
    <n v="1973.4"/>
    <n v="1978.4"/>
    <n v="1996.6"/>
    <m/>
    <m/>
    <n v="296.60000000000002"/>
    <n v="300.5"/>
    <n v="0"/>
  </r>
  <r>
    <x v="3"/>
    <n v="1500"/>
    <n v="296.52609999999999"/>
    <n v="4.1000000000000002E-2"/>
    <n v="291.57069999999999"/>
    <n v="297.30869999999999"/>
    <n v="300.69869999999997"/>
    <n v="4.2000000000000003E-2"/>
    <n v="3.5999999999999997E-2"/>
    <n v="4.3999999999999997E-2"/>
    <n v="1973.2"/>
    <n v="1978.4"/>
    <n v="1996.6"/>
    <m/>
    <m/>
    <n v="296.5"/>
    <n v="300.5"/>
    <n v="0"/>
  </r>
  <r>
    <x v="3"/>
    <n v="1600"/>
    <n v="296.44499999999999"/>
    <n v="3.7999999999999999E-2"/>
    <n v="291.46359999999999"/>
    <n v="297.25779999999997"/>
    <n v="300.61360000000002"/>
    <n v="3.2000000000000001E-2"/>
    <n v="3.5999999999999997E-2"/>
    <n v="4.3999999999999997E-2"/>
    <n v="1972.8"/>
    <n v="1978.2"/>
    <n v="1996.2"/>
    <m/>
    <m/>
    <n v="296.39999999999998"/>
    <n v="300.5"/>
    <n v="0"/>
  </r>
  <r>
    <x v="3"/>
    <n v="1700"/>
    <n v="296.34719999999999"/>
    <n v="3.9E-2"/>
    <n v="291.31979999999999"/>
    <n v="297.17"/>
    <n v="300.55180000000001"/>
    <n v="4.3999999999999997E-2"/>
    <n v="3.5999999999999997E-2"/>
    <n v="3.5000000000000003E-2"/>
    <n v="1972.6"/>
    <n v="1978"/>
    <n v="1996.2"/>
    <m/>
    <m/>
    <n v="296.3"/>
    <n v="300.5"/>
    <n v="0"/>
  </r>
  <r>
    <x v="3"/>
    <n v="1800"/>
    <n v="296.26560000000001"/>
    <n v="3.4000000000000002E-2"/>
    <n v="291.24329999999998"/>
    <n v="297.07920000000001"/>
    <n v="300.47449999999998"/>
    <n v="4.2000000000000003E-2"/>
    <n v="3.3000000000000002E-2"/>
    <n v="2.3E-2"/>
    <n v="1972.4"/>
    <n v="1977.8"/>
    <n v="1996"/>
    <m/>
    <m/>
    <n v="296.3"/>
    <n v="300.5"/>
    <n v="0"/>
  </r>
  <r>
    <x v="3"/>
    <n v="1900"/>
    <n v="296.18970000000002"/>
    <n v="0.03"/>
    <n v="291.18049999999999"/>
    <n v="296.9975"/>
    <n v="300.39100000000002"/>
    <n v="0.03"/>
    <n v="3.7999999999999999E-2"/>
    <n v="0.02"/>
    <n v="1972.2"/>
    <n v="1977.6"/>
    <n v="1995.8"/>
    <m/>
    <m/>
    <n v="296.2"/>
    <n v="300.5"/>
    <n v="0"/>
  </r>
  <r>
    <x v="3"/>
    <n v="2000"/>
    <n v="296.09480000000002"/>
    <n v="0.03"/>
    <n v="291.08420000000001"/>
    <n v="296.90199999999999"/>
    <n v="300.29820000000001"/>
    <n v="3.4000000000000002E-2"/>
    <n v="3.2000000000000001E-2"/>
    <n v="2.1999999999999999E-2"/>
    <n v="1972"/>
    <n v="1977.6"/>
    <n v="1995.6"/>
    <m/>
    <m/>
    <n v="296.10000000000002"/>
    <n v="300.5"/>
    <n v="0"/>
  </r>
  <r>
    <x v="3"/>
    <n v="2100"/>
    <n v="295.99939999999998"/>
    <n v="2.9000000000000001E-2"/>
    <n v="290.98009999999999"/>
    <n v="296.80340000000001"/>
    <n v="300.21480000000003"/>
    <n v="4.2000000000000003E-2"/>
    <n v="2.3E-2"/>
    <n v="1.2E-2"/>
    <n v="1971.8"/>
    <n v="1977.2"/>
    <n v="1995.4"/>
    <m/>
    <m/>
    <n v="296"/>
    <n v="296"/>
    <n v="0"/>
  </r>
  <r>
    <x v="3"/>
    <n v="2200"/>
    <n v="295.93369999999999"/>
    <n v="3.5000000000000003E-2"/>
    <n v="290.91590000000002"/>
    <n v="296.73719999999997"/>
    <n v="300.14830000000001"/>
    <n v="2.9000000000000001E-2"/>
    <n v="3.9E-2"/>
    <n v="3.6999999999999998E-2"/>
    <n v="1971.6"/>
    <n v="1977"/>
    <n v="1995.2"/>
    <m/>
    <m/>
    <n v="295.89999999999998"/>
    <n v="296"/>
    <n v="0"/>
  </r>
  <r>
    <x v="3"/>
    <n v="2300"/>
    <n v="295.9117"/>
    <n v="2.7E-2"/>
    <n v="290.89749999999998"/>
    <n v="296.7079"/>
    <n v="300.12970000000001"/>
    <n v="4.1000000000000002E-2"/>
    <n v="0.02"/>
    <n v="1.2E-2"/>
    <n v="1971.4"/>
    <n v="1977"/>
    <n v="1995.2"/>
    <m/>
    <m/>
    <n v="295.89999999999998"/>
    <n v="296"/>
    <n v="0"/>
  </r>
  <r>
    <x v="3"/>
    <n v="2400"/>
    <n v="296.36259999999999"/>
    <n v="3.9E-2"/>
    <n v="291.34269999999998"/>
    <n v="297.15620000000001"/>
    <n v="300.58890000000002"/>
    <n v="0.04"/>
    <n v="3.5000000000000003E-2"/>
    <n v="4.1000000000000002E-2"/>
    <n v="1972.6"/>
    <n v="1978.2"/>
    <n v="1996.4"/>
    <m/>
    <m/>
    <n v="296.39999999999998"/>
    <n v="296.39999999999998"/>
    <n v="0.39999999999997726"/>
  </r>
  <r>
    <x v="4"/>
    <n v="100"/>
    <n v="296.93639999999999"/>
    <n v="4.2000000000000003E-2"/>
    <n v="291.92140000000001"/>
    <n v="297.72489999999999"/>
    <n v="301.16289999999998"/>
    <n v="4.2999999999999997E-2"/>
    <n v="4.3999999999999997E-2"/>
    <n v="3.9E-2"/>
    <n v="1973.8"/>
    <n v="1979.4"/>
    <n v="1997.6"/>
    <m/>
    <m/>
    <n v="296.89999999999998"/>
    <n v="296.89999999999998"/>
    <n v="0.5"/>
  </r>
  <r>
    <x v="4"/>
    <n v="200"/>
    <n v="296.98669999999998"/>
    <n v="3.4000000000000002E-2"/>
    <n v="291.97190000000001"/>
    <n v="297.7774"/>
    <n v="301.21089999999998"/>
    <n v="3.1E-2"/>
    <n v="2.9000000000000001E-2"/>
    <n v="0.04"/>
    <n v="1974"/>
    <n v="1979.4"/>
    <n v="1997.6"/>
    <m/>
    <m/>
    <n v="297"/>
    <n v="297"/>
    <n v="0.10000000000002274"/>
  </r>
  <r>
    <x v="4"/>
    <n v="300"/>
    <n v="296.96460000000002"/>
    <n v="3.2000000000000001E-2"/>
    <n v="291.95049999999998"/>
    <n v="297.7527"/>
    <n v="301.19069999999999"/>
    <n v="3.7999999999999999E-2"/>
    <n v="3.2000000000000001E-2"/>
    <n v="2.5999999999999999E-2"/>
    <n v="1974"/>
    <n v="1979.4"/>
    <n v="1997.8"/>
    <m/>
    <m/>
    <n v="297"/>
    <n v="297"/>
    <n v="0"/>
  </r>
  <r>
    <x v="4"/>
    <n v="400"/>
    <n v="297.25689999999997"/>
    <n v="3.3000000000000002E-2"/>
    <n v="292.23540000000003"/>
    <n v="298.04109999999997"/>
    <n v="301.4941"/>
    <n v="2.3E-2"/>
    <n v="2.9000000000000001E-2"/>
    <n v="4.3999999999999997E-2"/>
    <n v="1974.6"/>
    <n v="1980.2"/>
    <n v="1998.4"/>
    <m/>
    <m/>
    <n v="297.3"/>
    <n v="297.3"/>
    <n v="0.30000000000001137"/>
  </r>
  <r>
    <x v="4"/>
    <n v="500"/>
    <n v="297.7337"/>
    <n v="3.9E-2"/>
    <n v="292.70429999999999"/>
    <n v="298.52100000000002"/>
    <n v="301.97579999999999"/>
    <n v="4.2000000000000003E-2"/>
    <n v="4.2999999999999997E-2"/>
    <n v="3.1E-2"/>
    <n v="1975.6"/>
    <n v="1981.2"/>
    <n v="1999.4"/>
    <m/>
    <m/>
    <n v="297.7"/>
    <n v="297.7"/>
    <n v="0.39999999999997726"/>
  </r>
  <r>
    <x v="4"/>
    <n v="600"/>
    <n v="298.3929"/>
    <n v="3.9E-2"/>
    <n v="293.35750000000002"/>
    <n v="299.17880000000002"/>
    <n v="302.64229999999998"/>
    <n v="3.5999999999999997E-2"/>
    <n v="3.5000000000000003E-2"/>
    <n v="4.3999999999999997E-2"/>
    <n v="1977.2"/>
    <n v="1982.6"/>
    <n v="2000.8"/>
    <m/>
    <m/>
    <n v="298.39999999999998"/>
    <n v="298.39999999999998"/>
    <n v="0.69999999999998863"/>
  </r>
  <r>
    <x v="4"/>
    <n v="700"/>
    <n v="298.87090000000001"/>
    <n v="3.7999999999999999E-2"/>
    <n v="293.83019999999999"/>
    <n v="299.65780000000001"/>
    <n v="303.12459999999999"/>
    <n v="3.7999999999999999E-2"/>
    <n v="4.3999999999999997E-2"/>
    <n v="3.1E-2"/>
    <n v="1978.2"/>
    <n v="1983.6"/>
    <n v="2002"/>
    <m/>
    <m/>
    <n v="298.89999999999998"/>
    <n v="298.89999999999998"/>
    <n v="0.5"/>
  </r>
  <r>
    <x v="4"/>
    <n v="800"/>
    <n v="299.0129"/>
    <n v="0.03"/>
    <n v="293.98840000000001"/>
    <n v="299.79700000000003"/>
    <n v="303.2534"/>
    <n v="0.02"/>
    <n v="2.1999999999999999E-2"/>
    <n v="4.2999999999999997E-2"/>
    <n v="1978.6"/>
    <n v="1984"/>
    <n v="2002.2"/>
    <m/>
    <m/>
    <n v="299"/>
    <n v="299"/>
    <n v="0.10000000000002274"/>
  </r>
  <r>
    <x v="4"/>
    <n v="900"/>
    <n v="299.10140000000001"/>
    <n v="3.3000000000000002E-2"/>
    <n v="294.07589999999999"/>
    <n v="299.89429999999999"/>
    <n v="303.33409999999998"/>
    <n v="0.02"/>
    <n v="3.4000000000000002E-2"/>
    <n v="4.1000000000000002E-2"/>
    <n v="1978.8"/>
    <n v="1984.2"/>
    <n v="2002.4"/>
    <m/>
    <m/>
    <n v="299.10000000000002"/>
    <n v="299.10000000000002"/>
    <n v="0.10000000000002274"/>
  </r>
  <r>
    <x v="4"/>
    <n v="1000"/>
    <n v="299.06439999999998"/>
    <n v="3.5999999999999997E-2"/>
    <n v="294.02980000000002"/>
    <n v="299.86340000000001"/>
    <n v="303.3"/>
    <n v="4.3999999999999997E-2"/>
    <n v="3.3000000000000002E-2"/>
    <n v="2.8000000000000001E-2"/>
    <n v="1978.8"/>
    <n v="1984.2"/>
    <n v="2002.4"/>
    <m/>
    <m/>
    <n v="299.10000000000002"/>
    <n v="299.10000000000002"/>
    <n v="0"/>
  </r>
  <r>
    <x v="4"/>
    <n v="1100"/>
    <n v="299.00720000000001"/>
    <n v="3.2000000000000001E-2"/>
    <n v="293.98070000000001"/>
    <n v="299.8"/>
    <n v="303.24099999999999"/>
    <n v="2.3E-2"/>
    <n v="3.2000000000000001E-2"/>
    <n v="3.9E-2"/>
    <n v="1978.6"/>
    <n v="1984.2"/>
    <n v="2002.2"/>
    <m/>
    <m/>
    <n v="299"/>
    <n v="299.10000000000002"/>
    <n v="0"/>
  </r>
  <r>
    <x v="4"/>
    <n v="1200"/>
    <n v="299.0736"/>
    <n v="0.03"/>
    <n v="294.04520000000002"/>
    <n v="299.87729999999999"/>
    <n v="303.29849999999999"/>
    <n v="0.04"/>
    <n v="0.02"/>
    <n v="2.5000000000000001E-2"/>
    <n v="1978.6"/>
    <n v="1984.2"/>
    <n v="2002.4"/>
    <m/>
    <m/>
    <n v="299.10000000000002"/>
    <n v="299.10000000000002"/>
    <n v="0"/>
  </r>
  <r>
    <x v="4"/>
    <n v="1300"/>
    <n v="299.0335"/>
    <n v="4.2000000000000003E-2"/>
    <n v="294.00529999999998"/>
    <n v="299.834"/>
    <n v="303.26119999999997"/>
    <n v="3.7999999999999999E-2"/>
    <n v="4.3999999999999997E-2"/>
    <n v="4.3999999999999997E-2"/>
    <n v="1978.6"/>
    <n v="1984.2"/>
    <n v="2002.4"/>
    <m/>
    <m/>
    <n v="299"/>
    <n v="299.10000000000002"/>
    <n v="0"/>
  </r>
  <r>
    <x v="4"/>
    <n v="1400"/>
    <n v="298.91820000000001"/>
    <n v="3.4000000000000002E-2"/>
    <n v="293.89319999999998"/>
    <n v="299.71039999999999"/>
    <n v="303.15100000000001"/>
    <n v="2.8000000000000001E-2"/>
    <n v="3.4000000000000002E-2"/>
    <n v="3.7999999999999999E-2"/>
    <n v="1978.4"/>
    <n v="1983.8"/>
    <n v="2002"/>
    <m/>
    <m/>
    <n v="298.89999999999998"/>
    <n v="299.10000000000002"/>
    <n v="0"/>
  </r>
  <r>
    <x v="4"/>
    <n v="1500"/>
    <n v="298.99029999999999"/>
    <n v="3.3000000000000002E-2"/>
    <n v="293.95769999999999"/>
    <n v="299.78919999999999"/>
    <n v="303.22390000000001"/>
    <n v="0.04"/>
    <n v="2.5999999999999999E-2"/>
    <n v="3.3000000000000002E-2"/>
    <n v="1978.6"/>
    <n v="1984"/>
    <n v="2002.2"/>
    <m/>
    <m/>
    <n v="299"/>
    <n v="299.10000000000002"/>
    <n v="0"/>
  </r>
  <r>
    <x v="4"/>
    <n v="1600"/>
    <n v="299.1524"/>
    <n v="3.7999999999999999E-2"/>
    <n v="294.125"/>
    <n v="299.93759999999997"/>
    <n v="303.39460000000003"/>
    <n v="4.2999999999999997E-2"/>
    <n v="4.4999999999999998E-2"/>
    <n v="2.3E-2"/>
    <n v="1979"/>
    <n v="1984.2"/>
    <n v="2002.4"/>
    <m/>
    <m/>
    <n v="299.2"/>
    <n v="299.2"/>
    <n v="9.9999999999965894E-2"/>
  </r>
  <r>
    <x v="4"/>
    <n v="1700"/>
    <n v="299.59379999999999"/>
    <n v="4.2000000000000003E-2"/>
    <n v="294.55669999999998"/>
    <n v="300.3877"/>
    <n v="303.83699999999999"/>
    <n v="4.3999999999999997E-2"/>
    <n v="4.7E-2"/>
    <n v="3.3000000000000002E-2"/>
    <n v="1980"/>
    <n v="1985.6"/>
    <n v="2003.6"/>
    <m/>
    <m/>
    <n v="299.60000000000002"/>
    <n v="299.60000000000002"/>
    <n v="0.40000000000003411"/>
  </r>
  <r>
    <x v="4"/>
    <n v="1800"/>
    <n v="299.74790000000002"/>
    <n v="4.1000000000000002E-2"/>
    <n v="294.7072"/>
    <n v="300.54559999999998"/>
    <n v="303.99079999999998"/>
    <n v="3.9E-2"/>
    <n v="4.3999999999999997E-2"/>
    <n v="3.9E-2"/>
    <n v="1980.2"/>
    <n v="1985.8"/>
    <n v="2004"/>
    <m/>
    <m/>
    <n v="299.7"/>
    <n v="299.7"/>
    <n v="9.9999999999965894E-2"/>
  </r>
  <r>
    <x v="4"/>
    <n v="1900"/>
    <n v="299.79320000000001"/>
    <n v="3.3000000000000002E-2"/>
    <n v="294.7518"/>
    <n v="300.58730000000003"/>
    <n v="304.04050000000001"/>
    <n v="3.6999999999999998E-2"/>
    <n v="1.6E-2"/>
    <n v="0.04"/>
    <n v="1980.4"/>
    <n v="1985.8"/>
    <n v="2004"/>
    <m/>
    <m/>
    <n v="299.8"/>
    <n v="299.8"/>
    <n v="0.10000000000002274"/>
  </r>
  <r>
    <x v="4"/>
    <n v="2000"/>
    <n v="299.73140000000001"/>
    <n v="3.9E-2"/>
    <n v="294.6934"/>
    <n v="300.52080000000001"/>
    <n v="303.97989999999999"/>
    <n v="3.2000000000000001E-2"/>
    <n v="0.04"/>
    <n v="4.2999999999999997E-2"/>
    <n v="1980"/>
    <n v="1985.6"/>
    <n v="2003.8"/>
    <m/>
    <m/>
    <n v="299.7"/>
    <n v="299.8"/>
    <n v="0"/>
  </r>
  <r>
    <x v="4"/>
    <n v="2100"/>
    <n v="299.82100000000003"/>
    <n v="3.7999999999999999E-2"/>
    <n v="294.77640000000002"/>
    <n v="300.61059999999998"/>
    <n v="304.07619999999997"/>
    <n v="3.4000000000000002E-2"/>
    <n v="0.04"/>
    <n v="0.04"/>
    <n v="1980.4"/>
    <n v="1986"/>
    <n v="2004"/>
    <m/>
    <m/>
    <n v="299.8"/>
    <n v="299.8"/>
    <n v="0"/>
  </r>
  <r>
    <x v="4"/>
    <n v="2200"/>
    <n v="299.8777"/>
    <n v="0.04"/>
    <n v="294.82859999999999"/>
    <n v="300.6662"/>
    <n v="304.13839999999999"/>
    <n v="4.2000000000000003E-2"/>
    <n v="3.5999999999999997E-2"/>
    <n v="4.2999999999999997E-2"/>
    <n v="1980.6"/>
    <n v="1986"/>
    <n v="2004.4"/>
    <m/>
    <m/>
    <n v="299.89999999999998"/>
    <n v="299.89999999999998"/>
    <n v="9.9999999999965894E-2"/>
  </r>
  <r>
    <x v="4"/>
    <n v="2300"/>
    <n v="300.46960000000001"/>
    <n v="3.5000000000000003E-2"/>
    <n v="295.41140000000001"/>
    <n v="301.26850000000002"/>
    <n v="304.72890000000001"/>
    <n v="0.04"/>
    <n v="3.7999999999999999E-2"/>
    <n v="2.3E-2"/>
    <n v="1981.8"/>
    <n v="1987.4"/>
    <n v="2005.6"/>
    <m/>
    <m/>
    <n v="300.5"/>
    <n v="300.5"/>
    <n v="0.60000000000002274"/>
  </r>
  <r>
    <x v="4"/>
    <n v="2400"/>
    <n v="302.1454"/>
    <n v="5.8999999999999997E-2"/>
    <n v="297.06349999999998"/>
    <n v="302.95690000000002"/>
    <n v="306.41570000000002"/>
    <n v="5.7000000000000002E-2"/>
    <n v="5.8000000000000003E-2"/>
    <n v="6.0999999999999999E-2"/>
    <n v="1985.8"/>
    <n v="1991.4"/>
    <n v="2009.6"/>
    <m/>
    <m/>
    <n v="302.10000000000002"/>
    <n v="302.10000000000002"/>
    <n v="1.6000000000000227"/>
  </r>
  <r>
    <x v="5"/>
    <n v="100"/>
    <n v="303.49740000000003"/>
    <n v="4.5999999999999999E-2"/>
    <n v="298.39789999999999"/>
    <n v="304.32389999999998"/>
    <n v="307.77050000000003"/>
    <n v="4.3999999999999997E-2"/>
    <n v="4.7E-2"/>
    <n v="4.8000000000000001E-2"/>
    <n v="1988.8"/>
    <n v="1994.2"/>
    <n v="2012.6"/>
    <m/>
    <m/>
    <n v="303.5"/>
    <n v="303.5"/>
    <n v="1.3999999999999773"/>
  </r>
  <r>
    <x v="5"/>
    <n v="200"/>
    <n v="304.17700000000002"/>
    <n v="3.4000000000000002E-2"/>
    <n v="299.06819999999999"/>
    <n v="304.98970000000003"/>
    <n v="308.47300000000001"/>
    <n v="0.03"/>
    <n v="3.5000000000000003E-2"/>
    <n v="3.6999999999999998E-2"/>
    <n v="1990.2"/>
    <n v="1995.8"/>
    <n v="2014"/>
    <m/>
    <m/>
    <n v="304.2"/>
    <n v="304.2"/>
    <n v="0.69999999999998863"/>
  </r>
  <r>
    <x v="5"/>
    <n v="300"/>
    <n v="304.54430000000002"/>
    <n v="3.2000000000000001E-2"/>
    <n v="299.44380000000001"/>
    <n v="305.35700000000003"/>
    <n v="308.83229999999998"/>
    <n v="3.3000000000000002E-2"/>
    <n v="0.02"/>
    <n v="3.9E-2"/>
    <n v="1991"/>
    <n v="1996.6"/>
    <n v="2014.8"/>
    <m/>
    <m/>
    <n v="304.5"/>
    <n v="304.5"/>
    <n v="0.30000000000001137"/>
  </r>
  <r>
    <x v="5"/>
    <n v="400"/>
    <n v="304.58269999999999"/>
    <n v="4.1000000000000002E-2"/>
    <n v="299.48239999999998"/>
    <n v="305.39120000000003"/>
    <n v="308.87450000000001"/>
    <n v="4.2999999999999997E-2"/>
    <n v="4.2000000000000003E-2"/>
    <n v="3.9E-2"/>
    <n v="1991.2"/>
    <n v="1996.6"/>
    <n v="2014.8"/>
    <m/>
    <m/>
    <n v="304.60000000000002"/>
    <n v="304.60000000000002"/>
    <n v="0.10000000000002274"/>
  </r>
  <r>
    <x v="5"/>
    <n v="500"/>
    <n v="304.58370000000002"/>
    <n v="4.1000000000000002E-2"/>
    <n v="299.48860000000002"/>
    <n v="305.3897"/>
    <n v="308.87290000000002"/>
    <n v="4.1000000000000002E-2"/>
    <n v="4.1000000000000002E-2"/>
    <n v="0.04"/>
    <n v="1991.2"/>
    <n v="1996.6"/>
    <n v="2014.8"/>
    <m/>
    <m/>
    <n v="304.60000000000002"/>
    <n v="304.60000000000002"/>
    <n v="0"/>
  </r>
  <r>
    <x v="5"/>
    <n v="600"/>
    <n v="304.59559999999999"/>
    <n v="3.5999999999999997E-2"/>
    <n v="299.50560000000002"/>
    <n v="305.39589999999998"/>
    <n v="308.8854"/>
    <n v="3.3000000000000002E-2"/>
    <n v="4.2999999999999997E-2"/>
    <n v="3.1E-2"/>
    <n v="1991.2"/>
    <n v="1996.6"/>
    <n v="2015"/>
    <m/>
    <m/>
    <n v="304.60000000000002"/>
    <n v="304.60000000000002"/>
    <n v="0"/>
  </r>
  <r>
    <x v="5"/>
    <n v="700"/>
    <n v="304.62880000000001"/>
    <n v="3.6999999999999998E-2"/>
    <n v="299.53960000000001"/>
    <n v="305.43020000000001"/>
    <n v="308.91660000000002"/>
    <n v="3.9E-2"/>
    <n v="3.6999999999999998E-2"/>
    <n v="3.5999999999999997E-2"/>
    <n v="1991.2"/>
    <n v="1996.6"/>
    <n v="2015"/>
    <m/>
    <m/>
    <n v="304.60000000000002"/>
    <n v="304.60000000000002"/>
    <n v="0"/>
  </r>
  <r>
    <x v="5"/>
    <n v="800"/>
    <n v="304.69150000000002"/>
    <n v="3.4000000000000002E-2"/>
    <n v="299.60610000000003"/>
    <n v="305.49709999999999"/>
    <n v="308.97129999999999"/>
    <n v="0.02"/>
    <n v="4.3999999999999997E-2"/>
    <n v="3.4000000000000002E-2"/>
    <n v="1991.4"/>
    <n v="1997"/>
    <n v="2015.2"/>
    <m/>
    <m/>
    <n v="304.7"/>
    <n v="304.7"/>
    <n v="9.9999999999965894E-2"/>
  </r>
  <r>
    <x v="5"/>
    <n v="900"/>
    <n v="304.67489999999998"/>
    <n v="4.1000000000000002E-2"/>
    <n v="299.58760000000001"/>
    <n v="305.48930000000001"/>
    <n v="308.9479"/>
    <n v="3.5000000000000003E-2"/>
    <n v="4.3999999999999997E-2"/>
    <n v="4.3999999999999997E-2"/>
    <n v="1991.4"/>
    <n v="1997"/>
    <n v="2015.2"/>
    <m/>
    <m/>
    <n v="304.7"/>
    <n v="304.7"/>
    <n v="0"/>
  </r>
  <r>
    <x v="5"/>
    <n v="1000"/>
    <n v="304.64580000000001"/>
    <n v="3.5000000000000003E-2"/>
    <n v="299.57679999999999"/>
    <n v="305.46600000000001"/>
    <n v="308.89479999999998"/>
    <n v="4.1000000000000002E-2"/>
    <n v="3.7999999999999999E-2"/>
    <n v="2.3E-2"/>
    <n v="1991.4"/>
    <n v="1997"/>
    <n v="2015"/>
    <m/>
    <m/>
    <n v="304.60000000000002"/>
    <n v="304.7"/>
    <n v="0"/>
  </r>
  <r>
    <x v="5"/>
    <n v="1100"/>
    <n v="304.59039999999999"/>
    <n v="3.5000000000000003E-2"/>
    <n v="299.51490000000001"/>
    <n v="305.41609999999997"/>
    <n v="308.84010000000001"/>
    <n v="1.2E-2"/>
    <n v="4.2999999999999997E-2"/>
    <n v="4.2000000000000003E-2"/>
    <n v="1991.2"/>
    <n v="1996.6"/>
    <n v="2014.8"/>
    <m/>
    <m/>
    <n v="304.60000000000002"/>
    <n v="304.7"/>
    <n v="0"/>
  </r>
  <r>
    <x v="5"/>
    <n v="1200"/>
    <n v="304.58"/>
    <n v="3.7999999999999999E-2"/>
    <n v="299.50560000000002"/>
    <n v="305.40370000000001"/>
    <n v="308.83069999999998"/>
    <n v="2.9000000000000001E-2"/>
    <n v="4.3999999999999997E-2"/>
    <n v="3.7999999999999999E-2"/>
    <n v="1991.2"/>
    <n v="1996.6"/>
    <n v="2014.8"/>
    <m/>
    <m/>
    <n v="304.60000000000002"/>
    <n v="304.7"/>
    <n v="0"/>
  </r>
  <r>
    <x v="5"/>
    <n v="1300"/>
    <n v="304.54930000000002"/>
    <n v="3.3000000000000002E-2"/>
    <n v="299.51330000000002"/>
    <n v="305.34609999999998"/>
    <n v="308.7885"/>
    <n v="2.8000000000000001E-2"/>
    <n v="3.4000000000000002E-2"/>
    <n v="3.6999999999999998E-2"/>
    <n v="1991.2"/>
    <n v="1996.6"/>
    <n v="2014.8"/>
    <m/>
    <m/>
    <n v="304.5"/>
    <n v="304.7"/>
    <n v="0"/>
  </r>
  <r>
    <x v="5"/>
    <n v="1400"/>
    <n v="304.49239999999998"/>
    <n v="3.1E-2"/>
    <n v="299.41910000000001"/>
    <n v="305.33980000000003"/>
    <n v="308.71820000000002"/>
    <n v="3.2000000000000001E-2"/>
    <n v="3.7999999999999999E-2"/>
    <n v="0.02"/>
    <n v="1991"/>
    <n v="1996.6"/>
    <n v="2014.6"/>
    <m/>
    <m/>
    <n v="304.5"/>
    <n v="304.7"/>
    <n v="0"/>
  </r>
  <r>
    <x v="5"/>
    <n v="1500"/>
    <n v="304.50020000000001"/>
    <n v="3.7999999999999999E-2"/>
    <n v="299.4221"/>
    <n v="305.32889999999998"/>
    <n v="308.74950000000001"/>
    <n v="2.8000000000000001E-2"/>
    <n v="4.2999999999999997E-2"/>
    <n v="4.2000000000000003E-2"/>
    <n v="1991"/>
    <n v="1996.4"/>
    <n v="2014.6"/>
    <m/>
    <m/>
    <n v="304.5"/>
    <n v="304.7"/>
    <n v="0"/>
  </r>
  <r>
    <x v="5"/>
    <n v="1600"/>
    <n v="304.53910000000002"/>
    <n v="4.1000000000000002E-2"/>
    <n v="299.44839999999999"/>
    <n v="305.39589999999998"/>
    <n v="308.77289999999999"/>
    <n v="3.6999999999999998E-2"/>
    <n v="4.2999999999999997E-2"/>
    <n v="4.3999999999999997E-2"/>
    <n v="1991"/>
    <n v="1996.8"/>
    <n v="2014.8"/>
    <m/>
    <m/>
    <n v="304.5"/>
    <n v="304.7"/>
    <n v="0"/>
  </r>
  <r>
    <x v="5"/>
    <n v="1700"/>
    <n v="304.56139999999999"/>
    <n v="3.9E-2"/>
    <n v="299.46850000000001"/>
    <n v="305.41770000000002"/>
    <n v="308.79790000000003"/>
    <n v="4.3999999999999997E-2"/>
    <n v="4.2999999999999997E-2"/>
    <n v="2.9000000000000001E-2"/>
    <n v="1991"/>
    <n v="1996.8"/>
    <n v="2014.8"/>
    <m/>
    <m/>
    <n v="304.60000000000002"/>
    <n v="304.7"/>
    <n v="0"/>
  </r>
  <r>
    <x v="5"/>
    <n v="1800"/>
    <n v="304.5806"/>
    <n v="3.7999999999999999E-2"/>
    <n v="299.48239999999998"/>
    <n v="305.43169999999998"/>
    <n v="308.82760000000002"/>
    <n v="4.2999999999999997E-2"/>
    <n v="3.5999999999999997E-2"/>
    <n v="3.5999999999999997E-2"/>
    <n v="1991.2"/>
    <n v="1996.6"/>
    <n v="2014.8"/>
    <m/>
    <m/>
    <n v="304.60000000000002"/>
    <n v="304.7"/>
    <n v="0"/>
  </r>
  <r>
    <x v="5"/>
    <n v="1900"/>
    <n v="304.59460000000001"/>
    <n v="3.7999999999999999E-2"/>
    <n v="299.49009999999998"/>
    <n v="305.44729999999998"/>
    <n v="308.84629999999999"/>
    <n v="0.04"/>
    <n v="2.9000000000000001E-2"/>
    <n v="4.3999999999999997E-2"/>
    <n v="1991.2"/>
    <n v="1996.8"/>
    <n v="2015"/>
    <m/>
    <m/>
    <n v="304.60000000000002"/>
    <n v="304.7"/>
    <n v="0"/>
  </r>
  <r>
    <x v="5"/>
    <n v="2000"/>
    <n v="304.65010000000001"/>
    <n v="3.9E-2"/>
    <n v="299.53649999999999"/>
    <n v="305.50330000000002"/>
    <n v="308.91039999999998"/>
    <n v="3.6999999999999998E-2"/>
    <n v="4.3999999999999997E-2"/>
    <n v="3.5000000000000003E-2"/>
    <n v="1991.2"/>
    <n v="1996.8"/>
    <n v="2015"/>
    <m/>
    <m/>
    <n v="304.7"/>
    <n v="304.7"/>
    <n v="0"/>
  </r>
  <r>
    <x v="5"/>
    <n v="2100"/>
    <n v="305.1567"/>
    <n v="3.5000000000000003E-2"/>
    <n v="300.03140000000002"/>
    <n v="306.01569999999998"/>
    <n v="309.42309999999998"/>
    <n v="3.2000000000000001E-2"/>
    <n v="4.2999999999999997E-2"/>
    <n v="2.7E-2"/>
    <n v="1992.4"/>
    <n v="1998"/>
    <n v="2016.2"/>
    <m/>
    <m/>
    <n v="305.2"/>
    <n v="305.2"/>
    <n v="0.5"/>
  </r>
  <r>
    <x v="5"/>
    <n v="2200"/>
    <n v="305.66269999999997"/>
    <n v="4.1000000000000002E-2"/>
    <n v="300.52820000000003"/>
    <n v="306.52690000000001"/>
    <n v="309.93299999999999"/>
    <n v="4.3999999999999997E-2"/>
    <n v="3.6999999999999998E-2"/>
    <n v="4.2999999999999997E-2"/>
    <n v="1993.6"/>
    <n v="1999.2"/>
    <n v="2017.4"/>
    <m/>
    <m/>
    <n v="305.7"/>
    <n v="305.7"/>
    <n v="0.5"/>
  </r>
  <r>
    <x v="5"/>
    <n v="2300"/>
    <n v="306.18970000000002"/>
    <n v="0.04"/>
    <n v="301.04379999999998"/>
    <n v="307.05709999999999"/>
    <n v="310.46820000000002"/>
    <n v="4.1000000000000002E-2"/>
    <n v="3.4000000000000002E-2"/>
    <n v="4.2999999999999997E-2"/>
    <n v="1994.6"/>
    <n v="2000.4"/>
    <n v="2018.6"/>
    <m/>
    <m/>
    <n v="306.2"/>
    <n v="306.2"/>
    <n v="0.5"/>
  </r>
  <r>
    <x v="5"/>
    <n v="2400"/>
    <n v="307.3784"/>
    <n v="5.8999999999999997E-2"/>
    <n v="302.2002"/>
    <n v="308.267"/>
    <n v="311.66820000000001"/>
    <n v="5.5E-2"/>
    <n v="6.0999999999999999E-2"/>
    <n v="6.0999999999999999E-2"/>
    <n v="1997.4"/>
    <n v="2003.4"/>
    <n v="2021.4"/>
    <m/>
    <m/>
    <n v="307.39999999999998"/>
    <n v="307.39999999999998"/>
    <n v="1.1999999999999886"/>
  </r>
  <r>
    <x v="6"/>
    <n v="100"/>
    <n v="309.8895"/>
    <n v="4.2000000000000003E-2"/>
    <n v="304.65629999999999"/>
    <n v="310.82069999999999"/>
    <n v="314.19150000000002"/>
    <n v="3.9E-2"/>
    <n v="4.4999999999999998E-2"/>
    <n v="4.2000000000000003E-2"/>
    <n v="2003"/>
    <n v="2009"/>
    <n v="2027"/>
    <m/>
    <m/>
    <n v="309.89999999999998"/>
    <n v="309.89999999999998"/>
    <n v="2.5"/>
  </r>
  <r>
    <x v="6"/>
    <n v="200"/>
    <n v="310.28190000000001"/>
    <n v="4.2000000000000003E-2"/>
    <n v="305.0641"/>
    <n v="311.19690000000003"/>
    <n v="314.5847"/>
    <n v="3.9E-2"/>
    <n v="4.4999999999999998E-2"/>
    <n v="4.2999999999999997E-2"/>
    <n v="2003.8"/>
    <n v="2009.8"/>
    <n v="2027.8"/>
    <m/>
    <m/>
    <n v="310.3"/>
    <n v="310.3"/>
    <n v="0.40000000000003411"/>
  </r>
  <r>
    <x v="6"/>
    <n v="300"/>
    <n v="310.28399999999999"/>
    <n v="4.2000000000000003E-2"/>
    <n v="305.06880000000001"/>
    <n v="311.19850000000002"/>
    <n v="314.5847"/>
    <n v="3.5999999999999997E-2"/>
    <n v="4.4999999999999998E-2"/>
    <n v="4.2999999999999997E-2"/>
    <n v="2003.8"/>
    <n v="2009.6"/>
    <n v="2027.6"/>
    <m/>
    <m/>
    <n v="310.3"/>
    <n v="310.3"/>
    <n v="0"/>
  </r>
  <r>
    <x v="6"/>
    <n v="400"/>
    <n v="310.28870000000001"/>
    <n v="3.9E-2"/>
    <n v="305.08120000000002"/>
    <n v="311.19529999999997"/>
    <n v="314.58949999999999"/>
    <n v="2.8000000000000001E-2"/>
    <n v="4.4999999999999998E-2"/>
    <n v="4.2000000000000003E-2"/>
    <n v="2003.8"/>
    <n v="2009.8"/>
    <n v="2027.6"/>
    <m/>
    <m/>
    <n v="310.3"/>
    <n v="310.3"/>
    <n v="0"/>
  </r>
  <r>
    <x v="6"/>
    <n v="500"/>
    <n v="310.29860000000002"/>
    <n v="3.5999999999999997E-2"/>
    <n v="305.09210000000002"/>
    <n v="311.2063"/>
    <n v="314.59730000000002"/>
    <n v="2.5999999999999999E-2"/>
    <n v="4.2999999999999997E-2"/>
    <n v="3.7999999999999999E-2"/>
    <n v="2003.8"/>
    <n v="2009.8"/>
    <n v="2027.8"/>
    <m/>
    <m/>
    <n v="310.3"/>
    <n v="310.3"/>
    <n v="0"/>
  </r>
  <r>
    <x v="6"/>
    <n v="600"/>
    <n v="310.29750000000001"/>
    <n v="3.6999999999999998E-2"/>
    <n v="305.09370000000001"/>
    <n v="311.19850000000002"/>
    <n v="314.60050000000001"/>
    <n v="2.8000000000000001E-2"/>
    <n v="4.4999999999999998E-2"/>
    <n v="3.5000000000000003E-2"/>
    <n v="2003.8"/>
    <n v="2009.8"/>
    <n v="2027.8"/>
    <m/>
    <m/>
    <n v="310.3"/>
    <n v="310.3"/>
    <n v="0"/>
  </r>
  <r>
    <x v="6"/>
    <n v="700"/>
    <n v="310.29649999999998"/>
    <n v="3.6999999999999998E-2"/>
    <n v="305.089"/>
    <n v="311.2"/>
    <n v="314.60050000000001"/>
    <n v="3.1E-2"/>
    <n v="4.3999999999999997E-2"/>
    <n v="3.5000000000000003E-2"/>
    <n v="2003.8"/>
    <n v="2009.6"/>
    <n v="2027.8"/>
    <m/>
    <m/>
    <n v="310.3"/>
    <n v="310.3"/>
    <n v="0"/>
  </r>
  <r>
    <x v="6"/>
    <n v="800"/>
    <n v="310.30529999999999"/>
    <n v="4.2000000000000003E-2"/>
    <n v="305.12009999999998"/>
    <n v="311.20319999999998"/>
    <n v="314.5926"/>
    <n v="4.2999999999999997E-2"/>
    <n v="4.3999999999999997E-2"/>
    <n v="0.04"/>
    <n v="2004"/>
    <n v="2009.8"/>
    <n v="2027.8"/>
    <m/>
    <m/>
    <n v="310.3"/>
    <n v="310.3"/>
    <n v="0"/>
  </r>
  <r>
    <x v="6"/>
    <n v="900"/>
    <n v="310.29570000000001"/>
    <n v="3.6999999999999998E-2"/>
    <n v="305.1497"/>
    <n v="311.21100000000001"/>
    <n v="314.5265"/>
    <n v="4.1000000000000002E-2"/>
    <n v="4.2000000000000003E-2"/>
    <n v="2.7E-2"/>
    <n v="2004"/>
    <n v="2009.6"/>
    <n v="2027.4"/>
    <m/>
    <m/>
    <n v="310.3"/>
    <n v="310.3"/>
    <n v="0"/>
  </r>
  <r>
    <x v="6"/>
    <n v="1000"/>
    <n v="310.24770000000001"/>
    <n v="3.7999999999999999E-2"/>
    <n v="305.09519999999998"/>
    <n v="311.17809999999997"/>
    <n v="314.4699"/>
    <n v="2.5000000000000001E-2"/>
    <n v="4.2000000000000003E-2"/>
    <n v="4.2999999999999997E-2"/>
    <n v="2003.8"/>
    <n v="2009.6"/>
    <n v="2027.6"/>
    <m/>
    <m/>
    <n v="310.2"/>
    <n v="310.3"/>
    <n v="0"/>
  </r>
  <r>
    <x v="6"/>
    <n v="1100"/>
    <n v="310.24160000000001"/>
    <n v="0.04"/>
    <n v="305.04689999999999"/>
    <n v="311.1703"/>
    <n v="314.50760000000002"/>
    <n v="4.3999999999999997E-2"/>
    <n v="3.7999999999999999E-2"/>
    <n v="3.7999999999999999E-2"/>
    <n v="2003.8"/>
    <n v="2009.6"/>
    <n v="2027.6"/>
    <m/>
    <m/>
    <n v="310.2"/>
    <n v="310.3"/>
    <n v="0"/>
  </r>
  <r>
    <x v="6"/>
    <n v="1200"/>
    <n v="310.2364"/>
    <n v="3.7999999999999999E-2"/>
    <n v="305.036"/>
    <n v="311.16239999999999"/>
    <n v="314.51080000000002"/>
    <n v="4.3999999999999997E-2"/>
    <n v="3.5000000000000003E-2"/>
    <n v="3.5000000000000003E-2"/>
    <n v="2003.6"/>
    <n v="2009.6"/>
    <n v="2027.4"/>
    <m/>
    <m/>
    <n v="310.2"/>
    <n v="310.3"/>
    <n v="0"/>
  </r>
  <r>
    <x v="6"/>
    <n v="1300"/>
    <n v="310.20609999999999"/>
    <n v="4.3999999999999997E-2"/>
    <n v="305.04230000000001"/>
    <n v="311.09809999999999"/>
    <n v="314.4778"/>
    <n v="4.3999999999999997E-2"/>
    <n v="4.3999999999999997E-2"/>
    <n v="4.3999999999999997E-2"/>
    <n v="2003.6"/>
    <n v="2009.4"/>
    <n v="2027.4"/>
    <m/>
    <m/>
    <n v="310.2"/>
    <n v="310.3"/>
    <n v="0"/>
  </r>
  <r>
    <x v="6"/>
    <n v="1400"/>
    <n v="310.21129999999999"/>
    <n v="4.2999999999999997E-2"/>
    <n v="305.036"/>
    <n v="311.1216"/>
    <n v="314.47620000000001"/>
    <n v="4.3999999999999997E-2"/>
    <n v="4.2000000000000003E-2"/>
    <n v="4.3999999999999997E-2"/>
    <n v="2003.8"/>
    <n v="2009.4"/>
    <n v="2027.4"/>
    <m/>
    <m/>
    <n v="310.2"/>
    <n v="310.3"/>
    <n v="0"/>
  </r>
  <r>
    <x v="6"/>
    <n v="1500"/>
    <n v="310.22070000000002"/>
    <n v="4.2000000000000003E-2"/>
    <n v="305.04230000000001"/>
    <n v="311.1311"/>
    <n v="314.48880000000003"/>
    <n v="4.3999999999999997E-2"/>
    <n v="3.5999999999999997E-2"/>
    <n v="4.3999999999999997E-2"/>
    <n v="2003.8"/>
    <n v="2009.6"/>
    <n v="2027.4"/>
    <m/>
    <m/>
    <n v="310.2"/>
    <n v="310.3"/>
    <n v="0"/>
  </r>
  <r>
    <x v="6"/>
    <n v="1600"/>
    <n v="310.24160000000001"/>
    <n v="3.2000000000000001E-2"/>
    <n v="305.05779999999999"/>
    <n v="311.15140000000002"/>
    <n v="314.51549999999997"/>
    <n v="4.2000000000000003E-2"/>
    <n v="0.02"/>
    <n v="3.1E-2"/>
    <n v="2003.6"/>
    <n v="2009.6"/>
    <n v="2027.6"/>
    <m/>
    <m/>
    <n v="310.2"/>
    <n v="310.3"/>
    <n v="0"/>
  </r>
  <r>
    <x v="6"/>
    <n v="1700"/>
    <n v="310.26249999999999"/>
    <n v="4.1000000000000002E-2"/>
    <n v="305.05630000000002"/>
    <n v="311.17340000000002"/>
    <n v="314.55799999999999"/>
    <n v="4.2000000000000003E-2"/>
    <n v="3.9E-2"/>
    <n v="4.2000000000000003E-2"/>
    <n v="2003.8"/>
    <n v="2009.8"/>
    <n v="2027.6"/>
    <m/>
    <m/>
    <n v="310.3"/>
    <n v="310.3"/>
    <n v="0"/>
  </r>
  <r>
    <x v="6"/>
    <n v="1800"/>
    <n v="310.3091"/>
    <n v="0.03"/>
    <n v="305.09679999999997"/>
    <n v="311.22199999999998"/>
    <n v="314.60840000000002"/>
    <n v="2.7E-2"/>
    <n v="3.5000000000000003E-2"/>
    <n v="2.8000000000000001E-2"/>
    <n v="2003.8"/>
    <n v="2009.8"/>
    <n v="2027.8"/>
    <m/>
    <m/>
    <n v="310.3"/>
    <n v="310.3"/>
    <n v="0"/>
  </r>
  <r>
    <x v="6"/>
    <n v="1900"/>
    <n v="310.32679999999999"/>
    <n v="2.9000000000000001E-2"/>
    <n v="305.12479999999999"/>
    <n v="311.2346"/>
    <n v="314.62090000000001"/>
    <n v="4.3999999999999997E-2"/>
    <n v="0.02"/>
    <n v="1.6E-2"/>
    <n v="2004"/>
    <n v="2009.8"/>
    <n v="2027.8"/>
    <m/>
    <m/>
    <n v="310.3"/>
    <n v="310.3"/>
    <n v="0"/>
  </r>
  <r>
    <x v="6"/>
    <n v="2000"/>
    <n v="310.32470000000001"/>
    <n v="3.1E-2"/>
    <n v="305.1232"/>
    <n v="311.22989999999999"/>
    <n v="314.62090000000001"/>
    <n v="4.3999999999999997E-2"/>
    <n v="2.7E-2"/>
    <n v="1.6E-2"/>
    <n v="2004"/>
    <n v="2009.8"/>
    <n v="2027.8"/>
    <m/>
    <m/>
    <n v="310.3"/>
    <n v="310.3"/>
    <n v="0"/>
  </r>
  <r>
    <x v="6"/>
    <n v="2100"/>
    <n v="310.32780000000002"/>
    <n v="3.3000000000000002E-2"/>
    <n v="305.13099999999997"/>
    <n v="311.22829999999999"/>
    <n v="314.6241"/>
    <n v="4.3999999999999997E-2"/>
    <n v="2.9000000000000001E-2"/>
    <n v="2.3E-2"/>
    <n v="2004"/>
    <n v="2009.8"/>
    <n v="2027.8"/>
    <m/>
    <m/>
    <n v="310.3"/>
    <n v="310.3"/>
    <n v="0"/>
  </r>
  <r>
    <x v="6"/>
    <n v="2200"/>
    <n v="310.322"/>
    <n v="3.7999999999999999E-2"/>
    <n v="305.13409999999999"/>
    <n v="311.21420000000001"/>
    <n v="314.61779999999999"/>
    <n v="4.3999999999999997E-2"/>
    <n v="0.04"/>
    <n v="2.9000000000000001E-2"/>
    <n v="2004"/>
    <n v="2009.8"/>
    <n v="2027.8"/>
    <m/>
    <m/>
    <n v="310.3"/>
    <n v="310.3"/>
    <n v="0"/>
  </r>
  <r>
    <x v="6"/>
    <n v="2300"/>
    <n v="310.32209999999998"/>
    <n v="3.4000000000000002E-2"/>
    <n v="305.12479999999999"/>
    <n v="311.22039999999998"/>
    <n v="314.62090000000001"/>
    <n v="4.3999999999999997E-2"/>
    <n v="3.5999999999999997E-2"/>
    <n v="1.6E-2"/>
    <n v="2003.8"/>
    <n v="2009.8"/>
    <n v="2027.8"/>
    <m/>
    <m/>
    <n v="310.3"/>
    <n v="310.3"/>
    <n v="0"/>
  </r>
  <r>
    <x v="6"/>
    <n v="2400"/>
    <n v="310.3152"/>
    <n v="3.7999999999999999E-2"/>
    <n v="305.12630000000001"/>
    <n v="311.20949999999999"/>
    <n v="314.60989999999998"/>
    <n v="4.3999999999999997E-2"/>
    <n v="4.2000000000000003E-2"/>
    <n v="2.5000000000000001E-2"/>
    <n v="2003.8"/>
    <n v="2009.8"/>
    <n v="2027.8"/>
    <m/>
    <m/>
    <n v="310.3"/>
    <n v="310.3"/>
    <n v="0"/>
  </r>
  <r>
    <x v="7"/>
    <n v="100"/>
    <n v="310.31950000000001"/>
    <n v="3.4000000000000002E-2"/>
    <n v="305.12009999999998"/>
    <n v="311.22039999999998"/>
    <n v="314.61779999999999"/>
    <n v="4.2999999999999997E-2"/>
    <n v="3.5999999999999997E-2"/>
    <n v="1.7000000000000001E-2"/>
    <n v="2004"/>
    <n v="2009.6"/>
    <n v="2027.8"/>
    <m/>
    <m/>
    <n v="310.3"/>
    <n v="310.3"/>
    <n v="0"/>
  </r>
  <r>
    <x v="7"/>
    <n v="200"/>
    <n v="310.31889999999999"/>
    <n v="3.6999999999999998E-2"/>
    <n v="305.1232"/>
    <n v="311.21100000000001"/>
    <n v="314.6225"/>
    <n v="4.3999999999999997E-2"/>
    <n v="4.2000000000000003E-2"/>
    <n v="0.02"/>
    <n v="2003.8"/>
    <n v="2009.6"/>
    <n v="2027.8"/>
    <m/>
    <m/>
    <n v="310.3"/>
    <n v="310.3"/>
    <n v="0"/>
  </r>
  <r>
    <x v="7"/>
    <n v="300"/>
    <n v="310.32889999999998"/>
    <n v="3.5000000000000003E-2"/>
    <n v="305.13099999999997"/>
    <n v="311.22669999999999"/>
    <n v="314.62880000000001"/>
    <n v="4.3999999999999997E-2"/>
    <n v="3.1E-2"/>
    <n v="2.9000000000000001E-2"/>
    <n v="2004"/>
    <n v="2009.8"/>
    <n v="2027.8"/>
    <m/>
    <m/>
    <n v="310.3"/>
    <n v="310.3"/>
    <n v="0"/>
  </r>
  <r>
    <x v="7"/>
    <n v="400"/>
    <n v="310.32569999999998"/>
    <n v="3.5999999999999997E-2"/>
    <n v="305.13099999999997"/>
    <n v="311.22039999999998"/>
    <n v="314.62569999999999"/>
    <n v="4.3999999999999997E-2"/>
    <n v="3.5999999999999997E-2"/>
    <n v="2.5000000000000001E-2"/>
    <n v="2004"/>
    <n v="2009.8"/>
    <n v="2027.8"/>
    <m/>
    <m/>
    <n v="310.3"/>
    <n v="310.3"/>
    <n v="0"/>
  </r>
  <r>
    <x v="7"/>
    <n v="500"/>
    <n v="310.31369999999998"/>
    <n v="3.5999999999999997E-2"/>
    <n v="305.11700000000002"/>
    <n v="311.20949999999999"/>
    <n v="314.61470000000003"/>
    <n v="4.2000000000000003E-2"/>
    <n v="4.2000000000000003E-2"/>
    <n v="1.7000000000000001E-2"/>
    <n v="2003.8"/>
    <n v="2009.8"/>
    <n v="2027.8"/>
    <m/>
    <m/>
    <n v="310.3"/>
    <n v="310.3"/>
    <n v="0"/>
  </r>
  <r>
    <x v="7"/>
    <n v="600"/>
    <n v="310.31110000000001"/>
    <n v="3.5999999999999997E-2"/>
    <n v="305.11079999999998"/>
    <n v="311.2079"/>
    <n v="314.61470000000003"/>
    <n v="3.9E-2"/>
    <n v="4.2999999999999997E-2"/>
    <n v="2.4E-2"/>
    <n v="2003.8"/>
    <n v="2009.8"/>
    <n v="2027.8"/>
    <m/>
    <m/>
    <n v="310.3"/>
    <n v="310.3"/>
    <n v="0"/>
  </r>
  <r>
    <x v="7"/>
    <n v="700"/>
    <n v="310.30689999999998"/>
    <n v="3.7999999999999999E-2"/>
    <n v="305.10919999999999"/>
    <n v="311.2079"/>
    <n v="314.60359999999997"/>
    <n v="3.7999999999999999E-2"/>
    <n v="4.2999999999999997E-2"/>
    <n v="3.3000000000000002E-2"/>
    <n v="2004"/>
    <n v="2009.6"/>
    <n v="2027.8"/>
    <m/>
    <m/>
    <n v="310.3"/>
    <n v="310.3"/>
    <n v="0"/>
  </r>
  <r>
    <x v="7"/>
    <n v="800"/>
    <n v="310.28859999999997"/>
    <n v="3.9E-2"/>
    <n v="305.09519999999998"/>
    <n v="311.1891"/>
    <n v="314.58159999999998"/>
    <n v="2.5000000000000001E-2"/>
    <n v="4.3999999999999997E-2"/>
    <n v="4.3999999999999997E-2"/>
    <n v="2003.8"/>
    <n v="2009.8"/>
    <n v="2027.8"/>
    <m/>
    <m/>
    <n v="310.3"/>
    <n v="310.3"/>
    <n v="0"/>
  </r>
  <r>
    <x v="7"/>
    <n v="900"/>
    <n v="310.38099999999997"/>
    <n v="3.7999999999999999E-2"/>
    <n v="305.1823"/>
    <n v="311.28629999999998"/>
    <n v="314.67439999999999"/>
    <n v="2.3E-2"/>
    <n v="4.4999999999999998E-2"/>
    <n v="4.2999999999999997E-2"/>
    <n v="2004"/>
    <n v="2010"/>
    <n v="2028"/>
    <m/>
    <m/>
    <n v="310.39999999999998"/>
    <n v="310.39999999999998"/>
    <n v="9.9999999999965894E-2"/>
  </r>
  <r>
    <x v="7"/>
    <n v="1000"/>
    <n v="310.34960000000001"/>
    <n v="3.4000000000000002E-2"/>
    <n v="305.16210000000001"/>
    <n v="311.25810000000001"/>
    <n v="314.62880000000001"/>
    <n v="3.2000000000000001E-2"/>
    <n v="0.04"/>
    <n v="2.9000000000000001E-2"/>
    <n v="2004"/>
    <n v="2009.8"/>
    <n v="2027.8"/>
    <m/>
    <m/>
    <n v="310.3"/>
    <n v="310.39999999999998"/>
    <n v="0"/>
  </r>
  <r>
    <x v="7"/>
    <n v="1100"/>
    <n v="310.3109"/>
    <n v="4.2000000000000003E-2"/>
    <n v="305.14190000000002"/>
    <n v="311.21890000000002"/>
    <n v="314.57209999999998"/>
    <n v="4.2999999999999997E-2"/>
    <n v="3.7999999999999999E-2"/>
    <n v="4.4999999999999998E-2"/>
    <n v="2003.8"/>
    <n v="2009.8"/>
    <n v="2027.8"/>
    <m/>
    <m/>
    <n v="310.3"/>
    <n v="310.39999999999998"/>
    <n v="0"/>
  </r>
  <r>
    <x v="7"/>
    <n v="1200"/>
    <n v="310.26029999999997"/>
    <n v="4.2999999999999997E-2"/>
    <n v="305.12009999999998"/>
    <n v="311.15769999999998"/>
    <n v="314.50290000000001"/>
    <n v="4.2999999999999997E-2"/>
    <n v="4.4999999999999998E-2"/>
    <n v="0.04"/>
    <n v="2003.8"/>
    <n v="2009.6"/>
    <n v="2027.6"/>
    <m/>
    <m/>
    <n v="310.3"/>
    <n v="310.39999999999998"/>
    <n v="0"/>
  </r>
  <r>
    <x v="7"/>
    <n v="1300"/>
    <n v="310.20639999999997"/>
    <n v="3.5000000000000003E-2"/>
    <n v="305.09210000000002"/>
    <n v="311.09969999999998"/>
    <n v="314.42739999999998"/>
    <n v="3.1E-2"/>
    <n v="4.3999999999999997E-2"/>
    <n v="2.9000000000000001E-2"/>
    <n v="2003.8"/>
    <n v="2009.4"/>
    <n v="2027.2"/>
    <m/>
    <m/>
    <n v="310.2"/>
    <n v="310.39999999999998"/>
    <n v="0"/>
  </r>
  <r>
    <x v="7"/>
    <n v="1400"/>
    <n v="310.1454"/>
    <n v="3.5000000000000003E-2"/>
    <n v="305.01580000000001"/>
    <n v="311.06049999999999"/>
    <n v="314.35980000000001"/>
    <n v="3.5000000000000003E-2"/>
    <n v="3.6999999999999998E-2"/>
    <n v="3.4000000000000002E-2"/>
    <n v="2003.6"/>
    <n v="2009.4"/>
    <n v="2027.2"/>
    <m/>
    <m/>
    <n v="310.10000000000002"/>
    <n v="310.39999999999998"/>
    <n v="0"/>
  </r>
  <r>
    <x v="7"/>
    <n v="1500"/>
    <n v="310.13339999999999"/>
    <n v="0.04"/>
    <n v="305.0111"/>
    <n v="311.01190000000003"/>
    <n v="314.37709999999998"/>
    <n v="3.1E-2"/>
    <n v="4.4999999999999998E-2"/>
    <n v="4.2000000000000003E-2"/>
    <n v="2003.6"/>
    <n v="2009.2"/>
    <n v="2027.2"/>
    <m/>
    <m/>
    <n v="310.10000000000002"/>
    <n v="310.39999999999998"/>
    <n v="0"/>
  </r>
  <r>
    <x v="7"/>
    <n v="1600"/>
    <n v="310.16210000000001"/>
    <n v="0.04"/>
    <n v="305.01580000000001"/>
    <n v="311.09809999999999"/>
    <n v="314.3723"/>
    <n v="3.5000000000000003E-2"/>
    <n v="4.3999999999999997E-2"/>
    <n v="3.9E-2"/>
    <n v="2003.6"/>
    <n v="2009.6"/>
    <n v="2027.2"/>
    <m/>
    <m/>
    <n v="310.2"/>
    <n v="310.39999999999998"/>
    <n v="0"/>
  </r>
  <r>
    <x v="7"/>
    <n v="1700"/>
    <n v="310.22160000000002"/>
    <n v="3.4000000000000002E-2"/>
    <n v="305.05939999999998"/>
    <n v="311.1671"/>
    <n v="314.4384"/>
    <n v="4.1000000000000002E-2"/>
    <n v="3.5000000000000003E-2"/>
    <n v="2.4E-2"/>
    <n v="2003.8"/>
    <n v="2009.6"/>
    <n v="2027.2"/>
    <m/>
    <m/>
    <n v="310.2"/>
    <n v="310.39999999999998"/>
    <n v="0"/>
  </r>
  <r>
    <x v="7"/>
    <n v="1800"/>
    <n v="310.2629"/>
    <n v="0.04"/>
    <n v="305.09829999999999"/>
    <n v="311.20319999999998"/>
    <n v="314.48719999999997"/>
    <n v="2.9000000000000001E-2"/>
    <n v="4.3999999999999997E-2"/>
    <n v="4.4999999999999998E-2"/>
    <n v="2003.8"/>
    <n v="2009.6"/>
    <n v="2027.6"/>
    <m/>
    <m/>
    <n v="310.3"/>
    <n v="310.39999999999998"/>
    <n v="0"/>
  </r>
  <r>
    <x v="7"/>
    <n v="1900"/>
    <n v="310.27859999999998"/>
    <n v="3.5999999999999997E-2"/>
    <n v="305.10610000000003"/>
    <n v="311.22039999999998"/>
    <n v="314.50920000000002"/>
    <n v="3.5999999999999997E-2"/>
    <n v="3.5999999999999997E-2"/>
    <n v="3.6999999999999998E-2"/>
    <n v="2003.8"/>
    <n v="2009.8"/>
    <n v="2027.6"/>
    <m/>
    <m/>
    <n v="310.3"/>
    <n v="310.39999999999998"/>
    <n v="0"/>
  </r>
  <r>
    <x v="7"/>
    <n v="2000"/>
    <n v="310.28120000000001"/>
    <n v="3.5999999999999997E-2"/>
    <n v="305.10919999999999"/>
    <n v="311.22039999999998"/>
    <n v="314.51389999999998"/>
    <n v="3.7999999999999999E-2"/>
    <n v="3.5999999999999997E-2"/>
    <n v="3.3000000000000002E-2"/>
    <n v="2003.8"/>
    <n v="2009.8"/>
    <n v="2027.6"/>
    <m/>
    <m/>
    <n v="310.3"/>
    <n v="310.39999999999998"/>
    <n v="0"/>
  </r>
  <r>
    <x v="7"/>
    <n v="2100"/>
    <n v="310.36259999999999"/>
    <n v="3.9E-2"/>
    <n v="305.19319999999999"/>
    <n v="311.30200000000002"/>
    <n v="314.5926"/>
    <n v="3.5000000000000003E-2"/>
    <n v="4.1000000000000002E-2"/>
    <n v="0.04"/>
    <n v="2004"/>
    <n v="2010"/>
    <n v="2027.8"/>
    <m/>
    <m/>
    <n v="310.39999999999998"/>
    <n v="310.39999999999998"/>
    <n v="0"/>
  </r>
  <r>
    <x v="7"/>
    <n v="2200"/>
    <n v="310.56310000000002"/>
    <n v="3.1E-2"/>
    <n v="305.3895"/>
    <n v="311.50110000000001"/>
    <n v="314.7987"/>
    <n v="4.3999999999999997E-2"/>
    <n v="2.3E-2"/>
    <n v="2.1000000000000001E-2"/>
    <n v="2004.4"/>
    <n v="2010.4"/>
    <n v="2028.2"/>
    <m/>
    <m/>
    <n v="310.60000000000002"/>
    <n v="310.60000000000002"/>
    <n v="0.20000000000004547"/>
  </r>
  <r>
    <x v="7"/>
    <n v="2300"/>
    <n v="310.84989999999999"/>
    <n v="3.9E-2"/>
    <n v="305.66980000000001"/>
    <n v="311.79450000000003"/>
    <n v="315.08519999999999"/>
    <n v="4.3999999999999997E-2"/>
    <n v="3.5999999999999997E-2"/>
    <n v="3.6999999999999998E-2"/>
    <n v="2005.2"/>
    <n v="2011"/>
    <n v="2028.8"/>
    <m/>
    <m/>
    <n v="310.8"/>
    <n v="310.8"/>
    <n v="0.19999999999998863"/>
  </r>
  <r>
    <x v="7"/>
    <n v="2400"/>
    <n v="310.93450000000001"/>
    <n v="3.7999999999999999E-2"/>
    <n v="305.75389999999999"/>
    <n v="311.8777"/>
    <n v="315.17180000000002"/>
    <n v="4.3999999999999997E-2"/>
    <n v="3.5000000000000003E-2"/>
    <n v="3.4000000000000002E-2"/>
    <n v="2005.2"/>
    <n v="2011.2"/>
    <n v="2029"/>
    <m/>
    <m/>
    <n v="310.89999999999998"/>
    <n v="310.89999999999998"/>
    <n v="9.9999999999965894E-2"/>
  </r>
  <r>
    <x v="8"/>
    <n v="100"/>
    <n v="311.12"/>
    <n v="4.1000000000000002E-2"/>
    <n v="305.93619999999999"/>
    <n v="312.06439999999998"/>
    <n v="315.35919999999999"/>
    <n v="4.3999999999999997E-2"/>
    <n v="3.7999999999999999E-2"/>
    <n v="0.04"/>
    <n v="2005.8"/>
    <n v="2011.6"/>
    <n v="2029.4"/>
    <m/>
    <m/>
    <n v="311.10000000000002"/>
    <n v="311.10000000000002"/>
    <n v="0.20000000000004547"/>
  </r>
  <r>
    <x v="8"/>
    <n v="200"/>
    <n v="312.0333"/>
    <n v="4.2999999999999997E-2"/>
    <n v="306.83749999999998"/>
    <n v="312.98939999999999"/>
    <n v="316.2731"/>
    <n v="4.1000000000000002E-2"/>
    <n v="4.3999999999999997E-2"/>
    <n v="4.4999999999999998E-2"/>
    <n v="2007.8"/>
    <n v="2013.6"/>
    <n v="2031.6"/>
    <m/>
    <m/>
    <n v="312"/>
    <n v="312"/>
    <n v="0.89999999999997726"/>
  </r>
  <r>
    <x v="8"/>
    <n v="300"/>
    <n v="312.49009999999998"/>
    <n v="0.04"/>
    <n v="307.29149999999998"/>
    <n v="313.45310000000001"/>
    <n v="316.72559999999999"/>
    <n v="3.5000000000000003E-2"/>
    <n v="3.9E-2"/>
    <n v="4.4999999999999998E-2"/>
    <n v="2008.8"/>
    <n v="2014.6"/>
    <n v="2032.6"/>
    <m/>
    <m/>
    <n v="312.5"/>
    <n v="312.5"/>
    <n v="0.5"/>
  </r>
  <r>
    <x v="8"/>
    <n v="400"/>
    <n v="313.3426"/>
    <n v="3.5000000000000003E-2"/>
    <n v="308.13959999999997"/>
    <n v="314.30410000000001"/>
    <n v="317.58420000000001"/>
    <n v="4.2000000000000003E-2"/>
    <n v="3.7999999999999999E-2"/>
    <n v="2.1000000000000001E-2"/>
    <n v="2010.6"/>
    <n v="2016.8"/>
    <n v="2034.4"/>
    <m/>
    <m/>
    <n v="313.3"/>
    <n v="313.3"/>
    <n v="0.80000000000001137"/>
  </r>
  <r>
    <x v="8"/>
    <n v="500"/>
    <n v="313.90809999999999"/>
    <n v="4.2999999999999997E-2"/>
    <n v="308.7054"/>
    <n v="314.86619999999999"/>
    <n v="318.15280000000001"/>
    <n v="4.1000000000000002E-2"/>
    <n v="4.4999999999999998E-2"/>
    <n v="4.2000000000000003E-2"/>
    <n v="2012"/>
    <n v="2018"/>
    <n v="2035.8"/>
    <m/>
    <m/>
    <n v="313.89999999999998"/>
    <n v="313.89999999999998"/>
    <n v="0.59999999999996589"/>
  </r>
  <r>
    <x v="8"/>
    <n v="600"/>
    <n v="314.27210000000002"/>
    <n v="4.3999999999999997E-2"/>
    <n v="309.05880000000002"/>
    <n v="315.23480000000001"/>
    <n v="318.52260000000001"/>
    <n v="4.2999999999999997E-2"/>
    <n v="4.3999999999999997E-2"/>
    <n v="4.4999999999999998E-2"/>
    <n v="2012.8"/>
    <n v="2018.8"/>
    <n v="2036.4"/>
    <m/>
    <m/>
    <n v="314.3"/>
    <n v="314.3"/>
    <n v="0.40000000000003411"/>
  </r>
  <r>
    <x v="8"/>
    <n v="700"/>
    <n v="314.41160000000002"/>
    <n v="2.9000000000000001E-2"/>
    <n v="309.19650000000001"/>
    <n v="315.375"/>
    <n v="318.66340000000002"/>
    <n v="3.5000000000000003E-2"/>
    <n v="3.3000000000000002E-2"/>
    <n v="1.7000000000000001E-2"/>
    <n v="2013"/>
    <n v="2019"/>
    <n v="2036.8"/>
    <m/>
    <m/>
    <n v="314.39999999999998"/>
    <n v="314.39999999999998"/>
    <n v="9.9999999999965894E-2"/>
  </r>
  <r>
    <x v="8"/>
    <n v="800"/>
    <n v="314.38490000000002"/>
    <n v="3.6999999999999998E-2"/>
    <n v="309.18709999999999"/>
    <n v="315.32299999999998"/>
    <n v="318.64440000000002"/>
    <n v="0.03"/>
    <n v="4.3999999999999997E-2"/>
    <n v="3.6999999999999998E-2"/>
    <n v="2013.2"/>
    <n v="2019"/>
    <n v="2036.8"/>
    <m/>
    <m/>
    <n v="314.39999999999998"/>
    <n v="314.39999999999998"/>
    <n v="0"/>
  </r>
  <r>
    <x v="8"/>
    <n v="900"/>
    <n v="314.37849999999997"/>
    <n v="3.7999999999999999E-2"/>
    <n v="309.18239999999997"/>
    <n v="315.31830000000002"/>
    <n v="318.63490000000002"/>
    <n v="2.3E-2"/>
    <n v="4.4999999999999998E-2"/>
    <n v="4.2000000000000003E-2"/>
    <n v="2013"/>
    <n v="2018.8"/>
    <n v="2036.8"/>
    <m/>
    <m/>
    <n v="314.39999999999998"/>
    <n v="314.39999999999998"/>
    <n v="0"/>
  </r>
  <r>
    <x v="8"/>
    <n v="1000"/>
    <n v="314.38589999999999"/>
    <n v="3.3000000000000002E-2"/>
    <n v="309.17930000000001"/>
    <n v="315.34980000000002"/>
    <n v="318.62860000000001"/>
    <n v="2.4E-2"/>
    <n v="2.9000000000000001E-2"/>
    <n v="4.3999999999999997E-2"/>
    <n v="2013"/>
    <n v="2019"/>
    <n v="2036.8"/>
    <m/>
    <m/>
    <n v="314.39999999999998"/>
    <n v="314.39999999999998"/>
    <n v="0"/>
  </r>
  <r>
    <x v="8"/>
    <n v="1100"/>
    <n v="314.38529999999997"/>
    <n v="3.6999999999999998E-2"/>
    <n v="309.19959999999998"/>
    <n v="315.34980000000002"/>
    <n v="318.60640000000001"/>
    <n v="3.6999999999999998E-2"/>
    <n v="2.9000000000000001E-2"/>
    <n v="4.2999999999999997E-2"/>
    <n v="2013.2"/>
    <n v="2019"/>
    <n v="2036.6"/>
    <m/>
    <m/>
    <n v="314.39999999999998"/>
    <n v="314.39999999999998"/>
    <n v="0"/>
  </r>
  <r>
    <x v="8"/>
    <n v="1200"/>
    <n v="314.3338"/>
    <n v="3.6999999999999998E-2"/>
    <n v="309.16359999999997"/>
    <n v="315.28359999999998"/>
    <n v="318.55430000000001"/>
    <n v="3.7999999999999999E-2"/>
    <n v="3.5000000000000003E-2"/>
    <n v="3.6999999999999998E-2"/>
    <n v="2013"/>
    <n v="2018.8"/>
    <n v="2036.6"/>
    <m/>
    <m/>
    <n v="314.3"/>
    <n v="314.39999999999998"/>
    <n v="0"/>
  </r>
  <r>
    <x v="8"/>
    <n v="1300"/>
    <n v="314.31079999999997"/>
    <n v="3.6999999999999998E-2"/>
    <n v="309.1198"/>
    <n v="315.2647"/>
    <n v="318.54790000000003"/>
    <n v="4.2000000000000003E-2"/>
    <n v="2.8000000000000001E-2"/>
    <n v="0.04"/>
    <n v="2012.8"/>
    <n v="2018.8"/>
    <n v="2036.4"/>
    <m/>
    <m/>
    <n v="314.3"/>
    <n v="314.39999999999998"/>
    <n v="0"/>
  </r>
  <r>
    <x v="8"/>
    <n v="1400"/>
    <n v="314.25409999999999"/>
    <n v="3.7999999999999999E-2"/>
    <n v="309.10570000000001"/>
    <n v="315.17329999999998"/>
    <n v="318.48309999999998"/>
    <n v="4.1000000000000002E-2"/>
    <n v="4.2000000000000003E-2"/>
    <n v="2.9000000000000001E-2"/>
    <n v="2012.8"/>
    <n v="2018.6"/>
    <n v="2036.4"/>
    <m/>
    <m/>
    <n v="314.3"/>
    <n v="314.39999999999998"/>
    <n v="0"/>
  </r>
  <r>
    <x v="8"/>
    <n v="1500"/>
    <n v="314.30079999999998"/>
    <n v="4.2999999999999997E-2"/>
    <n v="309.1277"/>
    <n v="315.2285"/>
    <n v="318.54640000000001"/>
    <n v="4.3999999999999997E-2"/>
    <n v="4.4999999999999998E-2"/>
    <n v="4.1000000000000002E-2"/>
    <n v="2013"/>
    <n v="2018.8"/>
    <n v="2036.6"/>
    <m/>
    <m/>
    <n v="314.3"/>
    <n v="314.39999999999998"/>
    <n v="0"/>
  </r>
  <r>
    <x v="8"/>
    <n v="1600"/>
    <n v="314.2962"/>
    <n v="3.5000000000000003E-2"/>
    <n v="309.09320000000002"/>
    <n v="315.23320000000001"/>
    <n v="318.56209999999999"/>
    <n v="2.9000000000000001E-2"/>
    <n v="4.3999999999999997E-2"/>
    <n v="0.03"/>
    <n v="2012.8"/>
    <n v="2018.6"/>
    <n v="2036.6"/>
    <m/>
    <m/>
    <n v="314.3"/>
    <n v="314.39999999999998"/>
    <n v="0"/>
  </r>
  <r>
    <x v="8"/>
    <n v="1700"/>
    <n v="314.34440000000001"/>
    <n v="2.8000000000000001E-2"/>
    <n v="309.16829999999999"/>
    <n v="315.27890000000002"/>
    <n v="318.58589999999998"/>
    <n v="2.9000000000000001E-2"/>
    <n v="2.5000000000000001E-2"/>
    <n v="3.1E-2"/>
    <n v="2013"/>
    <n v="2018.8"/>
    <n v="2036.6"/>
    <m/>
    <m/>
    <n v="314.3"/>
    <n v="314.39999999999998"/>
    <n v="0"/>
  </r>
  <r>
    <x v="8"/>
    <n v="1800"/>
    <n v="314.36450000000002"/>
    <n v="4.1000000000000002E-2"/>
    <n v="309.14800000000002"/>
    <n v="315.30259999999998"/>
    <n v="318.64280000000002"/>
    <n v="4.2999999999999997E-2"/>
    <n v="4.2999999999999997E-2"/>
    <n v="3.7999999999999999E-2"/>
    <n v="2012.8"/>
    <n v="2018.8"/>
    <n v="2036.6"/>
    <m/>
    <m/>
    <n v="314.39999999999998"/>
    <n v="314.39999999999998"/>
    <n v="0"/>
  </r>
  <r>
    <x v="8"/>
    <n v="1900"/>
    <n v="314.4126"/>
    <n v="3.4000000000000002E-2"/>
    <n v="309.21519999999998"/>
    <n v="315.34980000000002"/>
    <n v="318.67290000000003"/>
    <n v="4.3999999999999997E-2"/>
    <n v="2.9000000000000001E-2"/>
    <n v="2.8000000000000001E-2"/>
    <n v="2013"/>
    <n v="2019"/>
    <n v="2037"/>
    <m/>
    <m/>
    <n v="314.39999999999998"/>
    <n v="314.39999999999998"/>
    <n v="0"/>
  </r>
  <r>
    <x v="8"/>
    <n v="2000"/>
    <n v="314.4074"/>
    <n v="3.4000000000000002E-2"/>
    <n v="309.21679999999998"/>
    <n v="315.34660000000002"/>
    <n v="318.65859999999998"/>
    <n v="4.3999999999999997E-2"/>
    <n v="3.3000000000000002E-2"/>
    <n v="0.02"/>
    <n v="2013"/>
    <n v="2019"/>
    <n v="2036.8"/>
    <m/>
    <m/>
    <n v="314.39999999999998"/>
    <n v="314.39999999999998"/>
    <n v="0"/>
  </r>
  <r>
    <x v="8"/>
    <n v="2100"/>
    <n v="314.39580000000001"/>
    <n v="3.5999999999999997E-2"/>
    <n v="309.19799999999998"/>
    <n v="315.34039999999999"/>
    <n v="318.64909999999998"/>
    <n v="3.5999999999999997E-2"/>
    <n v="3.7999999999999999E-2"/>
    <n v="3.3000000000000002E-2"/>
    <n v="2013"/>
    <n v="2018.8"/>
    <n v="2036.8"/>
    <m/>
    <m/>
    <n v="314.39999999999998"/>
    <n v="314.39999999999998"/>
    <n v="0"/>
  </r>
  <r>
    <x v="8"/>
    <n v="2200"/>
    <n v="314.39120000000003"/>
    <n v="3.1E-2"/>
    <n v="309.17610000000002"/>
    <n v="315.3451"/>
    <n v="318.65230000000003"/>
    <n v="2.9000000000000001E-2"/>
    <n v="3.4000000000000002E-2"/>
    <n v="0.03"/>
    <n v="2012.8"/>
    <n v="2019"/>
    <n v="2036.8"/>
    <m/>
    <m/>
    <n v="314.39999999999998"/>
    <n v="314.39999999999998"/>
    <n v="0"/>
  </r>
  <r>
    <x v="8"/>
    <n v="2300"/>
    <n v="314.39080000000001"/>
    <n v="3.9E-2"/>
    <n v="309.1386"/>
    <n v="315.34660000000002"/>
    <n v="318.68709999999999"/>
    <n v="4.3999999999999997E-2"/>
    <n v="3.3000000000000002E-2"/>
    <n v="0.04"/>
    <n v="2012.8"/>
    <n v="2019"/>
    <n v="2036.8"/>
    <m/>
    <m/>
    <n v="314.39999999999998"/>
    <n v="314.39999999999998"/>
    <n v="0"/>
  </r>
  <r>
    <x v="8"/>
    <n v="2400"/>
    <n v="314.44"/>
    <n v="0.04"/>
    <n v="309.209"/>
    <n v="315.38290000000001"/>
    <n v="318.72809999999998"/>
    <n v="4.2000000000000003E-2"/>
    <n v="3.9E-2"/>
    <n v="0.04"/>
    <n v="2013"/>
    <n v="2019"/>
    <n v="2037"/>
    <m/>
    <m/>
    <n v="314.39999999999998"/>
    <n v="314.39999999999998"/>
    <n v="0"/>
  </r>
  <r>
    <x v="9"/>
    <n v="100"/>
    <n v="314.46940000000001"/>
    <n v="3.3000000000000002E-2"/>
    <n v="309.25439999999998"/>
    <n v="315.39870000000002"/>
    <n v="318.755"/>
    <n v="3.3000000000000002E-2"/>
    <n v="4.3999999999999997E-2"/>
    <n v="1.2E-2"/>
    <n v="2013.2"/>
    <n v="2019"/>
    <n v="2037"/>
    <m/>
    <m/>
    <n v="314.5"/>
    <n v="314.5"/>
    <n v="0.10000000000002274"/>
  </r>
  <r>
    <x v="9"/>
    <n v="200"/>
    <n v="314.46519999999998"/>
    <n v="3.5999999999999997E-2"/>
    <n v="309.24340000000001"/>
    <n v="315.39389999999997"/>
    <n v="318.75819999999999"/>
    <n v="0.04"/>
    <n v="4.2999999999999997E-2"/>
    <n v="0.02"/>
    <n v="2013"/>
    <n v="2019"/>
    <n v="2037"/>
    <m/>
    <m/>
    <n v="314.5"/>
    <n v="314.5"/>
    <n v="0"/>
  </r>
  <r>
    <x v="9"/>
    <n v="300"/>
    <n v="314.4631"/>
    <n v="0.04"/>
    <n v="309.2278"/>
    <n v="315.39710000000002"/>
    <n v="318.7645"/>
    <n v="4.3999999999999997E-2"/>
    <n v="4.3999999999999997E-2"/>
    <n v="0.03"/>
    <n v="2013.2"/>
    <n v="2019.2"/>
    <n v="2037"/>
    <m/>
    <m/>
    <n v="314.5"/>
    <n v="314.5"/>
    <n v="0"/>
  </r>
  <r>
    <x v="9"/>
    <n v="400"/>
    <n v="314.459"/>
    <n v="4.1000000000000002E-2"/>
    <n v="309.20269999999999"/>
    <n v="315.39710000000002"/>
    <n v="318.77719999999999"/>
    <n v="3.9E-2"/>
    <n v="4.3999999999999997E-2"/>
    <n v="0.04"/>
    <n v="2013"/>
    <n v="2019"/>
    <n v="2037"/>
    <m/>
    <m/>
    <n v="314.5"/>
    <n v="314.5"/>
    <n v="0"/>
  </r>
  <r>
    <x v="9"/>
    <n v="500"/>
    <n v="314.47149999999999"/>
    <n v="4.1000000000000002E-2"/>
    <n v="309.24029999999999"/>
    <n v="315.40179999999998"/>
    <n v="318.7724"/>
    <n v="4.1000000000000002E-2"/>
    <n v="4.4999999999999998E-2"/>
    <n v="3.6999999999999998E-2"/>
    <n v="2013.2"/>
    <n v="2019.2"/>
    <n v="2037"/>
    <m/>
    <m/>
    <n v="314.5"/>
    <n v="314.5"/>
    <n v="0"/>
  </r>
  <r>
    <x v="9"/>
    <n v="600"/>
    <n v="314.47039999999998"/>
    <n v="3.2000000000000001E-2"/>
    <n v="309.25900000000001"/>
    <n v="315.39240000000001"/>
    <n v="318.75979999999998"/>
    <n v="2.7E-2"/>
    <n v="4.2999999999999997E-2"/>
    <n v="2.3E-2"/>
    <n v="2013.2"/>
    <n v="2019.2"/>
    <n v="2037"/>
    <m/>
    <m/>
    <n v="314.5"/>
    <n v="314.5"/>
    <n v="0"/>
  </r>
  <r>
    <x v="9"/>
    <n v="700"/>
    <n v="314.45729999999998"/>
    <n v="3.9E-2"/>
    <n v="309.2199"/>
    <n v="315.40499999999997"/>
    <n v="318.74709999999999"/>
    <n v="4.3999999999999997E-2"/>
    <n v="4.4999999999999998E-2"/>
    <n v="2.3E-2"/>
    <n v="2013"/>
    <n v="2019"/>
    <n v="2037"/>
    <m/>
    <m/>
    <n v="314.5"/>
    <n v="314.5"/>
    <n v="0"/>
  </r>
  <r>
    <x v="9"/>
    <n v="800"/>
    <n v="314.4699"/>
    <n v="3.6999999999999998E-2"/>
    <n v="309.24810000000002"/>
    <n v="315.42070000000001"/>
    <n v="318.74079999999998"/>
    <n v="3.6999999999999998E-2"/>
    <n v="4.2000000000000003E-2"/>
    <n v="3.1E-2"/>
    <n v="2013"/>
    <n v="2019"/>
    <n v="2037"/>
    <m/>
    <m/>
    <n v="314.5"/>
    <n v="314.5"/>
    <n v="0"/>
  </r>
  <r>
    <x v="9"/>
    <n v="900"/>
    <n v="314.37380000000002"/>
    <n v="3.7999999999999999E-2"/>
    <n v="309.1746"/>
    <n v="315.30410000000001"/>
    <n v="318.64280000000002"/>
    <n v="3.1E-2"/>
    <n v="4.2999999999999997E-2"/>
    <n v="3.7999999999999999E-2"/>
    <n v="2013"/>
    <n v="2018.8"/>
    <n v="2036.8"/>
    <m/>
    <m/>
    <n v="314.39999999999998"/>
    <n v="314.5"/>
    <n v="0"/>
  </r>
  <r>
    <x v="9"/>
    <n v="1000"/>
    <n v="314.32589999999999"/>
    <n v="3.5000000000000003E-2"/>
    <n v="309.17770000000002"/>
    <n v="315.25209999999998"/>
    <n v="318.54790000000003"/>
    <n v="2.5999999999999999E-2"/>
    <n v="3.6999999999999998E-2"/>
    <n v="0.04"/>
    <n v="2013"/>
    <n v="2018.8"/>
    <n v="2036.6"/>
    <m/>
    <m/>
    <n v="314.3"/>
    <n v="314.5"/>
    <n v="0"/>
  </r>
  <r>
    <x v="9"/>
    <n v="1100"/>
    <n v="314.2944"/>
    <n v="4.2000000000000003E-2"/>
    <n v="309.1542"/>
    <n v="315.20639999999997"/>
    <n v="318.52260000000001"/>
    <n v="0.04"/>
    <n v="0.04"/>
    <n v="4.4999999999999998E-2"/>
    <n v="2013"/>
    <n v="2018.6"/>
    <n v="2036.4"/>
    <m/>
    <m/>
    <n v="314.3"/>
    <n v="314.5"/>
    <n v="0"/>
  </r>
  <r>
    <x v="9"/>
    <n v="1200"/>
    <n v="314.25880000000001"/>
    <n v="0.03"/>
    <n v="309.09949999999998"/>
    <n v="315.1875"/>
    <n v="318.48939999999999"/>
    <n v="3.2000000000000001E-2"/>
    <n v="3.3000000000000002E-2"/>
    <n v="2.3E-2"/>
    <n v="2012.8"/>
    <n v="2018.6"/>
    <n v="2036.4"/>
    <m/>
    <m/>
    <n v="314.3"/>
    <n v="314.5"/>
    <n v="0"/>
  </r>
  <r>
    <x v="9"/>
    <n v="1300"/>
    <n v="314.24579999999997"/>
    <n v="3.2000000000000001E-2"/>
    <n v="309.06819999999999"/>
    <n v="315.18119999999999"/>
    <n v="318.48790000000002"/>
    <n v="4.2000000000000003E-2"/>
    <n v="2.4E-2"/>
    <n v="2.5999999999999999E-2"/>
    <n v="2012.8"/>
    <n v="2018.6"/>
    <n v="2036.4"/>
    <m/>
    <m/>
    <n v="314.2"/>
    <n v="314.5"/>
    <n v="0"/>
  </r>
  <r>
    <x v="9"/>
    <n v="1400"/>
    <n v="314.27359999999999"/>
    <n v="4.2000000000000003E-2"/>
    <n v="309.08859999999999"/>
    <n v="315.21589999999998"/>
    <n v="318.5163"/>
    <n v="3.9E-2"/>
    <n v="4.3999999999999997E-2"/>
    <n v="4.2999999999999997E-2"/>
    <n v="2013"/>
    <n v="2018.8"/>
    <n v="2036.4"/>
    <m/>
    <m/>
    <n v="314.3"/>
    <n v="314.5"/>
    <n v="0"/>
  </r>
  <r>
    <x v="9"/>
    <n v="1500"/>
    <n v="314.31139999999999"/>
    <n v="3.6999999999999998E-2"/>
    <n v="309.1198"/>
    <n v="315.25209999999998"/>
    <n v="318.56209999999999"/>
    <n v="4.2000000000000003E-2"/>
    <n v="3.6999999999999998E-2"/>
    <n v="0.03"/>
    <n v="2013"/>
    <n v="2018.6"/>
    <n v="2036.4"/>
    <m/>
    <m/>
    <n v="314.3"/>
    <n v="314.5"/>
    <n v="0"/>
  </r>
  <r>
    <x v="9"/>
    <n v="1600"/>
    <n v="314.3329"/>
    <n v="3.5000000000000003E-2"/>
    <n v="309.13389999999998"/>
    <n v="315.28050000000002"/>
    <n v="318.58429999999998"/>
    <n v="4.4999999999999998E-2"/>
    <n v="2.8000000000000001E-2"/>
    <n v="0.03"/>
    <n v="2013"/>
    <n v="2018.8"/>
    <n v="2036.6"/>
    <m/>
    <m/>
    <n v="314.3"/>
    <n v="314.5"/>
    <n v="0"/>
  </r>
  <r>
    <x v="9"/>
    <n v="1700"/>
    <n v="314.34559999999999"/>
    <n v="4.1000000000000002E-2"/>
    <n v="309.10419999999999"/>
    <n v="315.31040000000002"/>
    <n v="318.6223"/>
    <n v="3.3000000000000002E-2"/>
    <n v="4.4999999999999998E-2"/>
    <n v="4.4999999999999998E-2"/>
    <n v="2012.8"/>
    <n v="2019"/>
    <n v="2036.8"/>
    <m/>
    <m/>
    <n v="314.3"/>
    <n v="314.5"/>
    <n v="0"/>
  </r>
  <r>
    <x v="9"/>
    <n v="1800"/>
    <n v="314.3827"/>
    <n v="3.5999999999999997E-2"/>
    <n v="309.18079999999998"/>
    <n v="315.32619999999997"/>
    <n v="318.64120000000003"/>
    <n v="0.02"/>
    <n v="4.3999999999999997E-2"/>
    <n v="3.9E-2"/>
    <n v="2013"/>
    <n v="2018.8"/>
    <n v="2036.8"/>
    <m/>
    <m/>
    <n v="314.39999999999998"/>
    <n v="314.5"/>
    <n v="0"/>
  </r>
  <r>
    <x v="9"/>
    <n v="1900"/>
    <n v="314.38220000000001"/>
    <n v="3.5999999999999997E-2"/>
    <n v="309.17610000000002"/>
    <n v="315.32780000000002"/>
    <n v="318.64280000000002"/>
    <n v="2.3E-2"/>
    <n v="4.2999999999999997E-2"/>
    <n v="3.7999999999999999E-2"/>
    <n v="2013"/>
    <n v="2018.8"/>
    <n v="2036.8"/>
    <m/>
    <m/>
    <n v="314.39999999999998"/>
    <n v="314.5"/>
    <n v="0"/>
  </r>
  <r>
    <x v="9"/>
    <n v="2000"/>
    <n v="314.38440000000003"/>
    <n v="3.5999999999999997E-2"/>
    <n v="309.17610000000002"/>
    <n v="315.33089999999999"/>
    <n v="318.64600000000002"/>
    <n v="2.9000000000000001E-2"/>
    <n v="4.2000000000000003E-2"/>
    <n v="3.5999999999999997E-2"/>
    <n v="2013"/>
    <n v="2019"/>
    <n v="2036.6"/>
    <m/>
    <m/>
    <n v="314.39999999999998"/>
    <n v="314.5"/>
    <n v="0"/>
  </r>
  <r>
    <x v="9"/>
    <n v="2100"/>
    <n v="314.38639999999998"/>
    <n v="3.3000000000000002E-2"/>
    <n v="309.18400000000003"/>
    <n v="315.32299999999998"/>
    <n v="318.65230000000003"/>
    <n v="0.02"/>
    <n v="4.3999999999999997E-2"/>
    <n v="0.03"/>
    <n v="2013"/>
    <n v="2019"/>
    <n v="2036.8"/>
    <m/>
    <m/>
    <n v="314.39999999999998"/>
    <n v="314.5"/>
    <n v="0"/>
  </r>
  <r>
    <x v="9"/>
    <n v="2200"/>
    <n v="314.39109999999999"/>
    <n v="2.9000000000000001E-2"/>
    <n v="309.17770000000002"/>
    <n v="315.334"/>
    <n v="318.66180000000003"/>
    <n v="2.5999999999999999E-2"/>
    <n v="4.1000000000000002E-2"/>
    <n v="1.2E-2"/>
    <n v="2013"/>
    <n v="2019"/>
    <n v="2036.8"/>
    <m/>
    <m/>
    <n v="314.39999999999998"/>
    <n v="314.5"/>
    <n v="0"/>
  </r>
  <r>
    <x v="9"/>
    <n v="2300"/>
    <n v="314.38959999999997"/>
    <n v="3.4000000000000002E-2"/>
    <n v="309.16829999999999"/>
    <n v="315.33089999999999"/>
    <n v="318.66969999999998"/>
    <n v="3.4000000000000002E-2"/>
    <n v="4.2000000000000003E-2"/>
    <n v="2.3E-2"/>
    <n v="2013"/>
    <n v="2018.8"/>
    <n v="2036.8"/>
    <m/>
    <m/>
    <n v="314.39999999999998"/>
    <n v="314.5"/>
    <n v="0"/>
  </r>
  <r>
    <x v="9"/>
    <n v="2400"/>
    <n v="314.39800000000002"/>
    <n v="3.2000000000000001E-2"/>
    <n v="309.18709999999999"/>
    <n v="315.334"/>
    <n v="318.67290000000003"/>
    <n v="2.5000000000000001E-2"/>
    <n v="4.1000000000000002E-2"/>
    <n v="2.8000000000000001E-2"/>
    <n v="2013"/>
    <n v="2018.8"/>
    <n v="2036.8"/>
    <m/>
    <m/>
    <n v="314.39999999999998"/>
    <n v="314.5"/>
    <n v="0"/>
  </r>
  <r>
    <x v="10"/>
    <n v="100"/>
    <n v="314.40010000000001"/>
    <n v="3.1E-2"/>
    <n v="309.18549999999999"/>
    <n v="315.34039999999999"/>
    <n v="318.67439999999999"/>
    <n v="2.3E-2"/>
    <n v="3.7999999999999999E-2"/>
    <n v="0.03"/>
    <n v="2013"/>
    <n v="2018.8"/>
    <n v="2036.8"/>
    <m/>
    <m/>
    <n v="314.39999999999998"/>
    <n v="314.5"/>
    <n v="0"/>
  </r>
  <r>
    <x v="10"/>
    <n v="200"/>
    <n v="314.399"/>
    <n v="3.4000000000000002E-2"/>
    <n v="309.19959999999998"/>
    <n v="315.33089999999999"/>
    <n v="318.66649999999998"/>
    <n v="3.6999999999999998E-2"/>
    <n v="4.2000000000000003E-2"/>
    <n v="1.7000000000000001E-2"/>
    <n v="2013.2"/>
    <n v="2018.8"/>
    <n v="2036.8"/>
    <m/>
    <m/>
    <n v="314.39999999999998"/>
    <n v="314.5"/>
    <n v="0"/>
  </r>
  <r>
    <x v="10"/>
    <n v="300"/>
    <n v="314.38060000000002"/>
    <n v="3.2000000000000001E-2"/>
    <n v="309.17770000000002"/>
    <n v="315.31360000000001"/>
    <n v="318.65069999999997"/>
    <n v="1.2E-2"/>
    <n v="4.4999999999999998E-2"/>
    <n v="3.1E-2"/>
    <n v="2013"/>
    <n v="2018.8"/>
    <n v="2036.8"/>
    <m/>
    <m/>
    <n v="314.39999999999998"/>
    <n v="314.5"/>
    <n v="0"/>
  </r>
  <r>
    <x v="10"/>
    <n v="400"/>
    <n v="314.37959999999998"/>
    <n v="3.5000000000000003E-2"/>
    <n v="309.18079999999998"/>
    <n v="315.31040000000002"/>
    <n v="318.64760000000001"/>
    <n v="0.02"/>
    <n v="4.4999999999999998E-2"/>
    <n v="3.4000000000000002E-2"/>
    <n v="2013"/>
    <n v="2018.8"/>
    <n v="2036.8"/>
    <m/>
    <m/>
    <n v="314.39999999999998"/>
    <n v="314.5"/>
    <n v="0"/>
  </r>
  <r>
    <x v="10"/>
    <n v="500"/>
    <n v="314.41579999999999"/>
    <n v="3.6999999999999998E-2"/>
    <n v="309.20580000000001"/>
    <n v="315.35140000000001"/>
    <n v="318.6902"/>
    <n v="4.1000000000000002E-2"/>
    <n v="2.8000000000000001E-2"/>
    <n v="4.1000000000000002E-2"/>
    <n v="2013"/>
    <n v="2019"/>
    <n v="2036.8"/>
    <m/>
    <m/>
    <n v="314.39999999999998"/>
    <n v="314.5"/>
    <n v="0"/>
  </r>
  <r>
    <x v="10"/>
    <n v="600"/>
    <n v="314.7527"/>
    <n v="4.2000000000000003E-2"/>
    <n v="309.5455"/>
    <n v="315.68709999999999"/>
    <n v="319.02550000000002"/>
    <n v="0.04"/>
    <n v="4.5999999999999999E-2"/>
    <n v="0.04"/>
    <n v="2013.8"/>
    <n v="2019.8"/>
    <n v="2037.6"/>
    <m/>
    <m/>
    <n v="314.8"/>
    <n v="314.8"/>
    <n v="0.30000000000001137"/>
  </r>
  <r>
    <x v="10"/>
    <n v="700"/>
    <n v="314.99149999999997"/>
    <n v="0.04"/>
    <n v="309.78489999999999"/>
    <n v="315.92520000000002"/>
    <n v="319.26429999999999"/>
    <n v="3.5999999999999997E-2"/>
    <n v="0.04"/>
    <n v="4.2999999999999997E-2"/>
    <n v="2014.4"/>
    <n v="2020.2"/>
    <n v="2038.2"/>
    <m/>
    <m/>
    <n v="315"/>
    <n v="315"/>
    <n v="0.19999999999998863"/>
  </r>
  <r>
    <x v="10"/>
    <n v="800"/>
    <n v="315.14479999999998"/>
    <n v="4.2000000000000003E-2"/>
    <n v="309.93529999999998"/>
    <n v="316.0797"/>
    <n v="319.4194"/>
    <n v="4.4999999999999998E-2"/>
    <n v="3.7999999999999999E-2"/>
    <n v="4.3999999999999997E-2"/>
    <n v="2014.8"/>
    <n v="2020.6"/>
    <n v="2038.6"/>
    <m/>
    <m/>
    <n v="315.10000000000002"/>
    <n v="315.10000000000002"/>
    <n v="0.10000000000002274"/>
  </r>
  <r>
    <x v="10"/>
    <n v="900"/>
    <n v="315.38319999999999"/>
    <n v="2.9000000000000001E-2"/>
    <n v="310.16699999999997"/>
    <n v="316.3227"/>
    <n v="319.66000000000003"/>
    <n v="2.3E-2"/>
    <n v="4.1000000000000002E-2"/>
    <n v="0.02"/>
    <n v="2015.2"/>
    <n v="2021"/>
    <n v="2039"/>
    <m/>
    <m/>
    <n v="315.39999999999998"/>
    <n v="315.39999999999998"/>
    <n v="0.29999999999995453"/>
  </r>
  <r>
    <x v="10"/>
    <n v="1000"/>
    <n v="315.46679999999998"/>
    <n v="0.03"/>
    <n v="310.24540000000002"/>
    <n v="316.40949999999998"/>
    <n v="319.74549999999999"/>
    <n v="2.5999999999999999E-2"/>
    <n v="4.2000000000000003E-2"/>
    <n v="1.7000000000000001E-2"/>
    <n v="2015.4"/>
    <n v="2021.4"/>
    <n v="2039.2"/>
    <m/>
    <m/>
    <n v="315.5"/>
    <n v="315.5"/>
    <n v="0.10000000000002274"/>
  </r>
  <r>
    <x v="10"/>
    <n v="1100"/>
    <n v="315.9991"/>
    <n v="3.6999999999999998E-2"/>
    <n v="310.76400000000001"/>
    <n v="316.95240000000001"/>
    <n v="320.28070000000002"/>
    <n v="3.7999999999999999E-2"/>
    <n v="4.1000000000000002E-2"/>
    <n v="3.3000000000000002E-2"/>
    <n v="2016.4"/>
    <n v="2022.6"/>
    <n v="2040.4"/>
    <m/>
    <m/>
    <n v="316"/>
    <n v="316"/>
    <n v="0.5"/>
  </r>
  <r>
    <x v="10"/>
    <n v="1200"/>
    <n v="316.40280000000001"/>
    <n v="0.04"/>
    <n v="311.16230000000002"/>
    <n v="317.36930000000001"/>
    <n v="320.67680000000001"/>
    <n v="3.5999999999999997E-2"/>
    <n v="4.2000000000000003E-2"/>
    <n v="4.2000000000000003E-2"/>
    <n v="2017.4"/>
    <n v="2023.6"/>
    <n v="2041.2"/>
    <m/>
    <m/>
    <n v="316.39999999999998"/>
    <n v="316.39999999999998"/>
    <n v="0.39999999999997726"/>
  </r>
  <r>
    <x v="10"/>
    <n v="1300"/>
    <n v="316.40699999999998"/>
    <n v="4.2000000000000003E-2"/>
    <n v="311.16860000000003"/>
    <n v="317.36930000000001"/>
    <n v="320.68310000000002"/>
    <n v="0.04"/>
    <n v="4.2000000000000003E-2"/>
    <n v="4.3999999999999997E-2"/>
    <n v="2017.4"/>
    <n v="2023.4"/>
    <n v="2041.2"/>
    <m/>
    <m/>
    <n v="316.39999999999998"/>
    <n v="316.39999999999998"/>
    <n v="0"/>
  </r>
  <r>
    <x v="10"/>
    <n v="1400"/>
    <n v="316.3997"/>
    <n v="3.9E-2"/>
    <n v="311.16390000000001"/>
    <n v="317.36149999999998"/>
    <n v="320.67360000000002"/>
    <n v="3.7999999999999999E-2"/>
    <n v="3.9E-2"/>
    <n v="4.1000000000000002E-2"/>
    <n v="2017.4"/>
    <n v="2023.4"/>
    <n v="2041.2"/>
    <m/>
    <m/>
    <n v="316.39999999999998"/>
    <n v="316.39999999999998"/>
    <n v="0"/>
  </r>
  <r>
    <x v="10"/>
    <n v="1500"/>
    <n v="316.3897"/>
    <n v="3.1E-2"/>
    <n v="311.15129999999999"/>
    <n v="317.35669999999999"/>
    <n v="320.66090000000003"/>
    <n v="2.5000000000000001E-2"/>
    <n v="3.5999999999999997E-2"/>
    <n v="3.1E-2"/>
    <n v="2017.4"/>
    <n v="2023.6"/>
    <n v="2041.2"/>
    <m/>
    <m/>
    <n v="316.39999999999998"/>
    <n v="316.39999999999998"/>
    <n v="0"/>
  </r>
  <r>
    <x v="10"/>
    <n v="1600"/>
    <n v="316.37700000000001"/>
    <n v="2.4E-2"/>
    <n v="311.14659999999998"/>
    <n v="317.33929999999998"/>
    <n v="320.64510000000001"/>
    <n v="2.9000000000000001E-2"/>
    <n v="2.4E-2"/>
    <n v="1.7000000000000001E-2"/>
    <n v="2017.4"/>
    <n v="2023.4"/>
    <n v="2041.2"/>
    <m/>
    <m/>
    <n v="316.39999999999998"/>
    <n v="316.39999999999998"/>
    <n v="0"/>
  </r>
  <r>
    <x v="10"/>
    <n v="1700"/>
    <n v="316.70519999999999"/>
    <n v="4.5999999999999999E-2"/>
    <n v="311.46339999999998"/>
    <n v="317.67110000000002"/>
    <n v="320.9812"/>
    <n v="4.3999999999999997E-2"/>
    <n v="4.8000000000000001E-2"/>
    <n v="4.4999999999999998E-2"/>
    <n v="2018"/>
    <n v="2024.2"/>
    <n v="2042"/>
    <m/>
    <m/>
    <n v="316.7"/>
    <n v="316.7"/>
    <n v="0.30000000000001137"/>
  </r>
  <r>
    <x v="10"/>
    <n v="1800"/>
    <n v="317.31670000000003"/>
    <n v="4.4999999999999998E-2"/>
    <n v="312.07240000000002"/>
    <n v="318.28129999999999"/>
    <n v="321.59649999999999"/>
    <n v="4.3999999999999997E-2"/>
    <n v="4.4999999999999998E-2"/>
    <n v="4.4999999999999998E-2"/>
    <n v="2019.4"/>
    <n v="2025.6"/>
    <n v="2043.4"/>
    <m/>
    <m/>
    <n v="317.3"/>
    <n v="317.3"/>
    <n v="0.60000000000002274"/>
  </r>
  <r>
    <x v="10"/>
    <n v="1900"/>
    <n v="318.33440000000002"/>
    <n v="3.9E-2"/>
    <n v="313.0951"/>
    <n v="319.28930000000003"/>
    <n v="322.6189"/>
    <n v="3.5000000000000003E-2"/>
    <n v="4.3999999999999997E-2"/>
    <n v="3.6999999999999998E-2"/>
    <n v="2021.6"/>
    <n v="2027.8"/>
    <n v="2045.6"/>
    <m/>
    <m/>
    <n v="318.3"/>
    <n v="318.3"/>
    <n v="1"/>
  </r>
  <r>
    <x v="10"/>
    <n v="2000"/>
    <n v="318.75830000000002"/>
    <n v="4.7E-2"/>
    <n v="313.5102"/>
    <n v="319.71370000000002"/>
    <n v="323.05110000000002"/>
    <n v="4.3999999999999997E-2"/>
    <n v="5.1999999999999998E-2"/>
    <n v="4.4999999999999998E-2"/>
    <n v="2022.6"/>
    <n v="2028.8"/>
    <n v="2046.6"/>
    <m/>
    <m/>
    <n v="318.8"/>
    <n v="318.8"/>
    <n v="0.5"/>
  </r>
  <r>
    <x v="10"/>
    <n v="2100"/>
    <n v="319.70760000000001"/>
    <n v="3.5000000000000003E-2"/>
    <n v="314.45740000000001"/>
    <n v="320.65679999999998"/>
    <n v="324.00839999999999"/>
    <n v="3.4000000000000002E-2"/>
    <n v="3.7999999999999999E-2"/>
    <n v="3.4000000000000002E-2"/>
    <n v="2024.8"/>
    <n v="2030.8"/>
    <n v="2048.8000000000002"/>
    <m/>
    <m/>
    <n v="319.7"/>
    <n v="319.7"/>
    <n v="0.89999999999997726"/>
  </r>
  <r>
    <x v="10"/>
    <n v="2200"/>
    <n v="320.11900000000003"/>
    <n v="0.04"/>
    <n v="314.83539999999999"/>
    <n v="321.08510000000001"/>
    <n v="324.43650000000002"/>
    <n v="3.6999999999999998E-2"/>
    <n v="4.4999999999999998E-2"/>
    <n v="3.6999999999999998E-2"/>
    <n v="2025.8"/>
    <n v="2031.8"/>
    <n v="2049.6"/>
    <m/>
    <m/>
    <n v="320.10000000000002"/>
    <n v="320.10000000000002"/>
    <n v="0.40000000000003411"/>
  </r>
  <r>
    <x v="10"/>
    <n v="2300"/>
    <n v="321.13209999999998"/>
    <n v="4.4999999999999998E-2"/>
    <n v="315.85680000000002"/>
    <n v="322.08530000000002"/>
    <n v="325.45429999999999"/>
    <n v="4.3999999999999997E-2"/>
    <n v="4.4999999999999998E-2"/>
    <n v="4.5999999999999999E-2"/>
    <n v="2028"/>
    <n v="2034"/>
    <n v="2052"/>
    <m/>
    <m/>
    <n v="321.10000000000002"/>
    <n v="321.10000000000002"/>
    <n v="1"/>
  </r>
  <r>
    <x v="10"/>
    <n v="2400"/>
    <n v="321.85059999999999"/>
    <n v="3.7999999999999999E-2"/>
    <n v="316.55250000000001"/>
    <n v="322.83390000000003"/>
    <n v="326.16539999999998"/>
    <n v="4.8000000000000001E-2"/>
    <n v="3.4000000000000002E-2"/>
    <n v="0.03"/>
    <n v="2029.6"/>
    <n v="2035.6"/>
    <n v="2053.4"/>
    <m/>
    <m/>
    <n v="321.89999999999998"/>
    <n v="321.89999999999998"/>
    <n v="0.79999999999995453"/>
  </r>
  <r>
    <x v="11"/>
    <n v="100"/>
    <n v="322.64909999999998"/>
    <n v="4.3999999999999997E-2"/>
    <n v="317.36579999999998"/>
    <n v="323.62610000000001"/>
    <n v="326.9554"/>
    <n v="4.2999999999999997E-2"/>
    <n v="4.4999999999999998E-2"/>
    <n v="4.4999999999999998E-2"/>
    <n v="2031.2"/>
    <n v="2037.4"/>
    <n v="2055.1999999999998"/>
    <m/>
    <m/>
    <n v="322.60000000000002"/>
    <n v="322.60000000000002"/>
    <n v="0.70000000000004547"/>
  </r>
  <r>
    <x v="11"/>
    <n v="200"/>
    <n v="323.0752"/>
    <n v="3.5000000000000003E-2"/>
    <n v="317.78140000000002"/>
    <n v="324.05270000000002"/>
    <n v="327.39139999999998"/>
    <n v="1.7000000000000001E-2"/>
    <n v="0.04"/>
    <n v="4.2999999999999997E-2"/>
    <n v="2032.2"/>
    <n v="2038.2"/>
    <n v="2056.1999999999998"/>
    <m/>
    <m/>
    <n v="323.10000000000002"/>
    <n v="323.10000000000002"/>
    <n v="0.5"/>
  </r>
  <r>
    <x v="11"/>
    <n v="300"/>
    <n v="323.10109999999997"/>
    <n v="4.3999999999999997E-2"/>
    <n v="317.81150000000002"/>
    <n v="324.07819999999998"/>
    <n v="327.41370000000001"/>
    <n v="4.1000000000000002E-2"/>
    <n v="4.4999999999999998E-2"/>
    <n v="4.4999999999999998E-2"/>
    <n v="2032.2"/>
    <n v="2038.2"/>
    <n v="2056"/>
    <m/>
    <m/>
    <n v="323.10000000000002"/>
    <n v="323.10000000000002"/>
    <n v="0"/>
  </r>
  <r>
    <x v="11"/>
    <n v="400"/>
    <n v="323.1123"/>
    <n v="4.1000000000000002E-2"/>
    <n v="317.81619999999998"/>
    <n v="324.09410000000003"/>
    <n v="327.42649999999998"/>
    <n v="4.2999999999999997E-2"/>
    <n v="4.1000000000000002E-2"/>
    <n v="0.04"/>
    <n v="2032.4"/>
    <n v="2038.4"/>
    <n v="2056"/>
    <m/>
    <m/>
    <n v="323.10000000000002"/>
    <n v="323.10000000000002"/>
    <n v="0"/>
  </r>
  <r>
    <x v="11"/>
    <n v="500"/>
    <n v="323.11649999999997"/>
    <n v="0.03"/>
    <n v="317.79880000000003"/>
    <n v="324.10849999999999"/>
    <n v="327.44240000000002"/>
    <n v="3.3000000000000002E-2"/>
    <n v="0.03"/>
    <n v="2.5999999999999999E-2"/>
    <n v="2032.2"/>
    <n v="2038.4"/>
    <n v="2056.1999999999998"/>
    <m/>
    <m/>
    <n v="323.10000000000002"/>
    <n v="323.10000000000002"/>
    <n v="0"/>
  </r>
  <r>
    <x v="11"/>
    <n v="600"/>
    <n v="323.12819999999999"/>
    <n v="0.03"/>
    <n v="317.81619999999998"/>
    <n v="324.11320000000001"/>
    <n v="327.45519999999999"/>
    <n v="4.2999999999999997E-2"/>
    <n v="2.3E-2"/>
    <n v="0.02"/>
    <n v="2032.2"/>
    <n v="2038.4"/>
    <n v="2056.1999999999998"/>
    <m/>
    <m/>
    <n v="323.10000000000002"/>
    <n v="323.10000000000002"/>
    <n v="0"/>
  </r>
  <r>
    <x v="11"/>
    <n v="700"/>
    <n v="323.10610000000003"/>
    <n v="4.1000000000000002E-2"/>
    <n v="317.75299999999999"/>
    <n v="324.09249999999997"/>
    <n v="327.47280000000001"/>
    <n v="4.2999999999999997E-2"/>
    <n v="4.2000000000000003E-2"/>
    <n v="3.9E-2"/>
    <n v="2032"/>
    <n v="2038.2"/>
    <n v="2056.1999999999998"/>
    <m/>
    <m/>
    <n v="323.10000000000002"/>
    <n v="323.10000000000002"/>
    <n v="0"/>
  </r>
  <r>
    <x v="11"/>
    <n v="800"/>
    <n v="323.14780000000002"/>
    <n v="3.6999999999999998E-2"/>
    <n v="317.8415"/>
    <n v="324.12759999999997"/>
    <n v="327.4744"/>
    <n v="4.2999999999999997E-2"/>
    <n v="2.5999999999999999E-2"/>
    <n v="0.04"/>
    <n v="2032.4"/>
    <n v="2038.4"/>
    <n v="2056.1999999999998"/>
    <m/>
    <m/>
    <n v="323.10000000000002"/>
    <n v="323.10000000000002"/>
    <n v="0"/>
  </r>
  <r>
    <x v="11"/>
    <n v="900"/>
    <n v="324.66430000000003"/>
    <n v="7.9000000000000001E-2"/>
    <n v="319.3288"/>
    <n v="325.66890000000001"/>
    <n v="328.99509999999998"/>
    <n v="7.5999999999999998E-2"/>
    <n v="8.1000000000000003E-2"/>
    <n v="8.1000000000000003E-2"/>
    <n v="2035.8"/>
    <n v="2042.2"/>
    <n v="2059.8000000000002"/>
    <m/>
    <m/>
    <n v="324.7"/>
    <n v="324.7"/>
    <n v="1.5999999999999659"/>
  </r>
  <r>
    <x v="11"/>
    <n v="1000"/>
    <n v="325.24540000000002"/>
    <n v="0.04"/>
    <n v="319.92759999999998"/>
    <n v="326.245"/>
    <n v="329.5634"/>
    <n v="3.9E-2"/>
    <n v="4.3999999999999997E-2"/>
    <n v="3.5000000000000003E-2"/>
    <n v="2037"/>
    <n v="2043"/>
    <n v="2060.8000000000002"/>
    <m/>
    <m/>
    <n v="325.2"/>
    <n v="325.2"/>
    <n v="0.5"/>
  </r>
  <r>
    <x v="11"/>
    <n v="1100"/>
    <n v="326.43599999999998"/>
    <n v="5.2999999999999999E-2"/>
    <n v="321.08999999999997"/>
    <n v="327.45749999999998"/>
    <n v="330.76049999999998"/>
    <n v="0.05"/>
    <n v="5.3999999999999999E-2"/>
    <n v="5.6000000000000001E-2"/>
    <n v="2039.6"/>
    <n v="2046"/>
    <n v="2063.6"/>
    <m/>
    <m/>
    <n v="326.39999999999998"/>
    <n v="326.39999999999998"/>
    <n v="1.1999999999999886"/>
  </r>
  <r>
    <x v="11"/>
    <n v="1200"/>
    <n v="327.1909"/>
    <n v="3.7999999999999999E-2"/>
    <n v="321.85680000000002"/>
    <n v="328.19170000000003"/>
    <n v="331.52420000000001"/>
    <n v="3.1E-2"/>
    <n v="3.9E-2"/>
    <n v="4.3999999999999997E-2"/>
    <n v="2041.2"/>
    <n v="2047.4"/>
    <n v="2065"/>
    <m/>
    <m/>
    <n v="327.2"/>
    <n v="327.2"/>
    <n v="0.80000000000001137"/>
  </r>
  <r>
    <x v="11"/>
    <n v="1300"/>
    <n v="327.1728"/>
    <n v="0.04"/>
    <n v="321.8426"/>
    <n v="328.17399999999998"/>
    <n v="331.50170000000003"/>
    <n v="2.9000000000000001E-2"/>
    <n v="4.4999999999999998E-2"/>
    <n v="4.4999999999999998E-2"/>
    <n v="2041"/>
    <n v="2047.4"/>
    <n v="2065"/>
    <m/>
    <m/>
    <n v="327.2"/>
    <n v="327.2"/>
    <n v="0"/>
  </r>
  <r>
    <x v="11"/>
    <n v="1400"/>
    <n v="327.16590000000002"/>
    <n v="4.1000000000000002E-2"/>
    <n v="321.83460000000002"/>
    <n v="328.17239999999998"/>
    <n v="331.4905"/>
    <n v="3.6999999999999998E-2"/>
    <n v="4.4999999999999998E-2"/>
    <n v="0.04"/>
    <n v="2041"/>
    <n v="2047.2"/>
    <n v="2065"/>
    <m/>
    <m/>
    <n v="327.2"/>
    <n v="327.2"/>
    <n v="0"/>
  </r>
  <r>
    <x v="11"/>
    <n v="1500"/>
    <n v="327.1515"/>
    <n v="4.1000000000000002E-2"/>
    <n v="321.81560000000002"/>
    <n v="328.15960000000001"/>
    <n v="331.47930000000002"/>
    <n v="4.3999999999999997E-2"/>
    <n v="4.4999999999999998E-2"/>
    <n v="3.2000000000000001E-2"/>
    <n v="2041.2"/>
    <n v="2047.2"/>
    <n v="2065"/>
    <m/>
    <m/>
    <n v="327.2"/>
    <n v="327.2"/>
    <n v="0"/>
  </r>
  <r>
    <x v="11"/>
    <n v="1600"/>
    <n v="327.14510000000001"/>
    <n v="4.1000000000000002E-2"/>
    <n v="321.81079999999997"/>
    <n v="328.15159999999997"/>
    <n v="331.47280000000001"/>
    <n v="4.4999999999999998E-2"/>
    <n v="4.2000000000000003E-2"/>
    <n v="3.4000000000000002E-2"/>
    <n v="2041.2"/>
    <n v="2047.4"/>
    <n v="2065"/>
    <m/>
    <m/>
    <n v="327.10000000000002"/>
    <n v="327.2"/>
    <n v="0"/>
  </r>
  <r>
    <x v="11"/>
    <n v="1700"/>
    <n v="327.16640000000001"/>
    <n v="4.1000000000000002E-2"/>
    <n v="321.83780000000002"/>
    <n v="328.16759999999999"/>
    <n v="331.49369999999999"/>
    <n v="0.03"/>
    <n v="4.5999999999999999E-2"/>
    <n v="4.4999999999999998E-2"/>
    <n v="2041.2"/>
    <n v="2047.4"/>
    <n v="2065"/>
    <m/>
    <m/>
    <n v="327.2"/>
    <n v="327.2"/>
    <n v="0"/>
  </r>
  <r>
    <x v="11"/>
    <n v="1800"/>
    <n v="327.22129999999999"/>
    <n v="3.1E-2"/>
    <n v="321.8537"/>
    <n v="328.25409999999999"/>
    <n v="331.55630000000002"/>
    <n v="2.5999999999999999E-2"/>
    <n v="4.4999999999999998E-2"/>
    <n v="1.2E-2"/>
    <n v="2041.2"/>
    <n v="2047.4"/>
    <n v="2065.1999999999998"/>
    <m/>
    <m/>
    <n v="327.2"/>
    <n v="327.2"/>
    <n v="0"/>
  </r>
  <r>
    <x v="11"/>
    <n v="1900"/>
    <n v="327.24209999999999"/>
    <n v="4.2999999999999997E-2"/>
    <n v="321.8775"/>
    <n v="328.2636"/>
    <n v="331.58519999999999"/>
    <n v="4.2000000000000003E-2"/>
    <n v="4.4999999999999998E-2"/>
    <n v="4.2000000000000003E-2"/>
    <n v="2041.2"/>
    <n v="2047.4"/>
    <n v="2065.1999999999998"/>
    <m/>
    <m/>
    <n v="327.2"/>
    <n v="327.2"/>
    <n v="0"/>
  </r>
  <r>
    <x v="11"/>
    <n v="2000"/>
    <n v="327.2448"/>
    <n v="4.3999999999999997E-2"/>
    <n v="321.87909999999999"/>
    <n v="328.26519999999999"/>
    <n v="331.59"/>
    <n v="4.2999999999999997E-2"/>
    <n v="4.4999999999999998E-2"/>
    <n v="4.3999999999999997E-2"/>
    <n v="2041.2"/>
    <n v="2047.4"/>
    <n v="2065.1999999999998"/>
    <m/>
    <m/>
    <n v="327.2"/>
    <n v="327.2"/>
    <n v="0"/>
  </r>
  <r>
    <x v="11"/>
    <n v="2100"/>
    <n v="327.24959999999999"/>
    <n v="4.4999999999999998E-2"/>
    <n v="321.87909999999999"/>
    <n v="328.26209999999998"/>
    <n v="331.60770000000002"/>
    <n v="4.2999999999999997E-2"/>
    <n v="4.5999999999999999E-2"/>
    <n v="4.5999999999999999E-2"/>
    <n v="2041.2"/>
    <n v="2047.4"/>
    <n v="2065.4"/>
    <m/>
    <m/>
    <n v="327.2"/>
    <n v="327.2"/>
    <n v="0"/>
  </r>
  <r>
    <x v="11"/>
    <n v="2200"/>
    <n v="327.29610000000002"/>
    <n v="0.04"/>
    <n v="321.89179999999999"/>
    <n v="328.30520000000001"/>
    <n v="331.69119999999998"/>
    <n v="4.4999999999999998E-2"/>
    <n v="2.4E-2"/>
    <n v="4.5999999999999999E-2"/>
    <n v="2041.2"/>
    <n v="2047.6"/>
    <n v="2065.6"/>
    <m/>
    <m/>
    <n v="327.3"/>
    <n v="327.3"/>
    <n v="0.10000000000002274"/>
  </r>
  <r>
    <x v="11"/>
    <n v="2300"/>
    <n v="327.37529999999998"/>
    <n v="3.2000000000000001E-2"/>
    <n v="322.00459999999998"/>
    <n v="328.38690000000003"/>
    <n v="331.7346"/>
    <n v="4.1000000000000002E-2"/>
    <n v="2.8000000000000001E-2"/>
    <n v="2.3E-2"/>
    <n v="2041.6"/>
    <n v="2047.8"/>
    <n v="2065.6"/>
    <m/>
    <m/>
    <n v="327.39999999999998"/>
    <n v="327.39999999999998"/>
    <n v="9.9999999999965894E-2"/>
  </r>
  <r>
    <x v="11"/>
    <n v="2400"/>
    <n v="327.38130000000001"/>
    <n v="3.7999999999999999E-2"/>
    <n v="321.98869999999999"/>
    <n v="328.3965"/>
    <n v="331.75869999999998"/>
    <n v="4.4999999999999998E-2"/>
    <n v="0.03"/>
    <n v="3.5999999999999997E-2"/>
    <n v="2041.6"/>
    <n v="2047.8"/>
    <n v="2065.6"/>
    <m/>
    <m/>
    <n v="327.39999999999998"/>
    <n v="327.39999999999998"/>
    <n v="0"/>
  </r>
  <r>
    <x v="12"/>
    <n v="100"/>
    <n v="327.38819999999998"/>
    <n v="3.9E-2"/>
    <n v="321.99669999999998"/>
    <n v="328.3981"/>
    <n v="331.76990000000001"/>
    <n v="4.3999999999999997E-2"/>
    <n v="2.7E-2"/>
    <n v="4.2999999999999997E-2"/>
    <n v="2041.6"/>
    <n v="2047.8"/>
    <n v="2065.6"/>
    <m/>
    <m/>
    <n v="327.39999999999998"/>
    <n v="327.39999999999998"/>
    <n v="0"/>
  </r>
  <r>
    <x v="12"/>
    <n v="200"/>
    <n v="327.36169999999998"/>
    <n v="0.04"/>
    <n v="321.93310000000002"/>
    <n v="328.36770000000001"/>
    <n v="331.78440000000001"/>
    <n v="2.9000000000000001E-2"/>
    <n v="4.2000000000000003E-2"/>
    <n v="4.5999999999999999E-2"/>
    <n v="2041.4"/>
    <n v="2047.6"/>
    <n v="2065.8000000000002"/>
    <m/>
    <m/>
    <n v="327.39999999999998"/>
    <n v="327.39999999999998"/>
    <n v="0"/>
  </r>
  <r>
    <x v="12"/>
    <n v="300"/>
    <n v="327.40789999999998"/>
    <n v="3.7999999999999999E-2"/>
    <n v="322.01569999999998"/>
    <n v="328.41250000000002"/>
    <n v="331.79559999999998"/>
    <n v="3.3000000000000002E-2"/>
    <n v="3.5000000000000003E-2"/>
    <n v="4.4999999999999998E-2"/>
    <n v="2041.6"/>
    <n v="2047.8"/>
    <n v="2065.8000000000002"/>
    <m/>
    <m/>
    <n v="327.39999999999998"/>
    <n v="327.39999999999998"/>
    <n v="0"/>
  </r>
  <r>
    <x v="12"/>
    <n v="400"/>
    <n v="327.41699999999997"/>
    <n v="3.6999999999999998E-2"/>
    <n v="322.02370000000002"/>
    <n v="328.4237"/>
    <n v="331.80360000000002"/>
    <n v="2.3E-2"/>
    <n v="4.2000000000000003E-2"/>
    <n v="4.2999999999999997E-2"/>
    <n v="2041.6"/>
    <n v="2047.8"/>
    <n v="2065.6"/>
    <m/>
    <m/>
    <n v="327.39999999999998"/>
    <n v="327.39999999999998"/>
    <n v="0"/>
  </r>
  <r>
    <x v="12"/>
    <n v="500"/>
    <n v="327.3931"/>
    <n v="3.9E-2"/>
    <n v="321.98390000000001"/>
    <n v="328.38049999999998"/>
    <n v="331.81479999999999"/>
    <n v="4.4999999999999998E-2"/>
    <n v="3.5000000000000003E-2"/>
    <n v="3.5999999999999997E-2"/>
    <n v="2041.4"/>
    <n v="2047.8"/>
    <n v="2065.8000000000002"/>
    <m/>
    <m/>
    <n v="327.39999999999998"/>
    <n v="327.39999999999998"/>
    <n v="0"/>
  </r>
  <r>
    <x v="12"/>
    <n v="600"/>
    <n v="327.3931"/>
    <n v="0.04"/>
    <n v="321.99349999999998"/>
    <n v="328.35489999999999"/>
    <n v="331.83089999999999"/>
    <n v="4.3999999999999997E-2"/>
    <n v="4.4999999999999998E-2"/>
    <n v="2.7E-2"/>
    <n v="2041.6"/>
    <n v="2047.8"/>
    <n v="2065.8000000000002"/>
    <m/>
    <m/>
    <n v="327.39999999999998"/>
    <n v="327.39999999999998"/>
    <n v="0"/>
  </r>
  <r>
    <x v="12"/>
    <n v="700"/>
    <n v="327.4325"/>
    <n v="3.5000000000000003E-2"/>
    <n v="322.02999999999997"/>
    <n v="328.41410000000002"/>
    <n v="331.85340000000002"/>
    <n v="2.9000000000000001E-2"/>
    <n v="3.5999999999999997E-2"/>
    <n v="3.7999999999999999E-2"/>
    <n v="2041.6"/>
    <n v="2047.8"/>
    <n v="2066"/>
    <m/>
    <m/>
    <n v="327.39999999999998"/>
    <n v="327.39999999999998"/>
    <n v="0"/>
  </r>
  <r>
    <x v="12"/>
    <n v="800"/>
    <n v="327.45"/>
    <n v="4.1000000000000002E-2"/>
    <n v="322.05860000000001"/>
    <n v="328.44290000000001"/>
    <n v="331.84859999999998"/>
    <n v="4.2000000000000003E-2"/>
    <n v="4.5999999999999999E-2"/>
    <n v="3.5000000000000003E-2"/>
    <n v="2041.8"/>
    <n v="2048"/>
    <n v="2065.8000000000002"/>
    <m/>
    <m/>
    <n v="327.5"/>
    <n v="327.5"/>
    <n v="0.10000000000002274"/>
  </r>
  <r>
    <x v="12"/>
    <n v="900"/>
    <n v="327.4298"/>
    <n v="3.5000000000000003E-2"/>
    <n v="322.04430000000002"/>
    <n v="328.4237"/>
    <n v="331.82130000000001"/>
    <n v="3.3000000000000002E-2"/>
    <n v="4.2000000000000003E-2"/>
    <n v="0.03"/>
    <n v="2041.8"/>
    <n v="2048"/>
    <n v="2065.8000000000002"/>
    <m/>
    <m/>
    <n v="327.39999999999998"/>
    <n v="327.5"/>
    <n v="0"/>
  </r>
  <r>
    <x v="12"/>
    <n v="1000"/>
    <n v="327.39879999999999"/>
    <n v="3.5999999999999997E-2"/>
    <n v="322.02370000000002"/>
    <n v="328.39490000000001"/>
    <n v="331.77789999999999"/>
    <n v="3.3000000000000002E-2"/>
    <n v="2.7E-2"/>
    <n v="4.4999999999999998E-2"/>
    <n v="2041.6"/>
    <n v="2047.8"/>
    <n v="2065.6"/>
    <m/>
    <m/>
    <n v="327.39999999999998"/>
    <n v="327.5"/>
    <n v="0"/>
  </r>
  <r>
    <x v="12"/>
    <n v="1100"/>
    <n v="327.35840000000002"/>
    <n v="3.6999999999999998E-2"/>
    <n v="321.97280000000001"/>
    <n v="328.36130000000003"/>
    <n v="331.74099999999999"/>
    <n v="4.3999999999999997E-2"/>
    <n v="4.3999999999999997E-2"/>
    <n v="1.7000000000000001E-2"/>
    <n v="2041.4"/>
    <n v="2047.6"/>
    <n v="2065.6"/>
    <m/>
    <m/>
    <n v="327.39999999999998"/>
    <n v="327.5"/>
    <n v="0"/>
  </r>
  <r>
    <x v="12"/>
    <n v="1200"/>
    <n v="327.33159999999998"/>
    <n v="4.2999999999999997E-2"/>
    <n v="321.9776"/>
    <n v="328.32279999999997"/>
    <n v="331.69439999999997"/>
    <n v="4.4999999999999998E-2"/>
    <n v="3.5999999999999997E-2"/>
    <n v="4.5999999999999999E-2"/>
    <n v="2041.6"/>
    <n v="2047.6"/>
    <n v="2065.4"/>
    <m/>
    <m/>
    <n v="327.3"/>
    <n v="327.5"/>
    <n v="0"/>
  </r>
  <r>
    <x v="12"/>
    <n v="1300"/>
    <n v="327.29860000000002"/>
    <n v="3.6999999999999998E-2"/>
    <n v="321.9538"/>
    <n v="328.27640000000002"/>
    <n v="331.66550000000001"/>
    <n v="3.3000000000000002E-2"/>
    <n v="4.2000000000000003E-2"/>
    <n v="3.5000000000000003E-2"/>
    <n v="2041.4"/>
    <n v="2047.6"/>
    <n v="2065.4"/>
    <m/>
    <m/>
    <n v="327.3"/>
    <n v="327.5"/>
    <n v="0"/>
  </r>
  <r>
    <x v="12"/>
    <n v="1400"/>
    <n v="327.2681"/>
    <n v="3.5000000000000003E-2"/>
    <n v="321.9633"/>
    <n v="328.21559999999999"/>
    <n v="331.62529999999998"/>
    <n v="0.04"/>
    <n v="2.1000000000000001E-2"/>
    <n v="0.04"/>
    <n v="2041.4"/>
    <n v="2047.4"/>
    <n v="2065.4"/>
    <m/>
    <m/>
    <n v="327.3"/>
    <n v="327.5"/>
    <n v="0"/>
  </r>
  <r>
    <x v="12"/>
    <n v="1500"/>
    <n v="327.24160000000001"/>
    <n v="0.04"/>
    <n v="321.89019999999999"/>
    <n v="328.21409999999997"/>
    <n v="331.62049999999999"/>
    <n v="4.4999999999999998E-2"/>
    <n v="0.03"/>
    <n v="4.2999999999999997E-2"/>
    <n v="2041.2"/>
    <n v="2047.4"/>
    <n v="2065.1999999999998"/>
    <m/>
    <m/>
    <n v="327.2"/>
    <n v="327.5"/>
    <n v="0"/>
  </r>
  <r>
    <x v="12"/>
    <n v="1600"/>
    <n v="327.28050000000002"/>
    <n v="4.1000000000000002E-2"/>
    <n v="321.90609999999998"/>
    <n v="328.27010000000001"/>
    <n v="331.66550000000001"/>
    <n v="4.3999999999999997E-2"/>
    <n v="4.3999999999999997E-2"/>
    <n v="3.5000000000000003E-2"/>
    <n v="2041.4"/>
    <n v="2047.6"/>
    <n v="2065.6"/>
    <m/>
    <m/>
    <n v="327.3"/>
    <n v="327.5"/>
    <n v="0"/>
  </r>
  <r>
    <x v="12"/>
    <n v="1700"/>
    <n v="327.33760000000001"/>
    <n v="2.9000000000000001E-2"/>
    <n v="321.94420000000002"/>
    <n v="328.31639999999999"/>
    <n v="331.75220000000002"/>
    <n v="2.5999999999999999E-2"/>
    <n v="0.03"/>
    <n v="0.03"/>
    <n v="2041.4"/>
    <n v="2047.6"/>
    <n v="2065.6"/>
    <m/>
    <m/>
    <n v="327.3"/>
    <n v="327.5"/>
    <n v="0"/>
  </r>
  <r>
    <x v="12"/>
    <n v="1800"/>
    <n v="327.392"/>
    <n v="4.1000000000000002E-2"/>
    <n v="321.99349999999998"/>
    <n v="328.37729999999999"/>
    <n v="331.80520000000001"/>
    <n v="4.3999999999999997E-2"/>
    <n v="3.6999999999999998E-2"/>
    <n v="4.2000000000000003E-2"/>
    <n v="2041.6"/>
    <n v="2047.8"/>
    <n v="2065.8000000000002"/>
    <m/>
    <m/>
    <n v="327.39999999999998"/>
    <n v="327.5"/>
    <n v="0"/>
  </r>
  <r>
    <x v="12"/>
    <n v="1900"/>
    <n v="327.43779999999998"/>
    <n v="3.7999999999999999E-2"/>
    <n v="322.05070000000001"/>
    <n v="328.43650000000002"/>
    <n v="331.8261"/>
    <n v="3.7999999999999999E-2"/>
    <n v="4.4999999999999998E-2"/>
    <n v="2.9000000000000001E-2"/>
    <n v="2041.8"/>
    <n v="2047.8"/>
    <n v="2065.8000000000002"/>
    <m/>
    <m/>
    <n v="327.39999999999998"/>
    <n v="327.5"/>
    <n v="0"/>
  </r>
  <r>
    <x v="12"/>
    <n v="2000"/>
    <n v="327.43189999999998"/>
    <n v="3.7999999999999999E-2"/>
    <n v="322.0523"/>
    <n v="328.4237"/>
    <n v="331.81970000000001"/>
    <n v="3.9E-2"/>
    <n v="4.2000000000000003E-2"/>
    <n v="3.2000000000000001E-2"/>
    <n v="2041.6"/>
    <n v="2047.8"/>
    <n v="2065.8000000000002"/>
    <m/>
    <m/>
    <n v="327.39999999999998"/>
    <n v="327.5"/>
    <n v="0"/>
  </r>
  <r>
    <x v="12"/>
    <n v="2100"/>
    <n v="327.42759999999998"/>
    <n v="3.5999999999999997E-2"/>
    <n v="322.04910000000001"/>
    <n v="328.41570000000002"/>
    <n v="331.81810000000002"/>
    <n v="3.6999999999999998E-2"/>
    <n v="3.6999999999999998E-2"/>
    <n v="3.3000000000000002E-2"/>
    <n v="2041.6"/>
    <n v="2047.8"/>
    <n v="2065.8000000000002"/>
    <m/>
    <m/>
    <n v="327.39999999999998"/>
    <n v="327.5"/>
    <n v="0"/>
  </r>
  <r>
    <x v="12"/>
    <n v="2200"/>
    <n v="327.42500000000001"/>
    <n v="3.6999999999999998E-2"/>
    <n v="322.04590000000002"/>
    <n v="328.41570000000002"/>
    <n v="331.81330000000003"/>
    <n v="3.4000000000000002E-2"/>
    <n v="4.1000000000000002E-2"/>
    <n v="3.6999999999999998E-2"/>
    <n v="2041.6"/>
    <n v="2048"/>
    <n v="2065.8000000000002"/>
    <m/>
    <m/>
    <n v="327.39999999999998"/>
    <n v="327.5"/>
    <n v="0"/>
  </r>
  <r>
    <x v="12"/>
    <n v="2300"/>
    <n v="327.4298"/>
    <n v="3.5999999999999997E-2"/>
    <n v="322.0523"/>
    <n v="328.41730000000001"/>
    <n v="331.81970000000001"/>
    <n v="3.9E-2"/>
    <n v="3.7999999999999999E-2"/>
    <n v="3.2000000000000001E-2"/>
    <n v="2041.8"/>
    <n v="2047.8"/>
    <n v="2065.8000000000002"/>
    <m/>
    <m/>
    <n v="327.39999999999998"/>
    <n v="327.5"/>
    <n v="0"/>
  </r>
  <r>
    <x v="12"/>
    <n v="2400"/>
    <n v="327.42809999999997"/>
    <n v="3.5000000000000003E-2"/>
    <n v="322.04910000000001"/>
    <n v="328.41570000000002"/>
    <n v="331.81970000000001"/>
    <n v="3.6999999999999998E-2"/>
    <n v="3.6999999999999998E-2"/>
    <n v="3.2000000000000001E-2"/>
    <n v="2041.6"/>
    <n v="2047.8"/>
    <n v="2065.8000000000002"/>
    <m/>
    <m/>
    <n v="327.39999999999998"/>
    <n v="327.5"/>
    <n v="0"/>
  </r>
  <r>
    <x v="13"/>
    <n v="100"/>
    <n v="327.43079999999998"/>
    <n v="3.5999999999999997E-2"/>
    <n v="322.04910000000001"/>
    <n v="328.4221"/>
    <n v="331.82130000000001"/>
    <n v="3.6999999999999998E-2"/>
    <n v="4.1000000000000002E-2"/>
    <n v="0.03"/>
    <n v="2041.6"/>
    <n v="2047.8"/>
    <n v="2065.8000000000002"/>
    <m/>
    <m/>
    <n v="327.39999999999998"/>
    <n v="327.5"/>
    <n v="0"/>
  </r>
  <r>
    <x v="13"/>
    <n v="200"/>
    <n v="327.44040000000001"/>
    <n v="3.7999999999999999E-2"/>
    <n v="322.05860000000001"/>
    <n v="328.43009999999998"/>
    <n v="331.83249999999998"/>
    <n v="4.2000000000000003E-2"/>
    <n v="4.3999999999999997E-2"/>
    <n v="2.4E-2"/>
    <n v="2041.6"/>
    <n v="2048"/>
    <n v="2065.8000000000002"/>
    <m/>
    <m/>
    <n v="327.39999999999998"/>
    <n v="327.5"/>
    <n v="0"/>
  </r>
  <r>
    <x v="13"/>
    <n v="300"/>
    <n v="327.4452"/>
    <n v="3.9E-2"/>
    <n v="322.06020000000001"/>
    <n v="328.43490000000003"/>
    <n v="331.84050000000002"/>
    <n v="4.2999999999999997E-2"/>
    <n v="4.4999999999999998E-2"/>
    <n v="2.5999999999999999E-2"/>
    <n v="2041.6"/>
    <n v="2047.8"/>
    <n v="2065.8000000000002"/>
    <m/>
    <m/>
    <n v="327.39999999999998"/>
    <n v="327.5"/>
    <n v="0"/>
  </r>
  <r>
    <x v="13"/>
    <n v="400"/>
    <n v="327.45100000000002"/>
    <n v="4.1000000000000002E-2"/>
    <n v="322.06819999999999"/>
    <n v="328.43810000000002"/>
    <n v="331.84699999999998"/>
    <n v="4.4999999999999998E-2"/>
    <n v="4.4999999999999998E-2"/>
    <n v="3.3000000000000002E-2"/>
    <n v="2041.8"/>
    <n v="2048"/>
    <n v="2065.8000000000002"/>
    <m/>
    <m/>
    <n v="327.5"/>
    <n v="327.5"/>
    <n v="0"/>
  </r>
  <r>
    <x v="13"/>
    <n v="500"/>
    <n v="327.45429999999999"/>
    <n v="4.2000000000000003E-2"/>
    <n v="322.06180000000001"/>
    <n v="328.4477"/>
    <n v="331.85340000000002"/>
    <n v="4.2999999999999997E-2"/>
    <n v="4.4999999999999998E-2"/>
    <n v="3.7999999999999999E-2"/>
    <n v="2041.8"/>
    <n v="2048"/>
    <n v="2065.8000000000002"/>
    <m/>
    <m/>
    <n v="327.5"/>
    <n v="327.5"/>
    <n v="0"/>
  </r>
  <r>
    <x v="13"/>
    <n v="600"/>
    <n v="327.4708"/>
    <n v="4.2999999999999997E-2"/>
    <n v="322.09519999999998"/>
    <n v="328.45089999999999"/>
    <n v="331.86619999999999"/>
    <n v="4.1000000000000002E-2"/>
    <n v="4.4999999999999998E-2"/>
    <n v="4.3999999999999997E-2"/>
    <n v="2041.6"/>
    <n v="2047.8"/>
    <n v="2065.8000000000002"/>
    <m/>
    <m/>
    <n v="327.5"/>
    <n v="327.5"/>
    <n v="0"/>
  </r>
  <r>
    <x v="13"/>
    <n v="700"/>
    <n v="327.47770000000003"/>
    <n v="4.1000000000000002E-2"/>
    <n v="322.10469999999998"/>
    <n v="328.45569999999998"/>
    <n v="331.87270000000001"/>
    <n v="3.4000000000000002E-2"/>
    <n v="4.3999999999999997E-2"/>
    <n v="4.4999999999999998E-2"/>
    <n v="2041.6"/>
    <n v="2048"/>
    <n v="2066"/>
    <m/>
    <m/>
    <n v="327.5"/>
    <n v="327.5"/>
    <n v="0"/>
  </r>
  <r>
    <x v="13"/>
    <n v="800"/>
    <n v="327.47710000000001"/>
    <n v="0.04"/>
    <n v="322.11270000000002"/>
    <n v="328.45409999999998"/>
    <n v="331.8646"/>
    <n v="3.1E-2"/>
    <n v="4.3999999999999997E-2"/>
    <n v="4.3999999999999997E-2"/>
    <n v="2041.8"/>
    <n v="2048"/>
    <n v="2065.8000000000002"/>
    <m/>
    <m/>
    <n v="327.5"/>
    <n v="327.5"/>
    <n v="0"/>
  </r>
  <r>
    <x v="13"/>
    <n v="900"/>
    <n v="327.45580000000001"/>
    <n v="3.3000000000000002E-2"/>
    <n v="322.10469999999998"/>
    <n v="328.42689999999999"/>
    <n v="331.83569999999997"/>
    <n v="3.4000000000000002E-2"/>
    <n v="4.2999999999999997E-2"/>
    <n v="1.7000000000000001E-2"/>
    <n v="2041.8"/>
    <n v="2047.8"/>
    <n v="2065.8000000000002"/>
    <m/>
    <m/>
    <n v="327.5"/>
    <n v="327.5"/>
    <n v="0"/>
  </r>
  <r>
    <x v="13"/>
    <n v="1000"/>
    <n v="327.4409"/>
    <n v="3.9E-2"/>
    <n v="322.07139999999998"/>
    <n v="328.42689999999999"/>
    <n v="331.8245"/>
    <n v="4.4999999999999998E-2"/>
    <n v="4.2999999999999997E-2"/>
    <n v="2.5999999999999999E-2"/>
    <n v="2041.8"/>
    <n v="2047.8"/>
    <n v="2065.6"/>
    <m/>
    <m/>
    <n v="327.39999999999998"/>
    <n v="327.5"/>
    <n v="0"/>
  </r>
  <r>
    <x v="13"/>
    <n v="1100"/>
    <n v="327.4393"/>
    <n v="3.7999999999999999E-2"/>
    <n v="322.08089999999999"/>
    <n v="328.41570000000002"/>
    <n v="331.82130000000001"/>
    <n v="4.4999999999999998E-2"/>
    <n v="3.6999999999999998E-2"/>
    <n v="0.03"/>
    <n v="2041.6"/>
    <n v="2047.8"/>
    <n v="2065.6"/>
    <m/>
    <m/>
    <n v="327.39999999999998"/>
    <n v="327.5"/>
    <n v="0"/>
  </r>
  <r>
    <x v="13"/>
    <n v="1200"/>
    <n v="327.43020000000001"/>
    <n v="3.7999999999999999E-2"/>
    <n v="322.0729"/>
    <n v="328.40449999999998"/>
    <n v="331.81330000000003"/>
    <n v="4.4999999999999998E-2"/>
    <n v="3.1E-2"/>
    <n v="3.6999999999999998E-2"/>
    <n v="2041.8"/>
    <n v="2047.8"/>
    <n v="2065.6"/>
    <m/>
    <m/>
    <n v="327.39999999999998"/>
    <n v="327.5"/>
    <n v="0"/>
  </r>
  <r>
    <x v="13"/>
    <n v="1300"/>
    <n v="327.42649999999998"/>
    <n v="3.3000000000000002E-2"/>
    <n v="322.06180000000001"/>
    <n v="328.3997"/>
    <n v="331.81810000000002"/>
    <n v="4.2999999999999997E-2"/>
    <n v="1.7000000000000001E-2"/>
    <n v="3.3000000000000002E-2"/>
    <n v="2041.6"/>
    <n v="2047.8"/>
    <n v="2065.8000000000002"/>
    <m/>
    <m/>
    <n v="327.39999999999998"/>
    <n v="327.5"/>
    <n v="0"/>
  </r>
  <r>
    <x v="13"/>
    <n v="1400"/>
    <n v="327.44040000000001"/>
    <n v="3.7999999999999999E-2"/>
    <n v="322.07139999999998"/>
    <n v="328.4237"/>
    <n v="331.8261"/>
    <n v="4.4999999999999998E-2"/>
    <n v="4.2000000000000003E-2"/>
    <n v="2.3E-2"/>
    <n v="2041.8"/>
    <n v="2048"/>
    <n v="2065.8000000000002"/>
    <m/>
    <m/>
    <n v="327.39999999999998"/>
    <n v="327.5"/>
    <n v="0"/>
  </r>
  <r>
    <x v="13"/>
    <n v="1500"/>
    <n v="327.43610000000001"/>
    <n v="3.6999999999999998E-2"/>
    <n v="322.06020000000001"/>
    <n v="328.4221"/>
    <n v="331.8261"/>
    <n v="4.2999999999999997E-2"/>
    <n v="4.1000000000000002E-2"/>
    <n v="2.3E-2"/>
    <n v="2041.6"/>
    <n v="2048"/>
    <n v="2065.8000000000002"/>
    <m/>
    <m/>
    <n v="327.39999999999998"/>
    <n v="327.5"/>
    <n v="0"/>
  </r>
  <r>
    <x v="13"/>
    <n v="1600"/>
    <n v="327.42079999999999"/>
    <n v="3.6999999999999998E-2"/>
    <n v="321.99829999999997"/>
    <n v="328.42689999999999"/>
    <n v="331.83730000000003"/>
    <n v="4.2999999999999997E-2"/>
    <n v="4.2999999999999997E-2"/>
    <n v="0.02"/>
    <n v="2041.6"/>
    <n v="2048"/>
    <n v="2065.8000000000002"/>
    <m/>
    <m/>
    <n v="327.39999999999998"/>
    <n v="327.5"/>
    <n v="0"/>
  </r>
  <r>
    <x v="13"/>
    <n v="1700"/>
    <n v="327.39490000000001"/>
    <n v="3.9E-2"/>
    <n v="321.91399999999999"/>
    <n v="328.4205"/>
    <n v="331.85019999999997"/>
    <n v="4.1000000000000002E-2"/>
    <n v="0.04"/>
    <n v="3.5999999999999997E-2"/>
    <n v="2041.2"/>
    <n v="2047.8"/>
    <n v="2065.8000000000002"/>
    <m/>
    <m/>
    <n v="327.39999999999998"/>
    <n v="327.5"/>
    <n v="0"/>
  </r>
  <r>
    <x v="13"/>
    <n v="1800"/>
    <n v="327.46710000000002"/>
    <n v="4.4999999999999998E-2"/>
    <n v="322.084"/>
    <n v="328.44290000000001"/>
    <n v="331.87430000000001"/>
    <n v="4.3999999999999997E-2"/>
    <n v="4.5999999999999999E-2"/>
    <n v="4.5999999999999999E-2"/>
    <n v="2041.8"/>
    <n v="2047.8"/>
    <n v="2066"/>
    <m/>
    <m/>
    <n v="327.5"/>
    <n v="327.5"/>
    <n v="0"/>
  </r>
  <r>
    <x v="13"/>
    <n v="1900"/>
    <n v="327.48250000000002"/>
    <n v="4.2000000000000003E-2"/>
    <n v="322.09840000000003"/>
    <n v="328.45249999999999"/>
    <n v="331.89670000000001"/>
    <n v="3.9E-2"/>
    <n v="4.3999999999999997E-2"/>
    <n v="4.2000000000000003E-2"/>
    <n v="2041.6"/>
    <n v="2048"/>
    <n v="2066"/>
    <m/>
    <m/>
    <n v="327.5"/>
    <n v="327.5"/>
    <n v="0"/>
  </r>
  <r>
    <x v="13"/>
    <n v="2000"/>
    <n v="327.53399999999999"/>
    <n v="2.8000000000000001E-2"/>
    <n v="322.20960000000002"/>
    <n v="328.48129999999998"/>
    <n v="331.91120000000001"/>
    <n v="2.7E-2"/>
    <n v="2.3E-2"/>
    <n v="3.2000000000000001E-2"/>
    <n v="2042"/>
    <n v="2048"/>
    <n v="2065.8000000000002"/>
    <m/>
    <m/>
    <n v="327.5"/>
    <n v="327.5"/>
    <n v="0"/>
  </r>
  <r>
    <x v="13"/>
    <n v="2100"/>
    <n v="327.49"/>
    <n v="3.5000000000000003E-2"/>
    <n v="322.10309999999998"/>
    <n v="328.44290000000001"/>
    <n v="331.92399999999998"/>
    <n v="3.5999999999999997E-2"/>
    <n v="4.5999999999999999E-2"/>
    <n v="1.7000000000000001E-2"/>
    <n v="2041.6"/>
    <n v="2047.8"/>
    <n v="2066"/>
    <m/>
    <m/>
    <n v="327.5"/>
    <n v="327.5"/>
    <n v="0"/>
  </r>
  <r>
    <x v="13"/>
    <n v="2200"/>
    <n v="327.56909999999999"/>
    <n v="3.9E-2"/>
    <n v="322.2604"/>
    <n v="328.50209999999998"/>
    <n v="331.94490000000002"/>
    <n v="4.4999999999999998E-2"/>
    <n v="3.3000000000000002E-2"/>
    <n v="3.7999999999999999E-2"/>
    <n v="2042.2"/>
    <n v="2048"/>
    <n v="2066"/>
    <m/>
    <m/>
    <n v="327.60000000000002"/>
    <n v="327.60000000000002"/>
    <n v="0.10000000000002274"/>
  </r>
  <r>
    <x v="13"/>
    <n v="2300"/>
    <n v="327.59500000000003"/>
    <n v="3.9E-2"/>
    <n v="322.34379999999999"/>
    <n v="328.48610000000002"/>
    <n v="331.95510000000002"/>
    <n v="4.4999999999999998E-2"/>
    <n v="2.7E-2"/>
    <n v="4.2999999999999997E-2"/>
    <n v="2042.2"/>
    <n v="2048"/>
    <n v="2066"/>
    <m/>
    <m/>
    <n v="327.60000000000002"/>
    <n v="327.60000000000002"/>
    <n v="0"/>
  </r>
  <r>
    <x v="13"/>
    <n v="2400"/>
    <n v="327.61840000000001"/>
    <n v="3.5000000000000003E-2"/>
    <n v="322.40339999999998"/>
    <n v="328.50689999999997"/>
    <n v="331.94490000000002"/>
    <n v="0.03"/>
    <n v="3.6999999999999998E-2"/>
    <n v="3.7999999999999999E-2"/>
    <n v="2042.4"/>
    <n v="2048"/>
    <n v="2066"/>
    <m/>
    <m/>
    <n v="327.60000000000002"/>
    <n v="327.60000000000002"/>
    <n v="0"/>
  </r>
  <r>
    <x v="14"/>
    <n v="100"/>
    <n v="327.62630000000001"/>
    <n v="3.7999999999999999E-2"/>
    <n v="322.43759999999997"/>
    <n v="328.50069999999999"/>
    <n v="331.94040000000001"/>
    <n v="4.4999999999999998E-2"/>
    <n v="3.2000000000000001E-2"/>
    <n v="3.5000000000000003E-2"/>
    <n v="2042.4"/>
    <n v="2048.1999999999998"/>
    <n v="2066"/>
    <m/>
    <m/>
    <n v="327.60000000000002"/>
    <n v="327.60000000000002"/>
    <n v="0"/>
  </r>
  <r>
    <x v="14"/>
    <n v="200"/>
    <n v="327.63209999999998"/>
    <n v="3.1E-2"/>
    <n v="322.46510000000001"/>
    <n v="328.4991"/>
    <n v="331.93220000000002"/>
    <n v="3.5999999999999997E-2"/>
    <n v="0.03"/>
    <n v="2.5999999999999999E-2"/>
    <n v="2042.6"/>
    <n v="2048"/>
    <n v="2066"/>
    <m/>
    <m/>
    <n v="327.60000000000002"/>
    <n v="327.60000000000002"/>
    <n v="0"/>
  </r>
  <r>
    <x v="14"/>
    <n v="300"/>
    <n v="327.62830000000002"/>
    <n v="2.9000000000000001E-2"/>
    <n v="322.47969999999998"/>
    <n v="328.47629999999998"/>
    <n v="331.9289"/>
    <n v="2.9000000000000001E-2"/>
    <n v="3.5000000000000003E-2"/>
    <n v="2.1000000000000001E-2"/>
    <n v="2042.6"/>
    <n v="2047.8"/>
    <n v="2066"/>
    <m/>
    <m/>
    <n v="327.60000000000002"/>
    <n v="327.60000000000002"/>
    <n v="0"/>
  </r>
  <r>
    <x v="14"/>
    <n v="400"/>
    <n v="327.62150000000003"/>
    <n v="3.2000000000000001E-2"/>
    <n v="322.45589999999999"/>
    <n v="328.47969999999998"/>
    <n v="331.92880000000002"/>
    <n v="4.1000000000000002E-2"/>
    <n v="3.1E-2"/>
    <n v="0.02"/>
    <n v="2042.6"/>
    <n v="2048"/>
    <n v="2066"/>
    <m/>
    <m/>
    <n v="327.60000000000002"/>
    <n v="327.60000000000002"/>
    <n v="0"/>
  </r>
  <r>
    <x v="14"/>
    <n v="500"/>
    <n v="327.62279999999998"/>
    <n v="3.5999999999999997E-2"/>
    <n v="322.52179999999998"/>
    <n v="328.41770000000002"/>
    <n v="331.9289"/>
    <n v="4.4999999999999998E-2"/>
    <n v="3.9E-2"/>
    <n v="2.1000000000000001E-2"/>
    <n v="2042.6"/>
    <n v="2048"/>
    <n v="2066"/>
    <m/>
    <m/>
    <n v="327.60000000000002"/>
    <n v="327.60000000000002"/>
    <n v="0"/>
  </r>
  <r>
    <x v="14"/>
    <n v="600"/>
    <n v="327.66930000000002"/>
    <n v="2.9000000000000001E-2"/>
    <n v="322.58330000000001"/>
    <n v="328.50560000000002"/>
    <n v="331.91910000000001"/>
    <n v="2.8000000000000001E-2"/>
    <n v="3.5999999999999997E-2"/>
    <n v="2.1000000000000001E-2"/>
    <n v="2042.8"/>
    <n v="2048"/>
    <n v="2065.8000000000002"/>
    <m/>
    <m/>
    <n v="327.7"/>
    <n v="327.7"/>
    <n v="9.9999999999965894E-2"/>
  </r>
  <r>
    <x v="14"/>
    <n v="700"/>
    <n v="327.65750000000003"/>
    <n v="2.5999999999999999E-2"/>
    <n v="322.57830000000001"/>
    <n v="328.48450000000003"/>
    <n v="331.90960000000001"/>
    <n v="0.02"/>
    <n v="2.4E-2"/>
    <n v="3.3000000000000002E-2"/>
    <n v="2042.8"/>
    <n v="2048"/>
    <n v="2066"/>
    <m/>
    <m/>
    <n v="327.7"/>
    <n v="327.7"/>
    <n v="0"/>
  </r>
  <r>
    <x v="14"/>
    <n v="800"/>
    <n v="327.62220000000002"/>
    <n v="3.7999999999999999E-2"/>
    <n v="322.59100000000001"/>
    <n v="328.42849999999999"/>
    <n v="331.84699999999998"/>
    <n v="3.5999999999999997E-2"/>
    <n v="4.3999999999999997E-2"/>
    <n v="3.3000000000000002E-2"/>
    <n v="2042.8"/>
    <n v="2047.8"/>
    <n v="2065.8000000000002"/>
    <m/>
    <m/>
    <n v="327.60000000000002"/>
    <n v="327.7"/>
    <n v="0"/>
  </r>
  <r>
    <x v="14"/>
    <n v="900"/>
    <n v="327.55619999999999"/>
    <n v="3.1E-2"/>
    <n v="322.48610000000002"/>
    <n v="328.3981"/>
    <n v="331.78440000000001"/>
    <n v="1.7000000000000001E-2"/>
    <n v="2.1000000000000001E-2"/>
    <n v="4.5999999999999999E-2"/>
    <n v="2042.6"/>
    <n v="2047.8"/>
    <n v="2065.8000000000002"/>
    <m/>
    <m/>
    <n v="327.60000000000002"/>
    <n v="327.7"/>
    <n v="0"/>
  </r>
  <r>
    <x v="14"/>
    <n v="1000"/>
    <n v="327.5018"/>
    <n v="0.04"/>
    <n v="322.4162"/>
    <n v="328.36930000000001"/>
    <n v="331.7201"/>
    <n v="0.04"/>
    <n v="4.2000000000000003E-2"/>
    <n v="3.7999999999999999E-2"/>
    <n v="2042.4"/>
    <n v="2047.6"/>
    <n v="2065.6"/>
    <m/>
    <m/>
    <n v="327.5"/>
    <n v="327.7"/>
    <n v="0"/>
  </r>
  <r>
    <x v="14"/>
    <n v="1100"/>
    <n v="327.44490000000002"/>
    <n v="3.9E-2"/>
    <n v="322.34620000000001"/>
    <n v="328.3116"/>
    <n v="331.67669999999998"/>
    <n v="4.4999999999999998E-2"/>
    <n v="2.9000000000000001E-2"/>
    <n v="4.2000000000000003E-2"/>
    <n v="2042.2"/>
    <n v="2047.6"/>
    <n v="2065.4"/>
    <m/>
    <m/>
    <n v="327.39999999999998"/>
    <n v="327.7"/>
    <n v="0"/>
  </r>
  <r>
    <x v="14"/>
    <n v="1200"/>
    <n v="327.40550000000002"/>
    <n v="3.5999999999999997E-2"/>
    <n v="322.26519999999999"/>
    <n v="328.29079999999999"/>
    <n v="331.66070000000002"/>
    <n v="4.3999999999999997E-2"/>
    <n v="3.3000000000000002E-2"/>
    <n v="0.03"/>
    <n v="2042"/>
    <n v="2047.4"/>
    <n v="2065.4"/>
    <m/>
    <m/>
    <n v="327.39999999999998"/>
    <n v="327.7"/>
    <n v="0"/>
  </r>
  <r>
    <x v="14"/>
    <n v="1300"/>
    <n v="327.46260000000001"/>
    <n v="3.7999999999999999E-2"/>
    <n v="322.31119999999999"/>
    <n v="328.3501"/>
    <n v="331.72649999999999"/>
    <n v="3.3000000000000002E-2"/>
    <n v="4.5999999999999999E-2"/>
    <n v="3.3000000000000002E-2"/>
    <n v="2042.2"/>
    <n v="2047.6"/>
    <n v="2065.6"/>
    <m/>
    <m/>
    <n v="327.5"/>
    <n v="327.7"/>
    <n v="0"/>
  </r>
  <r>
    <x v="14"/>
    <n v="1400"/>
    <n v="327.88799999999998"/>
    <n v="4.4999999999999998E-2"/>
    <n v="322.71339999999998"/>
    <n v="328.78710000000001"/>
    <n v="332.16340000000002"/>
    <n v="4.4999999999999998E-2"/>
    <n v="4.3999999999999997E-2"/>
    <n v="4.4999999999999998E-2"/>
    <n v="2043.2"/>
    <n v="2048.8000000000002"/>
    <n v="2066.6"/>
    <m/>
    <m/>
    <n v="327.9"/>
    <n v="327.9"/>
    <n v="0.19999999999998863"/>
  </r>
  <r>
    <x v="14"/>
    <n v="1500"/>
    <n v="328.74779999999998"/>
    <n v="3.9E-2"/>
    <n v="323.53429999999997"/>
    <n v="329.66180000000003"/>
    <n v="333.04719999999998"/>
    <n v="4.3999999999999997E-2"/>
    <n v="3.2000000000000001E-2"/>
    <n v="0.04"/>
    <n v="2045"/>
    <n v="2050.6"/>
    <n v="2068.6"/>
    <m/>
    <m/>
    <n v="328.7"/>
    <n v="328.7"/>
    <n v="0.80000000000001137"/>
  </r>
  <r>
    <x v="14"/>
    <n v="1600"/>
    <n v="329.21420000000001"/>
    <n v="3.4000000000000002E-2"/>
    <n v="324.00549999999998"/>
    <n v="330.13959999999997"/>
    <n v="333.49759999999998"/>
    <n v="3.6999999999999998E-2"/>
    <n v="3.1E-2"/>
    <n v="3.5000000000000003E-2"/>
    <n v="2046"/>
    <n v="2051.6"/>
    <n v="2069.6"/>
    <m/>
    <m/>
    <n v="329.2"/>
    <n v="329.2"/>
    <n v="0.5"/>
  </r>
  <r>
    <x v="14"/>
    <n v="1700"/>
    <n v="330.26510000000002"/>
    <n v="0.06"/>
    <n v="325.01080000000002"/>
    <n v="331.19380000000001"/>
    <n v="334.59059999999999"/>
    <n v="5.8000000000000003E-2"/>
    <n v="6.0999999999999999E-2"/>
    <n v="0.06"/>
    <n v="2048.1999999999998"/>
    <n v="2054.1999999999998"/>
    <n v="2072"/>
    <m/>
    <m/>
    <n v="330.3"/>
    <n v="330.3"/>
    <n v="1.1000000000000227"/>
  </r>
  <r>
    <x v="14"/>
    <n v="1800"/>
    <n v="332.40199999999999"/>
    <n v="5.0999999999999997E-2"/>
    <n v="327.16419999999999"/>
    <n v="333.34179999999998"/>
    <n v="336.7"/>
    <n v="5.0999999999999997E-2"/>
    <n v="0.05"/>
    <n v="5.1999999999999998E-2"/>
    <n v="2053.1999999999998"/>
    <n v="2058.8000000000002"/>
    <n v="2076.6"/>
    <m/>
    <m/>
    <n v="332.4"/>
    <n v="332.4"/>
    <n v="2.0999999999999659"/>
  </r>
  <r>
    <x v="14"/>
    <n v="1900"/>
    <n v="333.56180000000001"/>
    <n v="4.5999999999999999E-2"/>
    <n v="328.31889999999999"/>
    <n v="334.50630000000001"/>
    <n v="337.86020000000002"/>
    <n v="4.2999999999999997E-2"/>
    <n v="0.05"/>
    <n v="4.3999999999999997E-2"/>
    <n v="2055.6"/>
    <n v="2061.4"/>
    <n v="2079"/>
    <m/>
    <m/>
    <n v="333.6"/>
    <n v="333.6"/>
    <n v="1.2000000000000455"/>
  </r>
  <r>
    <x v="14"/>
    <n v="2000"/>
    <n v="334.64089999999999"/>
    <n v="4.7E-2"/>
    <n v="329.4015"/>
    <n v="335.60469999999998"/>
    <n v="338.91660000000002"/>
    <n v="4.7E-2"/>
    <n v="4.5999999999999999E-2"/>
    <n v="4.7E-2"/>
    <n v="2057.8000000000002"/>
    <n v="2063.6"/>
    <n v="2081.4"/>
    <m/>
    <m/>
    <n v="334.6"/>
    <n v="334.6"/>
    <n v="1"/>
  </r>
  <r>
    <x v="14"/>
    <n v="2100"/>
    <n v="335.32400000000001"/>
    <n v="4.3999999999999997E-2"/>
    <n v="330.07459999999998"/>
    <n v="336.29899999999998"/>
    <n v="339.59840000000003"/>
    <n v="4.4999999999999998E-2"/>
    <n v="4.2000000000000003E-2"/>
    <n v="4.5999999999999999E-2"/>
    <n v="2059.1999999999998"/>
    <n v="2065.1999999999998"/>
    <n v="2082.8000000000002"/>
    <m/>
    <m/>
    <n v="335.3"/>
    <n v="335.3"/>
    <n v="0.69999999999998863"/>
  </r>
  <r>
    <x v="14"/>
    <n v="2200"/>
    <n v="335.8075"/>
    <n v="4.2999999999999997E-2"/>
    <n v="330.55590000000001"/>
    <n v="336.78359999999998"/>
    <n v="340.08300000000003"/>
    <n v="4.2000000000000003E-2"/>
    <n v="4.5999999999999999E-2"/>
    <n v="4.2000000000000003E-2"/>
    <n v="2060.4"/>
    <n v="2066.1999999999998"/>
    <n v="2083.8000000000002"/>
    <m/>
    <m/>
    <n v="335.8"/>
    <n v="335.8"/>
    <n v="0.5"/>
  </r>
  <r>
    <x v="14"/>
    <n v="2300"/>
    <n v="336.6078"/>
    <n v="4.2000000000000003E-2"/>
    <n v="331.35059999999999"/>
    <n v="337.5872"/>
    <n v="340.88569999999999"/>
    <n v="4.3999999999999997E-2"/>
    <n v="3.7999999999999999E-2"/>
    <n v="4.4999999999999998E-2"/>
    <n v="2062.1999999999998"/>
    <n v="2068"/>
    <n v="2085.6"/>
    <m/>
    <m/>
    <n v="336.6"/>
    <n v="336.6"/>
    <n v="0.80000000000001137"/>
  </r>
  <r>
    <x v="14"/>
    <n v="2400"/>
    <n v="337.54419999999999"/>
    <n v="4.7E-2"/>
    <n v="332.27440000000001"/>
    <n v="338.5308"/>
    <n v="341.8272"/>
    <n v="4.5999999999999999E-2"/>
    <n v="4.5999999999999999E-2"/>
    <n v="4.9000000000000002E-2"/>
    <n v="2064.1999999999998"/>
    <n v="2070"/>
    <n v="2087.8000000000002"/>
    <m/>
    <m/>
    <n v="337.5"/>
    <n v="337.5"/>
    <n v="0.89999999999997726"/>
  </r>
  <r>
    <x v="15"/>
    <n v="100"/>
    <n v="338.51710000000003"/>
    <n v="4.2000000000000003E-2"/>
    <n v="333.24279999999999"/>
    <n v="339.50450000000001"/>
    <n v="342.8039"/>
    <n v="0.04"/>
    <n v="4.3999999999999997E-2"/>
    <n v="4.2999999999999997E-2"/>
    <n v="2066.4"/>
    <n v="2072.1999999999998"/>
    <n v="2089.8000000000002"/>
    <m/>
    <m/>
    <n v="338.5"/>
    <n v="338.5"/>
    <n v="1"/>
  </r>
  <r>
    <x v="15"/>
    <n v="200"/>
    <n v="339.50459999999998"/>
    <n v="4.2000000000000003E-2"/>
    <n v="334.22030000000001"/>
    <n v="340.49560000000002"/>
    <n v="343.79790000000003"/>
    <n v="4.2999999999999997E-2"/>
    <n v="4.2000000000000003E-2"/>
    <n v="4.2000000000000003E-2"/>
    <n v="2068.4"/>
    <n v="2074.1999999999998"/>
    <n v="2092"/>
    <m/>
    <m/>
    <n v="339.5"/>
    <n v="339.5"/>
    <n v="1"/>
  </r>
  <r>
    <x v="15"/>
    <n v="300"/>
    <n v="340.78160000000003"/>
    <n v="5.1999999999999998E-2"/>
    <n v="335.4846"/>
    <n v="341.78030000000001"/>
    <n v="345.07979999999998"/>
    <n v="4.9000000000000002E-2"/>
    <n v="5.1999999999999998E-2"/>
    <n v="5.3999999999999999E-2"/>
    <n v="2071.1999999999998"/>
    <n v="2077"/>
    <n v="2094.8000000000002"/>
    <m/>
    <m/>
    <n v="340.8"/>
    <n v="340.8"/>
    <n v="1.3000000000000114"/>
  </r>
  <r>
    <x v="15"/>
    <n v="400"/>
    <n v="342.76389999999998"/>
    <n v="5.6000000000000001E-2"/>
    <n v="337.44560000000001"/>
    <n v="343.77850000000001"/>
    <n v="347.0675"/>
    <n v="5.3999999999999999E-2"/>
    <n v="5.8000000000000003E-2"/>
    <n v="5.6000000000000001E-2"/>
    <n v="2075.4"/>
    <n v="2081.4"/>
    <n v="2099"/>
    <m/>
    <m/>
    <n v="342.8"/>
    <n v="342.8"/>
    <n v="2"/>
  </r>
  <r>
    <x v="15"/>
    <n v="500"/>
    <n v="344.85449999999997"/>
    <n v="8.1000000000000003E-2"/>
    <n v="339.51170000000002"/>
    <n v="345.89550000000003"/>
    <n v="349.15620000000001"/>
    <n v="7.9000000000000001E-2"/>
    <n v="8.3000000000000004E-2"/>
    <n v="0.08"/>
    <n v="2080.1999999999998"/>
    <n v="2086"/>
    <n v="2103.6"/>
    <m/>
    <m/>
    <n v="344.9"/>
    <n v="344.9"/>
    <n v="2.0999999999999659"/>
  </r>
  <r>
    <x v="15"/>
    <n v="600"/>
    <n v="347.99639999999999"/>
    <n v="0.08"/>
    <n v="342.86380000000003"/>
    <n v="348.87389999999999"/>
    <n v="352.2516"/>
    <n v="7.3999999999999996E-2"/>
    <n v="8.3000000000000004E-2"/>
    <n v="8.4000000000000005E-2"/>
    <n v="2087.4"/>
    <n v="2092.4"/>
    <n v="2110.1999999999998"/>
    <m/>
    <m/>
    <n v="348"/>
    <n v="348"/>
    <n v="3.1000000000000227"/>
  </r>
  <r>
    <x v="15"/>
    <n v="700"/>
    <n v="350.90839999999997"/>
    <n v="8.1000000000000003E-2"/>
    <n v="345.69959999999998"/>
    <n v="351.82619999999997"/>
    <n v="355.19929999999999"/>
    <n v="7.8E-2"/>
    <n v="8.4000000000000005E-2"/>
    <n v="0.08"/>
    <n v="2093.4"/>
    <n v="2098.6"/>
    <n v="2116.6"/>
    <m/>
    <m/>
    <n v="350.9"/>
    <n v="350.9"/>
    <n v="2.8999999999999773"/>
  </r>
  <r>
    <x v="15"/>
    <n v="800"/>
    <n v="354.10899999999998"/>
    <n v="7.5999999999999998E-2"/>
    <n v="348.8784"/>
    <n v="355.05369999999999"/>
    <n v="358.39479999999998"/>
    <n v="7.2999999999999995E-2"/>
    <n v="7.8E-2"/>
    <n v="7.5999999999999998E-2"/>
    <n v="2100.1999999999998"/>
    <n v="2105.6"/>
    <n v="2123.1999999999998"/>
    <m/>
    <m/>
    <n v="354.1"/>
    <n v="354.1"/>
    <n v="3.2000000000000455"/>
  </r>
  <r>
    <x v="15"/>
    <n v="900"/>
    <n v="357.50060000000002"/>
    <n v="8.4000000000000005E-2"/>
    <n v="352.23939999999999"/>
    <n v="358.47160000000002"/>
    <n v="361.79059999999998"/>
    <n v="8.2000000000000003E-2"/>
    <n v="8.5999999999999993E-2"/>
    <n v="8.3000000000000004E-2"/>
    <n v="2107.4"/>
    <n v="2113"/>
    <n v="2130.4"/>
    <m/>
    <m/>
    <n v="357.5"/>
    <n v="357.5"/>
    <n v="3.3999999999999773"/>
  </r>
  <r>
    <x v="15"/>
    <n v="1000"/>
    <n v="359.99130000000002"/>
    <n v="7.0000000000000007E-2"/>
    <n v="354.71069999999997"/>
    <n v="360.98860000000002"/>
    <n v="364.27460000000002"/>
    <n v="7.0000000000000007E-2"/>
    <n v="6.9000000000000006E-2"/>
    <n v="7.0000000000000007E-2"/>
    <n v="2112.6"/>
    <n v="2118.1999999999998"/>
    <n v="2135.8000000000002"/>
    <m/>
    <m/>
    <n v="360"/>
    <n v="360"/>
    <n v="2.5"/>
  </r>
  <r>
    <x v="15"/>
    <n v="1100"/>
    <n v="362.7022"/>
    <n v="6.4000000000000001E-2"/>
    <n v="357.39030000000002"/>
    <n v="363.73399999999998"/>
    <n v="366.98230000000001"/>
    <n v="6.6000000000000003E-2"/>
    <n v="6.2E-2"/>
    <n v="6.4000000000000001E-2"/>
    <n v="2118.4"/>
    <n v="2123.8000000000002"/>
    <n v="2141.4"/>
    <m/>
    <m/>
    <n v="362.7"/>
    <n v="362.7"/>
    <n v="2.6999999999999886"/>
  </r>
  <r>
    <x v="15"/>
    <n v="1200"/>
    <n v="364.99310000000003"/>
    <n v="4.1000000000000002E-2"/>
    <n v="359.66160000000002"/>
    <n v="366.05669999999998"/>
    <n v="369.26089999999999"/>
    <n v="4.1000000000000002E-2"/>
    <n v="3.4000000000000002E-2"/>
    <n v="4.7E-2"/>
    <n v="2123"/>
    <n v="2128.6"/>
    <n v="2146"/>
    <m/>
    <m/>
    <n v="365"/>
    <n v="365"/>
    <n v="2.3000000000000114"/>
  </r>
  <r>
    <x v="15"/>
    <n v="1300"/>
    <n v="365.85969999999998"/>
    <n v="3.6999999999999998E-2"/>
    <n v="360.524"/>
    <n v="366.91680000000002"/>
    <n v="370.13830000000002"/>
    <n v="3.1E-2"/>
    <n v="3.3000000000000002E-2"/>
    <n v="4.5999999999999999E-2"/>
    <n v="2124.8000000000002"/>
    <n v="2130.4"/>
    <n v="2147.8000000000002"/>
    <m/>
    <m/>
    <n v="365.9"/>
    <n v="365.9"/>
    <n v="0.89999999999997726"/>
  </r>
  <r>
    <x v="15"/>
    <n v="1400"/>
    <n v="366.02659999999997"/>
    <n v="4.2000000000000003E-2"/>
    <n v="360.69150000000002"/>
    <n v="367.08069999999998"/>
    <n v="370.3075"/>
    <n v="4.4999999999999998E-2"/>
    <n v="3.3000000000000002E-2"/>
    <n v="4.7E-2"/>
    <n v="2125.1999999999998"/>
    <n v="2130.8000000000002"/>
    <n v="2148"/>
    <m/>
    <m/>
    <n v="366"/>
    <n v="366"/>
    <n v="0.10000000000002274"/>
  </r>
  <r>
    <x v="15"/>
    <n v="1500"/>
    <n v="366.06490000000002"/>
    <n v="3.6999999999999998E-2"/>
    <n v="360.733"/>
    <n v="367.12079999999997"/>
    <n v="370.34100000000001"/>
    <n v="2.7E-2"/>
    <n v="4.2999999999999997E-2"/>
    <n v="0.04"/>
    <n v="2125.1999999999998"/>
    <n v="2131"/>
    <n v="2148.1999999999998"/>
    <m/>
    <m/>
    <n v="366.1"/>
    <n v="366.1"/>
    <n v="0.10000000000002274"/>
  </r>
  <r>
    <x v="15"/>
    <n v="1600"/>
    <n v="366.08550000000002"/>
    <n v="0.04"/>
    <n v="360.75779999999997"/>
    <n v="367.14080000000001"/>
    <n v="370.3578"/>
    <n v="4.4999999999999998E-2"/>
    <n v="4.8000000000000001E-2"/>
    <n v="2.1000000000000001E-2"/>
    <n v="2125.1999999999998"/>
    <n v="2130.8000000000002"/>
    <n v="2148.1999999999998"/>
    <m/>
    <m/>
    <n v="366.1"/>
    <n v="366.1"/>
    <n v="0"/>
  </r>
  <r>
    <x v="15"/>
    <n v="1700"/>
    <n v="366.07549999999998"/>
    <n v="4.2999999999999997E-2"/>
    <n v="360.74619999999999"/>
    <n v="367.13920000000002"/>
    <n v="370.34100000000001"/>
    <n v="0.04"/>
    <n v="4.8000000000000001E-2"/>
    <n v="0.04"/>
    <n v="2125.1999999999998"/>
    <n v="2130.8000000000002"/>
    <n v="2148.1999999999998"/>
    <m/>
    <m/>
    <n v="366.1"/>
    <n v="366.1"/>
    <n v="0"/>
  </r>
  <r>
    <x v="15"/>
    <n v="1800"/>
    <n v="366.08440000000002"/>
    <n v="0.04"/>
    <n v="360.74619999999999"/>
    <n v="367.1626"/>
    <n v="370.34440000000001"/>
    <n v="0.04"/>
    <n v="4.2999999999999997E-2"/>
    <n v="3.7999999999999999E-2"/>
    <n v="2125.1999999999998"/>
    <n v="2131"/>
    <n v="2148"/>
    <m/>
    <m/>
    <n v="366.1"/>
    <n v="366.1"/>
    <n v="0"/>
  </r>
  <r>
    <x v="15"/>
    <n v="1900"/>
    <n v="366.1"/>
    <n v="3.3000000000000002E-2"/>
    <n v="360.75450000000001"/>
    <n v="367.1859"/>
    <n v="370.35950000000003"/>
    <n v="4.3999999999999997E-2"/>
    <n v="2.5000000000000001E-2"/>
    <n v="2.5000000000000001E-2"/>
    <n v="2125.1999999999998"/>
    <n v="2131"/>
    <n v="2148.1999999999998"/>
    <m/>
    <m/>
    <n v="366.1"/>
    <n v="366.1"/>
    <n v="0"/>
  </r>
  <r>
    <x v="15"/>
    <n v="2000"/>
    <n v="366.14729999999997"/>
    <n v="4.3999999999999997E-2"/>
    <n v="360.79930000000002"/>
    <n v="367.24439999999998"/>
    <n v="370.39800000000002"/>
    <n v="3.9E-2"/>
    <n v="4.7E-2"/>
    <n v="4.5999999999999999E-2"/>
    <n v="2125.4"/>
    <n v="2131"/>
    <n v="2148.4"/>
    <m/>
    <m/>
    <n v="366.1"/>
    <n v="366.1"/>
    <n v="0"/>
  </r>
  <r>
    <x v="15"/>
    <n v="2100"/>
    <n v="366.35149999999999"/>
    <n v="0.04"/>
    <n v="360.99189999999999"/>
    <n v="367.46179999999998"/>
    <n v="370.60090000000002"/>
    <n v="3.5999999999999997E-2"/>
    <n v="3.3000000000000002E-2"/>
    <n v="4.8000000000000001E-2"/>
    <n v="2125.8000000000002"/>
    <n v="2131.6"/>
    <n v="2148.6"/>
    <m/>
    <m/>
    <n v="366.4"/>
    <n v="366.4"/>
    <n v="0.29999999999995453"/>
  </r>
  <r>
    <x v="15"/>
    <n v="2200"/>
    <n v="366.73329999999999"/>
    <n v="0.04"/>
    <n v="361.38209999999998"/>
    <n v="367.8347"/>
    <n v="370.98309999999998"/>
    <n v="2.8000000000000001E-2"/>
    <n v="0.04"/>
    <n v="4.8000000000000001E-2"/>
    <n v="2126.6"/>
    <n v="2132.4"/>
    <n v="2149.6"/>
    <m/>
    <m/>
    <n v="366.7"/>
    <n v="366.7"/>
    <n v="0.30000000000001137"/>
  </r>
  <r>
    <x v="15"/>
    <n v="2300"/>
    <n v="366.7439"/>
    <n v="4.1000000000000002E-2"/>
    <n v="361.39210000000003"/>
    <n v="367.84469999999999"/>
    <n v="370.9948"/>
    <n v="2.8000000000000001E-2"/>
    <n v="4.3999999999999997E-2"/>
    <n v="4.7E-2"/>
    <n v="2126.6"/>
    <n v="2132.4"/>
    <n v="2149.4"/>
    <m/>
    <m/>
    <n v="366.7"/>
    <n v="366.7"/>
    <n v="0"/>
  </r>
  <r>
    <x v="15"/>
    <n v="2400"/>
    <n v="366.73489999999998"/>
    <n v="4.9000000000000002E-2"/>
    <n v="361.40870000000001"/>
    <n v="367.81799999999998"/>
    <n v="370.97800000000001"/>
    <n v="4.3999999999999997E-2"/>
    <n v="4.7E-2"/>
    <n v="5.3999999999999999E-2"/>
    <n v="2126.6"/>
    <n v="2132.4"/>
    <n v="2149.4"/>
    <m/>
    <m/>
    <n v="366.7"/>
    <n v="366.7"/>
    <n v="0"/>
  </r>
  <r>
    <x v="16"/>
    <n v="100"/>
    <n v="366.74439999999998"/>
    <n v="4.2999999999999997E-2"/>
    <n v="361.40870000000001"/>
    <n v="367.8347"/>
    <n v="370.9898"/>
    <n v="0.04"/>
    <n v="0.04"/>
    <n v="4.8000000000000001E-2"/>
    <n v="2126.6"/>
    <n v="2132.4"/>
    <n v="2149.6"/>
    <m/>
    <m/>
    <n v="366.7"/>
    <n v="366.7"/>
    <n v="0"/>
  </r>
  <r>
    <x v="16"/>
    <n v="200"/>
    <n v="372.22329999999999"/>
    <n v="0.185"/>
    <n v="366.78469999999999"/>
    <n v="373.36419999999998"/>
    <n v="376.52109999999999"/>
    <n v="0.184"/>
    <n v="0.188"/>
    <n v="0.183"/>
    <n v="2138.6"/>
    <n v="2144.6"/>
    <n v="2161.8000000000002"/>
    <m/>
    <m/>
    <n v="372.2"/>
    <n v="372.2"/>
    <n v="5.5"/>
  </r>
  <r>
    <x v="16"/>
    <n v="300"/>
    <n v="376.25569999999999"/>
    <n v="7.6999999999999999E-2"/>
    <n v="370.75139999999999"/>
    <n v="377.4076"/>
    <n v="380.60809999999998"/>
    <n v="7.8E-2"/>
    <n v="8.3000000000000004E-2"/>
    <n v="7.0000000000000007E-2"/>
    <n v="2146.6"/>
    <n v="2152.6"/>
    <n v="2169.8000000000002"/>
    <m/>
    <m/>
    <n v="376.3"/>
    <n v="376.3"/>
    <n v="4.1000000000000227"/>
  </r>
  <r>
    <x v="16"/>
    <n v="400"/>
    <n v="377.90929999999997"/>
    <n v="5.5E-2"/>
    <n v="372.39659999999998"/>
    <n v="379.08539999999999"/>
    <n v="382.24579999999997"/>
    <n v="5.6000000000000001E-2"/>
    <n v="5.7000000000000002E-2"/>
    <n v="5.2999999999999999E-2"/>
    <n v="2150"/>
    <n v="2156"/>
    <n v="2173"/>
    <m/>
    <m/>
    <n v="377.9"/>
    <n v="377.9"/>
    <n v="1.5999999999999659"/>
  </r>
  <r>
    <x v="16"/>
    <n v="500"/>
    <n v="381.6336"/>
    <n v="4.4999999999999998E-2"/>
    <n v="376.1035"/>
    <n v="382.8098"/>
    <n v="385.98750000000001"/>
    <n v="4.2000000000000003E-2"/>
    <n v="4.8000000000000001E-2"/>
    <n v="4.5999999999999999E-2"/>
    <n v="2157.6"/>
    <n v="2163.4"/>
    <n v="2180.6"/>
    <m/>
    <m/>
    <n v="381.6"/>
    <n v="381.6"/>
    <n v="3.7000000000000455"/>
  </r>
  <r>
    <x v="16"/>
    <n v="600"/>
    <n v="381.61259999999999"/>
    <n v="4.2000000000000003E-2"/>
    <n v="376.09840000000003"/>
    <n v="382.7894"/>
    <n v="385.95"/>
    <n v="3.9E-2"/>
    <n v="4.7E-2"/>
    <n v="3.7999999999999999E-2"/>
    <n v="2157.6"/>
    <n v="2163.6"/>
    <n v="2180.6"/>
    <m/>
    <m/>
    <n v="381.6"/>
    <n v="381.6"/>
    <n v="0"/>
  </r>
  <r>
    <x v="16"/>
    <n v="700"/>
    <n v="381.6155"/>
    <n v="3.5999999999999997E-2"/>
    <n v="376.09"/>
    <n v="382.7894"/>
    <n v="385.96710000000002"/>
    <n v="3.2000000000000001E-2"/>
    <n v="4.7E-2"/>
    <n v="2.5000000000000001E-2"/>
    <n v="2157.4"/>
    <n v="2163.4"/>
    <n v="2180.6"/>
    <m/>
    <m/>
    <n v="381.6"/>
    <n v="381.6"/>
    <n v="0"/>
  </r>
  <r>
    <x v="16"/>
    <n v="800"/>
    <n v="381.63409999999999"/>
    <n v="0.04"/>
    <n v="376.12209999999999"/>
    <n v="382.82679999999999"/>
    <n v="385.95350000000002"/>
    <n v="4.8000000000000001E-2"/>
    <n v="4.1000000000000002E-2"/>
    <n v="0.03"/>
    <n v="2157.4"/>
    <n v="2163.6"/>
    <n v="2180.6"/>
    <m/>
    <m/>
    <n v="381.6"/>
    <n v="381.6"/>
    <n v="0"/>
  </r>
  <r>
    <x v="16"/>
    <n v="900"/>
    <n v="381.62450000000001"/>
    <n v="4.5999999999999999E-2"/>
    <n v="376.12040000000002"/>
    <n v="382.81490000000002"/>
    <n v="385.93810000000002"/>
    <n v="4.8000000000000001E-2"/>
    <n v="4.5999999999999999E-2"/>
    <n v="4.2999999999999997E-2"/>
    <n v="2157.4"/>
    <n v="2163.4"/>
    <n v="2180.6"/>
    <m/>
    <m/>
    <n v="381.6"/>
    <n v="381.6"/>
    <n v="0"/>
  </r>
  <r>
    <x v="16"/>
    <n v="1000"/>
    <n v="381.59789999999998"/>
    <n v="4.3999999999999997E-2"/>
    <n v="376.09679999999997"/>
    <n v="382.7792"/>
    <n v="385.91770000000002"/>
    <n v="3.7999999999999999E-2"/>
    <n v="4.3999999999999997E-2"/>
    <n v="4.9000000000000002E-2"/>
    <n v="2157.4"/>
    <n v="2163.4"/>
    <n v="2180.6"/>
    <m/>
    <m/>
    <n v="381.6"/>
    <n v="381.6"/>
    <n v="0"/>
  </r>
  <r>
    <x v="16"/>
    <n v="1100"/>
    <n v="381.5883"/>
    <n v="4.2999999999999997E-2"/>
    <n v="376.07990000000001"/>
    <n v="382.78429999999997"/>
    <n v="385.9006"/>
    <n v="3.7999999999999999E-2"/>
    <n v="4.5999999999999999E-2"/>
    <n v="4.5999999999999999E-2"/>
    <n v="2157.4"/>
    <n v="2163.4"/>
    <n v="2180.6"/>
    <m/>
    <m/>
    <n v="381.6"/>
    <n v="381.6"/>
    <n v="0"/>
  </r>
  <r>
    <x v="16"/>
    <n v="1200"/>
    <n v="381.57459999999998"/>
    <n v="3.6999999999999998E-2"/>
    <n v="376.07990000000001"/>
    <n v="382.75709999999998"/>
    <n v="385.887"/>
    <n v="3.7999999999999999E-2"/>
    <n v="3.4000000000000002E-2"/>
    <n v="0.04"/>
    <n v="2157.1999999999998"/>
    <n v="2163.4"/>
    <n v="2180.4"/>
    <m/>
    <m/>
    <n v="381.6"/>
    <n v="381.6"/>
    <n v="0"/>
  </r>
  <r>
    <x v="16"/>
    <n v="1300"/>
    <n v="382.0566"/>
    <n v="4.7E-2"/>
    <n v="376.52870000000001"/>
    <n v="383.25510000000003"/>
    <n v="386.3861"/>
    <n v="4.4999999999999998E-2"/>
    <n v="4.5999999999999999E-2"/>
    <n v="0.05"/>
    <n v="2158.4"/>
    <n v="2164.4"/>
    <n v="2181.4"/>
    <m/>
    <m/>
    <n v="382.1"/>
    <n v="382.1"/>
    <n v="0.5"/>
  </r>
  <r>
    <x v="16"/>
    <n v="1400"/>
    <n v="382.42669999999998"/>
    <n v="4.2000000000000003E-2"/>
    <n v="376.88819999999998"/>
    <n v="383.61559999999997"/>
    <n v="386.77640000000002"/>
    <n v="4.8000000000000001E-2"/>
    <n v="2.7E-2"/>
    <n v="4.7E-2"/>
    <n v="2159"/>
    <n v="2165"/>
    <n v="2182.1999999999998"/>
    <m/>
    <m/>
    <n v="382.4"/>
    <n v="382.4"/>
    <n v="0.29999999999995453"/>
  </r>
  <r>
    <x v="16"/>
    <n v="1500"/>
    <n v="382.42219999999998"/>
    <n v="4.2000000000000003E-2"/>
    <n v="376.86799999999999"/>
    <n v="383.61559999999997"/>
    <n v="386.78320000000002"/>
    <n v="3.9E-2"/>
    <n v="3.7999999999999999E-2"/>
    <n v="4.8000000000000001E-2"/>
    <n v="2159"/>
    <n v="2165.1999999999998"/>
    <n v="2182.4"/>
    <m/>
    <m/>
    <n v="382.4"/>
    <n v="382.4"/>
    <n v="0"/>
  </r>
  <r>
    <x v="16"/>
    <n v="1600"/>
    <n v="382.49130000000002"/>
    <n v="3.9E-2"/>
    <n v="376.93880000000001"/>
    <n v="383.68360000000001"/>
    <n v="386.85140000000001"/>
    <n v="3.3000000000000002E-2"/>
    <n v="4.7E-2"/>
    <n v="3.4000000000000002E-2"/>
    <n v="2159.1999999999998"/>
    <n v="2165.4"/>
    <n v="2182.4"/>
    <m/>
    <m/>
    <n v="382.5"/>
    <n v="382.5"/>
    <n v="0.10000000000002274"/>
  </r>
  <r>
    <x v="16"/>
    <n v="1700"/>
    <n v="382.79309999999998"/>
    <n v="4.2999999999999997E-2"/>
    <n v="377.23770000000002"/>
    <n v="383.98309999999998"/>
    <n v="387.15839999999997"/>
    <n v="4.2000000000000003E-2"/>
    <n v="4.3999999999999997E-2"/>
    <n v="4.3999999999999997E-2"/>
    <n v="2159.8000000000002"/>
    <n v="2165.8000000000002"/>
    <n v="2183"/>
    <m/>
    <m/>
    <n v="382.8"/>
    <n v="382.8"/>
    <n v="0.30000000000001137"/>
  </r>
  <r>
    <x v="16"/>
    <n v="1800"/>
    <n v="382.80040000000002"/>
    <n v="3.6999999999999998E-2"/>
    <n v="377.23270000000002"/>
    <n v="383.995"/>
    <n v="387.1737"/>
    <n v="1.7999999999999999E-2"/>
    <n v="3.6999999999999998E-2"/>
    <n v="4.8000000000000001E-2"/>
    <n v="2159.8000000000002"/>
    <n v="2166"/>
    <n v="2183.1999999999998"/>
    <m/>
    <m/>
    <n v="382.8"/>
    <n v="382.8"/>
    <n v="0"/>
  </r>
  <r>
    <x v="16"/>
    <n v="1900"/>
    <n v="382.8236"/>
    <n v="0.04"/>
    <n v="377.25290000000001"/>
    <n v="384.01710000000003"/>
    <n v="387.20100000000002"/>
    <n v="3.9E-2"/>
    <n v="3.7999999999999999E-2"/>
    <n v="4.2999999999999997E-2"/>
    <n v="2159.8000000000002"/>
    <n v="2166"/>
    <n v="2183.1999999999998"/>
    <m/>
    <m/>
    <n v="382.8"/>
    <n v="382.8"/>
    <n v="0"/>
  </r>
  <r>
    <x v="16"/>
    <n v="2000"/>
    <n v="382.8356"/>
    <n v="3.5999999999999997E-2"/>
    <n v="377.24450000000002"/>
    <n v="384.04430000000002"/>
    <n v="387.21800000000002"/>
    <n v="3.2000000000000001E-2"/>
    <n v="4.5999999999999999E-2"/>
    <n v="2.7E-2"/>
    <n v="2159.8000000000002"/>
    <n v="2166"/>
    <n v="2183.1999999999998"/>
    <m/>
    <m/>
    <n v="382.8"/>
    <n v="382.8"/>
    <n v="0"/>
  </r>
  <r>
    <x v="16"/>
    <n v="2100"/>
    <n v="382.83510000000001"/>
    <n v="3.4000000000000002E-2"/>
    <n v="377.24619999999999"/>
    <n v="384.03750000000002"/>
    <n v="387.22140000000002"/>
    <n v="3.3000000000000002E-2"/>
    <n v="4.2999999999999997E-2"/>
    <n v="2.1999999999999999E-2"/>
    <n v="2159.8000000000002"/>
    <n v="2166"/>
    <n v="2183.1999999999998"/>
    <m/>
    <m/>
    <n v="382.8"/>
    <n v="382.8"/>
    <n v="0"/>
  </r>
  <r>
    <x v="16"/>
    <n v="2200"/>
    <n v="382.8288"/>
    <n v="3.1E-2"/>
    <n v="377.24110000000002"/>
    <n v="384.0222"/>
    <n v="387.22309999999999"/>
    <n v="3.3000000000000002E-2"/>
    <n v="3.9E-2"/>
    <n v="1.7999999999999999E-2"/>
    <n v="2159.8000000000002"/>
    <n v="2166"/>
    <n v="2183.1999999999998"/>
    <m/>
    <m/>
    <n v="382.8"/>
    <n v="382.8"/>
    <n v="0"/>
  </r>
  <r>
    <x v="16"/>
    <n v="2300"/>
    <n v="382.85939999999999"/>
    <n v="4.4999999999999998E-2"/>
    <n v="377.25119999999998"/>
    <n v="384.06470000000002"/>
    <n v="387.26240000000001"/>
    <n v="3.7999999999999999E-2"/>
    <n v="4.8000000000000001E-2"/>
    <n v="4.7E-2"/>
    <n v="2159.8000000000002"/>
    <n v="2166.1999999999998"/>
    <n v="2183.1999999999998"/>
    <m/>
    <m/>
    <n v="382.9"/>
    <n v="382.9"/>
    <n v="9.9999999999965894E-2"/>
  </r>
  <r>
    <x v="16"/>
    <n v="2400"/>
    <n v="382.86680000000001"/>
    <n v="4.3999999999999997E-2"/>
    <n v="377.2681"/>
    <n v="384.03579999999999"/>
    <n v="387.29649999999998"/>
    <n v="4.5999999999999999E-2"/>
    <n v="4.2000000000000003E-2"/>
    <n v="4.3999999999999997E-2"/>
    <n v="2159.8000000000002"/>
    <n v="2166"/>
    <n v="2183.4"/>
    <m/>
    <m/>
    <n v="382.9"/>
    <n v="382.9"/>
    <n v="0"/>
  </r>
  <r>
    <x v="17"/>
    <n v="100"/>
    <n v="382.86700000000002"/>
    <n v="3.7999999999999999E-2"/>
    <n v="377.26190000000003"/>
    <n v="384.02760000000001"/>
    <n v="387.3116"/>
    <n v="4.3999999999999997E-2"/>
    <n v="3.5999999999999997E-2"/>
    <n v="3.2000000000000001E-2"/>
    <n v="2160"/>
    <n v="2166.1999999999998"/>
    <n v="2183.4"/>
    <m/>
    <m/>
    <n v="382.9"/>
    <n v="382.9"/>
    <n v="0"/>
  </r>
  <r>
    <x v="17"/>
    <n v="200"/>
    <n v="382.9153"/>
    <n v="3.9E-2"/>
    <n v="377.34949999999998"/>
    <n v="384.09160000000003"/>
    <n v="387.30470000000003"/>
    <n v="0.04"/>
    <n v="3.6999999999999998E-2"/>
    <n v="3.9E-2"/>
    <n v="2160"/>
    <n v="2166.1999999999998"/>
    <n v="2183.4"/>
    <m/>
    <m/>
    <n v="382.9"/>
    <n v="382.9"/>
    <n v="0"/>
  </r>
  <r>
    <x v="17"/>
    <n v="300"/>
    <n v="382.89550000000003"/>
    <n v="0.04"/>
    <n v="377.32209999999998"/>
    <n v="384.08170000000001"/>
    <n v="387.28280000000001"/>
    <n v="2.5000000000000001E-2"/>
    <n v="4.3999999999999997E-2"/>
    <n v="4.8000000000000001E-2"/>
    <n v="2160"/>
    <n v="2166.1999999999998"/>
    <n v="2183.1999999999998"/>
    <m/>
    <m/>
    <n v="382.9"/>
    <n v="382.9"/>
    <n v="0"/>
  </r>
  <r>
    <x v="17"/>
    <n v="400"/>
    <n v="382.87569999999999"/>
    <n v="4.7E-2"/>
    <n v="377.29680000000002"/>
    <n v="384.06810000000002"/>
    <n v="387.26240000000001"/>
    <n v="4.4999999999999998E-2"/>
    <n v="4.8000000000000001E-2"/>
    <n v="4.7E-2"/>
    <n v="2160"/>
    <n v="2166.1999999999998"/>
    <n v="2183.1999999999998"/>
    <m/>
    <m/>
    <n v="382.9"/>
    <n v="382.9"/>
    <n v="0"/>
  </r>
  <r>
    <x v="17"/>
    <n v="500"/>
    <n v="382.86040000000003"/>
    <n v="4.2999999999999997E-2"/>
    <n v="377.29340000000002"/>
    <n v="384.04770000000002"/>
    <n v="387.24020000000002"/>
    <n v="4.5999999999999999E-2"/>
    <n v="4.7E-2"/>
    <n v="3.4000000000000002E-2"/>
    <n v="2159.8000000000002"/>
    <n v="2166"/>
    <n v="2183.1999999999998"/>
    <m/>
    <m/>
    <n v="382.9"/>
    <n v="382.9"/>
    <n v="0"/>
  </r>
  <r>
    <x v="17"/>
    <n v="600"/>
    <n v="382.85140000000001"/>
    <n v="3.9E-2"/>
    <n v="377.2867"/>
    <n v="384.03750000000002"/>
    <n v="387.23"/>
    <n v="4.8000000000000001E-2"/>
    <n v="4.2999999999999997E-2"/>
    <n v="1.7999999999999999E-2"/>
    <n v="2160"/>
    <n v="2166"/>
    <n v="2183.1999999999998"/>
    <m/>
    <m/>
    <n v="382.9"/>
    <n v="382.9"/>
    <n v="0"/>
  </r>
  <r>
    <x v="17"/>
    <n v="700"/>
    <n v="382.94479999999999"/>
    <n v="0.04"/>
    <n v="377.36939999999998"/>
    <n v="384.13279999999997"/>
    <n v="387.33229999999998"/>
    <n v="4.8000000000000001E-2"/>
    <n v="4.2000000000000003E-2"/>
    <n v="2.8000000000000001E-2"/>
    <n v="2160.1999999999998"/>
    <n v="2166.1999999999998"/>
    <n v="2183.4"/>
    <m/>
    <m/>
    <n v="382.9"/>
    <n v="382.9"/>
    <n v="0"/>
  </r>
  <r>
    <x v="17"/>
    <n v="800"/>
    <n v="382.98950000000002"/>
    <n v="4.1000000000000002E-2"/>
    <n v="377.42520000000002"/>
    <n v="384.17360000000002"/>
    <n v="387.36989999999997"/>
    <n v="2.5000000000000001E-2"/>
    <n v="4.5999999999999999E-2"/>
    <n v="4.9000000000000002E-2"/>
    <n v="2160.1999999999998"/>
    <n v="2166.1999999999998"/>
    <n v="2183.4"/>
    <m/>
    <m/>
    <n v="383"/>
    <n v="383"/>
    <n v="0.10000000000002274"/>
  </r>
  <r>
    <x v="17"/>
    <n v="900"/>
    <n v="383.1703"/>
    <n v="4.3999999999999997E-2"/>
    <n v="377.60090000000002"/>
    <n v="384.35750000000002"/>
    <n v="387.55239999999998"/>
    <n v="3.6999999999999998E-2"/>
    <n v="4.8000000000000001E-2"/>
    <n v="4.5999999999999999E-2"/>
    <n v="2160.6"/>
    <n v="2166.8000000000002"/>
    <n v="2184"/>
    <m/>
    <m/>
    <n v="383.2"/>
    <n v="383.2"/>
    <n v="0.19999999999998863"/>
  </r>
  <r>
    <x v="17"/>
    <n v="1000"/>
    <n v="383.62459999999999"/>
    <n v="4.2000000000000003E-2"/>
    <n v="378.05709999999999"/>
    <n v="384.81369999999998"/>
    <n v="388.00290000000001"/>
    <n v="4.8000000000000001E-2"/>
    <n v="4.2999999999999997E-2"/>
    <n v="3.4000000000000002E-2"/>
    <n v="2161.6"/>
    <n v="2167.8000000000002"/>
    <n v="2184.8000000000002"/>
    <m/>
    <m/>
    <n v="383.6"/>
    <n v="383.6"/>
    <n v="0.40000000000003411"/>
  </r>
  <r>
    <x v="17"/>
    <n v="1100"/>
    <n v="383.98099999999999"/>
    <n v="0.04"/>
    <n v="378.4171"/>
    <n v="385.173"/>
    <n v="388.3528"/>
    <n v="4.3999999999999997E-2"/>
    <n v="2.5000000000000001E-2"/>
    <n v="4.8000000000000001E-2"/>
    <n v="2162.1999999999998"/>
    <n v="2168.4"/>
    <n v="2185.6"/>
    <m/>
    <m/>
    <n v="384"/>
    <n v="384"/>
    <n v="0.39999999999997726"/>
  </r>
  <r>
    <x v="17"/>
    <n v="1200"/>
    <n v="384.35750000000002"/>
    <n v="3.9E-2"/>
    <n v="378.78410000000002"/>
    <n v="385.55810000000002"/>
    <n v="388.7303"/>
    <n v="0.03"/>
    <n v="3.5999999999999997E-2"/>
    <n v="4.8000000000000001E-2"/>
    <n v="2163"/>
    <n v="2169.1999999999998"/>
    <n v="2186.4"/>
    <m/>
    <m/>
    <n v="384.4"/>
    <n v="384.4"/>
    <n v="0.39999999999997726"/>
  </r>
  <r>
    <x v="17"/>
    <n v="1300"/>
    <n v="384.80779999999999"/>
    <n v="4.1000000000000002E-2"/>
    <n v="379.23410000000001"/>
    <n v="386.00299999999999"/>
    <n v="389.18639999999999"/>
    <n v="0.04"/>
    <n v="4.9000000000000002E-2"/>
    <n v="3.4000000000000002E-2"/>
    <n v="2164"/>
    <n v="2170.1999999999998"/>
    <n v="2187.1999999999998"/>
    <m/>
    <m/>
    <n v="384.8"/>
    <n v="384.8"/>
    <n v="0.40000000000003411"/>
  </r>
  <r>
    <x v="17"/>
    <n v="1400"/>
    <n v="385.40030000000002"/>
    <n v="3.7999999999999999E-2"/>
    <n v="379.82150000000001"/>
    <n v="386.61009999999999"/>
    <n v="389.76929999999999"/>
    <n v="3.7999999999999999E-2"/>
    <n v="4.2000000000000003E-2"/>
    <n v="3.2000000000000001E-2"/>
    <n v="2165.1999999999998"/>
    <n v="2171.1999999999998"/>
    <n v="2188.4"/>
    <m/>
    <m/>
    <n v="385.4"/>
    <n v="385.4"/>
    <n v="0.59999999999996589"/>
  </r>
  <r>
    <x v="17"/>
    <n v="1500"/>
    <n v="386.0677"/>
    <n v="4.8000000000000001E-2"/>
    <n v="380.47359999999998"/>
    <n v="387.2894"/>
    <n v="390.43990000000002"/>
    <n v="4.7E-2"/>
    <n v="0.05"/>
    <n v="4.8000000000000001E-2"/>
    <n v="2166.6"/>
    <n v="2172.8000000000002"/>
    <n v="2189.8000000000002"/>
    <m/>
    <m/>
    <n v="386.1"/>
    <n v="386.1"/>
    <n v="0.70000000000004547"/>
  </r>
  <r>
    <x v="17"/>
    <n v="1600"/>
    <n v="386.86950000000002"/>
    <n v="4.1000000000000002E-2"/>
    <n v="381.2534"/>
    <n v="388.10399999999998"/>
    <n v="391.25130000000001"/>
    <n v="4.4999999999999998E-2"/>
    <n v="0.03"/>
    <n v="4.4999999999999998E-2"/>
    <n v="2168.1999999999998"/>
    <n v="2174.6"/>
    <n v="2191.6"/>
    <m/>
    <m/>
    <n v="386.9"/>
    <n v="386.9"/>
    <n v="0.79999999999995453"/>
  </r>
  <r>
    <x v="17"/>
    <n v="1700"/>
    <n v="387.3245"/>
    <n v="3.9E-2"/>
    <n v="381.71129999999999"/>
    <n v="388.55860000000001"/>
    <n v="391.70339999999999"/>
    <n v="4.8000000000000001E-2"/>
    <n v="4.1000000000000002E-2"/>
    <n v="2.1999999999999999E-2"/>
    <n v="2169.1999999999998"/>
    <n v="2175.4"/>
    <n v="2192.4"/>
    <m/>
    <m/>
    <n v="387.3"/>
    <n v="387.3"/>
    <n v="0.40000000000003411"/>
  </r>
  <r>
    <x v="17"/>
    <n v="1800"/>
    <n v="387.87189999999998"/>
    <n v="4.2999999999999997E-2"/>
    <n v="382.24079999999998"/>
    <n v="389.12119999999999"/>
    <n v="392.25360000000001"/>
    <n v="0.03"/>
    <n v="4.9000000000000002E-2"/>
    <n v="4.8000000000000001E-2"/>
    <n v="2170.1999999999998"/>
    <n v="2176.6"/>
    <n v="2193.6"/>
    <m/>
    <m/>
    <n v="387.9"/>
    <n v="387.9"/>
    <n v="0.59999999999996589"/>
  </r>
  <r>
    <x v="17"/>
    <n v="1900"/>
    <n v="388.63940000000002"/>
    <n v="4.8000000000000001E-2"/>
    <n v="382.988"/>
    <n v="389.90320000000003"/>
    <n v="393.02699999999999"/>
    <n v="4.7E-2"/>
    <n v="4.8000000000000001E-2"/>
    <n v="4.9000000000000002E-2"/>
    <n v="2171.6"/>
    <n v="2178.1999999999998"/>
    <n v="2195.1999999999998"/>
    <m/>
    <m/>
    <n v="388.6"/>
    <n v="388.6"/>
    <n v="0.70000000000004547"/>
  </r>
  <r>
    <x v="17"/>
    <n v="2000"/>
    <n v="389.40859999999998"/>
    <n v="0.05"/>
    <n v="383.7561"/>
    <n v="390.67039999999997"/>
    <n v="393.79930000000002"/>
    <n v="4.8000000000000001E-2"/>
    <n v="5.5E-2"/>
    <n v="4.8000000000000001E-2"/>
    <n v="2173.4"/>
    <n v="2179.8000000000002"/>
    <n v="2196.6"/>
    <m/>
    <m/>
    <n v="389.4"/>
    <n v="389.4"/>
    <n v="0.79999999999995453"/>
  </r>
  <r>
    <x v="17"/>
    <n v="2100"/>
    <n v="390.58019999999999"/>
    <n v="4.9000000000000002E-2"/>
    <n v="384.92140000000001"/>
    <n v="391.84109999999998"/>
    <n v="394.9778"/>
    <n v="5.0999999999999997E-2"/>
    <n v="4.8000000000000001E-2"/>
    <n v="4.8000000000000001E-2"/>
    <n v="2175.8000000000002"/>
    <n v="2182.1999999999998"/>
    <n v="2199.1999999999998"/>
    <m/>
    <m/>
    <n v="390.6"/>
    <n v="390.6"/>
    <n v="1.2000000000000455"/>
  </r>
  <r>
    <x v="17"/>
    <n v="2200"/>
    <n v="392.29719999999998"/>
    <n v="6.2E-2"/>
    <n v="386.6046"/>
    <n v="393.57670000000002"/>
    <n v="396.71039999999999"/>
    <n v="0.06"/>
    <n v="6.5000000000000002E-2"/>
    <n v="6.2E-2"/>
    <n v="2179.4"/>
    <n v="2185.8000000000002"/>
    <n v="2202.8000000000002"/>
    <m/>
    <m/>
    <n v="392.3"/>
    <n v="392.3"/>
    <n v="1.6999999999999886"/>
  </r>
  <r>
    <x v="17"/>
    <n v="2300"/>
    <n v="394.2808"/>
    <n v="4.9000000000000002E-2"/>
    <n v="388.55540000000002"/>
    <n v="395.5736"/>
    <n v="398.7133"/>
    <n v="0.05"/>
    <n v="4.9000000000000002E-2"/>
    <n v="4.9000000000000002E-2"/>
    <n v="2183.4"/>
    <n v="2189.8000000000002"/>
    <n v="2206.8000000000002"/>
    <m/>
    <m/>
    <n v="394.3"/>
    <n v="394.3"/>
    <n v="2"/>
  </r>
  <r>
    <x v="17"/>
    <n v="2400"/>
    <n v="396.07530000000003"/>
    <n v="7.0999999999999994E-2"/>
    <n v="390.3476"/>
    <n v="397.3657"/>
    <n v="400.51280000000003"/>
    <n v="6.7000000000000004E-2"/>
    <n v="7.1999999999999995E-2"/>
    <n v="7.3999999999999996E-2"/>
    <n v="2187"/>
    <n v="2193.4"/>
    <n v="2210.6"/>
    <m/>
    <m/>
    <n v="396.1"/>
    <n v="396.1"/>
    <n v="1.8000000000000114"/>
  </r>
  <r>
    <x v="18"/>
    <n v="100"/>
    <n v="397.84739999999999"/>
    <n v="5.8000000000000003E-2"/>
    <n v="392.09840000000003"/>
    <n v="399.1438"/>
    <n v="402.3"/>
    <n v="5.7000000000000002E-2"/>
    <n v="6.2E-2"/>
    <n v="5.6000000000000001E-2"/>
    <n v="2190.6"/>
    <n v="2197.1999999999998"/>
    <n v="2214"/>
    <m/>
    <m/>
    <n v="397.8"/>
    <n v="397.8"/>
    <n v="1.6999999999999886"/>
  </r>
  <r>
    <x v="18"/>
    <n v="200"/>
    <n v="400.09440000000001"/>
    <n v="8.4000000000000005E-2"/>
    <n v="394.33339999999998"/>
    <n v="401.37529999999998"/>
    <n v="404.5745"/>
    <n v="8.3000000000000004E-2"/>
    <n v="9.6000000000000002E-2"/>
    <n v="7.0999999999999994E-2"/>
    <n v="2195.4"/>
    <n v="2201.6"/>
    <n v="2218.8000000000002"/>
    <m/>
    <m/>
    <n v="400.1"/>
    <n v="400.1"/>
    <n v="2.3000000000000114"/>
  </r>
  <r>
    <x v="18"/>
    <n v="300"/>
    <n v="402.11610000000002"/>
    <n v="5.8000000000000003E-2"/>
    <n v="396.33569999999997"/>
    <n v="403.42959999999999"/>
    <n v="406.5829"/>
    <n v="5.5E-2"/>
    <n v="5.8999999999999997E-2"/>
    <n v="5.8999999999999997E-2"/>
    <n v="2199.4"/>
    <n v="2205.8000000000002"/>
    <n v="2222.8000000000002"/>
    <m/>
    <m/>
    <n v="402.1"/>
    <n v="402.1"/>
    <n v="2"/>
  </r>
  <r>
    <x v="18"/>
    <n v="400"/>
    <n v="403.483"/>
    <n v="4.5999999999999999E-2"/>
    <n v="397.6832"/>
    <n v="404.8048"/>
    <n v="407.96100000000001"/>
    <n v="4.2000000000000003E-2"/>
    <n v="5.0999999999999997E-2"/>
    <n v="4.4999999999999998E-2"/>
    <n v="2201.8000000000002"/>
    <n v="2208.4"/>
    <n v="2225.6"/>
    <m/>
    <m/>
    <n v="403.5"/>
    <n v="403.5"/>
    <n v="1.3999999999999773"/>
  </r>
  <r>
    <x v="18"/>
    <n v="500"/>
    <n v="404.5718"/>
    <n v="4.7E-2"/>
    <n v="398.74419999999998"/>
    <n v="405.89670000000001"/>
    <n v="409.07440000000003"/>
    <n v="4.4999999999999998E-2"/>
    <n v="4.8000000000000001E-2"/>
    <n v="4.8000000000000001E-2"/>
    <n v="2204"/>
    <n v="2210.8000000000002"/>
    <n v="2227.8000000000002"/>
    <m/>
    <m/>
    <n v="404.6"/>
    <n v="404.6"/>
    <n v="1.1000000000000227"/>
  </r>
  <r>
    <x v="18"/>
    <n v="600"/>
    <n v="406.68079999999998"/>
    <n v="5.5E-2"/>
    <n v="400.8211"/>
    <n v="407.99680000000001"/>
    <n v="411.22430000000003"/>
    <n v="4.2000000000000003E-2"/>
    <n v="6.8000000000000005E-2"/>
    <n v="5.1999999999999998E-2"/>
    <n v="2208.1999999999998"/>
    <n v="2215"/>
    <n v="2232.1999999999998"/>
    <m/>
    <m/>
    <n v="406.7"/>
    <n v="406.7"/>
    <n v="2.0999999999999659"/>
  </r>
  <r>
    <x v="18"/>
    <n v="700"/>
    <n v="408.26760000000002"/>
    <n v="4.9000000000000002E-2"/>
    <n v="402.39109999999999"/>
    <n v="409.59829999999999"/>
    <n v="412.81349999999998"/>
    <n v="4.4999999999999998E-2"/>
    <n v="4.9000000000000002E-2"/>
    <n v="5.1999999999999998E-2"/>
    <n v="2211.6"/>
    <n v="2218.1999999999998"/>
    <n v="2235.4"/>
    <m/>
    <m/>
    <n v="408.3"/>
    <n v="408.3"/>
    <n v="1.6000000000000227"/>
  </r>
  <r>
    <x v="18"/>
    <n v="800"/>
    <n v="409.56389999999999"/>
    <n v="5.1999999999999998E-2"/>
    <n v="403.6739"/>
    <n v="410.90159999999997"/>
    <n v="414.11610000000002"/>
    <n v="5.0999999999999997E-2"/>
    <n v="0.05"/>
    <n v="5.5E-2"/>
    <n v="2214.1999999999998"/>
    <n v="2220.8000000000002"/>
    <n v="2237.8000000000002"/>
    <m/>
    <m/>
    <n v="409.6"/>
    <n v="409.6"/>
    <n v="1.3000000000000114"/>
  </r>
  <r>
    <x v="18"/>
    <n v="900"/>
    <n v="410.85700000000003"/>
    <n v="4.3999999999999997E-2"/>
    <n v="404.96530000000001"/>
    <n v="412.21690000000001"/>
    <n v="415.38869999999997"/>
    <n v="3.5999999999999997E-2"/>
    <n v="4.5999999999999999E-2"/>
    <n v="4.8000000000000001E-2"/>
    <n v="2216.6"/>
    <n v="2223.4"/>
    <n v="2240.4"/>
    <m/>
    <m/>
    <n v="410.9"/>
    <n v="410.9"/>
    <n v="1.2999999999999545"/>
  </r>
  <r>
    <x v="18"/>
    <n v="1000"/>
    <n v="412.05329999999998"/>
    <n v="4.2999999999999997E-2"/>
    <n v="406.14870000000002"/>
    <n v="413.4221"/>
    <n v="416.58920000000001"/>
    <n v="3.5000000000000003E-2"/>
    <n v="4.5999999999999999E-2"/>
    <n v="4.8000000000000001E-2"/>
    <n v="2219"/>
    <n v="2225.8000000000002"/>
    <n v="2242.8000000000002"/>
    <m/>
    <m/>
    <n v="412.1"/>
    <n v="412.1"/>
    <n v="1.2000000000000455"/>
  </r>
  <r>
    <x v="18"/>
    <n v="1100"/>
    <n v="413.28660000000002"/>
    <n v="4.4999999999999998E-2"/>
    <n v="407.37180000000001"/>
    <n v="414.65820000000002"/>
    <n v="417.8297"/>
    <n v="4.7E-2"/>
    <n v="4.8000000000000001E-2"/>
    <n v="0.04"/>
    <n v="2221.4"/>
    <n v="2228.1999999999998"/>
    <n v="2245.1999999999998"/>
    <m/>
    <m/>
    <n v="413.3"/>
    <n v="413.3"/>
    <n v="1.1999999999999886"/>
  </r>
  <r>
    <x v="18"/>
    <n v="1200"/>
    <n v="413.95639999999997"/>
    <n v="4.1000000000000002E-2"/>
    <n v="408.03179999999998"/>
    <n v="415.34460000000001"/>
    <n v="418.49279999999999"/>
    <n v="3.6999999999999998E-2"/>
    <n v="3.7999999999999999E-2"/>
    <n v="4.8000000000000001E-2"/>
    <n v="2222.8000000000002"/>
    <n v="2229.8000000000002"/>
    <n v="2246.6"/>
    <m/>
    <m/>
    <n v="414"/>
    <n v="414"/>
    <n v="0.69999999999998863"/>
  </r>
  <r>
    <x v="18"/>
    <n v="1300"/>
    <n v="414.53489999999999"/>
    <n v="4.5999999999999999E-2"/>
    <n v="408.58940000000001"/>
    <n v="415.92759999999998"/>
    <n v="419.08760000000001"/>
    <n v="4.8000000000000001E-2"/>
    <n v="3.7999999999999999E-2"/>
    <n v="0.05"/>
    <n v="2223.8000000000002"/>
    <n v="2230.8000000000002"/>
    <n v="2247.8000000000002"/>
    <m/>
    <m/>
    <n v="414.5"/>
    <n v="414.5"/>
    <n v="0.5"/>
  </r>
  <r>
    <x v="18"/>
    <n v="1400"/>
    <n v="414.96449999999999"/>
    <n v="4.2000000000000003E-2"/>
    <n v="409.03919999999999"/>
    <n v="416.35989999999998"/>
    <n v="419.49430000000001"/>
    <n v="3.5000000000000003E-2"/>
    <n v="0.04"/>
    <n v="4.9000000000000002E-2"/>
    <n v="2224.8000000000002"/>
    <n v="2231.6"/>
    <n v="2248.6"/>
    <m/>
    <m/>
    <n v="415"/>
    <n v="415"/>
    <n v="0.5"/>
  </r>
  <r>
    <x v="18"/>
    <n v="1500"/>
    <n v="415.00959999999998"/>
    <n v="4.5999999999999999E-2"/>
    <n v="409.06189999999998"/>
    <n v="416.41090000000003"/>
    <n v="419.55599999999998"/>
    <n v="4.8000000000000001E-2"/>
    <n v="4.8000000000000001E-2"/>
    <n v="4.2000000000000003E-2"/>
    <n v="2224.8000000000002"/>
    <n v="2231.8000000000002"/>
    <n v="2248.6"/>
    <m/>
    <m/>
    <n v="415"/>
    <n v="415"/>
    <n v="0"/>
  </r>
  <r>
    <x v="18"/>
    <n v="1600"/>
    <n v="415.21420000000001"/>
    <n v="0.05"/>
    <n v="409.26409999999998"/>
    <n v="416.60770000000002"/>
    <n v="419.77080000000001"/>
    <n v="4.9000000000000002E-2"/>
    <n v="5.1999999999999998E-2"/>
    <n v="4.8000000000000001E-2"/>
    <n v="2225.1999999999998"/>
    <n v="2232.1999999999998"/>
    <n v="2249"/>
    <m/>
    <m/>
    <n v="415.2"/>
    <n v="415.2"/>
    <n v="0.19999999999998863"/>
  </r>
  <r>
    <x v="18"/>
    <n v="1700"/>
    <n v="415.33240000000001"/>
    <n v="4.8000000000000001E-2"/>
    <n v="409.3897"/>
    <n v="416.7167"/>
    <n v="419.89060000000001"/>
    <n v="4.7E-2"/>
    <n v="4.5999999999999999E-2"/>
    <n v="0.05"/>
    <n v="2225.6"/>
    <n v="2232.4"/>
    <n v="2249.4"/>
    <m/>
    <m/>
    <n v="415.3"/>
    <n v="415.3"/>
    <n v="0.10000000000002274"/>
  </r>
  <r>
    <x v="18"/>
    <n v="1800"/>
    <n v="415.35860000000002"/>
    <n v="3.5999999999999997E-2"/>
    <n v="409.42469999999997"/>
    <n v="416.7448"/>
    <n v="419.90640000000002"/>
    <n v="1.2999999999999999E-2"/>
    <n v="0.04"/>
    <n v="4.4999999999999998E-2"/>
    <n v="2225.6"/>
    <n v="2232.4"/>
    <n v="2249.1999999999998"/>
    <m/>
    <m/>
    <n v="415.4"/>
    <n v="415.4"/>
    <n v="9.9999999999965894E-2"/>
  </r>
  <r>
    <x v="18"/>
    <n v="1900"/>
    <n v="415.52190000000002"/>
    <n v="4.7E-2"/>
    <n v="409.57990000000001"/>
    <n v="416.91890000000001"/>
    <n v="420.0668"/>
    <n v="4.9000000000000002E-2"/>
    <n v="4.4999999999999998E-2"/>
    <n v="4.7E-2"/>
    <n v="2226"/>
    <n v="2232.8000000000002"/>
    <n v="2249.8000000000002"/>
    <m/>
    <m/>
    <n v="415.5"/>
    <n v="415.5"/>
    <n v="0.10000000000002274"/>
  </r>
  <r>
    <x v="18"/>
    <n v="2000"/>
    <n v="415.6447"/>
    <n v="4.3999999999999997E-2"/>
    <n v="409.6968"/>
    <n v="417.06659999999999"/>
    <n v="420.17079999999999"/>
    <n v="4.2999999999999997E-2"/>
    <n v="0.04"/>
    <n v="4.8000000000000001E-2"/>
    <n v="2226.1999999999998"/>
    <n v="2233.1999999999998"/>
    <n v="2249.8000000000002"/>
    <m/>
    <m/>
    <n v="415.6"/>
    <n v="415.6"/>
    <n v="0.10000000000002274"/>
  </r>
  <r>
    <x v="18"/>
    <n v="2100"/>
    <n v="415.72899999999998"/>
    <n v="4.3999999999999997E-2"/>
    <n v="409.77179999999998"/>
    <n v="417.15449999999998"/>
    <n v="420.26060000000001"/>
    <n v="0.05"/>
    <n v="3.6999999999999998E-2"/>
    <n v="4.2999999999999997E-2"/>
    <n v="2226.4"/>
    <n v="2233.1999999999998"/>
    <n v="2250"/>
    <m/>
    <m/>
    <n v="415.7"/>
    <n v="415.7"/>
    <n v="9.9999999999965894E-2"/>
  </r>
  <r>
    <x v="18"/>
    <n v="2200"/>
    <n v="416.49700000000001"/>
    <n v="5.1999999999999998E-2"/>
    <n v="410.53809999999999"/>
    <n v="417.90769999999998"/>
    <n v="421.04520000000002"/>
    <n v="5.5E-2"/>
    <n v="0.05"/>
    <n v="5.0999999999999997E-2"/>
    <n v="2228"/>
    <n v="2234.8000000000002"/>
    <n v="2251.6"/>
    <m/>
    <m/>
    <n v="416.5"/>
    <n v="416.5"/>
    <n v="0.80000000000001137"/>
  </r>
  <r>
    <x v="18"/>
    <n v="2300"/>
    <n v="416.8202"/>
    <n v="3.7999999999999999E-2"/>
    <n v="410.84899999999999"/>
    <n v="418.2491"/>
    <n v="421.36259999999999"/>
    <n v="4.7E-2"/>
    <n v="2.3E-2"/>
    <n v="4.1000000000000002E-2"/>
    <n v="2228.6"/>
    <n v="2235.1999999999998"/>
    <n v="2252.1999999999998"/>
    <m/>
    <m/>
    <n v="416.8"/>
    <n v="416.8"/>
    <n v="0.30000000000001137"/>
  </r>
  <r>
    <x v="18"/>
    <n v="2400"/>
    <n v="416.8929"/>
    <n v="3.3000000000000002E-2"/>
    <n v="410.92070000000001"/>
    <n v="418.32670000000002"/>
    <n v="421.4314"/>
    <n v="2.1999999999999999E-2"/>
    <n v="4.2999999999999997E-2"/>
    <n v="3.1E-2"/>
    <n v="2228.6"/>
    <n v="2235.6"/>
    <n v="2252.4"/>
    <m/>
    <m/>
    <n v="416.9"/>
    <n v="416.9"/>
    <n v="9.9999999999965894E-2"/>
  </r>
  <r>
    <x v="19"/>
    <n v="100"/>
    <n v="417.87939999999998"/>
    <n v="4.7E-2"/>
    <n v="411.87310000000002"/>
    <n v="419.2885"/>
    <n v="422.47640000000001"/>
    <n v="4.9000000000000002E-2"/>
    <n v="4.7E-2"/>
    <n v="4.4999999999999998E-2"/>
    <n v="2230.4"/>
    <n v="2237.6"/>
    <n v="2254.6"/>
    <m/>
    <m/>
    <n v="417.9"/>
    <n v="417.9"/>
    <n v="1"/>
  </r>
  <r>
    <x v="19"/>
    <n v="200"/>
    <n v="418.28100000000001"/>
    <n v="4.2999999999999997E-2"/>
    <n v="412.28930000000003"/>
    <n v="419.71859999999998"/>
    <n v="422.83499999999998"/>
    <n v="4.1000000000000002E-2"/>
    <n v="4.9000000000000002E-2"/>
    <n v="3.6999999999999998E-2"/>
    <n v="2231.4"/>
    <n v="2238.4"/>
    <n v="2255.1999999999998"/>
    <m/>
    <m/>
    <n v="418.3"/>
    <n v="418.3"/>
    <n v="0.40000000000003411"/>
  </r>
  <r>
    <x v="19"/>
    <n v="300"/>
    <n v="418.28449999999998"/>
    <n v="4.1000000000000002E-2"/>
    <n v="412.28930000000003"/>
    <n v="419.73270000000002"/>
    <n v="422.83150000000001"/>
    <n v="4.1000000000000002E-2"/>
    <n v="4.2999999999999997E-2"/>
    <n v="0.04"/>
    <n v="2231.1999999999998"/>
    <n v="2238.1999999999998"/>
    <n v="2255.1999999999998"/>
    <m/>
    <m/>
    <n v="418.3"/>
    <n v="418.3"/>
    <n v="0"/>
  </r>
  <r>
    <x v="19"/>
    <n v="400"/>
    <n v="418.36020000000002"/>
    <n v="0.05"/>
    <n v="412.3664"/>
    <n v="419.80860000000001"/>
    <n v="422.90559999999999"/>
    <n v="0.05"/>
    <n v="0.05"/>
    <n v="0.05"/>
    <n v="2231.4"/>
    <n v="2238.6"/>
    <n v="2255.1999999999998"/>
    <m/>
    <m/>
    <n v="418.4"/>
    <n v="418.4"/>
    <n v="9.9999999999965894E-2"/>
  </r>
  <r>
    <x v="19"/>
    <n v="500"/>
    <n v="418.46820000000002"/>
    <n v="4.9000000000000002E-2"/>
    <n v="412.46780000000001"/>
    <n v="419.91969999999998"/>
    <n v="423.017"/>
    <n v="4.9000000000000002E-2"/>
    <n v="4.9000000000000002E-2"/>
    <n v="4.8000000000000001E-2"/>
    <n v="2231.8000000000002"/>
    <n v="2238.8000000000002"/>
    <n v="2255.6"/>
    <m/>
    <m/>
    <n v="418.5"/>
    <n v="418.5"/>
    <n v="0.10000000000002274"/>
  </r>
  <r>
    <x v="19"/>
    <n v="600"/>
    <n v="418.63830000000002"/>
    <n v="4.5999999999999999E-2"/>
    <n v="412.63929999999999"/>
    <n v="420.08539999999999"/>
    <n v="423.1902"/>
    <n v="4.5999999999999999E-2"/>
    <n v="4.3999999999999997E-2"/>
    <n v="4.9000000000000002E-2"/>
    <n v="2232"/>
    <n v="2239"/>
    <n v="2255.8000000000002"/>
    <m/>
    <m/>
    <n v="418.6"/>
    <n v="418.6"/>
    <n v="0.10000000000002274"/>
  </r>
  <r>
    <x v="19"/>
    <n v="700"/>
    <n v="418.6782"/>
    <n v="4.5999999999999999E-2"/>
    <n v="412.68130000000002"/>
    <n v="420.1277"/>
    <n v="423.22550000000001"/>
    <n v="4.4999999999999998E-2"/>
    <n v="4.7E-2"/>
    <n v="4.4999999999999998E-2"/>
    <n v="2232.1999999999998"/>
    <n v="2239"/>
    <n v="2255.8000000000002"/>
    <m/>
    <m/>
    <n v="418.7"/>
    <n v="418.7"/>
    <n v="9.9999999999965894E-2"/>
  </r>
  <r>
    <x v="19"/>
    <n v="800"/>
    <n v="418.69229999999999"/>
    <n v="4.4999999999999998E-2"/>
    <n v="412.68299999999999"/>
    <n v="420.18060000000003"/>
    <n v="423.2131"/>
    <n v="4.3999999999999997E-2"/>
    <n v="4.1000000000000002E-2"/>
    <n v="4.9000000000000002E-2"/>
    <n v="2232.1999999999998"/>
    <n v="2239.1999999999998"/>
    <n v="2256"/>
    <m/>
    <m/>
    <n v="418.7"/>
    <n v="418.7"/>
    <n v="0"/>
  </r>
  <r>
    <x v="19"/>
    <n v="900"/>
    <n v="418.71339999999998"/>
    <n v="3.1E-2"/>
    <n v="412.71280000000002"/>
    <n v="420.1771"/>
    <n v="423.25020000000001"/>
    <n v="2.5999999999999999E-2"/>
    <n v="3.7999999999999999E-2"/>
    <n v="2.5999999999999999E-2"/>
    <n v="2232.1999999999998"/>
    <n v="2239.4"/>
    <n v="2256.1999999999998"/>
    <m/>
    <m/>
    <n v="418.7"/>
    <n v="418.7"/>
    <n v="0"/>
  </r>
  <r>
    <x v="19"/>
    <n v="1000"/>
    <n v="418.85469999999998"/>
    <n v="4.1000000000000002E-2"/>
    <n v="412.88780000000003"/>
    <n v="420.31299999999999"/>
    <n v="423.36329999999998"/>
    <n v="4.1000000000000002E-2"/>
    <n v="0.05"/>
    <n v="2.8000000000000001E-2"/>
    <n v="2232.6"/>
    <n v="2239.4"/>
    <n v="2256.1999999999998"/>
    <m/>
    <m/>
    <n v="418.9"/>
    <n v="418.9"/>
    <n v="0.19999999999998863"/>
  </r>
  <r>
    <x v="19"/>
    <n v="1100"/>
    <n v="418.9117"/>
    <n v="0.04"/>
    <n v="412.94389999999999"/>
    <n v="420.36250000000001"/>
    <n v="423.42869999999999"/>
    <n v="4.8000000000000001E-2"/>
    <n v="2.3E-2"/>
    <n v="4.3999999999999997E-2"/>
    <n v="2232.6"/>
    <n v="2239.6"/>
    <n v="2256.4"/>
    <m/>
    <m/>
    <n v="418.9"/>
    <n v="418.9"/>
    <n v="0"/>
  </r>
  <r>
    <x v="19"/>
    <n v="1200"/>
    <n v="419.0883"/>
    <n v="3.9E-2"/>
    <n v="413.11360000000002"/>
    <n v="420.54770000000002"/>
    <n v="423.60379999999998"/>
    <n v="2.9000000000000001E-2"/>
    <n v="3.5000000000000003E-2"/>
    <n v="0.05"/>
    <n v="2233"/>
    <n v="2240"/>
    <n v="2256.6"/>
    <m/>
    <m/>
    <n v="419.1"/>
    <n v="419.1"/>
    <n v="0.20000000000004547"/>
  </r>
  <r>
    <x v="19"/>
    <n v="1300"/>
    <n v="419.11219999999997"/>
    <n v="4.8000000000000001E-2"/>
    <n v="413.23790000000002"/>
    <n v="420.52289999999999"/>
    <n v="423.57549999999998"/>
    <n v="4.5999999999999999E-2"/>
    <n v="5.6000000000000001E-2"/>
    <n v="0.04"/>
    <n v="2233.1999999999998"/>
    <n v="2240"/>
    <n v="2256.8000000000002"/>
    <m/>
    <m/>
    <n v="419.1"/>
    <n v="419.1"/>
    <n v="0"/>
  </r>
  <r>
    <x v="19"/>
    <n v="1400"/>
    <n v="419.01769999999999"/>
    <n v="4.8000000000000001E-2"/>
    <n v="413.13459999999998"/>
    <n v="420.41890000000001"/>
    <n v="423.49950000000001"/>
    <n v="4.3999999999999997E-2"/>
    <n v="0.05"/>
    <n v="0.05"/>
    <n v="2233.1999999999998"/>
    <n v="2239.8000000000002"/>
    <n v="2256.6"/>
    <m/>
    <m/>
    <n v="419"/>
    <n v="419.1"/>
    <n v="0"/>
  </r>
  <r>
    <x v="19"/>
    <n v="1500"/>
    <n v="419.00290000000001"/>
    <n v="3.2000000000000001E-2"/>
    <n v="413.11540000000002"/>
    <n v="420.44889999999998"/>
    <n v="423.44459999999998"/>
    <n v="2.5000000000000001E-2"/>
    <n v="3.7999999999999999E-2"/>
    <n v="3.1E-2"/>
    <n v="2233"/>
    <n v="2239.8000000000002"/>
    <n v="2256.4"/>
    <m/>
    <m/>
    <n v="419"/>
    <n v="419.1"/>
    <n v="0"/>
  </r>
  <r>
    <x v="19"/>
    <n v="1600"/>
    <n v="418.94450000000001"/>
    <n v="3.7999999999999999E-2"/>
    <n v="412.99810000000002"/>
    <n v="420.3501"/>
    <n v="423.4853"/>
    <n v="3.1E-2"/>
    <n v="3.5999999999999997E-2"/>
    <n v="4.5999999999999999E-2"/>
    <n v="2232.8000000000002"/>
    <n v="2239.6"/>
    <n v="2256.4"/>
    <m/>
    <m/>
    <n v="418.9"/>
    <n v="419.1"/>
    <n v="0"/>
  </r>
  <r>
    <x v="19"/>
    <n v="1700"/>
    <n v="419.0532"/>
    <n v="3.5000000000000003E-2"/>
    <n v="413.05410000000001"/>
    <n v="420.55119999999999"/>
    <n v="423.55430000000001"/>
    <n v="0.05"/>
    <n v="3.1E-2"/>
    <n v="1.2999999999999999E-2"/>
    <n v="2232.8000000000002"/>
    <n v="2240"/>
    <n v="2256.6"/>
    <m/>
    <m/>
    <n v="419.1"/>
    <n v="419.1"/>
    <n v="0"/>
  </r>
  <r>
    <x v="19"/>
    <n v="1800"/>
    <n v="419.12670000000003"/>
    <n v="4.1000000000000002E-2"/>
    <n v="413.09609999999998"/>
    <n v="420.6112"/>
    <n v="423.67270000000002"/>
    <n v="3.3000000000000002E-2"/>
    <n v="0.05"/>
    <n v="3.6999999999999998E-2"/>
    <n v="2233"/>
    <n v="2240.1999999999998"/>
    <n v="2256.8000000000002"/>
    <m/>
    <m/>
    <n v="419.1"/>
    <n v="419.1"/>
    <n v="0"/>
  </r>
  <r>
    <x v="19"/>
    <n v="1900"/>
    <n v="419.15890000000002"/>
    <n v="4.8000000000000001E-2"/>
    <n v="413.15910000000002"/>
    <n v="420.59530000000001"/>
    <n v="423.72219999999999"/>
    <n v="0.05"/>
    <n v="4.7E-2"/>
    <n v="4.8000000000000001E-2"/>
    <n v="2233.1999999999998"/>
    <n v="2240"/>
    <n v="2257"/>
    <m/>
    <m/>
    <n v="419.2"/>
    <n v="419.2"/>
    <n v="9.9999999999965894E-2"/>
  </r>
  <r>
    <x v="19"/>
    <n v="2000"/>
    <n v="419.19589999999999"/>
    <n v="3.5999999999999997E-2"/>
    <n v="413.19060000000002"/>
    <n v="420.65530000000001"/>
    <n v="423.74169999999998"/>
    <n v="3.7999999999999999E-2"/>
    <n v="3.2000000000000001E-2"/>
    <n v="3.6999999999999998E-2"/>
    <n v="2233.1999999999998"/>
    <n v="2240.1999999999998"/>
    <n v="2257"/>
    <m/>
    <m/>
    <n v="419.2"/>
    <n v="419.2"/>
    <n v="0"/>
  </r>
  <r>
    <x v="19"/>
    <n v="2100"/>
    <n v="419.20699999999999"/>
    <n v="4.2000000000000003E-2"/>
    <n v="413.18889999999999"/>
    <n v="420.69589999999999"/>
    <n v="423.7364"/>
    <n v="3.9E-2"/>
    <n v="4.7E-2"/>
    <n v="4.1000000000000002E-2"/>
    <n v="2233.1999999999998"/>
    <n v="2240.1999999999998"/>
    <n v="2257"/>
    <m/>
    <m/>
    <n v="419.2"/>
    <n v="419.2"/>
    <n v="0"/>
  </r>
  <r>
    <x v="19"/>
    <n v="2200"/>
    <n v="419.19060000000002"/>
    <n v="4.2999999999999997E-2"/>
    <n v="413.1696"/>
    <n v="420.67469999999997"/>
    <n v="423.72750000000002"/>
    <n v="4.9000000000000002E-2"/>
    <n v="3.3000000000000002E-2"/>
    <n v="4.5999999999999999E-2"/>
    <n v="2233.1999999999998"/>
    <n v="2240.1999999999998"/>
    <n v="2256.8000000000002"/>
    <m/>
    <m/>
    <n v="419.2"/>
    <n v="419.2"/>
    <n v="0"/>
  </r>
  <r>
    <x v="19"/>
    <n v="2300"/>
    <n v="419.18009999999998"/>
    <n v="4.2999999999999997E-2"/>
    <n v="413.15559999999999"/>
    <n v="420.66419999999999"/>
    <n v="423.72039999999998"/>
    <n v="0.05"/>
    <n v="2.3E-2"/>
    <n v="4.9000000000000002E-2"/>
    <n v="2233.1999999999998"/>
    <n v="2240.1999999999998"/>
    <n v="2257"/>
    <m/>
    <m/>
    <n v="419.2"/>
    <n v="419.2"/>
    <n v="0"/>
  </r>
  <r>
    <x v="19"/>
    <n v="2400"/>
    <n v="419.16950000000003"/>
    <n v="4.4999999999999998E-2"/>
    <n v="413.14510000000001"/>
    <n v="420.65359999999998"/>
    <n v="423.70979999999997"/>
    <n v="4.8000000000000001E-2"/>
    <n v="3.4000000000000002E-2"/>
    <n v="0.05"/>
    <n v="2233"/>
    <n v="2240.1999999999998"/>
    <n v="2256.8000000000002"/>
    <m/>
    <m/>
    <n v="419.2"/>
    <n v="419.2"/>
    <n v="0"/>
  </r>
  <r>
    <x v="20"/>
    <n v="100"/>
    <n v="419.1583"/>
    <n v="4.5999999999999999E-2"/>
    <n v="413.13990000000001"/>
    <n v="420.63940000000002"/>
    <n v="423.69569999999999"/>
    <n v="4.5999999999999999E-2"/>
    <n v="4.2000000000000003E-2"/>
    <n v="4.9000000000000002E-2"/>
    <n v="2233.1999999999998"/>
    <n v="2240.1999999999998"/>
    <n v="2256.8000000000002"/>
    <m/>
    <m/>
    <n v="419.2"/>
    <n v="419.2"/>
    <n v="0"/>
  </r>
  <r>
    <x v="20"/>
    <n v="200"/>
    <n v="419.15480000000002"/>
    <n v="4.5999999999999999E-2"/>
    <n v="413.13459999999998"/>
    <n v="420.63589999999999"/>
    <n v="423.69389999999999"/>
    <n v="4.3999999999999997E-2"/>
    <n v="4.3999999999999997E-2"/>
    <n v="4.9000000000000002E-2"/>
    <n v="2233.1999999999998"/>
    <n v="2240.1999999999998"/>
    <n v="2256.8000000000002"/>
    <m/>
    <m/>
    <n v="419.2"/>
    <n v="419.2"/>
    <n v="0"/>
  </r>
  <r>
    <x v="20"/>
    <n v="300"/>
    <n v="419.15660000000003"/>
    <n v="4.5999999999999999E-2"/>
    <n v="413.13459999999998"/>
    <n v="420.63589999999999"/>
    <n v="423.69920000000002"/>
    <n v="4.3999999999999997E-2"/>
    <n v="4.3999999999999997E-2"/>
    <n v="0.05"/>
    <n v="2233"/>
    <n v="2240.1999999999998"/>
    <n v="2257"/>
    <m/>
    <m/>
    <n v="419.2"/>
    <n v="419.2"/>
    <n v="0"/>
  </r>
  <r>
    <x v="20"/>
    <n v="400"/>
    <n v="419.15660000000003"/>
    <n v="4.5999999999999999E-2"/>
    <n v="413.13639999999998"/>
    <n v="420.63589999999999"/>
    <n v="423.69740000000002"/>
    <n v="4.4999999999999998E-2"/>
    <n v="4.3999999999999997E-2"/>
    <n v="4.9000000000000002E-2"/>
    <n v="2233"/>
    <n v="2240.1999999999998"/>
    <n v="2256.8000000000002"/>
    <m/>
    <m/>
    <n v="419.2"/>
    <n v="419.2"/>
    <n v="0"/>
  </r>
  <r>
    <x v="20"/>
    <n v="500"/>
    <n v="419.15480000000002"/>
    <n v="4.7E-2"/>
    <n v="413.13639999999998"/>
    <n v="420.63240000000002"/>
    <n v="423.69569999999999"/>
    <n v="4.4999999999999998E-2"/>
    <n v="4.5999999999999999E-2"/>
    <n v="4.9000000000000002E-2"/>
    <n v="2233"/>
    <n v="2240.1999999999998"/>
    <n v="2256.8000000000002"/>
    <m/>
    <m/>
    <n v="419.2"/>
    <n v="419.2"/>
    <n v="0"/>
  </r>
  <r>
    <x v="20"/>
    <n v="600"/>
    <n v="419.1678"/>
    <n v="4.1000000000000002E-2"/>
    <n v="413.13459999999998"/>
    <n v="420.65879999999999"/>
    <n v="423.70979999999997"/>
    <n v="4.3999999999999997E-2"/>
    <n v="2.5999999999999999E-2"/>
    <n v="0.05"/>
    <n v="2233"/>
    <n v="2240.1999999999998"/>
    <n v="2256.8000000000002"/>
    <m/>
    <m/>
    <n v="419.2"/>
    <n v="419.2"/>
    <n v="0"/>
  </r>
  <r>
    <x v="20"/>
    <n v="700"/>
    <n v="419.17070000000001"/>
    <n v="4.7E-2"/>
    <n v="413.15039999999999"/>
    <n v="420.6447"/>
    <n v="423.71690000000001"/>
    <n v="4.9000000000000002E-2"/>
    <n v="4.2999999999999997E-2"/>
    <n v="4.9000000000000002E-2"/>
    <n v="2233.1999999999998"/>
    <n v="2240"/>
    <n v="2256.8000000000002"/>
    <m/>
    <m/>
    <n v="419.2"/>
    <n v="419.2"/>
    <n v="0"/>
  </r>
  <r>
    <x v="20"/>
    <n v="800"/>
    <n v="419.15879999999999"/>
    <n v="4.4999999999999998E-2"/>
    <n v="413.1644"/>
    <n v="420.63589999999999"/>
    <n v="423.67619999999999"/>
    <n v="0.05"/>
    <n v="4.3999999999999997E-2"/>
    <n v="0.04"/>
    <n v="2233.1999999999998"/>
    <n v="2240"/>
    <n v="2256.8000000000002"/>
    <m/>
    <m/>
    <n v="419.2"/>
    <n v="419.2"/>
    <n v="0"/>
  </r>
  <r>
    <x v="20"/>
    <n v="900"/>
    <n v="419.0958"/>
    <n v="0.05"/>
    <n v="413.15559999999999"/>
    <n v="420.61470000000003"/>
    <n v="423.51710000000003"/>
    <n v="0.05"/>
    <n v="0.05"/>
    <n v="4.9000000000000002E-2"/>
    <n v="2233"/>
    <n v="2240"/>
    <n v="2256.6"/>
    <m/>
    <m/>
    <n v="419.1"/>
    <n v="419.2"/>
    <n v="0"/>
  </r>
  <r>
    <x v="20"/>
    <n v="1000"/>
    <n v="419.03879999999998"/>
    <n v="3.5000000000000003E-2"/>
    <n v="413.12060000000002"/>
    <n v="420.56360000000001"/>
    <n v="423.43220000000002"/>
    <n v="3.3000000000000002E-2"/>
    <n v="0.03"/>
    <n v="4.2000000000000003E-2"/>
    <n v="2233"/>
    <n v="2240"/>
    <n v="2256.4"/>
    <m/>
    <m/>
    <n v="419"/>
    <n v="419.2"/>
    <n v="0"/>
  </r>
  <r>
    <x v="20"/>
    <n v="1100"/>
    <n v="419.01650000000001"/>
    <n v="0.04"/>
    <n v="413.09789999999998"/>
    <n v="420.51060000000001"/>
    <n v="423.44110000000001"/>
    <n v="3.1E-2"/>
    <n v="0.05"/>
    <n v="3.5000000000000003E-2"/>
    <n v="2233"/>
    <n v="2240"/>
    <n v="2256.4"/>
    <m/>
    <m/>
    <n v="419"/>
    <n v="419.2"/>
    <n v="0"/>
  </r>
  <r>
    <x v="20"/>
    <n v="1200"/>
    <n v="419.01229999999998"/>
    <n v="3.7999999999999999E-2"/>
    <n v="413.1311"/>
    <n v="420.46820000000002"/>
    <n v="423.4375"/>
    <n v="4.2000000000000003E-2"/>
    <n v="3.2000000000000001E-2"/>
    <n v="3.7999999999999999E-2"/>
    <n v="2233"/>
    <n v="2239.8000000000002"/>
    <n v="2256.4"/>
    <m/>
    <m/>
    <n v="419"/>
    <n v="419.2"/>
    <n v="0"/>
  </r>
  <r>
    <x v="20"/>
    <n v="1300"/>
    <n v="419.00639999999999"/>
    <n v="4.2999999999999997E-2"/>
    <n v="413.15039999999999"/>
    <n v="420.42070000000001"/>
    <n v="423.44810000000001"/>
    <n v="4.9000000000000002E-2"/>
    <n v="4.9000000000000002E-2"/>
    <n v="2.5999999999999999E-2"/>
    <n v="2233.1999999999998"/>
    <n v="2239.8000000000002"/>
    <n v="2256.4"/>
    <m/>
    <m/>
    <n v="419"/>
    <n v="419.2"/>
    <n v="0"/>
  </r>
  <r>
    <x v="20"/>
    <n v="1400"/>
    <n v="418.99400000000003"/>
    <n v="4.2000000000000003E-2"/>
    <n v="413.14339999999999"/>
    <n v="420.39249999999998"/>
    <n v="423.44639999999998"/>
    <n v="4.8000000000000001E-2"/>
    <n v="4.7E-2"/>
    <n v="2.8000000000000001E-2"/>
    <n v="2233"/>
    <n v="2239.8000000000002"/>
    <n v="2256.4"/>
    <m/>
    <m/>
    <n v="419"/>
    <n v="419.2"/>
    <n v="0"/>
  </r>
  <r>
    <x v="20"/>
    <n v="1500"/>
    <n v="418.99239999999998"/>
    <n v="0.04"/>
    <n v="413.11360000000002"/>
    <n v="420.3836"/>
    <n v="423.48"/>
    <n v="2.9000000000000001E-2"/>
    <n v="4.5999999999999999E-2"/>
    <n v="4.2999999999999997E-2"/>
    <n v="2233"/>
    <n v="2239.6"/>
    <n v="2256.6"/>
    <m/>
    <m/>
    <n v="419"/>
    <n v="419.2"/>
    <n v="0"/>
  </r>
  <r>
    <x v="20"/>
    <n v="1600"/>
    <n v="419.02890000000002"/>
    <n v="3.5000000000000003E-2"/>
    <n v="413.10140000000001"/>
    <n v="420.45940000000002"/>
    <n v="423.52600000000001"/>
    <n v="3.6999999999999998E-2"/>
    <n v="1.2999999999999999E-2"/>
    <n v="4.5999999999999999E-2"/>
    <n v="2233"/>
    <n v="2239.8000000000002"/>
    <n v="2256.4"/>
    <m/>
    <m/>
    <n v="419"/>
    <n v="419.2"/>
    <n v="0"/>
  </r>
  <r>
    <x v="20"/>
    <n v="1700"/>
    <n v="419.09899999999999"/>
    <n v="4.1000000000000002E-2"/>
    <n v="413.1189"/>
    <n v="420.57589999999999"/>
    <n v="423.60199999999998"/>
    <n v="3.5999999999999997E-2"/>
    <n v="3.5000000000000003E-2"/>
    <n v="0.05"/>
    <n v="2233"/>
    <n v="2240"/>
    <n v="2256.6"/>
    <m/>
    <m/>
    <n v="419.1"/>
    <n v="419.2"/>
    <n v="0"/>
  </r>
  <r>
    <x v="20"/>
    <n v="1800"/>
    <n v="419.13310000000001"/>
    <n v="3.9E-2"/>
    <n v="413.1311"/>
    <n v="420.6112"/>
    <n v="423.65679999999998"/>
    <n v="4.2000000000000003E-2"/>
    <n v="0.05"/>
    <n v="1.9E-2"/>
    <n v="2233"/>
    <n v="2240"/>
    <n v="2256.8000000000002"/>
    <m/>
    <m/>
    <n v="419.1"/>
    <n v="419.2"/>
    <n v="0"/>
  </r>
  <r>
    <x v="20"/>
    <n v="1900"/>
    <n v="419.15010000000001"/>
    <n v="4.5999999999999999E-2"/>
    <n v="413.13639999999998"/>
    <n v="420.62880000000001"/>
    <n v="423.68509999999998"/>
    <n v="4.4999999999999998E-2"/>
    <n v="4.7E-2"/>
    <n v="4.4999999999999998E-2"/>
    <n v="2233"/>
    <n v="2240"/>
    <n v="2256.8000000000002"/>
    <m/>
    <m/>
    <n v="419.2"/>
    <n v="419.2"/>
    <n v="0"/>
  </r>
  <r>
    <x v="20"/>
    <n v="2000"/>
    <n v="419.16480000000001"/>
    <n v="4.5999999999999999E-2"/>
    <n v="413.13990000000001"/>
    <n v="420.64299999999997"/>
    <n v="423.71159999999998"/>
    <n v="4.5999999999999999E-2"/>
    <n v="0.04"/>
    <n v="0.05"/>
    <n v="2233"/>
    <n v="2240.1999999999998"/>
    <n v="2256.8000000000002"/>
    <m/>
    <m/>
    <n v="419.2"/>
    <n v="419.2"/>
    <n v="0"/>
  </r>
  <r>
    <x v="20"/>
    <n v="2100"/>
    <n v="419.18599999999998"/>
    <n v="0.04"/>
    <n v="413.15039999999999"/>
    <n v="420.66590000000002"/>
    <n v="423.74169999999998"/>
    <n v="4.9000000000000002E-2"/>
    <n v="3.2000000000000001E-2"/>
    <n v="3.6999999999999998E-2"/>
    <n v="2233"/>
    <n v="2240"/>
    <n v="2257"/>
    <m/>
    <m/>
    <n v="419.2"/>
    <n v="419.2"/>
    <n v="0"/>
  </r>
  <r>
    <x v="20"/>
    <n v="2200"/>
    <n v="419.21469999999999"/>
    <n v="4.2999999999999997E-2"/>
    <n v="413.18009999999998"/>
    <n v="420.68529999999998"/>
    <n v="423.77879999999999"/>
    <n v="4.4999999999999998E-2"/>
    <n v="4.2000000000000003E-2"/>
    <n v="4.1000000000000002E-2"/>
    <n v="2233.1999999999998"/>
    <n v="2240.1999999999998"/>
    <n v="2257"/>
    <m/>
    <m/>
    <n v="419.2"/>
    <n v="419.2"/>
    <n v="0"/>
  </r>
  <r>
    <x v="20"/>
    <n v="2300"/>
    <n v="419.2294"/>
    <n v="4.2999999999999997E-2"/>
    <n v="413.19760000000002"/>
    <n v="420.69940000000003"/>
    <n v="423.7912"/>
    <n v="3.1E-2"/>
    <n v="4.9000000000000002E-2"/>
    <n v="4.8000000000000001E-2"/>
    <n v="2233.1999999999998"/>
    <n v="2240.1999999999998"/>
    <n v="2257"/>
    <m/>
    <m/>
    <n v="419.2"/>
    <n v="419.2"/>
    <n v="0"/>
  </r>
  <r>
    <x v="20"/>
    <n v="2400"/>
    <n v="419.22469999999998"/>
    <n v="4.1000000000000002E-2"/>
    <n v="413.19760000000002"/>
    <n v="420.68880000000001"/>
    <n v="423.7876"/>
    <n v="3.1E-2"/>
    <n v="4.3999999999999997E-2"/>
    <n v="4.5999999999999999E-2"/>
    <n v="2233"/>
    <n v="2240.1999999999998"/>
    <n v="2257"/>
    <m/>
    <m/>
    <n v="419.2"/>
    <n v="419.2"/>
    <n v="0"/>
  </r>
  <r>
    <x v="21"/>
    <n v="100"/>
    <n v="419.2294"/>
    <n v="4.1000000000000002E-2"/>
    <n v="413.2011"/>
    <n v="420.69240000000002"/>
    <n v="423.79469999999998"/>
    <n v="2.5000000000000001E-2"/>
    <n v="4.5999999999999999E-2"/>
    <n v="4.9000000000000002E-2"/>
    <n v="2233"/>
    <n v="2240.1999999999998"/>
    <n v="2257.1999999999998"/>
    <m/>
    <m/>
    <n v="419.2"/>
    <n v="419.2"/>
    <n v="0"/>
  </r>
  <r>
    <x v="21"/>
    <n v="200"/>
    <n v="419.24169999999998"/>
    <n v="4.2000000000000003E-2"/>
    <n v="413.2081"/>
    <n v="420.71179999999998"/>
    <n v="423.80529999999999"/>
    <n v="1.9E-2"/>
    <n v="0.05"/>
    <n v="0.05"/>
    <n v="2233.1999999999998"/>
    <n v="2240.4"/>
    <n v="2257"/>
    <m/>
    <m/>
    <n v="419.2"/>
    <n v="419.2"/>
    <n v="0"/>
  </r>
  <r>
    <x v="21"/>
    <n v="300"/>
    <n v="419.24880000000002"/>
    <n v="4.4999999999999998E-2"/>
    <n v="413.22039999999998"/>
    <n v="420.70830000000001"/>
    <n v="423.8177"/>
    <n v="3.3000000000000002E-2"/>
    <n v="0.05"/>
    <n v="4.9000000000000002E-2"/>
    <n v="2233.1999999999998"/>
    <n v="2240.1999999999998"/>
    <n v="2257.1999999999998"/>
    <m/>
    <m/>
    <n v="419.2"/>
    <n v="419.2"/>
    <n v="0"/>
  </r>
  <r>
    <x v="21"/>
    <n v="400"/>
    <n v="419.25639999999999"/>
    <n v="4.7E-2"/>
    <n v="413.23090000000002"/>
    <n v="420.72059999999999"/>
    <n v="423.8177"/>
    <n v="4.2000000000000003E-2"/>
    <n v="0.05"/>
    <n v="4.9000000000000002E-2"/>
    <n v="2233.1999999999998"/>
    <n v="2240.4"/>
    <n v="2257"/>
    <m/>
    <m/>
    <n v="419.3"/>
    <n v="419.3"/>
    <n v="0.10000000000002274"/>
  </r>
  <r>
    <x v="21"/>
    <n v="500"/>
    <n v="419.25110000000001"/>
    <n v="4.5999999999999999E-2"/>
    <n v="413.22739999999999"/>
    <n v="420.70830000000001"/>
    <n v="423.8177"/>
    <n v="3.9E-2"/>
    <n v="0.05"/>
    <n v="4.9000000000000002E-2"/>
    <n v="2233.1999999999998"/>
    <n v="2240.4"/>
    <n v="2257"/>
    <m/>
    <m/>
    <n v="419.3"/>
    <n v="419.3"/>
    <n v="0"/>
  </r>
  <r>
    <x v="21"/>
    <n v="600"/>
    <n v="419.2593"/>
    <n v="4.7E-2"/>
    <n v="413.23259999999999"/>
    <n v="420.72239999999999"/>
    <n v="423.82299999999998"/>
    <n v="4.2999999999999997E-2"/>
    <n v="4.9000000000000002E-2"/>
    <n v="4.8000000000000001E-2"/>
    <n v="2233.4"/>
    <n v="2240.4"/>
    <n v="2257.1999999999998"/>
    <m/>
    <m/>
    <n v="419.3"/>
    <n v="419.3"/>
    <n v="0"/>
  </r>
  <r>
    <x v="21"/>
    <n v="700"/>
    <n v="419.25459999999998"/>
    <n v="4.7E-2"/>
    <n v="413.23259999999999"/>
    <n v="420.71179999999998"/>
    <n v="423.81950000000001"/>
    <n v="4.2999999999999997E-2"/>
    <n v="0.05"/>
    <n v="4.9000000000000002E-2"/>
    <n v="2233.1999999999998"/>
    <n v="2240.4"/>
    <n v="2257"/>
    <m/>
    <m/>
    <n v="419.3"/>
    <n v="419.3"/>
    <n v="0"/>
  </r>
  <r>
    <x v="21"/>
    <n v="800"/>
    <n v="419.24509999999998"/>
    <n v="4.8000000000000001E-2"/>
    <n v="413.2466"/>
    <n v="420.69420000000002"/>
    <n v="423.79469999999998"/>
    <n v="4.9000000000000002E-2"/>
    <n v="4.7E-2"/>
    <n v="4.9000000000000002E-2"/>
    <n v="2233.1999999999998"/>
    <n v="2240.1999999999998"/>
    <n v="2257"/>
    <m/>
    <m/>
    <n v="419.2"/>
    <n v="419.3"/>
    <n v="0"/>
  </r>
  <r>
    <x v="21"/>
    <n v="900"/>
    <n v="419.1345"/>
    <n v="3.9E-2"/>
    <n v="413.22559999999999"/>
    <n v="420.61829999999998"/>
    <n v="423.55959999999999"/>
    <n v="3.7999999999999999E-2"/>
    <n v="0.05"/>
    <n v="2.5999999999999999E-2"/>
    <n v="2233.1999999999998"/>
    <n v="2240.1999999999998"/>
    <n v="2256.6"/>
    <m/>
    <m/>
    <n v="419.1"/>
    <n v="419.3"/>
    <n v="0"/>
  </r>
  <r>
    <x v="21"/>
    <n v="1000"/>
    <n v="419.03579999999999"/>
    <n v="4.7E-2"/>
    <n v="413.15210000000002"/>
    <n v="420.52120000000002"/>
    <n v="423.43400000000003"/>
    <n v="0.05"/>
    <n v="4.9000000000000002E-2"/>
    <n v="4.1000000000000002E-2"/>
    <n v="2233.1999999999998"/>
    <n v="2240"/>
    <n v="2256.4"/>
    <m/>
    <m/>
    <n v="419"/>
    <n v="419.3"/>
    <n v="0"/>
  </r>
  <r>
    <x v="21"/>
    <n v="1100"/>
    <n v="419.02089999999998"/>
    <n v="0.04"/>
    <n v="413.19589999999999"/>
    <n v="420.47879999999998"/>
    <n v="423.38810000000001"/>
    <n v="3.3000000000000002E-2"/>
    <n v="3.7999999999999999E-2"/>
    <n v="4.7E-2"/>
    <n v="2233.1999999999998"/>
    <n v="2240"/>
    <n v="2256.1999999999998"/>
    <m/>
    <m/>
    <n v="419"/>
    <n v="419.3"/>
    <n v="0"/>
  </r>
  <r>
    <x v="21"/>
    <n v="1200"/>
    <n v="418.97340000000003"/>
    <n v="4.2999999999999997E-2"/>
    <n v="413.14159999999998"/>
    <n v="420.4153"/>
    <n v="423.36329999999998"/>
    <n v="4.7E-2"/>
    <n v="0.05"/>
    <n v="2.8000000000000001E-2"/>
    <n v="2233"/>
    <n v="2239.6"/>
    <n v="2256.1999999999998"/>
    <m/>
    <m/>
    <n v="419"/>
    <n v="419.3"/>
    <n v="0"/>
  </r>
  <r>
    <x v="21"/>
    <n v="1300"/>
    <n v="418.9178"/>
    <n v="3.7999999999999999E-2"/>
    <n v="413.0419"/>
    <n v="420.36419999999998"/>
    <n v="423.34739999999999"/>
    <n v="4.7E-2"/>
    <n v="3.7999999999999999E-2"/>
    <n v="2.5999999999999999E-2"/>
    <n v="2232.8000000000002"/>
    <n v="2239.6"/>
    <n v="2256.1999999999998"/>
    <m/>
    <m/>
    <n v="418.9"/>
    <n v="419.3"/>
    <n v="0"/>
  </r>
  <r>
    <x v="21"/>
    <n v="1400"/>
    <n v="418.90789999999998"/>
    <n v="3.6999999999999998E-2"/>
    <n v="413.03309999999999"/>
    <n v="420.34480000000002"/>
    <n v="423.34559999999999"/>
    <n v="4.2999999999999997E-2"/>
    <n v="3.6999999999999998E-2"/>
    <n v="2.8000000000000001E-2"/>
    <n v="2232.8000000000002"/>
    <n v="2239.6"/>
    <n v="2256.1999999999998"/>
    <m/>
    <m/>
    <n v="418.9"/>
    <n v="419.3"/>
    <n v="0"/>
  </r>
  <r>
    <x v="21"/>
    <n v="1500"/>
    <n v="418.8974"/>
    <n v="0.04"/>
    <n v="412.98759999999999"/>
    <n v="420.33600000000001"/>
    <n v="423.36860000000001"/>
    <n v="4.1000000000000002E-2"/>
    <n v="4.2999999999999997E-2"/>
    <n v="3.5000000000000003E-2"/>
    <n v="2232.6"/>
    <n v="2239.6"/>
    <n v="2256.1999999999998"/>
    <m/>
    <m/>
    <n v="418.9"/>
    <n v="419.3"/>
    <n v="0"/>
  </r>
  <r>
    <x v="21"/>
    <n v="1600"/>
    <n v="418.85359999999997"/>
    <n v="4.8000000000000001E-2"/>
    <n v="412.86329999999998"/>
    <n v="420.31479999999999"/>
    <n v="423.38279999999997"/>
    <n v="0.05"/>
    <n v="0.05"/>
    <n v="4.4999999999999998E-2"/>
    <n v="2232.6"/>
    <n v="2239.6"/>
    <n v="2256.1999999999998"/>
    <m/>
    <m/>
    <n v="418.9"/>
    <n v="419.3"/>
    <n v="0"/>
  </r>
  <r>
    <x v="21"/>
    <n v="1700"/>
    <n v="419.00909999999999"/>
    <n v="4.2999999999999997E-2"/>
    <n v="413.02080000000001"/>
    <n v="420.52289999999999"/>
    <n v="423.48349999999999"/>
    <n v="3.3000000000000002E-2"/>
    <n v="4.9000000000000002E-2"/>
    <n v="4.4999999999999998E-2"/>
    <n v="2232.8000000000002"/>
    <n v="2240"/>
    <n v="2256.4"/>
    <m/>
    <m/>
    <n v="419"/>
    <n v="419.3"/>
    <n v="0"/>
  </r>
  <r>
    <x v="21"/>
    <n v="1800"/>
    <n v="419.1078"/>
    <n v="4.4999999999999998E-2"/>
    <n v="413.09789999999998"/>
    <n v="420.61649999999997"/>
    <n v="423.60910000000001"/>
    <n v="3.1E-2"/>
    <n v="0.05"/>
    <n v="0.05"/>
    <n v="2233"/>
    <n v="2240"/>
    <n v="2256.6"/>
    <m/>
    <m/>
    <n v="419.1"/>
    <n v="419.3"/>
    <n v="0"/>
  </r>
  <r>
    <x v="21"/>
    <n v="1900"/>
    <n v="419.13780000000003"/>
    <n v="2.9000000000000001E-2"/>
    <n v="413.11540000000002"/>
    <n v="420.63940000000002"/>
    <n v="423.65859999999998"/>
    <n v="2.5000000000000001E-2"/>
    <n v="4.2000000000000003E-2"/>
    <n v="1.2999999999999999E-2"/>
    <n v="2233"/>
    <n v="2240"/>
    <n v="2256.8000000000002"/>
    <m/>
    <m/>
    <n v="419.1"/>
    <n v="419.3"/>
    <n v="0"/>
  </r>
  <r>
    <x v="21"/>
    <n v="2000"/>
    <n v="419.14780000000002"/>
    <n v="3.6999999999999998E-2"/>
    <n v="413.12060000000002"/>
    <n v="420.6447"/>
    <n v="423.678"/>
    <n v="3.3000000000000002E-2"/>
    <n v="3.7999999999999999E-2"/>
    <n v="4.1000000000000002E-2"/>
    <n v="2233"/>
    <n v="2240.1999999999998"/>
    <n v="2257"/>
    <m/>
    <m/>
    <n v="419.1"/>
    <n v="419.3"/>
    <n v="0"/>
  </r>
  <r>
    <x v="21"/>
    <n v="2100"/>
    <n v="419.15780000000001"/>
    <n v="3.9E-2"/>
    <n v="413.12240000000003"/>
    <n v="420.65710000000001"/>
    <n v="423.69389999999999"/>
    <n v="3.5000000000000003E-2"/>
    <n v="2.9000000000000001E-2"/>
    <n v="4.9000000000000002E-2"/>
    <n v="2233"/>
    <n v="2240.1999999999998"/>
    <n v="2256.8000000000002"/>
    <m/>
    <m/>
    <n v="419.2"/>
    <n v="419.3"/>
    <n v="0"/>
  </r>
  <r>
    <x v="21"/>
    <n v="2200"/>
    <n v="419.17129999999997"/>
    <n v="4.3999999999999997E-2"/>
    <n v="413.14339999999999"/>
    <n v="420.66059999999999"/>
    <n v="423.70979999999997"/>
    <n v="4.8000000000000001E-2"/>
    <n v="0.03"/>
    <n v="0.05"/>
    <n v="2233"/>
    <n v="2240.1999999999998"/>
    <n v="2256.8000000000002"/>
    <m/>
    <m/>
    <n v="419.2"/>
    <n v="419.3"/>
    <n v="0"/>
  </r>
  <r>
    <x v="21"/>
    <n v="2300"/>
    <n v="419.1848"/>
    <n v="4.3999999999999997E-2"/>
    <n v="413.14339999999999"/>
    <n v="420.68"/>
    <n v="423.73099999999999"/>
    <n v="4.8000000000000001E-2"/>
    <n v="3.7999999999999999E-2"/>
    <n v="4.3999999999999997E-2"/>
    <n v="2233.1999999999998"/>
    <n v="2240.1999999999998"/>
    <n v="2257"/>
    <m/>
    <m/>
    <n v="419.2"/>
    <n v="419.3"/>
    <n v="0"/>
  </r>
  <r>
    <x v="21"/>
    <n v="2400"/>
    <n v="419.19600000000003"/>
    <n v="4.2000000000000003E-2"/>
    <n v="413.15910000000002"/>
    <n v="420.68360000000001"/>
    <n v="423.74520000000001"/>
    <n v="0.05"/>
    <n v="4.1000000000000002E-2"/>
    <n v="3.3000000000000002E-2"/>
    <n v="2233.1999999999998"/>
    <n v="2240.1999999999998"/>
    <n v="2257"/>
    <m/>
    <m/>
    <n v="419.2"/>
    <n v="419.3"/>
    <n v="0"/>
  </r>
  <r>
    <x v="22"/>
    <n v="100"/>
    <n v="419.19130000000001"/>
    <n v="4.2999999999999997E-2"/>
    <n v="413.15559999999999"/>
    <n v="420.68"/>
    <n v="423.73809999999997"/>
    <n v="0.05"/>
    <n v="3.7999999999999999E-2"/>
    <n v="0.04"/>
    <n v="2233"/>
    <n v="2240.1999999999998"/>
    <n v="2257"/>
    <m/>
    <m/>
    <n v="419.2"/>
    <n v="419.3"/>
    <n v="0"/>
  </r>
  <r>
    <x v="22"/>
    <n v="200"/>
    <n v="419.1977"/>
    <n v="4.2999999999999997E-2"/>
    <n v="413.16090000000003"/>
    <n v="420.68709999999999"/>
    <n v="423.74520000000001"/>
    <n v="0.05"/>
    <n v="4.2999999999999997E-2"/>
    <n v="3.3000000000000002E-2"/>
    <n v="2233"/>
    <n v="2240.4"/>
    <n v="2257"/>
    <m/>
    <m/>
    <n v="419.2"/>
    <n v="419.3"/>
    <n v="0"/>
  </r>
  <r>
    <x v="22"/>
    <n v="300"/>
    <n v="419.20240000000001"/>
    <n v="4.1000000000000002E-2"/>
    <n v="413.1644"/>
    <n v="420.69060000000002"/>
    <n v="423.75229999999999"/>
    <n v="0.05"/>
    <n v="4.4999999999999998E-2"/>
    <n v="2.3E-2"/>
    <n v="2233"/>
    <n v="2240.1999999999998"/>
    <n v="2257"/>
    <m/>
    <m/>
    <n v="419.2"/>
    <n v="419.3"/>
    <n v="0"/>
  </r>
  <r>
    <x v="22"/>
    <n v="400"/>
    <n v="419.20060000000001"/>
    <n v="0.04"/>
    <n v="413.1696"/>
    <n v="420.68"/>
    <n v="423.75229999999999"/>
    <n v="4.9000000000000002E-2"/>
    <n v="3.7999999999999999E-2"/>
    <n v="2.9000000000000001E-2"/>
    <n v="2233.1999999999998"/>
    <n v="2240.1999999999998"/>
    <n v="2257"/>
    <m/>
    <m/>
    <n v="419.2"/>
    <n v="419.3"/>
    <n v="0"/>
  </r>
  <r>
    <x v="22"/>
    <n v="500"/>
    <n v="419.2165"/>
    <n v="4.1000000000000002E-2"/>
    <n v="413.18540000000002"/>
    <n v="420.69589999999999"/>
    <n v="423.76819999999998"/>
    <n v="4.2000000000000003E-2"/>
    <n v="4.7E-2"/>
    <n v="3.1E-2"/>
    <n v="2233.1999999999998"/>
    <n v="2240.1999999999998"/>
    <n v="2257"/>
    <m/>
    <m/>
    <n v="419.2"/>
    <n v="419.3"/>
    <n v="0"/>
  </r>
  <r>
    <x v="22"/>
    <n v="600"/>
    <n v="419.22879999999998"/>
    <n v="4.2999999999999997E-2"/>
    <n v="413.19240000000002"/>
    <n v="420.71350000000001"/>
    <n v="423.78050000000002"/>
    <n v="3.5999999999999997E-2"/>
    <n v="0.05"/>
    <n v="4.2000000000000003E-2"/>
    <n v="2233.1999999999998"/>
    <n v="2240.4"/>
    <n v="2257"/>
    <m/>
    <m/>
    <n v="419.2"/>
    <n v="419.3"/>
    <n v="0"/>
  </r>
  <r>
    <x v="22"/>
    <n v="700"/>
    <n v="419.22710000000001"/>
    <n v="4.2000000000000003E-2"/>
    <n v="413.19409999999999"/>
    <n v="420.70830000000001"/>
    <n v="423.77879999999999"/>
    <n v="3.5000000000000003E-2"/>
    <n v="0.05"/>
    <n v="4.1000000000000002E-2"/>
    <n v="2233"/>
    <n v="2240.1999999999998"/>
    <n v="2257.1999999999998"/>
    <m/>
    <m/>
    <n v="419.2"/>
    <n v="419.3"/>
    <n v="0"/>
  </r>
  <r>
    <x v="22"/>
    <n v="800"/>
    <n v="419.21530000000001"/>
    <n v="3.9E-2"/>
    <n v="413.18709999999999"/>
    <n v="420.69940000000003"/>
    <n v="423.7593"/>
    <n v="4.1000000000000002E-2"/>
    <n v="4.9000000000000002E-2"/>
    <n v="2.3E-2"/>
    <n v="2233.1999999999998"/>
    <n v="2240.1999999999998"/>
    <n v="2257"/>
    <m/>
    <m/>
    <n v="419.2"/>
    <n v="419.3"/>
    <n v="0"/>
  </r>
  <r>
    <x v="22"/>
    <n v="900"/>
    <n v="419.21"/>
    <n v="3.3000000000000002E-2"/>
    <n v="413.19060000000002"/>
    <n v="420.68360000000001"/>
    <n v="423.75580000000002"/>
    <n v="3.7999999999999999E-2"/>
    <n v="4.1000000000000002E-2"/>
    <n v="1.2999999999999999E-2"/>
    <n v="2233.1999999999998"/>
    <n v="2240.1999999999998"/>
    <n v="2257"/>
    <m/>
    <m/>
    <n v="419.2"/>
    <n v="419.3"/>
    <n v="0"/>
  </r>
  <r>
    <x v="22"/>
    <n v="1000"/>
    <n v="419.20119999999997"/>
    <n v="3.7999999999999999E-2"/>
    <n v="413.18540000000002"/>
    <n v="420.6712"/>
    <n v="423.74689999999998"/>
    <n v="4.2000000000000003E-2"/>
    <n v="3.9E-2"/>
    <n v="3.1E-2"/>
    <n v="2233.1999999999998"/>
    <n v="2240.1999999999998"/>
    <n v="2257"/>
    <m/>
    <m/>
    <n v="419.2"/>
    <n v="419.3"/>
    <n v="0"/>
  </r>
  <r>
    <x v="22"/>
    <n v="1100"/>
    <n v="419.16890000000001"/>
    <n v="4.9000000000000002E-2"/>
    <n v="413.1644"/>
    <n v="420.62880000000001"/>
    <n v="423.71339999999998"/>
    <n v="0.05"/>
    <n v="4.7E-2"/>
    <n v="0.05"/>
    <n v="2233.1999999999998"/>
    <n v="2240.1999999999998"/>
    <n v="2257"/>
    <m/>
    <m/>
    <n v="419.2"/>
    <n v="419.3"/>
    <n v="0"/>
  </r>
  <r>
    <x v="22"/>
    <n v="1200"/>
    <n v="419.1454"/>
    <n v="4.8000000000000001E-2"/>
    <n v="413.14339999999999"/>
    <n v="420.60419999999999"/>
    <n v="423.68860000000001"/>
    <n v="4.8000000000000001E-2"/>
    <n v="0.05"/>
    <n v="4.7E-2"/>
    <n v="2233"/>
    <n v="2240"/>
    <n v="2256.8000000000002"/>
    <m/>
    <m/>
    <n v="419.1"/>
    <n v="419.3"/>
    <n v="0"/>
  </r>
  <r>
    <x v="22"/>
    <n v="1300"/>
    <n v="419.1377"/>
    <n v="4.4999999999999998E-2"/>
    <n v="413.13810000000001"/>
    <n v="420.59710000000001"/>
    <n v="423.678"/>
    <n v="4.5999999999999999E-2"/>
    <n v="4.8000000000000001E-2"/>
    <n v="4.1000000000000002E-2"/>
    <n v="2233"/>
    <n v="2240.1999999999998"/>
    <n v="2256.8000000000002"/>
    <m/>
    <m/>
    <n v="419.1"/>
    <n v="419.3"/>
    <n v="0"/>
  </r>
  <r>
    <x v="22"/>
    <n v="1400"/>
    <n v="419.13420000000002"/>
    <n v="4.2999999999999997E-2"/>
    <n v="413.1241"/>
    <n v="420.59710000000001"/>
    <n v="423.68150000000003"/>
    <n v="3.5999999999999997E-2"/>
    <n v="4.8000000000000001E-2"/>
    <n v="4.2999999999999997E-2"/>
    <n v="2233"/>
    <n v="2240"/>
    <n v="2257"/>
    <m/>
    <m/>
    <n v="419.1"/>
    <n v="419.3"/>
    <n v="0"/>
  </r>
  <r>
    <x v="22"/>
    <n v="1500"/>
    <n v="419.13889999999998"/>
    <n v="4.4999999999999998E-2"/>
    <n v="413.1259"/>
    <n v="420.60590000000002"/>
    <n v="423.68509999999998"/>
    <n v="3.7999999999999999E-2"/>
    <n v="0.05"/>
    <n v="4.4999999999999998E-2"/>
    <n v="2233"/>
    <n v="2240.1999999999998"/>
    <n v="2256.8000000000002"/>
    <m/>
    <m/>
    <n v="419.1"/>
    <n v="419.3"/>
    <n v="0"/>
  </r>
  <r>
    <x v="22"/>
    <n v="1600"/>
    <n v="419.16660000000002"/>
    <n v="4.5999999999999999E-2"/>
    <n v="413.13810000000001"/>
    <n v="420.6377"/>
    <n v="423.72399999999999"/>
    <n v="4.5999999999999999E-2"/>
    <n v="4.2999999999999997E-2"/>
    <n v="4.8000000000000001E-2"/>
    <n v="2233"/>
    <n v="2240.1999999999998"/>
    <n v="2257"/>
    <m/>
    <m/>
    <n v="419.2"/>
    <n v="419.3"/>
    <n v="0"/>
  </r>
  <r>
    <x v="22"/>
    <n v="1700"/>
    <n v="419.19130000000001"/>
    <n v="0.04"/>
    <n v="413.14690000000002"/>
    <n v="420.68"/>
    <n v="423.74689999999998"/>
    <n v="4.9000000000000002E-2"/>
    <n v="3.7999999999999999E-2"/>
    <n v="3.1E-2"/>
    <n v="2233.1999999999998"/>
    <n v="2240.1999999999998"/>
    <n v="2257"/>
    <m/>
    <m/>
    <n v="419.2"/>
    <n v="419.3"/>
    <n v="0"/>
  </r>
  <r>
    <x v="22"/>
    <n v="1800"/>
    <n v="419.17140000000001"/>
    <n v="3.5000000000000003E-2"/>
    <n v="413.10140000000001"/>
    <n v="420.64830000000001"/>
    <n v="423.76459999999997"/>
    <n v="4.1000000000000002E-2"/>
    <n v="3.5000000000000003E-2"/>
    <n v="2.5999999999999999E-2"/>
    <n v="2232.8000000000002"/>
    <n v="2240.1999999999998"/>
    <n v="2257"/>
    <m/>
    <m/>
    <n v="419.2"/>
    <n v="419.3"/>
    <n v="0"/>
  </r>
  <r>
    <x v="22"/>
    <n v="1900"/>
    <n v="419.21480000000003"/>
    <n v="4.5999999999999999E-2"/>
    <n v="413.16789999999997"/>
    <n v="420.70119999999997"/>
    <n v="423.77519999999998"/>
    <n v="4.9000000000000002E-2"/>
    <n v="4.9000000000000002E-2"/>
    <n v="3.7999999999999999E-2"/>
    <n v="2233.1999999999998"/>
    <n v="2240.1999999999998"/>
    <n v="2257"/>
    <m/>
    <m/>
    <n v="419.2"/>
    <n v="419.3"/>
    <n v="0"/>
  </r>
  <r>
    <x v="22"/>
    <n v="2000"/>
    <n v="419.21530000000001"/>
    <n v="4.4999999999999998E-2"/>
    <n v="413.1696"/>
    <n v="420.70650000000001"/>
    <n v="423.77"/>
    <n v="4.9000000000000002E-2"/>
    <n v="0.05"/>
    <n v="3.3000000000000002E-2"/>
    <n v="2233.1999999999998"/>
    <n v="2240.1999999999998"/>
    <n v="2257"/>
    <m/>
    <m/>
    <n v="419.2"/>
    <n v="419.3"/>
    <n v="0"/>
  </r>
  <r>
    <x v="22"/>
    <n v="2100"/>
    <n v="419.25049999999999"/>
    <n v="2.9000000000000001E-2"/>
    <n v="413.21859999999998"/>
    <n v="420.7647"/>
    <n v="423.76819999999998"/>
    <n v="3.1E-2"/>
    <n v="2.3E-2"/>
    <n v="3.1E-2"/>
    <n v="2233.1999999999998"/>
    <n v="2240.4"/>
    <n v="2257"/>
    <m/>
    <m/>
    <n v="419.3"/>
    <n v="419.3"/>
    <n v="0"/>
  </r>
  <r>
    <x v="22"/>
    <n v="2200"/>
    <n v="419.22230000000002"/>
    <n v="3.9E-2"/>
    <n v="413.19940000000003"/>
    <n v="420.7312"/>
    <n v="423.7364"/>
    <n v="2.8000000000000001E-2"/>
    <n v="4.7E-2"/>
    <n v="4.1000000000000002E-2"/>
    <n v="2233.1999999999998"/>
    <n v="2240.4"/>
    <n v="2257"/>
    <m/>
    <m/>
    <n v="419.2"/>
    <n v="419.3"/>
    <n v="0"/>
  </r>
  <r>
    <x v="22"/>
    <n v="2300"/>
    <n v="419.1952"/>
    <n v="4.2999999999999997E-2"/>
    <n v="413.19589999999999"/>
    <n v="420.69240000000002"/>
    <n v="423.69740000000002"/>
    <n v="3.3000000000000002E-2"/>
    <n v="4.5999999999999999E-2"/>
    <n v="4.9000000000000002E-2"/>
    <n v="2233.1999999999998"/>
    <n v="2240.4"/>
    <n v="2257"/>
    <m/>
    <m/>
    <n v="419.2"/>
    <n v="419.3"/>
    <n v="0"/>
  </r>
  <r>
    <x v="22"/>
    <n v="2400"/>
    <n v="419.1782"/>
    <n v="3.9E-2"/>
    <n v="413.19240000000002"/>
    <n v="420.66239999999999"/>
    <n v="423.6798"/>
    <n v="4.1000000000000002E-2"/>
    <n v="3.3000000000000002E-2"/>
    <n v="4.2000000000000003E-2"/>
    <n v="2233.1999999999998"/>
    <n v="2240.1999999999998"/>
    <n v="2256.8000000000002"/>
    <m/>
    <m/>
    <n v="419.2"/>
    <n v="419.3"/>
    <n v="0"/>
  </r>
  <r>
    <x v="23"/>
    <n v="100"/>
    <n v="419.1191"/>
    <n v="4.8000000000000001E-2"/>
    <n v="413.07159999999999"/>
    <n v="420.59359999999998"/>
    <n v="423.69220000000001"/>
    <n v="4.8000000000000001E-2"/>
    <n v="4.7E-2"/>
    <n v="4.8000000000000001E-2"/>
    <n v="2233"/>
    <n v="2240"/>
    <n v="2256.8000000000002"/>
    <m/>
    <m/>
    <n v="419.1"/>
    <n v="419.3"/>
    <n v="0"/>
  </r>
  <r>
    <x v="23"/>
    <n v="200"/>
    <n v="419.14080000000001"/>
    <n v="4.4999999999999998E-2"/>
    <n v="413.10140000000001"/>
    <n v="420.613"/>
    <n v="423.7081"/>
    <n v="3.2000000000000001E-2"/>
    <n v="0.05"/>
    <n v="0.05"/>
    <n v="2233"/>
    <n v="2240"/>
    <n v="2256.8000000000002"/>
    <m/>
    <m/>
    <n v="419.1"/>
    <n v="419.3"/>
    <n v="0"/>
  </r>
  <r>
    <x v="23"/>
    <n v="300"/>
    <n v="419.07639999999998"/>
    <n v="4.2999999999999997E-2"/>
    <n v="413.00689999999997"/>
    <n v="420.49829999999997"/>
    <n v="423.72399999999999"/>
    <n v="2.9000000000000001E-2"/>
    <n v="4.9000000000000002E-2"/>
    <n v="4.8000000000000001E-2"/>
    <n v="2232.6"/>
    <n v="2239.8000000000002"/>
    <n v="2257"/>
    <m/>
    <m/>
    <n v="419.1"/>
    <n v="419.3"/>
    <n v="0"/>
  </r>
  <r>
    <x v="23"/>
    <n v="400"/>
    <n v="419.17129999999997"/>
    <n v="3.7999999999999999E-2"/>
    <n v="413.12759999999997"/>
    <n v="420.64120000000003"/>
    <n v="423.74520000000001"/>
    <n v="3.9E-2"/>
    <n v="4.1000000000000002E-2"/>
    <n v="3.3000000000000002E-2"/>
    <n v="2233"/>
    <n v="2240.1999999999998"/>
    <n v="2257"/>
    <m/>
    <m/>
    <n v="419.2"/>
    <n v="419.3"/>
    <n v="0"/>
  </r>
  <r>
    <x v="23"/>
    <n v="500"/>
    <n v="419.16550000000001"/>
    <n v="3.1E-2"/>
    <n v="413.09789999999998"/>
    <n v="420.6465"/>
    <n v="423.75229999999999"/>
    <n v="3.1E-2"/>
    <n v="3.6999999999999998E-2"/>
    <n v="2.3E-2"/>
    <n v="2232.8000000000002"/>
    <n v="2240.1999999999998"/>
    <n v="2256.8000000000002"/>
    <m/>
    <m/>
    <n v="419.2"/>
    <n v="419.3"/>
    <n v="0"/>
  </r>
  <r>
    <x v="23"/>
    <n v="600"/>
    <n v="419.14920000000001"/>
    <n v="4.2999999999999997E-2"/>
    <n v="413.05939999999998"/>
    <n v="420.62360000000001"/>
    <n v="423.76459999999997"/>
    <n v="0.05"/>
    <n v="4.9000000000000002E-2"/>
    <n v="2.5999999999999999E-2"/>
    <n v="2232.8000000000002"/>
    <n v="2240.1999999999998"/>
    <n v="2257"/>
    <m/>
    <m/>
    <n v="419.1"/>
    <n v="419.3"/>
    <n v="0"/>
  </r>
  <r>
    <x v="23"/>
    <n v="700"/>
    <n v="419.1463"/>
    <n v="4.3999999999999997E-2"/>
    <n v="413.05059999999997"/>
    <n v="420.62"/>
    <n v="423.76819999999998"/>
    <n v="4.9000000000000002E-2"/>
    <n v="0.05"/>
    <n v="3.1E-2"/>
    <n v="2233"/>
    <n v="2240"/>
    <n v="2257"/>
    <m/>
    <m/>
    <n v="419.1"/>
    <n v="419.3"/>
    <n v="0"/>
  </r>
  <r>
    <x v="23"/>
    <n v="800"/>
    <n v="419.18439999999998"/>
    <n v="4.1000000000000002E-2"/>
    <n v="413.0856"/>
    <n v="420.71530000000001"/>
    <n v="423.75229999999999"/>
    <n v="4.2000000000000003E-2"/>
    <n v="0.05"/>
    <n v="2.9000000000000001E-2"/>
    <n v="2233"/>
    <n v="2240.1999999999998"/>
    <n v="2257"/>
    <m/>
    <m/>
    <n v="419.2"/>
    <n v="419.3"/>
    <n v="0"/>
  </r>
  <r>
    <x v="23"/>
    <n v="900"/>
    <n v="419.1046"/>
    <n v="4.7E-2"/>
    <n v="413.18009999999998"/>
    <n v="420.60939999999999"/>
    <n v="423.52420000000001"/>
    <n v="4.4999999999999998E-2"/>
    <n v="0.05"/>
    <n v="4.7E-2"/>
    <n v="2233.1999999999998"/>
    <n v="2240"/>
    <n v="2256.6"/>
    <m/>
    <m/>
    <n v="419.1"/>
    <n v="419.3"/>
    <n v="0"/>
  </r>
  <r>
    <x v="23"/>
    <n v="1000"/>
    <n v="419.0369"/>
    <n v="4.5999999999999999E-2"/>
    <n v="413.1626"/>
    <n v="420.54419999999999"/>
    <n v="423.404"/>
    <n v="0.05"/>
    <n v="3.7999999999999999E-2"/>
    <n v="0.05"/>
    <n v="2233"/>
    <n v="2240"/>
    <n v="2256.4"/>
    <m/>
    <m/>
    <n v="419"/>
    <n v="419.3"/>
    <n v="0"/>
  </r>
  <r>
    <x v="23"/>
    <n v="1100"/>
    <n v="418.9742"/>
    <n v="3.6999999999999998E-2"/>
    <n v="413.08210000000003"/>
    <n v="420.47179999999997"/>
    <n v="423.36860000000001"/>
    <n v="4.3999999999999997E-2"/>
    <n v="3.1E-2"/>
    <n v="3.5000000000000003E-2"/>
    <n v="2233"/>
    <n v="2239.8000000000002"/>
    <n v="2256.1999999999998"/>
    <m/>
    <m/>
    <n v="419"/>
    <n v="419.3"/>
    <n v="0"/>
  </r>
  <r>
    <x v="23"/>
    <n v="1200"/>
    <n v="418.90069999999997"/>
    <n v="4.2000000000000003E-2"/>
    <n v="413.0489"/>
    <n v="420.36779999999999"/>
    <n v="423.28559999999999"/>
    <n v="4.9000000000000002E-2"/>
    <n v="2.5999999999999999E-2"/>
    <n v="4.7E-2"/>
    <n v="2232.8000000000002"/>
    <n v="2239.8000000000002"/>
    <n v="2256"/>
    <m/>
    <m/>
    <n v="418.9"/>
    <n v="419.3"/>
    <n v="0"/>
  </r>
  <r>
    <x v="23"/>
    <n v="1300"/>
    <n v="418.87639999999999"/>
    <n v="4.7E-2"/>
    <n v="412.9194"/>
    <n v="420.39249999999998"/>
    <n v="423.31740000000002"/>
    <n v="4.4999999999999998E-2"/>
    <n v="4.7E-2"/>
    <n v="4.9000000000000002E-2"/>
    <n v="2232.6"/>
    <n v="2239.6"/>
    <n v="2256.1999999999998"/>
    <m/>
    <m/>
    <n v="418.9"/>
    <n v="419.3"/>
    <n v="0"/>
  </r>
  <r>
    <x v="23"/>
    <n v="1400"/>
    <n v="418.92399999999998"/>
    <n v="4.2000000000000003E-2"/>
    <n v="412.95609999999999"/>
    <n v="420.44529999999997"/>
    <n v="423.37040000000002"/>
    <n v="0.05"/>
    <n v="3.6999999999999998E-2"/>
    <n v="3.6999999999999998E-2"/>
    <n v="2232.8000000000002"/>
    <n v="2239.8000000000002"/>
    <n v="2256.1999999999998"/>
    <m/>
    <m/>
    <n v="418.9"/>
    <n v="419.3"/>
    <n v="0"/>
  </r>
  <r>
    <x v="23"/>
    <n v="1500"/>
    <n v="418.95330000000001"/>
    <n v="4.7E-2"/>
    <n v="412.96839999999997"/>
    <n v="420.48239999999998"/>
    <n v="423.40929999999997"/>
    <n v="4.9000000000000002E-2"/>
    <n v="4.1000000000000002E-2"/>
    <n v="0.05"/>
    <n v="2232.6"/>
    <n v="2239.8000000000002"/>
    <n v="2256.4"/>
    <m/>
    <m/>
    <n v="419"/>
    <n v="419.3"/>
    <n v="0"/>
  </r>
  <r>
    <x v="23"/>
    <n v="1600"/>
    <n v="418.98270000000002"/>
    <n v="0.04"/>
    <n v="412.98930000000001"/>
    <n v="420.51060000000001"/>
    <n v="423.44810000000001"/>
    <n v="3.9E-2"/>
    <n v="0.05"/>
    <n v="2.5999999999999999E-2"/>
    <n v="2232.6"/>
    <n v="2239.8000000000002"/>
    <n v="2256.1999999999998"/>
    <m/>
    <m/>
    <n v="419"/>
    <n v="419.3"/>
    <n v="0"/>
  </r>
  <r>
    <x v="23"/>
    <n v="1700"/>
    <n v="419.0204"/>
    <n v="4.2000000000000003E-2"/>
    <n v="413.01029999999997"/>
    <n v="420.553"/>
    <n v="423.49770000000001"/>
    <n v="3.5000000000000003E-2"/>
    <n v="3.9E-2"/>
    <n v="0.05"/>
    <n v="2233"/>
    <n v="2240"/>
    <n v="2256.6"/>
    <m/>
    <m/>
    <n v="419"/>
    <n v="419.3"/>
    <n v="0"/>
  </r>
  <r>
    <x v="23"/>
    <n v="1800"/>
    <n v="419.06200000000001"/>
    <n v="4.4999999999999998E-2"/>
    <n v="413.05939999999998"/>
    <n v="420.59"/>
    <n v="423.53660000000002"/>
    <n v="0.05"/>
    <n v="4.4999999999999998E-2"/>
    <n v="0.04"/>
    <n v="2232.8000000000002"/>
    <n v="2240"/>
    <n v="2256.4"/>
    <m/>
    <m/>
    <n v="419.1"/>
    <n v="419.3"/>
    <n v="0"/>
  </r>
  <r>
    <x v="23"/>
    <n v="1900"/>
    <n v="419.07380000000001"/>
    <n v="4.3999999999999997E-2"/>
    <n v="413.06639999999999"/>
    <n v="420.60770000000002"/>
    <n v="423.54719999999998"/>
    <n v="4.9000000000000002E-2"/>
    <n v="0.05"/>
    <n v="2.9000000000000001E-2"/>
    <n v="2233"/>
    <n v="2240"/>
    <n v="2256.4"/>
    <m/>
    <m/>
    <n v="419.1"/>
    <n v="419.3"/>
    <n v="0"/>
  </r>
  <r>
    <x v="23"/>
    <n v="2000"/>
    <n v="419.07380000000001"/>
    <n v="4.2999999999999997E-2"/>
    <n v="413.06459999999998"/>
    <n v="420.60419999999999"/>
    <n v="423.55250000000001"/>
    <n v="0.05"/>
    <n v="0.05"/>
    <n v="2.5999999999999999E-2"/>
    <n v="2232.8000000000002"/>
    <n v="2240.1999999999998"/>
    <n v="2256.6"/>
    <m/>
    <m/>
    <n v="419.1"/>
    <n v="419.3"/>
    <n v="0"/>
  </r>
  <r>
    <x v="23"/>
    <n v="2100"/>
    <n v="419.06259999999997"/>
    <n v="4.2999999999999997E-2"/>
    <n v="413.05759999999998"/>
    <n v="420.5883"/>
    <n v="423.5419"/>
    <n v="0.05"/>
    <n v="4.3999999999999997E-2"/>
    <n v="3.5000000000000003E-2"/>
    <n v="2232.8000000000002"/>
    <n v="2240"/>
    <n v="2256.6"/>
    <m/>
    <m/>
    <n v="419.1"/>
    <n v="419.3"/>
    <n v="0"/>
  </r>
  <r>
    <x v="23"/>
    <n v="2200"/>
    <n v="419.06909999999999"/>
    <n v="4.1000000000000002E-2"/>
    <n v="413.06110000000001"/>
    <n v="420.59359999999998"/>
    <n v="423.55250000000001"/>
    <n v="0.05"/>
    <n v="4.7E-2"/>
    <n v="1.9E-2"/>
    <n v="2232.8000000000002"/>
    <n v="2240.1999999999998"/>
    <n v="2256.6"/>
    <m/>
    <m/>
    <n v="419.1"/>
    <n v="419.3"/>
    <n v="0"/>
  </r>
  <r>
    <x v="23"/>
    <n v="2300"/>
    <n v="419.07490000000001"/>
    <n v="4.2999999999999997E-2"/>
    <n v="413.06990000000002"/>
    <n v="420.59179999999998"/>
    <n v="423.56310000000002"/>
    <n v="4.9000000000000002E-2"/>
    <n v="0.05"/>
    <n v="2.5999999999999999E-2"/>
    <n v="2233"/>
    <n v="2240"/>
    <n v="2256.6"/>
    <m/>
    <m/>
    <n v="419.1"/>
    <n v="419.3"/>
    <n v="0"/>
  </r>
  <r>
    <x v="23"/>
    <n v="2400"/>
    <n v="419.06079999999997"/>
    <n v="0.04"/>
    <n v="413.06110000000001"/>
    <n v="420.57420000000002"/>
    <n v="423.54719999999998"/>
    <n v="0.05"/>
    <n v="3.7999999999999999E-2"/>
    <n v="2.9000000000000001E-2"/>
    <n v="2232.8000000000002"/>
    <n v="2240"/>
    <n v="2256.6"/>
    <m/>
    <m/>
    <n v="419.1"/>
    <n v="419.3"/>
    <n v="0"/>
  </r>
  <r>
    <x v="24"/>
    <n v="100"/>
    <n v="419.06790000000001"/>
    <n v="0.04"/>
    <n v="413.06290000000001"/>
    <n v="420.57769999999999"/>
    <n v="423.56310000000002"/>
    <n v="0.05"/>
    <n v="4.1000000000000002E-2"/>
    <n v="2.5999999999999999E-2"/>
    <n v="2233"/>
    <n v="2240"/>
    <n v="2256.6"/>
    <m/>
    <m/>
    <n v="419.1"/>
    <n v="419.3"/>
    <n v="0"/>
  </r>
  <r>
    <x v="24"/>
    <n v="200"/>
    <n v="419.07139999999998"/>
    <n v="3.9E-2"/>
    <n v="413.07339999999999"/>
    <n v="420.57769999999999"/>
    <n v="423.56310000000002"/>
    <n v="4.8000000000000001E-2"/>
    <n v="4.1000000000000002E-2"/>
    <n v="2.5999999999999999E-2"/>
    <n v="2233"/>
    <n v="2240"/>
    <n v="2256.6"/>
    <m/>
    <m/>
    <n v="419.1"/>
    <n v="419.3"/>
    <n v="0"/>
  </r>
  <r>
    <x v="24"/>
    <n v="300"/>
    <n v="419.06200000000001"/>
    <n v="3.7999999999999999E-2"/>
    <n v="413.06639999999999"/>
    <n v="420.56529999999998"/>
    <n v="423.55430000000001"/>
    <n v="4.9000000000000002E-2"/>
    <n v="3.2000000000000001E-2"/>
    <n v="0.03"/>
    <n v="2233"/>
    <n v="2240.1999999999998"/>
    <n v="2256.6"/>
    <m/>
    <m/>
    <n v="419.1"/>
    <n v="419.3"/>
    <n v="0"/>
  </r>
  <r>
    <x v="24"/>
    <n v="400"/>
    <n v="419.06670000000003"/>
    <n v="3.9E-2"/>
    <n v="413.06290000000001"/>
    <n v="420.57589999999999"/>
    <n v="423.56139999999999"/>
    <n v="0.05"/>
    <n v="0.04"/>
    <n v="2.1999999999999999E-2"/>
    <n v="2232.8000000000002"/>
    <n v="2240"/>
    <n v="2256.6"/>
    <m/>
    <m/>
    <n v="419.1"/>
    <n v="419.3"/>
    <n v="0"/>
  </r>
  <r>
    <x v="24"/>
    <n v="500"/>
    <n v="419.08199999999999"/>
    <n v="4.5999999999999999E-2"/>
    <n v="413.07159999999999"/>
    <n v="420.59359999999998"/>
    <n v="423.58080000000001"/>
    <n v="4.8000000000000001E-2"/>
    <n v="4.7E-2"/>
    <n v="4.2999999999999997E-2"/>
    <n v="2233"/>
    <n v="2240.1999999999998"/>
    <n v="2256.8000000000002"/>
    <m/>
    <m/>
    <n v="419.1"/>
    <n v="419.3"/>
    <n v="0"/>
  </r>
  <r>
    <x v="24"/>
    <n v="600"/>
    <n v="419.09609999999998"/>
    <n v="4.7E-2"/>
    <n v="413.0856"/>
    <n v="420.59710000000001"/>
    <n v="423.60559999999998"/>
    <n v="4.2000000000000003E-2"/>
    <n v="4.8000000000000001E-2"/>
    <n v="0.05"/>
    <n v="2233"/>
    <n v="2240"/>
    <n v="2256.6"/>
    <m/>
    <m/>
    <n v="419.1"/>
    <n v="419.3"/>
    <n v="0"/>
  </r>
  <r>
    <x v="24"/>
    <n v="700"/>
    <n v="419.1155"/>
    <n v="4.2999999999999997E-2"/>
    <n v="413.10140000000001"/>
    <n v="420.61470000000003"/>
    <n v="423.63029999999998"/>
    <n v="3.2000000000000001E-2"/>
    <n v="0.05"/>
    <n v="4.3999999999999997E-2"/>
    <n v="2233"/>
    <n v="2240"/>
    <n v="2256.8000000000002"/>
    <m/>
    <m/>
    <n v="419.1"/>
    <n v="419.3"/>
    <n v="0"/>
  </r>
  <r>
    <x v="24"/>
    <n v="800"/>
    <n v="419.12310000000002"/>
    <n v="0.04"/>
    <n v="413.11009999999999"/>
    <n v="420.62"/>
    <n v="423.63909999999998"/>
    <n v="2.9000000000000001E-2"/>
    <n v="0.05"/>
    <n v="3.7999999999999999E-2"/>
    <n v="2233"/>
    <n v="2240.1999999999998"/>
    <n v="2256.8000000000002"/>
    <m/>
    <m/>
    <n v="419.1"/>
    <n v="419.3"/>
    <n v="0"/>
  </r>
  <r>
    <x v="24"/>
    <n v="900"/>
    <n v="419.11349999999999"/>
    <n v="4.3999999999999997E-2"/>
    <n v="413.1626"/>
    <n v="420.62880000000001"/>
    <n v="423.54899999999998"/>
    <n v="0.05"/>
    <n v="4.7E-2"/>
    <n v="3.2000000000000001E-2"/>
    <n v="2233.1999999999998"/>
    <n v="2240.1999999999998"/>
    <n v="2256.6"/>
    <m/>
    <m/>
    <n v="419.1"/>
    <n v="419.3"/>
    <n v="0"/>
  </r>
  <r>
    <x v="24"/>
    <n v="1000"/>
    <n v="419.05470000000003"/>
    <n v="3.2000000000000001E-2"/>
    <n v="413.13990000000001"/>
    <n v="420.56880000000001"/>
    <n v="423.45519999999999"/>
    <n v="4.5999999999999999E-2"/>
    <n v="3.2000000000000001E-2"/>
    <n v="0"/>
    <n v="2233"/>
    <n v="2240"/>
    <n v="2256.4"/>
    <m/>
    <m/>
    <n v="419.1"/>
    <n v="419.3"/>
    <n v="0"/>
  </r>
  <r>
    <x v="24"/>
    <n v="1100"/>
    <n v="419.02530000000002"/>
    <n v="4.1000000000000002E-2"/>
    <n v="413.10840000000002"/>
    <n v="420.51940000000002"/>
    <n v="423.44810000000001"/>
    <n v="4.2000000000000003E-2"/>
    <n v="0.05"/>
    <n v="2.5999999999999999E-2"/>
    <n v="2233"/>
    <n v="2239.8000000000002"/>
    <n v="2256.4"/>
    <m/>
    <m/>
    <n v="419"/>
    <n v="419.3"/>
    <n v="0"/>
  </r>
  <r>
    <x v="24"/>
    <n v="1200"/>
    <n v="418.99059999999997"/>
    <n v="4.2999999999999997E-2"/>
    <n v="413.0926"/>
    <n v="420.45240000000001"/>
    <n v="423.42689999999999"/>
    <n v="4.1000000000000002E-2"/>
    <n v="4.2999999999999997E-2"/>
    <n v="4.4999999999999998E-2"/>
    <n v="2233"/>
    <n v="2239.8000000000002"/>
    <n v="2256.4"/>
    <m/>
    <m/>
    <n v="419"/>
    <n v="419.3"/>
    <n v="0"/>
  </r>
  <r>
    <x v="24"/>
    <n v="1300"/>
    <n v="418.95190000000002"/>
    <n v="4.5999999999999999E-2"/>
    <n v="413.07159999999999"/>
    <n v="420.38189999999997"/>
    <n v="423.40219999999999"/>
    <n v="4.8000000000000001E-2"/>
    <n v="4.1000000000000002E-2"/>
    <n v="0.05"/>
    <n v="2233"/>
    <n v="2239.6"/>
    <n v="2256.4"/>
    <m/>
    <m/>
    <n v="419"/>
    <n v="419.3"/>
    <n v="0"/>
  </r>
  <r>
    <x v="24"/>
    <n v="1400"/>
    <n v="418.92540000000002"/>
    <n v="4.7E-2"/>
    <n v="413.05059999999997"/>
    <n v="420.33949999999999"/>
    <n v="423.38630000000001"/>
    <n v="5.2999999999999999E-2"/>
    <n v="4.1000000000000002E-2"/>
    <n v="4.7E-2"/>
    <n v="2232.8000000000002"/>
    <n v="2239.6"/>
    <n v="2256.1999999999998"/>
    <m/>
    <m/>
    <n v="418.9"/>
    <n v="419.3"/>
    <n v="0"/>
  </r>
  <r>
    <x v="24"/>
    <n v="1500"/>
    <n v="418.92430000000002"/>
    <n v="4.4999999999999998E-2"/>
    <n v="413.02960000000002"/>
    <n v="420.33769999999998"/>
    <n v="423.40570000000002"/>
    <n v="4.1000000000000002E-2"/>
    <n v="4.2000000000000003E-2"/>
    <n v="0.05"/>
    <n v="2232.8000000000002"/>
    <n v="2239.6"/>
    <n v="2256.4"/>
    <m/>
    <m/>
    <n v="418.9"/>
    <n v="419.3"/>
    <n v="0"/>
  </r>
  <r>
    <x v="24"/>
    <n v="1600"/>
    <n v="418.95030000000003"/>
    <n v="0.04"/>
    <n v="413.00689999999997"/>
    <n v="420.40120000000002"/>
    <n v="423.44279999999998"/>
    <n v="3.5000000000000003E-2"/>
    <n v="4.9000000000000002E-2"/>
    <n v="3.3000000000000002E-2"/>
    <n v="2232.8000000000002"/>
    <n v="2239.6"/>
    <n v="2256.4"/>
    <m/>
    <m/>
    <n v="419"/>
    <n v="419.3"/>
    <n v="0"/>
  </r>
  <r>
    <x v="24"/>
    <n v="1700"/>
    <n v="419.01150000000001"/>
    <n v="4.5999999999999999E-2"/>
    <n v="413.02260000000001"/>
    <n v="420.51060000000001"/>
    <n v="423.50119999999998"/>
    <n v="3.5000000000000003E-2"/>
    <n v="0.05"/>
    <n v="0.05"/>
    <n v="2232.8000000000002"/>
    <n v="2239.8000000000002"/>
    <n v="2256.6"/>
    <m/>
    <m/>
    <n v="419"/>
    <n v="419.3"/>
    <n v="0"/>
  </r>
  <r>
    <x v="24"/>
    <n v="1800"/>
    <n v="419.03379999999999"/>
    <n v="4.4999999999999998E-2"/>
    <n v="413.0401"/>
    <n v="420.5283"/>
    <n v="423.53309999999999"/>
    <n v="4.5999999999999999E-2"/>
    <n v="4.7E-2"/>
    <n v="4.2000000000000003E-2"/>
    <n v="2233"/>
    <n v="2240"/>
    <n v="2256.4"/>
    <m/>
    <m/>
    <n v="419"/>
    <n v="419.3"/>
    <n v="0"/>
  </r>
  <r>
    <x v="24"/>
    <n v="1900"/>
    <n v="419.04849999999999"/>
    <n v="3.9E-2"/>
    <n v="413.05059999999997"/>
    <n v="420.54939999999999"/>
    <n v="423.54539999999997"/>
    <n v="4.9000000000000002E-2"/>
    <n v="3.3000000000000002E-2"/>
    <n v="3.1E-2"/>
    <n v="2233"/>
    <n v="2240"/>
    <n v="2256.6"/>
    <m/>
    <m/>
    <n v="419"/>
    <n v="419.3"/>
    <n v="0"/>
  </r>
  <r>
    <x v="24"/>
    <n v="2000"/>
    <n v="419.0514"/>
    <n v="3.7999999999999999E-2"/>
    <n v="413.05239999999998"/>
    <n v="420.55119999999999"/>
    <n v="423.55079999999998"/>
    <n v="0.05"/>
    <n v="3.5999999999999997E-2"/>
    <n v="2.3E-2"/>
    <n v="2233"/>
    <n v="2239.8000000000002"/>
    <n v="2256.6"/>
    <m/>
    <m/>
    <n v="419.1"/>
    <n v="419.3"/>
    <n v="0"/>
  </r>
  <r>
    <x v="24"/>
    <n v="2100"/>
    <n v="419.04149999999998"/>
    <n v="4.1000000000000002E-2"/>
    <n v="413.0401"/>
    <n v="420.54239999999999"/>
    <n v="423.5419"/>
    <n v="4.5999999999999999E-2"/>
    <n v="0.04"/>
    <n v="3.5000000000000003E-2"/>
    <n v="2232.8000000000002"/>
    <n v="2239.8000000000002"/>
    <n v="2256.6"/>
    <m/>
    <m/>
    <n v="419"/>
    <n v="419.3"/>
    <n v="0"/>
  </r>
  <r>
    <x v="24"/>
    <n v="2200"/>
    <n v="419.02679999999998"/>
    <n v="4.4999999999999998E-2"/>
    <n v="413.02960000000002"/>
    <n v="420.5265"/>
    <n v="423.52420000000001"/>
    <n v="4.1000000000000002E-2"/>
    <n v="4.8000000000000001E-2"/>
    <n v="4.7E-2"/>
    <n v="2232.8000000000002"/>
    <n v="2240"/>
    <n v="2256.6"/>
    <m/>
    <m/>
    <n v="419"/>
    <n v="419.3"/>
    <n v="0"/>
  </r>
  <r>
    <x v="24"/>
    <n v="2300"/>
    <n v="419.01150000000001"/>
    <n v="4.4999999999999998E-2"/>
    <n v="413.01740000000001"/>
    <n v="420.50709999999998"/>
    <n v="423.51"/>
    <n v="3.4000000000000002E-2"/>
    <n v="0.05"/>
    <n v="0.05"/>
    <n v="2232.8000000000002"/>
    <n v="2239.8000000000002"/>
    <n v="2256.4"/>
    <m/>
    <m/>
    <n v="419"/>
    <n v="419.3"/>
    <n v="0"/>
  </r>
  <r>
    <x v="24"/>
    <n v="2400"/>
    <n v="419.01909999999998"/>
    <n v="4.3999999999999997E-2"/>
    <n v="413.02080000000001"/>
    <n v="420.52120000000002"/>
    <n v="423.5154"/>
    <n v="3.3000000000000002E-2"/>
    <n v="4.9000000000000002E-2"/>
    <n v="4.9000000000000002E-2"/>
    <n v="2232.8000000000002"/>
    <n v="2240"/>
    <n v="2256.6"/>
    <m/>
    <m/>
    <n v="419"/>
    <n v="419.3"/>
    <n v="0"/>
  </r>
  <r>
    <x v="25"/>
    <n v="100"/>
    <n v="419.01740000000001"/>
    <n v="4.4999999999999998E-2"/>
    <n v="413.02080000000001"/>
    <n v="420.51409999999998"/>
    <n v="423.51710000000003"/>
    <n v="3.3000000000000002E-2"/>
    <n v="0.05"/>
    <n v="4.9000000000000002E-2"/>
    <n v="2232.8000000000002"/>
    <n v="2240"/>
    <n v="2256.6"/>
    <m/>
    <m/>
    <n v="419"/>
    <n v="419.3"/>
    <n v="0"/>
  </r>
  <r>
    <x v="25"/>
    <n v="200"/>
    <n v="418.99680000000001"/>
    <n v="4.3999999999999997E-2"/>
    <n v="412.99810000000002"/>
    <n v="420.49119999999999"/>
    <n v="423.50119999999998"/>
    <n v="3.5999999999999997E-2"/>
    <n v="4.5999999999999999E-2"/>
    <n v="0.05"/>
    <n v="2232.8000000000002"/>
    <n v="2239.8000000000002"/>
    <n v="2256.6"/>
    <m/>
    <m/>
    <n v="419"/>
    <n v="419.3"/>
    <n v="0"/>
  </r>
  <r>
    <x v="25"/>
    <n v="300"/>
    <n v="418.9957"/>
    <n v="4.7E-2"/>
    <n v="412.99290000000002"/>
    <n v="420.49299999999999"/>
    <n v="423.50119999999998"/>
    <n v="3.5999999999999997E-2"/>
    <n v="5.3999999999999999E-2"/>
    <n v="0.05"/>
    <n v="2232.8000000000002"/>
    <n v="2240"/>
    <n v="2256.6"/>
    <m/>
    <m/>
    <n v="419"/>
    <n v="419.3"/>
    <n v="0"/>
  </r>
  <r>
    <x v="25"/>
    <n v="400"/>
    <n v="419.0027"/>
    <n v="4.5999999999999999E-2"/>
    <n v="412.99639999999999"/>
    <n v="420.5018"/>
    <n v="423.51"/>
    <n v="3.7999999999999999E-2"/>
    <n v="4.9000000000000002E-2"/>
    <n v="0.05"/>
    <n v="2232.6"/>
    <n v="2239.8000000000002"/>
    <n v="2256.6"/>
    <m/>
    <m/>
    <n v="419"/>
    <n v="419.3"/>
    <n v="0"/>
  </r>
  <r>
    <x v="25"/>
    <n v="500"/>
    <n v="419.00389999999999"/>
    <n v="4.4999999999999998E-2"/>
    <n v="412.99810000000002"/>
    <n v="420.5"/>
    <n v="423.5136"/>
    <n v="3.5999999999999997E-2"/>
    <n v="4.9000000000000002E-2"/>
    <n v="0.05"/>
    <n v="2232.8000000000002"/>
    <n v="2239.8000000000002"/>
    <n v="2256.6"/>
    <m/>
    <m/>
    <n v="419"/>
    <n v="419.3"/>
    <n v="0"/>
  </r>
  <r>
    <x v="25"/>
    <n v="600"/>
    <n v="418.99619999999999"/>
    <n v="4.5999999999999999E-2"/>
    <n v="412.98930000000001"/>
    <n v="420.49299999999999"/>
    <n v="423.50650000000002"/>
    <n v="3.9E-2"/>
    <n v="4.7E-2"/>
    <n v="0.05"/>
    <n v="2232.8000000000002"/>
    <n v="2239.8000000000002"/>
    <n v="2256.6"/>
    <m/>
    <m/>
    <n v="419"/>
    <n v="419.3"/>
    <n v="0"/>
  </r>
  <r>
    <x v="25"/>
    <n v="700"/>
    <n v="419.00630000000001"/>
    <n v="4.4999999999999998E-2"/>
    <n v="412.99810000000002"/>
    <n v="420.50889999999998"/>
    <n v="423.51179999999999"/>
    <n v="3.1E-2"/>
    <n v="0.05"/>
    <n v="0.05"/>
    <n v="2232.8000000000002"/>
    <n v="2240"/>
    <n v="2256.6"/>
    <m/>
    <m/>
    <n v="419"/>
    <n v="419.3"/>
    <n v="0"/>
  </r>
  <r>
    <x v="25"/>
    <n v="800"/>
    <n v="419.00510000000003"/>
    <n v="4.4999999999999998E-2"/>
    <n v="412.99290000000002"/>
    <n v="420.50709999999998"/>
    <n v="423.5154"/>
    <n v="3.5999999999999997E-2"/>
    <n v="0.05"/>
    <n v="4.9000000000000002E-2"/>
    <n v="2232.6"/>
    <n v="2239.8000000000002"/>
    <n v="2256.6"/>
    <m/>
    <m/>
    <n v="419"/>
    <n v="419.3"/>
    <n v="0"/>
  </r>
  <r>
    <x v="25"/>
    <n v="900"/>
    <n v="418.99009999999998"/>
    <n v="0.05"/>
    <n v="413.05059999999997"/>
    <n v="420.51240000000001"/>
    <n v="423.40750000000003"/>
    <n v="4.9000000000000002E-2"/>
    <n v="0.05"/>
    <n v="0.05"/>
    <n v="2232.8000000000002"/>
    <n v="2239.8000000000002"/>
    <n v="2256.4"/>
    <m/>
    <m/>
    <n v="419"/>
    <n v="419.3"/>
    <n v="0"/>
  </r>
  <r>
    <x v="25"/>
    <n v="1000"/>
    <n v="418.93369999999999"/>
    <n v="0.04"/>
    <n v="413.02260000000001"/>
    <n v="420.46820000000002"/>
    <n v="423.31029999999998"/>
    <n v="3.5000000000000003E-2"/>
    <n v="3.2000000000000001E-2"/>
    <n v="0.05"/>
    <n v="2232.8000000000002"/>
    <n v="2239.8000000000002"/>
    <n v="2256.1999999999998"/>
    <m/>
    <m/>
    <n v="418.9"/>
    <n v="419.3"/>
    <n v="0"/>
  </r>
  <r>
    <x v="25"/>
    <n v="1100"/>
    <n v="418.90030000000002"/>
    <n v="4.4999999999999998E-2"/>
    <n v="412.99810000000002"/>
    <n v="420.40660000000003"/>
    <n v="423.2962"/>
    <n v="3.1E-2"/>
    <n v="0.05"/>
    <n v="0.05"/>
    <n v="2232.8000000000002"/>
    <n v="2239.8000000000002"/>
    <n v="2256.1999999999998"/>
    <m/>
    <m/>
    <n v="418.9"/>
    <n v="419.3"/>
    <n v="0"/>
  </r>
  <r>
    <x v="25"/>
    <n v="1200"/>
    <n v="418.87150000000003"/>
    <n v="4.2999999999999997E-2"/>
    <n v="412.97890000000001"/>
    <n v="420.3501"/>
    <n v="423.28559999999999"/>
    <n v="4.5999999999999999E-2"/>
    <n v="3.5999999999999997E-2"/>
    <n v="4.7E-2"/>
    <n v="2232.8000000000002"/>
    <n v="2239.6"/>
    <n v="2256"/>
    <m/>
    <m/>
    <n v="418.9"/>
    <n v="419.3"/>
    <n v="0"/>
  </r>
  <r>
    <x v="25"/>
    <n v="1300"/>
    <n v="418.82929999999999"/>
    <n v="4.4999999999999998E-2"/>
    <n v="412.9194"/>
    <n v="420.28120000000001"/>
    <n v="423.28730000000002"/>
    <n v="0.04"/>
    <n v="4.9000000000000002E-2"/>
    <n v="4.7E-2"/>
    <n v="2232.6"/>
    <n v="2239.6"/>
    <n v="2256.1999999999998"/>
    <m/>
    <m/>
    <n v="418.8"/>
    <n v="419.3"/>
    <n v="0"/>
  </r>
  <r>
    <x v="25"/>
    <n v="1400"/>
    <n v="418.81110000000001"/>
    <n v="3.6999999999999998E-2"/>
    <n v="412.90190000000001"/>
    <n v="420.24590000000001"/>
    <n v="423.28559999999999"/>
    <n v="2.5999999999999999E-2"/>
    <n v="3.5000000000000003E-2"/>
    <n v="4.7E-2"/>
    <n v="2232.6"/>
    <n v="2239.4"/>
    <n v="2256"/>
    <m/>
    <m/>
    <n v="418.8"/>
    <n v="419.3"/>
    <n v="0"/>
  </r>
  <r>
    <x v="25"/>
    <n v="1500"/>
    <n v="418.80189999999999"/>
    <n v="3.6999999999999998E-2"/>
    <n v="412.81420000000003"/>
    <n v="420.27409999999998"/>
    <n v="423.31740000000002"/>
    <n v="2.1999999999999999E-2"/>
    <n v="3.5000000000000003E-2"/>
    <n v="4.9000000000000002E-2"/>
    <n v="2232.4"/>
    <n v="2239.4"/>
    <n v="2256.1999999999998"/>
    <m/>
    <m/>
    <n v="418.8"/>
    <n v="419.3"/>
    <n v="0"/>
  </r>
  <r>
    <x v="25"/>
    <n v="1600"/>
    <n v="418.81209999999999"/>
    <n v="4.2000000000000003E-2"/>
    <n v="412.75650000000002"/>
    <n v="420.33600000000001"/>
    <n v="423.34390000000002"/>
    <n v="0.05"/>
    <n v="4.2999999999999997E-2"/>
    <n v="3.1E-2"/>
    <n v="2232.1999999999998"/>
    <n v="2239.6"/>
    <n v="2256.1999999999998"/>
    <m/>
    <m/>
    <n v="418.8"/>
    <n v="419.3"/>
    <n v="0"/>
  </r>
  <r>
    <x v="25"/>
    <n v="1700"/>
    <n v="418.90620000000001"/>
    <n v="3.2000000000000001E-2"/>
    <n v="412.79680000000002"/>
    <n v="420.4753"/>
    <n v="423.44639999999998"/>
    <n v="3.3000000000000002E-2"/>
    <n v="3.5000000000000003E-2"/>
    <n v="2.8000000000000001E-2"/>
    <n v="2232.4"/>
    <n v="2239.8000000000002"/>
    <n v="2256.4"/>
    <m/>
    <m/>
    <n v="418.9"/>
    <n v="419.3"/>
    <n v="0"/>
  </r>
  <r>
    <x v="25"/>
    <n v="1800"/>
    <n v="418.97309999999999"/>
    <n v="4.5999999999999999E-2"/>
    <n v="412.8546"/>
    <n v="420.54239999999999"/>
    <n v="423.5224"/>
    <n v="0.05"/>
    <n v="0.04"/>
    <n v="4.8000000000000001E-2"/>
    <n v="2232.4"/>
    <n v="2240"/>
    <n v="2256.4"/>
    <m/>
    <m/>
    <n v="419"/>
    <n v="419.3"/>
    <n v="0"/>
  </r>
  <r>
    <x v="25"/>
    <n v="1900"/>
    <n v="418.99779999999998"/>
    <n v="3.3000000000000002E-2"/>
    <n v="412.87729999999999"/>
    <n v="420.56709999999998"/>
    <n v="423.54899999999998"/>
    <n v="4.5999999999999999E-2"/>
    <n v="2.1999999999999999E-2"/>
    <n v="2.5999999999999999E-2"/>
    <n v="2232.6"/>
    <n v="2240"/>
    <n v="2256.6"/>
    <m/>
    <m/>
    <n v="419"/>
    <n v="419.3"/>
    <n v="0"/>
  </r>
  <r>
    <x v="25"/>
    <n v="2000"/>
    <n v="419.0231"/>
    <n v="4.2000000000000003E-2"/>
    <n v="412.89490000000001"/>
    <n v="420.59710000000001"/>
    <n v="423.57729999999998"/>
    <n v="3.5000000000000003E-2"/>
    <n v="4.8000000000000001E-2"/>
    <n v="4.1000000000000002E-2"/>
    <n v="2232.6"/>
    <n v="2240"/>
    <n v="2256.8000000000002"/>
    <m/>
    <m/>
    <n v="419"/>
    <n v="419.3"/>
    <n v="0"/>
  </r>
  <r>
    <x v="25"/>
    <n v="2100"/>
    <n v="419.00830000000002"/>
    <n v="4.3999999999999997E-2"/>
    <n v="412.91410000000002"/>
    <n v="420.49829999999997"/>
    <n v="423.61259999999999"/>
    <n v="2.9000000000000001E-2"/>
    <n v="4.9000000000000002E-2"/>
    <n v="0.05"/>
    <n v="2232.6"/>
    <n v="2239.8000000000002"/>
    <n v="2256.8000000000002"/>
    <m/>
    <m/>
    <n v="419"/>
    <n v="419.3"/>
    <n v="0"/>
  </r>
  <r>
    <x v="25"/>
    <n v="2200"/>
    <n v="419.06540000000001"/>
    <n v="3.5999999999999997E-2"/>
    <n v="412.91059999999999"/>
    <n v="420.65530000000001"/>
    <n v="423.63029999999998"/>
    <n v="0.03"/>
    <n v="3.2000000000000001E-2"/>
    <n v="4.3999999999999997E-2"/>
    <n v="2232.6"/>
    <n v="2240.1999999999998"/>
    <n v="2256.6"/>
    <m/>
    <m/>
    <n v="419.1"/>
    <n v="419.3"/>
    <n v="0"/>
  </r>
  <r>
    <x v="25"/>
    <n v="2300"/>
    <n v="419.0718"/>
    <n v="4.2999999999999997E-2"/>
    <n v="412.93509999999998"/>
    <n v="420.6447"/>
    <n v="423.63560000000001"/>
    <n v="4.3999999999999997E-2"/>
    <n v="4.2999999999999997E-2"/>
    <n v="4.1000000000000002E-2"/>
    <n v="2232.8000000000002"/>
    <n v="2240"/>
    <n v="2256.8000000000002"/>
    <m/>
    <m/>
    <n v="419.1"/>
    <n v="419.3"/>
    <n v="0"/>
  </r>
  <r>
    <x v="25"/>
    <n v="2400"/>
    <n v="419.04239999999999"/>
    <n v="4.2999999999999997E-2"/>
    <n v="412.91590000000002"/>
    <n v="420.6112"/>
    <n v="423.6003"/>
    <n v="2.5000000000000001E-2"/>
    <n v="0.05"/>
    <n v="0.05"/>
    <n v="2232.6"/>
    <n v="2240"/>
    <n v="2256.8000000000002"/>
    <m/>
    <m/>
    <n v="419"/>
    <n v="419.3"/>
    <n v="0"/>
  </r>
  <r>
    <x v="26"/>
    <n v="100"/>
    <n v="419.0095"/>
    <n v="2.9000000000000001E-2"/>
    <n v="412.90190000000001"/>
    <n v="420.56529999999998"/>
    <n v="423.56139999999999"/>
    <n v="3.2000000000000001E-2"/>
    <n v="3.2000000000000001E-2"/>
    <n v="2.1999999999999999E-2"/>
    <n v="2232.6"/>
    <n v="2240"/>
    <n v="2256.6"/>
    <m/>
    <m/>
    <n v="419"/>
    <n v="419.3"/>
    <n v="0"/>
  </r>
  <r>
    <x v="26"/>
    <n v="200"/>
    <n v="419.00069999999999"/>
    <n v="3.1E-2"/>
    <n v="412.89830000000001"/>
    <n v="420.55829999999997"/>
    <n v="423.54539999999997"/>
    <n v="3.5999999999999997E-2"/>
    <n v="2.5999999999999999E-2"/>
    <n v="3.1E-2"/>
    <n v="2232.6"/>
    <n v="2240"/>
    <n v="2256.6"/>
    <m/>
    <m/>
    <n v="419"/>
    <n v="419.3"/>
    <n v="0"/>
  </r>
  <r>
    <x v="26"/>
    <n v="300"/>
    <n v="418.99540000000002"/>
    <n v="3.5999999999999997E-2"/>
    <n v="412.89490000000001"/>
    <n v="420.55119999999999"/>
    <n v="423.5401"/>
    <n v="3.9E-2"/>
    <n v="3.1E-2"/>
    <n v="3.6999999999999998E-2"/>
    <n v="2232.6"/>
    <n v="2240"/>
    <n v="2256.6"/>
    <m/>
    <m/>
    <n v="419"/>
    <n v="419.3"/>
    <n v="0"/>
  </r>
  <r>
    <x v="26"/>
    <n v="400"/>
    <n v="418.9889"/>
    <n v="0.04"/>
    <n v="412.8843"/>
    <n v="420.54590000000002"/>
    <n v="423.53660000000002"/>
    <n v="4.2999999999999997E-2"/>
    <n v="3.6999999999999998E-2"/>
    <n v="0.04"/>
    <n v="2232.4"/>
    <n v="2240"/>
    <n v="2256.6"/>
    <m/>
    <m/>
    <n v="419"/>
    <n v="419.3"/>
    <n v="0"/>
  </r>
  <r>
    <x v="26"/>
    <n v="500"/>
    <n v="418.99720000000002"/>
    <n v="3.4000000000000002E-2"/>
    <n v="412.8931"/>
    <n v="420.553"/>
    <n v="423.54539999999997"/>
    <n v="4.1000000000000002E-2"/>
    <n v="2.8000000000000001E-2"/>
    <n v="3.1E-2"/>
    <n v="2232.6"/>
    <n v="2240"/>
    <n v="2256.6"/>
    <m/>
    <m/>
    <n v="419"/>
    <n v="419.3"/>
    <n v="0"/>
  </r>
  <r>
    <x v="26"/>
    <n v="600"/>
    <n v="419.0136"/>
    <n v="3.3000000000000002E-2"/>
    <n v="412.90190000000001"/>
    <n v="420.57589999999999"/>
    <n v="423.56310000000002"/>
    <n v="3.6999999999999998E-2"/>
    <n v="3.5000000000000003E-2"/>
    <n v="2.5999999999999999E-2"/>
    <n v="2232.6"/>
    <n v="2240"/>
    <n v="2256.6"/>
    <m/>
    <m/>
    <n v="419"/>
    <n v="419.3"/>
    <n v="0"/>
  </r>
  <r>
    <x v="26"/>
    <n v="700"/>
    <n v="419.00009999999997"/>
    <n v="3.5000000000000003E-2"/>
    <n v="412.8931"/>
    <n v="420.56180000000001"/>
    <n v="423.54539999999997"/>
    <n v="3.5999999999999997E-2"/>
    <n v="3.7999999999999999E-2"/>
    <n v="3.1E-2"/>
    <n v="2232.6"/>
    <n v="2240"/>
    <n v="2256.6"/>
    <m/>
    <m/>
    <n v="419"/>
    <n v="419.3"/>
    <n v="0"/>
  </r>
  <r>
    <x v="26"/>
    <n v="800"/>
    <n v="418.98599999999999"/>
    <n v="4.1000000000000002E-2"/>
    <n v="412.88080000000002"/>
    <n v="420.55119999999999"/>
    <n v="423.52600000000001"/>
    <n v="4.4999999999999998E-2"/>
    <n v="3.1E-2"/>
    <n v="4.5999999999999999E-2"/>
    <n v="2232.6"/>
    <n v="2240"/>
    <n v="2256.4"/>
    <m/>
    <m/>
    <n v="419"/>
    <n v="419.3"/>
    <n v="0"/>
  </r>
  <r>
    <x v="26"/>
    <n v="900"/>
    <n v="418.93639999999999"/>
    <n v="3.3000000000000002E-2"/>
    <n v="412.8931"/>
    <n v="420.553"/>
    <n v="423.36329999999998"/>
    <n v="3.5999999999999997E-2"/>
    <n v="3.4000000000000002E-2"/>
    <n v="2.8000000000000001E-2"/>
    <n v="2232.6"/>
    <n v="2240"/>
    <n v="2256.1999999999998"/>
    <m/>
    <m/>
    <n v="418.9"/>
    <n v="419.3"/>
    <n v="0"/>
  </r>
  <r>
    <x v="26"/>
    <n v="1000"/>
    <n v="418.84129999999999"/>
    <n v="3.2000000000000001E-2"/>
    <n v="412.82130000000001"/>
    <n v="420.44529999999997"/>
    <n v="423.25729999999999"/>
    <n v="3.3000000000000002E-2"/>
    <n v="3.6999999999999998E-2"/>
    <n v="2.5999999999999999E-2"/>
    <n v="2232.4"/>
    <n v="2239.8000000000002"/>
    <n v="2256"/>
    <m/>
    <m/>
    <n v="418.8"/>
    <n v="419.3"/>
    <n v="0"/>
  </r>
  <r>
    <x v="26"/>
    <n v="1100"/>
    <n v="418.79149999999998"/>
    <n v="3.9E-2"/>
    <n v="412.75299999999999"/>
    <n v="420.37479999999999"/>
    <n v="423.24669999999998"/>
    <n v="4.9000000000000002E-2"/>
    <n v="0.04"/>
    <n v="2.5999999999999999E-2"/>
    <n v="2232.1999999999998"/>
    <n v="2239.6"/>
    <n v="2256"/>
    <m/>
    <m/>
    <n v="418.8"/>
    <n v="419.3"/>
    <n v="0"/>
  </r>
  <r>
    <x v="26"/>
    <n v="1200"/>
    <n v="418.77280000000002"/>
    <n v="3.7999999999999999E-2"/>
    <n v="412.69529999999997"/>
    <n v="420.37479999999999"/>
    <n v="423.2484"/>
    <n v="3.5000000000000003E-2"/>
    <n v="4.8000000000000001E-2"/>
    <n v="2.9000000000000001E-2"/>
    <n v="2232.1999999999998"/>
    <n v="2239.8000000000002"/>
    <n v="2256"/>
    <m/>
    <m/>
    <n v="418.8"/>
    <n v="419.3"/>
    <n v="0"/>
  </r>
  <r>
    <x v="26"/>
    <n v="1300"/>
    <n v="418.72030000000001"/>
    <n v="4.5999999999999999E-2"/>
    <n v="412.56229999999999"/>
    <n v="420.3254"/>
    <n v="423.27319999999997"/>
    <n v="0.05"/>
    <n v="4.8000000000000001E-2"/>
    <n v="0.04"/>
    <n v="2231.8000000000002"/>
    <n v="2239.4"/>
    <n v="2256"/>
    <m/>
    <m/>
    <n v="418.7"/>
    <n v="419.3"/>
    <n v="0"/>
  </r>
  <r>
    <x v="26"/>
    <n v="1400"/>
    <n v="418.73320000000001"/>
    <n v="4.5999999999999999E-2"/>
    <n v="412.59730000000002"/>
    <n v="420.30070000000001"/>
    <n v="423.30149999999998"/>
    <n v="3.7999999999999999E-2"/>
    <n v="4.9000000000000002E-2"/>
    <n v="0.05"/>
    <n v="2232"/>
    <n v="2239.4"/>
    <n v="2256.1999999999998"/>
    <m/>
    <m/>
    <n v="418.7"/>
    <n v="419.3"/>
    <n v="0"/>
  </r>
  <r>
    <x v="26"/>
    <n v="1500"/>
    <n v="418.70389999999998"/>
    <n v="4.2999999999999997E-2"/>
    <n v="412.51859999999999"/>
    <n v="420.27940000000001"/>
    <n v="423.31380000000001"/>
    <n v="2.8000000000000001E-2"/>
    <n v="4.8000000000000001E-2"/>
    <n v="4.9000000000000002E-2"/>
    <n v="2231.8000000000002"/>
    <n v="2239.4"/>
    <n v="2256.1999999999998"/>
    <m/>
    <m/>
    <n v="418.7"/>
    <n v="419.3"/>
    <n v="0"/>
  </r>
  <r>
    <x v="26"/>
    <n v="1600"/>
    <n v="418.70949999999999"/>
    <n v="4.3999999999999997E-2"/>
    <n v="412.46080000000001"/>
    <n v="420.3254"/>
    <n v="423.34210000000002"/>
    <n v="0.05"/>
    <n v="4.8000000000000001E-2"/>
    <n v="3.3000000000000002E-2"/>
    <n v="2231.6"/>
    <n v="2239.4"/>
    <n v="2256.1999999999998"/>
    <m/>
    <m/>
    <n v="418.7"/>
    <n v="419.3"/>
    <n v="0"/>
  </r>
  <r>
    <x v="26"/>
    <n v="1700"/>
    <n v="418.83330000000001"/>
    <n v="4.1000000000000002E-2"/>
    <n v="412.54480000000001"/>
    <n v="420.50349999999997"/>
    <n v="423.45170000000002"/>
    <n v="4.8000000000000001E-2"/>
    <n v="0.05"/>
    <n v="1.9E-2"/>
    <n v="2231.8000000000002"/>
    <n v="2239.8000000000002"/>
    <n v="2256.4"/>
    <m/>
    <m/>
    <n v="418.8"/>
    <n v="419.3"/>
    <n v="0"/>
  </r>
  <r>
    <x v="26"/>
    <n v="1800"/>
    <n v="418.90379999999999"/>
    <n v="3.6999999999999998E-2"/>
    <n v="412.59730000000002"/>
    <n v="420.57769999999999"/>
    <n v="423.53660000000002"/>
    <n v="3.3000000000000002E-2"/>
    <n v="3.6999999999999998E-2"/>
    <n v="0.04"/>
    <n v="2232"/>
    <n v="2240"/>
    <n v="2256.6"/>
    <m/>
    <m/>
    <n v="418.9"/>
    <n v="419.3"/>
    <n v="0"/>
  </r>
  <r>
    <x v="26"/>
    <n v="1900"/>
    <n v="418.94200000000001"/>
    <n v="4.1000000000000002E-2"/>
    <n v="412.61649999999997"/>
    <n v="420.62529999999998"/>
    <n v="423.58440000000002"/>
    <n v="2.5000000000000001E-2"/>
    <n v="4.9000000000000002E-2"/>
    <n v="4.4999999999999998E-2"/>
    <n v="2232"/>
    <n v="2240.1999999999998"/>
    <n v="2256.6"/>
    <m/>
    <m/>
    <n v="418.9"/>
    <n v="419.3"/>
    <n v="0"/>
  </r>
  <r>
    <x v="26"/>
    <n v="2000"/>
    <n v="418.97430000000003"/>
    <n v="4.5999999999999999E-2"/>
    <n v="412.66379999999998"/>
    <n v="420.6465"/>
    <n v="423.61259999999999"/>
    <n v="0.05"/>
    <n v="3.6999999999999998E-2"/>
    <n v="0.05"/>
    <n v="2232"/>
    <n v="2240.1999999999998"/>
    <n v="2256.8000000000002"/>
    <m/>
    <m/>
    <n v="419"/>
    <n v="419.3"/>
    <n v="0"/>
  </r>
  <r>
    <x v="26"/>
    <n v="2100"/>
    <n v="418.98129999999998"/>
    <n v="4.2999999999999997E-2"/>
    <n v="412.6848"/>
    <n v="420.64830000000001"/>
    <n v="423.61079999999998"/>
    <n v="4.2999999999999997E-2"/>
    <n v="3.5000000000000003E-2"/>
    <n v="0.05"/>
    <n v="2232.1999999999998"/>
    <n v="2240.1999999999998"/>
    <n v="2256.6"/>
    <m/>
    <m/>
    <n v="419"/>
    <n v="419.3"/>
    <n v="0"/>
  </r>
  <r>
    <x v="26"/>
    <n v="2200"/>
    <n v="418.97719999999998"/>
    <n v="4.4999999999999998E-2"/>
    <n v="412.67779999999999"/>
    <n v="420.65"/>
    <n v="423.60379999999998"/>
    <n v="4.5999999999999999E-2"/>
    <n v="3.7999999999999999E-2"/>
    <n v="0.05"/>
    <n v="2232.1999999999998"/>
    <n v="2240.1999999999998"/>
    <n v="2256.8000000000002"/>
    <m/>
    <m/>
    <n v="419"/>
    <n v="419.3"/>
    <n v="0"/>
  </r>
  <r>
    <x v="26"/>
    <n v="2300"/>
    <n v="418.96480000000003"/>
    <n v="4.9000000000000002E-2"/>
    <n v="412.67430000000002"/>
    <n v="420.62529999999998"/>
    <n v="423.5949"/>
    <n v="4.8000000000000001E-2"/>
    <n v="4.9000000000000002E-2"/>
    <n v="4.9000000000000002E-2"/>
    <n v="2232"/>
    <n v="2240"/>
    <n v="2256.6"/>
    <m/>
    <m/>
    <n v="419"/>
    <n v="419.3"/>
    <n v="0"/>
  </r>
  <r>
    <x v="26"/>
    <n v="2400"/>
    <n v="418.96780000000001"/>
    <n v="4.8000000000000001E-2"/>
    <n v="412.67430000000002"/>
    <n v="420.63060000000002"/>
    <n v="423.5985"/>
    <n v="4.8000000000000001E-2"/>
    <n v="4.7E-2"/>
    <n v="0.05"/>
    <n v="2232"/>
    <n v="2240"/>
    <n v="2256.8000000000002"/>
    <m/>
    <m/>
    <n v="419"/>
    <n v="419.3"/>
    <n v="0"/>
  </r>
  <r>
    <x v="27"/>
    <n v="100"/>
    <n v="418.97949999999997"/>
    <n v="4.3999999999999997E-2"/>
    <n v="412.6866"/>
    <n v="420.64299999999997"/>
    <n v="423.60910000000001"/>
    <n v="4.2000000000000003E-2"/>
    <n v="0.04"/>
    <n v="0.05"/>
    <n v="2232.1999999999998"/>
    <n v="2240.1999999999998"/>
    <n v="2256.8000000000002"/>
    <m/>
    <m/>
    <n v="419"/>
    <n v="419.3"/>
    <n v="0"/>
  </r>
  <r>
    <x v="27"/>
    <n v="200"/>
    <n v="418.98250000000002"/>
    <n v="4.3999999999999997E-2"/>
    <n v="412.67250000000001"/>
    <n v="420.6447"/>
    <n v="423.63029999999998"/>
    <n v="4.8000000000000001E-2"/>
    <n v="3.7999999999999999E-2"/>
    <n v="4.3999999999999997E-2"/>
    <n v="2232.1999999999998"/>
    <n v="2240.1999999999998"/>
    <n v="2256.6"/>
    <m/>
    <m/>
    <n v="419"/>
    <n v="419.3"/>
    <n v="0"/>
  </r>
  <r>
    <x v="27"/>
    <n v="300"/>
    <n v="419.0188"/>
    <n v="3.2000000000000001E-2"/>
    <n v="412.7303"/>
    <n v="420.673"/>
    <n v="423.6533"/>
    <n v="4.1000000000000002E-2"/>
    <n v="3.1E-2"/>
    <n v="1.9E-2"/>
    <n v="2232.4"/>
    <n v="2240.1999999999998"/>
    <n v="2256.8000000000002"/>
    <m/>
    <m/>
    <n v="419"/>
    <n v="419.3"/>
    <n v="0"/>
  </r>
  <r>
    <x v="27"/>
    <n v="400"/>
    <n v="419.0188"/>
    <n v="3.2000000000000001E-2"/>
    <n v="412.7303"/>
    <n v="420.673"/>
    <n v="423.6533"/>
    <n v="4.1000000000000002E-2"/>
    <n v="3.1E-2"/>
    <n v="1.9E-2"/>
    <n v="2232.1999999999998"/>
    <n v="2240.1999999999998"/>
    <n v="2256.8000000000002"/>
    <m/>
    <m/>
    <n v="419"/>
    <n v="419.3"/>
    <n v="0"/>
  </r>
  <r>
    <x v="27"/>
    <n v="500"/>
    <n v="419.0136"/>
    <n v="2.8000000000000001E-2"/>
    <n v="412.72329999999999"/>
    <n v="420.66770000000002"/>
    <n v="423.6497"/>
    <n v="3.5000000000000003E-2"/>
    <n v="2.1999999999999999E-2"/>
    <n v="2.5999999999999999E-2"/>
    <n v="2232.1999999999998"/>
    <n v="2240.1999999999998"/>
    <n v="2256.8000000000002"/>
    <m/>
    <m/>
    <n v="419"/>
    <n v="419.3"/>
    <n v="0"/>
  </r>
  <r>
    <x v="27"/>
    <n v="600"/>
    <n v="419.02589999999998"/>
    <n v="3.5000000000000003E-2"/>
    <n v="412.74250000000001"/>
    <n v="420.673"/>
    <n v="423.66210000000001"/>
    <n v="4.7E-2"/>
    <n v="3.1E-2"/>
    <n v="2.3E-2"/>
    <n v="2232.1999999999998"/>
    <n v="2240.1999999999998"/>
    <n v="2256.8000000000002"/>
    <m/>
    <m/>
    <n v="419"/>
    <n v="419.3"/>
    <n v="0"/>
  </r>
  <r>
    <x v="27"/>
    <n v="700"/>
    <n v="419.03359999999998"/>
    <n v="4.2999999999999997E-2"/>
    <n v="412.7303"/>
    <n v="420.68709999999999"/>
    <n v="423.68329999999997"/>
    <n v="4.1000000000000002E-2"/>
    <n v="4.2999999999999997E-2"/>
    <n v="4.3999999999999997E-2"/>
    <n v="2232.1999999999998"/>
    <n v="2240.1999999999998"/>
    <n v="2256.8000000000002"/>
    <m/>
    <m/>
    <n v="419"/>
    <n v="419.3"/>
    <n v="0"/>
  </r>
  <r>
    <x v="27"/>
    <n v="800"/>
    <n v="419.05290000000002"/>
    <n v="4.8000000000000001E-2"/>
    <n v="412.77050000000003"/>
    <n v="420.6977"/>
    <n v="423.69040000000001"/>
    <n v="4.9000000000000002E-2"/>
    <n v="4.8000000000000001E-2"/>
    <n v="4.8000000000000001E-2"/>
    <n v="2232.1999999999998"/>
    <n v="2240.4"/>
    <n v="2257"/>
    <m/>
    <m/>
    <n v="419.1"/>
    <n v="419.3"/>
    <n v="0"/>
  </r>
  <r>
    <x v="27"/>
    <n v="900"/>
    <n v="418.9633"/>
    <n v="4.9000000000000002E-2"/>
    <n v="412.7758"/>
    <n v="420.613"/>
    <n v="423.50119999999998"/>
    <n v="4.7E-2"/>
    <n v="0.05"/>
    <n v="0.05"/>
    <n v="2232.4"/>
    <n v="2240.1999999999998"/>
    <n v="2256.4"/>
    <m/>
    <m/>
    <n v="419"/>
    <n v="419.3"/>
    <n v="0"/>
  </r>
  <r>
    <x v="27"/>
    <n v="1000"/>
    <n v="418.84589999999997"/>
    <n v="4.2999999999999997E-2"/>
    <n v="412.6551"/>
    <n v="420.52120000000002"/>
    <n v="423.36160000000001"/>
    <n v="0.05"/>
    <n v="4.9000000000000002E-2"/>
    <n v="2.5999999999999999E-2"/>
    <n v="2232"/>
    <n v="2239.8000000000002"/>
    <n v="2256.1999999999998"/>
    <m/>
    <m/>
    <n v="418.8"/>
    <n v="419.3"/>
    <n v="0"/>
  </r>
  <r>
    <x v="27"/>
    <n v="1100"/>
    <n v="418.8109"/>
    <n v="4.2000000000000003E-2"/>
    <n v="412.5763"/>
    <n v="420.4753"/>
    <n v="423.38099999999997"/>
    <n v="4.7E-2"/>
    <n v="3.5000000000000003E-2"/>
    <n v="4.3999999999999997E-2"/>
    <n v="2232"/>
    <n v="2239.8000000000002"/>
    <n v="2256.1999999999998"/>
    <m/>
    <m/>
    <n v="418.8"/>
    <n v="419.3"/>
    <n v="0"/>
  </r>
  <r>
    <x v="27"/>
    <n v="1200"/>
    <n v="418.78489999999999"/>
    <n v="4.2999999999999997E-2"/>
    <n v="412.62360000000001"/>
    <n v="420.40300000000002"/>
    <n v="423.32799999999997"/>
    <n v="3.5000000000000003E-2"/>
    <n v="0.05"/>
    <n v="4.3999999999999997E-2"/>
    <n v="2232"/>
    <n v="2239.8000000000002"/>
    <n v="2256.1999999999998"/>
    <m/>
    <m/>
    <n v="418.8"/>
    <n v="419.3"/>
    <n v="0"/>
  </r>
  <r>
    <x v="27"/>
    <n v="1300"/>
    <n v="418.7593"/>
    <n v="0.04"/>
    <n v="412.52730000000003"/>
    <n v="420.40120000000002"/>
    <n v="423.3492"/>
    <n v="3.7999999999999999E-2"/>
    <n v="4.9000000000000002E-2"/>
    <n v="2.9000000000000001E-2"/>
    <n v="2232"/>
    <n v="2239.8000000000002"/>
    <n v="2256.1999999999998"/>
    <m/>
    <m/>
    <n v="418.8"/>
    <n v="419.3"/>
    <n v="0"/>
  </r>
  <r>
    <x v="27"/>
    <n v="1400"/>
    <n v="418.80160000000001"/>
    <n v="4.1000000000000002E-2"/>
    <n v="412.5326"/>
    <n v="420.46300000000002"/>
    <n v="423.40929999999997"/>
    <n v="4.2000000000000003E-2"/>
    <n v="0.03"/>
    <n v="0.05"/>
    <n v="2231.8000000000002"/>
    <n v="2239.8000000000002"/>
    <n v="2256.1999999999998"/>
    <m/>
    <m/>
    <n v="418.8"/>
    <n v="419.3"/>
    <n v="0"/>
  </r>
  <r>
    <x v="27"/>
    <n v="1500"/>
    <n v="418.86219999999997"/>
    <n v="4.5999999999999999E-2"/>
    <n v="412.57279999999997"/>
    <n v="420.53179999999998"/>
    <n v="423.48180000000002"/>
    <n v="4.8000000000000001E-2"/>
    <n v="4.5999999999999999E-2"/>
    <n v="4.3999999999999997E-2"/>
    <n v="2232"/>
    <n v="2240"/>
    <n v="2256.4"/>
    <m/>
    <m/>
    <n v="418.9"/>
    <n v="419.3"/>
    <n v="0"/>
  </r>
  <r>
    <x v="27"/>
    <n v="1600"/>
    <n v="418.90789999999998"/>
    <n v="3.5000000000000003E-2"/>
    <n v="412.62180000000001"/>
    <n v="420.56709999999998"/>
    <n v="423.53480000000002"/>
    <n v="3.3000000000000002E-2"/>
    <n v="2.9000000000000001E-2"/>
    <n v="4.1000000000000002E-2"/>
    <n v="2232"/>
    <n v="2240"/>
    <n v="2256.4"/>
    <m/>
    <m/>
    <n v="418.9"/>
    <n v="419.3"/>
    <n v="0"/>
  </r>
  <r>
    <x v="27"/>
    <n v="1700"/>
    <n v="418.94200000000001"/>
    <n v="4.5999999999999999E-2"/>
    <n v="412.6533"/>
    <n v="420.59359999999998"/>
    <n v="423.57900000000001"/>
    <n v="4.9000000000000002E-2"/>
    <n v="4.7E-2"/>
    <n v="4.2000000000000003E-2"/>
    <n v="2232"/>
    <n v="2240"/>
    <n v="2256.6"/>
    <m/>
    <m/>
    <n v="418.9"/>
    <n v="419.3"/>
    <n v="0"/>
  </r>
  <r>
    <x v="27"/>
    <n v="1800"/>
    <n v="418.97070000000002"/>
    <n v="4.9000000000000002E-2"/>
    <n v="412.68130000000002"/>
    <n v="420.62709999999998"/>
    <n v="423.60379999999998"/>
    <n v="4.9000000000000002E-2"/>
    <n v="4.8000000000000001E-2"/>
    <n v="0.05"/>
    <n v="2232.1999999999998"/>
    <n v="2240.1999999999998"/>
    <n v="2256.6"/>
    <m/>
    <m/>
    <n v="419"/>
    <n v="419.3"/>
    <n v="0"/>
  </r>
  <r>
    <x v="27"/>
    <n v="1900"/>
    <n v="419.04809999999998"/>
    <n v="4.7E-2"/>
    <n v="412.76530000000002"/>
    <n v="420.6977"/>
    <n v="423.68150000000003"/>
    <n v="4.9000000000000002E-2"/>
    <n v="4.8000000000000001E-2"/>
    <n v="4.2999999999999997E-2"/>
    <n v="2232.4"/>
    <n v="2240.4"/>
    <n v="2256.8000000000002"/>
    <m/>
    <m/>
    <n v="419"/>
    <n v="419.3"/>
    <n v="0"/>
  </r>
  <r>
    <x v="27"/>
    <n v="2000"/>
    <n v="419.07100000000003"/>
    <n v="4.9000000000000002E-2"/>
    <n v="412.79500000000002"/>
    <n v="420.71530000000001"/>
    <n v="423.70280000000002"/>
    <n v="4.7E-2"/>
    <n v="0.05"/>
    <n v="0.05"/>
    <n v="2232.1999999999998"/>
    <n v="2240.1999999999998"/>
    <n v="2256.8000000000002"/>
    <m/>
    <m/>
    <n v="419.1"/>
    <n v="419.3"/>
    <n v="0"/>
  </r>
  <r>
    <x v="27"/>
    <n v="2100"/>
    <n v="419.07979999999998"/>
    <n v="4.3999999999999997E-2"/>
    <n v="412.80369999999999"/>
    <n v="420.71879999999999"/>
    <n v="423.71690000000001"/>
    <n v="2.9000000000000001E-2"/>
    <n v="0.05"/>
    <n v="4.9000000000000002E-2"/>
    <n v="2232.4"/>
    <n v="2240.1999999999998"/>
    <n v="2256.8000000000002"/>
    <m/>
    <m/>
    <n v="419.1"/>
    <n v="419.3"/>
    <n v="0"/>
  </r>
  <r>
    <x v="27"/>
    <n v="2200"/>
    <n v="419.0992"/>
    <n v="4.2000000000000003E-2"/>
    <n v="412.82830000000001"/>
    <n v="420.73289999999997"/>
    <n v="423.7364"/>
    <n v="3.9E-2"/>
    <n v="4.5999999999999999E-2"/>
    <n v="4.1000000000000002E-2"/>
    <n v="2232.4"/>
    <n v="2240.4"/>
    <n v="2257"/>
    <m/>
    <m/>
    <n v="419.1"/>
    <n v="419.3"/>
    <n v="0"/>
  </r>
  <r>
    <x v="27"/>
    <n v="2300"/>
    <n v="419.12209999999999"/>
    <n v="3.6999999999999998E-2"/>
    <n v="412.85629999999998"/>
    <n v="420.74880000000002"/>
    <n v="423.7611"/>
    <n v="0.05"/>
    <n v="3.5000000000000003E-2"/>
    <n v="1.9E-2"/>
    <n v="2232.6"/>
    <n v="2240.4"/>
    <n v="2257"/>
    <m/>
    <m/>
    <n v="419.1"/>
    <n v="419.3"/>
    <n v="0"/>
  </r>
  <r>
    <x v="27"/>
    <n v="2400"/>
    <n v="419.14679999999998"/>
    <n v="4.2999999999999997E-2"/>
    <n v="412.87380000000002"/>
    <n v="420.77179999999998"/>
    <n v="423.79469999999998"/>
    <n v="4.8000000000000001E-2"/>
    <n v="2.8000000000000001E-2"/>
    <n v="4.9000000000000002E-2"/>
    <n v="2232.6"/>
    <n v="2240.4"/>
    <n v="2257.1999999999998"/>
    <m/>
    <m/>
    <n v="419.1"/>
    <n v="419.3"/>
    <n v="0"/>
  </r>
  <r>
    <x v="28"/>
    <n v="100"/>
    <n v="419.16910000000001"/>
    <n v="4.3999999999999997E-2"/>
    <n v="412.8861"/>
    <n v="420.7912"/>
    <n v="423.83"/>
    <n v="4.2000000000000003E-2"/>
    <n v="4.4999999999999998E-2"/>
    <n v="4.4999999999999998E-2"/>
    <n v="2232.6"/>
    <n v="2240.4"/>
    <n v="2257.1999999999998"/>
    <m/>
    <m/>
    <n v="419.2"/>
    <n v="419.3"/>
    <n v="0"/>
  </r>
  <r>
    <x v="28"/>
    <n v="200"/>
    <n v="419.1703"/>
    <n v="4.3999999999999997E-2"/>
    <n v="412.8931"/>
    <n v="420.79300000000001"/>
    <n v="423.82470000000001"/>
    <n v="3.5999999999999997E-2"/>
    <n v="4.5999999999999999E-2"/>
    <n v="4.8000000000000001E-2"/>
    <n v="2232.6"/>
    <n v="2240.4"/>
    <n v="2257.1999999999998"/>
    <m/>
    <m/>
    <n v="419.2"/>
    <n v="419.3"/>
    <n v="0"/>
  </r>
  <r>
    <x v="28"/>
    <n v="300"/>
    <n v="419.19729999999998"/>
    <n v="3.7999999999999999E-2"/>
    <n v="412.92290000000003"/>
    <n v="420.8159"/>
    <n v="423.85300000000001"/>
    <n v="3.5000000000000003E-2"/>
    <n v="0.05"/>
    <n v="2.3E-2"/>
    <n v="2232.6"/>
    <n v="2240.4"/>
    <n v="2257.1999999999998"/>
    <m/>
    <m/>
    <n v="419.2"/>
    <n v="419.3"/>
    <n v="0"/>
  </r>
  <r>
    <x v="28"/>
    <n v="400"/>
    <n v="419.17739999999998"/>
    <n v="4.2999999999999997E-2"/>
    <n v="412.87560000000002"/>
    <n v="420.75409999999999"/>
    <n v="423.90249999999997"/>
    <n v="4.7E-2"/>
    <n v="2.8000000000000001E-2"/>
    <n v="0.05"/>
    <n v="2232.4"/>
    <n v="2240.4"/>
    <n v="2257.1999999999998"/>
    <m/>
    <m/>
    <n v="419.2"/>
    <n v="419.3"/>
    <n v="0"/>
  </r>
  <r>
    <x v="28"/>
    <n v="500"/>
    <n v="419.21249999999998"/>
    <n v="4.2000000000000003E-2"/>
    <n v="412.95440000000002"/>
    <n v="420.75409999999999"/>
    <n v="423.92899999999997"/>
    <n v="0.05"/>
    <n v="2.8000000000000001E-2"/>
    <n v="4.5999999999999999E-2"/>
    <n v="2232.6"/>
    <n v="2240.4"/>
    <n v="2257.4"/>
    <m/>
    <m/>
    <n v="419.2"/>
    <n v="419.3"/>
    <n v="0"/>
  </r>
  <r>
    <x v="28"/>
    <n v="600"/>
    <n v="419.2636"/>
    <n v="4.3999999999999997E-2"/>
    <n v="412.99810000000002"/>
    <n v="420.84949999999998"/>
    <n v="423.94319999999999"/>
    <n v="3.1E-2"/>
    <n v="5.8000000000000003E-2"/>
    <n v="3.6999999999999998E-2"/>
    <n v="2232.8000000000002"/>
    <n v="2240.6"/>
    <n v="2257.4"/>
    <m/>
    <m/>
    <n v="419.3"/>
    <n v="419.3"/>
    <n v="0"/>
  </r>
  <r>
    <x v="28"/>
    <n v="700"/>
    <n v="419.29059999999998"/>
    <n v="4.2999999999999997E-2"/>
    <n v="413.03309999999999"/>
    <n v="420.8972"/>
    <n v="423.94139999999999"/>
    <n v="4.2999999999999997E-2"/>
    <n v="4.7E-2"/>
    <n v="3.7999999999999999E-2"/>
    <n v="2232.8000000000002"/>
    <n v="2240.6"/>
    <n v="2257.4"/>
    <m/>
    <m/>
    <n v="419.3"/>
    <n v="419.3"/>
    <n v="0"/>
  </r>
  <r>
    <x v="28"/>
    <n v="800"/>
    <n v="419.27"/>
    <n v="4.3999999999999997E-2"/>
    <n v="413.01909999999998"/>
    <n v="420.8442"/>
    <n v="423.94670000000002"/>
    <n v="3.1E-2"/>
    <n v="6.0999999999999999E-2"/>
    <n v="3.3000000000000002E-2"/>
    <n v="2232.8000000000002"/>
    <n v="2240.8000000000002"/>
    <n v="2257.4"/>
    <m/>
    <m/>
    <n v="419.3"/>
    <n v="419.3"/>
    <n v="0"/>
  </r>
  <r>
    <x v="28"/>
    <n v="900"/>
    <n v="419.26280000000003"/>
    <n v="3.4000000000000002E-2"/>
    <n v="413.07159999999999"/>
    <n v="420.86189999999999"/>
    <n v="423.85480000000001"/>
    <n v="4.8000000000000001E-2"/>
    <n v="1.2999999999999999E-2"/>
    <n v="3.3000000000000002E-2"/>
    <n v="2233"/>
    <n v="2240.6"/>
    <n v="2257.1999999999998"/>
    <m/>
    <m/>
    <n v="419.3"/>
    <n v="419.3"/>
    <n v="0"/>
  </r>
  <r>
    <x v="28"/>
    <n v="1000"/>
    <n v="419.20100000000002"/>
    <n v="4.3999999999999997E-2"/>
    <n v="413.0471"/>
    <n v="420.80889999999999"/>
    <n v="423.74689999999998"/>
    <n v="4.9000000000000002E-2"/>
    <n v="0.05"/>
    <n v="3.1E-2"/>
    <n v="2232.8000000000002"/>
    <n v="2240.4"/>
    <n v="2257"/>
    <m/>
    <m/>
    <n v="419.2"/>
    <n v="419.3"/>
    <n v="0"/>
  </r>
  <r>
    <x v="28"/>
    <n v="1100"/>
    <n v="419.15640000000002"/>
    <n v="3.9E-2"/>
    <n v="413.0086"/>
    <n v="420.72590000000002"/>
    <n v="423.7346"/>
    <n v="1.9E-2"/>
    <n v="4.9000000000000002E-2"/>
    <n v="4.2000000000000003E-2"/>
    <n v="2232.8000000000002"/>
    <n v="2240.4"/>
    <n v="2257"/>
    <m/>
    <m/>
    <n v="419.2"/>
    <n v="419.3"/>
    <n v="0"/>
  </r>
  <r>
    <x v="28"/>
    <n v="1200"/>
    <n v="419.13279999999997"/>
    <n v="0.04"/>
    <n v="412.99979999999999"/>
    <n v="420.67649999999998"/>
    <n v="423.72219999999999"/>
    <n v="2.8000000000000001E-2"/>
    <n v="0.04"/>
    <n v="4.8000000000000001E-2"/>
    <n v="2232.8000000000002"/>
    <n v="2240.1999999999998"/>
    <n v="2257"/>
    <m/>
    <m/>
    <n v="419.1"/>
    <n v="419.3"/>
    <n v="0"/>
  </r>
  <r>
    <x v="28"/>
    <n v="1300"/>
    <n v="419.07650000000001"/>
    <n v="4.7E-2"/>
    <n v="412.94040000000001"/>
    <n v="420.59710000000001"/>
    <n v="423.69220000000001"/>
    <n v="4.5999999999999999E-2"/>
    <n v="4.8000000000000001E-2"/>
    <n v="4.8000000000000001E-2"/>
    <n v="2232.8000000000002"/>
    <n v="2240"/>
    <n v="2256.8000000000002"/>
    <m/>
    <m/>
    <n v="419.1"/>
    <n v="419.3"/>
    <n v="0"/>
  </r>
  <r>
    <x v="28"/>
    <n v="1400"/>
    <n v="419.03250000000003"/>
    <n v="3.4000000000000002E-2"/>
    <n v="412.90710000000001"/>
    <n v="420.53"/>
    <n v="423.66030000000001"/>
    <n v="0.03"/>
    <n v="4.7E-2"/>
    <n v="1.9E-2"/>
    <n v="2232.6"/>
    <n v="2240"/>
    <n v="2256.8000000000002"/>
    <m/>
    <m/>
    <n v="419"/>
    <n v="419.3"/>
    <n v="0"/>
  </r>
  <r>
    <x v="28"/>
    <n v="1500"/>
    <n v="419.02969999999999"/>
    <n v="4.4999999999999998E-2"/>
    <n v="412.86509999999998"/>
    <n v="420.54239999999999"/>
    <n v="423.68150000000003"/>
    <n v="0.05"/>
    <n v="0.04"/>
    <n v="4.2999999999999997E-2"/>
    <n v="2232.6"/>
    <n v="2240"/>
    <n v="2256.8000000000002"/>
    <m/>
    <m/>
    <n v="419"/>
    <n v="419.3"/>
    <n v="0"/>
  </r>
  <r>
    <x v="28"/>
    <n v="1600"/>
    <n v="419.00420000000003"/>
    <n v="4.2000000000000003E-2"/>
    <n v="412.74430000000001"/>
    <n v="420.56"/>
    <n v="423.7081"/>
    <n v="4.8000000000000001E-2"/>
    <n v="2.3E-2"/>
    <n v="0.05"/>
    <n v="2232.1999999999998"/>
    <n v="2240"/>
    <n v="2257"/>
    <m/>
    <m/>
    <n v="419"/>
    <n v="419.3"/>
    <n v="0"/>
  </r>
  <r>
    <x v="28"/>
    <n v="1700"/>
    <n v="419.1737"/>
    <n v="4.1000000000000002E-2"/>
    <n v="412.91759999999999"/>
    <n v="420.76650000000001"/>
    <n v="423.83710000000002"/>
    <n v="4.2999999999999997E-2"/>
    <n v="3.7999999999999999E-2"/>
    <n v="4.1000000000000002E-2"/>
    <n v="2232.6"/>
    <n v="2240.4"/>
    <n v="2257.1999999999998"/>
    <m/>
    <m/>
    <n v="419.2"/>
    <n v="419.3"/>
    <n v="0"/>
  </r>
  <r>
    <x v="28"/>
    <n v="1800"/>
    <n v="419.29410000000001"/>
    <n v="3.7999999999999999E-2"/>
    <n v="413.0471"/>
    <n v="420.88130000000001"/>
    <n v="423.9538"/>
    <n v="4.9000000000000002E-2"/>
    <n v="3.7999999999999999E-2"/>
    <n v="2.3E-2"/>
    <n v="2232.8000000000002"/>
    <n v="2240.6"/>
    <n v="2257.4"/>
    <m/>
    <m/>
    <n v="419.3"/>
    <n v="419.3"/>
    <n v="0"/>
  </r>
  <r>
    <x v="28"/>
    <n v="1900"/>
    <n v="419.32870000000003"/>
    <n v="4.4999999999999998E-2"/>
    <n v="413.09089999999998"/>
    <n v="420.8972"/>
    <n v="423.99810000000002"/>
    <n v="3.7999999999999999E-2"/>
    <n v="4.7E-2"/>
    <n v="4.9000000000000002E-2"/>
    <n v="2232.8000000000002"/>
    <n v="2240.6"/>
    <n v="2257.4"/>
    <m/>
    <m/>
    <n v="419.3"/>
    <n v="419.3"/>
    <n v="0"/>
  </r>
  <r>
    <x v="28"/>
    <n v="2000"/>
    <n v="419.34039999999999"/>
    <n v="4.2000000000000003E-2"/>
    <n v="413.11189999999999"/>
    <n v="420.91309999999999"/>
    <n v="423.99630000000002"/>
    <n v="1.7999999999999999E-2"/>
    <n v="0.05"/>
    <n v="4.9000000000000002E-2"/>
    <n v="2233"/>
    <n v="2240.8000000000002"/>
    <n v="2257.4"/>
    <m/>
    <m/>
    <n v="419.3"/>
    <n v="419.3"/>
    <n v="0"/>
  </r>
  <r>
    <x v="28"/>
    <n v="2100"/>
    <n v="419.35390000000001"/>
    <n v="4.9000000000000002E-2"/>
    <n v="413.13810000000001"/>
    <n v="420.90780000000001"/>
    <n v="424.01580000000001"/>
    <n v="4.5999999999999999E-2"/>
    <n v="0.05"/>
    <n v="0.05"/>
    <n v="2233"/>
    <n v="2240.6"/>
    <n v="2257.4"/>
    <m/>
    <m/>
    <n v="419.4"/>
    <n v="419.4"/>
    <n v="9.9999999999965894E-2"/>
  </r>
  <r>
    <x v="28"/>
    <n v="2200"/>
    <n v="419.35860000000002"/>
    <n v="4.9000000000000002E-2"/>
    <n v="413.14510000000001"/>
    <n v="420.91660000000002"/>
    <n v="424.01400000000001"/>
    <n v="4.8000000000000001E-2"/>
    <n v="0.05"/>
    <n v="0.05"/>
    <n v="2233.1999999999998"/>
    <n v="2240.8000000000002"/>
    <n v="2257.6"/>
    <m/>
    <m/>
    <n v="419.4"/>
    <n v="419.4"/>
    <n v="0"/>
  </r>
  <r>
    <x v="28"/>
    <n v="2300"/>
    <n v="419.36970000000002"/>
    <n v="4.9000000000000002E-2"/>
    <n v="413.1626"/>
    <n v="420.91660000000002"/>
    <n v="424.0299"/>
    <n v="0.05"/>
    <n v="0.05"/>
    <n v="4.5999999999999999E-2"/>
    <n v="2233.1999999999998"/>
    <n v="2240.6"/>
    <n v="2257.6"/>
    <m/>
    <m/>
    <n v="419.4"/>
    <n v="419.4"/>
    <n v="0"/>
  </r>
  <r>
    <x v="28"/>
    <n v="2400"/>
    <n v="419.32979999999998"/>
    <n v="4.3999999999999997E-2"/>
    <n v="413.13459999999998"/>
    <n v="420.81060000000002"/>
    <n v="424.04410000000001"/>
    <n v="4.3999999999999997E-2"/>
    <n v="0.05"/>
    <n v="3.6999999999999998E-2"/>
    <n v="2233.1999999999998"/>
    <n v="2240.6"/>
    <n v="2257.6"/>
    <m/>
    <m/>
    <n v="419.3"/>
    <n v="419.4"/>
    <n v="0"/>
  </r>
  <r>
    <x v="29"/>
    <n v="100"/>
    <n v="419.37490000000003"/>
    <n v="3.2000000000000001E-2"/>
    <n v="413.19029999999998"/>
    <n v="420.87799999999999"/>
    <n v="424.05650000000003"/>
    <n v="3.7999999999999999E-2"/>
    <n v="3.5000000000000003E-2"/>
    <n v="1.9E-2"/>
    <n v="2233"/>
    <n v="2240.6"/>
    <n v="2257.6"/>
    <m/>
    <m/>
    <n v="419.4"/>
    <n v="419.4"/>
    <n v="0"/>
  </r>
  <r>
    <x v="29"/>
    <n v="200"/>
    <n v="419.3904"/>
    <n v="3.2000000000000001E-2"/>
    <n v="413.21699999999998"/>
    <n v="420.89240000000001"/>
    <n v="424.06189999999998"/>
    <n v="2.8000000000000001E-2"/>
    <n v="4.4999999999999998E-2"/>
    <n v="1.2999999999999999E-2"/>
    <n v="2233.1999999999998"/>
    <n v="2240.8000000000002"/>
    <n v="2257.6"/>
    <m/>
    <m/>
    <n v="419.4"/>
    <n v="419.4"/>
    <n v="0"/>
  </r>
  <r>
    <x v="29"/>
    <n v="300"/>
    <n v="419.39659999999998"/>
    <n v="3.6999999999999998E-2"/>
    <n v="413.22559999999999"/>
    <n v="420.90069999999997"/>
    <n v="424.06360000000001"/>
    <n v="3.7999999999999999E-2"/>
    <n v="4.9000000000000002E-2"/>
    <n v="1.9E-2"/>
    <n v="2233.1999999999998"/>
    <n v="2240.6"/>
    <n v="2257.6"/>
    <m/>
    <m/>
    <n v="419.4"/>
    <n v="419.4"/>
    <n v="0"/>
  </r>
  <r>
    <x v="29"/>
    <n v="400"/>
    <n v="419.38679999999999"/>
    <n v="3.4000000000000002E-2"/>
    <n v="413.23489999999998"/>
    <n v="420.87259999999998"/>
    <n v="424.05290000000002"/>
    <n v="4.3999999999999997E-2"/>
    <n v="2.9000000000000001E-2"/>
    <n v="2.5999999999999999E-2"/>
    <n v="2233.1999999999998"/>
    <n v="2240.6"/>
    <n v="2257.6"/>
    <m/>
    <m/>
    <n v="419.4"/>
    <n v="419.4"/>
    <n v="0"/>
  </r>
  <r>
    <x v="29"/>
    <n v="500"/>
    <n v="419.38490000000002"/>
    <n v="4.4999999999999998E-2"/>
    <n v="413.22390000000001"/>
    <n v="420.90780000000001"/>
    <n v="424.02289999999999"/>
    <n v="3.5999999999999997E-2"/>
    <n v="0.05"/>
    <n v="4.9000000000000002E-2"/>
    <n v="2233.1999999999998"/>
    <n v="2240.6"/>
    <n v="2257.6"/>
    <m/>
    <m/>
    <n v="419.4"/>
    <n v="419.4"/>
    <n v="0"/>
  </r>
  <r>
    <x v="29"/>
    <n v="600"/>
    <n v="419.36599999999999"/>
    <n v="3.9E-2"/>
    <n v="413.2099"/>
    <n v="420.89190000000002"/>
    <n v="423.99630000000002"/>
    <n v="1.2999999999999999E-2"/>
    <n v="4.4999999999999998E-2"/>
    <n v="4.9000000000000002E-2"/>
    <n v="2233.1999999999998"/>
    <n v="2240.6"/>
    <n v="2257.4"/>
    <m/>
    <m/>
    <n v="419.4"/>
    <n v="419.4"/>
    <n v="0"/>
  </r>
  <r>
    <x v="29"/>
    <n v="700"/>
    <n v="419.35250000000002"/>
    <n v="4.2000000000000003E-2"/>
    <n v="413.18889999999999"/>
    <n v="420.8689"/>
    <n v="423.99979999999999"/>
    <n v="3.9E-2"/>
    <n v="3.5000000000000003E-2"/>
    <n v="0.05"/>
    <n v="2233.1999999999998"/>
    <n v="2240.6"/>
    <n v="2257.4"/>
    <m/>
    <m/>
    <n v="419.4"/>
    <n v="419.4"/>
    <n v="0"/>
  </r>
  <r>
    <x v="29"/>
    <n v="800"/>
    <n v="419.37599999999998"/>
    <n v="5.1999999999999998E-2"/>
    <n v="413.23090000000002"/>
    <n v="420.88830000000002"/>
    <n v="424.00869999999998"/>
    <n v="0.05"/>
    <n v="5.7000000000000002E-2"/>
    <n v="0.05"/>
    <n v="2233.1999999999998"/>
    <n v="2240.8000000000002"/>
    <n v="2257.4"/>
    <m/>
    <m/>
    <n v="419.4"/>
    <n v="419.4"/>
    <n v="0"/>
  </r>
  <r>
    <x v="29"/>
    <n v="900"/>
    <n v="419.27100000000002"/>
    <n v="4.3999999999999997E-2"/>
    <n v="413.26069999999999"/>
    <n v="420.77359999999999"/>
    <n v="423.77879999999999"/>
    <n v="0.05"/>
    <n v="4.1000000000000002E-2"/>
    <n v="4.1000000000000002E-2"/>
    <n v="2233.1999999999998"/>
    <n v="2240.4"/>
    <n v="2257"/>
    <m/>
    <m/>
    <n v="419.3"/>
    <n v="419.4"/>
    <n v="0"/>
  </r>
  <r>
    <x v="29"/>
    <n v="1000"/>
    <n v="419.16410000000002"/>
    <n v="4.8000000000000001E-2"/>
    <n v="413.1696"/>
    <n v="420.69060000000002"/>
    <n v="423.63200000000001"/>
    <n v="4.9000000000000002E-2"/>
    <n v="5.1999999999999998E-2"/>
    <n v="4.2999999999999997E-2"/>
    <n v="2233"/>
    <n v="2240.1999999999998"/>
    <n v="2256.8000000000002"/>
    <m/>
    <m/>
    <n v="419.2"/>
    <n v="419.4"/>
    <n v="0"/>
  </r>
  <r>
    <x v="29"/>
    <n v="1100"/>
    <n v="419.07679999999999"/>
    <n v="4.5999999999999999E-2"/>
    <n v="413.03489999999999"/>
    <n v="420.5883"/>
    <n v="423.60730000000001"/>
    <n v="4.3999999999999997E-2"/>
    <n v="4.3999999999999997E-2"/>
    <n v="0.05"/>
    <n v="2232.8000000000002"/>
    <n v="2240"/>
    <n v="2256.8000000000002"/>
    <m/>
    <m/>
    <n v="419.1"/>
    <n v="419.4"/>
    <n v="0"/>
  </r>
  <r>
    <x v="29"/>
    <n v="1200"/>
    <n v="419.04340000000002"/>
    <n v="3.5999999999999997E-2"/>
    <n v="412.99290000000002"/>
    <n v="420.55650000000003"/>
    <n v="423.58080000000001"/>
    <n v="3.5999999999999997E-2"/>
    <n v="2.9000000000000001E-2"/>
    <n v="4.2999999999999997E-2"/>
    <n v="2232.6"/>
    <n v="2240"/>
    <n v="2256.6"/>
    <m/>
    <m/>
    <n v="419"/>
    <n v="419.4"/>
    <n v="0"/>
  </r>
  <r>
    <x v="29"/>
    <n v="1300"/>
    <n v="419.00119999999998"/>
    <n v="0.04"/>
    <n v="412.9316"/>
    <n v="420.51060000000001"/>
    <n v="423.56139999999999"/>
    <n v="4.2000000000000003E-2"/>
    <n v="0.05"/>
    <n v="2.1999999999999999E-2"/>
    <n v="2232.6"/>
    <n v="2240"/>
    <n v="2256.6"/>
    <m/>
    <m/>
    <n v="419"/>
    <n v="419.4"/>
    <n v="0"/>
  </r>
  <r>
    <x v="29"/>
    <n v="1400"/>
    <n v="418.96120000000002"/>
    <n v="3.5000000000000003E-2"/>
    <n v="412.91239999999999"/>
    <n v="420.44889999999998"/>
    <n v="423.5224"/>
    <n v="1.7999999999999999E-2"/>
    <n v="3.3000000000000002E-2"/>
    <n v="4.8000000000000001E-2"/>
    <n v="2232.6"/>
    <n v="2239.6"/>
    <n v="2256.6"/>
    <m/>
    <m/>
    <n v="419"/>
    <n v="419.4"/>
    <n v="0"/>
  </r>
  <r>
    <x v="29"/>
    <n v="1500"/>
    <n v="418.92570000000001"/>
    <n v="3.9E-2"/>
    <n v="412.78449999999998"/>
    <n v="420.45769999999999"/>
    <n v="423.53480000000002"/>
    <n v="4.2999999999999997E-2"/>
    <n v="3.2000000000000001E-2"/>
    <n v="4.1000000000000002E-2"/>
    <n v="2232.4"/>
    <n v="2239.8000000000002"/>
    <n v="2256.6"/>
    <m/>
    <m/>
    <n v="418.9"/>
    <n v="419.4"/>
    <n v="0"/>
  </r>
  <r>
    <x v="29"/>
    <n v="1600"/>
    <n v="418.93"/>
    <n v="4.1000000000000002E-2"/>
    <n v="412.71800000000002"/>
    <n v="420.48770000000002"/>
    <n v="423.58440000000002"/>
    <n v="3.4000000000000002E-2"/>
    <n v="4.3999999999999997E-2"/>
    <n v="4.4999999999999998E-2"/>
    <n v="2232.1999999999998"/>
    <n v="2240"/>
    <n v="2256.6"/>
    <m/>
    <m/>
    <n v="418.9"/>
    <n v="419.4"/>
    <n v="0"/>
  </r>
  <r>
    <x v="29"/>
    <n v="1700"/>
    <n v="419.06970000000001"/>
    <n v="4.2999999999999997E-2"/>
    <n v="412.83879999999999"/>
    <n v="420.673"/>
    <n v="423.69740000000002"/>
    <n v="4.5999999999999999E-2"/>
    <n v="3.1E-2"/>
    <n v="4.9000000000000002E-2"/>
    <n v="2232.4"/>
    <n v="2240.1999999999998"/>
    <n v="2257"/>
    <m/>
    <m/>
    <n v="419.1"/>
    <n v="419.4"/>
    <n v="0"/>
  </r>
  <r>
    <x v="29"/>
    <n v="1800"/>
    <n v="419.19529999999997"/>
    <n v="4.2000000000000003E-2"/>
    <n v="412.99110000000002"/>
    <n v="420.78059999999999"/>
    <n v="423.8141"/>
    <n v="3.7999999999999999E-2"/>
    <n v="3.7999999999999999E-2"/>
    <n v="0.05"/>
    <n v="2232.8000000000002"/>
    <n v="2240.4"/>
    <n v="2257.1999999999998"/>
    <m/>
    <m/>
    <n v="419.2"/>
    <n v="419.4"/>
    <n v="0"/>
  </r>
  <r>
    <x v="29"/>
    <n v="1900"/>
    <n v="419.23050000000001"/>
    <n v="3.9E-2"/>
    <n v="413.03140000000002"/>
    <n v="420.80529999999999"/>
    <n v="423.85480000000001"/>
    <n v="4.2000000000000003E-2"/>
    <n v="0.05"/>
    <n v="1.9E-2"/>
    <n v="2232.8000000000002"/>
    <n v="2240.6"/>
    <n v="2257.1999999999998"/>
    <m/>
    <m/>
    <n v="419.2"/>
    <n v="419.4"/>
    <n v="0"/>
  </r>
  <r>
    <x v="29"/>
    <n v="2000"/>
    <n v="419.24400000000003"/>
    <n v="4.7E-2"/>
    <n v="413.03660000000002"/>
    <n v="420.80889999999999"/>
    <n v="423.88659999999999"/>
    <n v="4.4999999999999998E-2"/>
    <n v="0.05"/>
    <n v="4.4999999999999998E-2"/>
    <n v="2232.8000000000002"/>
    <n v="2240.4"/>
    <n v="2257.4"/>
    <m/>
    <m/>
    <n v="419.2"/>
    <n v="419.4"/>
    <n v="0"/>
  </r>
  <r>
    <x v="29"/>
    <n v="2100"/>
    <n v="419.27510000000001"/>
    <n v="4.4999999999999998E-2"/>
    <n v="413.0874"/>
    <n v="420.83539999999999"/>
    <n v="423.90249999999997"/>
    <n v="4.1000000000000002E-2"/>
    <n v="4.4999999999999998E-2"/>
    <n v="0.05"/>
    <n v="2233"/>
    <n v="2240.4"/>
    <n v="2257.1999999999998"/>
    <m/>
    <m/>
    <n v="419.3"/>
    <n v="419.4"/>
    <n v="0"/>
  </r>
  <r>
    <x v="29"/>
    <n v="2200"/>
    <n v="419.27749999999997"/>
    <n v="4.5999999999999999E-2"/>
    <n v="413.0804"/>
    <n v="420.84070000000003"/>
    <n v="423.91140000000001"/>
    <n v="4.4999999999999998E-2"/>
    <n v="4.2000000000000003E-2"/>
    <n v="0.05"/>
    <n v="2232.8000000000002"/>
    <n v="2240.4"/>
    <n v="2257.1999999999998"/>
    <m/>
    <m/>
    <n v="419.3"/>
    <n v="419.4"/>
    <n v="0"/>
  </r>
  <r>
    <x v="29"/>
    <n v="2300"/>
    <n v="419.2851"/>
    <n v="4.2999999999999997E-2"/>
    <n v="413.08390000000003"/>
    <n v="420.846"/>
    <n v="423.9255"/>
    <n v="4.2999999999999997E-2"/>
    <n v="3.7999999999999999E-2"/>
    <n v="4.8000000000000001E-2"/>
    <n v="2233"/>
    <n v="2240.6"/>
    <n v="2257.1999999999998"/>
    <m/>
    <m/>
    <n v="419.3"/>
    <n v="419.4"/>
    <n v="0"/>
  </r>
  <r>
    <x v="29"/>
    <n v="2400"/>
    <n v="419.30500000000001"/>
    <n v="3.6999999999999998E-2"/>
    <n v="413.12060000000002"/>
    <n v="420.85660000000001"/>
    <n v="423.93790000000001"/>
    <n v="4.2000000000000003E-2"/>
    <n v="2.5999999999999999E-2"/>
    <n v="4.1000000000000002E-2"/>
    <n v="2233"/>
    <n v="2240.6"/>
    <n v="2257.4"/>
    <m/>
    <m/>
    <n v="419.3"/>
    <n v="419.4"/>
    <n v="0"/>
  </r>
  <r>
    <x v="30"/>
    <n v="100"/>
    <n v="419.31270000000001"/>
    <n v="0.04"/>
    <n v="413.13639999999998"/>
    <n v="420.86540000000002"/>
    <n v="423.93610000000001"/>
    <n v="4.4999999999999998E-2"/>
    <n v="0.03"/>
    <n v="4.2000000000000003E-2"/>
    <n v="2233"/>
    <n v="2240.6"/>
    <n v="2257.4"/>
    <m/>
    <m/>
    <n v="419.3"/>
    <n v="419.4"/>
    <n v="0"/>
  </r>
  <r>
    <x v="30"/>
    <n v="200"/>
    <n v="419.31259999999997"/>
    <n v="4.1000000000000002E-2"/>
    <n v="413.15039999999999"/>
    <n v="420.85480000000001"/>
    <n v="423.93259999999998"/>
    <n v="4.9000000000000002E-2"/>
    <n v="2.8000000000000001E-2"/>
    <n v="4.3999999999999997E-2"/>
    <n v="2233.1999999999998"/>
    <n v="2240.6"/>
    <n v="2257.4"/>
    <m/>
    <m/>
    <n v="419.3"/>
    <n v="419.4"/>
    <n v="0"/>
  </r>
  <r>
    <x v="30"/>
    <n v="300"/>
    <n v="419.30380000000002"/>
    <n v="3.7999999999999999E-2"/>
    <n v="413.1259"/>
    <n v="420.85480000000001"/>
    <n v="423.93079999999998"/>
    <n v="3.7999999999999999E-2"/>
    <n v="2.8000000000000001E-2"/>
    <n v="4.4999999999999998E-2"/>
    <n v="2233"/>
    <n v="2240.6"/>
    <n v="2257.4"/>
    <m/>
    <m/>
    <n v="419.3"/>
    <n v="419.4"/>
    <n v="0"/>
  </r>
  <r>
    <x v="30"/>
    <n v="400"/>
    <n v="419.30259999999998"/>
    <n v="0.04"/>
    <n v="413.12240000000003"/>
    <n v="420.85660000000001"/>
    <n v="423.92899999999997"/>
    <n v="3.5000000000000003E-2"/>
    <n v="3.6999999999999998E-2"/>
    <n v="4.5999999999999999E-2"/>
    <n v="2233"/>
    <n v="2240.6"/>
    <n v="2257.4"/>
    <m/>
    <m/>
    <n v="419.3"/>
    <n v="419.4"/>
    <n v="0"/>
  </r>
  <r>
    <x v="30"/>
    <n v="500"/>
    <n v="419.29919999999998"/>
    <n v="3.6999999999999998E-2"/>
    <n v="413.1189"/>
    <n v="420.85829999999999"/>
    <n v="423.92020000000002"/>
    <n v="3.1E-2"/>
    <n v="2.9000000000000001E-2"/>
    <n v="4.9000000000000002E-2"/>
    <n v="2233"/>
    <n v="2240.6"/>
    <n v="2257.1999999999998"/>
    <m/>
    <m/>
    <n v="419.3"/>
    <n v="419.4"/>
    <n v="0"/>
  </r>
  <r>
    <x v="30"/>
    <n v="600"/>
    <n v="419.28980000000001"/>
    <n v="3.5999999999999997E-2"/>
    <n v="413.10840000000002"/>
    <n v="420.84769999999997"/>
    <n v="423.91309999999999"/>
    <n v="0"/>
    <n v="3.6999999999999998E-2"/>
    <n v="0.05"/>
    <n v="2233"/>
    <n v="2240.6"/>
    <n v="2257.4"/>
    <m/>
    <m/>
    <n v="419.3"/>
    <n v="419.4"/>
    <n v="0"/>
  </r>
  <r>
    <x v="30"/>
    <n v="700"/>
    <n v="419.27620000000002"/>
    <n v="4.2999999999999997E-2"/>
    <n v="413.09440000000001"/>
    <n v="420.8372"/>
    <n v="423.8972"/>
    <n v="3.5000000000000003E-2"/>
    <n v="4.3999999999999997E-2"/>
    <n v="4.9000000000000002E-2"/>
    <n v="2233"/>
    <n v="2240.6"/>
    <n v="2257.4"/>
    <m/>
    <m/>
    <n v="419.3"/>
    <n v="419.4"/>
    <n v="0"/>
  </r>
  <r>
    <x v="30"/>
    <n v="800"/>
    <n v="419.2704"/>
    <n v="4.4999999999999998E-2"/>
    <n v="413.0926"/>
    <n v="420.82650000000001"/>
    <n v="423.89190000000002"/>
    <n v="3.5999999999999997E-2"/>
    <n v="4.9000000000000002E-2"/>
    <n v="4.8000000000000001E-2"/>
    <n v="2233"/>
    <n v="2240.6"/>
    <n v="2257.1999999999998"/>
    <m/>
    <m/>
    <n v="419.3"/>
    <n v="419.4"/>
    <n v="0"/>
  </r>
  <r>
    <x v="30"/>
    <n v="900"/>
    <n v="419.17079999999999"/>
    <n v="4.4999999999999998E-2"/>
    <n v="413.09609999999998"/>
    <n v="420.71879999999999"/>
    <n v="423.69740000000002"/>
    <n v="3.3000000000000002E-2"/>
    <n v="0.05"/>
    <n v="4.9000000000000002E-2"/>
    <n v="2233"/>
    <n v="2240.1999999999998"/>
    <n v="2256.8000000000002"/>
    <m/>
    <m/>
    <n v="419.2"/>
    <n v="419.4"/>
    <n v="0"/>
  </r>
  <r>
    <x v="30"/>
    <n v="1000"/>
    <n v="419.096"/>
    <n v="0.04"/>
    <n v="413.09089999999998"/>
    <n v="420.65"/>
    <n v="423.54719999999998"/>
    <n v="3.7999999999999999E-2"/>
    <n v="0.05"/>
    <n v="2.9000000000000001E-2"/>
    <n v="2233"/>
    <n v="2240"/>
    <n v="2256.6"/>
    <m/>
    <m/>
    <n v="419.1"/>
    <n v="419.4"/>
    <n v="0"/>
  </r>
  <r>
    <x v="30"/>
    <n v="1100"/>
    <n v="418.9606"/>
    <n v="3.4000000000000002E-2"/>
    <n v="412.90190000000001"/>
    <n v="420.53179999999998"/>
    <n v="423.44810000000001"/>
    <n v="2.5999999999999999E-2"/>
    <n v="4.5999999999999999E-2"/>
    <n v="2.5999999999999999E-2"/>
    <n v="2232.6"/>
    <n v="2240"/>
    <n v="2256.4"/>
    <m/>
    <m/>
    <n v="419"/>
    <n v="419.4"/>
    <n v="0"/>
  </r>
  <r>
    <x v="30"/>
    <n v="1200"/>
    <n v="418.90010000000001"/>
    <n v="4.4999999999999998E-2"/>
    <n v="412.8528"/>
    <n v="420.44889999999998"/>
    <n v="423.39870000000002"/>
    <n v="0.05"/>
    <n v="3.3000000000000002E-2"/>
    <n v="0.05"/>
    <n v="2232.6"/>
    <n v="2239.8000000000002"/>
    <n v="2256.1999999999998"/>
    <m/>
    <m/>
    <n v="418.9"/>
    <n v="419.4"/>
    <n v="0"/>
  </r>
  <r>
    <x v="30"/>
    <n v="1300"/>
    <n v="418.87779999999998"/>
    <n v="4.5999999999999999E-2"/>
    <n v="412.83"/>
    <n v="420.41359999999997"/>
    <n v="423.38979999999998"/>
    <n v="4.1000000000000002E-2"/>
    <n v="0.05"/>
    <n v="4.8000000000000001E-2"/>
    <n v="2232.4"/>
    <n v="2239.6"/>
    <n v="2256.1999999999998"/>
    <m/>
    <m/>
    <n v="418.9"/>
    <n v="419.4"/>
    <n v="0"/>
  </r>
  <r>
    <x v="30"/>
    <n v="1400"/>
    <n v="418.8415"/>
    <n v="4.2000000000000003E-2"/>
    <n v="412.7722"/>
    <n v="420.3854"/>
    <n v="423.36689999999999"/>
    <n v="4.8000000000000001E-2"/>
    <n v="4.2999999999999997E-2"/>
    <n v="3.3000000000000002E-2"/>
    <n v="2232.4"/>
    <n v="2239.6"/>
    <n v="2256.1999999999998"/>
    <m/>
    <m/>
    <n v="418.8"/>
    <n v="419.4"/>
    <n v="0"/>
  </r>
  <r>
    <x v="30"/>
    <n v="1500"/>
    <n v="418.82420000000002"/>
    <n v="4.9000000000000002E-2"/>
    <n v="412.64460000000003"/>
    <n v="420.4083"/>
    <n v="423.41989999999998"/>
    <n v="4.8000000000000001E-2"/>
    <n v="0.05"/>
    <n v="4.8000000000000001E-2"/>
    <n v="2232"/>
    <n v="2239.6"/>
    <n v="2256.4"/>
    <m/>
    <m/>
    <n v="418.8"/>
    <n v="419.4"/>
    <n v="0"/>
  </r>
  <r>
    <x v="30"/>
    <n v="1600"/>
    <n v="418.84960000000001"/>
    <n v="3.5000000000000003E-2"/>
    <n v="412.61130000000003"/>
    <n v="420.49299999999999"/>
    <n v="423.44459999999998"/>
    <n v="2.3E-2"/>
    <n v="4.7E-2"/>
    <n v="3.1E-2"/>
    <n v="2232"/>
    <n v="2240"/>
    <n v="2256.4"/>
    <m/>
    <m/>
    <n v="418.8"/>
    <n v="419.4"/>
    <n v="0"/>
  </r>
  <r>
    <x v="30"/>
    <n v="1700"/>
    <n v="419.00170000000003"/>
    <n v="4.2000000000000003E-2"/>
    <n v="412.74079999999998"/>
    <n v="420.66590000000002"/>
    <n v="423.5985"/>
    <n v="4.5999999999999999E-2"/>
    <n v="2.5999999999999999E-2"/>
    <n v="0.05"/>
    <n v="2232.1999999999998"/>
    <n v="2240.1999999999998"/>
    <n v="2256.8000000000002"/>
    <m/>
    <m/>
    <n v="419"/>
    <n v="419.4"/>
    <n v="0"/>
  </r>
  <r>
    <x v="30"/>
    <n v="1800"/>
    <n v="419.09739999999999"/>
    <n v="3.9E-2"/>
    <n v="412.83179999999999"/>
    <n v="420.7629"/>
    <n v="423.69740000000002"/>
    <n v="4.2000000000000003E-2"/>
    <n v="1.9E-2"/>
    <n v="4.9000000000000002E-2"/>
    <n v="2232.4"/>
    <n v="2240.6"/>
    <n v="2257"/>
    <m/>
    <m/>
    <n v="419.1"/>
    <n v="419.4"/>
    <n v="0"/>
  </r>
  <r>
    <x v="30"/>
    <n v="1900"/>
    <n v="419.14670000000001"/>
    <n v="4.1000000000000002E-2"/>
    <n v="412.88260000000002"/>
    <n v="420.80529999999999"/>
    <n v="423.75229999999999"/>
    <n v="4.3999999999999997E-2"/>
    <n v="0.05"/>
    <n v="2.3E-2"/>
    <n v="2232.6"/>
    <n v="2240.6"/>
    <n v="2257"/>
    <m/>
    <m/>
    <n v="419.1"/>
    <n v="419.4"/>
    <n v="0"/>
  </r>
  <r>
    <x v="30"/>
    <n v="2000"/>
    <n v="419.15910000000002"/>
    <n v="4.2000000000000003E-2"/>
    <n v="412.88780000000003"/>
    <n v="420.8177"/>
    <n v="423.77170000000001"/>
    <n v="4.1000000000000002E-2"/>
    <n v="0.05"/>
    <n v="3.5000000000000003E-2"/>
    <n v="2232.6"/>
    <n v="2240.4"/>
    <n v="2257"/>
    <m/>
    <m/>
    <n v="419.2"/>
    <n v="419.4"/>
    <n v="0"/>
  </r>
  <r>
    <x v="30"/>
    <n v="2100"/>
    <n v="419.16730000000001"/>
    <n v="4.2000000000000003E-2"/>
    <n v="412.90190000000001"/>
    <n v="420.81950000000001"/>
    <n v="423.78050000000002"/>
    <n v="3.2000000000000001E-2"/>
    <n v="0.05"/>
    <n v="4.2000000000000003E-2"/>
    <n v="2232.6"/>
    <n v="2240.4"/>
    <n v="2257"/>
    <m/>
    <m/>
    <n v="419.2"/>
    <n v="419.4"/>
    <n v="0"/>
  </r>
  <r>
    <x v="30"/>
    <n v="2200"/>
    <n v="419.16609999999997"/>
    <n v="3.7999999999999999E-2"/>
    <n v="412.90890000000002"/>
    <n v="420.81420000000003"/>
    <n v="423.77519999999998"/>
    <n v="1.9E-2"/>
    <n v="0.05"/>
    <n v="3.7999999999999999E-2"/>
    <n v="2232.6"/>
    <n v="2240.6"/>
    <n v="2257"/>
    <m/>
    <m/>
    <n v="419.2"/>
    <n v="419.4"/>
    <n v="0"/>
  </r>
  <r>
    <x v="30"/>
    <n v="2300"/>
    <n v="419.1626"/>
    <n v="3.6999999999999998E-2"/>
    <n v="412.91059999999999"/>
    <n v="420.80180000000001"/>
    <n v="423.77519999999998"/>
    <n v="1.2999999999999999E-2"/>
    <n v="4.9000000000000002E-2"/>
    <n v="3.7999999999999999E-2"/>
    <n v="2232.6"/>
    <n v="2240.4"/>
    <n v="2257"/>
    <m/>
    <m/>
    <n v="419.2"/>
    <n v="419.4"/>
    <n v="0"/>
  </r>
  <r>
    <x v="30"/>
    <n v="2400"/>
    <n v="419.16719999999998"/>
    <n v="4.1000000000000002E-2"/>
    <n v="412.9194"/>
    <n v="420.80360000000002"/>
    <n v="423.77879999999999"/>
    <n v="3.1E-2"/>
    <n v="4.9000000000000002E-2"/>
    <n v="4.1000000000000002E-2"/>
    <n v="2232.6"/>
    <n v="2240.4"/>
    <n v="2257.1999999999998"/>
    <m/>
    <m/>
    <n v="419.2"/>
    <n v="419.4"/>
    <n v="0"/>
  </r>
  <r>
    <x v="31"/>
    <n v="100"/>
    <n v="419.16489999999999"/>
    <n v="4.1000000000000002E-2"/>
    <n v="412.91239999999999"/>
    <n v="420.8"/>
    <n v="423.78230000000002"/>
    <n v="2.5999999999999999E-2"/>
    <n v="4.9000000000000002E-2"/>
    <n v="4.2999999999999997E-2"/>
    <n v="2232.6"/>
    <n v="2240.6"/>
    <n v="2257"/>
    <m/>
    <m/>
    <n v="419.2"/>
    <n v="419.4"/>
    <n v="0"/>
  </r>
  <r>
    <x v="31"/>
    <n v="200"/>
    <n v="419.16430000000003"/>
    <n v="3.9E-2"/>
    <n v="412.91239999999999"/>
    <n v="420.8"/>
    <n v="423.78050000000002"/>
    <n v="1.7999999999999999E-2"/>
    <n v="4.9000000000000002E-2"/>
    <n v="4.2000000000000003E-2"/>
    <n v="2232.6"/>
    <n v="2240.4"/>
    <n v="2257"/>
    <m/>
    <m/>
    <n v="419.2"/>
    <n v="419.4"/>
    <n v="0"/>
  </r>
  <r>
    <x v="31"/>
    <n v="300"/>
    <n v="419.1626"/>
    <n v="0.04"/>
    <n v="412.91059999999999"/>
    <n v="420.79649999999998"/>
    <n v="423.78050000000002"/>
    <n v="0.03"/>
    <n v="4.7E-2"/>
    <n v="4.2000000000000003E-2"/>
    <n v="2232.6"/>
    <n v="2240.4"/>
    <n v="2257.1999999999998"/>
    <m/>
    <m/>
    <n v="419.2"/>
    <n v="419.4"/>
    <n v="0"/>
  </r>
  <r>
    <x v="31"/>
    <n v="400"/>
    <n v="419.1626"/>
    <n v="4.2999999999999997E-2"/>
    <n v="412.90010000000001"/>
    <n v="420.79469999999998"/>
    <n v="423.79289999999997"/>
    <n v="3.4000000000000002E-2"/>
    <n v="4.7E-2"/>
    <n v="4.8000000000000001E-2"/>
    <n v="2232.6"/>
    <n v="2240.4"/>
    <n v="2257"/>
    <m/>
    <m/>
    <n v="419.2"/>
    <n v="419.4"/>
    <n v="0"/>
  </r>
  <r>
    <x v="31"/>
    <n v="500"/>
    <n v="419.16609999999997"/>
    <n v="4.4999999999999998E-2"/>
    <n v="412.90010000000001"/>
    <n v="420.80360000000002"/>
    <n v="423.79469999999998"/>
    <n v="3.4000000000000002E-2"/>
    <n v="4.9000000000000002E-2"/>
    <n v="4.9000000000000002E-2"/>
    <n v="2232.6"/>
    <n v="2240.6"/>
    <n v="2257"/>
    <m/>
    <m/>
    <n v="419.2"/>
    <n v="419.4"/>
    <n v="0"/>
  </r>
  <r>
    <x v="31"/>
    <n v="600"/>
    <n v="419.18540000000002"/>
    <n v="4.9000000000000002E-2"/>
    <n v="412.95089999999999"/>
    <n v="420.80889999999999"/>
    <n v="423.79640000000001"/>
    <n v="4.9000000000000002E-2"/>
    <n v="0.05"/>
    <n v="4.9000000000000002E-2"/>
    <n v="2232.8000000000002"/>
    <n v="2240.4"/>
    <n v="2257"/>
    <m/>
    <m/>
    <n v="419.2"/>
    <n v="419.4"/>
    <n v="0"/>
  </r>
  <r>
    <x v="31"/>
    <n v="700"/>
    <n v="419.24369999999999"/>
    <n v="4.3999999999999997E-2"/>
    <n v="413.14510000000001"/>
    <n v="420.8177"/>
    <n v="423.76819999999998"/>
    <n v="4.8000000000000001E-2"/>
    <n v="0.05"/>
    <n v="3.1E-2"/>
    <n v="2233.1999999999998"/>
    <n v="2240.4"/>
    <n v="2257"/>
    <m/>
    <m/>
    <n v="419.2"/>
    <n v="419.4"/>
    <n v="0"/>
  </r>
  <r>
    <x v="31"/>
    <n v="800"/>
    <n v="419.16590000000002"/>
    <n v="3.7999999999999999E-2"/>
    <n v="412.98759999999999"/>
    <n v="420.77179999999998"/>
    <n v="423.73809999999997"/>
    <n v="4.1000000000000002E-2"/>
    <n v="3.4000000000000002E-2"/>
    <n v="0.04"/>
    <n v="2232.8000000000002"/>
    <n v="2240.4"/>
    <n v="2257"/>
    <m/>
    <m/>
    <n v="419.2"/>
    <n v="419.4"/>
    <n v="0"/>
  </r>
  <r>
    <x v="31"/>
    <n v="900"/>
    <n v="419.15"/>
    <n v="4.1000000000000002E-2"/>
    <n v="412.97710000000001"/>
    <n v="420.76819999999998"/>
    <n v="423.7045"/>
    <n v="4.5999999999999999E-2"/>
    <n v="2.1999999999999999E-2"/>
    <n v="0.05"/>
    <n v="2232.8000000000002"/>
    <n v="2240.4"/>
    <n v="2256.8000000000002"/>
    <m/>
    <m/>
    <n v="419.2"/>
    <n v="419.4"/>
    <n v="0"/>
  </r>
  <r>
    <x v="31"/>
    <n v="1000"/>
    <n v="419.0326"/>
    <n v="4.2999999999999997E-2"/>
    <n v="412.88260000000002"/>
    <n v="420.63589999999999"/>
    <n v="423.57900000000001"/>
    <n v="4.3999999999999997E-2"/>
    <n v="4.3999999999999997E-2"/>
    <n v="4.2000000000000003E-2"/>
    <n v="2232.4"/>
    <n v="2240.1999999999998"/>
    <n v="2256.6"/>
    <m/>
    <m/>
    <n v="419"/>
    <n v="419.4"/>
    <n v="0"/>
  </r>
  <r>
    <x v="31"/>
    <n v="1100"/>
    <n v="418.96199999999999"/>
    <n v="4.1000000000000002E-2"/>
    <n v="412.8177"/>
    <n v="420.57769999999999"/>
    <n v="423.49059999999997"/>
    <n v="3.4000000000000002E-2"/>
    <n v="4.1000000000000002E-2"/>
    <n v="4.8000000000000001E-2"/>
    <n v="2232.4"/>
    <n v="2240"/>
    <n v="2256.4"/>
    <m/>
    <m/>
    <n v="419"/>
    <n v="419.4"/>
    <n v="0"/>
  </r>
  <r>
    <x v="31"/>
    <n v="1200"/>
    <n v="418.89139999999998"/>
    <n v="0.04"/>
    <n v="412.64109999999999"/>
    <n v="420.553"/>
    <n v="423.48"/>
    <n v="4.5999999999999999E-2"/>
    <n v="2.8000000000000001E-2"/>
    <n v="4.2999999999999997E-2"/>
    <n v="2232"/>
    <n v="2240"/>
    <n v="2256.4"/>
    <m/>
    <m/>
    <n v="418.9"/>
    <n v="419.4"/>
    <n v="0"/>
  </r>
  <r>
    <x v="31"/>
    <n v="1300"/>
    <n v="418.88499999999999"/>
    <n v="4.2000000000000003E-2"/>
    <n v="412.59210000000002"/>
    <n v="420.56360000000001"/>
    <n v="423.49950000000001"/>
    <n v="3.7999999999999999E-2"/>
    <n v="3.5000000000000003E-2"/>
    <n v="0.05"/>
    <n v="2232"/>
    <n v="2240"/>
    <n v="2256.6"/>
    <m/>
    <m/>
    <n v="418.9"/>
    <n v="419.4"/>
    <n v="0"/>
  </r>
  <r>
    <x v="31"/>
    <n v="1400"/>
    <n v="418.91070000000002"/>
    <n v="4.3999999999999997E-2"/>
    <n v="412.67079999999999"/>
    <n v="420.56529999999998"/>
    <n v="423.49590000000001"/>
    <n v="4.9000000000000002E-2"/>
    <n v="3.2000000000000001E-2"/>
    <n v="4.9000000000000002E-2"/>
    <n v="2232"/>
    <n v="2240"/>
    <n v="2256.4"/>
    <m/>
    <m/>
    <n v="418.9"/>
    <n v="419.4"/>
    <n v="0"/>
  </r>
  <r>
    <x v="31"/>
    <n v="1500"/>
    <n v="418.89729999999997"/>
    <n v="3.6999999999999998E-2"/>
    <n v="412.6096"/>
    <n v="420.55650000000003"/>
    <n v="423.52600000000001"/>
    <n v="2.5999999999999999E-2"/>
    <n v="3.5000000000000003E-2"/>
    <n v="4.5999999999999999E-2"/>
    <n v="2232"/>
    <n v="2239.8000000000002"/>
    <n v="2256.4"/>
    <m/>
    <m/>
    <n v="418.9"/>
    <n v="419.4"/>
    <n v="0"/>
  </r>
  <r>
    <x v="31"/>
    <n v="1600"/>
    <n v="418.91149999999999"/>
    <n v="3.1E-2"/>
    <n v="412.62180000000001"/>
    <n v="420.56529999999998"/>
    <n v="423.54719999999998"/>
    <n v="3.3000000000000002E-2"/>
    <n v="3.2000000000000001E-2"/>
    <n v="2.9000000000000001E-2"/>
    <n v="2232"/>
    <n v="2239.8000000000002"/>
    <n v="2256.6"/>
    <m/>
    <m/>
    <n v="418.9"/>
    <n v="419.4"/>
    <n v="0"/>
  </r>
  <r>
    <x v="31"/>
    <n v="1700"/>
    <n v="418.959"/>
    <n v="4.8000000000000001E-2"/>
    <n v="412.66730000000001"/>
    <n v="420.62180000000001"/>
    <n v="423.58789999999999"/>
    <n v="4.9000000000000002E-2"/>
    <n v="4.9000000000000002E-2"/>
    <n v="4.7E-2"/>
    <n v="2232"/>
    <n v="2240.1999999999998"/>
    <n v="2256.6"/>
    <m/>
    <m/>
    <n v="419"/>
    <n v="419.4"/>
    <n v="0"/>
  </r>
  <r>
    <x v="31"/>
    <n v="1800"/>
    <n v="418.98719999999997"/>
    <n v="4.2000000000000003E-2"/>
    <n v="412.70760000000001"/>
    <n v="420.63240000000002"/>
    <n v="423.62150000000003"/>
    <n v="2.9000000000000001E-2"/>
    <n v="4.5999999999999999E-2"/>
    <n v="4.8000000000000001E-2"/>
    <n v="2232.1999999999998"/>
    <n v="2240"/>
    <n v="2256.8000000000002"/>
    <m/>
    <m/>
    <n v="419"/>
    <n v="419.4"/>
    <n v="0"/>
  </r>
  <r>
    <x v="31"/>
    <n v="1900"/>
    <n v="419.04270000000002"/>
    <n v="3.9E-2"/>
    <n v="412.8073"/>
    <n v="420.69240000000002"/>
    <n v="423.62849999999997"/>
    <n v="2.3E-2"/>
    <n v="4.5999999999999999E-2"/>
    <n v="4.4999999999999998E-2"/>
    <n v="2232.4"/>
    <n v="2240.4"/>
    <n v="2256.8000000000002"/>
    <m/>
    <m/>
    <n v="419"/>
    <n v="419.4"/>
    <n v="0"/>
  </r>
  <r>
    <x v="31"/>
    <n v="2000"/>
    <n v="419.05259999999998"/>
    <n v="4.3999999999999997E-2"/>
    <n v="412.82299999999998"/>
    <n v="420.71179999999998"/>
    <n v="423.6232"/>
    <n v="3.5000000000000003E-2"/>
    <n v="0.05"/>
    <n v="4.7E-2"/>
    <n v="2232.4"/>
    <n v="2240.1999999999998"/>
    <n v="2256.6"/>
    <m/>
    <m/>
    <n v="419.1"/>
    <n v="419.4"/>
    <n v="0"/>
  </r>
  <r>
    <x v="31"/>
    <n v="2100"/>
    <n v="419.05619999999999"/>
    <n v="4.5999999999999999E-2"/>
    <n v="412.83179999999999"/>
    <n v="420.71350000000001"/>
    <n v="423.6232"/>
    <n v="4.2000000000000003E-2"/>
    <n v="0.05"/>
    <n v="4.7E-2"/>
    <n v="2232.4"/>
    <n v="2240.4"/>
    <n v="2256.8000000000002"/>
    <m/>
    <m/>
    <n v="419.1"/>
    <n v="419.4"/>
    <n v="0"/>
  </r>
  <r>
    <x v="31"/>
    <n v="2200"/>
    <n v="419.02690000000001"/>
    <n v="4.4999999999999998E-2"/>
    <n v="412.774"/>
    <n v="420.68180000000001"/>
    <n v="423.625"/>
    <n v="4.8000000000000001E-2"/>
    <n v="0.04"/>
    <n v="4.7E-2"/>
    <n v="2232.4"/>
    <n v="2240.1999999999998"/>
    <n v="2256.8000000000002"/>
    <m/>
    <m/>
    <n v="419"/>
    <n v="419.4"/>
    <n v="0"/>
  </r>
  <r>
    <x v="31"/>
    <n v="2300"/>
    <n v="419.02460000000002"/>
    <n v="4.5999999999999999E-2"/>
    <n v="412.76"/>
    <n v="420.68529999999998"/>
    <n v="423.62849999999997"/>
    <n v="0.05"/>
    <n v="4.2000000000000003E-2"/>
    <n v="4.4999999999999998E-2"/>
    <n v="2232.1999999999998"/>
    <n v="2240.1999999999998"/>
    <n v="2256.6"/>
    <m/>
    <m/>
    <n v="419"/>
    <n v="419.4"/>
    <n v="0"/>
  </r>
  <r>
    <x v="31"/>
    <n v="2400"/>
    <n v="419.03460000000001"/>
    <n v="4.7E-2"/>
    <n v="412.76170000000002"/>
    <n v="420.70830000000001"/>
    <n v="423.63380000000001"/>
    <n v="0.05"/>
    <n v="0.05"/>
    <n v="4.2000000000000003E-2"/>
    <n v="2232.4"/>
    <n v="2240.1999999999998"/>
    <n v="2256.8000000000002"/>
    <m/>
    <m/>
    <n v="419"/>
    <n v="419.4"/>
    <n v="0"/>
  </r>
  <r>
    <x v="32"/>
    <n v="100"/>
    <n v="419.31540000000001"/>
    <n v="4.3999999999999997E-2"/>
    <n v="412.99110000000002"/>
    <n v="420.99599999999998"/>
    <n v="423.95909999999998"/>
    <n v="3.7999999999999999E-2"/>
    <n v="4.7E-2"/>
    <n v="4.5999999999999999E-2"/>
    <n v="2232.8000000000002"/>
    <n v="2241"/>
    <n v="2257.6"/>
    <m/>
    <m/>
    <n v="419.3"/>
    <n v="419.4"/>
    <n v="0"/>
  </r>
  <r>
    <x v="32"/>
    <n v="200"/>
    <n v="420.16250000000002"/>
    <n v="4.3999999999999997E-2"/>
    <n v="413.82279999999997"/>
    <n v="421.84019999999998"/>
    <n v="424.82429999999999"/>
    <n v="3.5999999999999997E-2"/>
    <n v="4.5999999999999999E-2"/>
    <n v="0.05"/>
    <n v="2234.4"/>
    <n v="2242.6"/>
    <n v="2259.1999999999998"/>
    <m/>
    <m/>
    <n v="420.2"/>
    <n v="420.2"/>
    <n v="0.80000000000001137"/>
  </r>
  <r>
    <x v="32"/>
    <n v="300"/>
    <n v="420.47340000000003"/>
    <n v="0.04"/>
    <n v="414.1225"/>
    <n v="422.15120000000002"/>
    <n v="425.14659999999998"/>
    <n v="3.5999999999999997E-2"/>
    <n v="4.1000000000000002E-2"/>
    <n v="4.2000000000000003E-2"/>
    <n v="2235"/>
    <n v="2243"/>
    <n v="2259.8000000000002"/>
    <m/>
    <m/>
    <n v="420.5"/>
    <n v="420.5"/>
    <n v="0.30000000000001137"/>
  </r>
  <r>
    <x v="32"/>
    <n v="400"/>
    <n v="420.53539999999998"/>
    <n v="4.5999999999999999E-2"/>
    <n v="414.26609999999999"/>
    <n v="422.19889999999998"/>
    <n v="425.1413"/>
    <n v="4.9000000000000002E-2"/>
    <n v="4.3999999999999997E-2"/>
    <n v="4.4999999999999998E-2"/>
    <n v="2235.4"/>
    <n v="2243.1999999999998"/>
    <n v="2259.8000000000002"/>
    <m/>
    <m/>
    <n v="420.5"/>
    <n v="420.5"/>
    <n v="0"/>
  </r>
  <r>
    <x v="32"/>
    <n v="500"/>
    <n v="420.53429999999997"/>
    <n v="4.7E-2"/>
    <n v="414.2679"/>
    <n v="422.19889999999998"/>
    <n v="425.13600000000002"/>
    <n v="4.9000000000000002E-2"/>
    <n v="4.3999999999999997E-2"/>
    <n v="4.8000000000000001E-2"/>
    <n v="2235.1999999999998"/>
    <n v="2243.1999999999998"/>
    <n v="2259.6"/>
    <m/>
    <m/>
    <n v="420.5"/>
    <n v="420.5"/>
    <n v="0"/>
  </r>
  <r>
    <x v="32"/>
    <n v="600"/>
    <n v="420.5324"/>
    <n v="4.2000000000000003E-2"/>
    <n v="414.28370000000001"/>
    <n v="422.1848"/>
    <n v="425.12889999999999"/>
    <n v="4.2000000000000003E-2"/>
    <n v="3.3000000000000002E-2"/>
    <n v="0.05"/>
    <n v="2235.4"/>
    <n v="2243.1999999999998"/>
    <n v="2259.8000000000002"/>
    <m/>
    <m/>
    <n v="420.5"/>
    <n v="420.5"/>
    <n v="0"/>
  </r>
  <r>
    <x v="32"/>
    <n v="700"/>
    <n v="420.51069999999999"/>
    <n v="4.5999999999999999E-2"/>
    <n v="414.24689999999998"/>
    <n v="422.15300000000002"/>
    <n v="425.13240000000002"/>
    <n v="4.9000000000000002E-2"/>
    <n v="0.04"/>
    <n v="4.9000000000000002E-2"/>
    <n v="2235.1999999999998"/>
    <n v="2243.1999999999998"/>
    <n v="2259.8000000000002"/>
    <m/>
    <m/>
    <n v="420.5"/>
    <n v="420.5"/>
    <n v="0"/>
  </r>
  <r>
    <x v="32"/>
    <n v="800"/>
    <n v="420.54180000000002"/>
    <n v="4.3999999999999997E-2"/>
    <n v="414.29070000000002"/>
    <n v="422.20420000000001"/>
    <n v="425.13060000000002"/>
    <n v="3.5999999999999997E-2"/>
    <n v="4.7E-2"/>
    <n v="4.9000000000000002E-2"/>
    <n v="2235.4"/>
    <n v="2243.1999999999998"/>
    <n v="2259.6"/>
    <m/>
    <m/>
    <n v="420.5"/>
    <n v="420.5"/>
    <n v="0"/>
  </r>
  <r>
    <x v="32"/>
    <n v="900"/>
    <n v="420.54590000000002"/>
    <n v="4.4999999999999998E-2"/>
    <n v="414.33800000000002"/>
    <n v="422.19540000000001"/>
    <n v="425.10410000000002"/>
    <n v="4.5999999999999999E-2"/>
    <n v="4.2000000000000003E-2"/>
    <n v="4.8000000000000001E-2"/>
    <n v="2235.4"/>
    <n v="2243.4"/>
    <n v="2259.6"/>
    <m/>
    <m/>
    <n v="420.5"/>
    <n v="420.5"/>
    <n v="0"/>
  </r>
  <r>
    <x v="32"/>
    <n v="1000"/>
    <n v="420.46480000000003"/>
    <n v="3.5999999999999997E-2"/>
    <n v="414.20830000000001"/>
    <n v="422.12290000000002"/>
    <n v="425.0634"/>
    <n v="0.03"/>
    <n v="0.05"/>
    <n v="2.3E-2"/>
    <n v="2235.1999999999998"/>
    <n v="2243.1999999999998"/>
    <n v="2259.4"/>
    <m/>
    <m/>
    <n v="420.5"/>
    <n v="420.5"/>
    <n v="0"/>
  </r>
  <r>
    <x v="32"/>
    <n v="1100"/>
    <n v="420.45760000000001"/>
    <n v="4.8000000000000001E-2"/>
    <n v="414.25209999999998"/>
    <n v="422.09640000000002"/>
    <n v="425.02440000000001"/>
    <n v="0.05"/>
    <n v="4.2999999999999997E-2"/>
    <n v="0.05"/>
    <n v="2235.1999999999998"/>
    <n v="2243"/>
    <n v="2259.6"/>
    <m/>
    <m/>
    <n v="420.5"/>
    <n v="420.5"/>
    <n v="0"/>
  </r>
  <r>
    <x v="32"/>
    <n v="1200"/>
    <n v="420.41719999999998"/>
    <n v="4.2000000000000003E-2"/>
    <n v="414.17500000000001"/>
    <n v="422.08049999999997"/>
    <n v="424.99599999999998"/>
    <n v="4.5999999999999999E-2"/>
    <n v="3.4000000000000002E-2"/>
    <n v="4.4999999999999998E-2"/>
    <n v="2235.1999999999998"/>
    <n v="2243"/>
    <n v="2259.4"/>
    <m/>
    <m/>
    <n v="420.4"/>
    <n v="420.5"/>
    <n v="0"/>
  </r>
  <r>
    <x v="32"/>
    <n v="1300"/>
    <n v="420.41430000000003"/>
    <n v="4.2000000000000003E-2"/>
    <n v="414.16629999999998"/>
    <n v="422.084"/>
    <n v="424.99250000000001"/>
    <n v="4.9000000000000002E-2"/>
    <n v="3.3000000000000002E-2"/>
    <n v="4.2999999999999997E-2"/>
    <n v="2235"/>
    <n v="2243"/>
    <n v="2259.6"/>
    <m/>
    <m/>
    <n v="420.4"/>
    <n v="420.5"/>
    <n v="0"/>
  </r>
  <r>
    <x v="32"/>
    <n v="1400"/>
    <n v="420.38850000000002"/>
    <n v="3.5000000000000003E-2"/>
    <n v="414.11900000000003"/>
    <n v="422.05930000000001"/>
    <n v="424.98719999999997"/>
    <n v="3.3000000000000002E-2"/>
    <n v="3.3000000000000002E-2"/>
    <n v="0.04"/>
    <n v="2235.1999999999998"/>
    <n v="2243"/>
    <n v="2259.6"/>
    <m/>
    <m/>
    <n v="420.4"/>
    <n v="420.5"/>
    <n v="0"/>
  </r>
  <r>
    <x v="32"/>
    <n v="1500"/>
    <n v="420.37920000000003"/>
    <n v="3.5999999999999997E-2"/>
    <n v="414.08569999999997"/>
    <n v="422.06639999999999"/>
    <n v="424.98540000000003"/>
    <n v="4.1000000000000002E-2"/>
    <n v="2.9000000000000001E-2"/>
    <n v="3.7999999999999999E-2"/>
    <n v="2235"/>
    <n v="2243"/>
    <n v="2259.4"/>
    <m/>
    <m/>
    <n v="420.4"/>
    <n v="420.5"/>
    <n v="0"/>
  </r>
  <r>
    <x v="32"/>
    <n v="1600"/>
    <n v="420.40620000000001"/>
    <n v="4.1000000000000002E-2"/>
    <n v="414.1277"/>
    <n v="422.08229999999998"/>
    <n v="425.00839999999999"/>
    <n v="4.1000000000000002E-2"/>
    <n v="3.1E-2"/>
    <n v="0.05"/>
    <n v="2235"/>
    <n v="2243"/>
    <n v="2259.4"/>
    <m/>
    <m/>
    <n v="420.4"/>
    <n v="420.5"/>
    <n v="0"/>
  </r>
  <r>
    <x v="32"/>
    <n v="1700"/>
    <n v="420.41320000000002"/>
    <n v="4.2000000000000003E-2"/>
    <n v="414.1207"/>
    <n v="422.09289999999999"/>
    <n v="425.02620000000002"/>
    <n v="3.5000000000000003E-2"/>
    <n v="4.1000000000000002E-2"/>
    <n v="0.05"/>
    <n v="2235"/>
    <n v="2243"/>
    <n v="2259.6"/>
    <m/>
    <m/>
    <n v="420.4"/>
    <n v="420.5"/>
    <n v="0"/>
  </r>
  <r>
    <x v="32"/>
    <n v="1800"/>
    <n v="420.37520000000001"/>
    <n v="3.5999999999999997E-2"/>
    <n v="414.02080000000001"/>
    <n v="422.06459999999998"/>
    <n v="425.0403"/>
    <n v="3.5000000000000003E-2"/>
    <n v="2.5999999999999999E-2"/>
    <n v="4.4999999999999998E-2"/>
    <n v="2234.8000000000002"/>
    <n v="2243"/>
    <n v="2259.4"/>
    <m/>
    <m/>
    <n v="420.4"/>
    <n v="420.5"/>
    <n v="0"/>
  </r>
  <r>
    <x v="32"/>
    <n v="1900"/>
    <n v="420.44439999999997"/>
    <n v="4.2000000000000003E-2"/>
    <n v="414.15050000000002"/>
    <n v="422.11059999999998"/>
    <n v="425.07220000000001"/>
    <n v="0.05"/>
    <n v="4.9000000000000002E-2"/>
    <n v="1.9E-2"/>
    <n v="2235.1999999999998"/>
    <n v="2243"/>
    <n v="2259.6"/>
    <m/>
    <m/>
    <n v="420.4"/>
    <n v="420.5"/>
    <n v="0"/>
  </r>
  <r>
    <x v="32"/>
    <n v="2000"/>
    <n v="420.44029999999998"/>
    <n v="4.2000000000000003E-2"/>
    <n v="414.14"/>
    <n v="422.10169999999999"/>
    <n v="425.07929999999999"/>
    <n v="4.7E-2"/>
    <n v="4.5999999999999999E-2"/>
    <n v="3.1E-2"/>
    <n v="2235"/>
    <n v="2243"/>
    <n v="2259.6"/>
    <m/>
    <m/>
    <n v="420.4"/>
    <n v="420.5"/>
    <n v="0"/>
  </r>
  <r>
    <x v="32"/>
    <n v="2100"/>
    <n v="420.45209999999997"/>
    <n v="4.3999999999999997E-2"/>
    <n v="414.12599999999998"/>
    <n v="422.13529999999997"/>
    <n v="425.09519999999998"/>
    <n v="3.9E-2"/>
    <n v="4.9000000000000002E-2"/>
    <n v="4.3999999999999997E-2"/>
    <n v="2235"/>
    <n v="2243.1999999999998"/>
    <n v="2259.8000000000002"/>
    <m/>
    <m/>
    <n v="420.5"/>
    <n v="420.5"/>
    <n v="0"/>
  </r>
  <r>
    <x v="32"/>
    <n v="2200"/>
    <n v="420.48430000000002"/>
    <n v="0.04"/>
    <n v="414.21530000000001"/>
    <n v="422.14760000000001"/>
    <n v="425.0899"/>
    <n v="3.4000000000000002E-2"/>
    <n v="4.2999999999999997E-2"/>
    <n v="4.1000000000000002E-2"/>
    <n v="2235.1999999999998"/>
    <n v="2243.1999999999998"/>
    <n v="2259.8000000000002"/>
    <m/>
    <m/>
    <n v="420.5"/>
    <n v="420.5"/>
    <n v="0"/>
  </r>
  <r>
    <x v="32"/>
    <n v="2300"/>
    <n v="420.47199999999998"/>
    <n v="4.2999999999999997E-2"/>
    <n v="414.1891"/>
    <n v="422.13709999999998"/>
    <n v="425.0899"/>
    <n v="3.7999999999999999E-2"/>
    <n v="4.8000000000000001E-2"/>
    <n v="4.1000000000000002E-2"/>
    <n v="2235.1999999999998"/>
    <n v="2243.1999999999998"/>
    <n v="2259.6"/>
    <m/>
    <m/>
    <n v="420.5"/>
    <n v="420.5"/>
    <n v="0"/>
  </r>
  <r>
    <x v="32"/>
    <n v="2400"/>
    <n v="420.48899999999998"/>
    <n v="0.04"/>
    <n v="414.21179999999998"/>
    <n v="422.14589999999998"/>
    <n v="425.10939999999999"/>
    <n v="2.1999999999999999E-2"/>
    <n v="4.3999999999999997E-2"/>
    <n v="0.05"/>
    <n v="2235.1999999999998"/>
    <n v="2243"/>
    <n v="2259.8000000000002"/>
    <m/>
    <m/>
    <n v="420.5"/>
    <n v="420.5"/>
    <n v="0"/>
  </r>
  <r>
    <x v="33"/>
    <n v="100"/>
    <n v="420.51310000000001"/>
    <n v="4.5999999999999999E-2"/>
    <n v="414.24860000000001"/>
    <n v="422.16"/>
    <n v="425.13060000000002"/>
    <n v="4.9000000000000002E-2"/>
    <n v="3.7999999999999999E-2"/>
    <n v="4.9000000000000002E-2"/>
    <n v="2235.1999999999998"/>
    <n v="2243.1999999999998"/>
    <n v="2259.8000000000002"/>
    <m/>
    <m/>
    <n v="420.5"/>
    <n v="420.5"/>
    <n v="0"/>
  </r>
  <r>
    <x v="33"/>
    <n v="200"/>
    <n v="420.51780000000002"/>
    <n v="4.2000000000000003E-2"/>
    <n v="414.25209999999998"/>
    <n v="422.16890000000001"/>
    <n v="425.13240000000002"/>
    <n v="0.05"/>
    <n v="1.9E-2"/>
    <n v="4.9000000000000002E-2"/>
    <n v="2235.4"/>
    <n v="2243.1999999999998"/>
    <n v="2259.8000000000002"/>
    <m/>
    <m/>
    <n v="420.5"/>
    <n v="420.5"/>
    <n v="0"/>
  </r>
  <r>
    <x v="33"/>
    <n v="300"/>
    <n v="420.51190000000003"/>
    <n v="4.5999999999999999E-2"/>
    <n v="414.25209999999998"/>
    <n v="422.1583"/>
    <n v="425.12529999999998"/>
    <n v="0.05"/>
    <n v="3.5000000000000003E-2"/>
    <n v="0.05"/>
    <n v="2235.1999999999998"/>
    <n v="2243.1999999999998"/>
    <n v="2259.6"/>
    <m/>
    <m/>
    <n v="420.5"/>
    <n v="420.5"/>
    <n v="0"/>
  </r>
  <r>
    <x v="33"/>
    <n v="400"/>
    <n v="420.51839999999999"/>
    <n v="4.4999999999999998E-2"/>
    <n v="414.25560000000002"/>
    <n v="422.1653"/>
    <n v="425.13420000000002"/>
    <n v="0.05"/>
    <n v="3.6999999999999998E-2"/>
    <n v="4.8000000000000001E-2"/>
    <n v="2235.4"/>
    <n v="2243.1999999999998"/>
    <n v="2259.8000000000002"/>
    <m/>
    <m/>
    <n v="420.5"/>
    <n v="420.5"/>
    <n v="0"/>
  </r>
  <r>
    <x v="33"/>
    <n v="500"/>
    <n v="420.52600000000001"/>
    <n v="4.1000000000000002E-2"/>
    <n v="414.27140000000003"/>
    <n v="422.16180000000003"/>
    <n v="425.14479999999998"/>
    <n v="4.8000000000000001E-2"/>
    <n v="3.1E-2"/>
    <n v="4.2999999999999997E-2"/>
    <n v="2235.4"/>
    <n v="2243.1999999999998"/>
    <n v="2259.8000000000002"/>
    <m/>
    <m/>
    <n v="420.5"/>
    <n v="420.5"/>
    <n v="0"/>
  </r>
  <r>
    <x v="33"/>
    <n v="600"/>
    <n v="420.54239999999999"/>
    <n v="3.4000000000000002E-2"/>
    <n v="414.29939999999999"/>
    <n v="422.1653"/>
    <n v="425.16250000000002"/>
    <n v="3.6999999999999998E-2"/>
    <n v="3.6999999999999998E-2"/>
    <n v="2.5999999999999999E-2"/>
    <n v="2235.4"/>
    <n v="2243.1999999999998"/>
    <n v="2259.8000000000002"/>
    <m/>
    <m/>
    <n v="420.5"/>
    <n v="420.5"/>
    <n v="0"/>
  </r>
  <r>
    <x v="33"/>
    <n v="700"/>
    <n v="420.58300000000003"/>
    <n v="4.7E-2"/>
    <n v="414.33980000000003"/>
    <n v="422.20600000000002"/>
    <n v="425.20319999999998"/>
    <n v="4.7E-2"/>
    <n v="4.7E-2"/>
    <n v="4.8000000000000001E-2"/>
    <n v="2235.4"/>
    <n v="2243.1999999999998"/>
    <n v="2259.8000000000002"/>
    <m/>
    <m/>
    <n v="420.6"/>
    <n v="420.6"/>
    <n v="0.10000000000002274"/>
  </r>
  <r>
    <x v="33"/>
    <n v="800"/>
    <n v="420.61"/>
    <n v="0.05"/>
    <n v="414.36610000000002"/>
    <n v="422.23250000000002"/>
    <n v="425.23149999999998"/>
    <n v="5.1999999999999998E-2"/>
    <n v="4.9000000000000002E-2"/>
    <n v="4.9000000000000002E-2"/>
    <n v="2235.6"/>
    <n v="2243.1999999999998"/>
    <n v="2260"/>
    <m/>
    <m/>
    <n v="420.6"/>
    <n v="420.6"/>
    <n v="0"/>
  </r>
  <r>
    <x v="33"/>
    <n v="900"/>
    <n v="420.80110000000002"/>
    <n v="0.05"/>
    <n v="414.55020000000002"/>
    <n v="422.42340000000002"/>
    <n v="425.4298"/>
    <n v="0.05"/>
    <n v="0.05"/>
    <n v="0.05"/>
    <n v="2236"/>
    <n v="2243.6"/>
    <n v="2260.1999999999998"/>
    <m/>
    <m/>
    <n v="420.8"/>
    <n v="420.8"/>
    <n v="0.19999999999998863"/>
  </r>
  <r>
    <x v="33"/>
    <n v="1000"/>
    <n v="420.81470000000002"/>
    <n v="4.8000000000000001E-2"/>
    <n v="414.56420000000003"/>
    <n v="422.43579999999997"/>
    <n v="425.44400000000002"/>
    <n v="4.9000000000000002E-2"/>
    <n v="4.9000000000000002E-2"/>
    <n v="4.4999999999999998E-2"/>
    <n v="2236"/>
    <n v="2243.8000000000002"/>
    <n v="2260.4"/>
    <m/>
    <m/>
    <n v="420.8"/>
    <n v="420.8"/>
    <n v="0"/>
  </r>
  <r>
    <x v="33"/>
    <n v="1100"/>
    <n v="421.3134"/>
    <n v="4.9000000000000002E-2"/>
    <n v="415.06040000000002"/>
    <n v="422.93619999999999"/>
    <n v="425.94349999999997"/>
    <n v="0.05"/>
    <n v="0.05"/>
    <n v="4.8000000000000001E-2"/>
    <n v="2237"/>
    <n v="2244.8000000000002"/>
    <n v="2261.1999999999998"/>
    <m/>
    <m/>
    <n v="421.3"/>
    <n v="421.3"/>
    <n v="0.5"/>
  </r>
  <r>
    <x v="33"/>
    <n v="1200"/>
    <n v="421.38869999999997"/>
    <n v="0.05"/>
    <n v="415.13929999999999"/>
    <n v="423.0052"/>
    <n v="426.0215"/>
    <n v="5.0999999999999997E-2"/>
    <n v="4.8000000000000001E-2"/>
    <n v="0.05"/>
    <n v="2237.1999999999998"/>
    <n v="2245"/>
    <n v="2261.6"/>
    <m/>
    <m/>
    <n v="421.4"/>
    <n v="421.4"/>
    <n v="9.9999999999965894E-2"/>
  </r>
  <r>
    <x v="33"/>
    <n v="1300"/>
    <n v="421.5299"/>
    <n v="4.2000000000000003E-2"/>
    <n v="415.27609999999999"/>
    <n v="423.14490000000001"/>
    <n v="426.16860000000003"/>
    <n v="4.5999999999999999E-2"/>
    <n v="4.8000000000000001E-2"/>
    <n v="3.1E-2"/>
    <n v="2237.4"/>
    <n v="2245"/>
    <n v="2261.8000000000002"/>
    <m/>
    <m/>
    <n v="421.5"/>
    <n v="421.5"/>
    <n v="0.10000000000002274"/>
  </r>
  <r>
    <x v="33"/>
    <n v="1400"/>
    <n v="421.6422"/>
    <n v="3.9E-2"/>
    <n v="415.39019999999999"/>
    <n v="423.25630000000001"/>
    <n v="426.28030000000001"/>
    <n v="4.9000000000000002E-2"/>
    <n v="4.2999999999999997E-2"/>
    <n v="1.9E-2"/>
    <n v="2237.4"/>
    <n v="2245.4"/>
    <n v="2262"/>
    <m/>
    <m/>
    <n v="421.6"/>
    <n v="421.6"/>
    <n v="0.10000000000002274"/>
  </r>
  <r>
    <x v="33"/>
    <n v="1500"/>
    <n v="422.33929999999998"/>
    <n v="4.5999999999999999E-2"/>
    <n v="416.07119999999998"/>
    <n v="423.96260000000001"/>
    <n v="426.98410000000001"/>
    <n v="4.8000000000000001E-2"/>
    <n v="4.7E-2"/>
    <n v="4.2000000000000003E-2"/>
    <n v="2239"/>
    <n v="2246.8000000000002"/>
    <n v="2263.4"/>
    <m/>
    <m/>
    <n v="422.3"/>
    <n v="422.3"/>
    <n v="0.69999999999998863"/>
  </r>
  <r>
    <x v="33"/>
    <n v="1600"/>
    <n v="422.55599999999998"/>
    <n v="3.2000000000000001E-2"/>
    <n v="416.2801"/>
    <n v="424.1909"/>
    <n v="427.19709999999998"/>
    <n v="4.3999999999999997E-2"/>
    <n v="2.3E-2"/>
    <n v="2.5999999999999999E-2"/>
    <n v="2239.1999999999998"/>
    <n v="2247.1999999999998"/>
    <n v="2263.8000000000002"/>
    <m/>
    <m/>
    <n v="422.6"/>
    <n v="422.6"/>
    <n v="0.30000000000001137"/>
  </r>
  <r>
    <x v="33"/>
    <n v="1700"/>
    <n v="422.81689999999998"/>
    <n v="4.8000000000000001E-2"/>
    <n v="416.5804"/>
    <n v="424.43360000000001"/>
    <n v="427.4366"/>
    <n v="4.3999999999999997E-2"/>
    <n v="0.05"/>
    <n v="0.05"/>
    <n v="2239.8000000000002"/>
    <n v="2247.6"/>
    <n v="2264.1999999999998"/>
    <m/>
    <m/>
    <n v="422.8"/>
    <n v="422.8"/>
    <n v="0.19999999999998863"/>
  </r>
  <r>
    <x v="33"/>
    <n v="1800"/>
    <n v="423.02019999999999"/>
    <n v="4.9000000000000002E-2"/>
    <n v="416.74549999999999"/>
    <n v="424.6585"/>
    <n v="427.65660000000003"/>
    <n v="4.9000000000000002E-2"/>
    <n v="4.8000000000000001E-2"/>
    <n v="4.9000000000000002E-2"/>
    <n v="2240.4"/>
    <n v="2248"/>
    <n v="2264.8000000000002"/>
    <m/>
    <m/>
    <n v="423"/>
    <n v="423"/>
    <n v="0.19999999999998863"/>
  </r>
  <r>
    <x v="33"/>
    <n v="1900"/>
    <n v="423.56659999999999"/>
    <n v="3.7999999999999999E-2"/>
    <n v="417.30079999999998"/>
    <n v="425.19009999999997"/>
    <n v="428.20870000000002"/>
    <n v="4.1000000000000002E-2"/>
    <n v="3.9E-2"/>
    <n v="3.2000000000000001E-2"/>
    <n v="2241.4"/>
    <n v="2249.1999999999998"/>
    <n v="2265.8000000000002"/>
    <m/>
    <m/>
    <n v="423.6"/>
    <n v="423.6"/>
    <n v="0.60000000000002274"/>
  </r>
  <r>
    <x v="33"/>
    <n v="2000"/>
    <n v="424.00409999999999"/>
    <n v="4.7E-2"/>
    <n v="417.73860000000002"/>
    <n v="425.62979999999999"/>
    <n v="428.64389999999997"/>
    <n v="4.5999999999999999E-2"/>
    <n v="4.4999999999999998E-2"/>
    <n v="4.9000000000000002E-2"/>
    <n v="2242.1999999999998"/>
    <n v="2250"/>
    <n v="2266.6"/>
    <m/>
    <m/>
    <n v="424"/>
    <n v="424"/>
    <n v="0.39999999999997726"/>
  </r>
  <r>
    <x v="33"/>
    <n v="2100"/>
    <n v="424.13979999999998"/>
    <n v="4.7E-2"/>
    <n v="417.86520000000002"/>
    <n v="425.77699999999999"/>
    <n v="428.77710000000002"/>
    <n v="0.05"/>
    <n v="4.4999999999999998E-2"/>
    <n v="4.7E-2"/>
    <n v="2242.6"/>
    <n v="2250.4"/>
    <n v="2267"/>
    <m/>
    <m/>
    <n v="424.1"/>
    <n v="424.1"/>
    <n v="0.10000000000002274"/>
  </r>
  <r>
    <x v="33"/>
    <n v="2200"/>
    <n v="424.16160000000002"/>
    <n v="3.4000000000000002E-2"/>
    <n v="417.88639999999998"/>
    <n v="425.8"/>
    <n v="428.79840000000002"/>
    <n v="4.2000000000000003E-2"/>
    <n v="2.9000000000000001E-2"/>
    <n v="3.1E-2"/>
    <n v="2242.6"/>
    <n v="2250.1999999999998"/>
    <n v="2267"/>
    <m/>
    <m/>
    <n v="424.2"/>
    <n v="424.2"/>
    <n v="9.9999999999965894E-2"/>
  </r>
  <r>
    <x v="33"/>
    <n v="2300"/>
    <n v="424.16160000000002"/>
    <n v="3.3000000000000002E-2"/>
    <n v="417.88990000000001"/>
    <n v="425.79820000000001"/>
    <n v="428.79660000000001"/>
    <n v="0.04"/>
    <n v="2.5999999999999999E-2"/>
    <n v="3.3000000000000002E-2"/>
    <n v="2242.6"/>
    <n v="2250.1999999999998"/>
    <n v="2267"/>
    <m/>
    <m/>
    <n v="424.2"/>
    <n v="424.2"/>
    <n v="0"/>
  </r>
  <r>
    <x v="33"/>
    <n v="2400"/>
    <n v="424.16390000000001"/>
    <n v="3.5000000000000003E-2"/>
    <n v="417.89159999999998"/>
    <n v="425.80360000000002"/>
    <n v="428.79660000000001"/>
    <n v="3.7999999999999999E-2"/>
    <n v="3.5000000000000003E-2"/>
    <n v="3.3000000000000002E-2"/>
    <n v="2242.6"/>
    <n v="2250.4"/>
    <n v="2267"/>
    <m/>
    <m/>
    <n v="424.2"/>
    <n v="424.2"/>
    <n v="0"/>
  </r>
  <r>
    <x v="34"/>
    <n v="100"/>
    <n v="424.16570000000002"/>
    <n v="3.4000000000000002E-2"/>
    <n v="417.88810000000001"/>
    <n v="425.8107"/>
    <n v="428.79840000000002"/>
    <n v="4.1000000000000002E-2"/>
    <n v="2.9000000000000001E-2"/>
    <n v="3.1E-2"/>
    <n v="2242.4"/>
    <n v="2250.4"/>
    <n v="2267"/>
    <m/>
    <m/>
    <n v="424.2"/>
    <n v="424.2"/>
    <n v="0"/>
  </r>
  <r>
    <x v="34"/>
    <n v="200"/>
    <n v="424.16449999999998"/>
    <n v="3.1E-2"/>
    <n v="417.89519999999999"/>
    <n v="425.80529999999999"/>
    <n v="428.79309999999998"/>
    <n v="3.5000000000000003E-2"/>
    <n v="1.9E-2"/>
    <n v="3.6999999999999998E-2"/>
    <n v="2242.6"/>
    <n v="2250.4"/>
    <n v="2266.8000000000002"/>
    <m/>
    <m/>
    <n v="424.2"/>
    <n v="424.2"/>
    <n v="0"/>
  </r>
  <r>
    <x v="34"/>
    <n v="300"/>
    <n v="424.161"/>
    <n v="3.9E-2"/>
    <n v="417.89159999999998"/>
    <n v="425.80180000000001"/>
    <n v="428.78949999999998"/>
    <n v="3.7999999999999999E-2"/>
    <n v="3.7999999999999999E-2"/>
    <n v="0.04"/>
    <n v="2242.6"/>
    <n v="2250.4"/>
    <n v="2267"/>
    <m/>
    <m/>
    <n v="424.2"/>
    <n v="424.2"/>
    <n v="0"/>
  </r>
  <r>
    <x v="34"/>
    <n v="400"/>
    <n v="424.15809999999999"/>
    <n v="3.7999999999999999E-2"/>
    <n v="417.89339999999999"/>
    <n v="425.79820000000001"/>
    <n v="428.7824"/>
    <n v="3.6999999999999998E-2"/>
    <n v="3.2000000000000001E-2"/>
    <n v="4.4999999999999998E-2"/>
    <n v="2242.6"/>
    <n v="2250.4"/>
    <n v="2267"/>
    <m/>
    <m/>
    <n v="424.2"/>
    <n v="424.2"/>
    <n v="0"/>
  </r>
  <r>
    <x v="34"/>
    <n v="500"/>
    <n v="424.15210000000002"/>
    <n v="4.2000000000000003E-2"/>
    <n v="417.89339999999999"/>
    <n v="425.78579999999999"/>
    <n v="428.77710000000002"/>
    <n v="3.6999999999999998E-2"/>
    <n v="0.04"/>
    <n v="4.7E-2"/>
    <n v="2242.6"/>
    <n v="2250.4"/>
    <n v="2267"/>
    <m/>
    <m/>
    <n v="424.2"/>
    <n v="424.2"/>
    <n v="0"/>
  </r>
  <r>
    <x v="34"/>
    <n v="600"/>
    <n v="424.15809999999999"/>
    <n v="3.6999999999999998E-2"/>
    <n v="417.89339999999999"/>
    <n v="425.79109999999997"/>
    <n v="428.78949999999998"/>
    <n v="3.6999999999999998E-2"/>
    <n v="3.5000000000000003E-2"/>
    <n v="0.04"/>
    <n v="2242.4"/>
    <n v="2250.4"/>
    <n v="2267"/>
    <m/>
    <m/>
    <n v="424.2"/>
    <n v="424.2"/>
    <n v="0"/>
  </r>
  <r>
    <x v="34"/>
    <n v="700"/>
    <n v="424.16809999999998"/>
    <n v="3.4000000000000002E-2"/>
    <n v="417.89870000000002"/>
    <n v="425.8"/>
    <n v="428.80549999999999"/>
    <n v="3.1E-2"/>
    <n v="2.9000000000000001E-2"/>
    <n v="4.2000000000000003E-2"/>
    <n v="2242.6"/>
    <n v="2250.4"/>
    <n v="2267"/>
    <m/>
    <m/>
    <n v="424.2"/>
    <n v="424.2"/>
    <n v="0"/>
  </r>
  <r>
    <x v="34"/>
    <n v="800"/>
    <n v="424.17160000000001"/>
    <n v="2.7E-2"/>
    <n v="417.90050000000002"/>
    <n v="425.80709999999999"/>
    <n v="428.8073"/>
    <n v="3.4000000000000002E-2"/>
    <n v="2.3E-2"/>
    <n v="2.3E-2"/>
    <n v="2242.6"/>
    <n v="2250.4"/>
    <n v="2267"/>
    <m/>
    <m/>
    <n v="424.2"/>
    <n v="424.2"/>
    <n v="0"/>
  </r>
  <r>
    <x v="34"/>
    <n v="900"/>
    <n v="424.14490000000001"/>
    <n v="2.5000000000000001E-2"/>
    <n v="417.91449999999998"/>
    <n v="425.80709999999999"/>
    <n v="428.71319999999997"/>
    <n v="2.1999999999999999E-2"/>
    <n v="0.03"/>
    <n v="2.3E-2"/>
    <n v="2242.6"/>
    <n v="2250.4"/>
    <n v="2266.8000000000002"/>
    <m/>
    <m/>
    <n v="424.1"/>
    <n v="424.2"/>
    <n v="0"/>
  </r>
  <r>
    <x v="34"/>
    <n v="1000"/>
    <n v="424.0976"/>
    <n v="3.9E-2"/>
    <n v="417.92329999999998"/>
    <n v="425.75389999999999"/>
    <n v="428.6155"/>
    <n v="3.5000000000000003E-2"/>
    <n v="5.0999999999999997E-2"/>
    <n v="2.9000000000000001E-2"/>
    <n v="2242.6"/>
    <n v="2250.1999999999998"/>
    <n v="2266.6"/>
    <m/>
    <m/>
    <n v="424.1"/>
    <n v="424.2"/>
    <n v="0"/>
  </r>
  <r>
    <x v="34"/>
    <n v="1100"/>
    <n v="424.04640000000001"/>
    <n v="2.5999999999999999E-2"/>
    <n v="417.81240000000003"/>
    <n v="425.70609999999999"/>
    <n v="428.62079999999997"/>
    <n v="1.7999999999999999E-2"/>
    <n v="2.3E-2"/>
    <n v="3.5000000000000003E-2"/>
    <n v="2242.4"/>
    <n v="2250.1999999999998"/>
    <n v="2266.6"/>
    <m/>
    <m/>
    <n v="424"/>
    <n v="424.2"/>
    <n v="0"/>
  </r>
  <r>
    <x v="34"/>
    <n v="1200"/>
    <n v="423.98450000000003"/>
    <n v="4.7E-2"/>
    <n v="417.76319999999998"/>
    <n v="425.62630000000001"/>
    <n v="428.56389999999999"/>
    <n v="0.05"/>
    <n v="4.2000000000000003E-2"/>
    <n v="0.05"/>
    <n v="2242.1999999999998"/>
    <n v="2250"/>
    <n v="2266.6"/>
    <m/>
    <m/>
    <n v="424"/>
    <n v="424.2"/>
    <n v="0"/>
  </r>
  <r>
    <x v="34"/>
    <n v="1300"/>
    <n v="423.9572"/>
    <n v="4.9000000000000002E-2"/>
    <n v="417.77199999999999"/>
    <n v="425.55360000000002"/>
    <n v="428.54610000000002"/>
    <n v="4.8000000000000001E-2"/>
    <n v="0.05"/>
    <n v="0.05"/>
    <n v="2242.4"/>
    <n v="2249.8000000000002"/>
    <n v="2266.4"/>
    <m/>
    <m/>
    <n v="424"/>
    <n v="424.2"/>
    <n v="0"/>
  </r>
  <r>
    <x v="34"/>
    <n v="1400"/>
    <n v="423.95389999999998"/>
    <n v="3.7999999999999999E-2"/>
    <n v="417.70699999999999"/>
    <n v="425.59789999999998"/>
    <n v="428.55680000000001"/>
    <n v="2.3E-2"/>
    <n v="3.5000000000000003E-2"/>
    <n v="5.0999999999999997E-2"/>
    <n v="2242.1999999999998"/>
    <n v="2250"/>
    <n v="2266.4"/>
    <m/>
    <m/>
    <n v="424"/>
    <n v="424.2"/>
    <n v="0"/>
  </r>
  <r>
    <x v="34"/>
    <n v="1500"/>
    <n v="423.92349999999999"/>
    <n v="3.7999999999999999E-2"/>
    <n v="417.59789999999998"/>
    <n v="425.58370000000002"/>
    <n v="428.58879999999999"/>
    <n v="3.5999999999999997E-2"/>
    <n v="0.04"/>
    <n v="3.9E-2"/>
    <n v="2242"/>
    <n v="2250"/>
    <n v="2266.6"/>
    <m/>
    <m/>
    <n v="423.9"/>
    <n v="424.2"/>
    <n v="0"/>
  </r>
  <r>
    <x v="34"/>
    <n v="1600"/>
    <n v="424.036"/>
    <n v="4.2999999999999997E-2"/>
    <n v="417.76139999999998"/>
    <n v="425.70249999999999"/>
    <n v="428.64389999999997"/>
    <n v="0.05"/>
    <n v="2.3E-2"/>
    <n v="4.9000000000000002E-2"/>
    <n v="2242.4"/>
    <n v="2250.1999999999998"/>
    <n v="2266.6"/>
    <m/>
    <m/>
    <n v="424"/>
    <n v="424.2"/>
    <n v="0"/>
  </r>
  <r>
    <x v="34"/>
    <n v="1700"/>
    <n v="424.05950000000001"/>
    <n v="3.5000000000000003E-2"/>
    <n v="417.79309999999998"/>
    <n v="425.69900000000001"/>
    <n v="428.68650000000002"/>
    <n v="3.6999999999999998E-2"/>
    <n v="2.3E-2"/>
    <n v="4.1000000000000002E-2"/>
    <n v="2242.1999999999998"/>
    <n v="2250.1999999999998"/>
    <n v="2266.8000000000002"/>
    <m/>
    <m/>
    <n v="424.1"/>
    <n v="424.2"/>
    <n v="0"/>
  </r>
  <r>
    <x v="34"/>
    <n v="1800"/>
    <n v="424.0403"/>
    <n v="3.4000000000000002E-2"/>
    <n v="417.69290000000001"/>
    <n v="425.72019999999998"/>
    <n v="428.70780000000002"/>
    <n v="3.6999999999999998E-2"/>
    <n v="3.6999999999999998E-2"/>
    <n v="2.7E-2"/>
    <n v="2242.1999999999998"/>
    <n v="2250.4"/>
    <n v="2266.8000000000002"/>
    <m/>
    <m/>
    <n v="424"/>
    <n v="424.2"/>
    <n v="0"/>
  </r>
  <r>
    <x v="34"/>
    <n v="1900"/>
    <n v="424.09550000000002"/>
    <n v="0.04"/>
    <n v="417.82830000000001"/>
    <n v="425.74149999999997"/>
    <n v="428.7167"/>
    <n v="0.04"/>
    <n v="4.9000000000000002E-2"/>
    <n v="2.9000000000000001E-2"/>
    <n v="2242.4"/>
    <n v="2250.1999999999998"/>
    <n v="2266.8000000000002"/>
    <m/>
    <m/>
    <n v="424.1"/>
    <n v="424.2"/>
    <n v="0"/>
  </r>
  <r>
    <x v="34"/>
    <n v="2000"/>
    <n v="424.0872"/>
    <n v="3.5000000000000003E-2"/>
    <n v="417.81950000000001"/>
    <n v="425.7362"/>
    <n v="428.70609999999999"/>
    <n v="3.1E-2"/>
    <n v="4.7E-2"/>
    <n v="2.3E-2"/>
    <n v="2242.4"/>
    <n v="2250.1999999999998"/>
    <n v="2266.8000000000002"/>
    <m/>
    <m/>
    <n v="424.1"/>
    <n v="424.2"/>
    <n v="0"/>
  </r>
  <r>
    <x v="34"/>
    <n v="2100"/>
    <n v="424.0677"/>
    <n v="3.2000000000000001E-2"/>
    <n v="417.8107"/>
    <n v="425.70609999999999"/>
    <n v="428.68650000000002"/>
    <n v="0.03"/>
    <n v="2.3E-2"/>
    <n v="4.1000000000000002E-2"/>
    <n v="2242.4"/>
    <n v="2250"/>
    <n v="2266.6"/>
    <m/>
    <m/>
    <n v="424.1"/>
    <n v="424.2"/>
    <n v="0"/>
  </r>
  <r>
    <x v="34"/>
    <n v="2200"/>
    <n v="424.05829999999997"/>
    <n v="3.5999999999999997E-2"/>
    <n v="417.80889999999999"/>
    <n v="425.68830000000003"/>
    <n v="428.67759999999998"/>
    <n v="1.9E-2"/>
    <n v="3.6999999999999998E-2"/>
    <n v="4.5999999999999999E-2"/>
    <n v="2242.4"/>
    <n v="2250"/>
    <n v="2266.8000000000002"/>
    <m/>
    <m/>
    <n v="424.1"/>
    <n v="424.2"/>
    <n v="0"/>
  </r>
  <r>
    <x v="34"/>
    <n v="2300"/>
    <n v="424.06709999999998"/>
    <n v="3.3000000000000002E-2"/>
    <n v="417.80360000000002"/>
    <n v="425.70960000000002"/>
    <n v="428.68830000000003"/>
    <n v="2.9000000000000001E-2"/>
    <n v="2.9000000000000001E-2"/>
    <n v="0.04"/>
    <n v="2242.4"/>
    <n v="2250.1999999999998"/>
    <n v="2266.6"/>
    <m/>
    <m/>
    <n v="424.1"/>
    <n v="424.2"/>
    <n v="0"/>
  </r>
  <r>
    <x v="34"/>
    <n v="2400"/>
    <n v="424.07190000000003"/>
    <n v="2.8000000000000001E-2"/>
    <n v="417.81240000000003"/>
    <n v="425.70960000000002"/>
    <n v="428.6936"/>
    <n v="2.5999999999999999E-2"/>
    <n v="2.3E-2"/>
    <n v="3.5000000000000003E-2"/>
    <n v="2242.4"/>
    <n v="2250.1999999999998"/>
    <n v="2266.8000000000002"/>
    <m/>
    <m/>
    <n v="424.1"/>
    <n v="424.2"/>
    <n v="0"/>
  </r>
  <r>
    <x v="35"/>
    <n v="100"/>
    <n v="424.0659"/>
    <n v="3.3000000000000002E-2"/>
    <n v="417.81240000000003"/>
    <n v="425.69720000000001"/>
    <n v="428.68830000000003"/>
    <n v="2.5999999999999999E-2"/>
    <n v="3.2000000000000001E-2"/>
    <n v="0.04"/>
    <n v="2242.4"/>
    <n v="2250.1999999999998"/>
    <n v="2266.8000000000002"/>
    <m/>
    <m/>
    <n v="424.1"/>
    <n v="424.2"/>
    <n v="0"/>
  </r>
  <r>
    <x v="35"/>
    <n v="200"/>
    <n v="424.07839999999999"/>
    <n v="0.03"/>
    <n v="417.80709999999999"/>
    <n v="425.72559999999999"/>
    <n v="428.70249999999999"/>
    <n v="1.2999999999999999E-2"/>
    <n v="4.1000000000000002E-2"/>
    <n v="0.03"/>
    <n v="2242.4"/>
    <n v="2250.1999999999998"/>
    <n v="2266.8000000000002"/>
    <m/>
    <m/>
    <n v="424.1"/>
    <n v="424.2"/>
    <n v="0"/>
  </r>
  <r>
    <x v="35"/>
    <n v="300"/>
    <n v="424.0831"/>
    <n v="0.03"/>
    <n v="417.80720000000002"/>
    <n v="425.73259999999999"/>
    <n v="428.70960000000002"/>
    <n v="2.3E-2"/>
    <n v="4.4999999999999998E-2"/>
    <n v="1.2999999999999999E-2"/>
    <n v="2242.4"/>
    <n v="2250.1999999999998"/>
    <n v="2266.8000000000002"/>
    <m/>
    <m/>
    <n v="424.1"/>
    <n v="424.2"/>
    <n v="0"/>
  </r>
  <r>
    <x v="35"/>
    <n v="400"/>
    <n v="424.10079999999999"/>
    <n v="4.2000000000000003E-2"/>
    <n v="417.81950000000001"/>
    <n v="425.75209999999998"/>
    <n v="428.73090000000002"/>
    <n v="3.1E-2"/>
    <n v="0.05"/>
    <n v="4.2000000000000003E-2"/>
    <n v="2242.4"/>
    <n v="2250.4"/>
    <n v="2266.8000000000002"/>
    <m/>
    <m/>
    <n v="424.1"/>
    <n v="424.2"/>
    <n v="0"/>
  </r>
  <r>
    <x v="35"/>
    <n v="500"/>
    <n v="424.10849999999999"/>
    <n v="4.7E-2"/>
    <n v="417.83359999999999"/>
    <n v="425.75389999999999"/>
    <n v="428.738"/>
    <n v="4.2999999999999997E-2"/>
    <n v="5.0999999999999997E-2"/>
    <n v="4.5999999999999999E-2"/>
    <n v="2242.4"/>
    <n v="2250.4"/>
    <n v="2266.8000000000002"/>
    <m/>
    <m/>
    <n v="424.1"/>
    <n v="424.2"/>
    <n v="0"/>
  </r>
  <r>
    <x v="35"/>
    <n v="600"/>
    <n v="424.11380000000003"/>
    <n v="4.9000000000000002E-2"/>
    <n v="417.8494"/>
    <n v="425.74509999999998"/>
    <n v="428.74689999999998"/>
    <n v="4.9000000000000002E-2"/>
    <n v="0.05"/>
    <n v="4.9000000000000002E-2"/>
    <n v="2242.4"/>
    <n v="2250.4"/>
    <n v="2266.8000000000002"/>
    <m/>
    <m/>
    <n v="424.1"/>
    <n v="424.2"/>
    <n v="0"/>
  </r>
  <r>
    <x v="35"/>
    <n v="700"/>
    <n v="424.12560000000002"/>
    <n v="4.9000000000000002E-2"/>
    <n v="417.84410000000003"/>
    <n v="425.77159999999998"/>
    <n v="428.7611"/>
    <n v="4.8000000000000001E-2"/>
    <n v="4.8000000000000001E-2"/>
    <n v="5.0999999999999997E-2"/>
    <n v="2242.4"/>
    <n v="2250.4"/>
    <n v="2266.8000000000002"/>
    <m/>
    <m/>
    <n v="424.1"/>
    <n v="424.2"/>
    <n v="0"/>
  </r>
  <r>
    <x v="35"/>
    <n v="800"/>
    <n v="424.1173"/>
    <n v="0.05"/>
    <n v="417.84589999999997"/>
    <n v="425.75569999999999"/>
    <n v="428.75049999999999"/>
    <n v="4.8000000000000001E-2"/>
    <n v="5.0999999999999997E-2"/>
    <n v="0.05"/>
    <n v="2242.4"/>
    <n v="2250.4"/>
    <n v="2266.8000000000002"/>
    <m/>
    <m/>
    <n v="424.1"/>
    <n v="424.2"/>
    <n v="0"/>
  </r>
  <r>
    <x v="35"/>
    <n v="900"/>
    <n v="424.03160000000003"/>
    <n v="3.9E-2"/>
    <n v="417.81950000000001"/>
    <n v="425.65640000000002"/>
    <n v="428.61900000000003"/>
    <n v="3.1E-2"/>
    <n v="0.05"/>
    <n v="3.3000000000000002E-2"/>
    <n v="2242.4"/>
    <n v="2250"/>
    <n v="2266.6"/>
    <m/>
    <m/>
    <n v="424"/>
    <n v="424.2"/>
    <n v="0"/>
  </r>
  <r>
    <x v="35"/>
    <n v="1000"/>
    <n v="424.0351"/>
    <n v="4.7E-2"/>
    <n v="417.86"/>
    <n v="425.65640000000002"/>
    <n v="428.58879999999999"/>
    <n v="0.05"/>
    <n v="0.05"/>
    <n v="3.9E-2"/>
    <n v="2242.4"/>
    <n v="2250"/>
    <n v="2266.4"/>
    <m/>
    <m/>
    <n v="424"/>
    <n v="424.2"/>
    <n v="0"/>
  </r>
  <r>
    <x v="35"/>
    <n v="1100"/>
    <n v="424.00439999999998"/>
    <n v="4.4999999999999998E-2"/>
    <n v="417.83359999999999"/>
    <n v="425.60489999999999"/>
    <n v="428.57459999999998"/>
    <n v="4.2999999999999997E-2"/>
    <n v="4.3999999999999997E-2"/>
    <n v="4.7E-2"/>
    <n v="2242.4"/>
    <n v="2250"/>
    <n v="2266.4"/>
    <m/>
    <m/>
    <n v="424"/>
    <n v="424.2"/>
    <n v="0"/>
  </r>
  <r>
    <x v="35"/>
    <n v="1200"/>
    <n v="423.98009999999999"/>
    <n v="4.7E-2"/>
    <n v="417.82299999999998"/>
    <n v="425.55709999999999"/>
    <n v="428.56040000000002"/>
    <n v="0.04"/>
    <n v="0.05"/>
    <n v="0.05"/>
    <n v="2242.4"/>
    <n v="2249.8000000000002"/>
    <n v="2266.6"/>
    <m/>
    <m/>
    <n v="424"/>
    <n v="424.2"/>
    <n v="0"/>
  </r>
  <r>
    <x v="35"/>
    <n v="1300"/>
    <n v="423.94130000000001"/>
    <n v="0.05"/>
    <n v="417.76319999999998"/>
    <n v="425.50569999999999"/>
    <n v="428.55500000000001"/>
    <n v="5.2999999999999999E-2"/>
    <n v="4.5999999999999999E-2"/>
    <n v="5.0999999999999997E-2"/>
    <n v="2242.4"/>
    <n v="2249.6"/>
    <n v="2266.4"/>
    <m/>
    <m/>
    <n v="423.9"/>
    <n v="424.2"/>
    <n v="0"/>
  </r>
  <r>
    <x v="35"/>
    <n v="1400"/>
    <n v="423.9572"/>
    <n v="4.3999999999999997E-2"/>
    <n v="417.7808"/>
    <n v="425.51639999999998"/>
    <n v="428.57459999999998"/>
    <n v="4.4999999999999998E-2"/>
    <n v="0.04"/>
    <n v="4.7E-2"/>
    <n v="2242.4"/>
    <n v="2249.8000000000002"/>
    <n v="2266.4"/>
    <m/>
    <m/>
    <n v="424"/>
    <n v="424.2"/>
    <n v="0"/>
  </r>
  <r>
    <x v="35"/>
    <n v="1500"/>
    <n v="423.96080000000001"/>
    <n v="4.5999999999999999E-2"/>
    <n v="417.76499999999999"/>
    <n v="425.52519999999998"/>
    <n v="428.5924"/>
    <n v="0.05"/>
    <n v="0.05"/>
    <n v="3.5000000000000003E-2"/>
    <n v="2242.1999999999998"/>
    <n v="2249.8000000000002"/>
    <n v="2266.6"/>
    <m/>
    <m/>
    <n v="424"/>
    <n v="424.2"/>
    <n v="0"/>
  </r>
  <r>
    <x v="35"/>
    <n v="1600"/>
    <n v="424.00110000000001"/>
    <n v="4.4999999999999998E-2"/>
    <n v="417.7527"/>
    <n v="425.62799999999999"/>
    <n v="428.62259999999998"/>
    <n v="0.05"/>
    <n v="4.7E-2"/>
    <n v="3.6999999999999998E-2"/>
    <n v="2242.1999999999998"/>
    <n v="2250"/>
    <n v="2266.6"/>
    <m/>
    <m/>
    <n v="424"/>
    <n v="424.2"/>
    <n v="0"/>
  </r>
  <r>
    <x v="35"/>
    <n v="1700"/>
    <n v="424.05130000000003"/>
    <n v="0.04"/>
    <n v="417.786"/>
    <n v="425.69900000000001"/>
    <n v="428.66879999999998"/>
    <n v="4.2000000000000003E-2"/>
    <n v="2.3E-2"/>
    <n v="4.9000000000000002E-2"/>
    <n v="2242.4"/>
    <n v="2250.1999999999998"/>
    <n v="2266.8000000000002"/>
    <m/>
    <m/>
    <n v="424.1"/>
    <n v="424.2"/>
    <n v="0"/>
  </r>
  <r>
    <x v="35"/>
    <n v="1800"/>
    <n v="424.07249999999999"/>
    <n v="3.5000000000000003E-2"/>
    <n v="417.80540000000002"/>
    <n v="425.72199999999998"/>
    <n v="428.69009999999997"/>
    <n v="2.5999999999999999E-2"/>
    <n v="3.7999999999999999E-2"/>
    <n v="3.9E-2"/>
    <n v="2242.4"/>
    <n v="2250.4"/>
    <n v="2266.8000000000002"/>
    <m/>
    <m/>
    <n v="424.1"/>
    <n v="424.2"/>
    <n v="0"/>
  </r>
  <r>
    <x v="35"/>
    <n v="1900"/>
    <n v="424.0772"/>
    <n v="3.3000000000000002E-2"/>
    <n v="417.81240000000003"/>
    <n v="425.72379999999998"/>
    <n v="428.69540000000001"/>
    <n v="2.5999999999999999E-2"/>
    <n v="0.04"/>
    <n v="3.3000000000000002E-2"/>
    <n v="2242.4"/>
    <n v="2250.1999999999998"/>
    <n v="2266.8000000000002"/>
    <m/>
    <m/>
    <n v="424.1"/>
    <n v="424.2"/>
    <n v="0"/>
  </r>
  <r>
    <x v="35"/>
    <n v="2000"/>
    <n v="424.08359999999999"/>
    <n v="3.2000000000000001E-2"/>
    <n v="417.81950000000001"/>
    <n v="425.72730000000001"/>
    <n v="428.70429999999999"/>
    <n v="3.1E-2"/>
    <n v="4.2000000000000003E-2"/>
    <n v="1.9E-2"/>
    <n v="2242.6"/>
    <n v="2250.1999999999998"/>
    <n v="2266.8000000000002"/>
    <m/>
    <m/>
    <n v="424.1"/>
    <n v="424.2"/>
    <n v="0"/>
  </r>
  <r>
    <x v="35"/>
    <n v="2100"/>
    <n v="424.0849"/>
    <n v="3.5999999999999997E-2"/>
    <n v="417.82299999999998"/>
    <n v="425.72199999999998"/>
    <n v="428.70960000000002"/>
    <n v="4.3999999999999997E-2"/>
    <n v="3.7999999999999999E-2"/>
    <n v="2.3E-2"/>
    <n v="2242.6"/>
    <n v="2250.1999999999998"/>
    <n v="2266.8000000000002"/>
    <m/>
    <m/>
    <n v="424.1"/>
    <n v="424.2"/>
    <n v="0"/>
  </r>
  <r>
    <x v="35"/>
    <n v="2200"/>
    <n v="424.0949"/>
    <n v="4.1000000000000002E-2"/>
    <n v="417.82650000000001"/>
    <n v="425.73439999999999"/>
    <n v="428.72379999999998"/>
    <n v="3.7999999999999999E-2"/>
    <n v="4.5999999999999999E-2"/>
    <n v="3.6999999999999998E-2"/>
    <n v="2242.4"/>
    <n v="2250.1999999999998"/>
    <n v="2266.8000000000002"/>
    <m/>
    <m/>
    <n v="424.1"/>
    <n v="424.2"/>
    <n v="0"/>
  </r>
  <r>
    <x v="35"/>
    <n v="2300"/>
    <n v="424.0967"/>
    <n v="3.9E-2"/>
    <n v="417.81420000000003"/>
    <n v="425.75040000000001"/>
    <n v="428.72559999999999"/>
    <n v="2.1999999999999999E-2"/>
    <n v="0.05"/>
    <n v="3.9E-2"/>
    <n v="2242.4"/>
    <n v="2250.4"/>
    <n v="2266.8000000000002"/>
    <m/>
    <m/>
    <n v="424.1"/>
    <n v="424.2"/>
    <n v="0"/>
  </r>
  <r>
    <x v="35"/>
    <n v="2400"/>
    <n v="424.0908"/>
    <n v="3.7999999999999999E-2"/>
    <n v="417.80889999999999"/>
    <n v="425.74149999999997"/>
    <n v="428.72199999999998"/>
    <n v="2.7E-2"/>
    <n v="4.9000000000000002E-2"/>
    <n v="3.5000000000000003E-2"/>
    <n v="2242.4"/>
    <n v="2250.4"/>
    <n v="2266.8000000000002"/>
    <m/>
    <m/>
    <n v="424.1"/>
    <n v="424.2"/>
    <n v="0"/>
  </r>
  <r>
    <x v="36"/>
    <n v="100"/>
    <n v="424.08620000000002"/>
    <n v="3.6999999999999998E-2"/>
    <n v="417.79840000000002"/>
    <n v="425.74509999999998"/>
    <n v="428.7149"/>
    <n v="3.1E-2"/>
    <n v="0.05"/>
    <n v="2.5999999999999999E-2"/>
    <n v="2242.4"/>
    <n v="2250.1999999999998"/>
    <n v="2266.8000000000002"/>
    <m/>
    <m/>
    <n v="424.1"/>
    <n v="424.2"/>
    <n v="0"/>
  </r>
  <r>
    <x v="36"/>
    <n v="200"/>
    <n v="424.07130000000001"/>
    <n v="2.7E-2"/>
    <n v="417.81240000000003"/>
    <n v="425.70780000000002"/>
    <n v="428.6936"/>
    <n v="2.5999999999999999E-2"/>
    <n v="1.9E-2"/>
    <n v="3.5000000000000003E-2"/>
    <n v="2242.4"/>
    <n v="2250.1999999999998"/>
    <n v="2266.8000000000002"/>
    <m/>
    <m/>
    <n v="424.1"/>
    <n v="424.2"/>
    <n v="0"/>
  </r>
  <r>
    <x v="36"/>
    <n v="300"/>
    <n v="424.04180000000002"/>
    <n v="4.5999999999999999E-2"/>
    <n v="417.78250000000003"/>
    <n v="425.67590000000001"/>
    <n v="428.66699999999997"/>
    <n v="4.3999999999999997E-2"/>
    <n v="4.4999999999999998E-2"/>
    <n v="0.05"/>
    <n v="2242.4"/>
    <n v="2250.1999999999998"/>
    <n v="2266.8000000000002"/>
    <m/>
    <m/>
    <n v="424"/>
    <n v="424.2"/>
    <n v="0"/>
  </r>
  <r>
    <x v="36"/>
    <n v="400"/>
    <n v="424.01"/>
    <n v="4.7E-2"/>
    <n v="417.75619999999998"/>
    <n v="425.64580000000001"/>
    <n v="428.62790000000001"/>
    <n v="0.05"/>
    <n v="0.05"/>
    <n v="4.1000000000000002E-2"/>
    <n v="2242.1999999999998"/>
    <n v="2250"/>
    <n v="2266.6"/>
    <m/>
    <m/>
    <n v="424"/>
    <n v="424.2"/>
    <n v="0"/>
  </r>
  <r>
    <x v="36"/>
    <n v="500"/>
    <n v="423.98520000000002"/>
    <n v="3.7999999999999999E-2"/>
    <n v="417.73329999999999"/>
    <n v="425.62090000000001"/>
    <n v="428.60129999999998"/>
    <n v="4.2999999999999997E-2"/>
    <n v="4.2999999999999997E-2"/>
    <n v="2.3E-2"/>
    <n v="2242.1999999999998"/>
    <n v="2250"/>
    <n v="2266.6"/>
    <m/>
    <m/>
    <n v="424"/>
    <n v="424.2"/>
    <n v="0"/>
  </r>
  <r>
    <x v="36"/>
    <n v="600"/>
    <n v="423.95510000000002"/>
    <n v="4.2000000000000003E-2"/>
    <n v="417.70870000000002"/>
    <n v="425.58370000000002"/>
    <n v="428.57279999999997"/>
    <n v="3.7999999999999999E-2"/>
    <n v="0.04"/>
    <n v="4.8000000000000001E-2"/>
    <n v="2242.1999999999998"/>
    <n v="2250"/>
    <n v="2266.6"/>
    <m/>
    <m/>
    <n v="424"/>
    <n v="424.2"/>
    <n v="0"/>
  </r>
  <r>
    <x v="36"/>
    <n v="700"/>
    <n v="423.95510000000002"/>
    <n v="0.04"/>
    <n v="417.70519999999999"/>
    <n v="425.5908"/>
    <n v="428.56920000000002"/>
    <n v="3.6999999999999998E-2"/>
    <n v="3.3000000000000002E-2"/>
    <n v="4.9000000000000002E-2"/>
    <n v="2242.1999999999998"/>
    <n v="2250"/>
    <n v="2266.6"/>
    <m/>
    <m/>
    <n v="424"/>
    <n v="424.2"/>
    <n v="0"/>
  </r>
  <r>
    <x v="36"/>
    <n v="800"/>
    <n v="423.97930000000002"/>
    <n v="3.5999999999999997E-2"/>
    <n v="417.71050000000002"/>
    <n v="425.63510000000002"/>
    <n v="428.5924"/>
    <n v="2.3E-2"/>
    <n v="4.7E-2"/>
    <n v="3.5000000000000003E-2"/>
    <n v="2242.1999999999998"/>
    <n v="2250"/>
    <n v="2266.6"/>
    <m/>
    <m/>
    <n v="424"/>
    <n v="424.2"/>
    <n v="0"/>
  </r>
  <r>
    <x v="36"/>
    <n v="900"/>
    <n v="423.9794"/>
    <n v="3.7999999999999999E-2"/>
    <n v="417.70519999999999"/>
    <n v="425.6404"/>
    <n v="428.5924"/>
    <n v="2.5999999999999999E-2"/>
    <n v="4.9000000000000002E-2"/>
    <n v="3.5000000000000003E-2"/>
    <n v="2242.1999999999998"/>
    <n v="2250.1999999999998"/>
    <n v="2266.4"/>
    <m/>
    <m/>
    <n v="424"/>
    <n v="424.2"/>
    <n v="0"/>
  </r>
  <r>
    <x v="36"/>
    <n v="1000"/>
    <n v="424.0926"/>
    <n v="3.6999999999999998E-2"/>
    <n v="417.79840000000002"/>
    <n v="425.76459999999997"/>
    <n v="428.7149"/>
    <n v="3.1E-2"/>
    <n v="0.05"/>
    <n v="2.5999999999999999E-2"/>
    <n v="2242.4"/>
    <n v="2250.4"/>
    <n v="2266.8000000000002"/>
    <m/>
    <m/>
    <n v="424.1"/>
    <n v="424.2"/>
    <n v="0"/>
  </r>
  <r>
    <x v="36"/>
    <n v="1100"/>
    <n v="424.4477"/>
    <n v="4.2000000000000003E-2"/>
    <n v="418.16950000000003"/>
    <n v="426.10520000000002"/>
    <n v="429.06849999999997"/>
    <n v="4.9000000000000002E-2"/>
    <n v="1.9E-2"/>
    <n v="0.05"/>
    <n v="2243.1999999999998"/>
    <n v="2251"/>
    <n v="2267.4"/>
    <m/>
    <m/>
    <n v="424.4"/>
    <n v="424.4"/>
    <n v="0.19999999999998863"/>
  </r>
  <r>
    <x v="36"/>
    <n v="1200"/>
    <n v="424.4282"/>
    <n v="4.8000000000000001E-2"/>
    <n v="418.15550000000002"/>
    <n v="426.08030000000002"/>
    <n v="429.04899999999998"/>
    <n v="0.05"/>
    <n v="4.4999999999999998E-2"/>
    <n v="4.9000000000000002E-2"/>
    <n v="2243"/>
    <n v="2251"/>
    <n v="2267.6"/>
    <m/>
    <m/>
    <n v="424.4"/>
    <n v="424.4"/>
    <n v="0"/>
  </r>
  <r>
    <x v="36"/>
    <n v="1300"/>
    <n v="424.39929999999998"/>
    <n v="4.2999999999999997E-2"/>
    <n v="418.1309"/>
    <n v="426.04129999999998"/>
    <n v="429.0258"/>
    <n v="4.4999999999999998E-2"/>
    <n v="4.8000000000000001E-2"/>
    <n v="3.5000000000000003E-2"/>
    <n v="2243"/>
    <n v="2250.8000000000002"/>
    <n v="2267.4"/>
    <m/>
    <m/>
    <n v="424.4"/>
    <n v="424.4"/>
    <n v="0"/>
  </r>
  <r>
    <x v="36"/>
    <n v="1400"/>
    <n v="425.09820000000002"/>
    <n v="4.1000000000000002E-2"/>
    <n v="418.8048"/>
    <n v="426.75990000000002"/>
    <n v="429.72980000000001"/>
    <n v="3.6999999999999998E-2"/>
    <n v="0.05"/>
    <n v="3.4000000000000002E-2"/>
    <n v="2244.4"/>
    <n v="2252.4"/>
    <n v="2269"/>
    <m/>
    <m/>
    <n v="425.1"/>
    <n v="425.1"/>
    <n v="0.70000000000004547"/>
  </r>
  <r>
    <x v="36"/>
    <n v="1500"/>
    <n v="426.4588"/>
    <n v="4.8000000000000001E-2"/>
    <n v="420.14519999999999"/>
    <n v="428.14550000000003"/>
    <n v="431.08569999999997"/>
    <n v="4.4999999999999998E-2"/>
    <n v="4.7E-2"/>
    <n v="5.0999999999999997E-2"/>
    <n v="2247"/>
    <n v="2255.1999999999998"/>
    <n v="2271.6"/>
    <m/>
    <m/>
    <n v="426.5"/>
    <n v="426.5"/>
    <n v="1.3999999999999773"/>
  </r>
  <r>
    <x v="36"/>
    <n v="1600"/>
    <n v="427.46129999999999"/>
    <n v="0.04"/>
    <n v="421.12920000000003"/>
    <n v="429.15199999999999"/>
    <n v="432.1028"/>
    <n v="3.2000000000000001E-2"/>
    <n v="3.5000000000000003E-2"/>
    <n v="5.0999999999999997E-2"/>
    <n v="2248.8000000000002"/>
    <n v="2257.1999999999998"/>
    <n v="2273.6"/>
    <m/>
    <m/>
    <n v="427.5"/>
    <n v="427.5"/>
    <n v="1"/>
  </r>
  <r>
    <x v="36"/>
    <n v="1700"/>
    <n v="428.54719999999998"/>
    <n v="4.1000000000000002E-2"/>
    <n v="422.17939999999999"/>
    <n v="430.25920000000002"/>
    <n v="433.20310000000001"/>
    <n v="0.05"/>
    <n v="1.9E-2"/>
    <n v="4.7E-2"/>
    <n v="2251"/>
    <n v="2259.1999999999998"/>
    <n v="2275.8000000000002"/>
    <m/>
    <m/>
    <n v="428.5"/>
    <n v="428.5"/>
    <n v="1"/>
  </r>
  <r>
    <x v="36"/>
    <n v="1800"/>
    <n v="428.786"/>
    <n v="4.2999999999999997E-2"/>
    <n v="422.4196"/>
    <n v="430.49799999999999"/>
    <n v="433.44040000000001"/>
    <n v="3.1E-2"/>
    <n v="4.7E-2"/>
    <n v="4.9000000000000002E-2"/>
    <n v="2251.6"/>
    <n v="2259.8000000000002"/>
    <n v="2276"/>
    <m/>
    <m/>
    <n v="428.8"/>
    <n v="428.8"/>
    <n v="0.30000000000001137"/>
  </r>
  <r>
    <x v="36"/>
    <n v="1900"/>
    <n v="428.81270000000001"/>
    <n v="3.5000000000000003E-2"/>
    <n v="422.4409"/>
    <n v="430.51760000000002"/>
    <n v="433.4796"/>
    <n v="3.1E-2"/>
    <n v="5.0999999999999997E-2"/>
    <n v="1.2999999999999999E-2"/>
    <n v="2251.6"/>
    <n v="2259.6"/>
    <n v="2276.1999999999998"/>
    <m/>
    <m/>
    <n v="428.8"/>
    <n v="428.8"/>
    <n v="0"/>
  </r>
  <r>
    <x v="36"/>
    <n v="2000"/>
    <n v="428.82279999999997"/>
    <n v="4.4999999999999998E-2"/>
    <n v="422.45679999999999"/>
    <n v="430.51580000000001"/>
    <n v="433.4957"/>
    <n v="4.3999999999999997E-2"/>
    <n v="5.0999999999999997E-2"/>
    <n v="3.9E-2"/>
    <n v="2251.8000000000002"/>
    <n v="2259.6"/>
    <n v="2276.1999999999998"/>
    <m/>
    <m/>
    <n v="428.8"/>
    <n v="428.8"/>
    <n v="0"/>
  </r>
  <r>
    <x v="36"/>
    <n v="2100"/>
    <n v="428.82690000000002"/>
    <n v="4.2999999999999997E-2"/>
    <n v="422.45139999999998"/>
    <n v="430.53190000000001"/>
    <n v="433.49740000000003"/>
    <n v="4.1000000000000002E-2"/>
    <n v="4.8000000000000001E-2"/>
    <n v="0.04"/>
    <n v="2251.6"/>
    <n v="2259.8000000000002"/>
    <n v="2276.1999999999998"/>
    <m/>
    <m/>
    <n v="428.8"/>
    <n v="428.8"/>
    <n v="0"/>
  </r>
  <r>
    <x v="36"/>
    <n v="2200"/>
    <n v="428.81740000000002"/>
    <n v="4.2999999999999997E-2"/>
    <n v="422.44619999999998"/>
    <n v="430.50689999999997"/>
    <n v="433.49919999999997"/>
    <n v="3.6999999999999998E-2"/>
    <n v="0.05"/>
    <n v="4.1000000000000002E-2"/>
    <n v="2251.6"/>
    <n v="2259.6"/>
    <n v="2276.1999999999998"/>
    <m/>
    <m/>
    <n v="428.8"/>
    <n v="428.8"/>
    <n v="0"/>
  </r>
  <r>
    <x v="36"/>
    <n v="2300"/>
    <n v="428.81450000000001"/>
    <n v="4.1000000000000002E-2"/>
    <n v="422.44260000000003"/>
    <n v="430.50510000000003"/>
    <n v="433.4957"/>
    <n v="3.3000000000000002E-2"/>
    <n v="4.9000000000000002E-2"/>
    <n v="3.9E-2"/>
    <n v="2251.6"/>
    <n v="2259.6"/>
    <n v="2276.1999999999998"/>
    <m/>
    <m/>
    <n v="428.8"/>
    <n v="428.8"/>
    <n v="0"/>
  </r>
  <r>
    <x v="36"/>
    <n v="2400"/>
    <n v="428.8186"/>
    <n v="4.2999999999999997E-2"/>
    <n v="422.44619999999998"/>
    <n v="430.51049999999998"/>
    <n v="433.49919999999997"/>
    <n v="3.6999999999999998E-2"/>
    <n v="0.05"/>
    <n v="4.1000000000000002E-2"/>
    <n v="2251.6"/>
    <n v="2259.6"/>
    <n v="2276.1999999999998"/>
    <m/>
    <m/>
    <n v="428.8"/>
    <n v="428.8"/>
    <n v="0"/>
  </r>
  <r>
    <x v="37"/>
    <n v="100"/>
    <n v="428.79379999999998"/>
    <n v="4.8000000000000001E-2"/>
    <n v="422.41079999999999"/>
    <n v="430.46589999999998"/>
    <n v="433.50459999999998"/>
    <n v="5.8000000000000003E-2"/>
    <n v="3.7999999999999999E-2"/>
    <n v="4.4999999999999998E-2"/>
    <n v="2251.8000000000002"/>
    <n v="2259.6"/>
    <n v="2276.1999999999998"/>
    <m/>
    <m/>
    <n v="428.8"/>
    <n v="428.8"/>
    <n v="0"/>
  </r>
  <r>
    <x v="37"/>
    <n v="200"/>
    <n v="428.82220000000001"/>
    <n v="4.5999999999999999E-2"/>
    <n v="422.45319999999998"/>
    <n v="430.50510000000003"/>
    <n v="433.50810000000001"/>
    <n v="4.2000000000000003E-2"/>
    <n v="4.9000000000000002E-2"/>
    <n v="4.7E-2"/>
    <n v="2251.6"/>
    <n v="2259.6"/>
    <n v="2276.4"/>
    <m/>
    <m/>
    <n v="428.8"/>
    <n v="428.8"/>
    <n v="0"/>
  </r>
  <r>
    <x v="37"/>
    <n v="300"/>
    <n v="428.84109999999998"/>
    <n v="4.9000000000000002E-2"/>
    <n v="422.49200000000002"/>
    <n v="430.5016"/>
    <n v="433.52960000000002"/>
    <n v="4.9000000000000002E-2"/>
    <n v="4.8000000000000001E-2"/>
    <n v="5.0999999999999997E-2"/>
    <n v="2251.6"/>
    <n v="2259.6"/>
    <n v="2276.4"/>
    <m/>
    <m/>
    <n v="428.8"/>
    <n v="428.8"/>
    <n v="0"/>
  </r>
  <r>
    <x v="37"/>
    <n v="400"/>
    <n v="428.84750000000003"/>
    <n v="4.5999999999999999E-2"/>
    <n v="422.50970000000001"/>
    <n v="430.49799999999999"/>
    <n v="433.53489999999999"/>
    <n v="4.1000000000000002E-2"/>
    <n v="4.7E-2"/>
    <n v="0.05"/>
    <n v="2251.6"/>
    <n v="2259.8000000000002"/>
    <n v="2276.1999999999998"/>
    <m/>
    <m/>
    <n v="428.8"/>
    <n v="428.8"/>
    <n v="0"/>
  </r>
  <r>
    <x v="37"/>
    <n v="500"/>
    <n v="428.84350000000001"/>
    <n v="5.0999999999999997E-2"/>
    <n v="422.48320000000001"/>
    <n v="430.51400000000001"/>
    <n v="433.53309999999999"/>
    <n v="0.05"/>
    <n v="5.0999999999999997E-2"/>
    <n v="5.0999999999999997E-2"/>
    <n v="2251.6"/>
    <n v="2259.8000000000002"/>
    <n v="2276.4"/>
    <m/>
    <m/>
    <n v="428.8"/>
    <n v="428.8"/>
    <n v="0"/>
  </r>
  <r>
    <x v="37"/>
    <n v="600"/>
    <n v="428.83569999999997"/>
    <n v="4.5999999999999999E-2"/>
    <n v="422.4991"/>
    <n v="430.48379999999997"/>
    <n v="433.52420000000001"/>
    <n v="4.7E-2"/>
    <n v="3.9E-2"/>
    <n v="5.0999999999999997E-2"/>
    <n v="2251.8000000000002"/>
    <n v="2259.6"/>
    <n v="2276.4"/>
    <m/>
    <m/>
    <n v="428.8"/>
    <n v="428.8"/>
    <n v="0"/>
  </r>
  <r>
    <x v="37"/>
    <n v="700"/>
    <n v="428.8245"/>
    <n v="4.5999999999999999E-2"/>
    <n v="422.4744"/>
    <n v="430.48020000000002"/>
    <n v="433.51889999999997"/>
    <n v="0.05"/>
    <n v="3.5000000000000003E-2"/>
    <n v="0.05"/>
    <n v="2251.6"/>
    <n v="2259.6"/>
    <n v="2276.1999999999998"/>
    <m/>
    <m/>
    <n v="428.8"/>
    <n v="428.8"/>
    <n v="0"/>
  </r>
  <r>
    <x v="37"/>
    <n v="800"/>
    <n v="428.8329"/>
    <n v="4.7E-2"/>
    <n v="422.46910000000003"/>
    <n v="430.48910000000001"/>
    <n v="433.5403"/>
    <n v="4.9000000000000002E-2"/>
    <n v="4.2999999999999997E-2"/>
    <n v="0.05"/>
    <n v="2251.6"/>
    <n v="2259.6"/>
    <n v="2276.1999999999998"/>
    <m/>
    <m/>
    <n v="428.8"/>
    <n v="428.8"/>
    <n v="0"/>
  </r>
  <r>
    <x v="37"/>
    <n v="900"/>
    <n v="428.81720000000001"/>
    <n v="3.5000000000000003E-2"/>
    <n v="422.51499999999999"/>
    <n v="430.46949999999998"/>
    <n v="433.46710000000002"/>
    <n v="3.6999999999999998E-2"/>
    <n v="3.7999999999999999E-2"/>
    <n v="3.1E-2"/>
    <n v="2251.8000000000002"/>
    <n v="2259.6"/>
    <n v="2276.1999999999998"/>
    <m/>
    <m/>
    <n v="428.8"/>
    <n v="428.8"/>
    <n v="0"/>
  </r>
  <r>
    <x v="37"/>
    <n v="1000"/>
    <n v="428.74619999999999"/>
    <n v="4.4999999999999998E-2"/>
    <n v="422.40910000000002"/>
    <n v="430.42669999999998"/>
    <n v="433.40289999999999"/>
    <n v="4.1000000000000002E-2"/>
    <n v="4.9000000000000002E-2"/>
    <n v="4.4999999999999998E-2"/>
    <n v="2251.6"/>
    <n v="2259.4"/>
    <n v="2276"/>
    <m/>
    <m/>
    <n v="428.7"/>
    <n v="428.8"/>
    <n v="0"/>
  </r>
  <r>
    <x v="37"/>
    <n v="1100"/>
    <n v="428.73790000000002"/>
    <n v="4.8000000000000001E-2"/>
    <n v="422.40730000000002"/>
    <n v="430.39460000000003"/>
    <n v="433.41180000000003"/>
    <n v="0.05"/>
    <n v="4.5999999999999999E-2"/>
    <n v="4.9000000000000002E-2"/>
    <n v="2251.6"/>
    <n v="2259.4"/>
    <n v="2276"/>
    <m/>
    <m/>
    <n v="428.7"/>
    <n v="428.8"/>
    <n v="0"/>
  </r>
  <r>
    <x v="37"/>
    <n v="1200"/>
    <n v="428.7373"/>
    <n v="4.3999999999999997E-2"/>
    <n v="422.4196"/>
    <n v="430.37860000000001"/>
    <n v="433.41359999999997"/>
    <n v="4.1000000000000002E-2"/>
    <n v="0.04"/>
    <n v="4.9000000000000002E-2"/>
    <n v="2251.6"/>
    <n v="2259.1999999999998"/>
    <n v="2276.1999999999998"/>
    <m/>
    <m/>
    <n v="428.7"/>
    <n v="428.8"/>
    <n v="0"/>
  </r>
  <r>
    <x v="37"/>
    <n v="1300"/>
    <n v="428.70179999999999"/>
    <n v="3.4000000000000002E-2"/>
    <n v="422.37189999999998"/>
    <n v="430.35539999999997"/>
    <n v="433.37790000000001"/>
    <n v="0.05"/>
    <n v="2.9000000000000001E-2"/>
    <n v="1.2999999999999999E-2"/>
    <n v="2251.6"/>
    <n v="2259.4"/>
    <n v="2276"/>
    <m/>
    <m/>
    <n v="428.7"/>
    <n v="428.8"/>
    <n v="0"/>
  </r>
  <r>
    <x v="37"/>
    <n v="1400"/>
    <n v="428.71300000000002"/>
    <n v="0.04"/>
    <n v="422.37009999999998"/>
    <n v="430.3768"/>
    <n v="433.3922"/>
    <n v="4.9000000000000002E-2"/>
    <n v="3.3000000000000002E-2"/>
    <n v="3.6999999999999998E-2"/>
    <n v="2251.6"/>
    <n v="2259.4"/>
    <n v="2276"/>
    <m/>
    <m/>
    <n v="428.7"/>
    <n v="428.8"/>
    <n v="0"/>
  </r>
  <r>
    <x v="37"/>
    <n v="1500"/>
    <n v="428.72910000000002"/>
    <n v="4.8000000000000001E-2"/>
    <n v="422.38249999999999"/>
    <n v="430.39640000000003"/>
    <n v="433.4083"/>
    <n v="0.05"/>
    <n v="4.7E-2"/>
    <n v="4.7E-2"/>
    <n v="2251.4"/>
    <n v="2259.6"/>
    <n v="2276"/>
    <m/>
    <m/>
    <n v="428.7"/>
    <n v="428.8"/>
    <n v="0"/>
  </r>
  <r>
    <x v="37"/>
    <n v="1600"/>
    <n v="428.73559999999998"/>
    <n v="0.05"/>
    <n v="422.3843"/>
    <n v="430.40350000000001"/>
    <n v="433.41899999999998"/>
    <n v="0.05"/>
    <n v="4.9000000000000002E-2"/>
    <n v="0.05"/>
    <n v="2251.4"/>
    <n v="2259.4"/>
    <n v="2276.1999999999998"/>
    <m/>
    <m/>
    <n v="428.7"/>
    <n v="428.8"/>
    <n v="0"/>
  </r>
  <r>
    <x v="37"/>
    <n v="1700"/>
    <n v="428.745"/>
    <n v="0.05"/>
    <n v="422.39839999999998"/>
    <n v="430.41070000000002"/>
    <n v="433.42610000000002"/>
    <n v="4.7E-2"/>
    <n v="5.0999999999999997E-2"/>
    <n v="5.0999999999999997E-2"/>
    <n v="2251.4"/>
    <n v="2259.6"/>
    <n v="2276.1999999999998"/>
    <m/>
    <m/>
    <n v="428.7"/>
    <n v="428.8"/>
    <n v="0"/>
  </r>
  <r>
    <x v="37"/>
    <n v="1800"/>
    <n v="428.91329999999999"/>
    <n v="4.2000000000000003E-2"/>
    <n v="422.56619999999998"/>
    <n v="430.57990000000001"/>
    <n v="433.59379999999999"/>
    <n v="4.8000000000000001E-2"/>
    <n v="4.2999999999999997E-2"/>
    <n v="3.5000000000000003E-2"/>
    <n v="2252"/>
    <n v="2260"/>
    <n v="2276.4"/>
    <m/>
    <m/>
    <n v="428.9"/>
    <n v="428.9"/>
    <n v="9.9999999999965894E-2"/>
  </r>
  <r>
    <x v="37"/>
    <n v="1900"/>
    <n v="429.03949999999998"/>
    <n v="4.7E-2"/>
    <n v="422.70049999999998"/>
    <n v="430.69920000000002"/>
    <n v="433.71879999999999"/>
    <n v="4.7E-2"/>
    <n v="4.5999999999999999E-2"/>
    <n v="4.9000000000000002E-2"/>
    <n v="2252.1999999999998"/>
    <n v="2260"/>
    <n v="2276.6"/>
    <m/>
    <m/>
    <n v="429"/>
    <n v="429"/>
    <n v="0.10000000000002274"/>
  </r>
  <r>
    <x v="37"/>
    <n v="2000"/>
    <n v="429.04129999999998"/>
    <n v="4.8000000000000001E-2"/>
    <n v="422.70049999999998"/>
    <n v="430.70280000000002"/>
    <n v="433.72059999999999"/>
    <n v="4.7E-2"/>
    <n v="4.8000000000000001E-2"/>
    <n v="0.05"/>
    <n v="2252.1999999999998"/>
    <n v="2260"/>
    <n v="2276.6"/>
    <m/>
    <m/>
    <n v="429"/>
    <n v="429"/>
    <n v="0"/>
  </r>
  <r>
    <x v="37"/>
    <n v="2100"/>
    <n v="429.04070000000002"/>
    <n v="4.7E-2"/>
    <n v="422.70400000000001"/>
    <n v="430.69569999999999"/>
    <n v="433.72239999999999"/>
    <n v="4.4999999999999998E-2"/>
    <n v="4.4999999999999998E-2"/>
    <n v="0.05"/>
    <n v="2252.1999999999998"/>
    <n v="2260"/>
    <n v="2276.6"/>
    <m/>
    <m/>
    <n v="429"/>
    <n v="429"/>
    <n v="0"/>
  </r>
  <r>
    <x v="37"/>
    <n v="2200"/>
    <n v="429.04309999999998"/>
    <n v="4.5999999999999999E-2"/>
    <n v="422.70929999999998"/>
    <n v="430.69920000000002"/>
    <n v="433.72059999999999"/>
    <n v="4.2000000000000003E-2"/>
    <n v="4.5999999999999999E-2"/>
    <n v="0.05"/>
    <n v="2252.1999999999998"/>
    <n v="2260"/>
    <n v="2276.6"/>
    <m/>
    <m/>
    <n v="429"/>
    <n v="429"/>
    <n v="0"/>
  </r>
  <r>
    <x v="37"/>
    <n v="2300"/>
    <n v="429.07089999999999"/>
    <n v="4.2999999999999997E-2"/>
    <n v="422.73759999999999"/>
    <n v="430.7242"/>
    <n v="433.7509"/>
    <n v="2.9000000000000001E-2"/>
    <n v="5.0999999999999997E-2"/>
    <n v="4.7E-2"/>
    <n v="2252.1999999999998"/>
    <n v="2260"/>
    <n v="2276.6"/>
    <m/>
    <m/>
    <n v="429.1"/>
    <n v="429.1"/>
    <n v="0.10000000000002274"/>
  </r>
  <r>
    <x v="37"/>
    <n v="2400"/>
    <n v="429.0976"/>
    <n v="3.9E-2"/>
    <n v="422.76049999999998"/>
    <n v="430.7509"/>
    <n v="433.78129999999999"/>
    <n v="4.4999999999999998E-2"/>
    <n v="0.04"/>
    <n v="0.03"/>
    <n v="2252.1999999999998"/>
    <n v="2260.1999999999998"/>
    <n v="2276.8000000000002"/>
    <m/>
    <m/>
    <n v="429.1"/>
    <n v="429.1"/>
    <n v="0"/>
  </r>
  <r>
    <x v="38"/>
    <n v="100"/>
    <n v="429.1035"/>
    <n v="3.7999999999999999E-2"/>
    <n v="422.76580000000001"/>
    <n v="430.75979999999998"/>
    <n v="433.78489999999999"/>
    <n v="4.7E-2"/>
    <n v="4.1000000000000002E-2"/>
    <n v="2.3E-2"/>
    <n v="2252.1999999999998"/>
    <n v="2260.1999999999998"/>
    <n v="2276.8000000000002"/>
    <m/>
    <m/>
    <n v="429.1"/>
    <n v="429.1"/>
    <n v="0"/>
  </r>
  <r>
    <x v="38"/>
    <n v="200"/>
    <n v="429.18889999999999"/>
    <n v="0.04"/>
    <n v="422.84530000000001"/>
    <n v="430.85070000000002"/>
    <n v="433.87049999999999"/>
    <n v="3.7999999999999999E-2"/>
    <n v="4.5999999999999999E-2"/>
    <n v="3.5000000000000003E-2"/>
    <n v="2252.6"/>
    <n v="2260.4"/>
    <n v="2277"/>
    <m/>
    <m/>
    <n v="429.2"/>
    <n v="429.2"/>
    <n v="9.9999999999965894E-2"/>
  </r>
  <r>
    <x v="38"/>
    <n v="300"/>
    <n v="431.10809999999998"/>
    <n v="0.10299999999999999"/>
    <n v="424.73430000000002"/>
    <n v="432.77879999999999"/>
    <n v="435.81099999999998"/>
    <n v="0.10100000000000001"/>
    <n v="0.105"/>
    <n v="0.10199999999999999"/>
    <n v="2256.6"/>
    <n v="2264.4"/>
    <n v="2281.1999999999998"/>
    <m/>
    <m/>
    <n v="431.1"/>
    <n v="431.1"/>
    <n v="1.9000000000000341"/>
  </r>
  <r>
    <x v="38"/>
    <n v="400"/>
    <n v="433.55970000000002"/>
    <n v="3.5999999999999997E-2"/>
    <n v="427.15170000000001"/>
    <n v="435.24720000000002"/>
    <n v="438.2801"/>
    <n v="4.4999999999999998E-2"/>
    <n v="0.03"/>
    <n v="3.1E-2"/>
    <n v="2260.8000000000002"/>
    <n v="2269"/>
    <n v="2285.6"/>
    <m/>
    <m/>
    <n v="433.6"/>
    <n v="433.6"/>
    <n v="2.5"/>
  </r>
  <r>
    <x v="38"/>
    <n v="500"/>
    <n v="435.88029999999998"/>
    <n v="0.14000000000000001"/>
    <n v="429.4323"/>
    <n v="437.59390000000002"/>
    <n v="440.61470000000003"/>
    <n v="0.14099999999999999"/>
    <n v="0.14299999999999999"/>
    <n v="0.13700000000000001"/>
    <n v="2266"/>
    <n v="2274"/>
    <n v="2290.6"/>
    <m/>
    <m/>
    <n v="435.9"/>
    <n v="435.9"/>
    <n v="2.2999999999999545"/>
  </r>
  <r>
    <x v="38"/>
    <n v="600"/>
    <n v="440.11720000000003"/>
    <n v="4.2000000000000003E-2"/>
    <n v="433.67439999999999"/>
    <n v="441.7878"/>
    <n v="444.88959999999997"/>
    <n v="3.5000000000000003E-2"/>
    <n v="0.04"/>
    <n v="0.05"/>
    <n v="2273.8000000000002"/>
    <n v="2281.8000000000002"/>
    <n v="2298.6"/>
    <m/>
    <m/>
    <n v="440.1"/>
    <n v="440.1"/>
    <n v="4.2000000000000455"/>
  </r>
  <r>
    <x v="38"/>
    <n v="700"/>
    <n v="440.40640000000002"/>
    <n v="0.05"/>
    <n v="433.98149999999998"/>
    <n v="442.06130000000002"/>
    <n v="445.1764"/>
    <n v="4.9000000000000002E-2"/>
    <n v="5.0999999999999997E-2"/>
    <n v="0.05"/>
    <n v="2274.1999999999998"/>
    <n v="2282.4"/>
    <n v="2299"/>
    <m/>
    <m/>
    <n v="440.4"/>
    <n v="440.4"/>
    <n v="0.29999999999995453"/>
  </r>
  <r>
    <x v="38"/>
    <n v="800"/>
    <n v="440.41480000000001"/>
    <n v="4.9000000000000002E-2"/>
    <n v="433.99939999999998"/>
    <n v="442.05410000000001"/>
    <n v="445.19080000000002"/>
    <n v="4.5999999999999999E-2"/>
    <n v="5.0999999999999997E-2"/>
    <n v="5.0999999999999997E-2"/>
    <n v="2274.6"/>
    <n v="2282.4"/>
    <n v="2299"/>
    <m/>
    <m/>
    <n v="440.4"/>
    <n v="440.4"/>
    <n v="0"/>
  </r>
  <r>
    <x v="38"/>
    <n v="900"/>
    <n v="440.3811"/>
    <n v="3.9E-2"/>
    <n v="433.97609999999997"/>
    <n v="442.0883"/>
    <n v="445.07889999999998"/>
    <n v="2.3E-2"/>
    <n v="3.6999999999999998E-2"/>
    <n v="5.0999999999999997E-2"/>
    <n v="2274.4"/>
    <n v="2282.4"/>
    <n v="2298.8000000000002"/>
    <m/>
    <m/>
    <n v="440.4"/>
    <n v="440.4"/>
    <n v="0"/>
  </r>
  <r>
    <x v="38"/>
    <n v="1000"/>
    <n v="440.40100000000001"/>
    <n v="3.1E-2"/>
    <n v="433.97609999999997"/>
    <n v="442.1028"/>
    <n v="445.12400000000002"/>
    <n v="0.03"/>
    <n v="0.03"/>
    <n v="3.4000000000000002E-2"/>
    <n v="2274.4"/>
    <n v="2282.1999999999998"/>
    <n v="2299"/>
    <m/>
    <m/>
    <n v="440.4"/>
    <n v="440.4"/>
    <n v="0"/>
  </r>
  <r>
    <x v="38"/>
    <n v="1100"/>
    <n v="440.42140000000001"/>
    <n v="3.7999999999999999E-2"/>
    <n v="433.99939999999998"/>
    <n v="442.10640000000001"/>
    <n v="445.1583"/>
    <n v="4.5999999999999999E-2"/>
    <n v="2.3E-2"/>
    <n v="4.2000000000000003E-2"/>
    <n v="2274.4"/>
    <n v="2282.4"/>
    <n v="2299"/>
    <m/>
    <m/>
    <n v="440.4"/>
    <n v="440.4"/>
    <n v="0"/>
  </r>
  <r>
    <x v="38"/>
    <n v="1200"/>
    <n v="440.44779999999997"/>
    <n v="4.7E-2"/>
    <n v="434.0136"/>
    <n v="442.12619999999998"/>
    <n v="445.20339999999999"/>
    <n v="0.05"/>
    <n v="4.2000000000000003E-2"/>
    <n v="4.9000000000000002E-2"/>
    <n v="2274.6"/>
    <n v="2282.6"/>
    <n v="2299"/>
    <m/>
    <m/>
    <n v="440.4"/>
    <n v="440.4"/>
    <n v="0"/>
  </r>
  <r>
    <x v="38"/>
    <n v="1300"/>
    <n v="440.83420000000001"/>
    <n v="4.1000000000000002E-2"/>
    <n v="434.38869999999997"/>
    <n v="442.51530000000002"/>
    <n v="445.59859999999998"/>
    <n v="3.6999999999999998E-2"/>
    <n v="3.3000000000000002E-2"/>
    <n v="5.0999999999999997E-2"/>
    <n v="2275.4"/>
    <n v="2283.4"/>
    <n v="2300"/>
    <m/>
    <m/>
    <n v="440.8"/>
    <n v="440.8"/>
    <n v="0.40000000000003411"/>
  </r>
  <r>
    <x v="38"/>
    <n v="1400"/>
    <n v="440.9402"/>
    <n v="0.04"/>
    <n v="434.49770000000001"/>
    <n v="442.61799999999999"/>
    <n v="445.70499999999998"/>
    <n v="3.9E-2"/>
    <n v="2.7E-2"/>
    <n v="5.0999999999999997E-2"/>
    <n v="2275.4"/>
    <n v="2283.4"/>
    <n v="2300"/>
    <m/>
    <m/>
    <n v="440.9"/>
    <n v="440.9"/>
    <n v="9.9999999999965894E-2"/>
  </r>
  <r>
    <x v="38"/>
    <n v="1500"/>
    <n v="440.97199999999998"/>
    <n v="4.3999999999999997E-2"/>
    <n v="434.52089999999998"/>
    <n v="442.65219999999999"/>
    <n v="445.74290000000002"/>
    <n v="0.05"/>
    <n v="4.8000000000000001E-2"/>
    <n v="3.2000000000000001E-2"/>
    <n v="2275.6"/>
    <n v="2283.4"/>
    <n v="2300.1999999999998"/>
    <m/>
    <m/>
    <n v="441"/>
    <n v="441"/>
    <n v="0.10000000000002274"/>
  </r>
  <r>
    <x v="38"/>
    <n v="1600"/>
    <n v="441.35270000000003"/>
    <n v="3.5000000000000003E-2"/>
    <n v="434.87470000000002"/>
    <n v="443.0127"/>
    <n v="446.17079999999999"/>
    <n v="3.7999999999999999E-2"/>
    <n v="3.6999999999999998E-2"/>
    <n v="0.03"/>
    <n v="2276.1999999999998"/>
    <n v="2284.1999999999998"/>
    <n v="2301"/>
    <m/>
    <m/>
    <n v="441.4"/>
    <n v="441.4"/>
    <n v="0.39999999999997726"/>
  </r>
  <r>
    <x v="38"/>
    <n v="1700"/>
    <n v="442.5763"/>
    <n v="3.5999999999999997E-2"/>
    <n v="436.10320000000002"/>
    <n v="444.24439999999998"/>
    <n v="447.38119999999998"/>
    <n v="2.5999999999999999E-2"/>
    <n v="3.9E-2"/>
    <n v="4.1000000000000002E-2"/>
    <n v="2278.6"/>
    <n v="2286.6"/>
    <n v="2303.1999999999998"/>
    <m/>
    <m/>
    <n v="442.6"/>
    <n v="442.6"/>
    <n v="1.2000000000000455"/>
  </r>
  <r>
    <x v="38"/>
    <n v="1800"/>
    <n v="442.80970000000002"/>
    <n v="0.04"/>
    <n v="436.35199999999998"/>
    <n v="444.4717"/>
    <n v="447.60539999999997"/>
    <n v="4.9000000000000002E-2"/>
    <n v="4.2999999999999997E-2"/>
    <n v="2.4E-2"/>
    <n v="2279"/>
    <n v="2287"/>
    <n v="2303.8000000000002"/>
    <m/>
    <m/>
    <n v="442.8"/>
    <n v="442.8"/>
    <n v="0.19999999999998863"/>
  </r>
  <r>
    <x v="38"/>
    <n v="1900"/>
    <n v="442.81209999999999"/>
    <n v="4.2999999999999997E-2"/>
    <n v="436.35550000000001"/>
    <n v="444.45549999999997"/>
    <n v="447.62529999999998"/>
    <n v="0.05"/>
    <n v="3.9E-2"/>
    <n v="3.9E-2"/>
    <n v="2279"/>
    <n v="2286.8000000000002"/>
    <n v="2303.8000000000002"/>
    <m/>
    <m/>
    <n v="442.8"/>
    <n v="442.8"/>
    <n v="0"/>
  </r>
  <r>
    <x v="38"/>
    <n v="2000"/>
    <n v="442.8211"/>
    <n v="0.04"/>
    <n v="436.36450000000002"/>
    <n v="444.47899999999998"/>
    <n v="447.61989999999997"/>
    <n v="5.0999999999999997E-2"/>
    <n v="3.2000000000000001E-2"/>
    <n v="3.4000000000000002E-2"/>
    <n v="2279.1999999999998"/>
    <n v="2287"/>
    <n v="2303.8000000000002"/>
    <m/>
    <m/>
    <n v="442.8"/>
    <n v="442.8"/>
    <n v="0"/>
  </r>
  <r>
    <x v="38"/>
    <n v="2100"/>
    <n v="443.21019999999999"/>
    <n v="4.1000000000000002E-2"/>
    <n v="436.7278"/>
    <n v="444.90320000000003"/>
    <n v="447.99959999999999"/>
    <n v="3.5000000000000003E-2"/>
    <n v="4.2999999999999997E-2"/>
    <n v="4.4999999999999998E-2"/>
    <n v="2279.8000000000002"/>
    <n v="2288"/>
    <n v="2304.6"/>
    <m/>
    <m/>
    <n v="443.2"/>
    <n v="443.2"/>
    <n v="0.39999999999997726"/>
  </r>
  <r>
    <x v="38"/>
    <n v="2200"/>
    <n v="443.54649999999998"/>
    <n v="4.2999999999999997E-2"/>
    <n v="437.0806"/>
    <n v="445.22640000000001"/>
    <n v="448.33240000000001"/>
    <n v="5.0999999999999997E-2"/>
    <n v="0.05"/>
    <n v="1.9E-2"/>
    <n v="2280.6"/>
    <n v="2288.6"/>
    <n v="2305.1999999999998"/>
    <m/>
    <m/>
    <n v="443.5"/>
    <n v="443.5"/>
    <n v="0.30000000000001137"/>
  </r>
  <r>
    <x v="38"/>
    <n v="2300"/>
    <n v="443.54829999999998"/>
    <n v="4.7E-2"/>
    <n v="437.06979999999999"/>
    <n v="445.22640000000001"/>
    <n v="448.34870000000001"/>
    <n v="0.05"/>
    <n v="0.05"/>
    <n v="4.1000000000000002E-2"/>
    <n v="2280.4"/>
    <n v="2288.4"/>
    <n v="2305.1999999999998"/>
    <m/>
    <m/>
    <n v="443.5"/>
    <n v="443.5"/>
    <n v="0"/>
  </r>
  <r>
    <x v="38"/>
    <n v="2400"/>
    <n v="443.5856"/>
    <n v="4.7E-2"/>
    <n v="437.0949"/>
    <n v="445.26799999999997"/>
    <n v="448.39400000000001"/>
    <n v="4.9000000000000002E-2"/>
    <n v="4.2999999999999997E-2"/>
    <n v="0.05"/>
    <n v="2280.6"/>
    <n v="2288.6"/>
    <n v="2305.4"/>
    <m/>
    <m/>
    <n v="443.6"/>
    <n v="443.6"/>
    <n v="0.10000000000002274"/>
  </r>
  <r>
    <x v="39"/>
    <n v="100"/>
    <n v="444.03199999999998"/>
    <n v="6.0999999999999999E-2"/>
    <n v="437.55160000000001"/>
    <n v="445.69420000000002"/>
    <n v="448.85"/>
    <n v="6.0999999999999999E-2"/>
    <n v="6.2E-2"/>
    <n v="5.8999999999999997E-2"/>
    <n v="2281.6"/>
    <n v="2289.6"/>
    <n v="2306.4"/>
    <m/>
    <m/>
    <n v="444"/>
    <n v="444"/>
    <n v="0.39999999999997726"/>
  </r>
  <r>
    <x v="39"/>
    <n v="200"/>
    <n v="445.68090000000001"/>
    <n v="4.9000000000000002E-2"/>
    <n v="439.21019999999999"/>
    <n v="447.38319999999999"/>
    <n v="450.44940000000003"/>
    <n v="4.9000000000000002E-2"/>
    <n v="4.7E-2"/>
    <n v="5.0999999999999997E-2"/>
    <n v="2284.6"/>
    <n v="2292.8000000000002"/>
    <n v="2309.4"/>
    <m/>
    <m/>
    <n v="445.7"/>
    <n v="445.7"/>
    <n v="1.6999999999999886"/>
  </r>
  <r>
    <x v="39"/>
    <n v="300"/>
    <n v="446.67680000000001"/>
    <n v="4.3999999999999997E-2"/>
    <n v="440.2414"/>
    <n v="448.35120000000001"/>
    <n v="451.43790000000001"/>
    <n v="5.0999999999999997E-2"/>
    <n v="4.8000000000000001E-2"/>
    <n v="3.2000000000000001E-2"/>
    <n v="2286.8000000000002"/>
    <n v="2294.6"/>
    <n v="2311.1999999999998"/>
    <m/>
    <m/>
    <n v="446.7"/>
    <n v="446.7"/>
    <n v="1"/>
  </r>
  <r>
    <x v="39"/>
    <n v="400"/>
    <n v="446.95650000000001"/>
    <n v="4.4999999999999998E-2"/>
    <n v="440.51740000000001"/>
    <n v="448.66090000000003"/>
    <n v="451.69099999999997"/>
    <n v="3.4000000000000002E-2"/>
    <n v="4.8000000000000001E-2"/>
    <n v="5.0999999999999997E-2"/>
    <n v="2287.1999999999998"/>
    <n v="2295"/>
    <n v="2311.6"/>
    <m/>
    <m/>
    <n v="447"/>
    <n v="447"/>
    <n v="0.30000000000001137"/>
  </r>
  <r>
    <x v="39"/>
    <n v="500"/>
    <n v="447.06009999999998"/>
    <n v="4.2000000000000003E-2"/>
    <n v="440.61799999999999"/>
    <n v="448.77710000000002"/>
    <n v="451.78519999999997"/>
    <n v="3.2000000000000001E-2"/>
    <n v="4.1000000000000002E-2"/>
    <n v="5.1999999999999998E-2"/>
    <n v="2287.4"/>
    <n v="2295.4"/>
    <n v="2311.8000000000002"/>
    <m/>
    <m/>
    <n v="447.1"/>
    <n v="447.1"/>
    <n v="0.10000000000002274"/>
  </r>
  <r>
    <x v="39"/>
    <n v="600"/>
    <n v="447.14109999999999"/>
    <n v="4.7E-2"/>
    <n v="440.69670000000002"/>
    <n v="448.8417"/>
    <n v="451.88490000000002"/>
    <n v="3.9E-2"/>
    <n v="5.0999999999999997E-2"/>
    <n v="5.0999999999999997E-2"/>
    <n v="2287.6"/>
    <n v="2295.4"/>
    <n v="2312"/>
    <m/>
    <m/>
    <n v="447.1"/>
    <n v="447.1"/>
    <n v="0"/>
  </r>
  <r>
    <x v="39"/>
    <n v="700"/>
    <n v="447.14100000000002"/>
    <n v="4.2999999999999997E-2"/>
    <n v="440.71870000000001"/>
    <n v="448.81029999999998"/>
    <n v="451.89420000000001"/>
    <n v="0.04"/>
    <n v="3.4000000000000002E-2"/>
    <n v="5.1999999999999998E-2"/>
    <n v="2287.6"/>
    <n v="2295.4"/>
    <n v="2312.1999999999998"/>
    <m/>
    <m/>
    <n v="447.1"/>
    <n v="447.1"/>
    <n v="0"/>
  </r>
  <r>
    <x v="39"/>
    <n v="800"/>
    <n v="447.1386"/>
    <n v="0.04"/>
    <n v="440.71690000000001"/>
    <n v="448.80290000000002"/>
    <n v="451.89600000000002"/>
    <n v="3.3000000000000002E-2"/>
    <n v="0.03"/>
    <n v="5.1999999999999998E-2"/>
    <n v="2287.6"/>
    <n v="2295.4"/>
    <n v="2312.1999999999998"/>
    <m/>
    <m/>
    <n v="447.1"/>
    <n v="447.1"/>
    <n v="0"/>
  </r>
  <r>
    <x v="39"/>
    <n v="900"/>
    <n v="447.1361"/>
    <n v="0.04"/>
    <n v="440.71870000000001"/>
    <n v="448.8177"/>
    <n v="451.87200000000001"/>
    <n v="2.9000000000000001E-2"/>
    <n v="4.1000000000000002E-2"/>
    <n v="4.8000000000000001E-2"/>
    <n v="2287.6"/>
    <n v="2295.4"/>
    <n v="2312"/>
    <m/>
    <m/>
    <n v="447.1"/>
    <n v="447.1"/>
    <n v="0"/>
  </r>
  <r>
    <x v="39"/>
    <n v="1000"/>
    <n v="447.11340000000001"/>
    <n v="3.2000000000000001E-2"/>
    <n v="440.7004"/>
    <n v="448.80840000000001"/>
    <n v="451.83139999999997"/>
    <n v="2.9000000000000001E-2"/>
    <n v="3.2000000000000001E-2"/>
    <n v="3.5000000000000003E-2"/>
    <n v="2287.6"/>
    <n v="2295.6"/>
    <n v="2312"/>
    <m/>
    <m/>
    <n v="447.1"/>
    <n v="447.1"/>
    <n v="0"/>
  </r>
  <r>
    <x v="39"/>
    <n v="1100"/>
    <n v="447.09230000000002"/>
    <n v="4.3999999999999997E-2"/>
    <n v="440.69869999999997"/>
    <n v="448.7919"/>
    <n v="451.78620000000001"/>
    <n v="4.2000000000000003E-2"/>
    <n v="3.5999999999999997E-2"/>
    <n v="5.1999999999999998E-2"/>
    <n v="2287.6"/>
    <n v="2295.4"/>
    <n v="2311.8000000000002"/>
    <m/>
    <m/>
    <n v="447.1"/>
    <n v="447.1"/>
    <n v="0"/>
  </r>
  <r>
    <x v="39"/>
    <n v="1200"/>
    <n v="447.16410000000002"/>
    <n v="5.0999999999999997E-2"/>
    <n v="440.75990000000002"/>
    <n v="448.85"/>
    <n v="451.88229999999999"/>
    <n v="5.0999999999999997E-2"/>
    <n v="5.1999999999999998E-2"/>
    <n v="5.0999999999999997E-2"/>
    <n v="2287.6"/>
    <n v="2295.4"/>
    <n v="2312"/>
    <m/>
    <m/>
    <n v="447.2"/>
    <n v="447.2"/>
    <n v="9.9999999999965894E-2"/>
  </r>
  <r>
    <x v="39"/>
    <n v="1300"/>
    <n v="447.28160000000003"/>
    <n v="4.7E-2"/>
    <n v="440.85149999999999"/>
    <n v="448.96420000000001"/>
    <n v="452.02929999999998"/>
    <n v="0.05"/>
    <n v="0.05"/>
    <n v="3.9E-2"/>
    <n v="2288"/>
    <n v="2295.6"/>
    <n v="2312.4"/>
    <m/>
    <m/>
    <n v="447.3"/>
    <n v="447.3"/>
    <n v="0.10000000000002274"/>
  </r>
  <r>
    <x v="39"/>
    <n v="1400"/>
    <n v="447.5077"/>
    <n v="3.7999999999999999E-2"/>
    <n v="441.05630000000002"/>
    <n v="449.20330000000001"/>
    <n v="452.2636"/>
    <n v="0.05"/>
    <n v="3.3000000000000002E-2"/>
    <n v="2.9000000000000001E-2"/>
    <n v="2288.1999999999998"/>
    <n v="2296.1999999999998"/>
    <n v="2312.8000000000002"/>
    <m/>
    <m/>
    <n v="447.5"/>
    <n v="447.5"/>
    <n v="0.19999999999998863"/>
  </r>
  <r>
    <x v="39"/>
    <n v="1500"/>
    <n v="447.59219999999999"/>
    <n v="3.6999999999999998E-2"/>
    <n v="441.1318"/>
    <n v="449.2885"/>
    <n v="452.3562"/>
    <n v="3.4000000000000002E-2"/>
    <n v="4.3999999999999997E-2"/>
    <n v="3.1E-2"/>
    <n v="2288.4"/>
    <n v="2296.4"/>
    <n v="2313"/>
    <m/>
    <m/>
    <n v="447.6"/>
    <n v="447.6"/>
    <n v="0.10000000000002274"/>
  </r>
  <r>
    <x v="39"/>
    <n v="1600"/>
    <n v="447.63690000000003"/>
    <n v="4.8000000000000001E-2"/>
    <n v="441.17779999999999"/>
    <n v="449.33240000000001"/>
    <n v="452.40050000000002"/>
    <n v="5.0999999999999997E-2"/>
    <n v="0.04"/>
    <n v="5.0999999999999997E-2"/>
    <n v="2288.6"/>
    <n v="2296.4"/>
    <n v="2313"/>
    <m/>
    <m/>
    <n v="447.6"/>
    <n v="447.6"/>
    <n v="0"/>
  </r>
  <r>
    <x v="39"/>
    <n v="1700"/>
    <n v="447.6934"/>
    <n v="3.3000000000000002E-2"/>
    <n v="441.23090000000002"/>
    <n v="449.39330000000001"/>
    <n v="452.45589999999999"/>
    <n v="2.9000000000000001E-2"/>
    <n v="4.3999999999999997E-2"/>
    <n v="2.3E-2"/>
    <n v="2288.6"/>
    <n v="2296.6"/>
    <n v="2313.1999999999998"/>
    <m/>
    <m/>
    <n v="447.7"/>
    <n v="447.7"/>
    <n v="9.9999999999965894E-2"/>
  </r>
  <r>
    <x v="39"/>
    <n v="1800"/>
    <n v="447.70499999999998"/>
    <n v="3.6999999999999998E-2"/>
    <n v="441.24740000000003"/>
    <n v="449.40440000000001"/>
    <n v="452.4633"/>
    <n v="4.3999999999999997E-2"/>
    <n v="3.4000000000000002E-2"/>
    <n v="3.1E-2"/>
    <n v="2288.6"/>
    <n v="2296.6"/>
    <n v="2313.1999999999998"/>
    <m/>
    <m/>
    <n v="447.7"/>
    <n v="447.7"/>
    <n v="0"/>
  </r>
  <r>
    <x v="39"/>
    <n v="1900"/>
    <n v="447.72469999999998"/>
    <n v="3.9E-2"/>
    <n v="441.27300000000002"/>
    <n v="449.42290000000003"/>
    <n v="452.47809999999998"/>
    <n v="5.0999999999999997E-2"/>
    <n v="2.3E-2"/>
    <n v="3.7999999999999999E-2"/>
    <n v="2288.6"/>
    <n v="2296.6"/>
    <n v="2313.4"/>
    <m/>
    <m/>
    <n v="447.7"/>
    <n v="447.7"/>
    <n v="0"/>
  </r>
  <r>
    <x v="39"/>
    <n v="2000"/>
    <n v="447.73020000000002"/>
    <n v="3.9E-2"/>
    <n v="441.2876"/>
    <n v="449.42469999999997"/>
    <n v="452.47809999999998"/>
    <n v="4.9000000000000002E-2"/>
    <n v="2.7E-2"/>
    <n v="3.7999999999999999E-2"/>
    <n v="2288.8000000000002"/>
    <n v="2296.6"/>
    <n v="2313.1999999999998"/>
    <m/>
    <m/>
    <n v="447.7"/>
    <n v="447.7"/>
    <n v="0"/>
  </r>
  <r>
    <x v="39"/>
    <n v="2100"/>
    <n v="447.72030000000001"/>
    <n v="3.9E-2"/>
    <n v="441.27850000000001"/>
    <n v="449.41550000000001"/>
    <n v="452.46699999999998"/>
    <n v="5.0999999999999997E-2"/>
    <n v="3.6999999999999998E-2"/>
    <n v="2.3E-2"/>
    <n v="2288.8000000000002"/>
    <n v="2296.6"/>
    <n v="2313.1999999999998"/>
    <m/>
    <m/>
    <n v="447.7"/>
    <n v="447.7"/>
    <n v="0"/>
  </r>
  <r>
    <x v="39"/>
    <n v="2200"/>
    <n v="447.70679999999999"/>
    <n v="0.04"/>
    <n v="441.26389999999998"/>
    <n v="449.40069999999997"/>
    <n v="452.45589999999999"/>
    <n v="0.05"/>
    <n v="3.7999999999999999E-2"/>
    <n v="0.03"/>
    <n v="2288.6"/>
    <n v="2296.6"/>
    <n v="2313.1999999999998"/>
    <m/>
    <m/>
    <n v="447.7"/>
    <n v="447.7"/>
    <n v="0"/>
  </r>
  <r>
    <x v="39"/>
    <n v="2300"/>
    <n v="447.70190000000002"/>
    <n v="4.3999999999999997E-2"/>
    <n v="441.26569999999998"/>
    <n v="449.38780000000003"/>
    <n v="452.4522"/>
    <n v="5.0999999999999997E-2"/>
    <n v="4.7E-2"/>
    <n v="0.03"/>
    <n v="2288.8000000000002"/>
    <n v="2296.6"/>
    <n v="2313.1999999999998"/>
    <m/>
    <m/>
    <n v="447.7"/>
    <n v="447.7"/>
    <n v="0"/>
  </r>
  <r>
    <x v="39"/>
    <n v="2400"/>
    <n v="447.69819999999999"/>
    <n v="4.3999999999999997E-2"/>
    <n v="441.2602"/>
    <n v="449.38409999999999"/>
    <n v="452.4504"/>
    <n v="0.05"/>
    <n v="4.8000000000000001E-2"/>
    <n v="3.2000000000000001E-2"/>
    <n v="2288.6"/>
    <n v="2296.4"/>
    <n v="2313.1999999999998"/>
    <m/>
    <m/>
    <n v="447.7"/>
    <n v="447.7"/>
    <n v="0"/>
  </r>
  <r>
    <x v="40"/>
    <n v="100"/>
    <n v="447.69819999999999"/>
    <n v="0.04"/>
    <n v="441.25290000000001"/>
    <n v="449.38409999999999"/>
    <n v="452.45780000000002"/>
    <n v="4.7E-2"/>
    <n v="4.8000000000000001E-2"/>
    <n v="1.9E-2"/>
    <n v="2288.6"/>
    <n v="2296.4"/>
    <n v="2313.1999999999998"/>
    <m/>
    <m/>
    <n v="447.7"/>
    <n v="447.7"/>
    <n v="0"/>
  </r>
  <r>
    <x v="40"/>
    <n v="200"/>
    <n v="447.59359999999998"/>
    <n v="4.4999999999999998E-2"/>
    <n v="441.06439999999998"/>
    <n v="449.2253"/>
    <n v="452.49110000000002"/>
    <n v="5.0999999999999997E-2"/>
    <n v="3.5999999999999997E-2"/>
    <n v="4.7E-2"/>
    <n v="2288.1999999999998"/>
    <n v="2296.1999999999998"/>
    <n v="2313.1999999999998"/>
    <m/>
    <m/>
    <n v="447.6"/>
    <n v="447.7"/>
    <n v="0"/>
  </r>
  <r>
    <x v="40"/>
    <n v="300"/>
    <n v="447.6173"/>
    <n v="0.05"/>
    <n v="441.15769999999998"/>
    <n v="449.1737"/>
    <n v="452.5206"/>
    <n v="0.05"/>
    <n v="4.9000000000000002E-2"/>
    <n v="5.0999999999999997E-2"/>
    <n v="2288.6"/>
    <n v="2296"/>
    <n v="2313.4"/>
    <m/>
    <m/>
    <n v="447.6"/>
    <n v="447.7"/>
    <n v="0"/>
  </r>
  <r>
    <x v="40"/>
    <n v="400"/>
    <n v="447.61610000000002"/>
    <n v="0.05"/>
    <n v="441.1687"/>
    <n v="449.1497"/>
    <n v="452.52980000000002"/>
    <n v="5.0999999999999997E-2"/>
    <n v="5.0999999999999997E-2"/>
    <n v="4.9000000000000002E-2"/>
    <n v="2288.6"/>
    <n v="2296.1999999999998"/>
    <n v="2313.1999999999998"/>
    <m/>
    <m/>
    <n v="447.6"/>
    <n v="447.7"/>
    <n v="0"/>
  </r>
  <r>
    <x v="40"/>
    <n v="500"/>
    <n v="447.69"/>
    <n v="3.6999999999999998E-2"/>
    <n v="441.32600000000002"/>
    <n v="449.21429999999998"/>
    <n v="452.52980000000002"/>
    <n v="3.1E-2"/>
    <n v="2.7E-2"/>
    <n v="4.9000000000000002E-2"/>
    <n v="2288.8000000000002"/>
    <n v="2296.1999999999998"/>
    <n v="2313.1999999999998"/>
    <m/>
    <m/>
    <n v="447.7"/>
    <n v="447.7"/>
    <n v="0"/>
  </r>
  <r>
    <x v="40"/>
    <n v="600"/>
    <n v="447.78559999999999"/>
    <n v="0.05"/>
    <n v="441.46510000000001"/>
    <n v="449.38600000000002"/>
    <n v="452.50580000000002"/>
    <n v="0.05"/>
    <n v="4.8000000000000001E-2"/>
    <n v="5.0999999999999997E-2"/>
    <n v="2289.1999999999998"/>
    <n v="2296.4"/>
    <n v="2313.1999999999998"/>
    <m/>
    <m/>
    <n v="447.8"/>
    <n v="447.8"/>
    <n v="0.10000000000002274"/>
  </r>
  <r>
    <x v="40"/>
    <n v="700"/>
    <n v="447.77780000000001"/>
    <n v="4.1000000000000002E-2"/>
    <n v="441.40289999999999"/>
    <n v="449.46350000000001"/>
    <n v="452.46699999999998"/>
    <n v="4.2999999999999997E-2"/>
    <n v="5.0999999999999997E-2"/>
    <n v="2.3E-2"/>
    <n v="2288.8000000000002"/>
    <n v="2296.6"/>
    <n v="2313.1999999999998"/>
    <m/>
    <m/>
    <n v="447.8"/>
    <n v="447.8"/>
    <n v="0"/>
  </r>
  <r>
    <x v="40"/>
    <n v="800"/>
    <n v="447.69319999999999"/>
    <n v="5.2999999999999999E-2"/>
    <n v="441.28210000000001"/>
    <n v="449.37670000000003"/>
    <n v="452.42079999999999"/>
    <n v="0.05"/>
    <n v="5.8000000000000003E-2"/>
    <n v="5.0999999999999997E-2"/>
    <n v="2288.6"/>
    <n v="2296.4"/>
    <n v="2313"/>
    <m/>
    <m/>
    <n v="447.7"/>
    <n v="447.8"/>
    <n v="0"/>
  </r>
  <r>
    <x v="40"/>
    <n v="900"/>
    <n v="447.62819999999999"/>
    <n v="3.4000000000000002E-2"/>
    <n v="441.22359999999998"/>
    <n v="449.30099999999999"/>
    <n v="452.35989999999998"/>
    <n v="3.1E-2"/>
    <n v="3.4000000000000002E-2"/>
    <n v="3.6999999999999998E-2"/>
    <n v="2288.6"/>
    <n v="2296.4"/>
    <n v="2313"/>
    <m/>
    <m/>
    <n v="447.6"/>
    <n v="447.8"/>
    <n v="0"/>
  </r>
  <r>
    <x v="40"/>
    <n v="1000"/>
    <n v="447.57839999999999"/>
    <n v="4.9000000000000002E-2"/>
    <n v="441.18880000000001"/>
    <n v="449.24009999999998"/>
    <n v="452.30630000000002"/>
    <n v="4.8000000000000001E-2"/>
    <n v="4.7E-2"/>
    <n v="5.1999999999999998E-2"/>
    <n v="2288.6"/>
    <n v="2296.1999999999998"/>
    <n v="2312.8000000000002"/>
    <m/>
    <m/>
    <n v="447.6"/>
    <n v="447.8"/>
    <n v="0"/>
  </r>
  <r>
    <x v="40"/>
    <n v="1100"/>
    <n v="447.55939999999998"/>
    <n v="4.5999999999999999E-2"/>
    <n v="441.1696"/>
    <n v="449.21600000000001"/>
    <n v="452.29270000000002"/>
    <n v="5.0999999999999997E-2"/>
    <n v="3.5999999999999997E-2"/>
    <n v="0.05"/>
    <n v="2288.6"/>
    <n v="2296.1999999999998"/>
    <n v="2312.8000000000002"/>
    <m/>
    <m/>
    <n v="447.6"/>
    <n v="447.8"/>
    <n v="0"/>
  </r>
  <r>
    <x v="40"/>
    <n v="1200"/>
    <n v="447.55459999999999"/>
    <n v="4.3999999999999997E-2"/>
    <n v="441.16419999999999"/>
    <n v="449.21960000000001"/>
    <n v="452.2799"/>
    <n v="5.0999999999999997E-2"/>
    <n v="3.5000000000000003E-2"/>
    <n v="4.4999999999999998E-2"/>
    <n v="2288.4"/>
    <n v="2296.1999999999998"/>
    <n v="2312.8000000000002"/>
    <m/>
    <m/>
    <n v="447.6"/>
    <n v="447.8"/>
    <n v="0"/>
  </r>
  <r>
    <x v="40"/>
    <n v="1300"/>
    <n v="447.75959999999998"/>
    <n v="4.2000000000000003E-2"/>
    <n v="441.37270000000001"/>
    <n v="449.4228"/>
    <n v="452.48329999999999"/>
    <n v="5.0999999999999997E-2"/>
    <n v="0.03"/>
    <n v="4.2000000000000003E-2"/>
    <n v="2289"/>
    <n v="2296.6"/>
    <n v="2313.1999999999998"/>
    <m/>
    <m/>
    <n v="447.8"/>
    <n v="447.8"/>
    <n v="0"/>
  </r>
  <r>
    <x v="40"/>
    <n v="1400"/>
    <n v="447.97730000000001"/>
    <n v="4.3999999999999997E-2"/>
    <n v="441.59390000000002"/>
    <n v="449.63490000000002"/>
    <n v="452.70310000000001"/>
    <n v="4.9000000000000002E-2"/>
    <n v="3.2000000000000001E-2"/>
    <n v="4.9000000000000002E-2"/>
    <n v="2289.4"/>
    <n v="2297"/>
    <n v="2313.8000000000002"/>
    <m/>
    <m/>
    <n v="448"/>
    <n v="448"/>
    <n v="0.19999999999998863"/>
  </r>
  <r>
    <x v="40"/>
    <n v="1500"/>
    <n v="448.07979999999998"/>
    <n v="4.7E-2"/>
    <n v="441.68380000000002"/>
    <n v="449.7527"/>
    <n v="452.80290000000002"/>
    <n v="5.0999999999999997E-2"/>
    <n v="4.3999999999999997E-2"/>
    <n v="4.7E-2"/>
    <n v="2289.6"/>
    <n v="2297.1999999999998"/>
    <n v="2314"/>
    <m/>
    <m/>
    <n v="448.1"/>
    <n v="448.1"/>
    <n v="0.10000000000002274"/>
  </r>
  <r>
    <x v="40"/>
    <n v="1600"/>
    <n v="448.2978"/>
    <n v="4.7E-2"/>
    <n v="441.91910000000001"/>
    <n v="449.96370000000002"/>
    <n v="453.01060000000001"/>
    <n v="4.4999999999999998E-2"/>
    <n v="4.7E-2"/>
    <n v="4.8000000000000001E-2"/>
    <n v="2290"/>
    <n v="2297.6"/>
    <n v="2314.1999999999998"/>
    <m/>
    <m/>
    <n v="448.3"/>
    <n v="448.3"/>
    <n v="0.19999999999998863"/>
  </r>
  <r>
    <x v="40"/>
    <n v="1700"/>
    <n v="448.37880000000001"/>
    <n v="3.5999999999999997E-2"/>
    <n v="442.00150000000002"/>
    <n v="450.04680000000002"/>
    <n v="453.0883"/>
    <n v="0.05"/>
    <n v="2.9000000000000001E-2"/>
    <n v="2.3E-2"/>
    <n v="2290.1999999999998"/>
    <n v="2297.8000000000002"/>
    <n v="2314.4"/>
    <m/>
    <m/>
    <n v="448.4"/>
    <n v="448.4"/>
    <n v="9.9999999999965894E-2"/>
  </r>
  <r>
    <x v="40"/>
    <n v="1800"/>
    <n v="448.48009999999999"/>
    <n v="3.6999999999999998E-2"/>
    <n v="442.10399999999998"/>
    <n v="450.15010000000001"/>
    <n v="453.18630000000002"/>
    <n v="0.05"/>
    <n v="3.5000000000000003E-2"/>
    <n v="0.02"/>
    <n v="2290.4"/>
    <n v="2298.1999999999998"/>
    <n v="2314.6"/>
    <m/>
    <m/>
    <n v="448.5"/>
    <n v="448.5"/>
    <n v="0.10000000000002274"/>
  </r>
  <r>
    <x v="40"/>
    <n v="1900"/>
    <n v="448.8997"/>
    <n v="4.7E-2"/>
    <n v="442.5052"/>
    <n v="450.57130000000001"/>
    <n v="453.62290000000002"/>
    <n v="5.5E-2"/>
    <n v="4.2999999999999997E-2"/>
    <n v="4.2999999999999997E-2"/>
    <n v="2291.1999999999998"/>
    <n v="2299"/>
    <n v="2315.4"/>
    <m/>
    <m/>
    <n v="448.9"/>
    <n v="448.9"/>
    <n v="0.39999999999997726"/>
  </r>
  <r>
    <x v="40"/>
    <n v="2000"/>
    <n v="449.80840000000001"/>
    <n v="4.2999999999999997E-2"/>
    <n v="443.35739999999998"/>
    <n v="451.53230000000002"/>
    <n v="454.53550000000001"/>
    <n v="3.9E-2"/>
    <n v="5.0999999999999997E-2"/>
    <n v="3.6999999999999998E-2"/>
    <n v="2292.8000000000002"/>
    <n v="2300.8000000000002"/>
    <n v="2317.1999999999998"/>
    <m/>
    <m/>
    <n v="449.8"/>
    <n v="449.8"/>
    <n v="0.90000000000003411"/>
  </r>
  <r>
    <x v="40"/>
    <n v="2100"/>
    <n v="450.43450000000001"/>
    <n v="3.4000000000000002E-2"/>
    <n v="443.99189999999999"/>
    <n v="452.15370000000001"/>
    <n v="455.15789999999998"/>
    <n v="2.7E-2"/>
    <n v="5.0999999999999997E-2"/>
    <n v="1.4E-2"/>
    <n v="2294"/>
    <n v="2301.8000000000002"/>
    <n v="2318.4"/>
    <m/>
    <m/>
    <n v="450.4"/>
    <n v="450.4"/>
    <n v="0.59999999999996589"/>
  </r>
  <r>
    <x v="40"/>
    <n v="2200"/>
    <n v="450.97230000000002"/>
    <n v="4.3999999999999997E-2"/>
    <n v="444.52210000000002"/>
    <n v="452.69589999999999"/>
    <n v="455.69900000000001"/>
    <n v="3.7999999999999999E-2"/>
    <n v="4.8000000000000001E-2"/>
    <n v="4.3999999999999997E-2"/>
    <n v="2295.1999999999998"/>
    <n v="2302.8000000000002"/>
    <n v="2319.6"/>
    <m/>
    <m/>
    <n v="451"/>
    <n v="451"/>
    <n v="0.60000000000002274"/>
  </r>
  <r>
    <x v="40"/>
    <n v="2300"/>
    <n v="451.91419999999999"/>
    <n v="0.11600000000000001"/>
    <n v="445.57799999999997"/>
    <n v="453.48649999999998"/>
    <n v="456.67829999999998"/>
    <n v="0.15"/>
    <n v="0.125"/>
    <n v="4.9000000000000002E-2"/>
    <n v="2297.1999999999998"/>
    <n v="2304.4"/>
    <n v="2321.4"/>
    <m/>
    <m/>
    <n v="451.9"/>
    <n v="451.9"/>
    <n v="0.89999999999997726"/>
  </r>
  <r>
    <x v="40"/>
    <n v="2400"/>
    <n v="452.31220000000002"/>
    <n v="0.05"/>
    <n v="445.80029999999999"/>
    <n v="454.04790000000003"/>
    <n v="457.08839999999998"/>
    <n v="5.0999999999999997E-2"/>
    <n v="4.7E-2"/>
    <n v="5.0999999999999997E-2"/>
    <n v="2297.6"/>
    <n v="2305.6"/>
    <n v="2322.1999999999998"/>
    <m/>
    <m/>
    <n v="452.3"/>
    <n v="452.3"/>
    <n v="0.40000000000003411"/>
  </r>
  <r>
    <x v="41"/>
    <n v="100"/>
    <n v="452.37079999999997"/>
    <n v="0.04"/>
    <n v="445.85730000000001"/>
    <n v="454.08679999999998"/>
    <n v="457.16820000000001"/>
    <n v="3.5999999999999997E-2"/>
    <n v="0.03"/>
    <n v="0.05"/>
    <n v="2297.6"/>
    <n v="2305.6"/>
    <n v="2322.1999999999998"/>
    <m/>
    <m/>
    <n v="452.4"/>
    <n v="452.4"/>
    <n v="9.9999999999965894E-2"/>
  </r>
  <r>
    <x v="41"/>
    <n v="200"/>
    <n v="452.51639999999998"/>
    <n v="3.7999999999999999E-2"/>
    <n v="445.94549999999998"/>
    <n v="454.26839999999999"/>
    <n v="457.33539999999999"/>
    <n v="3.9E-2"/>
    <n v="4.7E-2"/>
    <n v="2.4E-2"/>
    <n v="2297.8000000000002"/>
    <n v="2306"/>
    <n v="2322.6"/>
    <m/>
    <m/>
    <n v="452.5"/>
    <n v="452.5"/>
    <n v="0.10000000000002274"/>
  </r>
  <r>
    <x v="41"/>
    <n v="300"/>
    <n v="452.80160000000001"/>
    <n v="4.5999999999999999E-2"/>
    <n v="446.3057"/>
    <n v="454.45"/>
    <n v="457.64909999999998"/>
    <n v="5.1999999999999998E-2"/>
    <n v="5.0999999999999997E-2"/>
    <n v="3.4000000000000002E-2"/>
    <n v="2298.4"/>
    <n v="2306.4"/>
    <n v="2323.1999999999998"/>
    <m/>
    <m/>
    <n v="452.8"/>
    <n v="452.8"/>
    <n v="0.30000000000001137"/>
  </r>
  <r>
    <x v="41"/>
    <n v="400"/>
    <n v="453.14260000000002"/>
    <n v="4.1000000000000002E-2"/>
    <n v="446.64400000000001"/>
    <n v="454.93209999999999"/>
    <n v="457.85160000000002"/>
    <n v="4.2000000000000003E-2"/>
    <n v="4.3999999999999997E-2"/>
    <n v="3.5999999999999997E-2"/>
    <n v="2299.1999999999998"/>
    <n v="2307.4"/>
    <n v="2323.8000000000002"/>
    <m/>
    <m/>
    <n v="453.1"/>
    <n v="453.1"/>
    <n v="0.30000000000001137"/>
  </r>
  <r>
    <x v="41"/>
    <n v="500"/>
    <n v="453.36579999999998"/>
    <n v="3.7999999999999999E-2"/>
    <n v="446.88130000000001"/>
    <n v="455.14729999999997"/>
    <n v="458.06889999999999"/>
    <n v="2.9000000000000001E-2"/>
    <n v="4.8000000000000001E-2"/>
    <n v="3.4000000000000002E-2"/>
    <n v="2299.6"/>
    <n v="2307.8000000000002"/>
    <n v="2324"/>
    <m/>
    <m/>
    <n v="453.4"/>
    <n v="453.4"/>
    <n v="0.29999999999995453"/>
  </r>
  <r>
    <x v="41"/>
    <n v="600"/>
    <n v="453.45830000000001"/>
    <n v="3.4000000000000002E-2"/>
    <n v="446.98230000000001"/>
    <n v="455.23430000000002"/>
    <n v="458.1583"/>
    <n v="3.3000000000000002E-2"/>
    <n v="3.5999999999999997E-2"/>
    <n v="3.2000000000000001E-2"/>
    <n v="2299.8000000000002"/>
    <n v="2308"/>
    <n v="2324.1999999999998"/>
    <m/>
    <m/>
    <n v="453.5"/>
    <n v="453.5"/>
    <n v="0.10000000000002274"/>
  </r>
  <r>
    <x v="41"/>
    <n v="700"/>
    <n v="453.47219999999999"/>
    <n v="3.6999999999999998E-2"/>
    <n v="447.00940000000003"/>
    <n v="455.22699999999998"/>
    <n v="458.18020000000001"/>
    <n v="4.9000000000000002E-2"/>
    <n v="2.7E-2"/>
    <n v="3.2000000000000001E-2"/>
    <n v="2299.8000000000002"/>
    <n v="2308"/>
    <n v="2324.1999999999998"/>
    <m/>
    <m/>
    <n v="453.5"/>
    <n v="453.5"/>
    <n v="0"/>
  </r>
  <r>
    <x v="41"/>
    <n v="800"/>
    <n v="453.46730000000002"/>
    <n v="3.9E-2"/>
    <n v="447.01479999999998"/>
    <n v="455.20690000000002"/>
    <n v="458.18020000000001"/>
    <n v="0.05"/>
    <n v="3.4000000000000002E-2"/>
    <n v="3.2000000000000001E-2"/>
    <n v="2300"/>
    <n v="2307.8000000000002"/>
    <n v="2324.1999999999998"/>
    <m/>
    <m/>
    <n v="453.5"/>
    <n v="453.5"/>
    <n v="0"/>
  </r>
  <r>
    <x v="41"/>
    <n v="900"/>
    <n v="453.46300000000002"/>
    <n v="3.7999999999999999E-2"/>
    <n v="447.00760000000002"/>
    <n v="455.20510000000002"/>
    <n v="458.17649999999998"/>
    <n v="4.8000000000000001E-2"/>
    <n v="3.5999999999999997E-2"/>
    <n v="2.7E-2"/>
    <n v="2299.8000000000002"/>
    <n v="2307.8000000000002"/>
    <n v="2324.1999999999998"/>
    <m/>
    <m/>
    <n v="453.5"/>
    <n v="453.5"/>
    <n v="0"/>
  </r>
  <r>
    <x v="41"/>
    <n v="1000"/>
    <n v="453.52429999999998"/>
    <n v="4.4999999999999998E-2"/>
    <n v="447.08530000000002"/>
    <n v="455.25979999999998"/>
    <n v="458.2276"/>
    <n v="2.5999999999999999E-2"/>
    <n v="5.0999999999999997E-2"/>
    <n v="5.1999999999999998E-2"/>
    <n v="2300"/>
    <n v="2308"/>
    <n v="2324.4"/>
    <m/>
    <m/>
    <n v="453.5"/>
    <n v="453.5"/>
    <n v="0"/>
  </r>
  <r>
    <x v="41"/>
    <n v="1100"/>
    <n v="454.07420000000002"/>
    <n v="3.4000000000000002E-2"/>
    <n v="447.60050000000001"/>
    <n v="455.82859999999999"/>
    <n v="458.79360000000003"/>
    <n v="3.7999999999999999E-2"/>
    <n v="3.5999999999999997E-2"/>
    <n v="2.8000000000000001E-2"/>
    <n v="2301.1999999999998"/>
    <n v="2309"/>
    <n v="2325.6"/>
    <m/>
    <m/>
    <n v="454.1"/>
    <n v="454.1"/>
    <n v="0.60000000000002274"/>
  </r>
  <r>
    <x v="41"/>
    <n v="1200"/>
    <n v="454.10820000000001"/>
    <n v="4.5999999999999999E-2"/>
    <n v="447.63659999999999"/>
    <n v="455.87959999999998"/>
    <n v="458.80829999999997"/>
    <n v="5.0999999999999997E-2"/>
    <n v="0.05"/>
    <n v="3.5999999999999997E-2"/>
    <n v="2301"/>
    <n v="2309"/>
    <n v="2325.4"/>
    <m/>
    <m/>
    <n v="454.1"/>
    <n v="454.1"/>
    <n v="0"/>
  </r>
  <r>
    <x v="41"/>
    <n v="1300"/>
    <n v="454.05950000000001"/>
    <n v="4.4999999999999998E-2"/>
    <n v="447.63119999999998"/>
    <n v="455.76839999999999"/>
    <n v="458.779"/>
    <n v="0.05"/>
    <n v="4.7E-2"/>
    <n v="3.5999999999999997E-2"/>
    <n v="2301.1999999999998"/>
    <n v="2308.8000000000002"/>
    <n v="2325.4"/>
    <m/>
    <m/>
    <n v="454.1"/>
    <n v="454.1"/>
    <n v="0"/>
  </r>
  <r>
    <x v="41"/>
    <n v="1400"/>
    <n v="453.98430000000002"/>
    <n v="4.4999999999999998E-2"/>
    <n v="447.5752"/>
    <n v="455.66449999999998"/>
    <n v="458.7133"/>
    <n v="4.3999999999999997E-2"/>
    <n v="4.7E-2"/>
    <n v="4.3999999999999997E-2"/>
    <n v="2300.8000000000002"/>
    <n v="2308.6"/>
    <n v="2325.4"/>
    <m/>
    <m/>
    <n v="454"/>
    <n v="454.1"/>
    <n v="0"/>
  </r>
  <r>
    <x v="41"/>
    <n v="1500"/>
    <n v="453.9187"/>
    <n v="0.04"/>
    <n v="447.3854"/>
    <n v="455.61340000000001"/>
    <n v="458.75709999999998"/>
    <n v="2.4E-2"/>
    <n v="4.2000000000000003E-2"/>
    <n v="0.05"/>
    <n v="2300.6"/>
    <n v="2308.6"/>
    <n v="2325.4"/>
    <m/>
    <m/>
    <n v="453.9"/>
    <n v="454.1"/>
    <n v="0"/>
  </r>
  <r>
    <x v="41"/>
    <n v="1600"/>
    <n v="453.99270000000001"/>
    <n v="4.2999999999999997E-2"/>
    <n v="447.43239999999997"/>
    <n v="455.72829999999999"/>
    <n v="458.81740000000002"/>
    <n v="5.0999999999999997E-2"/>
    <n v="3.2000000000000001E-2"/>
    <n v="4.3999999999999997E-2"/>
    <n v="2300.6"/>
    <n v="2308.8000000000002"/>
    <n v="2325.4"/>
    <m/>
    <m/>
    <n v="454"/>
    <n v="454.1"/>
    <n v="0"/>
  </r>
  <r>
    <x v="41"/>
    <n v="1700"/>
    <n v="454.12720000000002"/>
    <n v="4.1000000000000002E-2"/>
    <n v="447.58780000000002"/>
    <n v="455.88139999999999"/>
    <n v="458.91239999999999"/>
    <n v="3.5999999999999997E-2"/>
    <n v="0.05"/>
    <n v="3.5999999999999997E-2"/>
    <n v="2301"/>
    <n v="2309"/>
    <n v="2325.8000000000002"/>
    <m/>
    <m/>
    <n v="454.1"/>
    <n v="454.1"/>
    <n v="0"/>
  </r>
  <r>
    <x v="41"/>
    <n v="1800"/>
    <n v="454.19450000000001"/>
    <n v="4.8000000000000001E-2"/>
    <n v="447.66559999999998"/>
    <n v="455.9726"/>
    <n v="458.94529999999997"/>
    <n v="4.7E-2"/>
    <n v="4.4999999999999998E-2"/>
    <n v="5.1999999999999998E-2"/>
    <n v="2301.1999999999998"/>
    <n v="2309.1999999999998"/>
    <n v="2325.6"/>
    <m/>
    <m/>
    <n v="454.2"/>
    <n v="454.2"/>
    <n v="9.9999999999965894E-2"/>
  </r>
  <r>
    <x v="41"/>
    <n v="1900"/>
    <n v="454.1739"/>
    <n v="4.3999999999999997E-2"/>
    <n v="447.63479999999998"/>
    <n v="455.97800000000001"/>
    <n v="458.90879999999999"/>
    <n v="5.0999999999999997E-2"/>
    <n v="4.8000000000000001E-2"/>
    <n v="3.2000000000000001E-2"/>
    <n v="2301.1999999999998"/>
    <n v="2309.1999999999998"/>
    <n v="2325.6"/>
    <m/>
    <m/>
    <n v="454.2"/>
    <n v="454.2"/>
    <n v="0"/>
  </r>
  <r>
    <x v="41"/>
    <n v="2000"/>
    <n v="454.15870000000001"/>
    <n v="3.5999999999999997E-2"/>
    <n v="447.63119999999998"/>
    <n v="455.9452"/>
    <n v="458.8997"/>
    <n v="0.05"/>
    <n v="3.5999999999999997E-2"/>
    <n v="1.4E-2"/>
    <n v="2301.1999999999998"/>
    <n v="2309.1999999999998"/>
    <n v="2325.6"/>
    <m/>
    <m/>
    <n v="454.2"/>
    <n v="454.2"/>
    <n v="0"/>
  </r>
  <r>
    <x v="41"/>
    <n v="2100"/>
    <n v="454.14420000000001"/>
    <n v="3.4000000000000002E-2"/>
    <n v="447.60950000000003"/>
    <n v="455.93239999999997"/>
    <n v="458.89049999999997"/>
    <n v="3.7999999999999999E-2"/>
    <n v="3.5999999999999997E-2"/>
    <n v="2.7E-2"/>
    <n v="2301"/>
    <n v="2309.1999999999998"/>
    <n v="2325.6"/>
    <m/>
    <m/>
    <n v="454.1"/>
    <n v="454.2"/>
    <n v="0"/>
  </r>
  <r>
    <x v="41"/>
    <n v="2200"/>
    <n v="454.14839999999998"/>
    <n v="3.3000000000000002E-2"/>
    <n v="447.61320000000001"/>
    <n v="455.93970000000002"/>
    <n v="458.89229999999998"/>
    <n v="4.1000000000000002E-2"/>
    <n v="3.3000000000000002E-2"/>
    <n v="2.3E-2"/>
    <n v="2301"/>
    <n v="2309.1999999999998"/>
    <n v="2325.6"/>
    <m/>
    <m/>
    <n v="454.1"/>
    <n v="454.2"/>
    <n v="0"/>
  </r>
  <r>
    <x v="41"/>
    <n v="2300"/>
    <n v="454.32240000000002"/>
    <n v="4.2000000000000003E-2"/>
    <n v="447.80119999999999"/>
    <n v="456.08749999999998"/>
    <n v="459.07859999999999"/>
    <n v="2.4E-2"/>
    <n v="0.05"/>
    <n v="4.5999999999999999E-2"/>
    <n v="2301.4"/>
    <n v="2309.6"/>
    <n v="2326"/>
    <m/>
    <m/>
    <n v="454.3"/>
    <n v="454.3"/>
    <n v="0.10000000000002274"/>
  </r>
  <r>
    <x v="41"/>
    <n v="2400"/>
    <n v="455.2697"/>
    <n v="6.6000000000000003E-2"/>
    <n v="448.75110000000001"/>
    <n v="457.05279999999999"/>
    <n v="460.0052"/>
    <n v="6.7000000000000004E-2"/>
    <n v="6.9000000000000006E-2"/>
    <n v="6.0999999999999999E-2"/>
    <n v="2303.4"/>
    <n v="2311.6"/>
    <n v="2327.8000000000002"/>
    <m/>
    <m/>
    <n v="455.3"/>
    <n v="455.3"/>
    <n v="1"/>
  </r>
  <r>
    <x v="42"/>
    <n v="100"/>
    <n v="456.32909999999998"/>
    <n v="4.2999999999999997E-2"/>
    <n v="449.78559999999999"/>
    <n v="458.13959999999997"/>
    <n v="461.06209999999999"/>
    <n v="4.9000000000000002E-2"/>
    <n v="3.3000000000000002E-2"/>
    <n v="4.3999999999999997E-2"/>
    <n v="2305.4"/>
    <n v="2313.4"/>
    <n v="2329.8000000000002"/>
    <m/>
    <m/>
    <n v="456.3"/>
    <n v="456.3"/>
    <n v="1"/>
  </r>
  <r>
    <x v="42"/>
    <n v="200"/>
    <n v="456.76589999999999"/>
    <n v="4.4999999999999998E-2"/>
    <n v="450.21719999999999"/>
    <n v="458.58240000000001"/>
    <n v="461.49799999999999"/>
    <n v="5.0999999999999997E-2"/>
    <n v="4.9000000000000002E-2"/>
    <n v="3.1E-2"/>
    <n v="2306.1999999999998"/>
    <n v="2314.4"/>
    <n v="2330.6"/>
    <m/>
    <m/>
    <n v="456.8"/>
    <n v="456.8"/>
    <n v="0.5"/>
  </r>
  <r>
    <x v="42"/>
    <n v="300"/>
    <n v="457.02960000000002"/>
    <n v="4.7E-2"/>
    <n v="450.46449999999999"/>
    <n v="458.85610000000003"/>
    <n v="461.76819999999998"/>
    <n v="4.8000000000000001E-2"/>
    <n v="4.1000000000000002E-2"/>
    <n v="5.1999999999999998E-2"/>
    <n v="2306.6"/>
    <n v="2314.8000000000002"/>
    <n v="2331.1999999999998"/>
    <m/>
    <m/>
    <n v="457"/>
    <n v="457"/>
    <n v="0.19999999999998863"/>
  </r>
  <r>
    <x v="42"/>
    <n v="400"/>
    <n v="457.24560000000002"/>
    <n v="4.4999999999999998E-2"/>
    <n v="450.66750000000002"/>
    <n v="459.08870000000002"/>
    <n v="461.98070000000001"/>
    <n v="4.2000000000000003E-2"/>
    <n v="0.04"/>
    <n v="5.1999999999999998E-2"/>
    <n v="2306.8000000000002"/>
    <n v="2315.4"/>
    <n v="2331.6"/>
    <m/>
    <m/>
    <n v="457.2"/>
    <n v="457.2"/>
    <n v="0.19999999999998863"/>
  </r>
  <r>
    <x v="42"/>
    <n v="500"/>
    <n v="457.30329999999998"/>
    <n v="4.5999999999999999E-2"/>
    <n v="450.70069999999998"/>
    <n v="459.1259"/>
    <n v="462.08330000000001"/>
    <n v="3.2000000000000001E-2"/>
    <n v="5.1999999999999998E-2"/>
    <n v="5.1999999999999998E-2"/>
    <n v="2307"/>
    <n v="2315.4"/>
    <n v="2331.8000000000002"/>
    <m/>
    <m/>
    <n v="457.3"/>
    <n v="457.3"/>
    <n v="0.10000000000002274"/>
  </r>
  <r>
    <x v="42"/>
    <n v="600"/>
    <n v="457.28410000000002"/>
    <n v="4.2999999999999997E-2"/>
    <n v="450.6952"/>
    <n v="459.09050000000002"/>
    <n v="462.06650000000002"/>
    <n v="3.5999999999999997E-2"/>
    <n v="4.1000000000000002E-2"/>
    <n v="5.0999999999999997E-2"/>
    <n v="2307"/>
    <n v="2315.1999999999998"/>
    <n v="2331.8000000000002"/>
    <m/>
    <m/>
    <n v="457.3"/>
    <n v="457.3"/>
    <n v="0"/>
  </r>
  <r>
    <x v="42"/>
    <n v="700"/>
    <n v="457.26429999999999"/>
    <n v="0.04"/>
    <n v="450.673"/>
    <n v="459.07380000000001"/>
    <n v="462.04599999999999"/>
    <n v="4.2999999999999997E-2"/>
    <n v="3.4000000000000002E-2"/>
    <n v="4.1000000000000002E-2"/>
    <n v="2306.8000000000002"/>
    <n v="2315.1999999999998"/>
    <n v="2331.6"/>
    <m/>
    <m/>
    <n v="457.3"/>
    <n v="457.3"/>
    <n v="0"/>
  </r>
  <r>
    <x v="42"/>
    <n v="800"/>
    <n v="457.2439"/>
    <n v="4.2000000000000003E-2"/>
    <n v="450.65460000000002"/>
    <n v="459.0421"/>
    <n v="462.03480000000002"/>
    <n v="4.9000000000000002E-2"/>
    <n v="4.5999999999999999E-2"/>
    <n v="0.03"/>
    <n v="2306.8000000000002"/>
    <n v="2315"/>
    <n v="2331.6"/>
    <m/>
    <m/>
    <n v="457.2"/>
    <n v="457.3"/>
    <n v="0"/>
  </r>
  <r>
    <x v="42"/>
    <n v="900"/>
    <n v="457.22649999999999"/>
    <n v="4.3999999999999997E-2"/>
    <n v="450.63240000000002"/>
    <n v="459.02910000000003"/>
    <n v="462.01799999999997"/>
    <n v="5.0999999999999997E-2"/>
    <n v="5.0999999999999997E-2"/>
    <n v="2.7E-2"/>
    <n v="2307"/>
    <n v="2315"/>
    <n v="2331.6"/>
    <m/>
    <m/>
    <n v="457.2"/>
    <n v="457.3"/>
    <n v="0"/>
  </r>
  <r>
    <x v="42"/>
    <n v="1000"/>
    <n v="457.18759999999997"/>
    <n v="4.3999999999999997E-2"/>
    <n v="450.59350000000001"/>
    <n v="458.9896"/>
    <n v="461.97969999999998"/>
    <n v="3.3000000000000002E-2"/>
    <n v="4.3999999999999997E-2"/>
    <n v="5.1999999999999998E-2"/>
    <n v="2306.8000000000002"/>
    <n v="2315"/>
    <n v="2331.4"/>
    <m/>
    <m/>
    <n v="457.2"/>
    <n v="457.3"/>
    <n v="0"/>
  </r>
  <r>
    <x v="42"/>
    <n v="1100"/>
    <n v="457.24689999999998"/>
    <n v="4.1000000000000002E-2"/>
    <n v="450.74220000000003"/>
    <n v="459.0609"/>
    <n v="461.9375"/>
    <n v="5.1999999999999998E-2"/>
    <n v="2.9000000000000001E-2"/>
    <n v="3.7999999999999999E-2"/>
    <n v="2307"/>
    <n v="2315.1999999999998"/>
    <n v="2331.4"/>
    <m/>
    <m/>
    <n v="457.2"/>
    <n v="457.3"/>
    <n v="0"/>
  </r>
  <r>
    <x v="42"/>
    <n v="1200"/>
    <n v="457.19189999999998"/>
    <n v="4.9000000000000002E-2"/>
    <n v="450.75310000000002"/>
    <n v="458.97859999999997"/>
    <n v="461.84410000000003"/>
    <n v="0.05"/>
    <n v="5.1999999999999998E-2"/>
    <n v="4.5999999999999999E-2"/>
    <n v="2307.1999999999998"/>
    <n v="2314.8000000000002"/>
    <n v="2331.1999999999998"/>
    <m/>
    <m/>
    <n v="457.2"/>
    <n v="457.3"/>
    <n v="0"/>
  </r>
  <r>
    <x v="42"/>
    <n v="1300"/>
    <n v="457.09230000000002"/>
    <n v="4.9000000000000002E-2"/>
    <n v="450.62439999999998"/>
    <n v="458.88909999999998"/>
    <n v="461.7636"/>
    <n v="0.05"/>
    <n v="4.5999999999999999E-2"/>
    <n v="5.1999999999999998E-2"/>
    <n v="2306.8000000000002"/>
    <n v="2315"/>
    <n v="2331.1999999999998"/>
    <m/>
    <m/>
    <n v="457.1"/>
    <n v="457.3"/>
    <n v="0"/>
  </r>
  <r>
    <x v="42"/>
    <n v="1400"/>
    <n v="456.98770000000002"/>
    <n v="4.7E-2"/>
    <n v="450.54820000000001"/>
    <n v="458.72269999999997"/>
    <n v="461.69220000000001"/>
    <n v="0.05"/>
    <n v="4.9000000000000002E-2"/>
    <n v="4.1000000000000002E-2"/>
    <n v="2306.8000000000002"/>
    <n v="2314.6"/>
    <n v="2331"/>
    <m/>
    <m/>
    <n v="457"/>
    <n v="457.3"/>
    <n v="0"/>
  </r>
  <r>
    <x v="42"/>
    <n v="1500"/>
    <n v="456.87060000000002"/>
    <n v="3.9E-2"/>
    <n v="450.36680000000001"/>
    <n v="458.5197"/>
    <n v="461.7251"/>
    <n v="3.4000000000000002E-2"/>
    <n v="4.7E-2"/>
    <n v="3.4000000000000002E-2"/>
    <n v="2306.4"/>
    <n v="2314"/>
    <n v="2331"/>
    <m/>
    <m/>
    <n v="456.9"/>
    <n v="457.3"/>
    <n v="0"/>
  </r>
  <r>
    <x v="42"/>
    <n v="1600"/>
    <n v="456.89510000000001"/>
    <n v="5.0999999999999997E-2"/>
    <n v="450.32150000000001"/>
    <n v="458.59100000000001"/>
    <n v="461.77269999999999"/>
    <n v="5.0999999999999997E-2"/>
    <n v="5.0999999999999997E-2"/>
    <n v="5.1999999999999998E-2"/>
    <n v="2306.4"/>
    <n v="2314.1999999999998"/>
    <n v="2331.1999999999998"/>
    <m/>
    <m/>
    <n v="456.9"/>
    <n v="457.3"/>
    <n v="0"/>
  </r>
  <r>
    <x v="42"/>
    <n v="1700"/>
    <n v="457.01499999999999"/>
    <n v="4.2999999999999997E-2"/>
    <n v="450.37580000000003"/>
    <n v="458.76310000000001"/>
    <n v="461.90609999999998"/>
    <n v="4.3999999999999997E-2"/>
    <n v="4.5999999999999999E-2"/>
    <n v="3.6999999999999998E-2"/>
    <n v="2306.4"/>
    <n v="2314.6"/>
    <n v="2331.4"/>
    <m/>
    <m/>
    <n v="457"/>
    <n v="457.3"/>
    <n v="0"/>
  </r>
  <r>
    <x v="42"/>
    <n v="1800"/>
    <n v="457.07940000000002"/>
    <n v="5.0999999999999997E-2"/>
    <n v="450.42939999999999"/>
    <n v="458.82260000000002"/>
    <n v="461.98630000000003"/>
    <n v="5.1999999999999998E-2"/>
    <n v="0.05"/>
    <n v="5.0999999999999997E-2"/>
    <n v="2306.6"/>
    <n v="2314.8000000000002"/>
    <n v="2331.4"/>
    <m/>
    <m/>
    <n v="457.1"/>
    <n v="457.3"/>
    <n v="0"/>
  </r>
  <r>
    <x v="42"/>
    <n v="1900"/>
    <n v="457.0992"/>
    <n v="4.3999999999999997E-2"/>
    <n v="450.45710000000003"/>
    <n v="458.83929999999998"/>
    <n v="462.00130000000001"/>
    <n v="4.4999999999999998E-2"/>
    <n v="4.2999999999999997E-2"/>
    <n v="4.3999999999999997E-2"/>
    <n v="2306.6"/>
    <n v="2314.8000000000002"/>
    <n v="2331.6"/>
    <m/>
    <m/>
    <n v="457.1"/>
    <n v="457.3"/>
    <n v="0"/>
  </r>
  <r>
    <x v="42"/>
    <n v="2000"/>
    <n v="457.12459999999999"/>
    <n v="4.3999999999999997E-2"/>
    <n v="450.49220000000003"/>
    <n v="458.8784"/>
    <n v="462.00310000000002"/>
    <n v="4.4999999999999998E-2"/>
    <n v="4.2999999999999997E-2"/>
    <n v="4.2999999999999997E-2"/>
    <n v="2306.6"/>
    <n v="2314.8000000000002"/>
    <n v="2331.4"/>
    <m/>
    <m/>
    <n v="457.1"/>
    <n v="457.3"/>
    <n v="0"/>
  </r>
  <r>
    <x v="42"/>
    <n v="2100"/>
    <n v="457.12700000000001"/>
    <n v="4.2999999999999997E-2"/>
    <n v="450.50510000000003"/>
    <n v="458.8802"/>
    <n v="461.9957"/>
    <n v="4.2000000000000003E-2"/>
    <n v="0.04"/>
    <n v="4.7E-2"/>
    <n v="2306.6"/>
    <n v="2314.8000000000002"/>
    <n v="2331.4"/>
    <m/>
    <m/>
    <n v="457.1"/>
    <n v="457.3"/>
    <n v="0"/>
  </r>
  <r>
    <x v="42"/>
    <n v="2200"/>
    <n v="457.07819999999998"/>
    <n v="4.7E-2"/>
    <n v="450.43860000000001"/>
    <n v="458.791"/>
    <n v="462.005"/>
    <n v="5.0999999999999997E-2"/>
    <n v="4.9000000000000002E-2"/>
    <n v="4.2000000000000003E-2"/>
    <n v="2306.6"/>
    <n v="2314.8000000000002"/>
    <n v="2331.6"/>
    <m/>
    <m/>
    <n v="457.1"/>
    <n v="457.3"/>
    <n v="0"/>
  </r>
  <r>
    <x v="42"/>
    <n v="2300"/>
    <n v="457.11470000000003"/>
    <n v="0.03"/>
    <n v="450.48110000000003"/>
    <n v="458.85419999999999"/>
    <n v="462.00869999999998"/>
    <n v="2.4E-2"/>
    <n v="2.7E-2"/>
    <n v="3.7999999999999999E-2"/>
    <n v="2306.6"/>
    <n v="2314.8000000000002"/>
    <n v="2331.6"/>
    <m/>
    <m/>
    <n v="457.1"/>
    <n v="457.3"/>
    <n v="0"/>
  </r>
  <r>
    <x v="42"/>
    <n v="2400"/>
    <n v="457.10789999999997"/>
    <n v="3.9E-2"/>
    <n v="450.47559999999999"/>
    <n v="458.84300000000002"/>
    <n v="462.005"/>
    <n v="3.3000000000000002E-2"/>
    <n v="0.04"/>
    <n v="4.2000000000000003E-2"/>
    <n v="2306.4"/>
    <n v="2314.8000000000002"/>
    <n v="2331.6"/>
    <m/>
    <m/>
    <n v="457.1"/>
    <n v="457.3"/>
    <n v="0"/>
  </r>
  <r>
    <x v="43"/>
    <n v="100"/>
    <n v="457.13479999999998"/>
    <n v="4.8000000000000001E-2"/>
    <n v="450.59739999999999"/>
    <n v="458.82819999999998"/>
    <n v="461.97890000000001"/>
    <n v="3.6999999999999998E-2"/>
    <n v="5.1999999999999998E-2"/>
    <n v="5.1999999999999998E-2"/>
    <n v="2307"/>
    <n v="2314.6"/>
    <n v="2331.4"/>
    <m/>
    <m/>
    <n v="457.1"/>
    <n v="457.3"/>
    <n v="0"/>
  </r>
  <r>
    <x v="43"/>
    <n v="200"/>
    <n v="457.07859999999999"/>
    <n v="4.2000000000000003E-2"/>
    <n v="450.49579999999997"/>
    <n v="458.80399999999997"/>
    <n v="461.9359"/>
    <n v="3.4000000000000002E-2"/>
    <n v="5.1999999999999998E-2"/>
    <n v="3.6999999999999998E-2"/>
    <n v="2306.6"/>
    <n v="2314.8000000000002"/>
    <n v="2331.4"/>
    <m/>
    <m/>
    <n v="457.1"/>
    <n v="457.3"/>
    <n v="0"/>
  </r>
  <r>
    <x v="43"/>
    <n v="300"/>
    <n v="457.0804"/>
    <n v="4.2000000000000003E-2"/>
    <n v="450.49770000000001"/>
    <n v="458.80770000000001"/>
    <n v="461.9359"/>
    <n v="3.5999999999999997E-2"/>
    <n v="5.1999999999999998E-2"/>
    <n v="3.6999999999999998E-2"/>
    <n v="2306.6"/>
    <n v="2314.8000000000002"/>
    <n v="2331.4"/>
    <m/>
    <m/>
    <n v="457.1"/>
    <n v="457.3"/>
    <n v="0"/>
  </r>
  <r>
    <x v="43"/>
    <n v="400"/>
    <n v="457.07119999999998"/>
    <n v="3.6999999999999998E-2"/>
    <n v="450.48110000000003"/>
    <n v="458.80399999999997"/>
    <n v="461.92849999999999"/>
    <n v="2.4E-2"/>
    <n v="5.1999999999999998E-2"/>
    <n v="2.7E-2"/>
    <n v="2306.6"/>
    <n v="2314.8000000000002"/>
    <n v="2331.4"/>
    <m/>
    <m/>
    <n v="457.1"/>
    <n v="457.3"/>
    <n v="0"/>
  </r>
  <r>
    <x v="43"/>
    <n v="500"/>
    <n v="457.05759999999998"/>
    <n v="4.1000000000000002E-2"/>
    <n v="450.46820000000002"/>
    <n v="458.7928"/>
    <n v="461.9117"/>
    <n v="4.1000000000000002E-2"/>
    <n v="4.9000000000000002E-2"/>
    <n v="0.03"/>
    <n v="2306.6"/>
    <n v="2314.8000000000002"/>
    <n v="2331.4"/>
    <m/>
    <m/>
    <n v="457.1"/>
    <n v="457.3"/>
    <n v="0"/>
  </r>
  <r>
    <x v="43"/>
    <n v="600"/>
    <n v="457.04149999999998"/>
    <n v="4.5999999999999999E-2"/>
    <n v="450.44970000000001"/>
    <n v="458.7817"/>
    <n v="461.8931"/>
    <n v="4.8000000000000001E-2"/>
    <n v="4.3999999999999997E-2"/>
    <n v="4.5999999999999999E-2"/>
    <n v="2306.6"/>
    <n v="2314.6"/>
    <n v="2331.4"/>
    <m/>
    <m/>
    <n v="457"/>
    <n v="457.3"/>
    <n v="0"/>
  </r>
  <r>
    <x v="43"/>
    <n v="700"/>
    <n v="457.02850000000001"/>
    <n v="4.5999999999999999E-2"/>
    <n v="450.43119999999999"/>
    <n v="458.76679999999999"/>
    <n v="461.88749999999999"/>
    <n v="5.1999999999999998E-2"/>
    <n v="3.5999999999999997E-2"/>
    <n v="4.9000000000000002E-2"/>
    <n v="2306.4"/>
    <n v="2314.6"/>
    <n v="2331.4"/>
    <m/>
    <m/>
    <n v="457"/>
    <n v="457.3"/>
    <n v="0"/>
  </r>
  <r>
    <x v="43"/>
    <n v="800"/>
    <n v="457.00560000000002"/>
    <n v="4.1000000000000002E-2"/>
    <n v="450.3888"/>
    <n v="458.74439999999998"/>
    <n v="461.88380000000001"/>
    <n v="2.9000000000000001E-2"/>
    <n v="0.04"/>
    <n v="0.05"/>
    <n v="2306.4"/>
    <n v="2314.4"/>
    <n v="2331.4"/>
    <m/>
    <m/>
    <n v="457"/>
    <n v="457.3"/>
    <n v="0"/>
  </r>
  <r>
    <x v="43"/>
    <n v="900"/>
    <n v="457.11930000000001"/>
    <n v="4.8000000000000001E-2"/>
    <n v="450.55680000000001"/>
    <n v="458.93790000000001"/>
    <n v="461.86329999999998"/>
    <n v="4.7E-2"/>
    <n v="4.5999999999999999E-2"/>
    <n v="5.1999999999999998E-2"/>
    <n v="2306.8000000000002"/>
    <n v="2315"/>
    <n v="2331.1999999999998"/>
    <m/>
    <m/>
    <n v="457.1"/>
    <n v="457.3"/>
    <n v="0"/>
  </r>
  <r>
    <x v="43"/>
    <n v="1000"/>
    <n v="457.05549999999999"/>
    <n v="4.3999999999999997E-2"/>
    <n v="450.5265"/>
    <n v="458.84339999999997"/>
    <n v="461.79649999999998"/>
    <n v="5.0999999999999997E-2"/>
    <n v="0.04"/>
    <n v="4.1000000000000002E-2"/>
    <n v="2306.6"/>
    <n v="2314.6"/>
    <n v="2331"/>
    <m/>
    <m/>
    <n v="457.1"/>
    <n v="457.3"/>
    <n v="0"/>
  </r>
  <r>
    <x v="43"/>
    <n v="1100"/>
    <n v="456.94619999999998"/>
    <n v="4.3999999999999997E-2"/>
    <n v="450.34690000000001"/>
    <n v="458.74650000000003"/>
    <n v="461.74529999999999"/>
    <n v="4.8000000000000001E-2"/>
    <n v="3.2000000000000001E-2"/>
    <n v="4.9000000000000002E-2"/>
    <n v="2306.4"/>
    <n v="2314.6"/>
    <n v="2331.1999999999998"/>
    <m/>
    <m/>
    <n v="456.9"/>
    <n v="457.3"/>
    <n v="0"/>
  </r>
  <r>
    <x v="43"/>
    <n v="1200"/>
    <n v="456.93880000000001"/>
    <n v="3.5000000000000003E-2"/>
    <n v="450.35599999999999"/>
    <n v="458.74279999999999"/>
    <n v="461.71780000000001"/>
    <n v="4.2999999999999997E-2"/>
    <n v="3.5999999999999997E-2"/>
    <n v="2.3E-2"/>
    <n v="2306.4"/>
    <n v="2314.6"/>
    <n v="2331"/>
    <m/>
    <m/>
    <n v="456.9"/>
    <n v="457.3"/>
    <n v="0"/>
  </r>
  <r>
    <x v="43"/>
    <n v="1300"/>
    <n v="456.98239999999998"/>
    <n v="3.4000000000000002E-2"/>
    <n v="450.49380000000002"/>
    <n v="458.76299999999998"/>
    <n v="461.69029999999998"/>
    <n v="3.2000000000000001E-2"/>
    <n v="2.3E-2"/>
    <n v="4.2999999999999997E-2"/>
    <n v="2306.6"/>
    <n v="2314.6"/>
    <n v="2330.8000000000002"/>
    <m/>
    <m/>
    <n v="457"/>
    <n v="457.3"/>
    <n v="0"/>
  </r>
  <r>
    <x v="43"/>
    <n v="1400"/>
    <n v="456.93329999999997"/>
    <n v="3.7999999999999999E-2"/>
    <n v="450.3614"/>
    <n v="458.72269999999997"/>
    <n v="461.71600000000001"/>
    <n v="3.9E-2"/>
    <n v="4.9000000000000002E-2"/>
    <n v="1.9E-2"/>
    <n v="2306.4"/>
    <n v="2314.4"/>
    <n v="2331"/>
    <m/>
    <m/>
    <n v="456.9"/>
    <n v="457.3"/>
    <n v="0"/>
  </r>
  <r>
    <x v="43"/>
    <n v="1500"/>
    <n v="456.97550000000001"/>
    <n v="4.5999999999999999E-2"/>
    <n v="450.35050000000001"/>
    <n v="458.7867"/>
    <n v="461.78919999999999"/>
    <n v="4.5999999999999999E-2"/>
    <n v="4.7E-2"/>
    <n v="4.5999999999999999E-2"/>
    <n v="2306.4"/>
    <n v="2314.6"/>
    <n v="2331.1999999999998"/>
    <m/>
    <m/>
    <n v="457"/>
    <n v="457.3"/>
    <n v="0"/>
  </r>
  <r>
    <x v="43"/>
    <n v="1600"/>
    <n v="457.02730000000003"/>
    <n v="4.4999999999999998E-2"/>
    <n v="450.36320000000001"/>
    <n v="458.83609999999999"/>
    <n v="461.88260000000002"/>
    <n v="3.7999999999999999E-2"/>
    <n v="4.4999999999999998E-2"/>
    <n v="0.05"/>
    <n v="2306.1999999999998"/>
    <n v="2314.8000000000002"/>
    <n v="2331.4"/>
    <m/>
    <m/>
    <n v="457"/>
    <n v="457.3"/>
    <n v="0"/>
  </r>
  <r>
    <x v="43"/>
    <n v="1700"/>
    <n v="457.15530000000001"/>
    <n v="3.5999999999999997E-2"/>
    <n v="450.5754"/>
    <n v="458.96030000000002"/>
    <n v="461.93020000000001"/>
    <n v="4.2000000000000003E-2"/>
    <n v="3.5999999999999997E-2"/>
    <n v="0.03"/>
    <n v="2306.6"/>
    <n v="2315"/>
    <n v="2331.4"/>
    <m/>
    <m/>
    <n v="457.2"/>
    <n v="457.3"/>
    <n v="0"/>
  </r>
  <r>
    <x v="43"/>
    <n v="1800"/>
    <n v="457.17599999999999"/>
    <n v="3.9E-2"/>
    <n v="450.60079999999999"/>
    <n v="458.97680000000003"/>
    <n v="461.95030000000003"/>
    <n v="3.5999999999999997E-2"/>
    <n v="3.2000000000000001E-2"/>
    <n v="4.7E-2"/>
    <n v="2306.8000000000002"/>
    <n v="2315"/>
    <n v="2331.6"/>
    <m/>
    <m/>
    <n v="457.2"/>
    <n v="457.3"/>
    <n v="0"/>
  </r>
  <r>
    <x v="43"/>
    <n v="1900"/>
    <n v="457.17970000000003"/>
    <n v="4.2000000000000003E-2"/>
    <n v="450.58629999999999"/>
    <n v="458.9896"/>
    <n v="461.96319999999997"/>
    <n v="2.7E-2"/>
    <n v="4.3999999999999997E-2"/>
    <n v="5.0999999999999997E-2"/>
    <n v="2306.6"/>
    <n v="2315"/>
    <n v="2331.4"/>
    <m/>
    <m/>
    <n v="457.2"/>
    <n v="457.3"/>
    <n v="0"/>
  </r>
  <r>
    <x v="43"/>
    <n v="2000"/>
    <n v="457.173"/>
    <n v="4.4999999999999998E-2"/>
    <n v="450.56450000000001"/>
    <n v="458.98590000000002"/>
    <n v="461.96870000000001"/>
    <n v="4.2000000000000003E-2"/>
    <n v="4.1000000000000002E-2"/>
    <n v="5.1999999999999998E-2"/>
    <n v="2306.6"/>
    <n v="2315.1999999999998"/>
    <n v="2331.4"/>
    <m/>
    <m/>
    <n v="457.2"/>
    <n v="457.3"/>
    <n v="0"/>
  </r>
  <r>
    <x v="43"/>
    <n v="2100"/>
    <n v="457.19670000000002"/>
    <n v="0.05"/>
    <n v="450.61399999999998"/>
    <n v="459.0086"/>
    <n v="461.96769999999998"/>
    <n v="4.5999999999999999E-2"/>
    <n v="5.0999999999999997E-2"/>
    <n v="5.1999999999999998E-2"/>
    <n v="2306.8000000000002"/>
    <n v="2315"/>
    <n v="2331.4"/>
    <m/>
    <m/>
    <n v="457.2"/>
    <n v="457.3"/>
    <n v="0"/>
  </r>
  <r>
    <x v="43"/>
    <n v="2200"/>
    <n v="457.19909999999999"/>
    <n v="0.05"/>
    <n v="450.6189"/>
    <n v="459.01519999999999"/>
    <n v="461.96319999999997"/>
    <n v="4.8000000000000001E-2"/>
    <n v="5.1999999999999998E-2"/>
    <n v="5.0999999999999997E-2"/>
    <n v="2306.8000000000002"/>
    <n v="2315"/>
    <n v="2331.6"/>
    <m/>
    <m/>
    <n v="457.2"/>
    <n v="457.3"/>
    <n v="0"/>
  </r>
  <r>
    <x v="43"/>
    <n v="2300"/>
    <n v="457.1431"/>
    <n v="4.5999999999999999E-2"/>
    <n v="450.50319999999999"/>
    <n v="458.94909999999999"/>
    <n v="461.97699999999998"/>
    <n v="4.1000000000000002E-2"/>
    <n v="4.2999999999999997E-2"/>
    <n v="5.1999999999999998E-2"/>
    <n v="2306.8000000000002"/>
    <n v="2315.1999999999998"/>
    <n v="2331.6"/>
    <m/>
    <m/>
    <n v="457.1"/>
    <n v="457.3"/>
    <n v="0"/>
  </r>
  <r>
    <x v="43"/>
    <n v="2400"/>
    <n v="457.2011"/>
    <n v="0.05"/>
    <n v="450.62130000000002"/>
    <n v="459.00119999999998"/>
    <n v="461.98070000000001"/>
    <n v="4.9000000000000002E-2"/>
    <n v="4.9000000000000002E-2"/>
    <n v="5.1999999999999998E-2"/>
    <n v="2307"/>
    <n v="2315"/>
    <n v="2331.6"/>
    <m/>
    <m/>
    <n v="457.2"/>
    <n v="457.3"/>
    <n v="0"/>
  </r>
  <r>
    <x v="44"/>
    <n v="100"/>
    <n v="457.20229999999998"/>
    <n v="5.0999999999999997E-2"/>
    <n v="450.62869999999998"/>
    <n v="459.00119999999998"/>
    <n v="461.97699999999998"/>
    <n v="5.0999999999999997E-2"/>
    <n v="4.9000000000000002E-2"/>
    <n v="5.1999999999999998E-2"/>
    <n v="2307"/>
    <n v="2315.1999999999998"/>
    <n v="2331.6"/>
    <m/>
    <m/>
    <n v="457.2"/>
    <n v="457.3"/>
    <n v="0"/>
  </r>
  <r>
    <x v="44"/>
    <n v="200"/>
    <n v="457.19299999999998"/>
    <n v="4.9000000000000002E-2"/>
    <n v="450.6225"/>
    <n v="458.9914"/>
    <n v="461.96499999999997"/>
    <n v="4.9000000000000002E-2"/>
    <n v="4.4999999999999998E-2"/>
    <n v="5.1999999999999998E-2"/>
    <n v="2306.8000000000002"/>
    <n v="2315"/>
    <n v="2331.6"/>
    <m/>
    <m/>
    <n v="457.2"/>
    <n v="457.3"/>
    <n v="0"/>
  </r>
  <r>
    <x v="44"/>
    <n v="300"/>
    <n v="457.2063"/>
    <n v="4.4999999999999998E-2"/>
    <n v="450.66969999999998"/>
    <n v="458.99869999999999"/>
    <n v="461.95030000000003"/>
    <n v="4.1000000000000002E-2"/>
    <n v="4.8000000000000001E-2"/>
    <n v="4.7E-2"/>
    <n v="2306.8000000000002"/>
    <n v="2315"/>
    <n v="2331.4"/>
    <m/>
    <m/>
    <n v="457.2"/>
    <n v="457.3"/>
    <n v="0"/>
  </r>
  <r>
    <x v="44"/>
    <n v="400"/>
    <n v="457.17169999999999"/>
    <n v="3.5999999999999997E-2"/>
    <n v="450.6044"/>
    <n v="458.96949999999998"/>
    <n v="461.94119999999998"/>
    <n v="3.9E-2"/>
    <n v="2.7E-2"/>
    <n v="4.1000000000000002E-2"/>
    <n v="2307"/>
    <n v="2315"/>
    <n v="2331.6"/>
    <m/>
    <m/>
    <n v="457.2"/>
    <n v="457.3"/>
    <n v="0"/>
  </r>
  <r>
    <x v="44"/>
    <n v="500"/>
    <n v="457.1857"/>
    <n v="4.4999999999999998E-2"/>
    <n v="450.6225"/>
    <n v="458.98039999999997"/>
    <n v="461.95400000000001"/>
    <n v="4.9000000000000002E-2"/>
    <n v="3.5999999999999997E-2"/>
    <n v="4.9000000000000002E-2"/>
    <n v="2307"/>
    <n v="2315"/>
    <n v="2331.4"/>
    <m/>
    <m/>
    <n v="457.2"/>
    <n v="457.3"/>
    <n v="0"/>
  </r>
  <r>
    <x v="44"/>
    <n v="600"/>
    <n v="457.18860000000001"/>
    <n v="4.8000000000000001E-2"/>
    <n v="450.6343"/>
    <n v="458.9751"/>
    <n v="461.95650000000001"/>
    <n v="5.1999999999999998E-2"/>
    <n v="4.1000000000000002E-2"/>
    <n v="4.9000000000000002E-2"/>
    <n v="2306.8000000000002"/>
    <n v="2314.8000000000002"/>
    <n v="2331.4"/>
    <m/>
    <m/>
    <n v="457.2"/>
    <n v="457.3"/>
    <n v="0"/>
  </r>
  <r>
    <x v="44"/>
    <n v="700"/>
    <n v="457.16980000000001"/>
    <n v="3.9E-2"/>
    <n v="450.60980000000001"/>
    <n v="458.95670000000001"/>
    <n v="461.94299999999998"/>
    <n v="4.2999999999999997E-2"/>
    <n v="2.9000000000000001E-2"/>
    <n v="4.2999999999999997E-2"/>
    <n v="2306.8000000000002"/>
    <n v="2314.8000000000002"/>
    <n v="2331.4"/>
    <m/>
    <m/>
    <n v="457.2"/>
    <n v="457.3"/>
    <n v="0"/>
  </r>
  <r>
    <x v="44"/>
    <n v="800"/>
    <n v="457.16919999999999"/>
    <n v="3.9E-2"/>
    <n v="450.61169999999998"/>
    <n v="458.95490000000001"/>
    <n v="461.94119999999998"/>
    <n v="4.3999999999999997E-2"/>
    <n v="3.2000000000000001E-2"/>
    <n v="4.1000000000000002E-2"/>
    <n v="2306.8000000000002"/>
    <n v="2315"/>
    <n v="2331.4"/>
    <m/>
    <m/>
    <n v="457.2"/>
    <n v="457.3"/>
    <n v="0"/>
  </r>
  <r>
    <x v="44"/>
    <n v="900"/>
    <n v="457.1583"/>
    <n v="3.4000000000000002E-2"/>
    <n v="450.59530000000001"/>
    <n v="458.94749999999999"/>
    <n v="461.93200000000002"/>
    <n v="2.9000000000000001E-2"/>
    <n v="0.04"/>
    <n v="3.2000000000000001E-2"/>
    <n v="2306.8000000000002"/>
    <n v="2315"/>
    <n v="2331.4"/>
    <m/>
    <m/>
    <n v="457.2"/>
    <n v="457.3"/>
    <n v="0"/>
  </r>
  <r>
    <x v="44"/>
    <n v="1000"/>
    <n v="457.15339999999998"/>
    <n v="0.04"/>
    <n v="450.60079999999999"/>
    <n v="458.95299999999997"/>
    <n v="461.90640000000002"/>
    <n v="4.1000000000000002E-2"/>
    <n v="4.3999999999999997E-2"/>
    <n v="3.5999999999999997E-2"/>
    <n v="2306.8000000000002"/>
    <n v="2314.8000000000002"/>
    <n v="2331.4"/>
    <m/>
    <m/>
    <n v="457.2"/>
    <n v="457.3"/>
    <n v="0"/>
  </r>
  <r>
    <x v="44"/>
    <n v="1100"/>
    <n v="457.1114"/>
    <n v="4.4999999999999998E-2"/>
    <n v="450.56810000000002"/>
    <n v="458.8854"/>
    <n v="461.88069999999999"/>
    <n v="3.9E-2"/>
    <n v="4.3999999999999997E-2"/>
    <n v="5.0999999999999997E-2"/>
    <n v="2306.8000000000002"/>
    <n v="2314.8000000000002"/>
    <n v="2331.1999999999998"/>
    <m/>
    <m/>
    <n v="457.1"/>
    <n v="457.3"/>
    <n v="0"/>
  </r>
  <r>
    <x v="44"/>
    <n v="1200"/>
    <n v="457.10109999999997"/>
    <n v="4.1000000000000002E-2"/>
    <n v="450.56630000000001"/>
    <n v="458.86349999999999"/>
    <n v="461.8734"/>
    <n v="4.1000000000000002E-2"/>
    <n v="2.4E-2"/>
    <n v="5.1999999999999998E-2"/>
    <n v="2306.8000000000002"/>
    <n v="2314.8000000000002"/>
    <n v="2331.4"/>
    <m/>
    <m/>
    <n v="457.1"/>
    <n v="457.3"/>
    <n v="0"/>
  </r>
  <r>
    <x v="44"/>
    <n v="1300"/>
    <n v="457.11450000000002"/>
    <n v="4.2000000000000003E-2"/>
    <n v="450.5772"/>
    <n v="458.87990000000002"/>
    <n v="461.88619999999997"/>
    <n v="3.5000000000000003E-2"/>
    <n v="0.04"/>
    <n v="4.9000000000000002E-2"/>
    <n v="2307"/>
    <n v="2314.8000000000002"/>
    <n v="2331.4"/>
    <m/>
    <m/>
    <n v="457.1"/>
    <n v="457.3"/>
    <n v="0"/>
  </r>
  <r>
    <x v="44"/>
    <n v="1400"/>
    <n v="457.1182"/>
    <n v="4.4999999999999998E-2"/>
    <n v="450.56270000000001"/>
    <n v="458.89460000000003"/>
    <n v="461.8972"/>
    <n v="4.2999999999999997E-2"/>
    <n v="4.8000000000000001E-2"/>
    <n v="4.3999999999999997E-2"/>
    <n v="2306.6"/>
    <n v="2314.8000000000002"/>
    <n v="2331.4"/>
    <m/>
    <m/>
    <n v="457.1"/>
    <n v="457.3"/>
    <n v="0"/>
  </r>
  <r>
    <x v="44"/>
    <n v="1500"/>
    <n v="457.12729999999999"/>
    <n v="4.1000000000000002E-2"/>
    <n v="450.56450000000001"/>
    <n v="458.90370000000001"/>
    <n v="461.91370000000001"/>
    <n v="4.2000000000000003E-2"/>
    <n v="5.0999999999999997E-2"/>
    <n v="2.7E-2"/>
    <n v="2306.6"/>
    <n v="2314.8000000000002"/>
    <n v="2331.4"/>
    <m/>
    <m/>
    <n v="457.1"/>
    <n v="457.3"/>
    <n v="0"/>
  </r>
  <r>
    <x v="44"/>
    <n v="1600"/>
    <n v="457.1146"/>
    <n v="0.04"/>
    <n v="450.541"/>
    <n v="458.87630000000001"/>
    <n v="461.92649999999998"/>
    <n v="5.0999999999999997E-2"/>
    <n v="4.1000000000000002E-2"/>
    <n v="2.3E-2"/>
    <n v="2306.6"/>
    <n v="2314.8000000000002"/>
    <n v="2331.4"/>
    <m/>
    <m/>
    <n v="457.1"/>
    <n v="457.3"/>
    <n v="0"/>
  </r>
  <r>
    <x v="44"/>
    <n v="1700"/>
    <n v="457.1044"/>
    <n v="4.2000000000000003E-2"/>
    <n v="450.49200000000002"/>
    <n v="458.83789999999999"/>
    <n v="461.98329999999999"/>
    <n v="2.9000000000000001E-2"/>
    <n v="4.3999999999999997E-2"/>
    <n v="5.0999999999999997E-2"/>
    <n v="2306.6"/>
    <n v="2314.8000000000002"/>
    <n v="2331.6"/>
    <m/>
    <m/>
    <n v="457.1"/>
    <n v="457.3"/>
    <n v="0"/>
  </r>
  <r>
    <x v="44"/>
    <n v="1800"/>
    <n v="457.2131"/>
    <n v="4.9000000000000002E-2"/>
    <n v="450.64249999999998"/>
    <n v="459.00060000000002"/>
    <n v="461.99619999999999"/>
    <n v="5.0999999999999997E-2"/>
    <n v="4.9000000000000002E-2"/>
    <n v="4.7E-2"/>
    <n v="2306.8000000000002"/>
    <n v="2315"/>
    <n v="2331.6"/>
    <m/>
    <m/>
    <n v="457.2"/>
    <n v="457.3"/>
    <n v="0"/>
  </r>
  <r>
    <x v="44"/>
    <n v="1900"/>
    <n v="457.13619999999997"/>
    <n v="4.3999999999999997E-2"/>
    <n v="450.52910000000003"/>
    <n v="458.8766"/>
    <n v="462.00310000000002"/>
    <n v="5.0999999999999997E-2"/>
    <n v="3.5999999999999997E-2"/>
    <n v="4.2999999999999997E-2"/>
    <n v="2306.6"/>
    <n v="2314.8000000000002"/>
    <n v="2331.4"/>
    <m/>
    <m/>
    <n v="457.1"/>
    <n v="457.3"/>
    <n v="0"/>
  </r>
  <r>
    <x v="44"/>
    <n v="2000"/>
    <n v="457.11360000000002"/>
    <n v="3.2000000000000001E-2"/>
    <n v="450.47750000000002"/>
    <n v="458.85430000000002"/>
    <n v="462.00900000000001"/>
    <n v="0.03"/>
    <n v="2.7E-2"/>
    <n v="3.7999999999999999E-2"/>
    <n v="2306.6"/>
    <n v="2314.8000000000002"/>
    <n v="2331.6"/>
    <m/>
    <m/>
    <n v="457.1"/>
    <n v="457.3"/>
    <n v="0"/>
  </r>
  <r>
    <x v="44"/>
    <n v="2100"/>
    <n v="457.15550000000002"/>
    <n v="4.7E-2"/>
    <n v="450.52539999999999"/>
    <n v="458.93790000000001"/>
    <n v="462.00310000000002"/>
    <n v="5.0999999999999997E-2"/>
    <n v="4.5999999999999999E-2"/>
    <n v="4.2999999999999997E-2"/>
    <n v="2306.8000000000002"/>
    <n v="2314.8000000000002"/>
    <n v="2331.6"/>
    <m/>
    <m/>
    <n v="457.2"/>
    <n v="457.3"/>
    <n v="0"/>
  </r>
  <r>
    <x v="44"/>
    <n v="2200"/>
    <n v="457.13440000000003"/>
    <n v="4.4999999999999998E-2"/>
    <n v="450.49579999999997"/>
    <n v="458.9119"/>
    <n v="461.9957"/>
    <n v="3.4000000000000002E-2"/>
    <n v="5.1999999999999998E-2"/>
    <n v="4.7E-2"/>
    <n v="2306.6"/>
    <n v="2315"/>
    <n v="2331.6"/>
    <m/>
    <m/>
    <n v="457.1"/>
    <n v="457.3"/>
    <n v="0"/>
  </r>
  <r>
    <x v="44"/>
    <n v="2300"/>
    <n v="457.10300000000001"/>
    <n v="0.04"/>
    <n v="450.43860000000001"/>
    <n v="458.86349999999999"/>
    <n v="462.00689999999997"/>
    <n v="5.0999999999999997E-2"/>
    <n v="2.4E-2"/>
    <n v="0.04"/>
    <n v="2306.4"/>
    <n v="2314.8000000000002"/>
    <n v="2331.6"/>
    <m/>
    <m/>
    <n v="457.1"/>
    <n v="457.3"/>
    <n v="0"/>
  </r>
  <r>
    <x v="44"/>
    <n v="2400"/>
    <n v="457.17770000000002"/>
    <n v="4.9000000000000002E-2"/>
    <n v="450.5401"/>
    <n v="458.9975"/>
    <n v="461.9957"/>
    <n v="5.0999999999999997E-2"/>
    <n v="4.8000000000000001E-2"/>
    <n v="4.7E-2"/>
    <n v="2306.6"/>
    <n v="2315"/>
    <n v="2331.6"/>
    <m/>
    <m/>
    <n v="457.2"/>
    <n v="457.3"/>
    <n v="0"/>
  </r>
  <r>
    <x v="45"/>
    <n v="100"/>
    <n v="457.19979999999998"/>
    <n v="4.7E-2"/>
    <n v="450.6026"/>
    <n v="459.01339999999999"/>
    <n v="461.98329999999999"/>
    <n v="3.7999999999999999E-2"/>
    <n v="5.1999999999999998E-2"/>
    <n v="5.0999999999999997E-2"/>
    <n v="2306.8000000000002"/>
    <n v="2315.1999999999998"/>
    <n v="2331.6"/>
    <m/>
    <m/>
    <n v="457.2"/>
    <n v="457.3"/>
    <n v="0"/>
  </r>
  <r>
    <x v="45"/>
    <n v="200"/>
    <n v="457.19490000000002"/>
    <n v="4.5999999999999999E-2"/>
    <n v="450.59899999999999"/>
    <n v="459.00599999999997"/>
    <n v="461.97969999999998"/>
    <n v="3.4000000000000002E-2"/>
    <n v="5.0999999999999997E-2"/>
    <n v="5.1999999999999998E-2"/>
    <n v="2306.8000000000002"/>
    <n v="2315"/>
    <n v="2331.6"/>
    <m/>
    <m/>
    <n v="457.2"/>
    <n v="457.3"/>
    <n v="0"/>
  </r>
  <r>
    <x v="45"/>
    <n v="300"/>
    <n v="457.18009999999998"/>
    <n v="0.04"/>
    <n v="450.57889999999998"/>
    <n v="458.97699999999998"/>
    <n v="461.98450000000003"/>
    <n v="3.3000000000000002E-2"/>
    <n v="3.2000000000000001E-2"/>
    <n v="5.0999999999999997E-2"/>
    <n v="2306.8000000000002"/>
    <n v="2315"/>
    <n v="2331.6"/>
    <m/>
    <m/>
    <n v="457.2"/>
    <n v="457.3"/>
    <n v="0"/>
  </r>
  <r>
    <x v="45"/>
    <n v="400"/>
    <n v="457.20519999999999"/>
    <n v="5.0999999999999997E-2"/>
    <n v="450.6207"/>
    <n v="459.01339999999999"/>
    <n v="461.98149999999998"/>
    <n v="4.9000000000000002E-2"/>
    <n v="5.1999999999999998E-2"/>
    <n v="5.1999999999999998E-2"/>
    <n v="2307"/>
    <n v="2315"/>
    <n v="2331.4"/>
    <m/>
    <m/>
    <n v="457.2"/>
    <n v="457.3"/>
    <n v="0"/>
  </r>
  <r>
    <x v="45"/>
    <n v="500"/>
    <n v="457.22219999999999"/>
    <n v="0.05"/>
    <n v="450.65159999999997"/>
    <n v="459.03710000000001"/>
    <n v="461.9778"/>
    <n v="0.05"/>
    <n v="4.8000000000000001E-2"/>
    <n v="5.1999999999999998E-2"/>
    <n v="2307"/>
    <n v="2315"/>
    <n v="2331.4"/>
    <m/>
    <m/>
    <n v="457.2"/>
    <n v="457.3"/>
    <n v="0"/>
  </r>
  <r>
    <x v="45"/>
    <n v="600"/>
    <n v="457.20150000000001"/>
    <n v="4.9000000000000002E-2"/>
    <n v="450.63889999999998"/>
    <n v="458.98779999999999"/>
    <n v="461.9778"/>
    <n v="5.1999999999999998E-2"/>
    <n v="4.2999999999999997E-2"/>
    <n v="5.1999999999999998E-2"/>
    <n v="2306.8000000000002"/>
    <n v="2315.1999999999998"/>
    <n v="2331.4"/>
    <m/>
    <m/>
    <n v="457.2"/>
    <n v="457.3"/>
    <n v="0"/>
  </r>
  <r>
    <x v="45"/>
    <n v="700"/>
    <n v="457.17599999999999"/>
    <n v="0.04"/>
    <n v="450.60079999999999"/>
    <n v="458.95850000000002"/>
    <n v="461.96870000000001"/>
    <n v="3.5999999999999997E-2"/>
    <n v="2.7E-2"/>
    <n v="5.1999999999999998E-2"/>
    <n v="2306.8000000000002"/>
    <n v="2315"/>
    <n v="2331.4"/>
    <m/>
    <m/>
    <n v="457.2"/>
    <n v="457.3"/>
    <n v="0"/>
  </r>
  <r>
    <x v="45"/>
    <n v="800"/>
    <n v="457.17899999999997"/>
    <n v="4.1000000000000002E-2"/>
    <n v="450.59719999999999"/>
    <n v="458.97129999999999"/>
    <n v="461.96870000000001"/>
    <n v="3.2000000000000001E-2"/>
    <n v="3.5999999999999997E-2"/>
    <n v="5.1999999999999998E-2"/>
    <n v="2306.8000000000002"/>
    <n v="2315"/>
    <n v="2331.6"/>
    <m/>
    <m/>
    <n v="457.2"/>
    <n v="457.3"/>
    <n v="0"/>
  </r>
  <r>
    <x v="45"/>
    <n v="900"/>
    <n v="457.09969999999998"/>
    <n v="4.1000000000000002E-2"/>
    <n v="450.59719999999999"/>
    <n v="458.88720000000001"/>
    <n v="461.81479999999999"/>
    <n v="4.5999999999999999E-2"/>
    <n v="4.4999999999999998E-2"/>
    <n v="3.1E-2"/>
    <n v="2306.8000000000002"/>
    <n v="2314.8000000000002"/>
    <n v="2331.1999999999998"/>
    <m/>
    <m/>
    <n v="457.1"/>
    <n v="457.3"/>
    <n v="0"/>
  </r>
  <r>
    <x v="45"/>
    <n v="1000"/>
    <n v="457.01389999999998"/>
    <n v="4.9000000000000002E-2"/>
    <n v="450.53919999999999"/>
    <n v="458.81779999999998"/>
    <n v="461.6848"/>
    <n v="5.0999999999999997E-2"/>
    <n v="5.0999999999999997E-2"/>
    <n v="4.5999999999999999E-2"/>
    <n v="2306.6"/>
    <n v="2314.6"/>
    <n v="2330.8000000000002"/>
    <m/>
    <m/>
    <n v="457"/>
    <n v="457.3"/>
    <n v="0"/>
  </r>
  <r>
    <x v="45"/>
    <n v="1100"/>
    <n v="459.06259999999997"/>
    <n v="4.8000000000000001E-2"/>
    <n v="452.54250000000002"/>
    <n v="460.89499999999998"/>
    <n v="463.75040000000001"/>
    <n v="0.04"/>
    <n v="5.1999999999999998E-2"/>
    <n v="5.1999999999999998E-2"/>
    <n v="2310.6"/>
    <n v="2318.8000000000002"/>
    <n v="2335"/>
    <m/>
    <m/>
    <n v="459.1"/>
    <n v="459.1"/>
    <n v="1.8000000000000114"/>
  </r>
  <r>
    <x v="45"/>
    <n v="1200"/>
    <n v="459.0394"/>
    <n v="3.5000000000000003E-2"/>
    <n v="452.55700000000002"/>
    <n v="460.84010000000001"/>
    <n v="463.721"/>
    <n v="2.3E-2"/>
    <n v="3.4000000000000002E-2"/>
    <n v="4.3999999999999997E-2"/>
    <n v="2310.6"/>
    <n v="2318.6"/>
    <n v="2334.8000000000002"/>
    <m/>
    <m/>
    <n v="459"/>
    <n v="459.1"/>
    <n v="0"/>
  </r>
  <r>
    <x v="45"/>
    <n v="1300"/>
    <n v="458.94200000000001"/>
    <n v="4.5999999999999999E-2"/>
    <n v="452.42619999999999"/>
    <n v="460.74290000000002"/>
    <n v="463.65679999999998"/>
    <n v="4.2000000000000003E-2"/>
    <n v="4.3999999999999997E-2"/>
    <n v="5.0999999999999997E-2"/>
    <n v="2310.4"/>
    <n v="2318.4"/>
    <n v="2334.8000000000002"/>
    <m/>
    <m/>
    <n v="458.9"/>
    <n v="459.1"/>
    <n v="0"/>
  </r>
  <r>
    <x v="45"/>
    <n v="1400"/>
    <n v="458.94060000000002"/>
    <n v="4.7E-2"/>
    <n v="452.46429999999998"/>
    <n v="460.68610000000001"/>
    <n v="463.67149999999998"/>
    <n v="4.2000000000000003E-2"/>
    <n v="5.1999999999999998E-2"/>
    <n v="4.4999999999999998E-2"/>
    <n v="2310.4"/>
    <n v="2318.4"/>
    <n v="2334.6"/>
    <m/>
    <m/>
    <n v="458.9"/>
    <n v="459.1"/>
    <n v="0"/>
  </r>
  <r>
    <x v="45"/>
    <n v="1500"/>
    <n v="458.92250000000001"/>
    <n v="4.9000000000000002E-2"/>
    <n v="452.40989999999999"/>
    <n v="460.68790000000001"/>
    <n v="463.66969999999998"/>
    <n v="0.05"/>
    <n v="5.1999999999999998E-2"/>
    <n v="4.5999999999999999E-2"/>
    <n v="2310.4"/>
    <n v="2318.4"/>
    <n v="2334.8000000000002"/>
    <m/>
    <m/>
    <n v="458.9"/>
    <n v="459.1"/>
    <n v="0"/>
  </r>
  <r>
    <x v="45"/>
    <n v="1600"/>
    <n v="458.97829999999999"/>
    <n v="4.8000000000000001E-2"/>
    <n v="452.36270000000002"/>
    <n v="460.80709999999999"/>
    <n v="463.76499999999999"/>
    <n v="4.3999999999999997E-2"/>
    <n v="0.05"/>
    <n v="0.05"/>
    <n v="2310"/>
    <n v="2318.4"/>
    <n v="2335"/>
    <m/>
    <m/>
    <n v="459"/>
    <n v="459.1"/>
    <n v="0"/>
  </r>
  <r>
    <x v="45"/>
    <n v="1700"/>
    <n v="459.03019999999998"/>
    <n v="4.8000000000000001E-2"/>
    <n v="452.35719999999998"/>
    <n v="460.88400000000001"/>
    <n v="463.8494"/>
    <n v="3.9E-2"/>
    <n v="5.0999999999999997E-2"/>
    <n v="5.1999999999999998E-2"/>
    <n v="2310.1999999999998"/>
    <n v="2318.6"/>
    <n v="2335"/>
    <m/>
    <m/>
    <n v="459"/>
    <n v="459.1"/>
    <n v="0"/>
  </r>
  <r>
    <x v="45"/>
    <n v="1800"/>
    <n v="459.10129999999998"/>
    <n v="3.5999999999999997E-2"/>
    <n v="452.46800000000002"/>
    <n v="460.93720000000002"/>
    <n v="463.89890000000003"/>
    <n v="4.1000000000000002E-2"/>
    <n v="3.2000000000000001E-2"/>
    <n v="3.3000000000000002E-2"/>
    <n v="2310.4"/>
    <n v="2318.8000000000002"/>
    <n v="2335"/>
    <m/>
    <m/>
    <n v="459.1"/>
    <n v="459.1"/>
    <n v="0"/>
  </r>
  <r>
    <x v="45"/>
    <n v="1900"/>
    <n v="459.07580000000002"/>
    <n v="4.2999999999999997E-2"/>
    <n v="452.44619999999998"/>
    <n v="460.90969999999999"/>
    <n v="463.87139999999999"/>
    <n v="2.4E-2"/>
    <n v="0.05"/>
    <n v="4.9000000000000002E-2"/>
    <n v="2310.4"/>
    <n v="2318.8000000000002"/>
    <n v="2335.1999999999998"/>
    <m/>
    <m/>
    <n v="459.1"/>
    <n v="459.1"/>
    <n v="0"/>
  </r>
  <r>
    <x v="45"/>
    <n v="2000"/>
    <n v="459.06979999999999"/>
    <n v="4.2999999999999997E-2"/>
    <n v="452.39170000000001"/>
    <n v="460.91699999999997"/>
    <n v="463.9008"/>
    <n v="5.1999999999999998E-2"/>
    <n v="4.8000000000000001E-2"/>
    <n v="2.3E-2"/>
    <n v="2310.1999999999998"/>
    <n v="2318.8000000000002"/>
    <n v="2335.1999999999998"/>
    <m/>
    <m/>
    <n v="459.1"/>
    <n v="459.1"/>
    <n v="0"/>
  </r>
  <r>
    <x v="45"/>
    <n v="2100"/>
    <n v="459.12079999999997"/>
    <n v="0.04"/>
    <n v="452.47710000000001"/>
    <n v="460.95909999999998"/>
    <n v="463.9264"/>
    <n v="4.7E-2"/>
    <n v="3.2000000000000001E-2"/>
    <n v="4.1000000000000002E-2"/>
    <n v="2310.4"/>
    <n v="2318.8000000000002"/>
    <n v="2335.1999999999998"/>
    <m/>
    <m/>
    <n v="459.1"/>
    <n v="459.1"/>
    <n v="0"/>
  </r>
  <r>
    <x v="45"/>
    <n v="2200"/>
    <n v="459.12020000000001"/>
    <n v="4.2999999999999997E-2"/>
    <n v="452.4898"/>
    <n v="460.94630000000001"/>
    <n v="463.9246"/>
    <n v="5.0999999999999997E-2"/>
    <n v="3.6999999999999998E-2"/>
    <n v="0.04"/>
    <n v="2310.4"/>
    <n v="2318.8000000000002"/>
    <n v="2335.1999999999998"/>
    <m/>
    <m/>
    <n v="459.1"/>
    <n v="459.1"/>
    <n v="0"/>
  </r>
  <r>
    <x v="45"/>
    <n v="2300"/>
    <n v="459.13119999999998"/>
    <n v="4.4999999999999998E-2"/>
    <n v="452.49160000000001"/>
    <n v="460.95909999999998"/>
    <n v="463.94290000000001"/>
    <n v="5.0999999999999997E-2"/>
    <n v="3.2000000000000001E-2"/>
    <n v="0.05"/>
    <n v="2310.6"/>
    <n v="2318.8000000000002"/>
    <n v="2335.1999999999998"/>
    <m/>
    <m/>
    <n v="459.1"/>
    <n v="459.1"/>
    <n v="0"/>
  </r>
  <r>
    <x v="45"/>
    <n v="2400"/>
    <n v="459.13670000000002"/>
    <n v="4.8000000000000001E-2"/>
    <n v="452.50619999999998"/>
    <n v="460.96100000000001"/>
    <n v="463.94290000000001"/>
    <n v="5.0999999999999997E-2"/>
    <n v="4.3999999999999997E-2"/>
    <n v="0.05"/>
    <n v="2310.6"/>
    <n v="2318.8000000000002"/>
    <n v="2335.1999999999998"/>
    <m/>
    <m/>
    <n v="459.1"/>
    <n v="459.1"/>
    <n v="0"/>
  </r>
  <r>
    <x v="46"/>
    <n v="100"/>
    <n v="459.14760000000001"/>
    <n v="0.04"/>
    <n v="452.53890000000001"/>
    <n v="460.96280000000002"/>
    <n v="463.94110000000001"/>
    <n v="3.4000000000000002E-2"/>
    <n v="3.5999999999999997E-2"/>
    <n v="4.9000000000000002E-2"/>
    <n v="2310.4"/>
    <n v="2318.8000000000002"/>
    <n v="2335.1999999999998"/>
    <m/>
    <m/>
    <n v="459.1"/>
    <n v="459.1"/>
    <n v="0"/>
  </r>
  <r>
    <x v="46"/>
    <n v="200"/>
    <n v="459.16160000000002"/>
    <n v="4.5999999999999999E-2"/>
    <n v="452.56610000000001"/>
    <n v="460.9683"/>
    <n v="463.95030000000003"/>
    <n v="4.4999999999999998E-2"/>
    <n v="4.1000000000000002E-2"/>
    <n v="5.1999999999999998E-2"/>
    <n v="2310.6"/>
    <n v="2319"/>
    <n v="2335.1999999999998"/>
    <m/>
    <m/>
    <n v="459.2"/>
    <n v="459.2"/>
    <n v="9.9999999999965894E-2"/>
  </r>
  <r>
    <x v="46"/>
    <n v="300"/>
    <n v="459.1567"/>
    <n v="4.3999999999999997E-2"/>
    <n v="452.54250000000002"/>
    <n v="460.9701"/>
    <n v="463.95760000000001"/>
    <n v="3.5000000000000003E-2"/>
    <n v="4.2999999999999997E-2"/>
    <n v="5.1999999999999998E-2"/>
    <n v="2310.6"/>
    <n v="2318.8000000000002"/>
    <n v="2335.4"/>
    <m/>
    <m/>
    <n v="459.2"/>
    <n v="459.2"/>
    <n v="0"/>
  </r>
  <r>
    <x v="46"/>
    <n v="400"/>
    <n v="459.1628"/>
    <n v="4.8000000000000001E-2"/>
    <n v="452.54070000000002"/>
    <n v="460.98660000000001"/>
    <n v="463.96129999999999"/>
    <n v="4.2000000000000003E-2"/>
    <n v="0.05"/>
    <n v="5.1999999999999998E-2"/>
    <n v="2310.6"/>
    <n v="2318.8000000000002"/>
    <n v="2335.4"/>
    <m/>
    <m/>
    <n v="459.2"/>
    <n v="459.2"/>
    <n v="0"/>
  </r>
  <r>
    <x v="46"/>
    <n v="500"/>
    <n v="459.19029999999998"/>
    <n v="4.2999999999999997E-2"/>
    <n v="452.56790000000001"/>
    <n v="461.0068"/>
    <n v="463.99610000000001"/>
    <n v="3.7999999999999999E-2"/>
    <n v="5.1999999999999998E-2"/>
    <n v="3.5999999999999997E-2"/>
    <n v="2310.6"/>
    <n v="2319"/>
    <n v="2335.4"/>
    <m/>
    <m/>
    <n v="459.2"/>
    <n v="459.2"/>
    <n v="0"/>
  </r>
  <r>
    <x v="46"/>
    <n v="600"/>
    <n v="459.21039999999999"/>
    <n v="4.2000000000000003E-2"/>
    <n v="452.58249999999998"/>
    <n v="461.02690000000001"/>
    <n v="464.02179999999998"/>
    <n v="4.7E-2"/>
    <n v="4.4999999999999998E-2"/>
    <n v="3.2000000000000001E-2"/>
    <n v="2310.6"/>
    <n v="2318.8000000000002"/>
    <n v="2335.6"/>
    <m/>
    <m/>
    <n v="459.2"/>
    <n v="459.2"/>
    <n v="0"/>
  </r>
  <r>
    <x v="46"/>
    <n v="700"/>
    <n v="459.21589999999998"/>
    <n v="4.2000000000000003E-2"/>
    <n v="452.58969999999999"/>
    <n v="461.0342"/>
    <n v="464.02370000000002"/>
    <n v="0.05"/>
    <n v="0.04"/>
    <n v="3.4000000000000002E-2"/>
    <n v="2310.6"/>
    <n v="2319"/>
    <n v="2335.6"/>
    <m/>
    <m/>
    <n v="459.2"/>
    <n v="459.2"/>
    <n v="0"/>
  </r>
  <r>
    <x v="46"/>
    <n v="800"/>
    <n v="459.21949999999998"/>
    <n v="4.2999999999999997E-2"/>
    <n v="452.59519999999998"/>
    <n v="461.03609999999998"/>
    <n v="464.02730000000003"/>
    <n v="5.0999999999999997E-2"/>
    <n v="3.7999999999999999E-2"/>
    <n v="3.7999999999999999E-2"/>
    <n v="2310.8000000000002"/>
    <n v="2318.8000000000002"/>
    <n v="2335.4"/>
    <m/>
    <m/>
    <n v="459.2"/>
    <n v="459.2"/>
    <n v="0"/>
  </r>
  <r>
    <x v="46"/>
    <n v="900"/>
    <n v="459.22500000000002"/>
    <n v="4.3999999999999997E-2"/>
    <n v="452.60610000000003"/>
    <n v="461.03789999999998"/>
    <n v="464.03100000000001"/>
    <n v="5.1999999999999998E-2"/>
    <n v="3.5999999999999997E-2"/>
    <n v="4.1000000000000002E-2"/>
    <n v="2310.6"/>
    <n v="2319"/>
    <n v="2335.4"/>
    <m/>
    <m/>
    <n v="459.2"/>
    <n v="459.2"/>
    <n v="0"/>
  </r>
  <r>
    <x v="46"/>
    <n v="1000"/>
    <n v="459.22190000000001"/>
    <n v="4.2999999999999997E-2"/>
    <n v="452.60789999999997"/>
    <n v="461.0342"/>
    <n v="464.02370000000002"/>
    <n v="5.1999999999999998E-2"/>
    <n v="0.04"/>
    <n v="3.4000000000000002E-2"/>
    <n v="2310.8000000000002"/>
    <n v="2319"/>
    <n v="2335.4"/>
    <m/>
    <m/>
    <n v="459.2"/>
    <n v="459.2"/>
    <n v="0"/>
  </r>
  <r>
    <x v="46"/>
    <n v="1100"/>
    <n v="459.20299999999997"/>
    <n v="4.8000000000000001E-2"/>
    <n v="452.60789999999997"/>
    <n v="461.0086"/>
    <n v="463.99250000000001"/>
    <n v="5.1999999999999998E-2"/>
    <n v="5.1999999999999998E-2"/>
    <n v="0.04"/>
    <n v="2310.6"/>
    <n v="2318.8000000000002"/>
    <n v="2335.4"/>
    <m/>
    <m/>
    <n v="459.2"/>
    <n v="459.2"/>
    <n v="0"/>
  </r>
  <r>
    <x v="46"/>
    <n v="1200"/>
    <n v="459.1841"/>
    <n v="4.8000000000000001E-2"/>
    <n v="452.58249999999998"/>
    <n v="460.98840000000001"/>
    <n v="463.98140000000001"/>
    <n v="4.7E-2"/>
    <n v="5.0999999999999997E-2"/>
    <n v="4.7E-2"/>
    <n v="2310.8000000000002"/>
    <n v="2319"/>
    <n v="2335.4"/>
    <m/>
    <m/>
    <n v="459.2"/>
    <n v="459.2"/>
    <n v="0"/>
  </r>
  <r>
    <x v="46"/>
    <n v="1300"/>
    <n v="459.1737"/>
    <n v="4.7E-2"/>
    <n v="452.59339999999997"/>
    <n v="460.96460000000002"/>
    <n v="463.9631"/>
    <n v="5.0999999999999997E-2"/>
    <n v="3.7999999999999999E-2"/>
    <n v="5.1999999999999998E-2"/>
    <n v="2310.6"/>
    <n v="2318.8000000000002"/>
    <n v="2335.4"/>
    <m/>
    <m/>
    <n v="459.2"/>
    <n v="459.2"/>
    <n v="0"/>
  </r>
  <r>
    <x v="46"/>
    <n v="1400"/>
    <n v="459.14550000000003"/>
    <n v="4.9000000000000002E-2"/>
    <n v="452.62060000000002"/>
    <n v="460.88040000000001"/>
    <n v="463.93560000000002"/>
    <n v="4.9000000000000002E-2"/>
    <n v="0.05"/>
    <n v="4.7E-2"/>
    <n v="2310.6"/>
    <n v="2318.6"/>
    <n v="2335.1999999999998"/>
    <m/>
    <m/>
    <n v="459.1"/>
    <n v="459.2"/>
    <n v="0"/>
  </r>
  <r>
    <x v="46"/>
    <n v="1500"/>
    <n v="459.07060000000001"/>
    <n v="4.5999999999999999E-2"/>
    <n v="452.5643"/>
    <n v="460.78320000000002"/>
    <n v="463.86410000000001"/>
    <n v="3.4000000000000002E-2"/>
    <n v="5.1999999999999998E-2"/>
    <n v="5.0999999999999997E-2"/>
    <n v="2310.6"/>
    <n v="2318.6"/>
    <n v="2335"/>
    <m/>
    <m/>
    <n v="459.1"/>
    <n v="459.2"/>
    <n v="0"/>
  </r>
  <r>
    <x v="46"/>
    <n v="1600"/>
    <n v="459.0616"/>
    <n v="4.4999999999999998E-2"/>
    <n v="452.49160000000001"/>
    <n v="460.83640000000003"/>
    <n v="463.85680000000002"/>
    <n v="5.0999999999999997E-2"/>
    <n v="2.7E-2"/>
    <n v="5.1999999999999998E-2"/>
    <n v="2310.6"/>
    <n v="2318.6"/>
    <n v="2335"/>
    <m/>
    <m/>
    <n v="459.1"/>
    <n v="459.2"/>
    <n v="0"/>
  </r>
  <r>
    <x v="46"/>
    <n v="1700"/>
    <n v="459.12020000000001"/>
    <n v="4.2000000000000003E-2"/>
    <n v="452.5025"/>
    <n v="460.93529999999998"/>
    <n v="463.9228"/>
    <n v="5.1999999999999998E-2"/>
    <n v="3.4000000000000002E-2"/>
    <n v="3.7999999999999999E-2"/>
    <n v="2310.4"/>
    <n v="2318.8000000000002"/>
    <n v="2335.1999999999998"/>
    <m/>
    <m/>
    <n v="459.1"/>
    <n v="459.2"/>
    <n v="0"/>
  </r>
  <r>
    <x v="46"/>
    <n v="1800"/>
    <n v="459.16039999999998"/>
    <n v="4.5999999999999999E-2"/>
    <n v="452.54070000000002"/>
    <n v="460.97930000000002"/>
    <n v="463.96129999999999"/>
    <n v="3.6999999999999998E-2"/>
    <n v="4.8000000000000001E-2"/>
    <n v="5.1999999999999998E-2"/>
    <n v="2310.6"/>
    <n v="2318.8000000000002"/>
    <n v="2335.1999999999998"/>
    <m/>
    <m/>
    <n v="459.2"/>
    <n v="459.2"/>
    <n v="0"/>
  </r>
  <r>
    <x v="46"/>
    <n v="1900"/>
    <n v="459.15859999999998"/>
    <n v="4.4999999999999998E-2"/>
    <n v="452.54070000000002"/>
    <n v="460.9665"/>
    <n v="463.96859999999998"/>
    <n v="4.2000000000000003E-2"/>
    <n v="0.04"/>
    <n v="5.0999999999999997E-2"/>
    <n v="2310.4"/>
    <n v="2318.8000000000002"/>
    <n v="2335.4"/>
    <m/>
    <m/>
    <n v="459.2"/>
    <n v="459.2"/>
    <n v="0"/>
  </r>
  <r>
    <x v="46"/>
    <n v="2000"/>
    <n v="459.15730000000002"/>
    <n v="0.04"/>
    <n v="452.55160000000001"/>
    <n v="460.95729999999998"/>
    <n v="463.9631"/>
    <n v="3.4000000000000002E-2"/>
    <n v="0.03"/>
    <n v="5.1999999999999998E-2"/>
    <n v="2310.6"/>
    <n v="2318.8000000000002"/>
    <n v="2335.4"/>
    <m/>
    <m/>
    <n v="459.2"/>
    <n v="459.2"/>
    <n v="0"/>
  </r>
  <r>
    <x v="46"/>
    <n v="2100"/>
    <n v="459.15609999999998"/>
    <n v="4.2999999999999997E-2"/>
    <n v="452.54250000000002"/>
    <n v="460.97199999999998"/>
    <n v="463.95389999999998"/>
    <n v="2.9000000000000001E-2"/>
    <n v="4.3999999999999997E-2"/>
    <n v="5.1999999999999998E-2"/>
    <n v="2310.4"/>
    <n v="2318.8000000000002"/>
    <n v="2335.1999999999998"/>
    <m/>
    <m/>
    <n v="459.2"/>
    <n v="459.2"/>
    <n v="0"/>
  </r>
  <r>
    <x v="46"/>
    <n v="2200"/>
    <n v="459.14400000000001"/>
    <n v="4.4999999999999998E-2"/>
    <n v="452.52620000000002"/>
    <n v="460.96100000000001"/>
    <n v="463.94479999999999"/>
    <n v="4.4999999999999998E-2"/>
    <n v="3.9E-2"/>
    <n v="0.05"/>
    <n v="2310.6"/>
    <n v="2318.8000000000002"/>
    <n v="2335.4"/>
    <m/>
    <m/>
    <n v="459.1"/>
    <n v="459.2"/>
    <n v="0"/>
  </r>
  <r>
    <x v="46"/>
    <n v="2300"/>
    <n v="459.13240000000002"/>
    <n v="4.2000000000000003E-2"/>
    <n v="452.52069999999998"/>
    <n v="460.93900000000002"/>
    <n v="463.93740000000003"/>
    <n v="4.7E-2"/>
    <n v="0.03"/>
    <n v="4.8000000000000001E-2"/>
    <n v="2310.6"/>
    <n v="2318.8000000000002"/>
    <n v="2335.4"/>
    <m/>
    <m/>
    <n v="459.1"/>
    <n v="459.2"/>
    <n v="0"/>
  </r>
  <r>
    <x v="46"/>
    <n v="2400"/>
    <n v="459.12810000000002"/>
    <n v="4.1000000000000002E-2"/>
    <n v="452.52800000000002"/>
    <n v="460.9298"/>
    <n v="463.9264"/>
    <n v="4.2999999999999997E-2"/>
    <n v="0.04"/>
    <n v="4.1000000000000002E-2"/>
    <n v="2310.6"/>
    <n v="2318.6"/>
    <n v="2335.1999999999998"/>
    <m/>
    <m/>
    <n v="459.1"/>
    <n v="459.2"/>
    <n v="0"/>
  </r>
  <r>
    <x v="47"/>
    <n v="100"/>
    <n v="459.11950000000002"/>
    <n v="4.3999999999999997E-2"/>
    <n v="452.51889999999997"/>
    <n v="460.91890000000001"/>
    <n v="463.92090000000002"/>
    <n v="4.8000000000000001E-2"/>
    <n v="4.7E-2"/>
    <n v="3.5999999999999997E-2"/>
    <n v="2310.6"/>
    <n v="2318.8000000000002"/>
    <n v="2335.1999999999998"/>
    <m/>
    <m/>
    <n v="459.1"/>
    <n v="459.2"/>
    <n v="0"/>
  </r>
  <r>
    <x v="47"/>
    <n v="200"/>
    <n v="459.12509999999997"/>
    <n v="4.4999999999999998E-2"/>
    <n v="452.50979999999998"/>
    <n v="460.93529999999998"/>
    <n v="463.93009999999998"/>
    <n v="5.0999999999999997E-2"/>
    <n v="3.9E-2"/>
    <n v="4.3999999999999997E-2"/>
    <n v="2310.4"/>
    <n v="2318.6"/>
    <n v="2335.1999999999998"/>
    <m/>
    <m/>
    <n v="459.1"/>
    <n v="459.2"/>
    <n v="0"/>
  </r>
  <r>
    <x v="47"/>
    <n v="300"/>
    <n v="459.15429999999998"/>
    <n v="4.2000000000000003E-2"/>
    <n v="452.53160000000003"/>
    <n v="460.95909999999998"/>
    <n v="463.97230000000002"/>
    <n v="4.1000000000000002E-2"/>
    <n v="3.2000000000000001E-2"/>
    <n v="0.05"/>
    <n v="2310.4"/>
    <n v="2318.8000000000002"/>
    <n v="2335.1999999999998"/>
    <m/>
    <m/>
    <n v="459.2"/>
    <n v="459.2"/>
    <n v="0"/>
  </r>
  <r>
    <x v="47"/>
    <n v="400"/>
    <n v="459.17140000000001"/>
    <n v="0.04"/>
    <n v="452.54610000000002"/>
    <n v="460.97739999999999"/>
    <n v="463.99059999999997"/>
    <n v="0.03"/>
    <n v="4.7E-2"/>
    <n v="4.1000000000000002E-2"/>
    <n v="2310.6"/>
    <n v="2318.8000000000002"/>
    <n v="2335.1999999999998"/>
    <m/>
    <m/>
    <n v="459.2"/>
    <n v="459.2"/>
    <n v="0"/>
  </r>
  <r>
    <x v="47"/>
    <n v="500"/>
    <n v="459.17140000000001"/>
    <n v="4.3999999999999997E-2"/>
    <n v="452.55700000000002"/>
    <n v="460.97379999999998"/>
    <n v="463.98329999999999"/>
    <n v="4.1000000000000002E-2"/>
    <n v="4.4999999999999998E-2"/>
    <n v="4.5999999999999999E-2"/>
    <n v="2310.8000000000002"/>
    <n v="2318.8000000000002"/>
    <n v="2335.4"/>
    <m/>
    <m/>
    <n v="459.2"/>
    <n v="459.2"/>
    <n v="0"/>
  </r>
  <r>
    <x v="47"/>
    <n v="600"/>
    <n v="459.18709999999999"/>
    <n v="4.9000000000000002E-2"/>
    <n v="452.60239999999999"/>
    <n v="460.97930000000002"/>
    <n v="463.9796"/>
    <n v="5.1999999999999998E-2"/>
    <n v="4.8000000000000001E-2"/>
    <n v="4.8000000000000001E-2"/>
    <n v="2310.8000000000002"/>
    <n v="2318.8000000000002"/>
    <n v="2335.4"/>
    <m/>
    <m/>
    <n v="459.2"/>
    <n v="459.2"/>
    <n v="0"/>
  </r>
  <r>
    <x v="47"/>
    <n v="700"/>
    <n v="459.19560000000001"/>
    <n v="4.7E-2"/>
    <n v="452.63330000000002"/>
    <n v="460.97930000000002"/>
    <n v="463.97410000000002"/>
    <n v="4.2000000000000003E-2"/>
    <n v="4.8000000000000001E-2"/>
    <n v="0.05"/>
    <n v="2310.8000000000002"/>
    <n v="2319"/>
    <n v="2335.1999999999998"/>
    <m/>
    <m/>
    <n v="459.2"/>
    <n v="459.2"/>
    <n v="0"/>
  </r>
  <r>
    <x v="47"/>
    <n v="800"/>
    <n v="459.15309999999999"/>
    <n v="3.9E-2"/>
    <n v="452.548"/>
    <n v="460.94819999999999"/>
    <n v="463.9631"/>
    <n v="1.9E-2"/>
    <n v="3.9E-2"/>
    <n v="5.1999999999999998E-2"/>
    <n v="2310.6"/>
    <n v="2318.8000000000002"/>
    <n v="2335.4"/>
    <m/>
    <m/>
    <n v="459.2"/>
    <n v="459.2"/>
    <n v="0"/>
  </r>
  <r>
    <x v="47"/>
    <n v="900"/>
    <n v="459.1463"/>
    <n v="3.9E-2"/>
    <n v="452.55520000000001"/>
    <n v="460.93529999999998"/>
    <n v="463.94839999999999"/>
    <n v="2.7E-2"/>
    <n v="3.4000000000000002E-2"/>
    <n v="5.0999999999999997E-2"/>
    <n v="2310.4"/>
    <n v="2318.8000000000002"/>
    <n v="2335.4"/>
    <m/>
    <m/>
    <n v="459.1"/>
    <n v="459.2"/>
    <n v="0"/>
  </r>
  <r>
    <x v="47"/>
    <n v="1000"/>
    <n v="459.0951"/>
    <n v="0.05"/>
    <n v="452.52429999999998"/>
    <n v="460.88220000000001"/>
    <n v="463.87880000000001"/>
    <n v="0.05"/>
    <n v="5.3999999999999999E-2"/>
    <n v="4.5999999999999999E-2"/>
    <n v="2310.6"/>
    <n v="2318.6"/>
    <n v="2335.1999999999998"/>
    <m/>
    <m/>
    <n v="459.1"/>
    <n v="459.2"/>
    <n v="0"/>
  </r>
  <r>
    <x v="47"/>
    <n v="1100"/>
    <n v="459.05419999999998"/>
    <n v="0.05"/>
    <n v="452.49520000000001"/>
    <n v="460.84010000000001"/>
    <n v="463.82740000000001"/>
    <n v="5.1999999999999998E-2"/>
    <n v="4.8000000000000001E-2"/>
    <n v="4.9000000000000002E-2"/>
    <n v="2310.6"/>
    <n v="2318.6"/>
    <n v="2335.1999999999998"/>
    <m/>
    <m/>
    <n v="459.1"/>
    <n v="459.2"/>
    <n v="0"/>
  </r>
  <r>
    <x v="47"/>
    <n v="1200"/>
    <n v="459.01889999999997"/>
    <n v="3.9E-2"/>
    <n v="452.4443"/>
    <n v="460.79969999999997"/>
    <n v="463.81270000000001"/>
    <n v="2.7E-2"/>
    <n v="5.1999999999999998E-2"/>
    <n v="3.2000000000000001E-2"/>
    <n v="2310.4"/>
    <n v="2318.4"/>
    <n v="2335"/>
    <m/>
    <m/>
    <n v="459"/>
    <n v="459.2"/>
    <n v="0"/>
  </r>
  <r>
    <x v="47"/>
    <n v="1300"/>
    <n v="459.00189999999998"/>
    <n v="3.6999999999999998E-2"/>
    <n v="452.43529999999998"/>
    <n v="460.774"/>
    <n v="463.7962"/>
    <n v="3.4000000000000002E-2"/>
    <n v="4.9000000000000002E-2"/>
    <n v="2.3E-2"/>
    <n v="2310.1999999999998"/>
    <n v="2318.4"/>
    <n v="2335"/>
    <m/>
    <m/>
    <n v="459"/>
    <n v="459.2"/>
    <n v="0"/>
  </r>
  <r>
    <x v="47"/>
    <n v="1400"/>
    <n v="458.97190000000001"/>
    <n v="4.2999999999999997E-2"/>
    <n v="452.4316"/>
    <n v="460.71910000000003"/>
    <n v="463.76499999999999"/>
    <n v="3.7999999999999999E-2"/>
    <n v="4.1000000000000002E-2"/>
    <n v="0.05"/>
    <n v="2310.4"/>
    <n v="2318.4"/>
    <n v="2334.8000000000002"/>
    <m/>
    <m/>
    <n v="459"/>
    <n v="459.2"/>
    <n v="0"/>
  </r>
  <r>
    <x v="47"/>
    <n v="1500"/>
    <n v="458.99639999999999"/>
    <n v="4.3999999999999997E-2"/>
    <n v="452.4135"/>
    <n v="460.78140000000002"/>
    <n v="463.7944"/>
    <n v="4.9000000000000002E-2"/>
    <n v="5.0999999999999997E-2"/>
    <n v="2.7E-2"/>
    <n v="2310.4"/>
    <n v="2318.4"/>
    <n v="2335"/>
    <m/>
    <m/>
    <n v="459"/>
    <n v="459.2"/>
    <n v="0"/>
  </r>
  <r>
    <x v="47"/>
    <n v="1600"/>
    <n v="459.03969999999998"/>
    <n v="4.2999999999999997E-2"/>
    <n v="452.45339999999999"/>
    <n v="460.8236"/>
    <n v="463.84210000000002"/>
    <n v="0.03"/>
    <n v="4.5999999999999999E-2"/>
    <n v="5.0999999999999997E-2"/>
    <n v="2310.4"/>
    <n v="2318.6"/>
    <n v="2335.1999999999998"/>
    <m/>
    <m/>
    <n v="459"/>
    <n v="459.2"/>
    <n v="0"/>
  </r>
  <r>
    <x v="47"/>
    <n v="1700"/>
    <n v="459.0641"/>
    <n v="4.3999999999999997E-2"/>
    <n v="452.4753"/>
    <n v="460.85109999999997"/>
    <n v="463.86590000000001"/>
    <n v="4.5999999999999999E-2"/>
    <n v="3.3000000000000002E-2"/>
    <n v="5.0999999999999997E-2"/>
    <n v="2310.4"/>
    <n v="2318.6"/>
    <n v="2335.1999999999998"/>
    <m/>
    <m/>
    <n v="459.1"/>
    <n v="459.2"/>
    <n v="0"/>
  </r>
  <r>
    <x v="47"/>
    <n v="1800"/>
    <n v="459.07440000000003"/>
    <n v="4.4999999999999998E-2"/>
    <n v="452.4898"/>
    <n v="460.85840000000002"/>
    <n v="463.87509999999997"/>
    <n v="5.0999999999999997E-2"/>
    <n v="3.5999999999999997E-2"/>
    <n v="4.8000000000000001E-2"/>
    <n v="2310.4"/>
    <n v="2318.6"/>
    <n v="2335.1999999999998"/>
    <m/>
    <m/>
    <n v="459.1"/>
    <n v="459.2"/>
    <n v="0"/>
  </r>
  <r>
    <x v="47"/>
    <n v="1900"/>
    <n v="459.072"/>
    <n v="4.4999999999999998E-2"/>
    <n v="452.488"/>
    <n v="460.85109999999997"/>
    <n v="463.87689999999998"/>
    <n v="0.05"/>
    <n v="3.7999999999999999E-2"/>
    <n v="4.7E-2"/>
    <n v="2310.6"/>
    <n v="2318.4"/>
    <n v="2335.1999999999998"/>
    <m/>
    <m/>
    <n v="459.1"/>
    <n v="459.2"/>
    <n v="0"/>
  </r>
  <r>
    <x v="47"/>
    <n v="2000"/>
    <n v="459.08049999999997"/>
    <n v="4.7E-2"/>
    <n v="452.4898"/>
    <n v="460.8657"/>
    <n v="463.8861"/>
    <n v="5.0999999999999997E-2"/>
    <n v="4.7E-2"/>
    <n v="4.1000000000000002E-2"/>
    <n v="2310.4"/>
    <n v="2318.6"/>
    <n v="2335.1999999999998"/>
    <m/>
    <m/>
    <n v="459.1"/>
    <n v="459.2"/>
    <n v="0"/>
  </r>
  <r>
    <x v="47"/>
    <n v="2100"/>
    <n v="459.1019"/>
    <n v="4.3999999999999997E-2"/>
    <n v="452.49709999999999"/>
    <n v="460.89870000000002"/>
    <n v="463.90989999999999"/>
    <n v="5.1999999999999998E-2"/>
    <n v="5.1999999999999998E-2"/>
    <n v="1.9E-2"/>
    <n v="2310.4"/>
    <n v="2318.8000000000002"/>
    <n v="2335.1999999999998"/>
    <m/>
    <m/>
    <n v="459.1"/>
    <n v="459.2"/>
    <n v="0"/>
  </r>
  <r>
    <x v="47"/>
    <n v="2200"/>
    <n v="459.11239999999998"/>
    <n v="4.2999999999999997E-2"/>
    <n v="452.45519999999999"/>
    <n v="460.928"/>
    <n v="463.95389999999998"/>
    <n v="3.3000000000000002E-2"/>
    <n v="4.1000000000000002E-2"/>
    <n v="5.1999999999999998E-2"/>
    <n v="2310.4"/>
    <n v="2318.8000000000002"/>
    <n v="2335.1999999999998"/>
    <m/>
    <m/>
    <n v="459.1"/>
    <n v="459.2"/>
    <n v="0"/>
  </r>
  <r>
    <x v="47"/>
    <n v="2300"/>
    <n v="459.14830000000001"/>
    <n v="4.2000000000000003E-2"/>
    <n v="452.52069999999998"/>
    <n v="460.9427"/>
    <n v="463.98140000000001"/>
    <n v="4.7E-2"/>
    <n v="0.03"/>
    <n v="4.7E-2"/>
    <n v="2310.6"/>
    <n v="2318.8000000000002"/>
    <n v="2335.4"/>
    <m/>
    <m/>
    <n v="459.1"/>
    <n v="459.2"/>
    <n v="0"/>
  </r>
  <r>
    <x v="47"/>
    <n v="2400"/>
    <n v="459.12709999999998"/>
    <n v="3.7999999999999999E-2"/>
    <n v="452.45710000000003"/>
    <n v="460.92619999999999"/>
    <n v="463.99799999999999"/>
    <n v="3.5000000000000003E-2"/>
    <n v="4.2999999999999997E-2"/>
    <n v="3.4000000000000002E-2"/>
    <n v="2310.4"/>
    <n v="2318.6"/>
    <n v="2335.1999999999998"/>
    <m/>
    <m/>
    <n v="459.1"/>
    <n v="459.2"/>
    <n v="0"/>
  </r>
  <r>
    <x v="48"/>
    <n v="100"/>
    <n v="459.13740000000001"/>
    <n v="4.3999999999999997E-2"/>
    <n v="452.488"/>
    <n v="460.90600000000001"/>
    <n v="464.01819999999998"/>
    <n v="0.05"/>
    <n v="5.0999999999999997E-2"/>
    <n v="2.7E-2"/>
    <n v="2310.4"/>
    <n v="2318.6"/>
    <n v="2335.4"/>
    <m/>
    <m/>
    <n v="459.1"/>
    <n v="459.2"/>
    <n v="0"/>
  </r>
  <r>
    <x v="48"/>
    <n v="200"/>
    <n v="459.19760000000002"/>
    <n v="4.4999999999999998E-2"/>
    <n v="452.57339999999999"/>
    <n v="460.99029999999999"/>
    <n v="464.0292"/>
    <n v="4.2000000000000003E-2"/>
    <n v="5.0999999999999997E-2"/>
    <n v="0.04"/>
    <n v="2310.6"/>
    <n v="2319"/>
    <n v="2335.4"/>
    <m/>
    <m/>
    <n v="459.2"/>
    <n v="459.2"/>
    <n v="0"/>
  </r>
  <r>
    <x v="48"/>
    <n v="300"/>
    <n v="459.20740000000001"/>
    <n v="4.1000000000000002E-2"/>
    <n v="452.58429999999998"/>
    <n v="461.02140000000003"/>
    <n v="464.0163"/>
    <n v="4.8000000000000001E-2"/>
    <n v="4.8000000000000001E-2"/>
    <n v="2.3E-2"/>
    <n v="2310.6"/>
    <n v="2319"/>
    <n v="2335.4"/>
    <m/>
    <m/>
    <n v="459.2"/>
    <n v="459.2"/>
    <n v="0"/>
  </r>
  <r>
    <x v="48"/>
    <n v="400"/>
    <n v="459.17079999999999"/>
    <n v="3.5000000000000003E-2"/>
    <n v="452.55160000000001"/>
    <n v="460.9665"/>
    <n v="463.99430000000001"/>
    <n v="2.7E-2"/>
    <n v="0.04"/>
    <n v="3.7999999999999999E-2"/>
    <n v="2310.6"/>
    <n v="2318.8000000000002"/>
    <n v="2335.1999999999998"/>
    <m/>
    <m/>
    <n v="459.2"/>
    <n v="459.2"/>
    <n v="0"/>
  </r>
  <r>
    <x v="48"/>
    <n v="500"/>
    <n v="459.1404"/>
    <n v="4.2999999999999997E-2"/>
    <n v="452.49160000000001"/>
    <n v="460.93720000000002"/>
    <n v="463.99250000000001"/>
    <n v="5.0999999999999997E-2"/>
    <n v="3.7999999999999999E-2"/>
    <n v="0.04"/>
    <n v="2310.4"/>
    <n v="2318.8000000000002"/>
    <n v="2335.4"/>
    <m/>
    <m/>
    <n v="459.1"/>
    <n v="459.2"/>
    <n v="0"/>
  </r>
  <r>
    <x v="48"/>
    <n v="600"/>
    <n v="459.08640000000003"/>
    <n v="3.9E-2"/>
    <n v="452.37720000000002"/>
    <n v="460.86939999999998"/>
    <n v="464.01260000000002"/>
    <n v="4.8000000000000001E-2"/>
    <n v="4.4999999999999998E-2"/>
    <n v="1.4E-2"/>
    <n v="2310.1999999999998"/>
    <n v="2318.6"/>
    <n v="2335.4"/>
    <m/>
    <m/>
    <n v="459.1"/>
    <n v="459.2"/>
    <n v="0"/>
  </r>
  <r>
    <x v="48"/>
    <n v="700"/>
    <n v="459.0967"/>
    <n v="4.1000000000000002E-2"/>
    <n v="452.40809999999999"/>
    <n v="460.85660000000001"/>
    <n v="464.02550000000002"/>
    <n v="0.05"/>
    <n v="3.4000000000000002E-2"/>
    <n v="3.5999999999999997E-2"/>
    <n v="2310.1999999999998"/>
    <n v="2318.6"/>
    <n v="2335.4"/>
    <m/>
    <m/>
    <n v="459.1"/>
    <n v="459.2"/>
    <n v="0"/>
  </r>
  <r>
    <x v="48"/>
    <n v="800"/>
    <n v="459.11250000000001"/>
    <n v="4.5999999999999999E-2"/>
    <n v="452.428"/>
    <n v="460.87670000000003"/>
    <n v="464.03289999999998"/>
    <n v="4.4999999999999998E-2"/>
    <n v="4.9000000000000002E-2"/>
    <n v="4.2999999999999997E-2"/>
    <n v="2310.4"/>
    <n v="2318.6"/>
    <n v="2335.4"/>
    <m/>
    <m/>
    <n v="459.1"/>
    <n v="459.2"/>
    <n v="0"/>
  </r>
  <r>
    <x v="48"/>
    <n v="900"/>
    <n v="459.16849999999999"/>
    <n v="4.2999999999999997E-2"/>
    <n v="452.51159999999999"/>
    <n v="460.96460000000002"/>
    <n v="464.0292"/>
    <n v="0.05"/>
    <n v="3.7999999999999999E-2"/>
    <n v="0.04"/>
    <n v="2310.4"/>
    <n v="2318.8000000000002"/>
    <n v="2335.6"/>
    <m/>
    <m/>
    <n v="459.2"/>
    <n v="459.2"/>
    <n v="0"/>
  </r>
  <r>
    <x v="48"/>
    <n v="1000"/>
    <n v="459.16250000000002"/>
    <n v="4.4999999999999998E-2"/>
    <n v="452.6388"/>
    <n v="460.97739999999999"/>
    <n v="463.87139999999999"/>
    <n v="3.7999999999999999E-2"/>
    <n v="4.7E-2"/>
    <n v="4.9000000000000002E-2"/>
    <n v="2310.8000000000002"/>
    <n v="2318.8000000000002"/>
    <n v="2335.1999999999998"/>
    <m/>
    <m/>
    <n v="459.2"/>
    <n v="459.2"/>
    <n v="0"/>
  </r>
  <r>
    <x v="48"/>
    <n v="1100"/>
    <n v="459.05709999999999"/>
    <n v="3.3000000000000002E-2"/>
    <n v="452.55160000000001"/>
    <n v="460.84739999999999"/>
    <n v="463.7724"/>
    <n v="1.9E-2"/>
    <n v="2.7E-2"/>
    <n v="4.7E-2"/>
    <n v="2310.6"/>
    <n v="2318.6"/>
    <n v="2335"/>
    <m/>
    <m/>
    <n v="459.1"/>
    <n v="459.2"/>
    <n v="0"/>
  </r>
  <r>
    <x v="48"/>
    <n v="1200"/>
    <n v="459.90109999999999"/>
    <n v="4.1000000000000002E-2"/>
    <n v="453.39819999999997"/>
    <n v="461.6866"/>
    <n v="464.61840000000001"/>
    <n v="4.3999999999999997E-2"/>
    <n v="3.7999999999999999E-2"/>
    <n v="4.1000000000000002E-2"/>
    <n v="2312.1999999999998"/>
    <n v="2320.4"/>
    <n v="2336.6"/>
    <m/>
    <m/>
    <n v="459.9"/>
    <n v="459.9"/>
    <n v="0.69999999999998863"/>
  </r>
  <r>
    <x v="48"/>
    <n v="1300"/>
    <n v="459.8091"/>
    <n v="4.8000000000000001E-2"/>
    <n v="453.30369999999999"/>
    <n v="461.5455"/>
    <n v="464.5779"/>
    <n v="4.5999999999999999E-2"/>
    <n v="4.7E-2"/>
    <n v="5.1999999999999998E-2"/>
    <n v="2312"/>
    <n v="2320"/>
    <n v="2336.4"/>
    <m/>
    <m/>
    <n v="459.8"/>
    <n v="459.9"/>
    <n v="0"/>
  </r>
  <r>
    <x v="48"/>
    <n v="1400"/>
    <n v="459.7937"/>
    <n v="4.8000000000000001E-2"/>
    <n v="453.31650000000002"/>
    <n v="461.50700000000001"/>
    <n v="464.55770000000001"/>
    <n v="0.05"/>
    <n v="0.05"/>
    <n v="4.3999999999999997E-2"/>
    <n v="2312.1999999999998"/>
    <n v="2320"/>
    <n v="2336.4"/>
    <m/>
    <m/>
    <n v="459.8"/>
    <n v="459.9"/>
    <n v="0"/>
  </r>
  <r>
    <x v="48"/>
    <n v="1500"/>
    <n v="459.8177"/>
    <n v="4.2999999999999997E-2"/>
    <n v="453.28739999999999"/>
    <n v="461.57839999999999"/>
    <n v="464.5872"/>
    <n v="4.5999999999999999E-2"/>
    <n v="2.7E-2"/>
    <n v="5.1999999999999998E-2"/>
    <n v="2312"/>
    <n v="2320"/>
    <n v="2336.4"/>
    <m/>
    <m/>
    <n v="459.8"/>
    <n v="459.9"/>
    <n v="0"/>
  </r>
  <r>
    <x v="48"/>
    <n v="1600"/>
    <n v="459.89229999999998"/>
    <n v="4.3999999999999997E-2"/>
    <n v="453.2765"/>
    <n v="461.73790000000002"/>
    <n v="464.66250000000002"/>
    <n v="3.4000000000000002E-2"/>
    <n v="5.1999999999999998E-2"/>
    <n v="4.3999999999999997E-2"/>
    <n v="2312"/>
    <n v="2320.4"/>
    <n v="2336.8000000000002"/>
    <m/>
    <m/>
    <n v="459.9"/>
    <n v="459.9"/>
    <n v="0"/>
  </r>
  <r>
    <x v="48"/>
    <n v="1700"/>
    <n v="459.95330000000001"/>
    <n v="4.2000000000000003E-2"/>
    <n v="453.31830000000002"/>
    <n v="461.80399999999997"/>
    <n v="464.73770000000002"/>
    <n v="5.0999999999999997E-2"/>
    <n v="4.5999999999999999E-2"/>
    <n v="2.3E-2"/>
    <n v="2312"/>
    <n v="2320.6"/>
    <n v="2336.8000000000002"/>
    <m/>
    <m/>
    <n v="460"/>
    <n v="460"/>
    <n v="0.10000000000002274"/>
  </r>
  <r>
    <x v="48"/>
    <n v="1800"/>
    <n v="459.9973"/>
    <n v="4.9000000000000002E-2"/>
    <n v="453.33460000000002"/>
    <n v="461.86630000000002"/>
    <n v="464.791"/>
    <n v="5.0999999999999997E-2"/>
    <n v="4.2999999999999997E-2"/>
    <n v="5.1999999999999998E-2"/>
    <n v="2312.1999999999998"/>
    <n v="2320.6"/>
    <n v="2337"/>
    <m/>
    <m/>
    <n v="460"/>
    <n v="460"/>
    <n v="0"/>
  </r>
  <r>
    <x v="48"/>
    <n v="1900"/>
    <n v="460.0301"/>
    <n v="4.2000000000000003E-2"/>
    <n v="453.40190000000001"/>
    <n v="461.87549999999999"/>
    <n v="464.81299999999999"/>
    <n v="4.2000000000000003E-2"/>
    <n v="3.4000000000000002E-2"/>
    <n v="4.9000000000000002E-2"/>
    <n v="2312.1999999999998"/>
    <n v="2320.6"/>
    <n v="2336.8000000000002"/>
    <m/>
    <m/>
    <n v="460"/>
    <n v="460"/>
    <n v="0"/>
  </r>
  <r>
    <x v="48"/>
    <n v="2000"/>
    <n v="460.05700000000002"/>
    <n v="4.2999999999999997E-2"/>
    <n v="453.43090000000001"/>
    <n v="461.9067"/>
    <n v="464.83319999999998"/>
    <n v="5.1999999999999998E-2"/>
    <n v="0.04"/>
    <n v="3.5999999999999997E-2"/>
    <n v="2312.1999999999998"/>
    <n v="2320.6"/>
    <n v="2337"/>
    <m/>
    <m/>
    <n v="460.1"/>
    <n v="460.1"/>
    <n v="0.10000000000002274"/>
  </r>
  <r>
    <x v="48"/>
    <n v="2100"/>
    <n v="460.04660000000001"/>
    <n v="4.3999999999999997E-2"/>
    <n v="453.41820000000001"/>
    <n v="461.90120000000002"/>
    <n v="464.82029999999997"/>
    <n v="0.05"/>
    <n v="3.4000000000000002E-2"/>
    <n v="4.5999999999999999E-2"/>
    <n v="2312.4"/>
    <n v="2320.6"/>
    <n v="2336.8000000000002"/>
    <m/>
    <m/>
    <n v="460"/>
    <n v="460.1"/>
    <n v="0"/>
  </r>
  <r>
    <x v="48"/>
    <n v="2200"/>
    <n v="460.04169999999999"/>
    <n v="4.4999999999999998E-2"/>
    <n v="453.40730000000002"/>
    <n v="461.90120000000002"/>
    <n v="464.81670000000003"/>
    <n v="0.05"/>
    <n v="3.4000000000000002E-2"/>
    <n v="4.8000000000000001E-2"/>
    <n v="2312.1999999999998"/>
    <n v="2320.6"/>
    <n v="2337"/>
    <m/>
    <m/>
    <n v="460"/>
    <n v="460.1"/>
    <n v="0"/>
  </r>
  <r>
    <x v="48"/>
    <n v="2300"/>
    <n v="460.0369"/>
    <n v="4.3999999999999997E-2"/>
    <n v="453.40550000000002"/>
    <n v="461.89749999999998"/>
    <n v="464.8075"/>
    <n v="4.9000000000000002E-2"/>
    <n v="0.03"/>
    <n v="5.0999999999999997E-2"/>
    <n v="2312.1999999999998"/>
    <n v="2320.6"/>
    <n v="2337"/>
    <m/>
    <m/>
    <n v="460"/>
    <n v="460.1"/>
    <n v="0"/>
  </r>
  <r>
    <x v="48"/>
    <n v="2400"/>
    <n v="460.03070000000002"/>
    <n v="4.3999999999999997E-2"/>
    <n v="453.40550000000002"/>
    <n v="461.89019999999999"/>
    <n v="464.79649999999998"/>
    <n v="4.4999999999999998E-2"/>
    <n v="3.1E-2"/>
    <n v="5.1999999999999998E-2"/>
    <n v="2312.1999999999998"/>
    <n v="2320.6"/>
    <n v="2336.8000000000002"/>
    <m/>
    <m/>
    <n v="460"/>
    <n v="460.1"/>
    <n v="0"/>
  </r>
  <r>
    <x v="49"/>
    <n v="100"/>
    <n v="460.03379999999999"/>
    <n v="4.3999999999999997E-2"/>
    <n v="453.40910000000002"/>
    <n v="461.89019999999999"/>
    <n v="464.80200000000002"/>
    <n v="4.7E-2"/>
    <n v="3.1E-2"/>
    <n v="5.1999999999999998E-2"/>
    <n v="2312.1999999999998"/>
    <n v="2320.6"/>
    <n v="2336.8000000000002"/>
    <m/>
    <m/>
    <n v="460"/>
    <n v="460.1"/>
    <n v="0"/>
  </r>
  <r>
    <x v="49"/>
    <n v="200"/>
    <n v="460.03680000000003"/>
    <n v="4.1000000000000002E-2"/>
    <n v="453.40730000000002"/>
    <n v="461.892"/>
    <n v="464.81119999999999"/>
    <n v="4.5999999999999999E-2"/>
    <n v="1.9E-2"/>
    <n v="0.05"/>
    <n v="2312.1999999999998"/>
    <n v="2320.6"/>
    <n v="2337"/>
    <m/>
    <m/>
    <n v="460"/>
    <n v="460.1"/>
    <n v="0"/>
  </r>
  <r>
    <x v="49"/>
    <n v="300"/>
    <n v="460.04599999999999"/>
    <n v="4.2999999999999997E-2"/>
    <n v="453.41820000000001"/>
    <n v="461.89940000000001"/>
    <n v="464.82029999999997"/>
    <n v="0.05"/>
    <n v="3.2000000000000001E-2"/>
    <n v="4.5999999999999999E-2"/>
    <n v="2312.4"/>
    <n v="2320.6"/>
    <n v="2337"/>
    <m/>
    <m/>
    <n v="460"/>
    <n v="460.1"/>
    <n v="0"/>
  </r>
  <r>
    <x v="49"/>
    <n v="400"/>
    <n v="460.06360000000001"/>
    <n v="4.3999999999999997E-2"/>
    <n v="453.44369999999998"/>
    <n v="461.91399999999999"/>
    <n v="464.83319999999998"/>
    <n v="0.05"/>
    <n v="4.4999999999999998E-2"/>
    <n v="3.5999999999999997E-2"/>
    <n v="2312.1999999999998"/>
    <n v="2320.6"/>
    <n v="2337"/>
    <m/>
    <m/>
    <n v="460.1"/>
    <n v="460.1"/>
    <n v="0"/>
  </r>
  <r>
    <x v="49"/>
    <n v="500"/>
    <n v="460.33620000000002"/>
    <n v="4.8000000000000001E-2"/>
    <n v="453.70370000000003"/>
    <n v="462.19080000000002"/>
    <n v="465.11419999999998"/>
    <n v="4.8000000000000001E-2"/>
    <n v="4.2000000000000003E-2"/>
    <n v="5.1999999999999998E-2"/>
    <n v="2312.8000000000002"/>
    <n v="2321.1999999999998"/>
    <n v="2337.6"/>
    <m/>
    <m/>
    <n v="460.3"/>
    <n v="460.3"/>
    <n v="0.19999999999998863"/>
  </r>
  <r>
    <x v="49"/>
    <n v="600"/>
    <n v="460.51190000000003"/>
    <n v="4.8000000000000001E-2"/>
    <n v="453.87459999999999"/>
    <n v="462.36329999999998"/>
    <n v="465.29790000000003"/>
    <n v="4.2999999999999997E-2"/>
    <n v="5.1999999999999998E-2"/>
    <n v="4.8000000000000001E-2"/>
    <n v="2313.1999999999998"/>
    <n v="2321.6"/>
    <n v="2337.8000000000002"/>
    <m/>
    <m/>
    <n v="460.5"/>
    <n v="460.5"/>
    <n v="0.19999999999998863"/>
  </r>
  <r>
    <x v="49"/>
    <n v="700"/>
    <n v="460.51740000000001"/>
    <n v="4.8000000000000001E-2"/>
    <n v="453.87459999999999"/>
    <n v="462.37060000000002"/>
    <n v="465.30709999999999"/>
    <n v="4.2999999999999997E-2"/>
    <n v="5.0999999999999997E-2"/>
    <n v="5.0999999999999997E-2"/>
    <n v="2313.1999999999998"/>
    <n v="2321.6"/>
    <n v="2337.8000000000002"/>
    <m/>
    <m/>
    <n v="460.5"/>
    <n v="460.5"/>
    <n v="0"/>
  </r>
  <r>
    <x v="49"/>
    <n v="800"/>
    <n v="460.52710000000002"/>
    <n v="4.7E-2"/>
    <n v="453.90010000000001"/>
    <n v="462.36509999999998"/>
    <n v="465.31630000000001"/>
    <n v="3.5999999999999997E-2"/>
    <n v="5.1999999999999998E-2"/>
    <n v="5.1999999999999998E-2"/>
    <n v="2313.1999999999998"/>
    <n v="2321.6"/>
    <n v="2337.8000000000002"/>
    <m/>
    <m/>
    <n v="460.5"/>
    <n v="460.5"/>
    <n v="0"/>
  </r>
  <r>
    <x v="49"/>
    <n v="900"/>
    <n v="460.53379999999999"/>
    <n v="4.7E-2"/>
    <n v="453.911"/>
    <n v="462.36689999999999"/>
    <n v="465.3236"/>
    <n v="3.4000000000000002E-2"/>
    <n v="5.1999999999999998E-2"/>
    <n v="5.1999999999999998E-2"/>
    <n v="2313.1999999999998"/>
    <n v="2321.6"/>
    <n v="2338"/>
    <m/>
    <m/>
    <n v="460.5"/>
    <n v="460.5"/>
    <n v="0"/>
  </r>
  <r>
    <x v="49"/>
    <n v="1000"/>
    <n v="460.52289999999999"/>
    <n v="4.4999999999999998E-2"/>
    <n v="453.90370000000001"/>
    <n v="462.3578"/>
    <n v="465.30709999999999"/>
    <n v="0.03"/>
    <n v="5.1999999999999998E-2"/>
    <n v="5.0999999999999997E-2"/>
    <n v="2313.1999999999998"/>
    <n v="2321.4"/>
    <n v="2337.8000000000002"/>
    <m/>
    <m/>
    <n v="460.5"/>
    <n v="460.5"/>
    <n v="0"/>
  </r>
  <r>
    <x v="49"/>
    <n v="1100"/>
    <n v="460.50330000000002"/>
    <n v="4.4999999999999998E-2"/>
    <n v="453.87819999999999"/>
    <n v="462.33760000000001"/>
    <n v="465.29419999999999"/>
    <n v="4.1000000000000002E-2"/>
    <n v="4.8000000000000001E-2"/>
    <n v="4.5999999999999999E-2"/>
    <n v="2313.1999999999998"/>
    <n v="2321.4"/>
    <n v="2338"/>
    <m/>
    <m/>
    <n v="460.5"/>
    <n v="460.5"/>
    <n v="0"/>
  </r>
  <r>
    <x v="49"/>
    <n v="1200"/>
    <n v="460.4948"/>
    <n v="4.7E-2"/>
    <n v="453.86"/>
    <n v="462.33580000000001"/>
    <n v="465.28870000000001"/>
    <n v="0.05"/>
    <n v="4.7E-2"/>
    <n v="4.2999999999999997E-2"/>
    <n v="2313"/>
    <n v="2321.4"/>
    <n v="2338"/>
    <m/>
    <m/>
    <n v="460.5"/>
    <n v="460.5"/>
    <n v="0"/>
  </r>
  <r>
    <x v="49"/>
    <n v="1300"/>
    <n v="460.4973"/>
    <n v="4.9000000000000002E-2"/>
    <n v="453.85640000000001"/>
    <n v="462.34120000000001"/>
    <n v="465.29419999999999"/>
    <n v="5.0999999999999997E-2"/>
    <n v="4.9000000000000002E-2"/>
    <n v="4.5999999999999999E-2"/>
    <n v="2313.1999999999998"/>
    <n v="2321.4"/>
    <n v="2337.8000000000002"/>
    <m/>
    <m/>
    <n v="460.5"/>
    <n v="460.5"/>
    <n v="0"/>
  </r>
  <r>
    <x v="49"/>
    <n v="1400"/>
    <n v="460.51310000000001"/>
    <n v="4.9000000000000002E-2"/>
    <n v="453.87819999999999"/>
    <n v="462.35039999999998"/>
    <n v="465.3107"/>
    <n v="4.1000000000000002E-2"/>
    <n v="5.1999999999999998E-2"/>
    <n v="5.1999999999999998E-2"/>
    <n v="2313.1999999999998"/>
    <n v="2321.6"/>
    <n v="2337.8000000000002"/>
    <m/>
    <m/>
    <n v="460.5"/>
    <n v="460.5"/>
    <n v="0"/>
  </r>
  <r>
    <x v="49"/>
    <n v="1500"/>
    <n v="460.52780000000001"/>
    <n v="4.7E-2"/>
    <n v="453.88369999999998"/>
    <n v="462.36880000000002"/>
    <n v="465.33089999999999"/>
    <n v="3.5999999999999997E-2"/>
    <n v="5.0999999999999997E-2"/>
    <n v="5.0999999999999997E-2"/>
    <n v="2313.1999999999998"/>
    <n v="2321.4"/>
    <n v="2337.8000000000002"/>
    <m/>
    <m/>
    <n v="460.5"/>
    <n v="460.5"/>
    <n v="0"/>
  </r>
  <r>
    <x v="49"/>
    <n v="1600"/>
    <n v="460.53949999999998"/>
    <n v="4.1000000000000002E-2"/>
    <n v="453.88549999999998"/>
    <n v="462.38350000000003"/>
    <n v="465.34930000000003"/>
    <n v="3.4000000000000002E-2"/>
    <n v="4.5999999999999999E-2"/>
    <n v="4.2999999999999997E-2"/>
    <n v="2313.1999999999998"/>
    <n v="2321.6"/>
    <n v="2338"/>
    <m/>
    <m/>
    <n v="460.5"/>
    <n v="460.5"/>
    <n v="0"/>
  </r>
  <r>
    <x v="49"/>
    <n v="1700"/>
    <n v="460.55829999999997"/>
    <n v="3.1E-2"/>
    <n v="453.911"/>
    <n v="462.39819999999997"/>
    <n v="465.36579999999998"/>
    <n v="3.4000000000000002E-2"/>
    <n v="3.4000000000000002E-2"/>
    <n v="2.3E-2"/>
    <n v="2313.1999999999998"/>
    <n v="2321.4"/>
    <n v="2338"/>
    <m/>
    <m/>
    <n v="460.6"/>
    <n v="460.6"/>
    <n v="0.10000000000002274"/>
  </r>
  <r>
    <x v="49"/>
    <n v="1800"/>
    <n v="460.57049999999998"/>
    <n v="0.03"/>
    <n v="453.92009999999999"/>
    <n v="462.411"/>
    <n v="465.38049999999998"/>
    <n v="4.2000000000000003E-2"/>
    <n v="0"/>
    <n v="0.03"/>
    <n v="2313.1999999999998"/>
    <n v="2321.6"/>
    <n v="2338"/>
    <m/>
    <m/>
    <n v="460.6"/>
    <n v="460.6"/>
    <n v="0"/>
  </r>
  <r>
    <x v="49"/>
    <n v="1900"/>
    <n v="460.57850000000002"/>
    <n v="0.04"/>
    <n v="453.93279999999999"/>
    <n v="462.411"/>
    <n v="465.39150000000001"/>
    <n v="4.9000000000000002E-2"/>
    <n v="2.8000000000000001E-2"/>
    <n v="4.1000000000000002E-2"/>
    <n v="2313.1999999999998"/>
    <n v="2321.6"/>
    <n v="2338"/>
    <m/>
    <m/>
    <n v="460.6"/>
    <n v="460.6"/>
    <n v="0"/>
  </r>
  <r>
    <x v="49"/>
    <n v="2000"/>
    <n v="460.584"/>
    <n v="4.2000000000000003E-2"/>
    <n v="453.93279999999999"/>
    <n v="462.42020000000002"/>
    <n v="465.39890000000003"/>
    <n v="4.9000000000000002E-2"/>
    <n v="0.03"/>
    <n v="4.5999999999999999E-2"/>
    <n v="2313.4"/>
    <n v="2321.6"/>
    <n v="2338"/>
    <m/>
    <m/>
    <n v="460.6"/>
    <n v="460.6"/>
    <n v="0"/>
  </r>
  <r>
    <x v="49"/>
    <n v="2100"/>
    <n v="460.58699999999999"/>
    <n v="4.4999999999999998E-2"/>
    <n v="453.93639999999999"/>
    <n v="462.42020000000002"/>
    <n v="465.40440000000001"/>
    <n v="0.05"/>
    <n v="3.5000000000000003E-2"/>
    <n v="4.9000000000000002E-2"/>
    <n v="2313.1999999999998"/>
    <n v="2321.6"/>
    <n v="2338.1999999999998"/>
    <m/>
    <m/>
    <n v="460.6"/>
    <n v="460.6"/>
    <n v="0"/>
  </r>
  <r>
    <x v="49"/>
    <n v="2200"/>
    <n v="460.57740000000001"/>
    <n v="0.04"/>
    <n v="453.89280000000002"/>
    <n v="462.42570000000001"/>
    <n v="465.41359999999997"/>
    <n v="0.03"/>
    <n v="3.5999999999999997E-2"/>
    <n v="5.0999999999999997E-2"/>
    <n v="2313.1999999999998"/>
    <n v="2321.6"/>
    <n v="2338.1999999999998"/>
    <m/>
    <m/>
    <n v="460.6"/>
    <n v="460.6"/>
    <n v="0"/>
  </r>
  <r>
    <x v="49"/>
    <n v="2300"/>
    <n v="460.5061"/>
    <n v="3.9E-2"/>
    <n v="453.78"/>
    <n v="462.31189999999998"/>
    <n v="465.4264"/>
    <n v="3.5999999999999997E-2"/>
    <n v="2.3E-2"/>
    <n v="5.1999999999999998E-2"/>
    <n v="2313"/>
    <n v="2321.4"/>
    <n v="2338"/>
    <m/>
    <m/>
    <n v="460.5"/>
    <n v="460.6"/>
    <n v="0"/>
  </r>
  <r>
    <x v="49"/>
    <n v="2400"/>
    <n v="460.45890000000003"/>
    <n v="4.4999999999999998E-2"/>
    <n v="453.63639999999998"/>
    <n v="462.28989999999999"/>
    <n v="465.45030000000003"/>
    <n v="5.1999999999999998E-2"/>
    <n v="3.7999999999999999E-2"/>
    <n v="4.4999999999999998E-2"/>
    <n v="2312.6"/>
    <n v="2321.4"/>
    <n v="2338.1999999999998"/>
    <m/>
    <m/>
    <n v="460.5"/>
    <n v="460.6"/>
    <n v="0"/>
  </r>
  <r>
    <x v="50"/>
    <n v="100"/>
    <n v="460.60300000000001"/>
    <n v="4.1000000000000002E-2"/>
    <n v="453.9128"/>
    <n v="462.43849999999998"/>
    <n v="465.45760000000001"/>
    <n v="3.5999999999999997E-2"/>
    <n v="4.5999999999999999E-2"/>
    <n v="0.04"/>
    <n v="2313.1999999999998"/>
    <n v="2321.6"/>
    <n v="2338"/>
    <m/>
    <m/>
    <n v="460.6"/>
    <n v="460.6"/>
    <n v="0"/>
  </r>
  <r>
    <x v="50"/>
    <n v="200"/>
    <n v="460.56279999999998"/>
    <n v="4.4999999999999998E-2"/>
    <n v="453.84550000000002"/>
    <n v="462.37979999999999"/>
    <n v="465.46319999999997"/>
    <n v="5.1999999999999998E-2"/>
    <n v="4.8000000000000001E-2"/>
    <n v="3.4000000000000002E-2"/>
    <n v="2313"/>
    <n v="2321.6"/>
    <n v="2338.1999999999998"/>
    <m/>
    <m/>
    <n v="460.6"/>
    <n v="460.6"/>
    <n v="0"/>
  </r>
  <r>
    <x v="50"/>
    <n v="300"/>
    <n v="460.58600000000001"/>
    <n v="3.6999999999999998E-2"/>
    <n v="453.8546"/>
    <n v="462.42570000000001"/>
    <n v="465.4778"/>
    <n v="5.0999999999999997E-2"/>
    <n v="3.5999999999999997E-2"/>
    <n v="1.4E-2"/>
    <n v="2313"/>
    <n v="2321.6"/>
    <n v="2338.1999999999998"/>
    <m/>
    <m/>
    <n v="460.6"/>
    <n v="460.6"/>
    <n v="0"/>
  </r>
  <r>
    <x v="50"/>
    <n v="400"/>
    <n v="460.56470000000002"/>
    <n v="4.5999999999999999E-2"/>
    <n v="453.84550000000002"/>
    <n v="462.36329999999998"/>
    <n v="465.48520000000002"/>
    <n v="5.1999999999999998E-2"/>
    <n v="5.1999999999999998E-2"/>
    <n v="0.03"/>
    <n v="2313.1999999999998"/>
    <n v="2321.4"/>
    <n v="2338.1999999999998"/>
    <m/>
    <m/>
    <n v="460.6"/>
    <n v="460.6"/>
    <n v="0"/>
  </r>
  <r>
    <x v="50"/>
    <n v="500"/>
    <n v="460.5822"/>
    <n v="4.3999999999999997E-2"/>
    <n v="453.85570000000001"/>
    <n v="462.39420000000001"/>
    <n v="465.4966"/>
    <n v="5.0999999999999997E-2"/>
    <n v="3.7999999999999999E-2"/>
    <n v="4.2000000000000003E-2"/>
    <n v="2313.1999999999998"/>
    <n v="2321.6"/>
    <n v="2338.1999999999998"/>
    <m/>
    <m/>
    <n v="460.6"/>
    <n v="460.6"/>
    <n v="0"/>
  </r>
  <r>
    <x v="50"/>
    <n v="600"/>
    <n v="460.57350000000002"/>
    <n v="5.1999999999999998E-2"/>
    <n v="453.8501"/>
    <n v="462.35489999999999"/>
    <n v="465.51530000000002"/>
    <n v="5.1999999999999998E-2"/>
    <n v="5.1999999999999998E-2"/>
    <n v="5.0999999999999997E-2"/>
    <n v="2313.1999999999998"/>
    <n v="2321.4"/>
    <n v="2338.4"/>
    <m/>
    <m/>
    <n v="460.6"/>
    <n v="460.6"/>
    <n v="0"/>
  </r>
  <r>
    <x v="50"/>
    <n v="700"/>
    <n v="460.57650000000001"/>
    <n v="4.9000000000000002E-2"/>
    <n v="453.86489999999998"/>
    <n v="462.3381"/>
    <n v="465.5265"/>
    <n v="4.8000000000000001E-2"/>
    <n v="4.8000000000000001E-2"/>
    <n v="5.1999999999999998E-2"/>
    <n v="2313.1999999999998"/>
    <n v="2321.4"/>
    <n v="2338.1999999999998"/>
    <m/>
    <m/>
    <n v="460.6"/>
    <n v="460.6"/>
    <n v="0"/>
  </r>
  <r>
    <x v="50"/>
    <n v="800"/>
    <n v="460.58580000000001"/>
    <n v="0.05"/>
    <n v="453.86860000000001"/>
    <n v="462.36059999999998"/>
    <n v="465.52839999999998"/>
    <n v="4.7E-2"/>
    <n v="5.1999999999999998E-2"/>
    <n v="5.1999999999999998E-2"/>
    <n v="2313.1999999999998"/>
    <n v="2321.4"/>
    <n v="2338.4"/>
    <m/>
    <m/>
    <n v="460.6"/>
    <n v="460.6"/>
    <n v="0"/>
  </r>
  <r>
    <x v="50"/>
    <n v="900"/>
    <n v="460.6902"/>
    <n v="4.2000000000000003E-2"/>
    <n v="454.00549999999998"/>
    <n v="462.56139999999999"/>
    <n v="465.50360000000001"/>
    <n v="1.9E-2"/>
    <n v="5.1999999999999998E-2"/>
    <n v="4.5999999999999999E-2"/>
    <n v="2313.4"/>
    <n v="2322"/>
    <n v="2338.4"/>
    <m/>
    <m/>
    <n v="460.7"/>
    <n v="460.7"/>
    <n v="9.9999999999965894E-2"/>
  </r>
  <r>
    <x v="50"/>
    <n v="1000"/>
    <n v="460.6173"/>
    <n v="4.3999999999999997E-2"/>
    <n v="454.02730000000003"/>
    <n v="462.46600000000001"/>
    <n v="465.35849999999999"/>
    <n v="4.4999999999999998E-2"/>
    <n v="5.1999999999999998E-2"/>
    <n v="3.4000000000000002E-2"/>
    <n v="2313.6"/>
    <n v="2321.8000000000002"/>
    <n v="2338"/>
    <m/>
    <m/>
    <n v="460.6"/>
    <n v="460.7"/>
    <n v="0"/>
  </r>
  <r>
    <x v="50"/>
    <n v="1100"/>
    <n v="460.6635"/>
    <n v="4.9000000000000002E-2"/>
    <n v="454.12560000000002"/>
    <n v="462.4477"/>
    <n v="465.41719999999998"/>
    <n v="4.4999999999999998E-2"/>
    <n v="0.05"/>
    <n v="5.1999999999999998E-2"/>
    <n v="2313.6"/>
    <n v="2321.6"/>
    <n v="2338.1999999999998"/>
    <m/>
    <m/>
    <n v="460.7"/>
    <n v="460.7"/>
    <n v="0"/>
  </r>
  <r>
    <x v="50"/>
    <n v="1200"/>
    <n v="460.7484"/>
    <n v="4.8000000000000001E-2"/>
    <n v="454.17469999999997"/>
    <n v="462.53570000000002"/>
    <n v="465.53480000000002"/>
    <n v="4.9000000000000002E-2"/>
    <n v="4.1000000000000002E-2"/>
    <n v="5.1999999999999998E-2"/>
    <n v="2313.8000000000002"/>
    <n v="2321.8000000000002"/>
    <n v="2338.4"/>
    <m/>
    <m/>
    <n v="460.7"/>
    <n v="460.7"/>
    <n v="0"/>
  </r>
  <r>
    <x v="50"/>
    <n v="1300"/>
    <n v="460.78579999999999"/>
    <n v="4.2000000000000003E-2"/>
    <n v="454.16199999999998"/>
    <n v="462.60359999999997"/>
    <n v="465.59179999999998"/>
    <n v="5.1999999999999998E-2"/>
    <n v="3.7999999999999999E-2"/>
    <n v="3.2000000000000001E-2"/>
    <n v="2313.8000000000002"/>
    <n v="2321.8000000000002"/>
    <n v="2338.4"/>
    <m/>
    <m/>
    <n v="460.8"/>
    <n v="460.8"/>
    <n v="0.10000000000002274"/>
  </r>
  <r>
    <x v="50"/>
    <n v="1400"/>
    <n v="460.81270000000001"/>
    <n v="4.5999999999999999E-2"/>
    <n v="454.18200000000002"/>
    <n v="462.63839999999999"/>
    <n v="465.61750000000001"/>
    <n v="4.5999999999999999E-2"/>
    <n v="0.04"/>
    <n v="0.05"/>
    <n v="2313.8000000000002"/>
    <n v="2322"/>
    <n v="2338.6"/>
    <m/>
    <m/>
    <n v="460.8"/>
    <n v="460.8"/>
    <n v="0"/>
  </r>
  <r>
    <x v="50"/>
    <n v="1500"/>
    <n v="460.85539999999997"/>
    <n v="4.2999999999999997E-2"/>
    <n v="454.21660000000003"/>
    <n v="462.69900000000001"/>
    <n v="465.6506"/>
    <n v="3.3000000000000002E-2"/>
    <n v="4.4999999999999998E-2"/>
    <n v="4.9000000000000002E-2"/>
    <n v="2313.8000000000002"/>
    <n v="2322.1999999999998"/>
    <n v="2338.6"/>
    <m/>
    <m/>
    <n v="460.9"/>
    <n v="460.9"/>
    <n v="9.9999999999965894E-2"/>
  </r>
  <r>
    <x v="50"/>
    <n v="1600"/>
    <n v="460.88229999999999"/>
    <n v="3.2000000000000001E-2"/>
    <n v="454.22019999999998"/>
    <n v="462.73570000000001"/>
    <n v="465.69110000000001"/>
    <n v="3.2000000000000001E-2"/>
    <n v="3.2000000000000001E-2"/>
    <n v="3.1E-2"/>
    <n v="2313.8000000000002"/>
    <n v="2322.1999999999998"/>
    <n v="2338.6"/>
    <m/>
    <m/>
    <n v="460.9"/>
    <n v="460.9"/>
    <n v="0"/>
  </r>
  <r>
    <x v="50"/>
    <n v="1700"/>
    <n v="460.90109999999999"/>
    <n v="4.1000000000000002E-2"/>
    <n v="454.26929999999999"/>
    <n v="462.74119999999999"/>
    <n v="465.69290000000001"/>
    <n v="5.0999999999999997E-2"/>
    <n v="3.7999999999999999E-2"/>
    <n v="3.3000000000000002E-2"/>
    <n v="2314"/>
    <n v="2322.1999999999998"/>
    <n v="2338.6"/>
    <m/>
    <m/>
    <n v="460.9"/>
    <n v="460.9"/>
    <n v="0"/>
  </r>
  <r>
    <x v="50"/>
    <n v="1800"/>
    <n v="461.13490000000002"/>
    <n v="4.8000000000000001E-2"/>
    <n v="454.49849999999998"/>
    <n v="462.97800000000001"/>
    <n v="465.92809999999997"/>
    <n v="4.2000000000000003E-2"/>
    <n v="5.1999999999999998E-2"/>
    <n v="4.9000000000000002E-2"/>
    <n v="2314.4"/>
    <n v="2322.8000000000002"/>
    <n v="2339.1999999999998"/>
    <m/>
    <m/>
    <n v="461.1"/>
    <n v="461.1"/>
    <n v="0.20000000000004547"/>
  </r>
  <r>
    <x v="50"/>
    <n v="1900"/>
    <n v="461.5566"/>
    <n v="4.9000000000000002E-2"/>
    <n v="454.90980000000002"/>
    <n v="463.40559999999999"/>
    <n v="466.3546"/>
    <n v="4.4999999999999998E-2"/>
    <n v="5.1999999999999998E-2"/>
    <n v="5.0999999999999997E-2"/>
    <n v="2315.1999999999998"/>
    <n v="2323.6"/>
    <n v="2340"/>
    <m/>
    <m/>
    <n v="461.6"/>
    <n v="461.6"/>
    <n v="0.5"/>
  </r>
  <r>
    <x v="50"/>
    <n v="2000"/>
    <n v="461.95909999999998"/>
    <n v="0.05"/>
    <n v="455.303"/>
    <n v="463.81330000000003"/>
    <n v="466.76100000000002"/>
    <n v="5.1999999999999998E-2"/>
    <n v="5.0999999999999997E-2"/>
    <n v="4.5999999999999999E-2"/>
    <n v="2316"/>
    <n v="2324.4"/>
    <n v="2340.6"/>
    <m/>
    <m/>
    <n v="462"/>
    <n v="462"/>
    <n v="0.39999999999997726"/>
  </r>
  <r>
    <x v="50"/>
    <n v="2100"/>
    <n v="462.76490000000001"/>
    <n v="5.1999999999999998E-2"/>
    <n v="456.1044"/>
    <n v="464.62349999999998"/>
    <n v="467.56689999999998"/>
    <n v="5.2999999999999999E-2"/>
    <n v="5.3999999999999999E-2"/>
    <n v="0.05"/>
    <n v="2317.4"/>
    <n v="2326"/>
    <n v="2342.1999999999998"/>
    <m/>
    <m/>
    <n v="462.8"/>
    <n v="462.8"/>
    <n v="0.80000000000001137"/>
  </r>
  <r>
    <x v="50"/>
    <n v="2200"/>
    <n v="463.54199999999997"/>
    <n v="4.8000000000000001E-2"/>
    <n v="456.90280000000001"/>
    <n v="465.4049"/>
    <n v="468.31819999999999"/>
    <n v="4.4999999999999998E-2"/>
    <n v="5.0999999999999997E-2"/>
    <n v="4.7E-2"/>
    <n v="2319"/>
    <n v="2327.4"/>
    <n v="2343.6"/>
    <m/>
    <m/>
    <n v="463.5"/>
    <n v="463.5"/>
    <n v="0.69999999999998863"/>
  </r>
  <r>
    <x v="50"/>
    <n v="2300"/>
    <n v="463.75420000000003"/>
    <n v="4.5999999999999999E-2"/>
    <n v="457.1234"/>
    <n v="465.60919999999999"/>
    <n v="468.5299"/>
    <n v="5.0999999999999997E-2"/>
    <n v="5.1999999999999998E-2"/>
    <n v="3.4000000000000002E-2"/>
    <n v="2319.4"/>
    <n v="2327.6"/>
    <n v="2344"/>
    <m/>
    <m/>
    <n v="463.8"/>
    <n v="463.8"/>
    <n v="0.30000000000001137"/>
  </r>
  <r>
    <x v="50"/>
    <n v="2400"/>
    <n v="463.90469999999999"/>
    <n v="4.8000000000000001E-2"/>
    <n v="457.25850000000003"/>
    <n v="465.77100000000002"/>
    <n v="468.68470000000002"/>
    <n v="0.05"/>
    <n v="4.1000000000000002E-2"/>
    <n v="5.1999999999999998E-2"/>
    <n v="2319.6"/>
    <n v="2328"/>
    <n v="2344.4"/>
    <m/>
    <m/>
    <n v="463.9"/>
    <n v="463.9"/>
    <n v="9.9999999999965894E-2"/>
  </r>
  <r>
    <x v="51"/>
    <n v="100"/>
    <n v="463.94869999999997"/>
    <n v="4.2000000000000003E-2"/>
    <n v="457.30399999999997"/>
    <n v="465.81330000000003"/>
    <n v="468.72890000000001"/>
    <n v="4.4999999999999998E-2"/>
    <n v="5.1999999999999998E-2"/>
    <n v="2.4E-2"/>
    <n v="2319.8000000000002"/>
    <n v="2328"/>
    <n v="2344.4"/>
    <m/>
    <m/>
    <n v="463.9"/>
    <n v="463.9"/>
    <n v="0"/>
  </r>
  <r>
    <x v="51"/>
    <n v="200"/>
    <n v="464.06560000000002"/>
    <n v="4.2999999999999997E-2"/>
    <n v="457.43169999999998"/>
    <n v="465.92180000000002"/>
    <n v="468.84320000000002"/>
    <n v="3.9E-2"/>
    <n v="5.1999999999999998E-2"/>
    <n v="3.7999999999999999E-2"/>
    <n v="2320.1999999999998"/>
    <n v="2328.4"/>
    <n v="2344.6"/>
    <m/>
    <m/>
    <n v="464.1"/>
    <n v="464.1"/>
    <n v="0.20000000000004547"/>
  </r>
  <r>
    <x v="51"/>
    <n v="300"/>
    <n v="464.23450000000003"/>
    <n v="4.2000000000000003E-2"/>
    <n v="457.6087"/>
    <n v="466.08569999999997"/>
    <n v="469.00900000000001"/>
    <n v="4.5999999999999999E-2"/>
    <n v="0.03"/>
    <n v="4.9000000000000002E-2"/>
    <n v="2320.4"/>
    <n v="2328.6"/>
    <n v="2344.8000000000002"/>
    <m/>
    <m/>
    <n v="464.2"/>
    <n v="464.2"/>
    <n v="9.9999999999965894E-2"/>
  </r>
  <r>
    <x v="51"/>
    <n v="400"/>
    <n v="464.31779999999998"/>
    <n v="4.2999999999999997E-2"/>
    <n v="457.66890000000001"/>
    <n v="466.17399999999998"/>
    <n v="469.11040000000003"/>
    <n v="4.8000000000000001E-2"/>
    <n v="2.7E-2"/>
    <n v="0.05"/>
    <n v="2320.4"/>
    <n v="2328.8000000000002"/>
    <n v="2345.1999999999998"/>
    <m/>
    <m/>
    <n v="464.3"/>
    <n v="464.3"/>
    <n v="0.10000000000002274"/>
  </r>
  <r>
    <x v="51"/>
    <n v="500"/>
    <n v="464.33550000000002"/>
    <n v="4.2999999999999997E-2"/>
    <n v="457.69080000000002"/>
    <n v="466.18880000000001"/>
    <n v="469.12689999999998"/>
    <n v="5.1999999999999998E-2"/>
    <n v="3.3000000000000002E-2"/>
    <n v="4.1000000000000002E-2"/>
    <n v="2320.4"/>
    <n v="2328.8000000000002"/>
    <n v="2345.1999999999998"/>
    <m/>
    <m/>
    <n v="464.3"/>
    <n v="464.3"/>
    <n v="0"/>
  </r>
  <r>
    <x v="51"/>
    <n v="600"/>
    <n v="464.34230000000002"/>
    <n v="4.2999999999999997E-2"/>
    <n v="457.68900000000002"/>
    <n v="466.19979999999998"/>
    <n v="469.13799999999998"/>
    <n v="5.1999999999999998E-2"/>
    <n v="0.04"/>
    <n v="3.5999999999999997E-2"/>
    <n v="2320.4"/>
    <n v="2328.8000000000002"/>
    <n v="2345.1999999999998"/>
    <m/>
    <m/>
    <n v="464.3"/>
    <n v="464.3"/>
    <n v="0"/>
  </r>
  <r>
    <x v="51"/>
    <n v="700"/>
    <n v="464.40839999999997"/>
    <n v="3.5000000000000003E-2"/>
    <n v="457.73829999999998"/>
    <n v="466.2826"/>
    <n v="469.20429999999999"/>
    <n v="2.4E-2"/>
    <n v="1.9E-2"/>
    <n v="5.1999999999999998E-2"/>
    <n v="2320.6"/>
    <n v="2329"/>
    <n v="2345.1999999999998"/>
    <m/>
    <m/>
    <n v="464.4"/>
    <n v="464.4"/>
    <n v="9.9999999999965894E-2"/>
  </r>
  <r>
    <x v="51"/>
    <n v="800"/>
    <n v="464.60180000000003"/>
    <n v="4.4999999999999998E-2"/>
    <n v="457.9427"/>
    <n v="466.45749999999998"/>
    <n v="469.40530000000001"/>
    <n v="0.03"/>
    <n v="5.0999999999999997E-2"/>
    <n v="5.1999999999999998E-2"/>
    <n v="2320.8000000000002"/>
    <n v="2329.4"/>
    <n v="2345.8000000000002"/>
    <m/>
    <m/>
    <n v="464.6"/>
    <n v="464.6"/>
    <n v="0.20000000000004547"/>
  </r>
  <r>
    <x v="51"/>
    <n v="900"/>
    <n v="464.69670000000002"/>
    <n v="4.9000000000000002E-2"/>
    <n v="458.03199999999998"/>
    <n v="466.5514"/>
    <n v="469.50670000000002"/>
    <n v="4.1000000000000002E-2"/>
    <n v="5.1999999999999998E-2"/>
    <n v="5.1999999999999998E-2"/>
    <n v="2321.1999999999998"/>
    <n v="2329.4"/>
    <n v="2345.8000000000002"/>
    <m/>
    <m/>
    <n v="464.7"/>
    <n v="464.7"/>
    <n v="9.9999999999965894E-2"/>
  </r>
  <r>
    <x v="51"/>
    <n v="1000"/>
    <n v="464.71879999999999"/>
    <n v="4.2999999999999997E-2"/>
    <n v="458.06119999999999"/>
    <n v="466.57530000000003"/>
    <n v="469.51960000000003"/>
    <n v="2.9000000000000001E-2"/>
    <n v="4.4999999999999998E-2"/>
    <n v="5.1999999999999998E-2"/>
    <n v="2321.1999999999998"/>
    <n v="2329.6"/>
    <n v="2345.8000000000002"/>
    <m/>
    <m/>
    <n v="464.7"/>
    <n v="464.7"/>
    <n v="0"/>
  </r>
  <r>
    <x v="51"/>
    <n v="1100"/>
    <n v="464.77629999999999"/>
    <n v="4.5999999999999999E-2"/>
    <n v="458.1123"/>
    <n v="466.63240000000002"/>
    <n v="469.58409999999998"/>
    <n v="5.0999999999999997E-2"/>
    <n v="4.8000000000000001E-2"/>
    <n v="3.7999999999999999E-2"/>
    <n v="2321.1999999999998"/>
    <n v="2329.6"/>
    <n v="2346"/>
    <m/>
    <m/>
    <n v="464.8"/>
    <n v="464.8"/>
    <n v="0.10000000000002274"/>
  </r>
  <r>
    <x v="51"/>
    <n v="1200"/>
    <n v="464.82409999999999"/>
    <n v="4.3999999999999997E-2"/>
    <n v="458.16890000000001"/>
    <n v="466.68029999999999"/>
    <n v="469.62290000000002"/>
    <n v="3.4000000000000002E-2"/>
    <n v="4.4999999999999998E-2"/>
    <n v="5.1999999999999998E-2"/>
    <n v="2321.6"/>
    <n v="2329.8000000000002"/>
    <n v="2346"/>
    <m/>
    <m/>
    <n v="464.8"/>
    <n v="464.8"/>
    <n v="0"/>
  </r>
  <r>
    <x v="51"/>
    <n v="1300"/>
    <n v="464.90370000000001"/>
    <n v="4.8000000000000001E-2"/>
    <n v="458.24200000000002"/>
    <n v="466.7595"/>
    <n v="469.70949999999999"/>
    <n v="0.04"/>
    <n v="5.1999999999999998E-2"/>
    <n v="0.05"/>
    <n v="2321.4"/>
    <n v="2329.8000000000002"/>
    <n v="2346.4"/>
    <m/>
    <m/>
    <n v="464.9"/>
    <n v="464.9"/>
    <n v="9.9999999999965894E-2"/>
  </r>
  <r>
    <x v="51"/>
    <n v="1400"/>
    <n v="465.3066"/>
    <n v="4.8000000000000001E-2"/>
    <n v="458.63819999999998"/>
    <n v="467.16840000000002"/>
    <n v="470.11340000000001"/>
    <n v="0.05"/>
    <n v="5.1999999999999998E-2"/>
    <n v="4.2000000000000003E-2"/>
    <n v="2322.4"/>
    <n v="2330.8000000000002"/>
    <n v="2347.1999999999998"/>
    <m/>
    <m/>
    <n v="465.3"/>
    <n v="465.3"/>
    <n v="0.40000000000003411"/>
  </r>
  <r>
    <x v="51"/>
    <n v="1500"/>
    <n v="465.53949999999998"/>
    <n v="4.7E-2"/>
    <n v="458.86660000000001"/>
    <n v="467.40780000000001"/>
    <n v="470.34410000000003"/>
    <n v="0.04"/>
    <n v="4.9000000000000002E-2"/>
    <n v="5.0999999999999997E-2"/>
    <n v="2322.6"/>
    <n v="2331"/>
    <n v="2347.6"/>
    <m/>
    <m/>
    <n v="465.5"/>
    <n v="465.5"/>
    <n v="0.19999999999998863"/>
  </r>
  <r>
    <x v="51"/>
    <n v="1600"/>
    <n v="465.6259"/>
    <n v="4.9000000000000002E-2"/>
    <n v="458.95600000000002"/>
    <n v="467.48520000000002"/>
    <n v="470.43639999999999"/>
    <n v="4.8000000000000001E-2"/>
    <n v="5.1999999999999998E-2"/>
    <n v="4.5999999999999999E-2"/>
    <n v="2323"/>
    <n v="2331.1999999999998"/>
    <n v="2347.6"/>
    <m/>
    <m/>
    <n v="465.6"/>
    <n v="465.6"/>
    <n v="0.10000000000002274"/>
  </r>
  <r>
    <x v="51"/>
    <n v="1700"/>
    <n v="466.0249"/>
    <n v="4.2999999999999997E-2"/>
    <n v="459.3288"/>
    <n v="467.90910000000002"/>
    <n v="470.83679999999998"/>
    <n v="4.5999999999999999E-2"/>
    <n v="5.1999999999999998E-2"/>
    <n v="2.7E-2"/>
    <n v="2323.6"/>
    <n v="2332"/>
    <n v="2348.4"/>
    <m/>
    <m/>
    <n v="466"/>
    <n v="466"/>
    <n v="0.39999999999997726"/>
  </r>
  <r>
    <x v="51"/>
    <n v="1800"/>
    <n v="466.17500000000001"/>
    <n v="4.8000000000000001E-2"/>
    <n v="459.48590000000002"/>
    <n v="468.05470000000003"/>
    <n v="470.98450000000003"/>
    <n v="4.3999999999999997E-2"/>
    <n v="4.7E-2"/>
    <n v="5.2999999999999999E-2"/>
    <n v="2324"/>
    <n v="2332.4"/>
    <n v="2348.8000000000002"/>
    <m/>
    <m/>
    <n v="466.2"/>
    <n v="466.2"/>
    <n v="0.19999999999998863"/>
  </r>
  <r>
    <x v="51"/>
    <n v="1900"/>
    <n v="466.27749999999997"/>
    <n v="4.7E-2"/>
    <n v="459.5754"/>
    <n v="468.17090000000002"/>
    <n v="471.08609999999999"/>
    <n v="0.05"/>
    <n v="3.5999999999999997E-2"/>
    <n v="5.1999999999999998E-2"/>
    <n v="2324"/>
    <n v="2332.6"/>
    <n v="2349"/>
    <m/>
    <m/>
    <n v="466.3"/>
    <n v="466.3"/>
    <n v="0.10000000000002274"/>
  </r>
  <r>
    <x v="51"/>
    <n v="2000"/>
    <n v="467.35950000000003"/>
    <n v="6.2E-2"/>
    <n v="460.64330000000001"/>
    <n v="469.26479999999998"/>
    <n v="472.1703"/>
    <n v="6.5000000000000002E-2"/>
    <n v="6.0999999999999999E-2"/>
    <n v="6.0999999999999999E-2"/>
    <n v="2326.4"/>
    <n v="2334.8000000000002"/>
    <n v="2351"/>
    <m/>
    <m/>
    <n v="467.4"/>
    <n v="467.4"/>
    <n v="1.0999999999999659"/>
  </r>
  <r>
    <x v="51"/>
    <n v="2100"/>
    <n v="467.73379999999997"/>
    <n v="4.5999999999999999E-2"/>
    <n v="461.03680000000003"/>
    <n v="469.62650000000002"/>
    <n v="472.53820000000002"/>
    <n v="0.05"/>
    <n v="4.2999999999999997E-2"/>
    <n v="4.3999999999999997E-2"/>
    <n v="2327"/>
    <n v="2335.1999999999998"/>
    <n v="2351.6"/>
    <m/>
    <m/>
    <n v="467.7"/>
    <n v="467.7"/>
    <n v="0.30000000000001137"/>
  </r>
  <r>
    <x v="51"/>
    <n v="2200"/>
    <n v="467.75409999999999"/>
    <n v="4.3999999999999997E-2"/>
    <n v="461.0514"/>
    <n v="469.65780000000001"/>
    <n v="472.553"/>
    <n v="4.2999999999999997E-2"/>
    <n v="3.5999999999999997E-2"/>
    <n v="5.0999999999999997E-2"/>
    <n v="2326.8000000000002"/>
    <n v="2335.4"/>
    <n v="2351.6"/>
    <m/>
    <m/>
    <n v="467.8"/>
    <n v="467.8"/>
    <n v="0.10000000000002274"/>
  </r>
  <r>
    <x v="51"/>
    <n v="2300"/>
    <n v="467.786"/>
    <n v="4.2000000000000003E-2"/>
    <n v="461.077"/>
    <n v="469.68740000000003"/>
    <n v="472.59370000000001"/>
    <n v="2.7E-2"/>
    <n v="5.0999999999999997E-2"/>
    <n v="4.4999999999999998E-2"/>
    <n v="2327"/>
    <n v="2335.6"/>
    <n v="2351.8000000000002"/>
    <m/>
    <m/>
    <n v="467.8"/>
    <n v="467.8"/>
    <n v="0"/>
  </r>
  <r>
    <x v="51"/>
    <n v="2400"/>
    <n v="467.7996"/>
    <n v="4.5999999999999999E-2"/>
    <n v="461.09530000000001"/>
    <n v="469.70400000000001"/>
    <n v="472.5992"/>
    <n v="4.2999999999999997E-2"/>
    <n v="5.2999999999999999E-2"/>
    <n v="4.2000000000000003E-2"/>
    <n v="2327"/>
    <n v="2335.4"/>
    <n v="2351.8000000000002"/>
    <m/>
    <m/>
    <n v="467.8"/>
    <n v="467.8"/>
    <n v="0"/>
  </r>
  <r>
    <x v="52"/>
    <n v="100"/>
    <n v="468.41239999999999"/>
    <n v="4.4999999999999998E-2"/>
    <n v="461.69580000000002"/>
    <n v="470.32830000000001"/>
    <n v="473.2131"/>
    <n v="2.7E-2"/>
    <n v="5.1999999999999998E-2"/>
    <n v="5.0999999999999997E-2"/>
    <n v="2328.1999999999998"/>
    <n v="2336.8000000000002"/>
    <n v="2352.8000000000002"/>
    <m/>
    <m/>
    <n v="468.4"/>
    <n v="468.4"/>
    <n v="0.59999999999996589"/>
  </r>
  <r>
    <x v="52"/>
    <n v="200"/>
    <n v="468.79700000000003"/>
    <n v="4.7E-2"/>
    <n v="462.0822"/>
    <n v="470.68470000000002"/>
    <n v="473.62389999999999"/>
    <n v="4.9000000000000002E-2"/>
    <n v="3.7999999999999999E-2"/>
    <n v="5.2999999999999999E-2"/>
    <n v="2329"/>
    <n v="2337.1999999999998"/>
    <n v="2353.6"/>
    <m/>
    <m/>
    <n v="468.8"/>
    <n v="468.8"/>
    <n v="0.40000000000003411"/>
  </r>
  <r>
    <x v="52"/>
    <n v="300"/>
    <n v="468.86759999999998"/>
    <n v="4.9000000000000002E-2"/>
    <n v="462.14269999999999"/>
    <n v="470.73649999999998"/>
    <n v="473.72379999999998"/>
    <n v="4.4999999999999998E-2"/>
    <n v="0.05"/>
    <n v="5.2999999999999999E-2"/>
    <n v="2329.1999999999998"/>
    <n v="2337.4"/>
    <n v="2354"/>
    <m/>
    <m/>
    <n v="468.9"/>
    <n v="468.9"/>
    <n v="9.9999999999965894E-2"/>
  </r>
  <r>
    <x v="52"/>
    <n v="400"/>
    <n v="468.88670000000002"/>
    <n v="5.1999999999999998E-2"/>
    <n v="462.161"/>
    <n v="470.76429999999999"/>
    <n v="473.73489999999998"/>
    <n v="5.1999999999999998E-2"/>
    <n v="5.1999999999999998E-2"/>
    <n v="5.1999999999999998E-2"/>
    <n v="2329"/>
    <n v="2337.4"/>
    <n v="2354"/>
    <m/>
    <m/>
    <n v="468.9"/>
    <n v="468.9"/>
    <n v="0"/>
  </r>
  <r>
    <x v="52"/>
    <n v="500"/>
    <n v="468.89409999999998"/>
    <n v="0.05"/>
    <n v="462.16649999999998"/>
    <n v="470.77910000000003"/>
    <n v="473.73669999999998"/>
    <n v="5.1999999999999998E-2"/>
    <n v="4.5999999999999999E-2"/>
    <n v="5.1999999999999998E-2"/>
    <n v="2329"/>
    <n v="2337.6"/>
    <n v="2354"/>
    <m/>
    <m/>
    <n v="468.9"/>
    <n v="468.9"/>
    <n v="0"/>
  </r>
  <r>
    <x v="52"/>
    <n v="600"/>
    <n v="468.8297"/>
    <n v="0.05"/>
    <n v="462.07679999999999"/>
    <n v="470.66629999999998"/>
    <n v="473.74599999999998"/>
    <n v="5.0999999999999997E-2"/>
    <n v="0.05"/>
    <n v="4.9000000000000002E-2"/>
    <n v="2328.8000000000002"/>
    <n v="2337.1999999999998"/>
    <n v="2354"/>
    <m/>
    <m/>
    <n v="468.8"/>
    <n v="468.9"/>
    <n v="0"/>
  </r>
  <r>
    <x v="52"/>
    <n v="700"/>
    <n v="468.85559999999998"/>
    <n v="4.9000000000000002E-2"/>
    <n v="462.05290000000002"/>
    <n v="470.755"/>
    <n v="473.75889999999998"/>
    <n v="5.0999999999999997E-2"/>
    <n v="5.2999999999999999E-2"/>
    <n v="4.2000000000000003E-2"/>
    <n v="2328.8000000000002"/>
    <n v="2337.6"/>
    <n v="2354"/>
    <m/>
    <m/>
    <n v="468.9"/>
    <n v="468.9"/>
    <n v="0"/>
  </r>
  <r>
    <x v="52"/>
    <n v="800"/>
    <n v="468.86340000000001"/>
    <n v="3.5999999999999997E-2"/>
    <n v="462.13529999999997"/>
    <n v="470.68099999999998"/>
    <n v="473.77370000000002"/>
    <n v="0.04"/>
    <n v="4.2000000000000003E-2"/>
    <n v="2.4E-2"/>
    <n v="2329"/>
    <n v="2337.4"/>
    <n v="2354"/>
    <m/>
    <m/>
    <n v="468.9"/>
    <n v="468.9"/>
    <n v="0"/>
  </r>
  <r>
    <x v="52"/>
    <n v="900"/>
    <n v="468.94560000000001"/>
    <n v="3.5000000000000003E-2"/>
    <n v="462.25259999999997"/>
    <n v="470.81049999999999"/>
    <n v="473.77370000000002"/>
    <n v="4.8000000000000001E-2"/>
    <n v="2.8000000000000001E-2"/>
    <n v="2.4E-2"/>
    <n v="2329.4"/>
    <n v="2337.6"/>
    <n v="2354"/>
    <m/>
    <m/>
    <n v="468.9"/>
    <n v="468.9"/>
    <n v="0"/>
  </r>
  <r>
    <x v="52"/>
    <n v="1000"/>
    <n v="468.9794"/>
    <n v="4.2999999999999997E-2"/>
    <n v="462.27820000000003"/>
    <n v="470.91590000000002"/>
    <n v="473.7441"/>
    <n v="5.1999999999999998E-2"/>
    <n v="1.9E-2"/>
    <n v="0.05"/>
    <n v="2329.1999999999998"/>
    <n v="2337.8000000000002"/>
    <n v="2354"/>
    <m/>
    <m/>
    <n v="469"/>
    <n v="469"/>
    <n v="0.10000000000002274"/>
  </r>
  <r>
    <x v="52"/>
    <n v="1100"/>
    <n v="468.88209999999998"/>
    <n v="3.9E-2"/>
    <n v="462.24520000000001"/>
    <n v="470.70499999999998"/>
    <n v="473.69600000000003"/>
    <n v="4.3999999999999997E-2"/>
    <n v="2.8000000000000001E-2"/>
    <n v="4.2999999999999997E-2"/>
    <n v="2329.1999999999998"/>
    <n v="2337.4"/>
    <n v="2353.8000000000002"/>
    <m/>
    <m/>
    <n v="468.9"/>
    <n v="469"/>
    <n v="0"/>
  </r>
  <r>
    <x v="52"/>
    <n v="1200"/>
    <n v="468.93450000000001"/>
    <n v="4.7E-2"/>
    <n v="462.25810000000001"/>
    <n v="470.85860000000002"/>
    <n v="473.68680000000001"/>
    <n v="0.05"/>
    <n v="5.2999999999999999E-2"/>
    <n v="3.5000000000000003E-2"/>
    <n v="2329.4"/>
    <n v="2337.8000000000002"/>
    <n v="2353.8000000000002"/>
    <m/>
    <m/>
    <n v="468.9"/>
    <n v="469"/>
    <n v="0"/>
  </r>
  <r>
    <x v="52"/>
    <n v="1300"/>
    <n v="469.51729999999998"/>
    <n v="4.2999999999999997E-2"/>
    <n v="462.8005"/>
    <n v="471.42790000000002"/>
    <n v="474.32350000000002"/>
    <n v="5.1999999999999998E-2"/>
    <n v="3.7999999999999999E-2"/>
    <n v="3.7999999999999999E-2"/>
    <n v="2330.4"/>
    <n v="2338.8000000000002"/>
    <n v="2355"/>
    <m/>
    <m/>
    <n v="469.5"/>
    <n v="469.5"/>
    <n v="0.5"/>
  </r>
  <r>
    <x v="52"/>
    <n v="1400"/>
    <n v="469.88549999999998"/>
    <n v="5.0999999999999997E-2"/>
    <n v="463.19470000000001"/>
    <n v="471.79399999999998"/>
    <n v="474.66800000000001"/>
    <n v="4.9000000000000002E-2"/>
    <n v="5.0999999999999997E-2"/>
    <n v="5.1999999999999998E-2"/>
    <n v="2331"/>
    <n v="2339.4"/>
    <n v="2355.6"/>
    <m/>
    <m/>
    <n v="469.9"/>
    <n v="469.9"/>
    <n v="0.39999999999997726"/>
  </r>
  <r>
    <x v="52"/>
    <n v="1500"/>
    <n v="469.80720000000002"/>
    <n v="4.9000000000000002E-2"/>
    <n v="463.01690000000002"/>
    <n v="471.73289999999997"/>
    <n v="474.67169999999999"/>
    <n v="5.0999999999999997E-2"/>
    <n v="4.2999999999999997E-2"/>
    <n v="5.2999999999999999E-2"/>
    <n v="2330.8000000000002"/>
    <n v="2339.4"/>
    <n v="2355.6"/>
    <m/>
    <m/>
    <n v="469.8"/>
    <n v="469.9"/>
    <n v="0"/>
  </r>
  <r>
    <x v="52"/>
    <n v="1600"/>
    <n v="469.86200000000002"/>
    <n v="4.4999999999999998E-2"/>
    <n v="463.06459999999998"/>
    <n v="471.81630000000001"/>
    <n v="474.70499999999998"/>
    <n v="3.7999999999999999E-2"/>
    <n v="5.1999999999999998E-2"/>
    <n v="4.3999999999999997E-2"/>
    <n v="2330.8000000000002"/>
    <n v="2339.6"/>
    <n v="2355.6"/>
    <m/>
    <m/>
    <n v="469.9"/>
    <n v="469.9"/>
    <n v="0"/>
  </r>
  <r>
    <x v="52"/>
    <n v="1700"/>
    <n v="469.9264"/>
    <n v="2.9000000000000001E-2"/>
    <n v="463.16719999999998"/>
    <n v="471.87920000000003"/>
    <n v="474.7328"/>
    <n v="2.3E-2"/>
    <n v="0.04"/>
    <n v="1.9E-2"/>
    <n v="2331"/>
    <n v="2339.6"/>
    <n v="2355.8000000000002"/>
    <m/>
    <m/>
    <n v="469.9"/>
    <n v="469.9"/>
    <n v="0"/>
  </r>
  <r>
    <x v="52"/>
    <n v="1800"/>
    <n v="469.9486"/>
    <n v="4.8000000000000001E-2"/>
    <n v="463.18369999999999"/>
    <n v="471.89949999999999"/>
    <n v="474.76240000000001"/>
    <n v="4.2999999999999997E-2"/>
    <n v="5.0999999999999997E-2"/>
    <n v="4.9000000000000002E-2"/>
    <n v="2331.1999999999998"/>
    <n v="2339.8000000000002"/>
    <n v="2355.8000000000002"/>
    <m/>
    <m/>
    <n v="469.9"/>
    <n v="469.9"/>
    <n v="0"/>
  </r>
  <r>
    <x v="52"/>
    <n v="1900"/>
    <n v="469.9443"/>
    <n v="4.9000000000000002E-2"/>
    <n v="463.14339999999999"/>
    <n v="471.91430000000003"/>
    <n v="474.77539999999999"/>
    <n v="0.04"/>
    <n v="5.2999999999999999E-2"/>
    <n v="5.1999999999999998E-2"/>
    <n v="2331"/>
    <n v="2339.6"/>
    <n v="2355.8000000000002"/>
    <m/>
    <m/>
    <n v="469.9"/>
    <n v="469.9"/>
    <n v="0"/>
  </r>
  <r>
    <x v="52"/>
    <n v="2000"/>
    <n v="469.95350000000002"/>
    <n v="4.7E-2"/>
    <n v="463.1782"/>
    <n v="471.89580000000001"/>
    <n v="474.78649999999999"/>
    <n v="3.7999999999999999E-2"/>
    <n v="0.05"/>
    <n v="5.2999999999999999E-2"/>
    <n v="2331"/>
    <n v="2339.6"/>
    <n v="2356"/>
    <m/>
    <m/>
    <n v="470"/>
    <n v="470"/>
    <n v="0.10000000000002274"/>
  </r>
  <r>
    <x v="52"/>
    <n v="2100"/>
    <n v="469.97449999999998"/>
    <n v="0.04"/>
    <n v="463.18729999999999"/>
    <n v="471.89949999999999"/>
    <n v="474.8365"/>
    <n v="4.4999999999999998E-2"/>
    <n v="5.0999999999999997E-2"/>
    <n v="1.4E-2"/>
    <n v="2331.1999999999998"/>
    <n v="2339.6"/>
    <n v="2356"/>
    <m/>
    <m/>
    <n v="470"/>
    <n v="470"/>
    <n v="0"/>
  </r>
  <r>
    <x v="52"/>
    <n v="2200"/>
    <n v="469.99970000000002"/>
    <n v="5.1999999999999998E-2"/>
    <n v="463.202"/>
    <n v="471.90690000000001"/>
    <n v="474.89019999999999"/>
    <n v="5.0999999999999997E-2"/>
    <n v="5.1999999999999998E-2"/>
    <n v="5.2999999999999999E-2"/>
    <n v="2331.1999999999998"/>
    <n v="2339.6"/>
    <n v="2356.1999999999998"/>
    <m/>
    <m/>
    <n v="470"/>
    <n v="470"/>
    <n v="0"/>
  </r>
  <r>
    <x v="52"/>
    <n v="2300"/>
    <n v="470.00279999999998"/>
    <n v="4.8000000000000001E-2"/>
    <n v="463.19279999999998"/>
    <n v="471.90140000000002"/>
    <n v="474.91430000000003"/>
    <n v="4.8000000000000001E-2"/>
    <n v="5.0999999999999997E-2"/>
    <n v="4.4999999999999998E-2"/>
    <n v="2331"/>
    <n v="2339.6"/>
    <n v="2356"/>
    <m/>
    <m/>
    <n v="470"/>
    <n v="470"/>
    <n v="0"/>
  </r>
  <r>
    <x v="52"/>
    <n v="2400"/>
    <n v="470.04469999999998"/>
    <n v="5.0999999999999997E-2"/>
    <n v="463.22219999999999"/>
    <n v="471.96980000000002"/>
    <n v="474.94200000000001"/>
    <n v="5.1999999999999998E-2"/>
    <n v="7.0999999999999994E-2"/>
    <n v="1.4E-2"/>
    <n v="2331"/>
    <n v="2339.8000000000002"/>
    <n v="2356.1999999999998"/>
    <m/>
    <m/>
    <n v="470"/>
    <n v="470"/>
    <n v="0"/>
  </r>
  <r>
    <x v="53"/>
    <n v="100"/>
    <n v="470.11900000000003"/>
    <n v="4.3999999999999997E-2"/>
    <n v="463.32490000000001"/>
    <n v="472.06779999999998"/>
    <n v="474.96429999999998"/>
    <n v="5.1999999999999998E-2"/>
    <n v="3.4000000000000002E-2"/>
    <n v="4.3999999999999997E-2"/>
    <n v="2331.4"/>
    <n v="2340"/>
    <n v="2356.1999999999998"/>
    <m/>
    <m/>
    <n v="470.1"/>
    <n v="470.1"/>
    <n v="0.10000000000002274"/>
  </r>
  <r>
    <x v="53"/>
    <n v="200"/>
    <n v="470.12270000000001"/>
    <n v="4.5999999999999999E-2"/>
    <n v="463.32670000000002"/>
    <n v="472.0641"/>
    <n v="474.97719999999998"/>
    <n v="5.1999999999999998E-2"/>
    <n v="3.3000000000000002E-2"/>
    <n v="0.05"/>
    <n v="2331.1999999999998"/>
    <n v="2340"/>
    <n v="2356.1999999999998"/>
    <m/>
    <m/>
    <n v="470.1"/>
    <n v="470.1"/>
    <n v="0"/>
  </r>
  <r>
    <x v="53"/>
    <n v="300"/>
    <n v="470.13440000000003"/>
    <n v="4.3999999999999997E-2"/>
    <n v="463.33769999999998"/>
    <n v="472.07889999999998"/>
    <n v="474.98649999999998"/>
    <n v="4.9000000000000002E-2"/>
    <n v="2.7E-2"/>
    <n v="5.1999999999999998E-2"/>
    <n v="2331.4"/>
    <n v="2340"/>
    <n v="2356.1999999999998"/>
    <m/>
    <m/>
    <n v="470.1"/>
    <n v="470.1"/>
    <n v="0"/>
  </r>
  <r>
    <x v="53"/>
    <n v="400"/>
    <n v="470.13990000000001"/>
    <n v="4.3999999999999997E-2"/>
    <n v="463.34870000000001"/>
    <n v="472.07889999999998"/>
    <n v="474.99209999999999"/>
    <n v="4.2999999999999997E-2"/>
    <n v="3.3000000000000002E-2"/>
    <n v="5.2999999999999999E-2"/>
    <n v="2331.4"/>
    <n v="2340"/>
    <n v="2356.1999999999998"/>
    <m/>
    <m/>
    <n v="470.1"/>
    <n v="470.1"/>
    <n v="0"/>
  </r>
  <r>
    <x v="53"/>
    <n v="500"/>
    <n v="470.13810000000001"/>
    <n v="4.4999999999999998E-2"/>
    <n v="463.34690000000001"/>
    <n v="472.06599999999997"/>
    <n v="475.00130000000001"/>
    <n v="4.3999999999999997E-2"/>
    <n v="3.6999999999999998E-2"/>
    <n v="5.1999999999999998E-2"/>
    <n v="2331.4"/>
    <n v="2340"/>
    <n v="2356.4"/>
    <m/>
    <m/>
    <n v="470.1"/>
    <n v="470.1"/>
    <n v="0"/>
  </r>
  <r>
    <x v="53"/>
    <n v="600"/>
    <n v="470.14490000000001"/>
    <n v="3.9E-2"/>
    <n v="463.34870000000001"/>
    <n v="472.07150000000001"/>
    <n v="475.01429999999999"/>
    <n v="4.2999999999999997E-2"/>
    <n v="0.02"/>
    <n v="4.8000000000000001E-2"/>
    <n v="2331.4"/>
    <n v="2340"/>
    <n v="2356.4"/>
    <m/>
    <m/>
    <n v="470.1"/>
    <n v="470.1"/>
    <n v="0"/>
  </r>
  <r>
    <x v="53"/>
    <n v="700"/>
    <n v="470.15350000000001"/>
    <n v="0.04"/>
    <n v="463.34690000000001"/>
    <n v="472.08629999999999"/>
    <n v="475.02730000000003"/>
    <n v="4.3999999999999997E-2"/>
    <n v="3.6999999999999998E-2"/>
    <n v="0.04"/>
    <n v="2331.4"/>
    <n v="2340"/>
    <n v="2356.4"/>
    <m/>
    <m/>
    <n v="470.2"/>
    <n v="470.2"/>
    <n v="9.9999999999965894E-2"/>
  </r>
  <r>
    <x v="53"/>
    <n v="800"/>
    <n v="470.19099999999997"/>
    <n v="4.1000000000000002E-2"/>
    <n v="463.38350000000003"/>
    <n v="472.13069999999999"/>
    <n v="475.05880000000002"/>
    <n v="3.4000000000000002E-2"/>
    <n v="5.1999999999999998E-2"/>
    <n v="3.5000000000000003E-2"/>
    <n v="2331.4"/>
    <n v="2340"/>
    <n v="2356.4"/>
    <m/>
    <m/>
    <n v="470.2"/>
    <n v="470.2"/>
    <n v="0"/>
  </r>
  <r>
    <x v="53"/>
    <n v="900"/>
    <n v="470.20089999999999"/>
    <n v="3.5000000000000003E-2"/>
    <n v="463.37990000000002"/>
    <n v="472.16219999999998"/>
    <n v="475.06060000000002"/>
    <n v="0.03"/>
    <n v="3.6999999999999998E-2"/>
    <n v="3.6999999999999998E-2"/>
    <n v="2331.4"/>
    <n v="2340"/>
    <n v="2356.4"/>
    <m/>
    <m/>
    <n v="470.2"/>
    <n v="470.2"/>
    <n v="0"/>
  </r>
  <r>
    <x v="53"/>
    <n v="1000"/>
    <n v="470.18239999999997"/>
    <n v="3.7999999999999999E-2"/>
    <n v="463.37439999999998"/>
    <n v="472.12329999999997"/>
    <n v="475.04950000000002"/>
    <n v="1.9E-2"/>
    <n v="5.2999999999999999E-2"/>
    <n v="3.4000000000000002E-2"/>
    <n v="2331.4"/>
    <n v="2340"/>
    <n v="2356.4"/>
    <m/>
    <m/>
    <n v="470.2"/>
    <n v="470.2"/>
    <n v="0"/>
  </r>
  <r>
    <x v="53"/>
    <n v="1100"/>
    <n v="470.18360000000001"/>
    <n v="3.9E-2"/>
    <n v="463.37439999999998"/>
    <n v="472.12520000000001"/>
    <n v="475.05130000000003"/>
    <n v="2.7E-2"/>
    <n v="5.2999999999999999E-2"/>
    <n v="3.1E-2"/>
    <n v="2331.4"/>
    <n v="2340"/>
    <n v="2356.4"/>
    <m/>
    <m/>
    <n v="470.2"/>
    <n v="470.2"/>
    <n v="0"/>
  </r>
  <r>
    <x v="53"/>
    <n v="1200"/>
    <n v="470.19589999999999"/>
    <n v="4.2999999999999997E-2"/>
    <n v="463.39089999999999"/>
    <n v="472.13630000000001"/>
    <n v="475.06060000000002"/>
    <n v="4.1000000000000002E-2"/>
    <n v="5.0999999999999997E-2"/>
    <n v="3.6999999999999998E-2"/>
    <n v="2331.4"/>
    <n v="2340.1999999999998"/>
    <n v="2356.4"/>
    <m/>
    <m/>
    <n v="470.2"/>
    <n v="470.2"/>
    <n v="0"/>
  </r>
  <r>
    <x v="53"/>
    <n v="1300"/>
    <n v="470.2174"/>
    <n v="4.2999999999999997E-2"/>
    <n v="463.45510000000002"/>
    <n v="472.13810000000001"/>
    <n v="475.05880000000002"/>
    <n v="4.1000000000000002E-2"/>
    <n v="5.0999999999999997E-2"/>
    <n v="3.5000000000000003E-2"/>
    <n v="2331.6"/>
    <n v="2340.1999999999998"/>
    <n v="2356.4"/>
    <m/>
    <m/>
    <n v="470.2"/>
    <n v="470.2"/>
    <n v="0"/>
  </r>
  <r>
    <x v="53"/>
    <n v="1400"/>
    <n v="470.21289999999999"/>
    <n v="3.7999999999999999E-2"/>
    <n v="463.51389999999998"/>
    <n v="472.0752"/>
    <n v="475.04950000000002"/>
    <n v="0.05"/>
    <n v="2.8000000000000001E-2"/>
    <n v="3.4000000000000002E-2"/>
    <n v="2331.8000000000002"/>
    <n v="2339.8000000000002"/>
    <n v="2356.4"/>
    <m/>
    <m/>
    <n v="470.2"/>
    <n v="470.2"/>
    <n v="0"/>
  </r>
  <r>
    <x v="53"/>
    <n v="1500"/>
    <n v="470.15379999999999"/>
    <n v="5.0999999999999997E-2"/>
    <n v="463.44779999999997"/>
    <n v="472.02339999999998"/>
    <n v="474.99020000000002"/>
    <n v="4.5999999999999999E-2"/>
    <n v="5.2999999999999999E-2"/>
    <n v="5.2999999999999999E-2"/>
    <n v="2331.4"/>
    <n v="2339.8000000000002"/>
    <n v="2356.1999999999998"/>
    <m/>
    <m/>
    <n v="470.2"/>
    <n v="470.2"/>
    <n v="0"/>
  </r>
  <r>
    <x v="53"/>
    <n v="1600"/>
    <n v="470.18049999999999"/>
    <n v="4.7E-2"/>
    <n v="463.38909999999998"/>
    <n v="472.14"/>
    <n v="475.01240000000001"/>
    <n v="0.04"/>
    <n v="0.05"/>
    <n v="4.9000000000000002E-2"/>
    <n v="2331.4"/>
    <n v="2340.1999999999998"/>
    <n v="2356.4"/>
    <m/>
    <m/>
    <n v="470.2"/>
    <n v="470.2"/>
    <n v="0"/>
  </r>
  <r>
    <x v="53"/>
    <n v="1700"/>
    <n v="470.20699999999999"/>
    <n v="4.1000000000000002E-2"/>
    <n v="463.39089999999999"/>
    <n v="472.16399999999999"/>
    <n v="475.06619999999998"/>
    <n v="4.5999999999999999E-2"/>
    <n v="3.5000000000000003E-2"/>
    <n v="4.2000000000000003E-2"/>
    <n v="2331.6"/>
    <n v="2340.1999999999998"/>
    <n v="2356.6"/>
    <m/>
    <m/>
    <n v="470.2"/>
    <n v="470.2"/>
    <n v="0"/>
  </r>
  <r>
    <x v="53"/>
    <n v="1800"/>
    <n v="470.20580000000001"/>
    <n v="3.6999999999999998E-2"/>
    <n v="463.3854"/>
    <n v="472.16590000000002"/>
    <n v="475.06619999999998"/>
    <n v="3.5999999999999997E-2"/>
    <n v="3.2000000000000001E-2"/>
    <n v="4.2000000000000003E-2"/>
    <n v="2331.4"/>
    <n v="2340"/>
    <n v="2356.4"/>
    <m/>
    <m/>
    <n v="470.2"/>
    <n v="470.2"/>
    <n v="0"/>
  </r>
  <r>
    <x v="53"/>
    <n v="1900"/>
    <n v="470.20339999999999"/>
    <n v="2.9000000000000001E-2"/>
    <n v="463.37439999999998"/>
    <n v="472.17140000000001"/>
    <n v="475.0643"/>
    <n v="1.9E-2"/>
    <n v="2.4E-2"/>
    <n v="0.04"/>
    <n v="2331.4"/>
    <n v="2340.1999999999998"/>
    <n v="2356.4"/>
    <m/>
    <m/>
    <n v="470.2"/>
    <n v="470.2"/>
    <n v="0"/>
  </r>
  <r>
    <x v="53"/>
    <n v="2000"/>
    <n v="470.20710000000003"/>
    <n v="4.1000000000000002E-2"/>
    <n v="463.37810000000002"/>
    <n v="472.16219999999998"/>
    <n v="475.08100000000002"/>
    <n v="2.7E-2"/>
    <n v="4.2000000000000003E-2"/>
    <n v="0.05"/>
    <n v="2331.4"/>
    <n v="2340.1999999999998"/>
    <n v="2356.6"/>
    <m/>
    <m/>
    <n v="470.2"/>
    <n v="470.2"/>
    <n v="0"/>
  </r>
  <r>
    <x v="53"/>
    <n v="2100"/>
    <n v="470.20710000000003"/>
    <n v="3.9E-2"/>
    <n v="463.37990000000002"/>
    <n v="472.16590000000002"/>
    <n v="475.07549999999998"/>
    <n v="0.03"/>
    <n v="3.7999999999999999E-2"/>
    <n v="4.8000000000000001E-2"/>
    <n v="2331.4"/>
    <n v="2340.1999999999998"/>
    <n v="2356.6"/>
    <m/>
    <m/>
    <n v="470.2"/>
    <n v="470.2"/>
    <n v="0"/>
  </r>
  <r>
    <x v="53"/>
    <n v="2200"/>
    <n v="470.19349999999997"/>
    <n v="3.2000000000000001E-2"/>
    <n v="463.36700000000002"/>
    <n v="472.15660000000003"/>
    <n v="475.05689999999998"/>
    <n v="1.9E-2"/>
    <n v="4.2000000000000003E-2"/>
    <n v="3.2000000000000001E-2"/>
    <n v="2331.4"/>
    <n v="2340.1999999999998"/>
    <n v="2356.4"/>
    <m/>
    <m/>
    <n v="470.2"/>
    <n v="470.2"/>
    <n v="0"/>
  </r>
  <r>
    <x v="53"/>
    <n v="2300"/>
    <n v="470.19040000000001"/>
    <n v="3.1E-2"/>
    <n v="463.35969999999998"/>
    <n v="472.16590000000002"/>
    <n v="475.04579999999999"/>
    <n v="3.2000000000000001E-2"/>
    <n v="3.2000000000000001E-2"/>
    <n v="2.8000000000000001E-2"/>
    <n v="2331.4"/>
    <n v="2340.1999999999998"/>
    <n v="2356.4"/>
    <m/>
    <m/>
    <n v="470.2"/>
    <n v="470.2"/>
    <n v="0"/>
  </r>
  <r>
    <x v="53"/>
    <n v="2400"/>
    <n v="470.17140000000001"/>
    <n v="4.4999999999999998E-2"/>
    <n v="463.34320000000002"/>
    <n v="472.14920000000001"/>
    <n v="475.02170000000001"/>
    <n v="4.5999999999999999E-2"/>
    <n v="4.5999999999999999E-2"/>
    <n v="4.3999999999999997E-2"/>
    <n v="2331.4"/>
    <n v="2340.1999999999998"/>
    <n v="2356.1999999999998"/>
    <m/>
    <m/>
    <n v="470.2"/>
    <n v="470.2"/>
    <n v="0"/>
  </r>
  <r>
    <x v="54"/>
    <n v="100"/>
    <n v="470.16210000000001"/>
    <n v="4.9000000000000002E-2"/>
    <n v="463.34870000000001"/>
    <n v="472.11959999999999"/>
    <n v="475.01799999999997"/>
    <n v="4.7E-2"/>
    <n v="5.2999999999999999E-2"/>
    <n v="4.5999999999999999E-2"/>
    <n v="2331.4"/>
    <n v="2340.1999999999998"/>
    <n v="2356.4"/>
    <m/>
    <m/>
    <n v="470.2"/>
    <n v="470.2"/>
    <n v="0"/>
  </r>
  <r>
    <x v="54"/>
    <n v="200"/>
    <n v="470.15969999999999"/>
    <n v="0.05"/>
    <n v="463.34140000000002"/>
    <n v="472.12700000000001"/>
    <n v="475.01060000000001"/>
    <n v="4.7E-2"/>
    <n v="5.2999999999999999E-2"/>
    <n v="0.05"/>
    <n v="2331.1999999999998"/>
    <n v="2340.1999999999998"/>
    <n v="2356.4"/>
    <m/>
    <m/>
    <n v="470.2"/>
    <n v="470.2"/>
    <n v="0"/>
  </r>
  <r>
    <x v="54"/>
    <n v="300"/>
    <n v="470.14359999999999"/>
    <n v="4.5999999999999999E-2"/>
    <n v="463.34140000000002"/>
    <n v="472.08449999999999"/>
    <n v="475.005"/>
    <n v="4.7E-2"/>
    <n v="0.04"/>
    <n v="5.0999999999999997E-2"/>
    <n v="2331.4"/>
    <n v="2340"/>
    <n v="2356.1999999999998"/>
    <m/>
    <m/>
    <n v="470.1"/>
    <n v="470.2"/>
    <n v="0"/>
  </r>
  <r>
    <x v="54"/>
    <n v="400"/>
    <n v="470.14729999999997"/>
    <n v="4.8000000000000001E-2"/>
    <n v="463.33949999999999"/>
    <n v="472.09559999999999"/>
    <n v="475.00689999999997"/>
    <n v="4.8000000000000001E-2"/>
    <n v="4.3999999999999997E-2"/>
    <n v="5.0999999999999997E-2"/>
    <n v="2331.4"/>
    <n v="2340.1999999999998"/>
    <n v="2356.4"/>
    <m/>
    <m/>
    <n v="470.1"/>
    <n v="470.2"/>
    <n v="0"/>
  </r>
  <r>
    <x v="54"/>
    <n v="500"/>
    <n v="470.15539999999999"/>
    <n v="0.05"/>
    <n v="463.34690000000001"/>
    <n v="472.11040000000003"/>
    <n v="475.00869999999998"/>
    <n v="4.8000000000000001E-2"/>
    <n v="5.0999999999999997E-2"/>
    <n v="0.05"/>
    <n v="2331.4"/>
    <n v="2340"/>
    <n v="2356.1999999999998"/>
    <m/>
    <m/>
    <n v="470.2"/>
    <n v="470.2"/>
    <n v="0"/>
  </r>
  <r>
    <x v="54"/>
    <n v="600"/>
    <n v="470.14729999999997"/>
    <n v="0.05"/>
    <n v="463.3322"/>
    <n v="472.10480000000001"/>
    <n v="475.005"/>
    <n v="0.05"/>
    <n v="4.9000000000000002E-2"/>
    <n v="5.0999999999999997E-2"/>
    <n v="2331.1999999999998"/>
    <n v="2340"/>
    <n v="2356.4"/>
    <m/>
    <m/>
    <n v="470.1"/>
    <n v="470.2"/>
    <n v="0"/>
  </r>
  <r>
    <x v="54"/>
    <n v="700"/>
    <n v="470.15780000000001"/>
    <n v="0.05"/>
    <n v="463.34140000000002"/>
    <n v="472.12520000000001"/>
    <n v="475.00689999999997"/>
    <n v="4.7E-2"/>
    <n v="5.2999999999999999E-2"/>
    <n v="5.0999999999999997E-2"/>
    <n v="2331.4"/>
    <n v="2340"/>
    <n v="2356.1999999999998"/>
    <m/>
    <m/>
    <n v="470.2"/>
    <n v="470.2"/>
    <n v="0"/>
  </r>
  <r>
    <x v="54"/>
    <n v="800"/>
    <n v="470.15910000000002"/>
    <n v="5.0999999999999997E-2"/>
    <n v="463.3304"/>
    <n v="472.14179999999999"/>
    <n v="475.005"/>
    <n v="5.0999999999999997E-2"/>
    <n v="0.05"/>
    <n v="5.0999999999999997E-2"/>
    <n v="2331.1999999999998"/>
    <n v="2340"/>
    <n v="2356.4"/>
    <m/>
    <m/>
    <n v="470.2"/>
    <n v="470.2"/>
    <n v="0"/>
  </r>
  <r>
    <x v="54"/>
    <n v="900"/>
    <n v="470.13440000000003"/>
    <n v="5.0999999999999997E-2"/>
    <n v="463.31020000000001"/>
    <n v="472.11219999999997"/>
    <n v="474.98090000000002"/>
    <n v="5.1999999999999998E-2"/>
    <n v="5.0999999999999997E-2"/>
    <n v="5.0999999999999997E-2"/>
    <n v="2331.1999999999998"/>
    <n v="2340"/>
    <n v="2356.4"/>
    <m/>
    <m/>
    <n v="470.1"/>
    <n v="470.2"/>
    <n v="0"/>
  </r>
  <r>
    <x v="54"/>
    <n v="1000"/>
    <n v="470.08460000000002"/>
    <n v="3.7999999999999999E-2"/>
    <n v="463.279"/>
    <n v="472.04750000000001"/>
    <n v="474.92720000000003"/>
    <n v="3.4000000000000002E-2"/>
    <n v="4.3999999999999997E-2"/>
    <n v="3.5000000000000003E-2"/>
    <n v="2331.1999999999998"/>
    <n v="2340"/>
    <n v="2356.1999999999998"/>
    <m/>
    <m/>
    <n v="470.1"/>
    <n v="470.2"/>
    <n v="0"/>
  </r>
  <r>
    <x v="54"/>
    <n v="1100"/>
    <n v="470.07229999999998"/>
    <n v="4.2000000000000003E-2"/>
    <n v="463.26620000000003"/>
    <n v="472.0419"/>
    <n v="474.90870000000001"/>
    <n v="2.8000000000000001E-2"/>
    <n v="4.7E-2"/>
    <n v="4.8000000000000001E-2"/>
    <n v="2331.1999999999998"/>
    <n v="2340"/>
    <n v="2356.1999999999998"/>
    <m/>
    <m/>
    <n v="470.1"/>
    <n v="470.2"/>
    <n v="0"/>
  </r>
  <r>
    <x v="54"/>
    <n v="1200"/>
    <n v="470.05869999999999"/>
    <n v="4.5999999999999999E-2"/>
    <n v="463.2552"/>
    <n v="472.03269999999998"/>
    <n v="474.88830000000002"/>
    <n v="3.2000000000000001E-2"/>
    <n v="5.0999999999999997E-2"/>
    <n v="5.2999999999999999E-2"/>
    <n v="2331.1999999999998"/>
    <n v="2340"/>
    <n v="2356"/>
    <m/>
    <m/>
    <n v="470.1"/>
    <n v="470.2"/>
    <n v="0"/>
  </r>
  <r>
    <x v="54"/>
    <n v="1300"/>
    <n v="470.05189999999999"/>
    <n v="0.05"/>
    <n v="463.25700000000001"/>
    <n v="472.0197"/>
    <n v="474.87909999999999"/>
    <n v="4.4999999999999998E-2"/>
    <n v="5.2999999999999999E-2"/>
    <n v="5.1999999999999998E-2"/>
    <n v="2331.1999999999998"/>
    <n v="2339.8000000000002"/>
    <n v="2356"/>
    <m/>
    <m/>
    <n v="470.1"/>
    <n v="470.2"/>
    <n v="0"/>
  </r>
  <r>
    <x v="54"/>
    <n v="1400"/>
    <n v="470.03840000000002"/>
    <n v="4.8000000000000001E-2"/>
    <n v="463.2405"/>
    <n v="472.01229999999998"/>
    <n v="474.86239999999998"/>
    <n v="4.4999999999999998E-2"/>
    <n v="5.1999999999999998E-2"/>
    <n v="4.5999999999999999E-2"/>
    <n v="2331"/>
    <n v="2339.8000000000002"/>
    <n v="2356"/>
    <m/>
    <m/>
    <n v="470"/>
    <n v="470.2"/>
    <n v="0"/>
  </r>
  <r>
    <x v="54"/>
    <n v="1500"/>
    <n v="470.00150000000002"/>
    <n v="4.5999999999999999E-2"/>
    <n v="463.21850000000001"/>
    <n v="471.9384"/>
    <n v="474.8476"/>
    <n v="5.1999999999999998E-2"/>
    <n v="0.05"/>
    <n v="3.5000000000000003E-2"/>
    <n v="2331"/>
    <n v="2339.8000000000002"/>
    <n v="2356"/>
    <m/>
    <m/>
    <n v="470"/>
    <n v="470.2"/>
    <n v="0"/>
  </r>
  <r>
    <x v="54"/>
    <n v="1600"/>
    <n v="470.01139999999998"/>
    <n v="0.04"/>
    <n v="463.21120000000002"/>
    <n v="471.98090000000002"/>
    <n v="474.84210000000002"/>
    <n v="5.1999999999999998E-2"/>
    <n v="3.6999999999999998E-2"/>
    <n v="2.7E-2"/>
    <n v="2331"/>
    <n v="2339.8000000000002"/>
    <n v="2356.1999999999998"/>
    <m/>
    <m/>
    <n v="470"/>
    <n v="470.2"/>
    <n v="0"/>
  </r>
  <r>
    <x v="54"/>
    <n v="1700"/>
    <n v="470.11349999999999"/>
    <n v="3.7999999999999999E-2"/>
    <n v="463.31020000000001"/>
    <n v="472.08819999999997"/>
    <n v="474.94200000000001"/>
    <n v="5.1999999999999998E-2"/>
    <n v="3.7999999999999999E-2"/>
    <n v="1.4E-2"/>
    <n v="2331.1999999999998"/>
    <n v="2340"/>
    <n v="2356.1999999999998"/>
    <m/>
    <m/>
    <n v="470.1"/>
    <n v="470.2"/>
    <n v="0"/>
  </r>
  <r>
    <x v="54"/>
    <n v="1800"/>
    <n v="470.13499999999999"/>
    <n v="4.8000000000000001E-2"/>
    <n v="463.32119999999998"/>
    <n v="472.12889999999999"/>
    <n v="474.95499999999998"/>
    <n v="5.1999999999999998E-2"/>
    <n v="5.2999999999999999E-2"/>
    <n v="3.6999999999999998E-2"/>
    <n v="2331.1999999999998"/>
    <n v="2340"/>
    <n v="2356.1999999999998"/>
    <m/>
    <m/>
    <n v="470.1"/>
    <n v="470.2"/>
    <n v="0"/>
  </r>
  <r>
    <x v="54"/>
    <n v="1900"/>
    <n v="470.15159999999997"/>
    <n v="0.05"/>
    <n v="463.34870000000001"/>
    <n v="472.12329999999997"/>
    <n v="474.9828"/>
    <n v="4.2999999999999997E-2"/>
    <n v="5.2999999999999999E-2"/>
    <n v="5.1999999999999998E-2"/>
    <n v="2331.4"/>
    <n v="2340.1999999999998"/>
    <n v="2356.1999999999998"/>
    <m/>
    <m/>
    <n v="470.2"/>
    <n v="470.2"/>
    <n v="0"/>
  </r>
  <r>
    <x v="54"/>
    <n v="2000"/>
    <n v="470.42419999999998"/>
    <n v="4.4999999999999998E-2"/>
    <n v="463.61649999999997"/>
    <n v="472.3954"/>
    <n v="475.26080000000002"/>
    <n v="0.05"/>
    <n v="4.8000000000000001E-2"/>
    <n v="3.4000000000000002E-2"/>
    <n v="2331.8000000000002"/>
    <n v="2340.6"/>
    <n v="2356.8000000000002"/>
    <m/>
    <m/>
    <n v="470.4"/>
    <n v="470.4"/>
    <n v="0.19999999999998863"/>
  </r>
  <r>
    <x v="54"/>
    <n v="2100"/>
    <n v="471.0736"/>
    <n v="4.8000000000000001E-2"/>
    <n v="464.24950000000001"/>
    <n v="473.05059999999997"/>
    <n v="475.92059999999998"/>
    <n v="5.0999999999999997E-2"/>
    <n v="4.7E-2"/>
    <n v="4.7E-2"/>
    <n v="2333"/>
    <n v="2341.8000000000002"/>
    <n v="2358"/>
    <m/>
    <m/>
    <n v="471.1"/>
    <n v="471.1"/>
    <n v="0.70000000000004547"/>
  </r>
  <r>
    <x v="54"/>
    <n v="2200"/>
    <n v="471.71039999999999"/>
    <n v="4.5999999999999999E-2"/>
    <n v="464.88650000000001"/>
    <n v="473.66370000000001"/>
    <n v="476.58080000000001"/>
    <n v="5.1999999999999998E-2"/>
    <n v="0.03"/>
    <n v="5.2999999999999999E-2"/>
    <n v="2334.4"/>
    <n v="2343"/>
    <n v="2359.4"/>
    <m/>
    <m/>
    <n v="471.7"/>
    <n v="471.7"/>
    <n v="0.59999999999996589"/>
  </r>
  <r>
    <x v="54"/>
    <n v="2300"/>
    <n v="472.07029999999997"/>
    <n v="4.2999999999999997E-2"/>
    <n v="465.22449999999998"/>
    <n v="474.06209999999999"/>
    <n v="476.92419999999998"/>
    <n v="4.7E-2"/>
    <n v="3.6999999999999998E-2"/>
    <n v="4.3999999999999997E-2"/>
    <n v="2334.8000000000002"/>
    <n v="2343.8000000000002"/>
    <n v="2360"/>
    <m/>
    <m/>
    <n v="472.1"/>
    <n v="472.1"/>
    <n v="0.40000000000003411"/>
  </r>
  <r>
    <x v="54"/>
    <n v="2400"/>
    <n v="472.35989999999998"/>
    <n v="4.9000000000000002E-2"/>
    <n v="465.5147"/>
    <n v="474.36790000000002"/>
    <n v="477.197"/>
    <n v="5.1999999999999998E-2"/>
    <n v="4.4999999999999998E-2"/>
    <n v="5.0999999999999997E-2"/>
    <n v="2335.4"/>
    <n v="2344.4"/>
    <n v="2360.4"/>
    <m/>
    <m/>
    <n v="472.4"/>
    <n v="472.4"/>
    <n v="0.29999999999995453"/>
  </r>
  <r>
    <x v="55"/>
    <n v="100"/>
    <n v="472.56880000000001"/>
    <n v="4.7E-2"/>
    <n v="465.72430000000003"/>
    <n v="474.58300000000003"/>
    <n v="477.39929999999998"/>
    <n v="5.1999999999999998E-2"/>
    <n v="4.2999999999999997E-2"/>
    <n v="4.7E-2"/>
    <n v="2335.8000000000002"/>
    <n v="2344.8000000000002"/>
    <n v="2360.8000000000002"/>
    <m/>
    <m/>
    <n v="472.6"/>
    <n v="472.6"/>
    <n v="0.20000000000004547"/>
  </r>
  <r>
    <x v="55"/>
    <n v="200"/>
    <n v="472.63170000000002"/>
    <n v="4.4999999999999998E-2"/>
    <n v="465.79039999999998"/>
    <n v="474.64789999999999"/>
    <n v="477.45690000000002"/>
    <n v="0.04"/>
    <n v="5.1999999999999998E-2"/>
    <n v="4.2000000000000003E-2"/>
    <n v="2336"/>
    <n v="2344.8000000000002"/>
    <n v="2361"/>
    <m/>
    <m/>
    <n v="472.6"/>
    <n v="472.6"/>
    <n v="0"/>
  </r>
  <r>
    <x v="55"/>
    <n v="300"/>
    <n v="472.63549999999998"/>
    <n v="3.7999999999999999E-2"/>
    <n v="465.77940000000001"/>
    <n v="474.65530000000001"/>
    <n v="477.4717"/>
    <n v="3.1E-2"/>
    <n v="5.2999999999999999E-2"/>
    <n v="2.4E-2"/>
    <n v="2336"/>
    <n v="2344.8000000000002"/>
    <n v="2361"/>
    <m/>
    <m/>
    <n v="472.6"/>
    <n v="472.6"/>
    <n v="0"/>
  </r>
  <r>
    <x v="55"/>
    <n v="400"/>
    <n v="472.63049999999998"/>
    <n v="3.5999999999999997E-2"/>
    <n v="465.77569999999997"/>
    <n v="474.63679999999999"/>
    <n v="477.47919999999999"/>
    <n v="1.4E-2"/>
    <n v="4.8000000000000001E-2"/>
    <n v="3.6999999999999998E-2"/>
    <n v="2336"/>
    <n v="2344.8000000000002"/>
    <n v="2361"/>
    <m/>
    <m/>
    <n v="472.6"/>
    <n v="472.6"/>
    <n v="0"/>
  </r>
  <r>
    <x v="55"/>
    <n v="500"/>
    <n v="472.64839999999998"/>
    <n v="4.5999999999999999E-2"/>
    <n v="465.78859999999997"/>
    <n v="474.64789999999999"/>
    <n v="477.50889999999998"/>
    <n v="3.7999999999999999E-2"/>
    <n v="5.1999999999999998E-2"/>
    <n v="4.8000000000000001E-2"/>
    <n v="2336"/>
    <n v="2344.8000000000002"/>
    <n v="2361"/>
    <m/>
    <m/>
    <n v="472.6"/>
    <n v="472.6"/>
    <n v="0"/>
  </r>
  <r>
    <x v="55"/>
    <n v="600"/>
    <n v="472.67559999999997"/>
    <n v="4.9000000000000002E-2"/>
    <n v="465.80509999999998"/>
    <n v="474.69060000000002"/>
    <n v="477.53109999999998"/>
    <n v="0.05"/>
    <n v="4.2000000000000003E-2"/>
    <n v="5.2999999999999999E-2"/>
    <n v="2336"/>
    <n v="2345"/>
    <n v="2361"/>
    <m/>
    <m/>
    <n v="472.7"/>
    <n v="472.7"/>
    <n v="9.9999999999965894E-2"/>
  </r>
  <r>
    <x v="55"/>
    <n v="700"/>
    <n v="472.69470000000001"/>
    <n v="4.5999999999999999E-2"/>
    <n v="465.83449999999999"/>
    <n v="474.69240000000002"/>
    <n v="477.55709999999999"/>
    <n v="5.1999999999999998E-2"/>
    <n v="0.04"/>
    <n v="4.5999999999999999E-2"/>
    <n v="2336"/>
    <n v="2345"/>
    <n v="2361"/>
    <m/>
    <m/>
    <n v="472.7"/>
    <n v="472.7"/>
    <n v="0"/>
  </r>
  <r>
    <x v="55"/>
    <n v="800"/>
    <n v="472.71929999999998"/>
    <n v="3.9E-2"/>
    <n v="465.85840000000002"/>
    <n v="474.7276"/>
    <n v="477.57190000000003"/>
    <n v="4.3999999999999997E-2"/>
    <n v="3.9E-2"/>
    <n v="3.2000000000000001E-2"/>
    <n v="2336.1999999999998"/>
    <n v="2345"/>
    <n v="2361.1999999999998"/>
    <m/>
    <m/>
    <n v="472.7"/>
    <n v="472.7"/>
    <n v="0"/>
  </r>
  <r>
    <x v="55"/>
    <n v="900"/>
    <n v="472.70249999999999"/>
    <n v="3.6999999999999998E-2"/>
    <n v="465.89139999999998"/>
    <n v="474.71460000000002"/>
    <n v="477.50139999999999"/>
    <n v="3.5999999999999997E-2"/>
    <n v="2.8000000000000001E-2"/>
    <n v="4.3999999999999997E-2"/>
    <n v="2336.1999999999998"/>
    <n v="2345"/>
    <n v="2361"/>
    <m/>
    <m/>
    <n v="472.7"/>
    <n v="472.7"/>
    <n v="0"/>
  </r>
  <r>
    <x v="55"/>
    <n v="1000"/>
    <n v="472.67340000000002"/>
    <n v="4.1000000000000002E-2"/>
    <n v="465.90429999999998"/>
    <n v="474.7054"/>
    <n v="477.41050000000001"/>
    <n v="4.2999999999999997E-2"/>
    <n v="2.4E-2"/>
    <n v="5.0999999999999997E-2"/>
    <n v="2336.1999999999998"/>
    <n v="2345"/>
    <n v="2360.8000000000002"/>
    <m/>
    <m/>
    <n v="472.7"/>
    <n v="472.7"/>
    <n v="0"/>
  </r>
  <r>
    <x v="55"/>
    <n v="1100"/>
    <n v="472.6574"/>
    <n v="5.0999999999999997E-2"/>
    <n v="465.89330000000001"/>
    <n v="474.65159999999997"/>
    <n v="477.42720000000003"/>
    <n v="4.7E-2"/>
    <n v="5.1999999999999998E-2"/>
    <n v="5.2999999999999999E-2"/>
    <n v="2336.4"/>
    <n v="2344.8000000000002"/>
    <n v="2361"/>
    <m/>
    <m/>
    <n v="472.7"/>
    <n v="472.7"/>
    <n v="0"/>
  </r>
  <r>
    <x v="55"/>
    <n v="1200"/>
    <n v="472.64120000000003"/>
    <n v="4.2000000000000003E-2"/>
    <n v="465.90800000000002"/>
    <n v="474.6182"/>
    <n v="477.39749999999998"/>
    <n v="4.4999999999999998E-2"/>
    <n v="3.5000000000000003E-2"/>
    <n v="4.5999999999999999E-2"/>
    <n v="2336.1999999999998"/>
    <n v="2344.8000000000002"/>
    <n v="2360.8000000000002"/>
    <m/>
    <m/>
    <n v="472.6"/>
    <n v="472.7"/>
    <n v="0"/>
  </r>
  <r>
    <x v="55"/>
    <n v="1300"/>
    <n v="472.5976"/>
    <n v="0.05"/>
    <n v="465.84550000000002"/>
    <n v="474.55520000000001"/>
    <n v="477.39190000000002"/>
    <n v="5.3999999999999999E-2"/>
    <n v="5.2999999999999999E-2"/>
    <n v="4.2000000000000003E-2"/>
    <n v="2336"/>
    <n v="2344.8000000000002"/>
    <n v="2360.8000000000002"/>
    <m/>
    <m/>
    <n v="472.6"/>
    <n v="472.7"/>
    <n v="0"/>
  </r>
  <r>
    <x v="55"/>
    <n v="1400"/>
    <n v="472.55919999999998"/>
    <n v="4.4999999999999998E-2"/>
    <n v="465.84370000000001"/>
    <n v="474.4699"/>
    <n v="477.36410000000001"/>
    <n v="5.0999999999999997E-2"/>
    <n v="4.8000000000000001E-2"/>
    <n v="3.4000000000000002E-2"/>
    <n v="2336.1999999999998"/>
    <n v="2344.6"/>
    <n v="2360.8000000000002"/>
    <m/>
    <m/>
    <n v="472.6"/>
    <n v="472.7"/>
    <n v="0"/>
  </r>
  <r>
    <x v="55"/>
    <n v="1500"/>
    <n v="472.56670000000003"/>
    <n v="4.3999999999999997E-2"/>
    <n v="465.81799999999998"/>
    <n v="474.48660000000001"/>
    <n v="477.3956"/>
    <n v="5.0999999999999997E-2"/>
    <n v="3.5000000000000003E-2"/>
    <n v="4.3999999999999997E-2"/>
    <n v="2336.1999999999998"/>
    <n v="2344.6"/>
    <n v="2360.8000000000002"/>
    <m/>
    <m/>
    <n v="472.6"/>
    <n v="472.7"/>
    <n v="0"/>
  </r>
  <r>
    <x v="55"/>
    <n v="1600"/>
    <n v="472.60700000000003"/>
    <n v="4.1000000000000002E-2"/>
    <n v="465.78489999999999"/>
    <n v="474.59230000000002"/>
    <n v="477.44389999999999"/>
    <n v="3.3000000000000002E-2"/>
    <n v="0.04"/>
    <n v="4.9000000000000002E-2"/>
    <n v="2336"/>
    <n v="2345"/>
    <n v="2361"/>
    <m/>
    <m/>
    <n v="472.6"/>
    <n v="472.7"/>
    <n v="0"/>
  </r>
  <r>
    <x v="55"/>
    <n v="1700"/>
    <n v="472.67129999999997"/>
    <n v="5.0999999999999997E-2"/>
    <n v="465.80880000000002"/>
    <n v="474.66090000000003"/>
    <n v="477.54410000000001"/>
    <n v="4.8000000000000001E-2"/>
    <n v="5.2999999999999999E-2"/>
    <n v="5.0999999999999997E-2"/>
    <n v="2336.1999999999998"/>
    <n v="2345"/>
    <n v="2361.1999999999998"/>
    <m/>
    <m/>
    <n v="472.7"/>
    <n v="472.7"/>
    <n v="0"/>
  </r>
  <r>
    <x v="55"/>
    <n v="1800"/>
    <n v="472.69779999999997"/>
    <n v="4.3999999999999997E-2"/>
    <n v="465.83819999999997"/>
    <n v="474.6739"/>
    <n v="477.58120000000002"/>
    <n v="5.1999999999999998E-2"/>
    <n v="0.05"/>
    <n v="2.4E-2"/>
    <n v="2336"/>
    <n v="2345"/>
    <n v="2361.1999999999998"/>
    <m/>
    <m/>
    <n v="472.7"/>
    <n v="472.7"/>
    <n v="0"/>
  </r>
  <r>
    <x v="55"/>
    <n v="1900"/>
    <n v="472.71379999999999"/>
    <n v="4.1000000000000002E-2"/>
    <n v="465.84739999999999"/>
    <n v="474.70170000000002"/>
    <n v="477.59230000000002"/>
    <n v="4.9000000000000002E-2"/>
    <n v="4.1000000000000002E-2"/>
    <n v="0.03"/>
    <n v="2336.1999999999998"/>
    <n v="2345"/>
    <n v="2361.1999999999998"/>
    <m/>
    <m/>
    <n v="472.7"/>
    <n v="472.7"/>
    <n v="0"/>
  </r>
  <r>
    <x v="55"/>
    <n v="2000"/>
    <n v="472.72859999999997"/>
    <n v="4.3999999999999997E-2"/>
    <n v="465.85289999999998"/>
    <n v="474.72199999999998"/>
    <n v="477.61090000000002"/>
    <n v="4.7E-2"/>
    <n v="3.7999999999999999E-2"/>
    <n v="4.7E-2"/>
    <n v="2336.1999999999998"/>
    <n v="2345"/>
    <n v="2361.1999999999998"/>
    <m/>
    <m/>
    <n v="472.7"/>
    <n v="472.7"/>
    <n v="0"/>
  </r>
  <r>
    <x v="55"/>
    <n v="2100"/>
    <n v="472.72930000000002"/>
    <n v="4.8000000000000001E-2"/>
    <n v="465.84"/>
    <n v="474.72579999999999"/>
    <n v="477.62209999999999"/>
    <n v="5.0999999999999997E-2"/>
    <n v="4.2000000000000003E-2"/>
    <n v="5.0999999999999997E-2"/>
    <n v="2336"/>
    <n v="2345"/>
    <n v="2361.1999999999998"/>
    <m/>
    <m/>
    <n v="472.7"/>
    <n v="472.7"/>
    <n v="0"/>
  </r>
  <r>
    <x v="55"/>
    <n v="2200"/>
    <n v="472.73050000000001"/>
    <n v="4.2999999999999997E-2"/>
    <n v="465.851"/>
    <n v="474.71280000000002"/>
    <n v="477.62759999999997"/>
    <n v="4.8000000000000001E-2"/>
    <n v="2.4E-2"/>
    <n v="5.1999999999999998E-2"/>
    <n v="2336.1999999999998"/>
    <n v="2345"/>
    <n v="2361.4"/>
    <m/>
    <m/>
    <n v="472.7"/>
    <n v="472.7"/>
    <n v="0"/>
  </r>
  <r>
    <x v="55"/>
    <n v="2300"/>
    <n v="472.72800000000001"/>
    <n v="4.4999999999999998E-2"/>
    <n v="465.84550000000002"/>
    <n v="474.7165"/>
    <n v="477.62209999999999"/>
    <n v="0.05"/>
    <n v="3.1E-2"/>
    <n v="5.0999999999999997E-2"/>
    <n v="2336"/>
    <n v="2345"/>
    <n v="2361.1999999999998"/>
    <m/>
    <m/>
    <n v="472.7"/>
    <n v="472.7"/>
    <n v="0"/>
  </r>
  <r>
    <x v="55"/>
    <n v="2400"/>
    <n v="472.71440000000001"/>
    <n v="4.1000000000000002E-2"/>
    <n v="465.84"/>
    <n v="474.7054"/>
    <n v="477.59789999999998"/>
    <n v="5.0999999999999997E-2"/>
    <n v="3.1E-2"/>
    <n v="3.6999999999999998E-2"/>
    <n v="2336.1999999999998"/>
    <n v="2345"/>
    <n v="2361.1999999999998"/>
    <m/>
    <m/>
    <n v="472.7"/>
    <n v="472.7"/>
    <n v="0"/>
  </r>
  <r>
    <x v="56"/>
    <n v="100"/>
    <n v="472.70650000000001"/>
    <n v="3.5000000000000003E-2"/>
    <n v="465.82709999999997"/>
    <n v="474.7054"/>
    <n v="477.58679999999998"/>
    <n v="5.1999999999999998E-2"/>
    <n v="2.4E-2"/>
    <n v="1.9E-2"/>
    <n v="2336.1999999999998"/>
    <n v="2345"/>
    <n v="2361.1999999999998"/>
    <m/>
    <m/>
    <n v="472.7"/>
    <n v="472.7"/>
    <n v="0"/>
  </r>
  <r>
    <x v="56"/>
    <n v="200"/>
    <n v="472.69170000000003"/>
    <n v="4.2000000000000003E-2"/>
    <n v="465.8125"/>
    <n v="474.6961"/>
    <n v="477.56639999999999"/>
    <n v="4.9000000000000002E-2"/>
    <n v="3.6999999999999998E-2"/>
    <n v="3.9E-2"/>
    <n v="2336"/>
    <n v="2345"/>
    <n v="2361.1999999999998"/>
    <m/>
    <m/>
    <n v="472.7"/>
    <n v="472.7"/>
    <n v="0"/>
  </r>
  <r>
    <x v="56"/>
    <n v="300"/>
    <n v="472.66879999999998"/>
    <n v="4.8000000000000001E-2"/>
    <n v="465.79590000000002"/>
    <n v="474.67200000000003"/>
    <n v="477.5385"/>
    <n v="0.04"/>
    <n v="5.0999999999999997E-2"/>
    <n v="5.1999999999999998E-2"/>
    <n v="2336"/>
    <n v="2344.8000000000002"/>
    <n v="2361.1999999999998"/>
    <m/>
    <m/>
    <n v="472.7"/>
    <n v="472.7"/>
    <n v="0"/>
  </r>
  <r>
    <x v="56"/>
    <n v="400"/>
    <n v="472.66640000000001"/>
    <n v="4.5999999999999999E-2"/>
    <n v="465.79039999999998"/>
    <n v="474.6739"/>
    <n v="477.53480000000002"/>
    <n v="3.4000000000000002E-2"/>
    <n v="0.05"/>
    <n v="5.2999999999999999E-2"/>
    <n v="2336"/>
    <n v="2345"/>
    <n v="2361.1999999999998"/>
    <m/>
    <m/>
    <n v="472.7"/>
    <n v="472.7"/>
    <n v="0"/>
  </r>
  <r>
    <x v="56"/>
    <n v="500"/>
    <n v="472.66699999999997"/>
    <n v="4.3999999999999997E-2"/>
    <n v="465.78489999999999"/>
    <n v="474.67939999999999"/>
    <n v="477.5367"/>
    <n v="2.7E-2"/>
    <n v="4.8000000000000001E-2"/>
    <n v="5.1999999999999998E-2"/>
    <n v="2336"/>
    <n v="2345"/>
    <n v="2361"/>
    <m/>
    <m/>
    <n v="472.7"/>
    <n v="472.7"/>
    <n v="0"/>
  </r>
  <r>
    <x v="56"/>
    <n v="600"/>
    <n v="472.6694"/>
    <n v="4.5999999999999999E-2"/>
    <n v="465.79230000000001"/>
    <n v="474.67939999999999"/>
    <n v="477.5367"/>
    <n v="3.5999999999999997E-2"/>
    <n v="4.8000000000000001E-2"/>
    <n v="5.1999999999999998E-2"/>
    <n v="2336"/>
    <n v="2344.8000000000002"/>
    <n v="2361.1999999999998"/>
    <m/>
    <m/>
    <n v="472.7"/>
    <n v="472.7"/>
    <n v="0"/>
  </r>
  <r>
    <x v="56"/>
    <n v="700"/>
    <n v="472.65960000000001"/>
    <n v="4.2999999999999997E-2"/>
    <n v="465.77940000000001"/>
    <n v="474.67200000000003"/>
    <n v="477.5274"/>
    <n v="1.4E-2"/>
    <n v="5.0999999999999997E-2"/>
    <n v="5.2999999999999999E-2"/>
    <n v="2336"/>
    <n v="2345"/>
    <n v="2361"/>
    <m/>
    <m/>
    <n v="472.7"/>
    <n v="472.7"/>
    <n v="0"/>
  </r>
  <r>
    <x v="56"/>
    <n v="800"/>
    <n v="472.65960000000001"/>
    <n v="4.3999999999999997E-2"/>
    <n v="465.78309999999999"/>
    <n v="474.67570000000001"/>
    <n v="477.52"/>
    <n v="2.3E-2"/>
    <n v="0.05"/>
    <n v="5.1999999999999998E-2"/>
    <n v="2336"/>
    <n v="2345"/>
    <n v="2361"/>
    <m/>
    <m/>
    <n v="472.7"/>
    <n v="472.7"/>
    <n v="0"/>
  </r>
  <r>
    <x v="56"/>
    <n v="900"/>
    <n v="472.6472"/>
    <n v="4.4999999999999998E-2"/>
    <n v="465.76839999999999"/>
    <n v="474.66269999999997"/>
    <n v="477.51069999999999"/>
    <n v="0.03"/>
    <n v="5.2999999999999999E-2"/>
    <n v="4.9000000000000002E-2"/>
    <n v="2336"/>
    <n v="2344.8000000000002"/>
    <n v="2361"/>
    <m/>
    <m/>
    <n v="472.6"/>
    <n v="472.7"/>
    <n v="0"/>
  </r>
  <r>
    <x v="56"/>
    <n v="1000"/>
    <n v="472.63"/>
    <n v="3.9E-2"/>
    <n v="465.76280000000003"/>
    <n v="474.64420000000001"/>
    <n v="477.4828"/>
    <n v="3.5999999999999997E-2"/>
    <n v="5.0999999999999997E-2"/>
    <n v="2.4E-2"/>
    <n v="2336"/>
    <n v="2345"/>
    <n v="2361"/>
    <m/>
    <m/>
    <n v="472.6"/>
    <n v="472.7"/>
    <n v="0"/>
  </r>
  <r>
    <x v="56"/>
    <n v="1100"/>
    <n v="472.5874"/>
    <n v="4.5999999999999999E-2"/>
    <n v="465.74259999999998"/>
    <n v="474.59230000000002"/>
    <n v="477.42720000000003"/>
    <n v="4.9000000000000002E-2"/>
    <n v="3.5000000000000003E-2"/>
    <n v="5.2999999999999999E-2"/>
    <n v="2336"/>
    <n v="2344.8000000000002"/>
    <n v="2360.8000000000002"/>
    <m/>
    <m/>
    <n v="472.6"/>
    <n v="472.7"/>
    <n v="0"/>
  </r>
  <r>
    <x v="56"/>
    <n v="1200"/>
    <n v="472.54219999999998"/>
    <n v="4.3999999999999997E-2"/>
    <n v="465.75"/>
    <n v="474.52550000000002"/>
    <n v="477.35109999999997"/>
    <n v="4.5999999999999999E-2"/>
    <n v="4.4999999999999998E-2"/>
    <n v="4.2000000000000003E-2"/>
    <n v="2336"/>
    <n v="2344.6"/>
    <n v="2360.8000000000002"/>
    <m/>
    <m/>
    <n v="472.5"/>
    <n v="472.7"/>
    <n v="0"/>
  </r>
  <r>
    <x v="56"/>
    <n v="1300"/>
    <n v="472.5213"/>
    <n v="4.2999999999999997E-2"/>
    <n v="465.6986"/>
    <n v="474.5181"/>
    <n v="477.34739999999999"/>
    <n v="4.4999999999999998E-2"/>
    <n v="0.04"/>
    <n v="4.3999999999999997E-2"/>
    <n v="2335.8000000000002"/>
    <n v="2344.6"/>
    <n v="2360.8000000000002"/>
    <m/>
    <m/>
    <n v="472.5"/>
    <n v="472.7"/>
    <n v="0"/>
  </r>
  <r>
    <x v="56"/>
    <n v="1400"/>
    <n v="472.53930000000003"/>
    <n v="4.2000000000000003E-2"/>
    <n v="465.70409999999998"/>
    <n v="474.5385"/>
    <n v="477.37520000000001"/>
    <n v="4.8000000000000001E-2"/>
    <n v="5.0999999999999997E-2"/>
    <n v="1.9E-2"/>
    <n v="2335.8000000000002"/>
    <n v="2344.8000000000002"/>
    <n v="2360.8000000000002"/>
    <m/>
    <m/>
    <n v="472.5"/>
    <n v="472.7"/>
    <n v="0"/>
  </r>
  <r>
    <x v="56"/>
    <n v="1500"/>
    <n v="472.5498"/>
    <n v="4.3999999999999997E-2"/>
    <n v="465.68939999999998"/>
    <n v="474.56630000000001"/>
    <n v="477.3938"/>
    <n v="3.7999999999999999E-2"/>
    <n v="5.0999999999999997E-2"/>
    <n v="4.2999999999999997E-2"/>
    <n v="2335.8000000000002"/>
    <n v="2344.6"/>
    <n v="2361"/>
    <m/>
    <m/>
    <n v="472.5"/>
    <n v="472.7"/>
    <n v="0"/>
  </r>
  <r>
    <x v="56"/>
    <n v="1600"/>
    <n v="472.577"/>
    <n v="4.3999999999999997E-2"/>
    <n v="465.70409999999998"/>
    <n v="474.59780000000001"/>
    <n v="477.42899999999997"/>
    <n v="4.8000000000000001E-2"/>
    <n v="2.7E-2"/>
    <n v="5.2999999999999999E-2"/>
    <n v="2335.8000000000002"/>
    <n v="2344.6"/>
    <n v="2361"/>
    <m/>
    <m/>
    <n v="472.6"/>
    <n v="472.7"/>
    <n v="0"/>
  </r>
  <r>
    <x v="56"/>
    <n v="1700"/>
    <n v="472.5992"/>
    <n v="4.2999999999999997E-2"/>
    <n v="465.72609999999997"/>
    <n v="474.6164"/>
    <n v="477.45499999999998"/>
    <n v="5.1999999999999998E-2"/>
    <n v="3.2000000000000001E-2"/>
    <n v="4.2999999999999997E-2"/>
    <n v="2335.8000000000002"/>
    <n v="2344.8000000000002"/>
    <n v="2361"/>
    <m/>
    <m/>
    <n v="472.6"/>
    <n v="472.7"/>
    <n v="0"/>
  </r>
  <r>
    <x v="56"/>
    <n v="1800"/>
    <n v="472.6103"/>
    <n v="4.2000000000000003E-2"/>
    <n v="465.73899999999998"/>
    <n v="474.62560000000002"/>
    <n v="477.46620000000001"/>
    <n v="5.0999999999999997E-2"/>
    <n v="4.2000000000000003E-2"/>
    <n v="3.2000000000000001E-2"/>
    <n v="2336"/>
    <n v="2344.8000000000002"/>
    <n v="2360.8000000000002"/>
    <m/>
    <m/>
    <n v="472.6"/>
    <n v="472.7"/>
    <n v="0"/>
  </r>
  <r>
    <x v="56"/>
    <n v="1900"/>
    <n v="472.61829999999998"/>
    <n v="4.2000000000000003E-2"/>
    <n v="465.73349999999999"/>
    <n v="474.64229999999998"/>
    <n v="477.47919999999999"/>
    <n v="5.1999999999999998E-2"/>
    <n v="0.05"/>
    <n v="1.4E-2"/>
    <n v="2335.8000000000002"/>
    <n v="2344.8000000000002"/>
    <n v="2361"/>
    <m/>
    <m/>
    <n v="472.6"/>
    <n v="472.7"/>
    <n v="0"/>
  </r>
  <r>
    <x v="56"/>
    <n v="2000"/>
    <n v="472.63189999999997"/>
    <n v="4.9000000000000002E-2"/>
    <n v="465.74259999999998"/>
    <n v="474.65350000000001"/>
    <n v="477.49959999999999"/>
    <n v="4.9000000000000002E-2"/>
    <n v="5.2999999999999999E-2"/>
    <n v="4.2999999999999997E-2"/>
    <n v="2335.8000000000002"/>
    <n v="2344.8000000000002"/>
    <n v="2361"/>
    <m/>
    <m/>
    <n v="472.6"/>
    <n v="472.7"/>
    <n v="0"/>
  </r>
  <r>
    <x v="56"/>
    <n v="2100"/>
    <n v="472.63810000000001"/>
    <n v="4.8000000000000001E-2"/>
    <n v="465.7518"/>
    <n v="474.65899999999999"/>
    <n v="477.50330000000002"/>
    <n v="4.4999999999999998E-2"/>
    <n v="5.2999999999999999E-2"/>
    <n v="4.5999999999999999E-2"/>
    <n v="2336"/>
    <n v="2344.8000000000002"/>
    <n v="2361"/>
    <m/>
    <m/>
    <n v="472.6"/>
    <n v="472.7"/>
    <n v="0"/>
  </r>
  <r>
    <x v="56"/>
    <n v="2200"/>
    <n v="472.63869999999997"/>
    <n v="4.8000000000000001E-2"/>
    <n v="465.7518"/>
    <n v="474.66090000000003"/>
    <n v="477.50330000000002"/>
    <n v="4.4999999999999998E-2"/>
    <n v="5.2999999999999999E-2"/>
    <n v="4.5999999999999999E-2"/>
    <n v="2336"/>
    <n v="2345"/>
    <n v="2361"/>
    <m/>
    <m/>
    <n v="472.6"/>
    <n v="472.7"/>
    <n v="0"/>
  </r>
  <r>
    <x v="56"/>
    <n v="2300"/>
    <n v="472.64550000000003"/>
    <n v="4.7E-2"/>
    <n v="465.75920000000002"/>
    <n v="474.66640000000001"/>
    <n v="477.51069999999999"/>
    <n v="0.04"/>
    <n v="5.1999999999999998E-2"/>
    <n v="4.9000000000000002E-2"/>
    <n v="2336"/>
    <n v="2345"/>
    <n v="2361"/>
    <m/>
    <m/>
    <n v="472.6"/>
    <n v="472.7"/>
    <n v="0"/>
  </r>
  <r>
    <x v="56"/>
    <n v="2400"/>
    <n v="472.64670000000001"/>
    <n v="4.8000000000000001E-2"/>
    <n v="465.75740000000002"/>
    <n v="474.66640000000001"/>
    <n v="477.5163"/>
    <n v="4.1000000000000002E-2"/>
    <n v="5.1999999999999998E-2"/>
    <n v="5.0999999999999997E-2"/>
    <n v="2336"/>
    <n v="2344.8000000000002"/>
    <n v="2361.1999999999998"/>
    <m/>
    <m/>
    <n v="472.6"/>
    <n v="472.7"/>
    <n v="0"/>
  </r>
  <r>
    <x v="57"/>
    <n v="100"/>
    <n v="472.64670000000001"/>
    <n v="4.8000000000000001E-2"/>
    <n v="465.75549999999998"/>
    <n v="474.67009999999999"/>
    <n v="477.51440000000002"/>
    <n v="4.2999999999999997E-2"/>
    <n v="5.0999999999999997E-2"/>
    <n v="0.05"/>
    <n v="2336"/>
    <n v="2345"/>
    <n v="2361"/>
    <m/>
    <m/>
    <n v="472.6"/>
    <n v="472.7"/>
    <n v="0"/>
  </r>
  <r>
    <x v="57"/>
    <n v="200"/>
    <n v="472.64240000000001"/>
    <n v="4.7E-2"/>
    <n v="465.75549999999998"/>
    <n v="474.66829999999999"/>
    <n v="477.50330000000002"/>
    <n v="4.2999999999999997E-2"/>
    <n v="5.1999999999999998E-2"/>
    <n v="4.5999999999999999E-2"/>
    <n v="2336"/>
    <n v="2345"/>
    <n v="2361"/>
    <m/>
    <m/>
    <n v="472.6"/>
    <n v="472.7"/>
    <n v="0"/>
  </r>
  <r>
    <x v="57"/>
    <n v="300"/>
    <n v="472.61649999999997"/>
    <n v="4.3999999999999997E-2"/>
    <n v="465.73160000000001"/>
    <n v="474.6386"/>
    <n v="477.47919999999999"/>
    <n v="5.1999999999999998E-2"/>
    <n v="4.9000000000000002E-2"/>
    <n v="2.4E-2"/>
    <n v="2335.8000000000002"/>
    <n v="2344.8000000000002"/>
    <n v="2361"/>
    <m/>
    <m/>
    <n v="472.6"/>
    <n v="472.7"/>
    <n v="0"/>
  </r>
  <r>
    <x v="57"/>
    <n v="400"/>
    <n v="472.5985"/>
    <n v="4.5999999999999999E-2"/>
    <n v="465.73160000000001"/>
    <n v="474.61270000000002"/>
    <n v="477.4513"/>
    <n v="5.1999999999999998E-2"/>
    <n v="3.9E-2"/>
    <n v="4.5999999999999999E-2"/>
    <n v="2336"/>
    <n v="2344.8000000000002"/>
    <n v="2360.8000000000002"/>
    <m/>
    <m/>
    <n v="472.6"/>
    <n v="472.7"/>
    <n v="0"/>
  </r>
  <r>
    <x v="57"/>
    <n v="500"/>
    <n v="472.5838"/>
    <n v="4.3999999999999997E-2"/>
    <n v="465.70780000000002"/>
    <n v="474.61079999999998"/>
    <n v="477.43270000000001"/>
    <n v="4.9000000000000002E-2"/>
    <n v="2.4E-2"/>
    <n v="5.1999999999999998E-2"/>
    <n v="2336"/>
    <n v="2344.8000000000002"/>
    <n v="2361"/>
    <m/>
    <m/>
    <n v="472.6"/>
    <n v="472.7"/>
    <n v="0"/>
  </r>
  <r>
    <x v="57"/>
    <n v="600"/>
    <n v="472.58629999999999"/>
    <n v="4.2000000000000003E-2"/>
    <n v="465.70780000000002"/>
    <n v="474.60899999999998"/>
    <n v="477.44200000000001"/>
    <n v="4.9000000000000002E-2"/>
    <n v="1.9E-2"/>
    <n v="0.05"/>
    <n v="2336"/>
    <n v="2344.8000000000002"/>
    <n v="2360.8000000000002"/>
    <m/>
    <m/>
    <n v="472.6"/>
    <n v="472.7"/>
    <n v="0"/>
  </r>
  <r>
    <x v="57"/>
    <n v="700"/>
    <n v="472.59300000000002"/>
    <n v="4.4999999999999998E-2"/>
    <n v="465.72980000000001"/>
    <n v="474.6071"/>
    <n v="477.44200000000001"/>
    <n v="5.1999999999999998E-2"/>
    <n v="3.1E-2"/>
    <n v="0.05"/>
    <n v="2336"/>
    <n v="2344.8000000000002"/>
    <n v="2361"/>
    <m/>
    <m/>
    <n v="472.6"/>
    <n v="472.7"/>
    <n v="0"/>
  </r>
  <r>
    <x v="57"/>
    <n v="800"/>
    <n v="472.5992"/>
    <n v="4.7E-2"/>
    <n v="465.72430000000003"/>
    <n v="474.62380000000002"/>
    <n v="477.4495"/>
    <n v="5.1999999999999998E-2"/>
    <n v="0.04"/>
    <n v="4.7E-2"/>
    <n v="2335.8000000000002"/>
    <n v="2344.8000000000002"/>
    <n v="2361"/>
    <m/>
    <m/>
    <n v="472.6"/>
    <n v="472.7"/>
    <n v="0"/>
  </r>
  <r>
    <x v="57"/>
    <n v="900"/>
    <n v="472.58870000000002"/>
    <n v="4.8000000000000001E-2"/>
    <n v="465.72609999999997"/>
    <n v="474.61450000000002"/>
    <n v="477.42529999999999"/>
    <n v="5.1999999999999998E-2"/>
    <n v="3.5999999999999997E-2"/>
    <n v="5.2999999999999999E-2"/>
    <n v="2336"/>
    <n v="2344.8000000000002"/>
    <n v="2360.8000000000002"/>
    <m/>
    <m/>
    <n v="472.6"/>
    <n v="472.7"/>
    <n v="0"/>
  </r>
  <r>
    <x v="57"/>
    <n v="1000"/>
    <n v="472.56060000000002"/>
    <n v="3.6999999999999998E-2"/>
    <n v="465.79039999999998"/>
    <n v="474.59780000000001"/>
    <n v="477.29349999999999"/>
    <n v="3.4000000000000002E-2"/>
    <n v="2.7E-2"/>
    <n v="4.7E-2"/>
    <n v="2336"/>
    <n v="2344.8000000000002"/>
    <n v="2360.6"/>
    <m/>
    <m/>
    <n v="472.6"/>
    <n v="472.7"/>
    <n v="0"/>
  </r>
  <r>
    <x v="57"/>
    <n v="1100"/>
    <n v="472.505"/>
    <n v="4.5999999999999999E-2"/>
    <n v="465.76280000000003"/>
    <n v="474.53109999999998"/>
    <n v="477.22109999999998"/>
    <n v="3.5999999999999997E-2"/>
    <n v="4.8000000000000001E-2"/>
    <n v="5.1999999999999998E-2"/>
    <n v="2336"/>
    <n v="2344.8000000000002"/>
    <n v="2360.4"/>
    <m/>
    <m/>
    <n v="472.5"/>
    <n v="472.7"/>
    <n v="0"/>
  </r>
  <r>
    <x v="57"/>
    <n v="1200"/>
    <n v="472.45620000000002"/>
    <n v="4.4999999999999998E-2"/>
    <n v="465.75"/>
    <n v="474.45139999999998"/>
    <n v="477.16719999999998"/>
    <n v="0.05"/>
    <n v="5.2999999999999999E-2"/>
    <n v="2.7E-2"/>
    <n v="2336"/>
    <n v="2344.6"/>
    <n v="2360.4"/>
    <m/>
    <m/>
    <n v="472.5"/>
    <n v="472.7"/>
    <n v="0"/>
  </r>
  <r>
    <x v="57"/>
    <n v="1300"/>
    <n v="472.39100000000002"/>
    <n v="4.2000000000000003E-2"/>
    <n v="465.64530000000002"/>
    <n v="474.36790000000002"/>
    <n v="477.15980000000002"/>
    <n v="4.5999999999999999E-2"/>
    <n v="0.05"/>
    <n v="2.8000000000000001E-2"/>
    <n v="2335.6"/>
    <n v="2344.4"/>
    <n v="2360.4"/>
    <m/>
    <m/>
    <n v="472.4"/>
    <n v="472.7"/>
    <n v="0"/>
  </r>
  <r>
    <x v="57"/>
    <n v="1400"/>
    <n v="472.32380000000001"/>
    <n v="4.7E-2"/>
    <n v="465.59010000000001"/>
    <n v="474.2697"/>
    <n v="477.11149999999998"/>
    <n v="4.2999999999999997E-2"/>
    <n v="4.4999999999999998E-2"/>
    <n v="5.2999999999999999E-2"/>
    <n v="2335.6"/>
    <n v="2344.1999999999998"/>
    <n v="2360.4"/>
    <m/>
    <m/>
    <n v="472.3"/>
    <n v="472.7"/>
    <n v="0"/>
  </r>
  <r>
    <x v="57"/>
    <n v="1500"/>
    <n v="472.31169999999997"/>
    <n v="4.3999999999999997E-2"/>
    <n v="465.5"/>
    <n v="474.2937"/>
    <n v="477.14120000000003"/>
    <n v="0.05"/>
    <n v="4.2000000000000003E-2"/>
    <n v="0.04"/>
    <n v="2335.6"/>
    <n v="2344.4"/>
    <n v="2360.1999999999998"/>
    <m/>
    <m/>
    <n v="472.3"/>
    <n v="472.7"/>
    <n v="0"/>
  </r>
  <r>
    <x v="57"/>
    <n v="1600"/>
    <n v="472.35509999999999"/>
    <n v="3.9E-2"/>
    <n v="465.46690000000001"/>
    <n v="474.40499999999997"/>
    <n v="477.19319999999999"/>
    <n v="3.4000000000000002E-2"/>
    <n v="3.2000000000000001E-2"/>
    <n v="4.9000000000000002E-2"/>
    <n v="2335.4"/>
    <n v="2344.4"/>
    <n v="2360.4"/>
    <m/>
    <m/>
    <n v="472.4"/>
    <n v="472.7"/>
    <n v="0"/>
  </r>
  <r>
    <x v="57"/>
    <n v="1700"/>
    <n v="472.4348"/>
    <n v="4.2999999999999997E-2"/>
    <n v="465.48719999999997"/>
    <n v="474.51069999999999"/>
    <n v="477.30650000000003"/>
    <n v="4.3999999999999997E-2"/>
    <n v="3.2000000000000001E-2"/>
    <n v="5.1999999999999998E-2"/>
    <n v="2335.4"/>
    <n v="2344.6"/>
    <n v="2360.6"/>
    <m/>
    <m/>
    <n v="472.4"/>
    <n v="472.7"/>
    <n v="0"/>
  </r>
  <r>
    <x v="57"/>
    <n v="1800"/>
    <n v="472.52420000000001"/>
    <n v="2.9000000000000001E-2"/>
    <n v="465.5865"/>
    <n v="474.6053"/>
    <n v="477.38080000000002"/>
    <n v="0.04"/>
    <n v="0"/>
    <n v="0.03"/>
    <n v="2335.6"/>
    <n v="2344.8000000000002"/>
    <n v="2360.8000000000002"/>
    <m/>
    <m/>
    <n v="472.5"/>
    <n v="472.7"/>
    <n v="0"/>
  </r>
  <r>
    <x v="57"/>
    <n v="1900"/>
    <n v="472.55619999999999"/>
    <n v="0.05"/>
    <n v="465.61040000000003"/>
    <n v="474.63490000000002"/>
    <n v="477.42349999999999"/>
    <n v="5.0999999999999997E-2"/>
    <n v="4.7E-2"/>
    <n v="5.2999999999999999E-2"/>
    <n v="2335.8000000000002"/>
    <n v="2344.8000000000002"/>
    <n v="2360.8000000000002"/>
    <m/>
    <m/>
    <n v="472.6"/>
    <n v="472.7"/>
    <n v="0"/>
  </r>
  <r>
    <x v="57"/>
    <n v="2000"/>
    <n v="472.53739999999999"/>
    <n v="4.5999999999999999E-2"/>
    <n v="465.52760000000001"/>
    <n v="474.6275"/>
    <n v="477.45690000000002"/>
    <n v="5.0999999999999997E-2"/>
    <n v="4.2999999999999997E-2"/>
    <n v="4.2000000000000003E-2"/>
    <n v="2335.6"/>
    <n v="2344.8000000000002"/>
    <n v="2360.8000000000002"/>
    <m/>
    <m/>
    <n v="472.5"/>
    <n v="472.7"/>
    <n v="0"/>
  </r>
  <r>
    <x v="57"/>
    <n v="2100"/>
    <n v="472.62529999999998"/>
    <n v="3.2000000000000001E-2"/>
    <n v="465.68020000000001"/>
    <n v="474.70170000000002"/>
    <n v="477.49400000000003"/>
    <n v="2.7E-2"/>
    <n v="0.03"/>
    <n v="3.9E-2"/>
    <n v="2335.8000000000002"/>
    <n v="2345"/>
    <n v="2361"/>
    <m/>
    <m/>
    <n v="472.6"/>
    <n v="472.7"/>
    <n v="0"/>
  </r>
  <r>
    <x v="57"/>
    <n v="2200"/>
    <n v="472.60989999999998"/>
    <n v="3.5999999999999997E-2"/>
    <n v="465.66370000000001"/>
    <n v="474.68869999999998"/>
    <n v="477.47730000000001"/>
    <n v="4.1000000000000002E-2"/>
    <n v="4.2999999999999997E-2"/>
    <n v="0.02"/>
    <n v="2335.8000000000002"/>
    <n v="2345"/>
    <n v="2361"/>
    <m/>
    <m/>
    <n v="472.6"/>
    <n v="472.7"/>
    <n v="0"/>
  </r>
  <r>
    <x v="57"/>
    <n v="2300"/>
    <n v="472.60309999999998"/>
    <n v="3.6999999999999998E-2"/>
    <n v="465.64530000000002"/>
    <n v="474.68869999999998"/>
    <n v="477.47539999999998"/>
    <n v="4.5999999999999999E-2"/>
    <n v="4.2999999999999997E-2"/>
    <n v="1.4E-2"/>
    <n v="2335.8000000000002"/>
    <n v="2345"/>
    <n v="2361"/>
    <m/>
    <m/>
    <n v="472.6"/>
    <n v="472.7"/>
    <n v="0"/>
  </r>
  <r>
    <x v="57"/>
    <n v="2400"/>
    <n v="472.59750000000003"/>
    <n v="4.1000000000000002E-2"/>
    <n v="465.65449999999998"/>
    <n v="474.66829999999999"/>
    <n v="477.4699"/>
    <n v="0.04"/>
    <n v="5.1999999999999998E-2"/>
    <n v="2.7E-2"/>
    <n v="2335.8000000000002"/>
    <n v="2344.8000000000002"/>
    <n v="2360.8000000000002"/>
    <m/>
    <m/>
    <n v="472.6"/>
    <n v="472.7"/>
    <n v="0"/>
  </r>
  <r>
    <x v="58"/>
    <n v="100"/>
    <n v="472.59879999999998"/>
    <n v="4.1000000000000002E-2"/>
    <n v="465.6508"/>
    <n v="474.67759999999998"/>
    <n v="477.46800000000002"/>
    <n v="4.2999999999999997E-2"/>
    <n v="4.9000000000000002E-2"/>
    <n v="0.03"/>
    <n v="2335.8000000000002"/>
    <n v="2345"/>
    <n v="2361"/>
    <m/>
    <m/>
    <n v="472.6"/>
    <n v="472.7"/>
    <n v="0"/>
  </r>
  <r>
    <x v="58"/>
    <n v="200"/>
    <n v="472.6037"/>
    <n v="3.6999999999999998E-2"/>
    <n v="465.65809999999999"/>
    <n v="474.68130000000002"/>
    <n v="477.4717"/>
    <n v="3.5999999999999997E-2"/>
    <n v="4.7E-2"/>
    <n v="2.4E-2"/>
    <n v="2335.8000000000002"/>
    <n v="2344.8000000000002"/>
    <n v="2361"/>
    <m/>
    <m/>
    <n v="472.6"/>
    <n v="472.7"/>
    <n v="0"/>
  </r>
  <r>
    <x v="58"/>
    <n v="300"/>
    <n v="472.61419999999998"/>
    <n v="3.5000000000000003E-2"/>
    <n v="465.66180000000003"/>
    <n v="474.69240000000002"/>
    <n v="477.48840000000001"/>
    <n v="3.2000000000000001E-2"/>
    <n v="0.04"/>
    <n v="3.2000000000000001E-2"/>
    <n v="2335.6"/>
    <n v="2345"/>
    <n v="2361.1999999999998"/>
    <m/>
    <m/>
    <n v="472.6"/>
    <n v="472.7"/>
    <n v="0"/>
  </r>
  <r>
    <x v="58"/>
    <n v="400"/>
    <n v="472.60509999999999"/>
    <n v="0.05"/>
    <n v="465.60489999999999"/>
    <n v="474.68310000000002"/>
    <n v="477.5274"/>
    <n v="0.05"/>
    <n v="4.7E-2"/>
    <n v="5.2999999999999999E-2"/>
    <n v="2335.6"/>
    <n v="2344.8000000000002"/>
    <n v="2361"/>
    <m/>
    <m/>
    <n v="472.6"/>
    <n v="472.7"/>
    <n v="0"/>
  </r>
  <r>
    <x v="58"/>
    <n v="500"/>
    <n v="472.69"/>
    <n v="4.4999999999999998E-2"/>
    <n v="465.74079999999998"/>
    <n v="474.74799999999999"/>
    <n v="477.58120000000002"/>
    <n v="0.05"/>
    <n v="0.05"/>
    <n v="3.1E-2"/>
    <n v="2335.8000000000002"/>
    <n v="2345"/>
    <n v="2361.1999999999998"/>
    <m/>
    <m/>
    <n v="472.7"/>
    <n v="472.7"/>
    <n v="0"/>
  </r>
  <r>
    <x v="58"/>
    <n v="600"/>
    <n v="472.69060000000002"/>
    <n v="4.2999999999999997E-2"/>
    <n v="465.73899999999998"/>
    <n v="474.74430000000001"/>
    <n v="477.58870000000002"/>
    <n v="5.0999999999999997E-2"/>
    <n v="4.9000000000000002E-2"/>
    <n v="2.4E-2"/>
    <n v="2335.8000000000002"/>
    <n v="2345"/>
    <n v="2361.1999999999998"/>
    <m/>
    <m/>
    <n v="472.7"/>
    <n v="472.7"/>
    <n v="0"/>
  </r>
  <r>
    <x v="58"/>
    <n v="700"/>
    <n v="472.69369999999998"/>
    <n v="4.2999999999999997E-2"/>
    <n v="465.74630000000002"/>
    <n v="474.74430000000001"/>
    <n v="477.59050000000002"/>
    <n v="4.8000000000000001E-2"/>
    <n v="4.9000000000000002E-2"/>
    <n v="2.7E-2"/>
    <n v="2336"/>
    <n v="2345"/>
    <n v="2361.1999999999998"/>
    <m/>
    <m/>
    <n v="472.7"/>
    <n v="472.7"/>
    <n v="0"/>
  </r>
  <r>
    <x v="58"/>
    <n v="800"/>
    <n v="472.7079"/>
    <n v="4.2999999999999997E-2"/>
    <n v="465.77390000000003"/>
    <n v="474.74979999999999"/>
    <n v="477.59980000000002"/>
    <n v="3.9E-2"/>
    <n v="5.0999999999999997E-2"/>
    <n v="3.9E-2"/>
    <n v="2336"/>
    <n v="2345.1999999999998"/>
    <n v="2361.1999999999998"/>
    <m/>
    <m/>
    <n v="472.7"/>
    <n v="472.7"/>
    <n v="0"/>
  </r>
  <r>
    <x v="58"/>
    <n v="900"/>
    <n v="472.70420000000001"/>
    <n v="4.4999999999999998E-2"/>
    <n v="465.75549999999998"/>
    <n v="474.75729999999999"/>
    <n v="477.59980000000002"/>
    <n v="4.2999999999999997E-2"/>
    <n v="5.1999999999999998E-2"/>
    <n v="3.9E-2"/>
    <n v="2336"/>
    <n v="2345.1999999999998"/>
    <n v="2361.1999999999998"/>
    <m/>
    <m/>
    <n v="472.7"/>
    <n v="472.7"/>
    <n v="0"/>
  </r>
  <r>
    <x v="58"/>
    <n v="1000"/>
    <n v="472.69420000000002"/>
    <n v="4.5999999999999999E-2"/>
    <n v="465.76650000000001"/>
    <n v="474.74619999999999"/>
    <n v="477.57010000000002"/>
    <n v="5.0999999999999997E-2"/>
    <n v="0.05"/>
    <n v="3.5000000000000003E-2"/>
    <n v="2336"/>
    <n v="2345"/>
    <n v="2361.1999999999998"/>
    <m/>
    <m/>
    <n v="472.7"/>
    <n v="472.7"/>
    <n v="0"/>
  </r>
  <r>
    <x v="58"/>
    <n v="1100"/>
    <n v="472.6585"/>
    <n v="4.4999999999999998E-2"/>
    <n v="465.72980000000001"/>
    <n v="474.70170000000002"/>
    <n v="477.54410000000001"/>
    <n v="5.1999999999999998E-2"/>
    <n v="0.03"/>
    <n v="5.0999999999999997E-2"/>
    <n v="2335.8000000000002"/>
    <n v="2345"/>
    <n v="2361"/>
    <m/>
    <m/>
    <n v="472.7"/>
    <n v="472.7"/>
    <n v="0"/>
  </r>
  <r>
    <x v="58"/>
    <n v="1200"/>
    <n v="472.68439999999998"/>
    <n v="2.9000000000000001E-2"/>
    <n v="465.76280000000003"/>
    <n v="474.71280000000002"/>
    <n v="477.57749999999999"/>
    <n v="4.1000000000000002E-2"/>
    <n v="1.4E-2"/>
    <n v="2.4E-2"/>
    <n v="2336"/>
    <n v="2345"/>
    <n v="2361.1999999999998"/>
    <m/>
    <m/>
    <n v="472.7"/>
    <n v="472.7"/>
    <n v="0"/>
  </r>
  <r>
    <x v="58"/>
    <n v="1300"/>
    <n v="472.73680000000002"/>
    <n v="4.9000000000000002E-2"/>
    <n v="465.80509999999998"/>
    <n v="474.77949999999998"/>
    <n v="477.62580000000003"/>
    <n v="4.5999999999999999E-2"/>
    <n v="0.05"/>
    <n v="5.1999999999999998E-2"/>
    <n v="2336"/>
    <n v="2345"/>
    <n v="2361.1999999999998"/>
    <m/>
    <m/>
    <n v="472.7"/>
    <n v="472.7"/>
    <n v="0"/>
  </r>
  <r>
    <x v="58"/>
    <n v="1400"/>
    <n v="472.84660000000002"/>
    <n v="4.7E-2"/>
    <n v="465.9006"/>
    <n v="474.90190000000001"/>
    <n v="477.73719999999997"/>
    <n v="0.04"/>
    <n v="4.5999999999999999E-2"/>
    <n v="5.2999999999999999E-2"/>
    <n v="2336.1999999999998"/>
    <n v="2345.4"/>
    <n v="2361.6"/>
    <m/>
    <m/>
    <n v="472.8"/>
    <n v="472.8"/>
    <n v="0.10000000000002274"/>
  </r>
  <r>
    <x v="58"/>
    <n v="1500"/>
    <n v="472.94839999999999"/>
    <n v="4.8000000000000001E-2"/>
    <n v="465.99799999999999"/>
    <n v="475.00020000000001"/>
    <n v="477.84690000000001"/>
    <n v="4.2999999999999997E-2"/>
    <n v="4.7E-2"/>
    <n v="5.2999999999999999E-2"/>
    <n v="2336.4"/>
    <n v="2345.6"/>
    <n v="2361.6"/>
    <m/>
    <m/>
    <n v="472.9"/>
    <n v="472.9"/>
    <n v="9.9999999999965894E-2"/>
  </r>
  <r>
    <x v="58"/>
    <n v="1600"/>
    <n v="473.01859999999999"/>
    <n v="4.4999999999999998E-2"/>
    <n v="466.08449999999999"/>
    <n v="475.05220000000003"/>
    <n v="477.91930000000002"/>
    <n v="5.0999999999999997E-2"/>
    <n v="4.3999999999999997E-2"/>
    <n v="0.04"/>
    <n v="2336.6"/>
    <n v="2345.6"/>
    <n v="2361.8000000000002"/>
    <m/>
    <m/>
    <n v="473"/>
    <n v="473"/>
    <n v="0.10000000000002274"/>
  </r>
  <r>
    <x v="58"/>
    <n v="1700"/>
    <n v="473.0575"/>
    <n v="4.8000000000000001E-2"/>
    <n v="466.1103"/>
    <n v="475.0967"/>
    <n v="477.96570000000003"/>
    <n v="0.04"/>
    <n v="0.05"/>
    <n v="5.1999999999999998E-2"/>
    <n v="2336.6"/>
    <n v="2345.8000000000002"/>
    <n v="2361.8000000000002"/>
    <m/>
    <m/>
    <n v="473.1"/>
    <n v="473.1"/>
    <n v="0.10000000000002274"/>
  </r>
  <r>
    <x v="58"/>
    <n v="1800"/>
    <n v="473.11500000000001"/>
    <n v="4.8000000000000001E-2"/>
    <n v="466.14890000000003"/>
    <n v="475.15609999999998"/>
    <n v="478.03989999999999"/>
    <n v="5.1999999999999998E-2"/>
    <n v="4.2999999999999997E-2"/>
    <n v="4.9000000000000002E-2"/>
    <n v="2336.6"/>
    <n v="2345.8000000000002"/>
    <n v="2362.1999999999998"/>
    <m/>
    <m/>
    <n v="473.1"/>
    <n v="473.1"/>
    <n v="0"/>
  </r>
  <r>
    <x v="58"/>
    <n v="1900"/>
    <n v="473.25979999999998"/>
    <n v="4.7E-2"/>
    <n v="466.31979999999999"/>
    <n v="475.27480000000003"/>
    <n v="478.1848"/>
    <n v="0.04"/>
    <n v="0.05"/>
    <n v="4.9000000000000002E-2"/>
    <n v="2337"/>
    <n v="2346"/>
    <n v="2362.1999999999998"/>
    <m/>
    <m/>
    <n v="473.3"/>
    <n v="473.3"/>
    <n v="0.19999999999998863"/>
  </r>
  <r>
    <x v="58"/>
    <n v="2000"/>
    <n v="473.38130000000001"/>
    <n v="4.5999999999999999E-2"/>
    <n v="466.44850000000002"/>
    <n v="475.38420000000002"/>
    <n v="478.31119999999999"/>
    <n v="5.0999999999999997E-2"/>
    <n v="5.0999999999999997E-2"/>
    <n v="3.5000000000000003E-2"/>
    <n v="2337.4"/>
    <n v="2346.4"/>
    <n v="2362.6"/>
    <m/>
    <m/>
    <n v="473.4"/>
    <n v="473.4"/>
    <n v="9.9999999999965894E-2"/>
  </r>
  <r>
    <x v="58"/>
    <n v="2100"/>
    <n v="473.56459999999998"/>
    <n v="4.5999999999999999E-2"/>
    <n v="466.6454"/>
    <n v="475.55500000000001"/>
    <n v="478.49329999999998"/>
    <n v="4.7E-2"/>
    <n v="3.6999999999999998E-2"/>
    <n v="5.1999999999999998E-2"/>
    <n v="2337.6"/>
    <n v="2346.6"/>
    <n v="2362.8000000000002"/>
    <m/>
    <m/>
    <n v="473.6"/>
    <n v="473.6"/>
    <n v="0.20000000000004547"/>
  </r>
  <r>
    <x v="58"/>
    <n v="2200"/>
    <n v="473.7364"/>
    <n v="4.4999999999999998E-2"/>
    <n v="466.84989999999999"/>
    <n v="475.69850000000002"/>
    <n v="478.66090000000003"/>
    <n v="4.3999999999999997E-2"/>
    <n v="0.05"/>
    <n v="4.1000000000000002E-2"/>
    <n v="2338"/>
    <n v="2346.8000000000002"/>
    <n v="2363.1999999999998"/>
    <m/>
    <m/>
    <n v="473.7"/>
    <n v="473.7"/>
    <n v="9.9999999999965894E-2"/>
  </r>
  <r>
    <x v="58"/>
    <n v="2300"/>
    <n v="473.82249999999999"/>
    <n v="4.7E-2"/>
    <n v="466.9323"/>
    <n v="475.77780000000001"/>
    <n v="478.75729999999999"/>
    <n v="4.5999999999999999E-2"/>
    <n v="6.0999999999999999E-2"/>
    <n v="0.03"/>
    <n v="2338.1999999999998"/>
    <n v="2347"/>
    <n v="2363.4"/>
    <m/>
    <m/>
    <n v="473.8"/>
    <n v="473.8"/>
    <n v="0.10000000000002274"/>
  </r>
  <r>
    <x v="58"/>
    <n v="2400"/>
    <n v="473.91230000000002"/>
    <n v="4.3999999999999997E-2"/>
    <n v="467.024"/>
    <n v="475.87040000000002"/>
    <n v="478.8426"/>
    <n v="4.7E-2"/>
    <n v="4.9000000000000002E-2"/>
    <n v="3.3000000000000002E-2"/>
    <n v="2338.4"/>
    <n v="2347.1999999999998"/>
    <n v="2363.4"/>
    <m/>
    <m/>
    <n v="473.9"/>
    <n v="473.9"/>
    <n v="9.9999999999965894E-2"/>
  </r>
  <r>
    <x v="59"/>
    <n v="100"/>
    <n v="473.99220000000003"/>
    <n v="4.3999999999999997E-2"/>
    <n v="467.0933"/>
    <n v="475.92140000000001"/>
    <n v="478.96170000000001"/>
    <n v="5.1999999999999998E-2"/>
    <n v="5.2999999999999999E-2"/>
    <n v="1.4E-2"/>
    <n v="2338.6"/>
    <n v="2347.1999999999998"/>
    <n v="2363.8000000000002"/>
    <m/>
    <m/>
    <n v="474"/>
    <n v="474"/>
    <n v="0.10000000000002274"/>
  </r>
  <r>
    <x v="59"/>
    <n v="200"/>
    <n v="474.03100000000001"/>
    <n v="4.7E-2"/>
    <n v="467.1533"/>
    <n v="475.93650000000002"/>
    <n v="479.00330000000002"/>
    <n v="3.5000000000000003E-2"/>
    <n v="5.1999999999999998E-2"/>
    <n v="5.1999999999999998E-2"/>
    <n v="2338.6"/>
    <n v="2347.4"/>
    <n v="2364"/>
    <m/>
    <m/>
    <n v="474"/>
    <n v="474"/>
    <n v="0"/>
  </r>
  <r>
    <x v="59"/>
    <n v="300"/>
    <n v="474.07319999999999"/>
    <n v="4.7E-2"/>
    <n v="467.18329999999997"/>
    <n v="475.95159999999998"/>
    <n v="479.0847"/>
    <n v="5.1999999999999998E-2"/>
    <n v="4.7E-2"/>
    <n v="4.1000000000000002E-2"/>
    <n v="2338.6"/>
    <n v="2347.4"/>
    <n v="2364"/>
    <m/>
    <m/>
    <n v="474.1"/>
    <n v="474.1"/>
    <n v="0.10000000000002274"/>
  </r>
  <r>
    <x v="59"/>
    <n v="400"/>
    <n v="474.05509999999998"/>
    <n v="3.5999999999999997E-2"/>
    <n v="467.13459999999998"/>
    <n v="475.8723"/>
    <n v="479.1585"/>
    <n v="3.6999999999999998E-2"/>
    <n v="3.6999999999999998E-2"/>
    <n v="3.5000000000000003E-2"/>
    <n v="2338.6"/>
    <n v="2347.1999999999998"/>
    <n v="2364"/>
    <m/>
    <m/>
    <n v="474.1"/>
    <n v="474.1"/>
    <n v="0"/>
  </r>
  <r>
    <x v="59"/>
    <n v="500"/>
    <n v="474.01"/>
    <n v="4.1000000000000002E-2"/>
    <n v="467.06330000000003"/>
    <n v="475.7722"/>
    <n v="479.19439999999997"/>
    <n v="4.5999999999999999E-2"/>
    <n v="3.4000000000000002E-2"/>
    <n v="4.2999999999999997E-2"/>
    <n v="2338.4"/>
    <n v="2346.8000000000002"/>
    <n v="2364.4"/>
    <m/>
    <m/>
    <n v="474"/>
    <n v="474.1"/>
    <n v="0"/>
  </r>
  <r>
    <x v="59"/>
    <n v="600"/>
    <n v="474.04430000000002"/>
    <n v="4.3999999999999997E-2"/>
    <n v="467.20389999999998"/>
    <n v="475.67579999999998"/>
    <n v="479.25310000000002"/>
    <n v="5.0999999999999997E-2"/>
    <n v="3.5000000000000003E-2"/>
    <n v="4.4999999999999998E-2"/>
    <n v="2338.8000000000002"/>
    <n v="2346.8000000000002"/>
    <n v="2364.4"/>
    <m/>
    <m/>
    <n v="474"/>
    <n v="474.1"/>
    <n v="0"/>
  </r>
  <r>
    <x v="59"/>
    <n v="700"/>
    <n v="474.33699999999999"/>
    <n v="5.3999999999999999E-2"/>
    <n v="467.48480000000001"/>
    <n v="476.15769999999998"/>
    <n v="479.36860000000001"/>
    <n v="5.0999999999999997E-2"/>
    <n v="7.0000000000000007E-2"/>
    <n v="3.6999999999999998E-2"/>
    <n v="2339.1999999999998"/>
    <n v="2347.8000000000002"/>
    <n v="2364.6"/>
    <m/>
    <m/>
    <n v="474.3"/>
    <n v="474.3"/>
    <n v="0.19999999999998863"/>
  </r>
  <r>
    <x v="59"/>
    <n v="800"/>
    <n v="474.5093"/>
    <n v="5.1999999999999998E-2"/>
    <n v="467.6216"/>
    <n v="476.3485"/>
    <n v="479.55790000000002"/>
    <n v="5.1999999999999998E-2"/>
    <n v="5.2999999999999999E-2"/>
    <n v="5.0999999999999997E-2"/>
    <n v="2339.6"/>
    <n v="2348.1999999999998"/>
    <n v="2365"/>
    <m/>
    <m/>
    <n v="474.5"/>
    <n v="474.5"/>
    <n v="0.19999999999998863"/>
  </r>
  <r>
    <x v="59"/>
    <n v="900"/>
    <n v="474.762"/>
    <n v="4.2999999999999997E-2"/>
    <n v="467.87830000000002"/>
    <n v="476.64909999999998"/>
    <n v="479.75850000000003"/>
    <n v="1.9E-2"/>
    <n v="4.9000000000000002E-2"/>
    <n v="5.2999999999999999E-2"/>
    <n v="2340"/>
    <n v="2348.6"/>
    <n v="2365.4"/>
    <m/>
    <m/>
    <n v="474.8"/>
    <n v="474.8"/>
    <n v="0.30000000000001137"/>
  </r>
  <r>
    <x v="59"/>
    <n v="1000"/>
    <n v="475.21100000000001"/>
    <n v="4.2000000000000003E-2"/>
    <n v="468.32440000000003"/>
    <n v="477.15030000000002"/>
    <n v="480.15820000000002"/>
    <n v="4.7E-2"/>
    <n v="2.4E-2"/>
    <n v="4.9000000000000002E-2"/>
    <n v="2340.8000000000002"/>
    <n v="2349.6"/>
    <n v="2366.1999999999998"/>
    <m/>
    <m/>
    <n v="475.2"/>
    <n v="475.2"/>
    <n v="0.39999999999997726"/>
  </r>
  <r>
    <x v="59"/>
    <n v="1100"/>
    <n v="475.42079999999999"/>
    <n v="4.9000000000000002E-2"/>
    <n v="468.5831"/>
    <n v="477.3904"/>
    <n v="480.28879999999998"/>
    <n v="4.4999999999999998E-2"/>
    <n v="4.9000000000000002E-2"/>
    <n v="5.2999999999999999E-2"/>
    <n v="2341.4"/>
    <n v="2350"/>
    <n v="2366.1999999999998"/>
    <m/>
    <m/>
    <n v="475.4"/>
    <n v="475.4"/>
    <n v="0.19999999999998863"/>
  </r>
  <r>
    <x v="59"/>
    <n v="1200"/>
    <n v="475.55250000000001"/>
    <n v="5.0999999999999997E-2"/>
    <n v="468.67689999999999"/>
    <n v="477.4434"/>
    <n v="480.53710000000001"/>
    <n v="0.05"/>
    <n v="6.4000000000000001E-2"/>
    <n v="3.5000000000000003E-2"/>
    <n v="2341.6"/>
    <n v="2350.1999999999998"/>
    <n v="2366.8000000000002"/>
    <m/>
    <m/>
    <n v="475.6"/>
    <n v="475.6"/>
    <n v="0.20000000000004547"/>
  </r>
  <r>
    <x v="59"/>
    <n v="1300"/>
    <n v="475.7627"/>
    <n v="4.7E-2"/>
    <n v="468.87580000000003"/>
    <n v="477.68380000000002"/>
    <n v="480.7285"/>
    <n v="5.1999999999999998E-2"/>
    <n v="3.5999999999999997E-2"/>
    <n v="0.05"/>
    <n v="2341.8000000000002"/>
    <n v="2350.6"/>
    <n v="2367.1999999999998"/>
    <m/>
    <m/>
    <n v="475.8"/>
    <n v="475.8"/>
    <n v="0.19999999999998863"/>
  </r>
  <r>
    <x v="59"/>
    <n v="1400"/>
    <n v="476.12509999999997"/>
    <n v="4.2000000000000003E-2"/>
    <n v="469.23970000000003"/>
    <n v="478.07170000000002"/>
    <n v="481.06389999999999"/>
    <n v="3.4000000000000002E-2"/>
    <n v="0.05"/>
    <n v="3.9E-2"/>
    <n v="2342.6"/>
    <n v="2351.4"/>
    <n v="2367.8000000000002"/>
    <m/>
    <m/>
    <n v="476.1"/>
    <n v="476.1"/>
    <n v="0.30000000000001137"/>
  </r>
  <r>
    <x v="59"/>
    <n v="1500"/>
    <n v="476.27679999999998"/>
    <n v="0.05"/>
    <n v="469.41230000000002"/>
    <n v="478.20049999999998"/>
    <n v="481.21749999999997"/>
    <n v="0.05"/>
    <n v="5.2999999999999999E-2"/>
    <n v="4.8000000000000001E-2"/>
    <n v="2343"/>
    <n v="2351.6"/>
    <n v="2368"/>
    <m/>
    <m/>
    <n v="476.3"/>
    <n v="476.3"/>
    <n v="0.19999999999998863"/>
  </r>
  <r>
    <x v="59"/>
    <n v="1600"/>
    <n v="476.35789999999997"/>
    <n v="4.5999999999999999E-2"/>
    <n v="469.49299999999999"/>
    <n v="478.27620000000002"/>
    <n v="481.30470000000003"/>
    <n v="5.1999999999999998E-2"/>
    <n v="0.05"/>
    <n v="3.3000000000000002E-2"/>
    <n v="2343.1999999999998"/>
    <n v="2351.8000000000002"/>
    <n v="2368.1999999999998"/>
    <m/>
    <m/>
    <n v="476.4"/>
    <n v="476.4"/>
    <n v="9.9999999999965894E-2"/>
  </r>
  <r>
    <x v="59"/>
    <n v="1700"/>
    <n v="476.47620000000001"/>
    <n v="4.8000000000000001E-2"/>
    <n v="469.62430000000001"/>
    <n v="478.43900000000002"/>
    <n v="481.36540000000002"/>
    <n v="0.05"/>
    <n v="4.3999999999999997E-2"/>
    <n v="0.05"/>
    <n v="2343.4"/>
    <n v="2352"/>
    <n v="2368.4"/>
    <m/>
    <m/>
    <n v="476.5"/>
    <n v="476.5"/>
    <n v="0.10000000000002274"/>
  </r>
  <r>
    <x v="59"/>
    <n v="1800"/>
    <n v="476.55939999999998"/>
    <n v="0.05"/>
    <n v="469.68630000000002"/>
    <n v="478.55079999999998"/>
    <n v="481.44119999999998"/>
    <n v="4.5999999999999999E-2"/>
    <n v="5.0999999999999997E-2"/>
    <n v="5.1999999999999998E-2"/>
    <n v="2343.4"/>
    <n v="2352.1999999999998"/>
    <n v="2368.4"/>
    <m/>
    <m/>
    <n v="476.6"/>
    <n v="476.6"/>
    <n v="0.10000000000002274"/>
  </r>
  <r>
    <x v="59"/>
    <n v="1900"/>
    <n v="476.63569999999999"/>
    <n v="0.04"/>
    <n v="469.75400000000002"/>
    <n v="478.64350000000002"/>
    <n v="481.5095"/>
    <n v="3.7999999999999999E-2"/>
    <n v="4.2000000000000003E-2"/>
    <n v="0.04"/>
    <n v="2343.6"/>
    <n v="2352.4"/>
    <n v="2368.6"/>
    <m/>
    <m/>
    <n v="476.6"/>
    <n v="476.6"/>
    <n v="0"/>
  </r>
  <r>
    <x v="59"/>
    <n v="2000"/>
    <n v="476.65899999999999"/>
    <n v="4.4999999999999998E-2"/>
    <n v="469.77089999999998"/>
    <n v="478.65109999999999"/>
    <n v="481.55500000000001"/>
    <n v="3.6999999999999998E-2"/>
    <n v="4.3999999999999997E-2"/>
    <n v="5.2999999999999999E-2"/>
    <n v="2343.6"/>
    <n v="2352.4"/>
    <n v="2368.8000000000002"/>
    <m/>
    <m/>
    <n v="476.7"/>
    <n v="476.7"/>
    <n v="9.9999999999965894E-2"/>
  </r>
  <r>
    <x v="59"/>
    <n v="2100"/>
    <n v="476.68810000000002"/>
    <n v="4.2000000000000003E-2"/>
    <n v="469.77460000000002"/>
    <n v="478.70229999999998"/>
    <n v="481.5872"/>
    <n v="0.03"/>
    <n v="4.9000000000000002E-2"/>
    <n v="4.4999999999999998E-2"/>
    <n v="2343.6"/>
    <n v="2352.6"/>
    <n v="2368.6"/>
    <m/>
    <m/>
    <n v="476.7"/>
    <n v="476.7"/>
    <n v="0"/>
  </r>
  <r>
    <x v="59"/>
    <n v="2200"/>
    <n v="476.7063"/>
    <n v="4.2000000000000003E-2"/>
    <n v="469.80279999999999"/>
    <n v="478.71550000000002"/>
    <n v="481.60050000000001"/>
    <n v="0.05"/>
    <n v="4.1000000000000002E-2"/>
    <n v="3.3000000000000002E-2"/>
    <n v="2343.6"/>
    <n v="2352.6"/>
    <n v="2368.8000000000002"/>
    <m/>
    <m/>
    <n v="476.7"/>
    <n v="476.7"/>
    <n v="0"/>
  </r>
  <r>
    <x v="59"/>
    <n v="2300"/>
    <n v="476.7201"/>
    <n v="3.5000000000000003E-2"/>
    <n v="469.81959999999998"/>
    <n v="478.72879999999998"/>
    <n v="481.61189999999999"/>
    <n v="5.1999999999999998E-2"/>
    <n v="2.4E-2"/>
    <n v="0.02"/>
    <n v="2343.8000000000002"/>
    <n v="2352.6"/>
    <n v="2368.8000000000002"/>
    <m/>
    <m/>
    <n v="476.7"/>
    <n v="476.7"/>
    <n v="0"/>
  </r>
  <r>
    <x v="59"/>
    <n v="2400"/>
    <n v="476.72840000000002"/>
    <n v="4.2000000000000003E-2"/>
    <n v="469.81400000000002"/>
    <n v="478.7534"/>
    <n v="481.61759999999998"/>
    <n v="5.1999999999999998E-2"/>
    <n v="4.1000000000000002E-2"/>
    <n v="3.1E-2"/>
    <n v="2343.8000000000002"/>
    <n v="2352.6"/>
    <n v="2368.8000000000002"/>
    <m/>
    <m/>
    <n v="476.7"/>
    <n v="476.7"/>
    <n v="0"/>
  </r>
  <r>
    <x v="60"/>
    <n v="100"/>
    <n v="476.72399999999999"/>
    <n v="4.2000000000000003E-2"/>
    <n v="469.7971"/>
    <n v="478.74970000000002"/>
    <n v="481.62520000000001"/>
    <n v="4.8000000000000001E-2"/>
    <n v="4.2000000000000003E-2"/>
    <n v="3.5000000000000003E-2"/>
    <n v="2343.6"/>
    <n v="2352.8000000000002"/>
    <n v="2368.8000000000002"/>
    <m/>
    <m/>
    <n v="476.7"/>
    <n v="476.7"/>
    <n v="0"/>
  </r>
  <r>
    <x v="60"/>
    <n v="200"/>
    <n v="476.73899999999998"/>
    <n v="4.5999999999999999E-2"/>
    <n v="469.82530000000003"/>
    <n v="478.76479999999998"/>
    <n v="481.62709999999998"/>
    <n v="5.1999999999999998E-2"/>
    <n v="4.8000000000000001E-2"/>
    <n v="3.6999999999999998E-2"/>
    <n v="2343.6"/>
    <n v="2352.6"/>
    <n v="2368.8000000000002"/>
    <m/>
    <m/>
    <n v="476.7"/>
    <n v="476.7"/>
    <n v="0"/>
  </r>
  <r>
    <x v="60"/>
    <n v="300"/>
    <n v="476.74400000000003"/>
    <n v="4.4999999999999998E-2"/>
    <n v="469.83839999999998"/>
    <n v="478.7534"/>
    <n v="481.6404"/>
    <n v="4.8000000000000001E-2"/>
    <n v="4.1000000000000002E-2"/>
    <n v="4.7E-2"/>
    <n v="2343.8000000000002"/>
    <n v="2352.6"/>
    <n v="2368.8000000000002"/>
    <m/>
    <m/>
    <n v="476.7"/>
    <n v="476.7"/>
    <n v="0"/>
  </r>
  <r>
    <x v="60"/>
    <n v="400"/>
    <n v="476.7611"/>
    <n v="4.5999999999999999E-2"/>
    <n v="469.86090000000002"/>
    <n v="478.76479999999998"/>
    <n v="481.6574"/>
    <n v="3.5999999999999997E-2"/>
    <n v="4.8000000000000001E-2"/>
    <n v="5.2999999999999999E-2"/>
    <n v="2343.8000000000002"/>
    <n v="2352.6"/>
    <n v="2368.8000000000002"/>
    <m/>
    <m/>
    <n v="476.8"/>
    <n v="476.8"/>
    <n v="0.10000000000002274"/>
  </r>
  <r>
    <x v="60"/>
    <n v="500"/>
    <n v="476.8064"/>
    <n v="4.5999999999999999E-2"/>
    <n v="469.90410000000003"/>
    <n v="478.83679999999998"/>
    <n v="481.67829999999998"/>
    <n v="4.9000000000000002E-2"/>
    <n v="3.5000000000000003E-2"/>
    <n v="5.0999999999999997E-2"/>
    <n v="2344"/>
    <n v="2352.6"/>
    <n v="2369"/>
    <m/>
    <m/>
    <n v="476.8"/>
    <n v="476.8"/>
    <n v="0"/>
  </r>
  <r>
    <x v="60"/>
    <n v="600"/>
    <n v="476.86290000000002"/>
    <n v="4.2999999999999997E-2"/>
    <n v="469.97919999999999"/>
    <n v="478.91820000000001"/>
    <n v="481.69159999999999"/>
    <n v="3.4000000000000002E-2"/>
    <n v="4.7E-2"/>
    <n v="4.5999999999999999E-2"/>
    <n v="2344"/>
    <n v="2352.8000000000002"/>
    <n v="2369"/>
    <m/>
    <m/>
    <n v="476.9"/>
    <n v="476.9"/>
    <n v="9.9999999999965894E-2"/>
  </r>
  <r>
    <x v="60"/>
    <n v="700"/>
    <n v="476.84399999999999"/>
    <n v="3.4000000000000002E-2"/>
    <n v="469.98860000000002"/>
    <n v="478.83870000000002"/>
    <n v="481.70479999999998"/>
    <n v="3.5000000000000003E-2"/>
    <n v="3.2000000000000001E-2"/>
    <n v="3.5000000000000003E-2"/>
    <n v="2344"/>
    <n v="2352.8000000000002"/>
    <n v="2369"/>
    <m/>
    <m/>
    <n v="476.8"/>
    <n v="476.9"/>
    <n v="0"/>
  </r>
  <r>
    <x v="60"/>
    <n v="800"/>
    <n v="476.8673"/>
    <n v="4.2999999999999997E-2"/>
    <n v="470.01859999999999"/>
    <n v="478.87090000000001"/>
    <n v="481.7124"/>
    <n v="5.1999999999999998E-2"/>
    <n v="4.8000000000000001E-2"/>
    <n v="2.4E-2"/>
    <n v="2344"/>
    <n v="2352.8000000000002"/>
    <n v="2369"/>
    <m/>
    <m/>
    <n v="476.9"/>
    <n v="476.9"/>
    <n v="0"/>
  </r>
  <r>
    <x v="60"/>
    <n v="900"/>
    <n v="476.81639999999999"/>
    <n v="4.1000000000000002E-2"/>
    <n v="469.9153"/>
    <n v="478.8141"/>
    <n v="481.72"/>
    <n v="5.1999999999999998E-2"/>
    <n v="4.5999999999999999E-2"/>
    <n v="1.4E-2"/>
    <n v="2344"/>
    <n v="2352.6"/>
    <n v="2369"/>
    <m/>
    <m/>
    <n v="476.8"/>
    <n v="476.9"/>
    <n v="0"/>
  </r>
  <r>
    <x v="60"/>
    <n v="1000"/>
    <n v="476.90710000000001"/>
    <n v="4.5999999999999999E-2"/>
    <n v="470.02420000000001"/>
    <n v="478.98829999999998"/>
    <n v="481.70859999999999"/>
    <n v="5.1999999999999998E-2"/>
    <n v="5.1999999999999998E-2"/>
    <n v="0.03"/>
    <n v="2344.1999999999998"/>
    <n v="2353.1999999999998"/>
    <n v="2369"/>
    <m/>
    <m/>
    <n v="476.9"/>
    <n v="476.9"/>
    <n v="0"/>
  </r>
  <r>
    <x v="60"/>
    <n v="1100"/>
    <n v="476.78190000000001"/>
    <n v="4.3999999999999997E-2"/>
    <n v="469.86470000000003"/>
    <n v="478.80650000000003"/>
    <n v="481.67450000000002"/>
    <n v="2.4E-2"/>
    <n v="0.05"/>
    <n v="5.1999999999999998E-2"/>
    <n v="2343.8000000000002"/>
    <n v="2352.8000000000002"/>
    <n v="2369"/>
    <m/>
    <m/>
    <n v="476.8"/>
    <n v="476.9"/>
    <n v="0"/>
  </r>
  <r>
    <x v="60"/>
    <n v="1200"/>
    <n v="476.80880000000002"/>
    <n v="4.8000000000000001E-2"/>
    <n v="469.92290000000003"/>
    <n v="478.87279999999998"/>
    <n v="481.6309"/>
    <n v="5.2999999999999999E-2"/>
    <n v="4.9000000000000002E-2"/>
    <n v="4.1000000000000002E-2"/>
    <n v="2343.8000000000002"/>
    <n v="2352.8000000000002"/>
    <n v="2368.8000000000002"/>
    <m/>
    <m/>
    <n v="476.8"/>
    <n v="476.9"/>
    <n v="0"/>
  </r>
  <r>
    <x v="60"/>
    <n v="1300"/>
    <n v="476.72460000000001"/>
    <n v="4.2999999999999997E-2"/>
    <n v="469.81220000000002"/>
    <n v="478.75909999999999"/>
    <n v="481.60239999999999"/>
    <n v="5.1999999999999998E-2"/>
    <n v="4.4999999999999998E-2"/>
    <n v="0.03"/>
    <n v="2343.8000000000002"/>
    <n v="2352.6"/>
    <n v="2368.8000000000002"/>
    <m/>
    <m/>
    <n v="476.7"/>
    <n v="476.9"/>
    <n v="0"/>
  </r>
  <r>
    <x v="60"/>
    <n v="1400"/>
    <n v="476.72890000000001"/>
    <n v="3.5000000000000003E-2"/>
    <n v="469.83839999999998"/>
    <n v="478.73259999999999"/>
    <n v="481.6157"/>
    <n v="4.8000000000000001E-2"/>
    <n v="3.2000000000000001E-2"/>
    <n v="0.02"/>
    <n v="2343.8000000000002"/>
    <n v="2352.6"/>
    <n v="2368.8000000000002"/>
    <m/>
    <m/>
    <n v="476.7"/>
    <n v="476.9"/>
    <n v="0"/>
  </r>
  <r>
    <x v="60"/>
    <n v="1500"/>
    <n v="476.75549999999998"/>
    <n v="0.05"/>
    <n v="469.84030000000001"/>
    <n v="478.7724"/>
    <n v="481.65359999999998"/>
    <n v="4.7E-2"/>
    <n v="5.0999999999999997E-2"/>
    <n v="5.1999999999999998E-2"/>
    <n v="2343.8000000000002"/>
    <n v="2352.8000000000002"/>
    <n v="2369"/>
    <m/>
    <m/>
    <n v="476.8"/>
    <n v="476.9"/>
    <n v="0"/>
  </r>
  <r>
    <x v="60"/>
    <n v="1600"/>
    <n v="476.79199999999997"/>
    <n v="3.9E-2"/>
    <n v="469.85719999999998"/>
    <n v="478.82159999999999"/>
    <n v="481.69720000000001"/>
    <n v="3.5000000000000003E-2"/>
    <n v="4.1000000000000002E-2"/>
    <n v="4.2000000000000003E-2"/>
    <n v="2343.8000000000002"/>
    <n v="2352.8000000000002"/>
    <n v="2369"/>
    <m/>
    <m/>
    <n v="476.8"/>
    <n v="476.9"/>
    <n v="0"/>
  </r>
  <r>
    <x v="60"/>
    <n v="1700"/>
    <n v="476.83670000000001"/>
    <n v="4.2999999999999997E-2"/>
    <n v="469.91910000000001"/>
    <n v="478.85950000000003"/>
    <n v="481.73140000000001"/>
    <n v="5.1999999999999998E-2"/>
    <n v="4.1000000000000002E-2"/>
    <n v="3.5000000000000003E-2"/>
    <n v="2343.8000000000002"/>
    <n v="2352.8000000000002"/>
    <n v="2369"/>
    <m/>
    <m/>
    <n v="476.8"/>
    <n v="476.9"/>
    <n v="0"/>
  </r>
  <r>
    <x v="60"/>
    <n v="1800"/>
    <n v="476.85430000000002"/>
    <n v="0.05"/>
    <n v="469.92099999999999"/>
    <n v="478.90120000000002"/>
    <n v="481.74079999999998"/>
    <n v="5.2999999999999999E-2"/>
    <n v="5.1999999999999998E-2"/>
    <n v="4.3999999999999997E-2"/>
    <n v="2344"/>
    <n v="2353"/>
    <n v="2369.1999999999998"/>
    <m/>
    <m/>
    <n v="476.9"/>
    <n v="476.9"/>
    <n v="0"/>
  </r>
  <r>
    <x v="60"/>
    <n v="1900"/>
    <n v="476.87619999999998"/>
    <n v="4.9000000000000002E-2"/>
    <n v="469.99799999999999"/>
    <n v="478.89359999999999"/>
    <n v="481.7371"/>
    <n v="4.2999999999999997E-2"/>
    <n v="0.06"/>
    <n v="4.1000000000000002E-2"/>
    <n v="2344"/>
    <n v="2353"/>
    <n v="2369"/>
    <m/>
    <m/>
    <n v="476.9"/>
    <n v="476.9"/>
    <n v="0"/>
  </r>
  <r>
    <x v="60"/>
    <n v="2000"/>
    <n v="476.8775"/>
    <n v="4.2000000000000003E-2"/>
    <n v="469.97919999999999"/>
    <n v="478.91059999999999"/>
    <n v="481.74279999999999"/>
    <n v="2.8000000000000001E-2"/>
    <n v="0.05"/>
    <n v="4.4999999999999998E-2"/>
    <n v="2344"/>
    <n v="2352.8000000000002"/>
    <n v="2369.1999999999998"/>
    <m/>
    <m/>
    <n v="476.9"/>
    <n v="476.9"/>
    <n v="0"/>
  </r>
  <r>
    <x v="60"/>
    <n v="2100"/>
    <n v="476.86689999999999"/>
    <n v="4.3999999999999997E-2"/>
    <n v="469.95670000000001"/>
    <n v="478.90870000000001"/>
    <n v="481.73520000000002"/>
    <n v="0.04"/>
    <n v="5.0999999999999997E-2"/>
    <n v="3.9E-2"/>
    <n v="2344"/>
    <n v="2352.8000000000002"/>
    <n v="2369"/>
    <m/>
    <m/>
    <n v="476.9"/>
    <n v="476.9"/>
    <n v="0"/>
  </r>
  <r>
    <x v="60"/>
    <n v="2200"/>
    <n v="476.858"/>
    <n v="3.6999999999999998E-2"/>
    <n v="469.96789999999999"/>
    <n v="478.88029999999998"/>
    <n v="481.72570000000002"/>
    <n v="2.7E-2"/>
    <n v="5.0999999999999997E-2"/>
    <n v="2.7E-2"/>
    <n v="2344"/>
    <n v="2352.8000000000002"/>
    <n v="2369"/>
    <m/>
    <m/>
    <n v="476.9"/>
    <n v="476.9"/>
    <n v="0"/>
  </r>
  <r>
    <x v="60"/>
    <n v="2300"/>
    <n v="477.00470000000001"/>
    <n v="3.9E-2"/>
    <n v="470.12"/>
    <n v="479.06779999999998"/>
    <n v="481.82619999999997"/>
    <n v="5.0999999999999997E-2"/>
    <n v="3.6999999999999998E-2"/>
    <n v="2.5000000000000001E-2"/>
    <n v="2344.1999999999998"/>
    <n v="2353.4"/>
    <n v="2369.1999999999998"/>
    <m/>
    <m/>
    <n v="477"/>
    <n v="477"/>
    <n v="0.10000000000002274"/>
  </r>
  <r>
    <x v="60"/>
    <n v="2400"/>
    <n v="477.23540000000003"/>
    <n v="4.7E-2"/>
    <n v="470.34539999999998"/>
    <n v="479.24979999999999"/>
    <n v="482.11079999999998"/>
    <n v="5.2999999999999999E-2"/>
    <n v="3.6999999999999998E-2"/>
    <n v="4.9000000000000002E-2"/>
    <n v="2344.8000000000002"/>
    <n v="2353.6"/>
    <n v="2369.8000000000002"/>
    <m/>
    <m/>
    <n v="477.2"/>
    <n v="477.2"/>
    <n v="0.19999999999998863"/>
  </r>
  <r>
    <x v="61"/>
    <n v="100"/>
    <n v="477.7439"/>
    <n v="4.7E-2"/>
    <n v="470.83760000000001"/>
    <n v="479.77289999999999"/>
    <n v="482.62130000000002"/>
    <n v="4.2000000000000003E-2"/>
    <n v="4.3999999999999997E-2"/>
    <n v="5.2999999999999999E-2"/>
    <n v="2345.6"/>
    <n v="2354.6"/>
    <n v="2370.8000000000002"/>
    <m/>
    <m/>
    <n v="477.7"/>
    <n v="477.7"/>
    <n v="0.5"/>
  </r>
  <r>
    <x v="61"/>
    <n v="200"/>
    <n v="478.31830000000002"/>
    <n v="4.5999999999999999E-2"/>
    <n v="471.40320000000003"/>
    <n v="480.35309999999998"/>
    <n v="483.19850000000002"/>
    <n v="5.1999999999999998E-2"/>
    <n v="4.5999999999999999E-2"/>
    <n v="3.9E-2"/>
    <n v="2346.8000000000002"/>
    <n v="2355.6"/>
    <n v="2371.8000000000002"/>
    <m/>
    <m/>
    <n v="478.3"/>
    <n v="478.3"/>
    <n v="0.60000000000002274"/>
  </r>
  <r>
    <x v="61"/>
    <n v="300"/>
    <n v="479.01769999999999"/>
    <n v="4.9000000000000002E-2"/>
    <n v="472.11959999999999"/>
    <n v="481.04750000000001"/>
    <n v="483.8861"/>
    <n v="5.0999999999999997E-2"/>
    <n v="4.3999999999999997E-2"/>
    <n v="5.1999999999999998E-2"/>
    <n v="2348"/>
    <n v="2357"/>
    <n v="2373.1999999999998"/>
    <m/>
    <m/>
    <n v="479"/>
    <n v="479"/>
    <n v="0.69999999999998863"/>
  </r>
  <r>
    <x v="61"/>
    <n v="400"/>
    <n v="479.8877"/>
    <n v="4.7E-2"/>
    <n v="472.959"/>
    <n v="481.92849999999999"/>
    <n v="484.7758"/>
    <n v="0.05"/>
    <n v="4.3999999999999997E-2"/>
    <n v="4.5999999999999999E-2"/>
    <n v="2349.8000000000002"/>
    <n v="2358.6"/>
    <n v="2374.8000000000002"/>
    <m/>
    <m/>
    <n v="479.9"/>
    <n v="479.9"/>
    <n v="0.89999999999997726"/>
  </r>
  <r>
    <x v="61"/>
    <n v="500"/>
    <n v="481.05360000000002"/>
    <n v="4.7E-2"/>
    <n v="474.03800000000001"/>
    <n v="483.17320000000001"/>
    <n v="485.94970000000001"/>
    <n v="5.1999999999999998E-2"/>
    <n v="4.4999999999999998E-2"/>
    <n v="4.4999999999999998E-2"/>
    <n v="2351.8000000000002"/>
    <n v="2361"/>
    <n v="2377"/>
    <m/>
    <m/>
    <n v="481.1"/>
    <n v="481.1"/>
    <n v="1.2000000000000455"/>
  </r>
  <r>
    <x v="61"/>
    <n v="600"/>
    <n v="482.3295"/>
    <n v="5.0999999999999997E-2"/>
    <n v="475.23500000000001"/>
    <n v="484.52010000000001"/>
    <n v="487.23329999999999"/>
    <n v="5.3999999999999999E-2"/>
    <n v="5.2999999999999999E-2"/>
    <n v="4.7E-2"/>
    <n v="2354"/>
    <n v="2363.6"/>
    <n v="2379.4"/>
    <m/>
    <m/>
    <n v="482.3"/>
    <n v="482.3"/>
    <n v="1.1999999999999886"/>
  </r>
  <r>
    <x v="61"/>
    <n v="700"/>
    <n v="483.82530000000003"/>
    <n v="5.6000000000000001E-2"/>
    <n v="476.66370000000001"/>
    <n v="486.11439999999999"/>
    <n v="488.69779999999997"/>
    <n v="5.6000000000000001E-2"/>
    <n v="5.8999999999999997E-2"/>
    <n v="5.2999999999999999E-2"/>
    <n v="2356.8000000000002"/>
    <n v="2366.6"/>
    <n v="2382.1999999999998"/>
    <m/>
    <m/>
    <n v="483.8"/>
    <n v="483.8"/>
    <n v="1.5"/>
  </r>
  <r>
    <x v="61"/>
    <n v="800"/>
    <n v="485.42649999999998"/>
    <n v="5.7000000000000002E-2"/>
    <n v="478.18490000000003"/>
    <n v="487.84840000000003"/>
    <n v="490.24619999999999"/>
    <n v="5.8000000000000003E-2"/>
    <n v="0.06"/>
    <n v="5.2999999999999999E-2"/>
    <n v="2359.6"/>
    <n v="2369.8000000000002"/>
    <n v="2385.1999999999998"/>
    <m/>
    <m/>
    <n v="485.4"/>
    <n v="485.4"/>
    <n v="1.5999999999999659"/>
  </r>
  <r>
    <x v="61"/>
    <n v="900"/>
    <n v="486.50700000000001"/>
    <n v="4.7E-2"/>
    <n v="479.21589999999998"/>
    <n v="489.00009999999997"/>
    <n v="491.30509999999998"/>
    <n v="5.2999999999999999E-2"/>
    <n v="5.0999999999999997E-2"/>
    <n v="3.3000000000000002E-2"/>
    <n v="2361.6"/>
    <n v="2371.8000000000002"/>
    <n v="2387"/>
    <m/>
    <m/>
    <n v="486.5"/>
    <n v="486.5"/>
    <n v="1.1000000000000227"/>
  </r>
  <r>
    <x v="61"/>
    <n v="1000"/>
    <n v="486.8177"/>
    <n v="4.1000000000000002E-2"/>
    <n v="479.48090000000002"/>
    <n v="489.4033"/>
    <n v="491.56900000000002"/>
    <n v="2.8000000000000001E-2"/>
    <n v="4.1000000000000002E-2"/>
    <n v="5.0999999999999997E-2"/>
    <n v="2362"/>
    <n v="2372.8000000000002"/>
    <n v="2387.4"/>
    <m/>
    <m/>
    <n v="486.8"/>
    <n v="486.8"/>
    <n v="0.30000000000001137"/>
  </r>
  <r>
    <x v="61"/>
    <n v="1100"/>
    <n v="487.33109999999999"/>
    <n v="4.5999999999999999E-2"/>
    <n v="480.01859999999999"/>
    <n v="489.95780000000002"/>
    <n v="492.01670000000001"/>
    <n v="3.3000000000000002E-2"/>
    <n v="4.9000000000000002E-2"/>
    <n v="5.2999999999999999E-2"/>
    <n v="2363"/>
    <n v="2373.8000000000002"/>
    <n v="2388.4"/>
    <m/>
    <m/>
    <n v="487.3"/>
    <n v="487.3"/>
    <n v="0.5"/>
  </r>
  <r>
    <x v="61"/>
    <n v="1200"/>
    <n v="487.74029999999999"/>
    <n v="0.05"/>
    <n v="480.4581"/>
    <n v="490.31920000000002"/>
    <n v="492.44349999999997"/>
    <n v="4.5999999999999999E-2"/>
    <n v="0.05"/>
    <n v="5.3999999999999999E-2"/>
    <n v="2363.8000000000002"/>
    <n v="2374.1999999999998"/>
    <n v="2389"/>
    <m/>
    <m/>
    <n v="487.7"/>
    <n v="487.7"/>
    <n v="0.39999999999997726"/>
  </r>
  <r>
    <x v="61"/>
    <n v="1300"/>
    <n v="487.88350000000003"/>
    <n v="4.1000000000000002E-2"/>
    <n v="480.52440000000001"/>
    <n v="490.51440000000002"/>
    <n v="492.61189999999999"/>
    <n v="3.5000000000000003E-2"/>
    <n v="5.3999999999999999E-2"/>
    <n v="3.1E-2"/>
    <n v="2364"/>
    <n v="2374.6"/>
    <n v="2389.4"/>
    <m/>
    <m/>
    <n v="487.9"/>
    <n v="487.9"/>
    <n v="0.19999999999998863"/>
  </r>
  <r>
    <x v="61"/>
    <n v="1400"/>
    <n v="487.97449999999998"/>
    <n v="4.4999999999999998E-2"/>
    <n v="480.60399999999998"/>
    <n v="490.61579999999998"/>
    <n v="492.70389999999998"/>
    <n v="5.0999999999999997E-2"/>
    <n v="5.2999999999999999E-2"/>
    <n v="2.4E-2"/>
    <n v="2364"/>
    <n v="2375"/>
    <n v="2389.6"/>
    <m/>
    <m/>
    <n v="488"/>
    <n v="488"/>
    <n v="0.10000000000002274"/>
  </r>
  <r>
    <x v="61"/>
    <n v="1500"/>
    <n v="487.93880000000001"/>
    <n v="0.05"/>
    <n v="480.60399999999998"/>
    <n v="490.53160000000003"/>
    <n v="492.68079999999998"/>
    <n v="5.0999999999999997E-2"/>
    <n v="5.0999999999999997E-2"/>
    <n v="4.8000000000000001E-2"/>
    <n v="2364"/>
    <n v="2374.8000000000002"/>
    <n v="2389.6"/>
    <m/>
    <m/>
    <n v="487.9"/>
    <n v="488"/>
    <n v="0"/>
  </r>
  <r>
    <x v="61"/>
    <n v="1600"/>
    <n v="488.07209999999998"/>
    <n v="5.0999999999999997E-2"/>
    <n v="480.79349999999999"/>
    <n v="490.64260000000002"/>
    <n v="492.78039999999999"/>
    <n v="5.1999999999999998E-2"/>
    <n v="4.9000000000000002E-2"/>
    <n v="5.0999999999999997E-2"/>
    <n v="2364.4"/>
    <n v="2374.8000000000002"/>
    <n v="2389.8000000000002"/>
    <m/>
    <m/>
    <n v="488.1"/>
    <n v="488.1"/>
    <n v="0.10000000000002274"/>
  </r>
  <r>
    <x v="61"/>
    <n v="1700"/>
    <n v="488.0951"/>
    <n v="4.3999999999999997E-2"/>
    <n v="480.81049999999999"/>
    <n v="490.67509999999999"/>
    <n v="492.7996"/>
    <n v="5.2999999999999999E-2"/>
    <n v="0.04"/>
    <n v="3.9E-2"/>
    <n v="2364.4"/>
    <n v="2375"/>
    <n v="2389.8000000000002"/>
    <m/>
    <m/>
    <n v="488.1"/>
    <n v="488.1"/>
    <n v="0"/>
  </r>
  <r>
    <x v="61"/>
    <n v="1800"/>
    <n v="488.10969999999998"/>
    <n v="4.3999999999999997E-2"/>
    <n v="480.82569999999998"/>
    <n v="490.70190000000002"/>
    <n v="492.80149999999998"/>
    <n v="4.8000000000000001E-2"/>
    <n v="4.5999999999999999E-2"/>
    <n v="3.7999999999999999E-2"/>
    <n v="2364.6"/>
    <n v="2375"/>
    <n v="2389.8000000000002"/>
    <m/>
    <m/>
    <n v="488.1"/>
    <n v="488.1"/>
    <n v="0"/>
  </r>
  <r>
    <x v="61"/>
    <n v="1900"/>
    <n v="488.14330000000001"/>
    <n v="3.2000000000000001E-2"/>
    <n v="480.85980000000001"/>
    <n v="490.75540000000001"/>
    <n v="492.81479999999999"/>
    <n v="2.8000000000000001E-2"/>
    <n v="4.5999999999999999E-2"/>
    <n v="1.4E-2"/>
    <n v="2364.6"/>
    <n v="2375.1999999999998"/>
    <n v="2389.8000000000002"/>
    <m/>
    <m/>
    <n v="488.1"/>
    <n v="488.1"/>
    <n v="0"/>
  </r>
  <r>
    <x v="61"/>
    <n v="2000"/>
    <n v="488.2362"/>
    <n v="4.5999999999999999E-2"/>
    <n v="480.95650000000001"/>
    <n v="490.8569"/>
    <n v="492.89519999999999"/>
    <n v="4.2000000000000003E-2"/>
    <n v="4.9000000000000002E-2"/>
    <n v="4.7E-2"/>
    <n v="2365"/>
    <n v="2375.4"/>
    <n v="2390"/>
    <m/>
    <m/>
    <n v="488.2"/>
    <n v="488.2"/>
    <n v="9.9999999999965894E-2"/>
  </r>
  <r>
    <x v="61"/>
    <n v="2100"/>
    <n v="488.303"/>
    <n v="4.9000000000000002E-2"/>
    <n v="481.03230000000002"/>
    <n v="490.91239999999999"/>
    <n v="492.96420000000001"/>
    <n v="0.05"/>
    <n v="4.3999999999999997E-2"/>
    <n v="5.1999999999999998E-2"/>
    <n v="2364.8000000000002"/>
    <n v="2375.4"/>
    <n v="2390.1999999999998"/>
    <m/>
    <m/>
    <n v="488.3"/>
    <n v="488.3"/>
    <n v="0.10000000000002274"/>
  </r>
  <r>
    <x v="61"/>
    <n v="2200"/>
    <n v="488.35199999999998"/>
    <n v="4.7E-2"/>
    <n v="481.07780000000002"/>
    <n v="490.96800000000002"/>
    <n v="493.01010000000002"/>
    <n v="0.05"/>
    <n v="4.8000000000000001E-2"/>
    <n v="4.2999999999999997E-2"/>
    <n v="2365"/>
    <n v="2375.6"/>
    <n v="2390.1999999999998"/>
    <m/>
    <m/>
    <n v="488.4"/>
    <n v="488.4"/>
    <n v="9.9999999999965894E-2"/>
  </r>
  <r>
    <x v="61"/>
    <n v="2300"/>
    <n v="488.3603"/>
    <n v="4.5999999999999999E-2"/>
    <n v="481.0797"/>
    <n v="490.96609999999998"/>
    <n v="493.03500000000003"/>
    <n v="4.8000000000000001E-2"/>
    <n v="5.2999999999999999E-2"/>
    <n v="3.5000000000000003E-2"/>
    <n v="2365"/>
    <n v="2375.6"/>
    <n v="2390.1999999999998"/>
    <m/>
    <m/>
    <n v="488.4"/>
    <n v="488.4"/>
    <n v="0"/>
  </r>
  <r>
    <x v="61"/>
    <n v="2400"/>
    <n v="488.38260000000002"/>
    <n v="4.7E-2"/>
    <n v="481.08159999999998"/>
    <n v="491.02350000000001"/>
    <n v="493.04270000000002"/>
    <n v="5.2999999999999999E-2"/>
    <n v="5.0999999999999997E-2"/>
    <n v="3.3000000000000002E-2"/>
    <n v="2365"/>
    <n v="2375.6"/>
    <n v="2390.1999999999998"/>
    <m/>
    <m/>
    <n v="488.4"/>
    <n v="488.4"/>
    <n v="0"/>
  </r>
  <r>
    <x v="62"/>
    <n v="100"/>
    <n v="488.39150000000001"/>
    <n v="4.7E-2"/>
    <n v="481.07589999999999"/>
    <n v="491.05790000000002"/>
    <n v="493.04079999999999"/>
    <n v="4.3999999999999997E-2"/>
    <n v="5.2999999999999999E-2"/>
    <n v="4.2000000000000003E-2"/>
    <n v="2365"/>
    <n v="2375.8000000000002"/>
    <n v="2390.1999999999998"/>
    <m/>
    <m/>
    <n v="488.4"/>
    <n v="488.4"/>
    <n v="0"/>
  </r>
  <r>
    <x v="62"/>
    <n v="200"/>
    <n v="488.45639999999997"/>
    <n v="4.9000000000000002E-2"/>
    <n v="481.1309"/>
    <n v="491.12299999999999"/>
    <n v="493.11540000000002"/>
    <n v="5.8999999999999997E-2"/>
    <n v="4.1000000000000002E-2"/>
    <n v="4.3999999999999997E-2"/>
    <n v="2365"/>
    <n v="2375.8000000000002"/>
    <n v="2390.1999999999998"/>
    <m/>
    <m/>
    <n v="488.5"/>
    <n v="488.5"/>
    <n v="0.10000000000002274"/>
  </r>
  <r>
    <x v="62"/>
    <n v="300"/>
    <n v="488.51560000000001"/>
    <n v="5.5E-2"/>
    <n v="481.19150000000002"/>
    <n v="491.16120000000001"/>
    <n v="493.19400000000002"/>
    <n v="5.8999999999999997E-2"/>
    <n v="5.2999999999999999E-2"/>
    <n v="5.3999999999999999E-2"/>
    <n v="2365.4"/>
    <n v="2376"/>
    <n v="2390.6"/>
    <m/>
    <m/>
    <n v="488.5"/>
    <n v="488.5"/>
    <n v="0"/>
  </r>
  <r>
    <x v="62"/>
    <n v="400"/>
    <n v="488.56720000000001"/>
    <n v="4.7E-2"/>
    <n v="481.2294"/>
    <n v="491.19380000000001"/>
    <n v="493.27839999999998"/>
    <n v="5.2999999999999999E-2"/>
    <n v="3.9E-2"/>
    <n v="4.9000000000000002E-2"/>
    <n v="2365.1999999999998"/>
    <n v="2376"/>
    <n v="2390.6"/>
    <m/>
    <m/>
    <n v="488.6"/>
    <n v="488.6"/>
    <n v="0.10000000000002274"/>
  </r>
  <r>
    <x v="62"/>
    <n v="500"/>
    <n v="488.5634"/>
    <n v="5.0999999999999997E-2"/>
    <n v="481.2199"/>
    <n v="491.1823"/>
    <n v="493.28789999999998"/>
    <n v="5.2999999999999999E-2"/>
    <n v="4.7E-2"/>
    <n v="5.1999999999999998E-2"/>
    <n v="2365.4"/>
    <n v="2376"/>
    <n v="2390.6"/>
    <m/>
    <m/>
    <n v="488.6"/>
    <n v="488.6"/>
    <n v="0"/>
  </r>
  <r>
    <x v="62"/>
    <n v="600"/>
    <n v="488.58879999999999"/>
    <n v="4.7E-2"/>
    <n v="481.24650000000003"/>
    <n v="491.2167"/>
    <n v="493.3032"/>
    <n v="0.05"/>
    <n v="3.6999999999999998E-2"/>
    <n v="5.2999999999999999E-2"/>
    <n v="2365.4"/>
    <n v="2376"/>
    <n v="2390.8000000000002"/>
    <m/>
    <m/>
    <n v="488.6"/>
    <n v="488.6"/>
    <n v="0"/>
  </r>
  <r>
    <x v="62"/>
    <n v="700"/>
    <n v="488.60419999999999"/>
    <n v="4.9000000000000002E-2"/>
    <n v="481.24270000000001"/>
    <n v="491.24349999999998"/>
    <n v="493.32619999999997"/>
    <n v="5.0999999999999997E-2"/>
    <n v="4.9000000000000002E-2"/>
    <n v="4.5999999999999999E-2"/>
    <n v="2365.4"/>
    <n v="2376"/>
    <n v="2390.6"/>
    <m/>
    <m/>
    <n v="488.6"/>
    <n v="488.6"/>
    <n v="0"/>
  </r>
  <r>
    <x v="62"/>
    <n v="800"/>
    <n v="488.601"/>
    <n v="0.05"/>
    <n v="481.24079999999998"/>
    <n v="491.24349999999998"/>
    <n v="493.31849999999997"/>
    <n v="5.0999999999999997E-2"/>
    <n v="4.9000000000000002E-2"/>
    <n v="0.05"/>
    <n v="2365.4"/>
    <n v="2376"/>
    <n v="2390.6"/>
    <m/>
    <m/>
    <n v="488.6"/>
    <n v="488.6"/>
    <n v="0"/>
  </r>
  <r>
    <x v="62"/>
    <n v="900"/>
    <n v="488.5609"/>
    <n v="3.7999999999999999E-2"/>
    <n v="481.18009999999998"/>
    <n v="491.25119999999998"/>
    <n v="493.25150000000002"/>
    <n v="3.1E-2"/>
    <n v="5.1999999999999998E-2"/>
    <n v="2.4E-2"/>
    <n v="2365.4"/>
    <n v="2376"/>
    <n v="2390.6"/>
    <m/>
    <m/>
    <n v="488.6"/>
    <n v="488.6"/>
    <n v="0"/>
  </r>
  <r>
    <x v="62"/>
    <n v="1000"/>
    <n v="488.68099999999998"/>
    <n v="3.4000000000000002E-2"/>
    <n v="481.36410000000001"/>
    <n v="491.32589999999999"/>
    <n v="493.35300000000001"/>
    <n v="4.3999999999999997E-2"/>
    <n v="3.4000000000000002E-2"/>
    <n v="0.02"/>
    <n v="2365.4"/>
    <n v="2376.1999999999998"/>
    <n v="2390.8000000000002"/>
    <m/>
    <m/>
    <n v="488.7"/>
    <n v="488.7"/>
    <n v="9.9999999999965894E-2"/>
  </r>
  <r>
    <x v="62"/>
    <n v="1100"/>
    <n v="488.79349999999999"/>
    <n v="3.4000000000000002E-2"/>
    <n v="481.49489999999997"/>
    <n v="491.41199999999998"/>
    <n v="493.47370000000001"/>
    <n v="3.2000000000000001E-2"/>
    <n v="3.5000000000000003E-2"/>
    <n v="3.5000000000000003E-2"/>
    <n v="2365.8000000000002"/>
    <n v="2376.4"/>
    <n v="2391"/>
    <m/>
    <m/>
    <n v="488.8"/>
    <n v="488.8"/>
    <n v="0.10000000000002274"/>
  </r>
  <r>
    <x v="62"/>
    <n v="1200"/>
    <n v="488.77179999999998"/>
    <n v="4.3999999999999997E-2"/>
    <n v="481.49489999999997"/>
    <n v="491.36219999999997"/>
    <n v="493.45830000000001"/>
    <n v="3.2000000000000001E-2"/>
    <n v="5.7000000000000002E-2"/>
    <n v="3.7999999999999999E-2"/>
    <n v="2365.8000000000002"/>
    <n v="2376"/>
    <n v="2391"/>
    <m/>
    <m/>
    <n v="488.8"/>
    <n v="488.8"/>
    <n v="0"/>
  </r>
  <r>
    <x v="62"/>
    <n v="1300"/>
    <n v="488.75009999999997"/>
    <n v="4.5999999999999999E-2"/>
    <n v="481.50630000000001"/>
    <n v="491.24740000000003"/>
    <n v="493.4966"/>
    <n v="3.5000000000000003E-2"/>
    <n v="5.0999999999999997E-2"/>
    <n v="5.0999999999999997E-2"/>
    <n v="2365.8000000000002"/>
    <n v="2376"/>
    <n v="2391"/>
    <m/>
    <m/>
    <n v="488.8"/>
    <n v="488.8"/>
    <n v="0"/>
  </r>
  <r>
    <x v="62"/>
    <n v="1400"/>
    <n v="488.90039999999999"/>
    <n v="5.0999999999999997E-2"/>
    <n v="481.80970000000002"/>
    <n v="491.2722"/>
    <n v="493.61919999999998"/>
    <n v="4.7E-2"/>
    <n v="5.2999999999999999E-2"/>
    <n v="5.3999999999999999E-2"/>
    <n v="2366.4"/>
    <n v="2376"/>
    <n v="2391.4"/>
    <m/>
    <m/>
    <n v="488.9"/>
    <n v="488.9"/>
    <n v="9.9999999999965894E-2"/>
  </r>
  <r>
    <x v="62"/>
    <n v="1500"/>
    <n v="489.40499999999997"/>
    <n v="4.8000000000000001E-2"/>
    <n v="482.39789999999999"/>
    <n v="491.30860000000001"/>
    <n v="494.5086"/>
    <n v="5.2999999999999999E-2"/>
    <n v="4.7E-2"/>
    <n v="4.4999999999999998E-2"/>
    <n v="2367.6"/>
    <n v="2376.1999999999998"/>
    <n v="2393"/>
    <m/>
    <m/>
    <n v="489.4"/>
    <n v="489.4"/>
    <n v="0.5"/>
  </r>
  <r>
    <x v="62"/>
    <n v="1600"/>
    <n v="489.49310000000003"/>
    <n v="3.6999999999999998E-2"/>
    <n v="482.42829999999998"/>
    <n v="491.41579999999999"/>
    <n v="494.63510000000002"/>
    <n v="4.7E-2"/>
    <n v="3.6999999999999998E-2"/>
    <n v="2.4E-2"/>
    <n v="2367.4"/>
    <n v="2376.4"/>
    <n v="2393.1999999999998"/>
    <m/>
    <m/>
    <n v="489.5"/>
    <n v="489.5"/>
    <n v="0.10000000000002274"/>
  </r>
  <r>
    <x v="62"/>
    <n v="1700"/>
    <n v="489.43720000000002"/>
    <n v="0.05"/>
    <n v="482.3295"/>
    <n v="491.46570000000003"/>
    <n v="494.5163"/>
    <n v="4.4999999999999998E-2"/>
    <n v="5.1999999999999998E-2"/>
    <n v="5.2999999999999999E-2"/>
    <n v="2367.4"/>
    <n v="2376.4"/>
    <n v="2393"/>
    <m/>
    <m/>
    <n v="489.4"/>
    <n v="489.5"/>
    <n v="0"/>
  </r>
  <r>
    <x v="62"/>
    <n v="1800"/>
    <n v="489.44099999999997"/>
    <n v="5.0999999999999997E-2"/>
    <n v="482.31240000000003"/>
    <n v="491.50400000000002"/>
    <n v="494.50670000000002"/>
    <n v="5.8999999999999997E-2"/>
    <n v="4.8000000000000001E-2"/>
    <n v="4.5999999999999999E-2"/>
    <n v="2367.1999999999998"/>
    <n v="2376.6"/>
    <n v="2393"/>
    <m/>
    <m/>
    <n v="489.4"/>
    <n v="489.5"/>
    <n v="0"/>
  </r>
  <r>
    <x v="62"/>
    <n v="1900"/>
    <n v="489.471"/>
    <n v="3.6999999999999998E-2"/>
    <n v="482.33139999999997"/>
    <n v="491.54039999999998"/>
    <n v="494.5412"/>
    <n v="4.2999999999999997E-2"/>
    <n v="3.4000000000000002E-2"/>
    <n v="3.4000000000000002E-2"/>
    <n v="2367.1999999999998"/>
    <n v="2376.8000000000002"/>
    <n v="2393"/>
    <m/>
    <m/>
    <n v="489.5"/>
    <n v="489.5"/>
    <n v="0"/>
  </r>
  <r>
    <x v="62"/>
    <n v="2000"/>
    <n v="489.44099999999997"/>
    <n v="4.7E-2"/>
    <n v="482.31049999999999"/>
    <n v="491.5385"/>
    <n v="494.47410000000002"/>
    <n v="5.2999999999999999E-2"/>
    <n v="3.2000000000000001E-2"/>
    <n v="5.2999999999999999E-2"/>
    <n v="2367.4"/>
    <n v="2376.6"/>
    <n v="2392.8000000000002"/>
    <m/>
    <m/>
    <n v="489.4"/>
    <n v="489.5"/>
    <n v="0"/>
  </r>
  <r>
    <x v="62"/>
    <n v="2100"/>
    <n v="489.48050000000001"/>
    <n v="4.4999999999999998E-2"/>
    <n v="482.34469999999999"/>
    <n v="491.59019999999998"/>
    <n v="494.50670000000002"/>
    <n v="3.2000000000000001E-2"/>
    <n v="5.2999999999999999E-2"/>
    <n v="4.5999999999999999E-2"/>
    <n v="2367.4"/>
    <n v="2376.8000000000002"/>
    <n v="2393"/>
    <m/>
    <m/>
    <n v="489.5"/>
    <n v="489.5"/>
    <n v="0"/>
  </r>
  <r>
    <x v="62"/>
    <n v="2200"/>
    <n v="489.4991"/>
    <n v="4.5999999999999999E-2"/>
    <n v="482.32"/>
    <n v="491.5557"/>
    <n v="494.62169999999998"/>
    <n v="4.8000000000000001E-2"/>
    <n v="4.8000000000000001E-2"/>
    <n v="4.1000000000000002E-2"/>
    <n v="2367.1999999999998"/>
    <n v="2376.6"/>
    <n v="2393.1999999999998"/>
    <m/>
    <m/>
    <n v="489.5"/>
    <n v="489.5"/>
    <n v="0"/>
  </r>
  <r>
    <x v="62"/>
    <n v="2300"/>
    <n v="489.42259999999999"/>
    <n v="4.8000000000000001E-2"/>
    <n v="482.28019999999998"/>
    <n v="491.51740000000001"/>
    <n v="494.47030000000001"/>
    <n v="5.1999999999999998E-2"/>
    <n v="3.7999999999999999E-2"/>
    <n v="5.2999999999999999E-2"/>
    <n v="2367.4"/>
    <n v="2376.6"/>
    <n v="2392.8000000000002"/>
    <m/>
    <m/>
    <n v="489.4"/>
    <n v="489.5"/>
    <n v="0"/>
  </r>
  <r>
    <x v="62"/>
    <n v="2400"/>
    <n v="489.51620000000003"/>
    <n v="4.9000000000000002E-2"/>
    <n v="482.39030000000002"/>
    <n v="491.55380000000002"/>
    <n v="494.60449999999997"/>
    <n v="5.2999999999999999E-2"/>
    <n v="4.2999999999999997E-2"/>
    <n v="5.0999999999999997E-2"/>
    <n v="2367.6"/>
    <n v="2376.6"/>
    <n v="2393"/>
    <m/>
    <m/>
    <n v="489.5"/>
    <n v="489.5"/>
    <n v="0"/>
  </r>
  <r>
    <x v="63"/>
    <n v="100"/>
    <n v="489.57339999999999"/>
    <n v="4.2999999999999997E-2"/>
    <n v="482.47570000000002"/>
    <n v="491.6438"/>
    <n v="494.60059999999999"/>
    <n v="4.5999999999999999E-2"/>
    <n v="2.8000000000000001E-2"/>
    <n v="5.1999999999999998E-2"/>
    <n v="2367.6"/>
    <n v="2376.8000000000002"/>
    <n v="2393"/>
    <m/>
    <m/>
    <n v="489.6"/>
    <n v="489.6"/>
    <n v="0.10000000000002274"/>
  </r>
  <r>
    <x v="63"/>
    <n v="200"/>
    <n v="489.54239999999999"/>
    <n v="0.05"/>
    <n v="482.37889999999999"/>
    <n v="491.6687"/>
    <n v="494.5795"/>
    <n v="0.05"/>
    <n v="4.7E-2"/>
    <n v="5.2999999999999999E-2"/>
    <n v="2367.4"/>
    <n v="2376.8000000000002"/>
    <n v="2393.1999999999998"/>
    <m/>
    <m/>
    <n v="489.5"/>
    <n v="489.6"/>
    <n v="0"/>
  </r>
  <r>
    <x v="63"/>
    <n v="300"/>
    <n v="489.53539999999998"/>
    <n v="0.05"/>
    <n v="482.38080000000002"/>
    <n v="491.60550000000001"/>
    <n v="494.6198"/>
    <n v="5.0999999999999997E-2"/>
    <n v="5.3999999999999999E-2"/>
    <n v="4.2999999999999997E-2"/>
    <n v="2367.4"/>
    <n v="2376.8000000000002"/>
    <n v="2393.1999999999998"/>
    <m/>
    <m/>
    <n v="489.5"/>
    <n v="489.6"/>
    <n v="0"/>
  </r>
  <r>
    <x v="63"/>
    <n v="400"/>
    <n v="489.52260000000001"/>
    <n v="4.8000000000000001E-2"/>
    <n v="482.37700000000001"/>
    <n v="491.57100000000003"/>
    <n v="494.6198"/>
    <n v="0.05"/>
    <n v="5.0999999999999997E-2"/>
    <n v="4.2999999999999997E-2"/>
    <n v="2367.4"/>
    <n v="2376.6"/>
    <n v="2393.1999999999998"/>
    <m/>
    <m/>
    <n v="489.5"/>
    <n v="489.6"/>
    <n v="0"/>
  </r>
  <r>
    <x v="63"/>
    <n v="500"/>
    <n v="489.5283"/>
    <n v="4.8000000000000001E-2"/>
    <n v="482.3827"/>
    <n v="491.57870000000003"/>
    <n v="494.62360000000001"/>
    <n v="5.1999999999999998E-2"/>
    <n v="5.2999999999999999E-2"/>
    <n v="3.9E-2"/>
    <n v="2367.6"/>
    <n v="2376.6"/>
    <n v="2393.1999999999998"/>
    <m/>
    <m/>
    <n v="489.5"/>
    <n v="489.6"/>
    <n v="0"/>
  </r>
  <r>
    <x v="63"/>
    <n v="600"/>
    <n v="489.52769999999998"/>
    <n v="4.5999999999999999E-2"/>
    <n v="482.39980000000003"/>
    <n v="491.55950000000001"/>
    <n v="494.62360000000001"/>
    <n v="5.2999999999999999E-2"/>
    <n v="4.5999999999999999E-2"/>
    <n v="3.9E-2"/>
    <n v="2367.4"/>
    <n v="2376.6"/>
    <n v="2393.1999999999998"/>
    <m/>
    <m/>
    <n v="489.5"/>
    <n v="489.6"/>
    <n v="0"/>
  </r>
  <r>
    <x v="63"/>
    <n v="700"/>
    <n v="489.5136"/>
    <n v="4.7E-2"/>
    <n v="482.3922"/>
    <n v="491.52890000000002"/>
    <n v="494.6198"/>
    <n v="5.2999999999999999E-2"/>
    <n v="4.4999999999999998E-2"/>
    <n v="4.2999999999999997E-2"/>
    <n v="2367.6"/>
    <n v="2376.6"/>
    <n v="2393.1999999999998"/>
    <m/>
    <m/>
    <n v="489.5"/>
    <n v="489.6"/>
    <n v="0"/>
  </r>
  <r>
    <x v="63"/>
    <n v="800"/>
    <n v="489.50599999999997"/>
    <n v="5.2999999999999999E-2"/>
    <n v="482.3827"/>
    <n v="491.52890000000002"/>
    <n v="494.60640000000001"/>
    <n v="5.1999999999999998E-2"/>
    <n v="5.7000000000000002E-2"/>
    <n v="0.05"/>
    <n v="2367.6"/>
    <n v="2376.6"/>
    <n v="2393.1999999999998"/>
    <m/>
    <m/>
    <n v="489.5"/>
    <n v="489.6"/>
    <n v="0"/>
  </r>
  <r>
    <x v="63"/>
    <n v="900"/>
    <n v="489.52190000000002"/>
    <n v="4.8000000000000001E-2"/>
    <n v="482.40550000000002"/>
    <n v="491.55380000000002"/>
    <n v="494.60640000000001"/>
    <n v="5.1999999999999998E-2"/>
    <n v="4.2999999999999997E-2"/>
    <n v="0.05"/>
    <n v="2367.4"/>
    <n v="2376.6"/>
    <n v="2393"/>
    <m/>
    <m/>
    <n v="489.5"/>
    <n v="489.6"/>
    <n v="0"/>
  </r>
  <r>
    <x v="63"/>
    <n v="1000"/>
    <n v="489.4957"/>
    <n v="5.0999999999999997E-2"/>
    <n v="482.40550000000002"/>
    <n v="491.50779999999997"/>
    <n v="494.57380000000001"/>
    <n v="5.1999999999999998E-2"/>
    <n v="0.05"/>
    <n v="5.1999999999999998E-2"/>
    <n v="2367.6"/>
    <n v="2376.6"/>
    <n v="2393"/>
    <m/>
    <m/>
    <n v="489.5"/>
    <n v="489.6"/>
    <n v="0"/>
  </r>
  <r>
    <x v="63"/>
    <n v="1100"/>
    <n v="489.55739999999997"/>
    <n v="4.5999999999999999E-2"/>
    <n v="482.48329999999999"/>
    <n v="491.5634"/>
    <n v="494.62549999999999"/>
    <n v="0.05"/>
    <n v="4.8000000000000001E-2"/>
    <n v="3.7999999999999999E-2"/>
    <n v="2367.6"/>
    <n v="2376.6"/>
    <n v="2393.1999999999998"/>
    <m/>
    <m/>
    <n v="489.6"/>
    <n v="489.6"/>
    <n v="0"/>
  </r>
  <r>
    <x v="63"/>
    <n v="1200"/>
    <n v="489.476"/>
    <n v="5.1999999999999998E-2"/>
    <n v="482.38080000000002"/>
    <n v="491.47910000000002"/>
    <n v="494.56799999999998"/>
    <n v="5.0999999999999997E-2"/>
    <n v="5.3999999999999999E-2"/>
    <n v="0.05"/>
    <n v="2367.4"/>
    <n v="2376.4"/>
    <n v="2393"/>
    <m/>
    <m/>
    <n v="489.5"/>
    <n v="489.6"/>
    <n v="0"/>
  </r>
  <r>
    <x v="63"/>
    <n v="1300"/>
    <n v="489.50139999999999"/>
    <n v="5.0999999999999997E-2"/>
    <n v="482.4169"/>
    <n v="491.49059999999997"/>
    <n v="494.59679999999997"/>
    <n v="4.9000000000000002E-2"/>
    <n v="5.1999999999999998E-2"/>
    <n v="5.2999999999999999E-2"/>
    <n v="2367.6"/>
    <n v="2376.4"/>
    <n v="2393"/>
    <m/>
    <m/>
    <n v="489.5"/>
    <n v="489.6"/>
    <n v="0"/>
  </r>
  <r>
    <x v="63"/>
    <n v="1400"/>
    <n v="489.39260000000002"/>
    <n v="4.9000000000000002E-2"/>
    <n v="482.27449999999999"/>
    <n v="491.43119999999999"/>
    <n v="494.47219999999999"/>
    <n v="5.5E-2"/>
    <n v="3.6999999999999998E-2"/>
    <n v="5.2999999999999999E-2"/>
    <n v="2367.1999999999998"/>
    <n v="2376.4"/>
    <n v="2392.8000000000002"/>
    <m/>
    <m/>
    <n v="489.4"/>
    <n v="489.6"/>
    <n v="0"/>
  </r>
  <r>
    <x v="63"/>
    <n v="1500"/>
    <n v="489.50080000000003"/>
    <n v="5.0999999999999997E-2"/>
    <n v="482.40929999999997"/>
    <n v="491.50400000000002"/>
    <n v="494.58909999999997"/>
    <n v="5.1999999999999998E-2"/>
    <n v="4.8000000000000001E-2"/>
    <n v="5.3999999999999999E-2"/>
    <n v="2367.6"/>
    <n v="2376.4"/>
    <n v="2393.1999999999998"/>
    <m/>
    <m/>
    <n v="489.5"/>
    <n v="489.6"/>
    <n v="0"/>
  </r>
  <r>
    <x v="63"/>
    <n v="1600"/>
    <n v="489.48750000000001"/>
    <n v="4.8000000000000001E-2"/>
    <n v="482.37889999999999"/>
    <n v="491.5136"/>
    <n v="494.56990000000002"/>
    <n v="0.05"/>
    <n v="4.1000000000000002E-2"/>
    <n v="5.0999999999999997E-2"/>
    <n v="2367.4"/>
    <n v="2376.6"/>
    <n v="2393"/>
    <m/>
    <m/>
    <n v="489.5"/>
    <n v="489.6"/>
    <n v="0"/>
  </r>
  <r>
    <x v="63"/>
    <n v="1700"/>
    <n v="489.47669999999999"/>
    <n v="3.5999999999999997E-2"/>
    <n v="482.35989999999998"/>
    <n v="491.52699999999999"/>
    <n v="494.54309999999998"/>
    <n v="3.9E-2"/>
    <n v="3.6999999999999998E-2"/>
    <n v="3.1E-2"/>
    <n v="2367.4"/>
    <n v="2376.6"/>
    <n v="2393"/>
    <m/>
    <m/>
    <n v="489.5"/>
    <n v="489.6"/>
    <n v="0"/>
  </r>
  <r>
    <x v="63"/>
    <n v="1800"/>
    <n v="489.46969999999999"/>
    <n v="3.5999999999999997E-2"/>
    <n v="482.35039999999998"/>
    <n v="491.52510000000001"/>
    <n v="494.5335"/>
    <n v="3.4000000000000002E-2"/>
    <n v="4.9000000000000002E-2"/>
    <n v="0.02"/>
    <n v="2367.4"/>
    <n v="2376.6"/>
    <n v="2393"/>
    <m/>
    <m/>
    <n v="489.5"/>
    <n v="489.6"/>
    <n v="0"/>
  </r>
  <r>
    <x v="63"/>
    <n v="1900"/>
    <n v="489.46269999999998"/>
    <n v="3.7999999999999999E-2"/>
    <n v="482.34469999999999"/>
    <n v="491.51549999999997"/>
    <n v="494.52780000000001"/>
    <n v="4.2999999999999997E-2"/>
    <n v="4.3999999999999997E-2"/>
    <n v="2.4E-2"/>
    <n v="2367.4"/>
    <n v="2376.4"/>
    <n v="2393"/>
    <m/>
    <m/>
    <n v="489.5"/>
    <n v="489.6"/>
    <n v="0"/>
  </r>
  <r>
    <x v="63"/>
    <n v="2000"/>
    <n v="489.45119999999997"/>
    <n v="4.2999999999999997E-2"/>
    <n v="482.33710000000002"/>
    <n v="491.50400000000002"/>
    <n v="494.51249999999999"/>
    <n v="3.6999999999999998E-2"/>
    <n v="4.8000000000000001E-2"/>
    <n v="4.2999999999999997E-2"/>
    <n v="2367.4"/>
    <n v="2376.6"/>
    <n v="2393"/>
    <m/>
    <m/>
    <n v="489.5"/>
    <n v="489.6"/>
    <n v="0"/>
  </r>
  <r>
    <x v="63"/>
    <n v="2100"/>
    <n v="489.47789999999998"/>
    <n v="3.9E-2"/>
    <n v="482.36559999999997"/>
    <n v="491.53469999999999"/>
    <n v="494.5335"/>
    <n v="4.8000000000000001E-2"/>
    <n v="3.2000000000000001E-2"/>
    <n v="3.5000000000000003E-2"/>
    <n v="2367.4"/>
    <n v="2376.6"/>
    <n v="2393"/>
    <m/>
    <m/>
    <n v="489.5"/>
    <n v="489.6"/>
    <n v="0"/>
  </r>
  <r>
    <x v="63"/>
    <n v="2200"/>
    <n v="489.5136"/>
    <n v="5.1999999999999998E-2"/>
    <n v="482.39980000000003"/>
    <n v="491.57100000000003"/>
    <n v="494.56990000000002"/>
    <n v="5.2999999999999999E-2"/>
    <n v="5.0999999999999997E-2"/>
    <n v="5.0999999999999997E-2"/>
    <n v="2367.4"/>
    <n v="2376.6"/>
    <n v="2393"/>
    <m/>
    <m/>
    <n v="489.5"/>
    <n v="489.6"/>
    <n v="0"/>
  </r>
  <r>
    <x v="63"/>
    <n v="2300"/>
    <n v="489.64400000000001"/>
    <n v="4.9000000000000002E-2"/>
    <n v="482.54399999999998"/>
    <n v="491.70119999999997"/>
    <n v="494.68689999999998"/>
    <n v="3.9E-2"/>
    <n v="5.2999999999999999E-2"/>
    <n v="5.2999999999999999E-2"/>
    <n v="2367.8000000000002"/>
    <n v="2377"/>
    <n v="2393.1999999999998"/>
    <m/>
    <m/>
    <n v="489.6"/>
    <n v="489.6"/>
    <n v="0"/>
  </r>
  <r>
    <x v="63"/>
    <n v="2400"/>
    <n v="489.82479999999998"/>
    <n v="3.4000000000000002E-2"/>
    <n v="482.75659999999999"/>
    <n v="491.86399999999998"/>
    <n v="494.85390000000001"/>
    <n v="4.2999999999999997E-2"/>
    <n v="3.1E-2"/>
    <n v="2.5000000000000001E-2"/>
    <n v="2368.1999999999998"/>
    <n v="2377.1999999999998"/>
    <n v="2393.6"/>
    <m/>
    <m/>
    <n v="489.8"/>
    <n v="489.8"/>
    <n v="0.19999999999998863"/>
  </r>
  <r>
    <x v="64"/>
    <n v="100"/>
    <n v="490.49400000000003"/>
    <n v="4.8000000000000001E-2"/>
    <n v="483.54849999999999"/>
    <n v="492.39089999999999"/>
    <n v="495.54259999999999"/>
    <n v="0.05"/>
    <n v="3.5000000000000003E-2"/>
    <n v="5.6000000000000001E-2"/>
    <n v="2369.8000000000002"/>
    <n v="2378.1999999999998"/>
    <n v="2395"/>
    <m/>
    <m/>
    <n v="490.5"/>
    <n v="490.5"/>
    <n v="0.69999999999998863"/>
  </r>
  <r>
    <x v="64"/>
    <n v="200"/>
    <n v="491.56760000000003"/>
    <n v="4.8000000000000001E-2"/>
    <n v="484.82"/>
    <n v="493.24779999999998"/>
    <n v="496.63499999999999"/>
    <n v="5.1999999999999998E-2"/>
    <n v="3.7999999999999999E-2"/>
    <n v="5.2999999999999999E-2"/>
    <n v="2372"/>
    <n v="2379.8000000000002"/>
    <n v="2397"/>
    <m/>
    <m/>
    <n v="491.6"/>
    <n v="491.6"/>
    <n v="1.1000000000000227"/>
  </r>
  <r>
    <x v="64"/>
    <n v="300"/>
    <n v="491.85629999999998"/>
    <n v="4.5999999999999999E-2"/>
    <n v="485.18900000000002"/>
    <n v="493.46839999999997"/>
    <n v="496.91160000000002"/>
    <n v="5.3999999999999999E-2"/>
    <n v="3.5000000000000003E-2"/>
    <n v="4.5999999999999999E-2"/>
    <n v="2372.8000000000002"/>
    <n v="2380.1999999999998"/>
    <n v="2397.6"/>
    <m/>
    <m/>
    <n v="491.9"/>
    <n v="491.9"/>
    <n v="0.29999999999995453"/>
  </r>
  <r>
    <x v="64"/>
    <n v="400"/>
    <n v="492.43970000000002"/>
    <n v="4.5999999999999999E-2"/>
    <n v="485.94819999999999"/>
    <n v="493.87119999999999"/>
    <n v="497.49970000000002"/>
    <n v="4.1000000000000002E-2"/>
    <n v="4.3999999999999997E-2"/>
    <n v="5.2999999999999999E-2"/>
    <n v="2374.1999999999998"/>
    <n v="2381"/>
    <n v="2398.6"/>
    <m/>
    <m/>
    <n v="492.4"/>
    <n v="492.4"/>
    <n v="0.5"/>
  </r>
  <r>
    <x v="64"/>
    <n v="500"/>
    <n v="492.9117"/>
    <n v="4.7E-2"/>
    <n v="486.56509999999997"/>
    <n v="494.1859"/>
    <n v="497.98410000000001"/>
    <n v="0.05"/>
    <n v="4.9000000000000002E-2"/>
    <n v="4.2000000000000003E-2"/>
    <n v="2375.4"/>
    <n v="2381.6"/>
    <n v="2399.4"/>
    <m/>
    <m/>
    <n v="492.9"/>
    <n v="492.9"/>
    <n v="0.5"/>
  </r>
  <r>
    <x v="64"/>
    <n v="600"/>
    <n v="493.62270000000001"/>
    <n v="5.2999999999999999E-2"/>
    <n v="487.52539999999999"/>
    <n v="494.58519999999999"/>
    <n v="498.75749999999999"/>
    <n v="5.8000000000000003E-2"/>
    <n v="5.2999999999999999E-2"/>
    <n v="4.8000000000000001E-2"/>
    <n v="2377.1999999999998"/>
    <n v="2382.4"/>
    <n v="2400.8000000000002"/>
    <m/>
    <m/>
    <n v="493.6"/>
    <n v="493.6"/>
    <n v="0.70000000000004547"/>
  </r>
  <r>
    <x v="64"/>
    <n v="700"/>
    <n v="494.08429999999998"/>
    <n v="4.8000000000000001E-2"/>
    <n v="488.1583"/>
    <n v="494.83100000000002"/>
    <n v="499.26369999999997"/>
    <n v="5.2999999999999999E-2"/>
    <n v="4.9000000000000002E-2"/>
    <n v="4.1000000000000002E-2"/>
    <n v="2378.4"/>
    <n v="2382.8000000000002"/>
    <n v="2401.8000000000002"/>
    <m/>
    <m/>
    <n v="494.1"/>
    <n v="494.1"/>
    <n v="0.5"/>
  </r>
  <r>
    <x v="64"/>
    <n v="800"/>
    <n v="494.7072"/>
    <n v="4.8000000000000001E-2"/>
    <n v="489.00920000000002"/>
    <n v="495.1728"/>
    <n v="499.93950000000001"/>
    <n v="5.2999999999999999E-2"/>
    <n v="3.9E-2"/>
    <n v="0.05"/>
    <n v="2379.8000000000002"/>
    <n v="2383.4"/>
    <n v="2403"/>
    <m/>
    <m/>
    <n v="494.7"/>
    <n v="494.7"/>
    <n v="0.59999999999996589"/>
  </r>
  <r>
    <x v="64"/>
    <n v="900"/>
    <n v="495.13479999999998"/>
    <n v="0.05"/>
    <n v="489.60860000000002"/>
    <n v="495.40910000000002"/>
    <n v="500.38650000000001"/>
    <n v="5.6000000000000001E-2"/>
    <n v="4.2000000000000003E-2"/>
    <n v="5.1999999999999998E-2"/>
    <n v="2381"/>
    <n v="2383.8000000000002"/>
    <n v="2403.8000000000002"/>
    <m/>
    <m/>
    <n v="495.1"/>
    <n v="495.1"/>
    <n v="0.40000000000003411"/>
  </r>
  <r>
    <x v="64"/>
    <n v="1000"/>
    <n v="495.35910000000001"/>
    <n v="5.0999999999999997E-2"/>
    <n v="489.89890000000003"/>
    <n v="495.56849999999997"/>
    <n v="500.61"/>
    <n v="4.5999999999999999E-2"/>
    <n v="5.2999999999999999E-2"/>
    <n v="5.3999999999999999E-2"/>
    <n v="2381.6"/>
    <n v="2384"/>
    <n v="2404.4"/>
    <m/>
    <m/>
    <n v="495.4"/>
    <n v="495.4"/>
    <n v="0.29999999999995453"/>
  </r>
  <r>
    <x v="64"/>
    <n v="1100"/>
    <n v="495.66030000000001"/>
    <n v="0.05"/>
    <n v="490.30369999999999"/>
    <n v="495.77229999999997"/>
    <n v="500.90499999999997"/>
    <n v="5.5E-2"/>
    <n v="5.3999999999999999E-2"/>
    <n v="4.1000000000000002E-2"/>
    <n v="2382.4"/>
    <n v="2384.6"/>
    <n v="2404.8000000000002"/>
    <m/>
    <m/>
    <n v="495.7"/>
    <n v="495.7"/>
    <n v="0.30000000000001137"/>
  </r>
  <r>
    <x v="64"/>
    <n v="1200"/>
    <n v="495.86689999999999"/>
    <n v="0.05"/>
    <n v="490.6"/>
    <n v="495.88959999999997"/>
    <n v="501.1112"/>
    <n v="5.2999999999999999E-2"/>
    <n v="5.2999999999999999E-2"/>
    <n v="4.2000000000000003E-2"/>
    <n v="2382.8000000000002"/>
    <n v="2384.6"/>
    <n v="2405.1999999999998"/>
    <m/>
    <m/>
    <n v="495.9"/>
    <n v="495.9"/>
    <n v="0.19999999999998863"/>
  </r>
  <r>
    <x v="64"/>
    <n v="1300"/>
    <n v="495.9941"/>
    <n v="5.1999999999999998E-2"/>
    <n v="490.78339999999997"/>
    <n v="495.97019999999998"/>
    <n v="501.22879999999998"/>
    <n v="5.0999999999999997E-2"/>
    <n v="6.0999999999999999E-2"/>
    <n v="4.1000000000000002E-2"/>
    <n v="2383.1999999999998"/>
    <n v="2385"/>
    <n v="2405.6"/>
    <m/>
    <m/>
    <n v="496"/>
    <n v="496"/>
    <n v="0.10000000000002274"/>
  </r>
  <r>
    <x v="64"/>
    <n v="1400"/>
    <n v="496.12090000000001"/>
    <n v="0.05"/>
    <n v="490.93830000000003"/>
    <n v="496.07589999999999"/>
    <n v="501.34840000000003"/>
    <n v="5.2999999999999999E-2"/>
    <n v="4.9000000000000002E-2"/>
    <n v="4.9000000000000002E-2"/>
    <n v="2383.6"/>
    <n v="2385"/>
    <n v="2405.8000000000002"/>
    <m/>
    <m/>
    <n v="496.1"/>
    <n v="496.1"/>
    <n v="0.10000000000002274"/>
  </r>
  <r>
    <x v="64"/>
    <n v="1500"/>
    <n v="496.41079999999999"/>
    <n v="5.1999999999999998E-2"/>
    <n v="491.23020000000002"/>
    <n v="496.32850000000002"/>
    <n v="501.6737"/>
    <n v="5.3999999999999999E-2"/>
    <n v="5.1999999999999998E-2"/>
    <n v="4.9000000000000002E-2"/>
    <n v="2384"/>
    <n v="2385.6"/>
    <n v="2406.4"/>
    <m/>
    <m/>
    <n v="496.4"/>
    <n v="496.4"/>
    <n v="0.29999999999995453"/>
  </r>
  <r>
    <x v="64"/>
    <n v="1600"/>
    <n v="496.73930000000001"/>
    <n v="5.1999999999999998E-2"/>
    <n v="491.55520000000001"/>
    <n v="496.6497"/>
    <n v="502.01299999999998"/>
    <n v="5.0999999999999997E-2"/>
    <n v="5.1999999999999998E-2"/>
    <n v="5.3999999999999999E-2"/>
    <n v="2384.8000000000002"/>
    <n v="2386"/>
    <n v="2407"/>
    <m/>
    <m/>
    <n v="496.7"/>
    <n v="496.7"/>
    <n v="0.30000000000001137"/>
  </r>
  <r>
    <x v="64"/>
    <n v="1700"/>
    <n v="496.71469999999999"/>
    <n v="4.8000000000000001E-2"/>
    <n v="491.45830000000001"/>
    <n v="496.73160000000001"/>
    <n v="501.95409999999998"/>
    <n v="5.2999999999999999E-2"/>
    <n v="5.1999999999999998E-2"/>
    <n v="3.9E-2"/>
    <n v="2384.6"/>
    <n v="2386.1999999999998"/>
    <n v="2406.8000000000002"/>
    <m/>
    <m/>
    <n v="496.7"/>
    <n v="496.7"/>
    <n v="0"/>
  </r>
  <r>
    <x v="64"/>
    <n v="1800"/>
    <n v="496.74340000000001"/>
    <n v="4.4999999999999998E-2"/>
    <n v="491.4966"/>
    <n v="496.77390000000003"/>
    <n v="501.95979999999997"/>
    <n v="4.2999999999999997E-2"/>
    <n v="0.05"/>
    <n v="4.2999999999999997E-2"/>
    <n v="2384.6"/>
    <n v="2386.1999999999998"/>
    <n v="2406.8000000000002"/>
    <m/>
    <m/>
    <n v="496.7"/>
    <n v="496.7"/>
    <n v="0"/>
  </r>
  <r>
    <x v="64"/>
    <n v="1900"/>
    <n v="498.39600000000002"/>
    <n v="5.2999999999999999E-2"/>
    <n v="493.68450000000001"/>
    <n v="497.66480000000001"/>
    <n v="503.83859999999999"/>
    <n v="5.2999999999999999E-2"/>
    <n v="5.3999999999999999E-2"/>
    <n v="5.0999999999999997E-2"/>
    <n v="2388.8000000000002"/>
    <n v="2387.8000000000002"/>
    <n v="2410.4"/>
    <m/>
    <m/>
    <n v="498.4"/>
    <n v="498.4"/>
    <n v="1.6999999999999886"/>
  </r>
  <r>
    <x v="64"/>
    <n v="2000"/>
    <n v="498.04640000000001"/>
    <n v="4.7E-2"/>
    <n v="493.30520000000001"/>
    <n v="497.44540000000001"/>
    <n v="503.38839999999999"/>
    <n v="5.3999999999999999E-2"/>
    <n v="3.5000000000000003E-2"/>
    <n v="4.9000000000000002E-2"/>
    <n v="2388"/>
    <n v="2387.6"/>
    <n v="2409.4"/>
    <m/>
    <m/>
    <n v="498"/>
    <n v="498.4"/>
    <n v="0"/>
  </r>
  <r>
    <x v="64"/>
    <n v="2100"/>
    <n v="497.16460000000001"/>
    <n v="5.6000000000000001E-2"/>
    <n v="490.83760000000001"/>
    <n v="497.21480000000003"/>
    <n v="503.44130000000001"/>
    <n v="5.0999999999999997E-2"/>
    <n v="5.8999999999999997E-2"/>
    <n v="5.8999999999999997E-2"/>
    <n v="2383.4"/>
    <n v="2387.1999999999998"/>
    <n v="2409.4"/>
    <m/>
    <m/>
    <n v="497.2"/>
    <n v="498.4"/>
    <n v="0"/>
  </r>
  <r>
    <x v="64"/>
    <n v="2200"/>
    <n v="496.9119"/>
    <n v="5.1999999999999998E-2"/>
    <n v="489.74329999999998"/>
    <n v="498.23790000000002"/>
    <n v="502.75439999999998"/>
    <n v="5.2999999999999999E-2"/>
    <n v="5.5E-2"/>
    <n v="4.9000000000000002E-2"/>
    <n v="2381.1999999999998"/>
    <n v="2389.1999999999998"/>
    <n v="2408.1999999999998"/>
    <m/>
    <m/>
    <n v="496.9"/>
    <n v="498.4"/>
    <n v="0"/>
  </r>
  <r>
    <x v="64"/>
    <n v="2300"/>
    <n v="498.8954"/>
    <n v="4.3999999999999997E-2"/>
    <n v="491.41989999999998"/>
    <n v="501.30689999999998"/>
    <n v="503.95949999999999"/>
    <n v="0.03"/>
    <n v="4.4999999999999998E-2"/>
    <n v="5.3999999999999999E-2"/>
    <n v="2384.4"/>
    <n v="2394.6"/>
    <n v="2410.6"/>
    <m/>
    <m/>
    <n v="498.9"/>
    <n v="498.9"/>
    <n v="0.5"/>
  </r>
  <r>
    <x v="64"/>
    <n v="2400"/>
    <n v="498.8845"/>
    <n v="4.8000000000000001E-2"/>
    <n v="491.47250000000003"/>
    <n v="501.21210000000002"/>
    <n v="503.96899999999999"/>
    <n v="5.2999999999999999E-2"/>
    <n v="3.3000000000000002E-2"/>
    <n v="5.3999999999999999E-2"/>
    <n v="2384.4"/>
    <n v="2394.6"/>
    <n v="2410.6"/>
    <m/>
    <m/>
    <n v="498.9"/>
    <n v="498.9"/>
    <n v="0"/>
  </r>
  <r>
    <x v="65"/>
    <n v="100"/>
    <n v="498.89640000000003"/>
    <n v="4.8000000000000001E-2"/>
    <n v="491.52699999999999"/>
    <n v="501.18169999999998"/>
    <n v="503.98039999999997"/>
    <n v="3.5999999999999997E-2"/>
    <n v="5.2999999999999999E-2"/>
    <n v="5.1999999999999998E-2"/>
    <n v="2384.6"/>
    <n v="2394.4"/>
    <n v="2410.6"/>
    <m/>
    <m/>
    <n v="498.9"/>
    <n v="498.9"/>
    <n v="0"/>
  </r>
  <r>
    <x v="65"/>
    <n v="200"/>
    <n v="498.95620000000002"/>
    <n v="4.5999999999999999E-2"/>
    <n v="491.60969999999998"/>
    <n v="501.26710000000003"/>
    <n v="503.99180000000001"/>
    <n v="3.6999999999999998E-2"/>
    <n v="5.2999999999999999E-2"/>
    <n v="4.8000000000000001E-2"/>
    <n v="2384.8000000000002"/>
    <n v="2394.8000000000002"/>
    <n v="2410.6"/>
    <m/>
    <m/>
    <n v="499"/>
    <n v="499"/>
    <n v="0.10000000000002274"/>
  </r>
  <r>
    <x v="65"/>
    <n v="300"/>
    <n v="498.81630000000001"/>
    <n v="4.4999999999999998E-2"/>
    <n v="491.4556"/>
    <n v="501.07920000000001"/>
    <n v="503.91390000000001"/>
    <n v="5.7000000000000002E-2"/>
    <n v="5.0999999999999997E-2"/>
    <n v="1.4E-2"/>
    <n v="2384.4"/>
    <n v="2394.1999999999998"/>
    <n v="2410.4"/>
    <m/>
    <m/>
    <n v="498.8"/>
    <n v="499"/>
    <n v="0"/>
  </r>
  <r>
    <x v="65"/>
    <n v="400"/>
    <n v="498.8408"/>
    <n v="4.8000000000000001E-2"/>
    <n v="491.50259999999997"/>
    <n v="501.10199999999998"/>
    <n v="503.91770000000002"/>
    <n v="4.2000000000000003E-2"/>
    <n v="6.7000000000000004E-2"/>
    <n v="2.4E-2"/>
    <n v="2384.6"/>
    <n v="2394.4"/>
    <n v="2410.4"/>
    <m/>
    <m/>
    <n v="498.8"/>
    <n v="499"/>
    <n v="0"/>
  </r>
  <r>
    <x v="65"/>
    <n v="500"/>
    <n v="498.8338"/>
    <n v="4.5999999999999999E-2"/>
    <n v="491.4932"/>
    <n v="501.09249999999997"/>
    <n v="503.91579999999999"/>
    <n v="4.4999999999999998E-2"/>
    <n v="6.3E-2"/>
    <n v="0.02"/>
    <n v="2384.4"/>
    <n v="2394.1999999999998"/>
    <n v="2410.4"/>
    <m/>
    <m/>
    <n v="498.8"/>
    <n v="499"/>
    <n v="0"/>
  </r>
  <r>
    <x v="65"/>
    <n v="600"/>
    <n v="498.85140000000001"/>
    <n v="4.5999999999999999E-2"/>
    <n v="491.52140000000003"/>
    <n v="501.10199999999998"/>
    <n v="503.93099999999998"/>
    <n v="4.4999999999999998E-2"/>
    <n v="4.5999999999999999E-2"/>
    <n v="4.5999999999999999E-2"/>
    <n v="2384.6"/>
    <n v="2394.4"/>
    <n v="2410.4"/>
    <m/>
    <m/>
    <n v="498.9"/>
    <n v="499"/>
    <n v="0"/>
  </r>
  <r>
    <x v="65"/>
    <n v="700"/>
    <n v="498.90699999999998"/>
    <n v="4.3999999999999997E-2"/>
    <n v="491.5797"/>
    <n v="501.13420000000002"/>
    <n v="504.00700000000001"/>
    <n v="5.2999999999999999E-2"/>
    <n v="4.1000000000000002E-2"/>
    <n v="3.5999999999999997E-2"/>
    <n v="2384.8000000000002"/>
    <n v="2394.6"/>
    <n v="2410.6"/>
    <m/>
    <m/>
    <n v="498.9"/>
    <n v="499"/>
    <n v="0"/>
  </r>
  <r>
    <x v="65"/>
    <n v="800"/>
    <n v="499.09480000000002"/>
    <n v="5.0999999999999997E-2"/>
    <n v="491.77319999999997"/>
    <n v="501.31639999999999"/>
    <n v="504.19499999999999"/>
    <n v="5.1999999999999998E-2"/>
    <n v="4.7E-2"/>
    <n v="5.2999999999999999E-2"/>
    <n v="2385.1999999999998"/>
    <n v="2394.8000000000002"/>
    <n v="2410.8000000000002"/>
    <m/>
    <m/>
    <n v="499.1"/>
    <n v="499.1"/>
    <n v="0.10000000000002274"/>
  </r>
  <r>
    <x v="65"/>
    <n v="900"/>
    <n v="499.16669999999999"/>
    <n v="4.7E-2"/>
    <n v="491.83890000000002"/>
    <n v="501.3922"/>
    <n v="504.26900000000001"/>
    <n v="3.5000000000000003E-2"/>
    <n v="5.3999999999999999E-2"/>
    <n v="4.9000000000000002E-2"/>
    <n v="2385.1999999999998"/>
    <n v="2394.8000000000002"/>
    <n v="2411"/>
    <m/>
    <m/>
    <n v="499.2"/>
    <n v="499.2"/>
    <n v="9.9999999999965894E-2"/>
  </r>
  <r>
    <x v="65"/>
    <n v="1000"/>
    <n v="499.2115"/>
    <n v="4.8000000000000001E-2"/>
    <n v="491.88589999999999"/>
    <n v="501.42829999999998"/>
    <n v="504.32029999999997"/>
    <n v="5.2999999999999999E-2"/>
    <n v="4.3999999999999997E-2"/>
    <n v="4.4999999999999998E-2"/>
    <n v="2385.4"/>
    <n v="2394.8000000000002"/>
    <n v="2411.1999999999998"/>
    <m/>
    <m/>
    <n v="499.2"/>
    <n v="499.2"/>
    <n v="0"/>
  </r>
  <r>
    <x v="65"/>
    <n v="1100"/>
    <n v="499.67950000000002"/>
    <n v="6.7000000000000004E-2"/>
    <n v="492.35019999999997"/>
    <n v="501.9083"/>
    <n v="504.78"/>
    <n v="6.4000000000000001E-2"/>
    <n v="6.8000000000000005E-2"/>
    <n v="6.9000000000000006E-2"/>
    <n v="2386.4"/>
    <n v="2396"/>
    <n v="2412.1999999999998"/>
    <m/>
    <m/>
    <n v="499.7"/>
    <n v="499.7"/>
    <n v="0.5"/>
  </r>
  <r>
    <x v="65"/>
    <n v="1200"/>
    <n v="500.4375"/>
    <n v="4.7E-2"/>
    <n v="493.09320000000002"/>
    <n v="502.67899999999997"/>
    <n v="505.54020000000003"/>
    <n v="4.9000000000000002E-2"/>
    <n v="5.3999999999999999E-2"/>
    <n v="3.5000000000000003E-2"/>
    <n v="2387.6"/>
    <n v="2397.4"/>
    <n v="2413.4"/>
    <m/>
    <m/>
    <n v="500.4"/>
    <n v="500.4"/>
    <n v="0.69999999999998863"/>
  </r>
  <r>
    <x v="65"/>
    <n v="1300"/>
    <n v="500.43310000000002"/>
    <n v="4.8000000000000001E-2"/>
    <n v="493.07819999999998"/>
    <n v="502.67140000000001"/>
    <n v="505.54969999999997"/>
    <n v="5.2999999999999999E-2"/>
    <n v="5.2999999999999999E-2"/>
    <n v="3.5999999999999997E-2"/>
    <n v="2387.4"/>
    <n v="2397.4"/>
    <n v="2413.4"/>
    <m/>
    <m/>
    <n v="500.4"/>
    <n v="500.4"/>
    <n v="0"/>
  </r>
  <r>
    <x v="65"/>
    <n v="1400"/>
    <n v="500.46730000000002"/>
    <n v="4.9000000000000002E-2"/>
    <n v="493.08569999999997"/>
    <n v="502.72269999999997"/>
    <n v="505.59339999999997"/>
    <n v="5.1999999999999998E-2"/>
    <n v="3.7999999999999999E-2"/>
    <n v="5.3999999999999999E-2"/>
    <n v="2387.6"/>
    <n v="2397.1999999999998"/>
    <n v="2413.4"/>
    <m/>
    <m/>
    <n v="500.5"/>
    <n v="500.5"/>
    <n v="0.10000000000002274"/>
  </r>
  <r>
    <x v="65"/>
    <n v="1500"/>
    <n v="500.49360000000001"/>
    <n v="5.0999999999999997E-2"/>
    <n v="493.17219999999998"/>
    <n v="502.69229999999999"/>
    <n v="505.61630000000002"/>
    <n v="5.2999999999999999E-2"/>
    <n v="5.2999999999999999E-2"/>
    <n v="4.8000000000000001E-2"/>
    <n v="2387.6"/>
    <n v="2397.4"/>
    <n v="2413.6"/>
    <m/>
    <m/>
    <n v="500.5"/>
    <n v="500.5"/>
    <n v="0"/>
  </r>
  <r>
    <x v="65"/>
    <n v="1600"/>
    <n v="500.4547"/>
    <n v="5.2999999999999999E-2"/>
    <n v="493.07440000000003"/>
    <n v="502.67899999999997"/>
    <n v="505.61059999999998"/>
    <n v="5.3999999999999999E-2"/>
    <n v="5.3999999999999999E-2"/>
    <n v="0.05"/>
    <n v="2387.4"/>
    <n v="2397.1999999999998"/>
    <n v="2413.4"/>
    <m/>
    <m/>
    <n v="500.5"/>
    <n v="500.5"/>
    <n v="0"/>
  </r>
  <r>
    <x v="65"/>
    <n v="1700"/>
    <n v="500.53919999999999"/>
    <n v="4.7E-2"/>
    <n v="493.18729999999999"/>
    <n v="502.774"/>
    <n v="505.65629999999999"/>
    <n v="5.2999999999999999E-2"/>
    <n v="5.0999999999999997E-2"/>
    <n v="3.3000000000000002E-2"/>
    <n v="2387.6"/>
    <n v="2397.4"/>
    <n v="2413.6"/>
    <m/>
    <m/>
    <n v="500.5"/>
    <n v="500.5"/>
    <n v="0"/>
  </r>
  <r>
    <x v="65"/>
    <n v="1800"/>
    <n v="500.55430000000001"/>
    <n v="4.9000000000000002E-2"/>
    <n v="493.1986"/>
    <n v="502.80059999999997"/>
    <n v="505.66379999999998"/>
    <n v="0.05"/>
    <n v="5.3999999999999999E-2"/>
    <n v="4.1000000000000002E-2"/>
    <n v="2387.8000000000002"/>
    <n v="2397.4"/>
    <n v="2413.6"/>
    <m/>
    <m/>
    <n v="500.6"/>
    <n v="500.6"/>
    <n v="0.10000000000002274"/>
  </r>
  <r>
    <x v="65"/>
    <n v="1900"/>
    <n v="500.95650000000001"/>
    <n v="4.4999999999999998E-2"/>
    <n v="493.59559999999999"/>
    <n v="503.20319999999998"/>
    <n v="506.07069999999999"/>
    <n v="5.1999999999999998E-2"/>
    <n v="0.05"/>
    <n v="2.8000000000000001E-2"/>
    <n v="2388.4"/>
    <n v="2398.4"/>
    <n v="2414.4"/>
    <m/>
    <m/>
    <n v="501"/>
    <n v="501"/>
    <n v="0.39999999999997726"/>
  </r>
  <r>
    <x v="65"/>
    <n v="2000"/>
    <n v="501.0335"/>
    <n v="4.8000000000000001E-2"/>
    <n v="493.69349999999997"/>
    <n v="503.26589999999999"/>
    <n v="506.14109999999999"/>
    <n v="4.9000000000000002E-2"/>
    <n v="4.1000000000000002E-2"/>
    <n v="5.3999999999999999E-2"/>
    <n v="2388.6"/>
    <n v="2398.4"/>
    <n v="2414.6"/>
    <m/>
    <m/>
    <n v="501"/>
    <n v="501"/>
    <n v="0"/>
  </r>
  <r>
    <x v="65"/>
    <n v="2100"/>
    <n v="501.72669999999999"/>
    <n v="4.4999999999999998E-2"/>
    <n v="494.37509999999997"/>
    <n v="503.97489999999999"/>
    <n v="506.82990000000001"/>
    <n v="5.0999999999999997E-2"/>
    <n v="5.2999999999999999E-2"/>
    <n v="2.8000000000000001E-2"/>
    <n v="2390"/>
    <n v="2399.8000000000002"/>
    <n v="2415.8000000000002"/>
    <m/>
    <m/>
    <n v="501.7"/>
    <n v="501.7"/>
    <n v="0.69999999999998863"/>
  </r>
  <r>
    <x v="65"/>
    <n v="2200"/>
    <n v="501.7475"/>
    <n v="4.3999999999999997E-2"/>
    <n v="494.4015"/>
    <n v="503.99200000000002"/>
    <n v="506.84890000000001"/>
    <n v="4.3999999999999997E-2"/>
    <n v="5.2999999999999999E-2"/>
    <n v="3.3000000000000002E-2"/>
    <n v="2390"/>
    <n v="2399.8000000000002"/>
    <n v="2415.8000000000002"/>
    <m/>
    <m/>
    <n v="501.7"/>
    <n v="501.7"/>
    <n v="0"/>
  </r>
  <r>
    <x v="65"/>
    <n v="2300"/>
    <n v="501.76769999999999"/>
    <n v="4.9000000000000002E-2"/>
    <n v="494.42410000000001"/>
    <n v="504.00150000000002"/>
    <n v="506.87740000000002"/>
    <n v="4.3999999999999997E-2"/>
    <n v="5.0999999999999997E-2"/>
    <n v="5.1999999999999998E-2"/>
    <n v="2390"/>
    <n v="2399.6"/>
    <n v="2415.8000000000002"/>
    <m/>
    <m/>
    <n v="501.8"/>
    <n v="501.8"/>
    <n v="0.10000000000002274"/>
  </r>
  <r>
    <x v="65"/>
    <n v="2400"/>
    <n v="501.77460000000002"/>
    <n v="4.9000000000000002E-2"/>
    <n v="494.4391"/>
    <n v="504.00720000000001"/>
    <n v="506.87740000000002"/>
    <n v="4.5999999999999999E-2"/>
    <n v="4.9000000000000002E-2"/>
    <n v="5.1999999999999998E-2"/>
    <n v="2390.1999999999998"/>
    <n v="2399.8000000000002"/>
    <n v="2415.8000000000002"/>
    <m/>
    <m/>
    <n v="501.8"/>
    <n v="501.8"/>
    <n v="0"/>
  </r>
  <r>
    <x v="66"/>
    <n v="100"/>
    <n v="501.76690000000002"/>
    <n v="5.1999999999999998E-2"/>
    <n v="494.45609999999999"/>
    <n v="503.97300000000001"/>
    <n v="506.87169999999998"/>
    <n v="5.2999999999999999E-2"/>
    <n v="5.2999999999999999E-2"/>
    <n v="0.05"/>
    <n v="2390"/>
    <n v="2399.6"/>
    <n v="2415.8000000000002"/>
    <m/>
    <m/>
    <n v="501.8"/>
    <n v="501.8"/>
    <n v="0"/>
  </r>
  <r>
    <x v="66"/>
    <n v="200"/>
    <n v="501.78210000000001"/>
    <n v="5.5E-2"/>
    <n v="494.45800000000003"/>
    <n v="503.99959999999999"/>
    <n v="506.88889999999998"/>
    <n v="5.2999999999999999E-2"/>
    <n v="5.8999999999999997E-2"/>
    <n v="5.3999999999999999E-2"/>
    <n v="2390"/>
    <n v="2399.8000000000002"/>
    <n v="2416"/>
    <m/>
    <m/>
    <n v="501.8"/>
    <n v="501.8"/>
    <n v="0"/>
  </r>
  <r>
    <x v="66"/>
    <n v="300"/>
    <n v="501.78149999999999"/>
    <n v="5.3999999999999999E-2"/>
    <n v="494.47120000000001"/>
    <n v="503.98250000000002"/>
    <n v="506.89080000000001"/>
    <n v="5.2999999999999999E-2"/>
    <n v="5.3999999999999999E-2"/>
    <n v="5.3999999999999999E-2"/>
    <n v="2390"/>
    <n v="2399.6"/>
    <n v="2416"/>
    <m/>
    <m/>
    <n v="501.8"/>
    <n v="501.8"/>
    <n v="0"/>
  </r>
  <r>
    <x v="66"/>
    <n v="400"/>
    <n v="501.7998"/>
    <n v="0.05"/>
    <n v="494.48809999999997"/>
    <n v="504.00909999999999"/>
    <n v="506.90219999999999"/>
    <n v="4.9000000000000002E-2"/>
    <n v="4.8000000000000001E-2"/>
    <n v="5.2999999999999999E-2"/>
    <n v="2390"/>
    <n v="2399.8000000000002"/>
    <n v="2416"/>
    <m/>
    <m/>
    <n v="501.8"/>
    <n v="501.8"/>
    <n v="0"/>
  </r>
  <r>
    <x v="66"/>
    <n v="500"/>
    <n v="501.95530000000002"/>
    <n v="3.3000000000000002E-2"/>
    <n v="494.63119999999998"/>
    <n v="504.17450000000002"/>
    <n v="507.06020000000001"/>
    <n v="0.02"/>
    <n v="4.8000000000000001E-2"/>
    <n v="2.4E-2"/>
    <n v="2390.4"/>
    <n v="2400"/>
    <n v="2416.1999999999998"/>
    <m/>
    <m/>
    <n v="502"/>
    <n v="502"/>
    <n v="0.19999999999998863"/>
  </r>
  <r>
    <x v="66"/>
    <n v="600"/>
    <n v="501.97109999999998"/>
    <n v="4.4999999999999998E-2"/>
    <n v="494.64440000000002"/>
    <n v="504.19729999999998"/>
    <n v="507.07159999999999"/>
    <n v="3.9E-2"/>
    <n v="5.3999999999999999E-2"/>
    <n v="0.04"/>
    <n v="2390.4"/>
    <n v="2400"/>
    <n v="2416.1999999999998"/>
    <m/>
    <m/>
    <n v="502"/>
    <n v="502"/>
    <n v="0"/>
  </r>
  <r>
    <x v="66"/>
    <n v="700"/>
    <n v="501.97039999999998"/>
    <n v="4.5999999999999999E-2"/>
    <n v="494.6576"/>
    <n v="504.1859"/>
    <n v="507.06779999999998"/>
    <n v="4.8000000000000001E-2"/>
    <n v="5.1999999999999998E-2"/>
    <n v="3.5999999999999997E-2"/>
    <n v="2390.4"/>
    <n v="2400"/>
    <n v="2416.1999999999998"/>
    <m/>
    <m/>
    <n v="502"/>
    <n v="502"/>
    <n v="0"/>
  </r>
  <r>
    <x v="66"/>
    <n v="800"/>
    <n v="501.97289999999998"/>
    <n v="4.5999999999999999E-2"/>
    <n v="494.67079999999999"/>
    <n v="504.18400000000003"/>
    <n v="507.06400000000002"/>
    <n v="5.2999999999999999E-2"/>
    <n v="5.1999999999999998E-2"/>
    <n v="3.1E-2"/>
    <n v="2390.6"/>
    <n v="2400"/>
    <n v="2416.1999999999998"/>
    <m/>
    <m/>
    <n v="502"/>
    <n v="502"/>
    <n v="0"/>
  </r>
  <r>
    <x v="66"/>
    <n v="900"/>
    <n v="502.005"/>
    <n v="4.2000000000000003E-2"/>
    <n v="494.74059999999997"/>
    <n v="504.20679999999999"/>
    <n v="507.06779999999998"/>
    <n v="3.1E-2"/>
    <n v="5.3999999999999999E-2"/>
    <n v="3.5999999999999997E-2"/>
    <n v="2390.6"/>
    <n v="2400.1999999999998"/>
    <n v="2416.1999999999998"/>
    <m/>
    <m/>
    <n v="502"/>
    <n v="502"/>
    <n v="0"/>
  </r>
  <r>
    <x v="66"/>
    <n v="1000"/>
    <n v="501.9812"/>
    <n v="4.5999999999999999E-2"/>
    <n v="494.66140000000001"/>
    <n v="504.21629999999999"/>
    <n v="507.0659"/>
    <n v="0.05"/>
    <n v="5.1999999999999998E-2"/>
    <n v="3.3000000000000002E-2"/>
    <n v="2390.4"/>
    <n v="2400.1999999999998"/>
    <n v="2416.1999999999998"/>
    <m/>
    <m/>
    <n v="502"/>
    <n v="502"/>
    <n v="0"/>
  </r>
  <r>
    <x v="66"/>
    <n v="1100"/>
    <n v="502.19529999999997"/>
    <n v="4.8000000000000001E-2"/>
    <n v="494.93270000000001"/>
    <n v="504.43700000000001"/>
    <n v="507.21629999999999"/>
    <n v="3.9E-2"/>
    <n v="0.05"/>
    <n v="5.3999999999999999E-2"/>
    <n v="2391"/>
    <n v="2400.4"/>
    <n v="2416.6"/>
    <m/>
    <m/>
    <n v="502.2"/>
    <n v="502.2"/>
    <n v="0.19999999999998863"/>
  </r>
  <r>
    <x v="66"/>
    <n v="1200"/>
    <n v="502.53919999999999"/>
    <n v="4.3999999999999997E-2"/>
    <n v="495.28519999999997"/>
    <n v="504.77359999999999"/>
    <n v="507.55900000000003"/>
    <n v="3.5000000000000003E-2"/>
    <n v="4.3999999999999997E-2"/>
    <n v="5.1999999999999998E-2"/>
    <n v="2391.6"/>
    <n v="2401.1999999999998"/>
    <n v="2417.1999999999998"/>
    <m/>
    <m/>
    <n v="502.5"/>
    <n v="502.5"/>
    <n v="0.30000000000001137"/>
  </r>
  <r>
    <x v="66"/>
    <n v="1300"/>
    <n v="502.99400000000003"/>
    <n v="4.7E-2"/>
    <n v="495.73570000000001"/>
    <n v="505.24160000000001"/>
    <n v="508.00470000000001"/>
    <n v="0.05"/>
    <n v="3.9E-2"/>
    <n v="5.0999999999999997E-2"/>
    <n v="2392.6"/>
    <n v="2402"/>
    <n v="2418"/>
    <m/>
    <m/>
    <n v="503"/>
    <n v="503"/>
    <n v="0.5"/>
  </r>
  <r>
    <x v="66"/>
    <n v="1400"/>
    <n v="503.375"/>
    <n v="5.0999999999999997E-2"/>
    <n v="496.10340000000002"/>
    <n v="505.59949999999998"/>
    <n v="508.42200000000003"/>
    <n v="4.7E-2"/>
    <n v="5.2999999999999999E-2"/>
    <n v="5.2999999999999999E-2"/>
    <n v="2393.1999999999998"/>
    <n v="2402.8000000000002"/>
    <n v="2418.8000000000002"/>
    <m/>
    <m/>
    <n v="503.4"/>
    <n v="503.4"/>
    <n v="0.39999999999997726"/>
  </r>
  <r>
    <x v="66"/>
    <n v="1500"/>
    <n v="504.8494"/>
    <n v="4.5999999999999999E-2"/>
    <n v="497.46230000000003"/>
    <n v="507.18630000000002"/>
    <n v="509.8997"/>
    <n v="5.1999999999999998E-2"/>
    <n v="3.7999999999999999E-2"/>
    <n v="4.8000000000000001E-2"/>
    <n v="2395.8000000000002"/>
    <n v="2405.8000000000002"/>
    <n v="2421.6"/>
    <m/>
    <m/>
    <n v="504.8"/>
    <n v="504.8"/>
    <n v="1.4000000000000341"/>
  </r>
  <r>
    <x v="66"/>
    <n v="1600"/>
    <n v="505.38260000000002"/>
    <n v="4.2000000000000003E-2"/>
    <n v="497.94200000000001"/>
    <n v="507.72579999999999"/>
    <n v="510.47989999999999"/>
    <n v="4.1000000000000002E-2"/>
    <n v="2.5000000000000001E-2"/>
    <n v="5.3999999999999999E-2"/>
    <n v="2396.4"/>
    <n v="2406.6"/>
    <n v="2422.6"/>
    <m/>
    <m/>
    <n v="505.4"/>
    <n v="505.4"/>
    <n v="0.59999999999996589"/>
  </r>
  <r>
    <x v="66"/>
    <n v="1700"/>
    <n v="505.40539999999999"/>
    <n v="4.1000000000000002E-2"/>
    <n v="497.959"/>
    <n v="507.7525"/>
    <n v="510.50479999999999"/>
    <n v="2.5000000000000001E-2"/>
    <n v="4.5999999999999999E-2"/>
    <n v="4.7E-2"/>
    <n v="2396.4"/>
    <n v="2406.6"/>
    <n v="2422.6"/>
    <m/>
    <m/>
    <n v="505.4"/>
    <n v="505.4"/>
    <n v="0"/>
  </r>
  <r>
    <x v="66"/>
    <n v="1800"/>
    <n v="505.42950000000002"/>
    <n v="4.2999999999999997E-2"/>
    <n v="497.97980000000001"/>
    <n v="507.76580000000001"/>
    <n v="510.54289999999997"/>
    <n v="4.1000000000000002E-2"/>
    <n v="5.1999999999999998E-2"/>
    <n v="3.3000000000000002E-2"/>
    <n v="2396.8000000000002"/>
    <n v="2406.8000000000002"/>
    <n v="2422.6"/>
    <m/>
    <m/>
    <n v="505.4"/>
    <n v="505.4"/>
    <n v="0"/>
  </r>
  <r>
    <x v="66"/>
    <n v="1900"/>
    <n v="505.44720000000001"/>
    <n v="5.0999999999999997E-2"/>
    <n v="498.00619999999998"/>
    <n v="507.7792"/>
    <n v="510.55630000000002"/>
    <n v="5.2999999999999999E-2"/>
    <n v="5.3999999999999999E-2"/>
    <n v="4.5999999999999999E-2"/>
    <n v="2396.6"/>
    <n v="2406.8000000000002"/>
    <n v="2422.6"/>
    <m/>
    <m/>
    <n v="505.4"/>
    <n v="505.4"/>
    <n v="0"/>
  </r>
  <r>
    <x v="66"/>
    <n v="2000"/>
    <n v="505.47070000000002"/>
    <n v="5.1999999999999998E-2"/>
    <n v="498.03269999999998"/>
    <n v="507.79629999999997"/>
    <n v="510.58300000000003"/>
    <n v="5.0999999999999997E-2"/>
    <n v="5.1999999999999998E-2"/>
    <n v="5.3999999999999999E-2"/>
    <n v="2396.8000000000002"/>
    <n v="2406.6"/>
    <n v="2422.8000000000002"/>
    <m/>
    <m/>
    <n v="505.5"/>
    <n v="505.5"/>
    <n v="0.10000000000002274"/>
  </r>
  <r>
    <x v="66"/>
    <n v="2100"/>
    <n v="505.45479999999998"/>
    <n v="5.2999999999999999E-2"/>
    <n v="498.0138"/>
    <n v="507.78300000000002"/>
    <n v="510.5677"/>
    <n v="5.3999999999999999E-2"/>
    <n v="5.3999999999999999E-2"/>
    <n v="5.0999999999999997E-2"/>
    <n v="2396.8000000000002"/>
    <n v="2406.8000000000002"/>
    <n v="2422.8000000000002"/>
    <m/>
    <m/>
    <n v="505.5"/>
    <n v="505.5"/>
    <n v="0"/>
  </r>
  <r>
    <x v="66"/>
    <n v="2200"/>
    <n v="505.45800000000003"/>
    <n v="5.2999999999999999E-2"/>
    <n v="498.01569999999998"/>
    <n v="507.79059999999998"/>
    <n v="510.5677"/>
    <n v="5.3999999999999999E-2"/>
    <n v="5.3999999999999999E-2"/>
    <n v="5.0999999999999997E-2"/>
    <n v="2396.6"/>
    <n v="2406.6"/>
    <n v="2422.6"/>
    <m/>
    <m/>
    <n v="505.5"/>
    <n v="505.5"/>
    <n v="0"/>
  </r>
  <r>
    <x v="66"/>
    <n v="2300"/>
    <n v="505.47829999999999"/>
    <n v="5.0999999999999997E-2"/>
    <n v="498.03269999999998"/>
    <n v="507.80970000000002"/>
    <n v="510.5926"/>
    <n v="5.0999999999999997E-2"/>
    <n v="4.7E-2"/>
    <n v="5.3999999999999999E-2"/>
    <n v="2396.8000000000002"/>
    <n v="2406.8000000000002"/>
    <n v="2422.6"/>
    <m/>
    <m/>
    <n v="505.5"/>
    <n v="505.5"/>
    <n v="0"/>
  </r>
  <r>
    <x v="66"/>
    <n v="2400"/>
    <n v="505.4853"/>
    <n v="4.8000000000000001E-2"/>
    <n v="498.0308"/>
    <n v="507.81920000000002"/>
    <n v="510.60590000000002"/>
    <n v="5.0999999999999997E-2"/>
    <n v="0.04"/>
    <n v="5.0999999999999997E-2"/>
    <n v="2396.8000000000002"/>
    <n v="2406.6"/>
    <n v="2422.8000000000002"/>
    <m/>
    <m/>
    <n v="505.5"/>
    <n v="505.5"/>
    <n v="0"/>
  </r>
  <r>
    <x v="67"/>
    <n v="100"/>
    <n v="505.49489999999997"/>
    <n v="4.1000000000000002E-2"/>
    <n v="498.01749999999998"/>
    <n v="507.8383"/>
    <n v="510.62880000000001"/>
    <n v="5.3999999999999999E-2"/>
    <n v="3.2000000000000001E-2"/>
    <n v="3.3000000000000002E-2"/>
    <n v="2396.6"/>
    <n v="2406.8000000000002"/>
    <n v="2422.8000000000002"/>
    <m/>
    <m/>
    <n v="505.5"/>
    <n v="505.5"/>
    <n v="0"/>
  </r>
  <r>
    <x v="67"/>
    <n v="200"/>
    <n v="505.51889999999997"/>
    <n v="3.4000000000000002E-2"/>
    <n v="498.06099999999998"/>
    <n v="507.85160000000002"/>
    <n v="510.64409999999998"/>
    <n v="3.4000000000000002E-2"/>
    <n v="3.7999999999999999E-2"/>
    <n v="2.9000000000000001E-2"/>
    <n v="2396.8000000000002"/>
    <n v="2406.8000000000002"/>
    <n v="2422.8000000000002"/>
    <m/>
    <m/>
    <n v="505.5"/>
    <n v="505.5"/>
    <n v="0"/>
  </r>
  <r>
    <x v="67"/>
    <n v="300"/>
    <n v="505.54360000000003"/>
    <n v="4.7E-2"/>
    <n v="498.1044"/>
    <n v="507.85930000000002"/>
    <n v="510.66699999999997"/>
    <n v="5.0999999999999997E-2"/>
    <n v="4.3999999999999997E-2"/>
    <n v="4.7E-2"/>
    <n v="2397"/>
    <n v="2407"/>
    <n v="2423"/>
    <m/>
    <m/>
    <n v="505.5"/>
    <n v="505.5"/>
    <n v="0"/>
  </r>
  <r>
    <x v="67"/>
    <n v="400"/>
    <n v="505.59370000000001"/>
    <n v="4.8000000000000001E-2"/>
    <n v="498.1422"/>
    <n v="507.91840000000002"/>
    <n v="510.72050000000002"/>
    <n v="0.05"/>
    <n v="4.7E-2"/>
    <n v="4.8000000000000001E-2"/>
    <n v="2397"/>
    <n v="2406.8000000000002"/>
    <n v="2422.8000000000002"/>
    <m/>
    <m/>
    <n v="505.6"/>
    <n v="505.6"/>
    <n v="0.10000000000002274"/>
  </r>
  <r>
    <x v="67"/>
    <n v="500"/>
    <n v="505.73759999999999"/>
    <n v="3.7999999999999999E-2"/>
    <n v="498.27629999999999"/>
    <n v="508.07470000000001"/>
    <n v="510.86169999999998"/>
    <n v="2.7E-2"/>
    <n v="4.2999999999999997E-2"/>
    <n v="4.1000000000000002E-2"/>
    <n v="2397.1999999999998"/>
    <n v="2407.4"/>
    <n v="2423.1999999999998"/>
    <m/>
    <m/>
    <n v="505.7"/>
    <n v="505.7"/>
    <n v="9.9999999999965894E-2"/>
  </r>
  <r>
    <x v="67"/>
    <n v="600"/>
    <n v="505.76429999999999"/>
    <n v="4.9000000000000002E-2"/>
    <n v="498.2688"/>
    <n v="508.12810000000002"/>
    <n v="510.89609999999999"/>
    <n v="4.2000000000000003E-2"/>
    <n v="5.0999999999999997E-2"/>
    <n v="5.1999999999999998E-2"/>
    <n v="2397"/>
    <n v="2407.4"/>
    <n v="2423.4"/>
    <m/>
    <m/>
    <n v="505.8"/>
    <n v="505.8"/>
    <n v="0.10000000000002274"/>
  </r>
  <r>
    <x v="67"/>
    <n v="700"/>
    <n v="505.8322"/>
    <n v="4.8000000000000001E-2"/>
    <n v="498.3424"/>
    <n v="508.19880000000001"/>
    <n v="510.95530000000002"/>
    <n v="5.3999999999999999E-2"/>
    <n v="5.0999999999999997E-2"/>
    <n v="3.9E-2"/>
    <n v="2397.1999999999998"/>
    <n v="2407.6"/>
    <n v="2423.4"/>
    <m/>
    <m/>
    <n v="505.8"/>
    <n v="505.8"/>
    <n v="0"/>
  </r>
  <r>
    <x v="67"/>
    <n v="800"/>
    <n v="505.8766"/>
    <n v="4.3999999999999997E-2"/>
    <n v="498.38209999999998"/>
    <n v="508.2484"/>
    <n v="510.99919999999997"/>
    <n v="3.6999999999999998E-2"/>
    <n v="4.3999999999999997E-2"/>
    <n v="0.05"/>
    <n v="2397.1999999999998"/>
    <n v="2407.6"/>
    <n v="2423.6"/>
    <m/>
    <m/>
    <n v="505.9"/>
    <n v="505.9"/>
    <n v="9.9999999999965894E-2"/>
  </r>
  <r>
    <x v="67"/>
    <n v="900"/>
    <n v="505.87220000000002"/>
    <n v="5.1999999999999998E-2"/>
    <n v="498.37270000000001"/>
    <n v="508.22739999999999"/>
    <n v="511.01639999999998"/>
    <n v="0.05"/>
    <n v="5.2999999999999999E-2"/>
    <n v="5.3999999999999999E-2"/>
    <n v="2397.4"/>
    <n v="2407.6"/>
    <n v="2423.4"/>
    <m/>
    <m/>
    <n v="505.9"/>
    <n v="505.9"/>
    <n v="0"/>
  </r>
  <r>
    <x v="67"/>
    <n v="1000"/>
    <n v="505.9015"/>
    <n v="3.9E-2"/>
    <n v="498.3802"/>
    <n v="508.26560000000001"/>
    <n v="511.05849999999998"/>
    <n v="3.9E-2"/>
    <n v="3.2000000000000001E-2"/>
    <n v="4.4999999999999998E-2"/>
    <n v="2397.1999999999998"/>
    <n v="2407.6"/>
    <n v="2423.6"/>
    <m/>
    <m/>
    <n v="505.9"/>
    <n v="505.9"/>
    <n v="0"/>
  </r>
  <r>
    <x v="67"/>
    <n v="1100"/>
    <n v="505.93639999999999"/>
    <n v="4.8000000000000001E-2"/>
    <n v="498.41809999999998"/>
    <n v="508.29039999999998"/>
    <n v="511.10050000000001"/>
    <n v="5.0999999999999997E-2"/>
    <n v="4.5999999999999999E-2"/>
    <n v="4.5999999999999999E-2"/>
    <n v="2397.4"/>
    <n v="2407.8000000000002"/>
    <n v="2423.6"/>
    <m/>
    <m/>
    <n v="505.9"/>
    <n v="505.9"/>
    <n v="0"/>
  </r>
  <r>
    <x v="67"/>
    <n v="1200"/>
    <n v="505.97179999999997"/>
    <n v="5.2999999999999999E-2"/>
    <n v="498.4597"/>
    <n v="508.33049999999997"/>
    <n v="511.12529999999998"/>
    <n v="5.1999999999999998E-2"/>
    <n v="5.3999999999999999E-2"/>
    <n v="5.3999999999999999E-2"/>
    <n v="2397.4"/>
    <n v="2407.8000000000002"/>
    <n v="2423.8000000000002"/>
    <m/>
    <m/>
    <n v="506"/>
    <n v="506"/>
    <n v="0.10000000000002274"/>
  </r>
  <r>
    <x v="67"/>
    <n v="1300"/>
    <n v="505.95350000000002"/>
    <n v="5.1999999999999998E-2"/>
    <n v="498.44639999999998"/>
    <n v="508.30380000000002"/>
    <n v="511.11"/>
    <n v="5.3999999999999999E-2"/>
    <n v="0.05"/>
    <n v="5.0999999999999997E-2"/>
    <n v="2397.6"/>
    <n v="2407.6"/>
    <n v="2423.6"/>
    <m/>
    <m/>
    <n v="506"/>
    <n v="506"/>
    <n v="0"/>
  </r>
  <r>
    <x v="67"/>
    <n v="1400"/>
    <n v="505.96300000000002"/>
    <n v="0.06"/>
    <n v="498.40859999999998"/>
    <n v="508.34570000000002"/>
    <n v="511.13490000000002"/>
    <n v="4.3999999999999997E-2"/>
    <n v="7.6999999999999999E-2"/>
    <n v="5.3999999999999999E-2"/>
    <n v="2397.4"/>
    <n v="2407.6"/>
    <n v="2423.8000000000002"/>
    <m/>
    <m/>
    <n v="506"/>
    <n v="506"/>
    <n v="0"/>
  </r>
  <r>
    <x v="67"/>
    <n v="1500"/>
    <n v="505.96039999999999"/>
    <n v="0.05"/>
    <n v="498.44830000000002"/>
    <n v="508.29230000000001"/>
    <n v="511.14060000000001"/>
    <n v="5.3999999999999999E-2"/>
    <n v="4.2999999999999997E-2"/>
    <n v="5.2999999999999999E-2"/>
    <n v="2397.4"/>
    <n v="2407.6"/>
    <n v="2423.8000000000002"/>
    <m/>
    <m/>
    <n v="506"/>
    <n v="506"/>
    <n v="0"/>
  </r>
  <r>
    <x v="67"/>
    <n v="1600"/>
    <n v="505.93900000000002"/>
    <n v="4.9000000000000002E-2"/>
    <n v="498.3802"/>
    <n v="508.31900000000002"/>
    <n v="511.11770000000001"/>
    <n v="3.9E-2"/>
    <n v="5.3999999999999999E-2"/>
    <n v="5.2999999999999999E-2"/>
    <n v="2397.4"/>
    <n v="2407.8000000000002"/>
    <n v="2423.8000000000002"/>
    <m/>
    <m/>
    <n v="505.9"/>
    <n v="506"/>
    <n v="0"/>
  </r>
  <r>
    <x v="67"/>
    <n v="1700"/>
    <n v="505.95940000000002"/>
    <n v="4.8000000000000001E-2"/>
    <n v="498.36700000000002"/>
    <n v="508.3648"/>
    <n v="511.1463"/>
    <n v="4.9000000000000002E-2"/>
    <n v="4.2999999999999997E-2"/>
    <n v="5.1999999999999998E-2"/>
    <n v="2397.4"/>
    <n v="2407.8000000000002"/>
    <n v="2423.8000000000002"/>
    <m/>
    <m/>
    <n v="506"/>
    <n v="506"/>
    <n v="0"/>
  </r>
  <r>
    <x v="67"/>
    <n v="1800"/>
    <n v="505.94880000000001"/>
    <n v="4.3999999999999997E-2"/>
    <n v="498.30279999999999"/>
    <n v="508.39530000000002"/>
    <n v="511.14830000000001"/>
    <n v="4.1000000000000002E-2"/>
    <n v="3.7999999999999999E-2"/>
    <n v="5.0999999999999997E-2"/>
    <n v="2397.1999999999998"/>
    <n v="2407.8000000000002"/>
    <n v="2423.8000000000002"/>
    <m/>
    <m/>
    <n v="505.9"/>
    <n v="506"/>
    <n v="0"/>
  </r>
  <r>
    <x v="67"/>
    <n v="1900"/>
    <n v="505.9529"/>
    <n v="5.7000000000000002E-2"/>
    <n v="498.39729999999997"/>
    <n v="508.32859999999999"/>
    <n v="511.13299999999998"/>
    <n v="6.2E-2"/>
    <n v="5.3999999999999999E-2"/>
    <n v="5.3999999999999999E-2"/>
    <n v="2397.1999999999998"/>
    <n v="2407.6"/>
    <n v="2423.8000000000002"/>
    <m/>
    <m/>
    <n v="506"/>
    <n v="506"/>
    <n v="0"/>
  </r>
  <r>
    <x v="67"/>
    <n v="2000"/>
    <n v="506.15019999999998"/>
    <n v="5.1999999999999998E-2"/>
    <n v="498.57499999999999"/>
    <n v="508.53649999999999"/>
    <n v="511.33920000000001"/>
    <n v="4.9000000000000002E-2"/>
    <n v="5.3999999999999999E-2"/>
    <n v="5.3999999999999999E-2"/>
    <n v="2397.8000000000002"/>
    <n v="2408.1999999999998"/>
    <n v="2424"/>
    <m/>
    <m/>
    <n v="506.2"/>
    <n v="506.2"/>
    <n v="0.19999999999998863"/>
  </r>
  <r>
    <x v="67"/>
    <n v="2100"/>
    <n v="507.30900000000003"/>
    <n v="0.05"/>
    <n v="499.7"/>
    <n v="509.71440000000001"/>
    <n v="512.51260000000002"/>
    <n v="5.0999999999999997E-2"/>
    <n v="5.1999999999999998E-2"/>
    <n v="4.8000000000000001E-2"/>
    <n v="2400"/>
    <n v="2410.1999999999998"/>
    <n v="2426.4"/>
    <m/>
    <m/>
    <n v="507.3"/>
    <n v="507.3"/>
    <n v="1.1000000000000227"/>
  </r>
  <r>
    <x v="67"/>
    <n v="2200"/>
    <n v="508.94189999999998"/>
    <n v="6.7000000000000004E-2"/>
    <n v="501.2921"/>
    <n v="511.36579999999998"/>
    <n v="514.16769999999997"/>
    <n v="0.06"/>
    <n v="7.2999999999999995E-2"/>
    <n v="6.7000000000000004E-2"/>
    <n v="2403"/>
    <n v="2413.4"/>
    <n v="2429.4"/>
    <m/>
    <m/>
    <n v="508.9"/>
    <n v="508.9"/>
    <n v="1.5999999999999659"/>
  </r>
  <r>
    <x v="67"/>
    <n v="2300"/>
    <n v="512.11789999999996"/>
    <n v="7.1999999999999995E-2"/>
    <n v="504.41030000000001"/>
    <n v="514.57759999999996"/>
    <n v="517.3655"/>
    <n v="7.1999999999999995E-2"/>
    <n v="7.9000000000000001E-2"/>
    <n v="6.4000000000000001E-2"/>
    <n v="2408.8000000000002"/>
    <n v="2419.4"/>
    <n v="2435.1999999999998"/>
    <m/>
    <m/>
    <n v="512.1"/>
    <n v="512.1"/>
    <n v="3.2000000000000455"/>
  </r>
  <r>
    <x v="67"/>
    <n v="2400"/>
    <n v="513.72260000000006"/>
    <n v="6.4000000000000001E-2"/>
    <n v="505.98"/>
    <n v="516.22220000000004"/>
    <n v="518.96550000000002"/>
    <n v="7.0000000000000007E-2"/>
    <n v="5.8000000000000003E-2"/>
    <n v="6.3E-2"/>
    <n v="2411.8000000000002"/>
    <n v="2422.1999999999998"/>
    <n v="2438.1999999999998"/>
    <m/>
    <m/>
    <n v="513.70000000000005"/>
    <n v="513.70000000000005"/>
    <n v="1.6000000000000227"/>
  </r>
  <r>
    <x v="68"/>
    <n v="100"/>
    <n v="514.84950000000003"/>
    <n v="5.1999999999999998E-2"/>
    <n v="507.09679999999997"/>
    <n v="517.35180000000003"/>
    <n v="520.1"/>
    <n v="5.3999999999999999E-2"/>
    <n v="4.8000000000000001E-2"/>
    <n v="5.3999999999999999E-2"/>
    <n v="2413.6"/>
    <n v="2424.1999999999998"/>
    <n v="2440.1999999999998"/>
    <m/>
    <m/>
    <n v="514.79999999999995"/>
    <n v="514.79999999999995"/>
    <n v="1.0999999999999091"/>
  </r>
  <r>
    <x v="68"/>
    <n v="200"/>
    <n v="515.87080000000003"/>
    <n v="4.8000000000000001E-2"/>
    <n v="508.10410000000002"/>
    <n v="518.38639999999998"/>
    <n v="521.12210000000005"/>
    <n v="5.5E-2"/>
    <n v="5.2999999999999999E-2"/>
    <n v="3.1E-2"/>
    <n v="2415.1999999999998"/>
    <n v="2426"/>
    <n v="2442"/>
    <m/>
    <m/>
    <n v="515.9"/>
    <n v="515.9"/>
    <n v="1.1000000000000227"/>
  </r>
  <r>
    <x v="68"/>
    <n v="300"/>
    <n v="516.01919999999996"/>
    <n v="4.8000000000000001E-2"/>
    <n v="508.2604"/>
    <n v="518.52869999999996"/>
    <n v="521.26840000000004"/>
    <n v="4.7E-2"/>
    <n v="0.05"/>
    <n v="4.7E-2"/>
    <n v="2415.6"/>
    <n v="2426.4"/>
    <n v="2442.4"/>
    <m/>
    <m/>
    <n v="516"/>
    <n v="516"/>
    <n v="0.10000000000002274"/>
  </r>
  <r>
    <x v="68"/>
    <n v="400"/>
    <n v="516.10299999999995"/>
    <n v="4.8000000000000001E-2"/>
    <n v="508.31560000000002"/>
    <n v="518.61530000000005"/>
    <n v="521.37819999999999"/>
    <n v="4.7E-2"/>
    <n v="4.9000000000000002E-2"/>
    <n v="4.7E-2"/>
    <n v="2415.8000000000002"/>
    <n v="2426.4"/>
    <n v="2442.6"/>
    <m/>
    <m/>
    <n v="516.1"/>
    <n v="516.1"/>
    <n v="0.10000000000002274"/>
  </r>
  <r>
    <x v="68"/>
    <n v="500"/>
    <n v="516.24900000000002"/>
    <n v="4.2999999999999997E-2"/>
    <n v="508.44139999999999"/>
    <n v="518.7731"/>
    <n v="521.53229999999996"/>
    <n v="3.6999999999999998E-2"/>
    <n v="0.04"/>
    <n v="5.1999999999999998E-2"/>
    <n v="2416"/>
    <n v="2426.8000000000002"/>
    <n v="2442.6"/>
    <m/>
    <m/>
    <n v="516.20000000000005"/>
    <n v="516.20000000000005"/>
    <n v="0.10000000000002274"/>
  </r>
  <r>
    <x v="68"/>
    <n v="600"/>
    <n v="516.37040000000002"/>
    <n v="4.4999999999999998E-2"/>
    <n v="508.55759999999998"/>
    <n v="518.89430000000004"/>
    <n v="521.65940000000001"/>
    <n v="4.2999999999999997E-2"/>
    <n v="4.8000000000000001E-2"/>
    <n v="4.2999999999999997E-2"/>
    <n v="2416.4"/>
    <n v="2427"/>
    <n v="2443"/>
    <m/>
    <m/>
    <n v="516.4"/>
    <n v="516.4"/>
    <n v="0.19999999999993179"/>
  </r>
  <r>
    <x v="68"/>
    <n v="700"/>
    <n v="516.4778"/>
    <n v="3.4000000000000002E-2"/>
    <n v="508.66809999999998"/>
    <n v="518.98860000000002"/>
    <n v="521.77689999999996"/>
    <n v="2.9000000000000001E-2"/>
    <n v="3.5999999999999997E-2"/>
    <n v="3.5999999999999997E-2"/>
    <n v="2416.4"/>
    <n v="2427.4"/>
    <n v="2443.1999999999998"/>
    <m/>
    <m/>
    <n v="516.5"/>
    <n v="516.5"/>
    <n v="0.10000000000002274"/>
  </r>
  <r>
    <x v="68"/>
    <n v="800"/>
    <n v="516.67679999999996"/>
    <n v="4.2000000000000003E-2"/>
    <n v="508.86259999999999"/>
    <n v="519.17920000000004"/>
    <n v="521.98879999999997"/>
    <n v="4.3999999999999997E-2"/>
    <n v="3.7999999999999999E-2"/>
    <n v="4.2999999999999997E-2"/>
    <n v="2416.8000000000002"/>
    <n v="2427.6"/>
    <n v="2443.4"/>
    <m/>
    <m/>
    <n v="516.70000000000005"/>
    <n v="516.70000000000005"/>
    <n v="0.20000000000004547"/>
  </r>
  <r>
    <x v="68"/>
    <n v="900"/>
    <n v="516.79970000000003"/>
    <n v="3.9E-2"/>
    <n v="508.97879999999998"/>
    <n v="519.31579999999997"/>
    <n v="522.10450000000003"/>
    <n v="4.2999999999999997E-2"/>
    <n v="3.4000000000000002E-2"/>
    <n v="3.7999999999999999E-2"/>
    <n v="2417"/>
    <n v="2427.8000000000002"/>
    <n v="2443.8000000000002"/>
    <m/>
    <m/>
    <n v="516.79999999999995"/>
    <n v="516.79999999999995"/>
    <n v="9.9999999999909051E-2"/>
  </r>
  <r>
    <x v="68"/>
    <n v="1000"/>
    <n v="517.0204"/>
    <n v="3.5000000000000003E-2"/>
    <n v="509.18279999999999"/>
    <n v="519.53909999999996"/>
    <n v="522.33950000000004"/>
    <n v="4.8000000000000001E-2"/>
    <n v="3.7999999999999999E-2"/>
    <n v="0"/>
    <n v="2417.4"/>
    <n v="2428.1999999999998"/>
    <n v="2444.1999999999998"/>
    <m/>
    <m/>
    <n v="517"/>
    <n v="517"/>
    <n v="0.20000000000004547"/>
  </r>
  <r>
    <x v="68"/>
    <n v="1100"/>
    <n v="517.14279999999997"/>
    <n v="0.04"/>
    <n v="509.30680000000001"/>
    <n v="519.65660000000003"/>
    <n v="522.46479999999997"/>
    <n v="3.5999999999999997E-2"/>
    <n v="4.4999999999999998E-2"/>
    <n v="3.7999999999999999E-2"/>
    <n v="2417.6"/>
    <n v="2428.4"/>
    <n v="2444.4"/>
    <m/>
    <m/>
    <n v="517.1"/>
    <n v="517.1"/>
    <n v="0.10000000000002274"/>
  </r>
  <r>
    <x v="68"/>
    <n v="1200"/>
    <n v="517.60929999999996"/>
    <n v="4.9000000000000002E-2"/>
    <n v="509.7663"/>
    <n v="520.12459999999999"/>
    <n v="522.93709999999999"/>
    <n v="3.3000000000000002E-2"/>
    <n v="5.5E-2"/>
    <n v="5.5E-2"/>
    <n v="2418.4"/>
    <n v="2429.4"/>
    <n v="2445.1999999999998"/>
    <m/>
    <m/>
    <n v="517.6"/>
    <n v="517.6"/>
    <n v="0.5"/>
  </r>
  <r>
    <x v="68"/>
    <n v="1300"/>
    <n v="518.11850000000004"/>
    <n v="4.3999999999999997E-2"/>
    <n v="510.2586"/>
    <n v="520.64869999999996"/>
    <n v="523.44820000000004"/>
    <n v="5.1999999999999998E-2"/>
    <n v="4.7E-2"/>
    <n v="3.1E-2"/>
    <n v="2419.1999999999998"/>
    <n v="2430.4"/>
    <n v="2446.1999999999998"/>
    <m/>
    <m/>
    <n v="518.1"/>
    <n v="518.1"/>
    <n v="0.5"/>
  </r>
  <r>
    <x v="68"/>
    <n v="1400"/>
    <n v="518.37289999999996"/>
    <n v="4.9000000000000002E-2"/>
    <n v="510.50490000000002"/>
    <n v="520.90309999999999"/>
    <n v="523.71069999999997"/>
    <n v="3.3000000000000002E-2"/>
    <n v="5.5E-2"/>
    <n v="5.5E-2"/>
    <n v="2419.8000000000002"/>
    <n v="2430.6"/>
    <n v="2446.8000000000002"/>
    <m/>
    <m/>
    <n v="518.4"/>
    <n v="518.4"/>
    <n v="0.29999999999995453"/>
  </r>
  <r>
    <x v="68"/>
    <n v="1500"/>
    <n v="518.59259999999995"/>
    <n v="4.8000000000000001E-2"/>
    <n v="510.72629999999998"/>
    <n v="521.11130000000003"/>
    <n v="523.9402"/>
    <n v="2.8000000000000001E-2"/>
    <n v="5.5E-2"/>
    <n v="5.5E-2"/>
    <n v="2420.1999999999998"/>
    <n v="2431"/>
    <n v="2447.1999999999998"/>
    <m/>
    <m/>
    <n v="518.6"/>
    <n v="518.6"/>
    <n v="0.20000000000004547"/>
  </r>
  <r>
    <x v="68"/>
    <n v="1600"/>
    <n v="519.05399999999997"/>
    <n v="4.2999999999999997E-2"/>
    <n v="511.18450000000001"/>
    <n v="521.55870000000004"/>
    <n v="524.41890000000001"/>
    <n v="3.7999999999999999E-2"/>
    <n v="5.5E-2"/>
    <n v="3.1E-2"/>
    <n v="2421"/>
    <n v="2432"/>
    <n v="2448"/>
    <m/>
    <m/>
    <n v="519.1"/>
    <n v="519.1"/>
    <n v="0.5"/>
  </r>
  <r>
    <x v="68"/>
    <n v="1700"/>
    <n v="519.43619999999999"/>
    <n v="4.7E-2"/>
    <n v="511.54939999999999"/>
    <n v="521.93290000000002"/>
    <n v="524.82640000000004"/>
    <n v="5.3999999999999999E-2"/>
    <n v="2.8000000000000001E-2"/>
    <n v="5.3999999999999999E-2"/>
    <n v="2421.6"/>
    <n v="2432.6"/>
    <n v="2448.8000000000002"/>
    <m/>
    <m/>
    <n v="519.4"/>
    <n v="519.4"/>
    <n v="0.29999999999995453"/>
  </r>
  <r>
    <x v="68"/>
    <n v="1800"/>
    <n v="519.80050000000006"/>
    <n v="4.3999999999999997E-2"/>
    <n v="511.89890000000003"/>
    <n v="522.27620000000002"/>
    <n v="525.22609999999997"/>
    <n v="0.05"/>
    <n v="3.2000000000000001E-2"/>
    <n v="4.7E-2"/>
    <n v="2422.1999999999998"/>
    <n v="2433.1999999999998"/>
    <n v="2449.6"/>
    <m/>
    <m/>
    <n v="519.79999999999995"/>
    <n v="519.79999999999995"/>
    <n v="0.39999999999997726"/>
  </r>
  <r>
    <x v="68"/>
    <n v="1900"/>
    <n v="520.94839999999999"/>
    <n v="4.8000000000000001E-2"/>
    <n v="513.0498"/>
    <n v="523.35739999999998"/>
    <n v="526.43799999999999"/>
    <n v="4.8000000000000001E-2"/>
    <n v="4.2000000000000003E-2"/>
    <n v="5.1999999999999998E-2"/>
    <n v="2424.6"/>
    <n v="2435.1999999999998"/>
    <n v="2451.6"/>
    <m/>
    <m/>
    <n v="520.9"/>
    <n v="520.9"/>
    <n v="1.1000000000000227"/>
  </r>
  <r>
    <x v="68"/>
    <n v="2000"/>
    <n v="521.99390000000005"/>
    <n v="4.3999999999999997E-2"/>
    <n v="514.10789999999997"/>
    <n v="524.34280000000001"/>
    <n v="527.53089999999997"/>
    <n v="4.5999999999999999E-2"/>
    <n v="4.2000000000000003E-2"/>
    <n v="4.4999999999999998E-2"/>
    <n v="2426.6"/>
    <n v="2437"/>
    <n v="2453.8000000000002"/>
    <m/>
    <m/>
    <n v="522"/>
    <n v="522"/>
    <n v="1.1000000000000227"/>
  </r>
  <r>
    <x v="68"/>
    <n v="2100"/>
    <n v="522.94650000000001"/>
    <n v="4.8000000000000001E-2"/>
    <n v="514.99839999999995"/>
    <n v="525.49530000000004"/>
    <n v="528.346"/>
    <n v="3.5999999999999997E-2"/>
    <n v="0.05"/>
    <n v="5.5E-2"/>
    <n v="2428"/>
    <n v="2439"/>
    <n v="2455.1999999999998"/>
    <m/>
    <m/>
    <n v="522.9"/>
    <n v="522.9"/>
    <n v="0.89999999999997726"/>
  </r>
  <r>
    <x v="68"/>
    <n v="2200"/>
    <n v="523.60910000000001"/>
    <n v="5.0999999999999997E-2"/>
    <n v="515.65560000000005"/>
    <n v="526.16489999999999"/>
    <n v="529.00649999999996"/>
    <n v="4.2999999999999997E-2"/>
    <n v="5.2999999999999999E-2"/>
    <n v="5.5E-2"/>
    <n v="2429.4"/>
    <n v="2440.4"/>
    <n v="2456.4"/>
    <m/>
    <m/>
    <n v="523.6"/>
    <n v="523.6"/>
    <n v="0.70000000000004547"/>
  </r>
  <r>
    <x v="68"/>
    <n v="2300"/>
    <n v="524.61300000000006"/>
    <n v="5.0999999999999997E-2"/>
    <n v="516.64890000000003"/>
    <n v="527.19320000000005"/>
    <n v="529.99710000000005"/>
    <n v="4.5999999999999999E-2"/>
    <n v="5.1999999999999998E-2"/>
    <n v="5.5E-2"/>
    <n v="2431.1999999999998"/>
    <n v="2442.1999999999998"/>
    <n v="2458.1999999999998"/>
    <m/>
    <m/>
    <n v="524.6"/>
    <n v="524.6"/>
    <n v="1"/>
  </r>
  <r>
    <x v="68"/>
    <n v="2400"/>
    <n v="525.21839999999997"/>
    <n v="4.3999999999999997E-2"/>
    <n v="517.23990000000003"/>
    <n v="527.81330000000003"/>
    <n v="530.60220000000004"/>
    <n v="5.2999999999999999E-2"/>
    <n v="0.05"/>
    <n v="0.02"/>
    <n v="2432.1999999999998"/>
    <n v="2443.1999999999998"/>
    <n v="2459.1999999999998"/>
    <m/>
    <m/>
    <n v="525.20000000000005"/>
    <n v="525.20000000000005"/>
    <n v="0.60000000000002274"/>
  </r>
  <r>
    <x v="69"/>
    <n v="100"/>
    <n v="525.29510000000005"/>
    <n v="4.4999999999999998E-2"/>
    <n v="517.31849999999997"/>
    <n v="527.89269999999999"/>
    <n v="530.67399999999998"/>
    <n v="5.1999999999999998E-2"/>
    <n v="2.1000000000000001E-2"/>
    <n v="5.3999999999999999E-2"/>
    <n v="2432.4"/>
    <n v="2443.4"/>
    <n v="2459.4"/>
    <m/>
    <m/>
    <n v="525.29999999999995"/>
    <n v="525.29999999999995"/>
    <n v="9.9999999999909051E-2"/>
  </r>
  <r>
    <x v="69"/>
    <n v="200"/>
    <n v="525.73850000000004"/>
    <n v="4.5999999999999999E-2"/>
    <n v="517.75429999999994"/>
    <n v="528.33870000000002"/>
    <n v="531.1223"/>
    <n v="5.1999999999999998E-2"/>
    <n v="2.9000000000000001E-2"/>
    <n v="5.1999999999999998E-2"/>
    <n v="2433.1999999999998"/>
    <n v="2444.1999999999998"/>
    <n v="2460.1999999999998"/>
    <m/>
    <m/>
    <n v="525.70000000000005"/>
    <n v="525.70000000000005"/>
    <n v="0.40000000000009095"/>
  </r>
  <r>
    <x v="69"/>
    <n v="300"/>
    <n v="525.8537"/>
    <n v="5.3999999999999999E-2"/>
    <n v="517.88099999999997"/>
    <n v="528.47249999999997"/>
    <n v="531.20759999999996"/>
    <n v="5.5E-2"/>
    <n v="5.1999999999999998E-2"/>
    <n v="5.5E-2"/>
    <n v="2433.4"/>
    <n v="2444.4"/>
    <n v="2460.1999999999998"/>
    <m/>
    <m/>
    <n v="525.9"/>
    <n v="525.9"/>
    <n v="0.19999999999993179"/>
  </r>
  <r>
    <x v="69"/>
    <n v="400"/>
    <n v="525.86469999999997"/>
    <n v="5.2999999999999999E-2"/>
    <n v="517.89440000000002"/>
    <n v="528.48019999999997"/>
    <n v="531.21929999999998"/>
    <n v="5.2999999999999999E-2"/>
    <n v="5.0999999999999997E-2"/>
    <n v="5.5E-2"/>
    <n v="2433.1999999999998"/>
    <n v="2444.4"/>
    <n v="2460.1999999999998"/>
    <m/>
    <m/>
    <n v="525.9"/>
    <n v="525.9"/>
    <n v="0"/>
  </r>
  <r>
    <x v="69"/>
    <n v="500"/>
    <n v="525.86530000000005"/>
    <n v="5.5E-2"/>
    <n v="517.90210000000002"/>
    <n v="528.45889999999997"/>
    <n v="531.23479999999995"/>
    <n v="5.0999999999999997E-2"/>
    <n v="6.2E-2"/>
    <n v="5.0999999999999997E-2"/>
    <n v="2433.1999999999998"/>
    <n v="2444.4"/>
    <n v="2460.4"/>
    <m/>
    <m/>
    <n v="525.9"/>
    <n v="525.9"/>
    <n v="0"/>
  </r>
  <r>
    <x v="69"/>
    <n v="600"/>
    <n v="525.87180000000001"/>
    <n v="0.05"/>
    <n v="517.8963"/>
    <n v="528.47640000000001"/>
    <n v="531.24260000000004"/>
    <n v="5.2999999999999999E-2"/>
    <n v="0.05"/>
    <n v="4.8000000000000001E-2"/>
    <n v="2433.4"/>
    <n v="2444.4"/>
    <n v="2460.4"/>
    <m/>
    <m/>
    <n v="525.9"/>
    <n v="525.9"/>
    <n v="0"/>
  </r>
  <r>
    <x v="69"/>
    <n v="700"/>
    <n v="525.875"/>
    <n v="0.05"/>
    <n v="517.89440000000002"/>
    <n v="528.48019999999997"/>
    <n v="531.25040000000001"/>
    <n v="5.2999999999999999E-2"/>
    <n v="5.5E-2"/>
    <n v="4.2000000000000003E-2"/>
    <n v="2433.4"/>
    <n v="2444.4"/>
    <n v="2460.4"/>
    <m/>
    <m/>
    <n v="525.9"/>
    <n v="525.9"/>
    <n v="0"/>
  </r>
  <r>
    <x v="69"/>
    <n v="800"/>
    <n v="525.91819999999996"/>
    <n v="4.3999999999999997E-2"/>
    <n v="517.94050000000004"/>
    <n v="528.52099999999996"/>
    <n v="531.29309999999998"/>
    <n v="3.5000000000000003E-2"/>
    <n v="5.0999999999999997E-2"/>
    <n v="4.4999999999999998E-2"/>
    <n v="2433.4"/>
    <n v="2444.4"/>
    <n v="2460.4"/>
    <m/>
    <m/>
    <n v="525.9"/>
    <n v="525.9"/>
    <n v="0"/>
  </r>
  <r>
    <x v="69"/>
    <n v="900"/>
    <n v="526.0104"/>
    <n v="4.8000000000000001E-2"/>
    <n v="518.01739999999995"/>
    <n v="528.62570000000005"/>
    <n v="531.38819999999998"/>
    <n v="4.8000000000000001E-2"/>
    <n v="5.2999999999999999E-2"/>
    <n v="4.1000000000000002E-2"/>
    <n v="2433.6"/>
    <n v="2444.8000000000002"/>
    <n v="2460.6"/>
    <m/>
    <m/>
    <n v="526"/>
    <n v="526"/>
    <n v="0.10000000000002274"/>
  </r>
  <r>
    <x v="69"/>
    <n v="1000"/>
    <n v="526.55539999999996"/>
    <n v="0.05"/>
    <n v="518.53589999999997"/>
    <n v="529.17859999999996"/>
    <n v="531.95140000000004"/>
    <n v="5.5E-2"/>
    <n v="5.2999999999999999E-2"/>
    <n v="0.04"/>
    <n v="2434.4"/>
    <n v="2445.8000000000002"/>
    <n v="2461.6"/>
    <m/>
    <m/>
    <n v="526.6"/>
    <n v="526.6"/>
    <n v="0.60000000000002274"/>
  </r>
  <r>
    <x v="69"/>
    <n v="1100"/>
    <n v="527.30799999999999"/>
    <n v="0.05"/>
    <n v="519.28930000000003"/>
    <n v="529.93939999999998"/>
    <n v="532.69539999999995"/>
    <n v="5.1999999999999998E-2"/>
    <n v="5.5E-2"/>
    <n v="4.2000000000000003E-2"/>
    <n v="2436"/>
    <n v="2447"/>
    <n v="2463"/>
    <m/>
    <m/>
    <n v="527.29999999999995"/>
    <n v="527.29999999999995"/>
    <n v="0.69999999999993179"/>
  </r>
  <r>
    <x v="69"/>
    <n v="1200"/>
    <n v="527.77919999999995"/>
    <n v="5.1999999999999998E-2"/>
    <n v="519.7373"/>
    <n v="530.40750000000003"/>
    <n v="533.19299999999998"/>
    <n v="5.3999999999999999E-2"/>
    <n v="4.9000000000000002E-2"/>
    <n v="5.2999999999999999E-2"/>
    <n v="2436.8000000000002"/>
    <n v="2448"/>
    <n v="2464"/>
    <m/>
    <m/>
    <n v="527.79999999999995"/>
    <n v="527.79999999999995"/>
    <n v="0.5"/>
  </r>
  <r>
    <x v="69"/>
    <n v="1300"/>
    <n v="528.05100000000004"/>
    <n v="4.5999999999999999E-2"/>
    <n v="520.00070000000005"/>
    <n v="530.69100000000003"/>
    <n v="533.46119999999996"/>
    <n v="0.04"/>
    <n v="5.0999999999999997E-2"/>
    <n v="4.4999999999999998E-2"/>
    <n v="2437"/>
    <n v="2448.6"/>
    <n v="2464.4"/>
    <m/>
    <m/>
    <n v="528.1"/>
    <n v="528.1"/>
    <n v="0.30000000000006821"/>
  </r>
  <r>
    <x v="69"/>
    <n v="1400"/>
    <n v="528.11680000000001"/>
    <n v="4.8000000000000001E-2"/>
    <n v="520.07569999999998"/>
    <n v="530.75710000000004"/>
    <n v="533.51760000000002"/>
    <n v="5.5E-2"/>
    <n v="3.4000000000000002E-2"/>
    <n v="5.0999999999999997E-2"/>
    <n v="2437.1999999999998"/>
    <n v="2448.6"/>
    <n v="2464.4"/>
    <m/>
    <m/>
    <n v="528.1"/>
    <n v="528.1"/>
    <n v="0"/>
  </r>
  <r>
    <x v="69"/>
    <n v="1500"/>
    <n v="528.18460000000005"/>
    <n v="4.2999999999999997E-2"/>
    <n v="520.14110000000005"/>
    <n v="530.82510000000002"/>
    <n v="533.58759999999995"/>
    <n v="4.1000000000000002E-2"/>
    <n v="5.5E-2"/>
    <n v="2.8000000000000001E-2"/>
    <n v="2437.1999999999998"/>
    <n v="2448.6"/>
    <n v="2464.6"/>
    <m/>
    <m/>
    <n v="528.20000000000005"/>
    <n v="528.20000000000005"/>
    <n v="0.10000000000002274"/>
  </r>
  <r>
    <x v="69"/>
    <n v="1600"/>
    <n v="528.19370000000004"/>
    <n v="4.5999999999999999E-2"/>
    <n v="520.14499999999998"/>
    <n v="530.82320000000004"/>
    <n v="533.61300000000006"/>
    <n v="0.04"/>
    <n v="5.5E-2"/>
    <n v="0.04"/>
    <n v="2437.6"/>
    <n v="2448.8000000000002"/>
    <n v="2464.6"/>
    <m/>
    <m/>
    <n v="528.20000000000005"/>
    <n v="528.20000000000005"/>
    <n v="0"/>
  </r>
  <r>
    <x v="69"/>
    <n v="1700"/>
    <n v="528.19110000000001"/>
    <n v="4.5999999999999999E-2"/>
    <n v="520.13919999999996"/>
    <n v="530.80380000000002"/>
    <n v="533.63040000000001"/>
    <n v="3.4000000000000002E-2"/>
    <n v="5.0999999999999997E-2"/>
    <n v="5.1999999999999998E-2"/>
    <n v="2437.4"/>
    <n v="2448.8000000000002"/>
    <n v="2464.8000000000002"/>
    <m/>
    <m/>
    <n v="528.20000000000005"/>
    <n v="528.20000000000005"/>
    <n v="0"/>
  </r>
  <r>
    <x v="69"/>
    <n v="1800"/>
    <n v="528.18409999999994"/>
    <n v="4.1000000000000002E-2"/>
    <n v="520.12180000000001"/>
    <n v="530.78440000000001"/>
    <n v="533.64599999999996"/>
    <n v="2.4E-2"/>
    <n v="3.7999999999999999E-2"/>
    <n v="5.5E-2"/>
    <n v="2437.4"/>
    <n v="2448.6"/>
    <n v="2464.8000000000002"/>
    <m/>
    <m/>
    <n v="528.20000000000005"/>
    <n v="528.20000000000005"/>
    <n v="0"/>
  </r>
  <r>
    <x v="69"/>
    <n v="1900"/>
    <n v="528.08720000000005"/>
    <n v="0.05"/>
    <n v="520.04489999999998"/>
    <n v="530.53750000000002"/>
    <n v="533.67909999999995"/>
    <n v="5.8999999999999997E-2"/>
    <n v="4.2999999999999997E-2"/>
    <n v="4.8000000000000001E-2"/>
    <n v="2437.4"/>
    <n v="2448.1999999999998"/>
    <n v="2464.8000000000002"/>
    <m/>
    <m/>
    <n v="528.1"/>
    <n v="528.20000000000005"/>
    <n v="0"/>
  </r>
  <r>
    <x v="69"/>
    <n v="2000"/>
    <n v="528.23440000000005"/>
    <n v="4.7E-2"/>
    <n v="520.16420000000005"/>
    <n v="530.85040000000004"/>
    <n v="533.68880000000001"/>
    <n v="5.1999999999999998E-2"/>
    <n v="4.9000000000000002E-2"/>
    <n v="0.04"/>
    <n v="2437.4"/>
    <n v="2448.6"/>
    <n v="2464.8000000000002"/>
    <m/>
    <m/>
    <n v="528.20000000000005"/>
    <n v="528.20000000000005"/>
    <n v="0"/>
  </r>
  <r>
    <x v="69"/>
    <n v="2100"/>
    <n v="528.27059999999994"/>
    <n v="0.05"/>
    <n v="520.22199999999998"/>
    <n v="530.92610000000002"/>
    <n v="533.6635"/>
    <n v="3.7999999999999999E-2"/>
    <n v="5.5E-2"/>
    <n v="5.3999999999999999E-2"/>
    <n v="2437.6"/>
    <n v="2448.8000000000002"/>
    <n v="2464.6"/>
    <m/>
    <m/>
    <n v="528.29999999999995"/>
    <n v="528.29999999999995"/>
    <n v="9.9999999999909051E-2"/>
  </r>
  <r>
    <x v="69"/>
    <n v="2200"/>
    <n v="528.16570000000002"/>
    <n v="4.8000000000000001E-2"/>
    <n v="520.01800000000003"/>
    <n v="530.81539999999995"/>
    <n v="533.6635"/>
    <n v="2.9000000000000001E-2"/>
    <n v="5.5E-2"/>
    <n v="5.3999999999999999E-2"/>
    <n v="2437.1999999999998"/>
    <n v="2448.8000000000002"/>
    <n v="2464.8000000000002"/>
    <m/>
    <m/>
    <n v="528.20000000000005"/>
    <n v="528.29999999999995"/>
    <n v="0"/>
  </r>
  <r>
    <x v="69"/>
    <n v="2300"/>
    <n v="528.00739999999996"/>
    <n v="3.9E-2"/>
    <n v="519.90260000000001"/>
    <n v="530.41909999999996"/>
    <n v="533.70039999999995"/>
    <n v="3.7999999999999999E-2"/>
    <n v="4.4999999999999998E-2"/>
    <n v="3.2000000000000001E-2"/>
    <n v="2436.8000000000002"/>
    <n v="2447.8000000000002"/>
    <n v="2464.8000000000002"/>
    <m/>
    <m/>
    <n v="528"/>
    <n v="528.29999999999995"/>
    <n v="0"/>
  </r>
  <r>
    <x v="69"/>
    <n v="2400"/>
    <n v="527.91819999999996"/>
    <n v="4.8000000000000001E-2"/>
    <n v="519.88340000000005"/>
    <n v="530.13750000000005"/>
    <n v="533.73350000000005"/>
    <n v="4.5999999999999999E-2"/>
    <n v="5.0999999999999997E-2"/>
    <n v="4.8000000000000001E-2"/>
    <n v="2437"/>
    <n v="2447.4"/>
    <n v="2464.8000000000002"/>
    <m/>
    <m/>
    <n v="527.9"/>
    <n v="528.29999999999995"/>
    <n v="0"/>
  </r>
  <r>
    <x v="70"/>
    <n v="100"/>
    <n v="528.02570000000003"/>
    <n v="4.3999999999999997E-2"/>
    <n v="519.89670000000001"/>
    <n v="530.42470000000003"/>
    <n v="533.75580000000002"/>
    <n v="3.4000000000000002E-2"/>
    <n v="0.04"/>
    <n v="5.5E-2"/>
    <n v="2437"/>
    <n v="2448"/>
    <n v="2464.8000000000002"/>
    <m/>
    <m/>
    <n v="528"/>
    <n v="528.29999999999995"/>
    <n v="0"/>
  </r>
  <r>
    <x v="70"/>
    <n v="200"/>
    <n v="527.97829999999999"/>
    <n v="5.0999999999999997E-2"/>
    <n v="519.8673"/>
    <n v="530.3021"/>
    <n v="533.76570000000004"/>
    <n v="5.2999999999999999E-2"/>
    <n v="4.4999999999999998E-2"/>
    <n v="5.5E-2"/>
    <n v="2436.8000000000002"/>
    <n v="2447.8000000000002"/>
    <n v="2464.8000000000002"/>
    <m/>
    <m/>
    <n v="528"/>
    <n v="528.29999999999995"/>
    <n v="0"/>
  </r>
  <r>
    <x v="70"/>
    <n v="300"/>
    <n v="528.00800000000004"/>
    <n v="6.3E-2"/>
    <n v="519.87120000000004"/>
    <n v="530.38120000000004"/>
    <n v="533.77160000000003"/>
    <n v="5.1999999999999998E-2"/>
    <n v="7.8E-2"/>
    <n v="5.5E-2"/>
    <n v="2437"/>
    <n v="2448"/>
    <n v="2465"/>
    <m/>
    <m/>
    <n v="528"/>
    <n v="528.29999999999995"/>
    <n v="0"/>
  </r>
  <r>
    <x v="70"/>
    <n v="400"/>
    <n v="528.13430000000005"/>
    <n v="0.05"/>
    <n v="519.93769999999995"/>
    <n v="530.6857"/>
    <n v="533.77949999999998"/>
    <n v="4.9000000000000002E-2"/>
    <n v="4.8000000000000001E-2"/>
    <n v="5.1999999999999998E-2"/>
    <n v="2437.1999999999998"/>
    <n v="2448.4"/>
    <n v="2465"/>
    <m/>
    <m/>
    <n v="528.1"/>
    <n v="528.29999999999995"/>
    <n v="0"/>
  </r>
  <r>
    <x v="70"/>
    <n v="500"/>
    <n v="528.25019999999995"/>
    <n v="4.7E-2"/>
    <n v="520.10069999999996"/>
    <n v="530.89509999999996"/>
    <n v="533.75490000000002"/>
    <n v="4.7E-2"/>
    <n v="3.7999999999999999E-2"/>
    <n v="5.5E-2"/>
    <n v="2437.4"/>
    <n v="2448.8000000000002"/>
    <n v="2465"/>
    <m/>
    <m/>
    <n v="528.29999999999995"/>
    <n v="528.29999999999995"/>
    <n v="0"/>
  </r>
  <r>
    <x v="70"/>
    <n v="600"/>
    <n v="528.28229999999996"/>
    <n v="0.05"/>
    <n v="520.19889999999998"/>
    <n v="530.91639999999995"/>
    <n v="533.73159999999996"/>
    <n v="5.1999999999999998E-2"/>
    <n v="5.1999999999999998E-2"/>
    <n v="4.7E-2"/>
    <n v="2437.6"/>
    <n v="2448.8000000000002"/>
    <n v="2464.8000000000002"/>
    <m/>
    <m/>
    <n v="528.29999999999995"/>
    <n v="528.29999999999995"/>
    <n v="0"/>
  </r>
  <r>
    <x v="70"/>
    <n v="700"/>
    <n v="528.26289999999995"/>
    <n v="4.4999999999999998E-2"/>
    <n v="520.16800000000001"/>
    <n v="530.89890000000003"/>
    <n v="533.72190000000001"/>
    <n v="5.2999999999999999E-2"/>
    <n v="4.2000000000000003E-2"/>
    <n v="3.9E-2"/>
    <n v="2437.6"/>
    <n v="2448.8000000000002"/>
    <n v="2464.8000000000002"/>
    <m/>
    <m/>
    <n v="528.29999999999995"/>
    <n v="528.29999999999995"/>
    <n v="0"/>
  </r>
  <r>
    <x v="70"/>
    <n v="800"/>
    <n v="528.26940000000002"/>
    <n v="4.7E-2"/>
    <n v="520.17579999999998"/>
    <n v="530.92219999999998"/>
    <n v="533.71019999999999"/>
    <n v="5.3999999999999999E-2"/>
    <n v="5.3999999999999999E-2"/>
    <n v="2.9000000000000001E-2"/>
    <n v="2437.6"/>
    <n v="2449"/>
    <n v="2464.8000000000002"/>
    <m/>
    <m/>
    <n v="528.29999999999995"/>
    <n v="528.29999999999995"/>
    <n v="0"/>
  </r>
  <r>
    <x v="70"/>
    <n v="900"/>
    <n v="528.26099999999997"/>
    <n v="4.5999999999999999E-2"/>
    <n v="520.16610000000003"/>
    <n v="530.9203"/>
    <n v="533.69659999999999"/>
    <n v="5.1999999999999998E-2"/>
    <n v="5.2999999999999999E-2"/>
    <n v="3.1E-2"/>
    <n v="2437.6"/>
    <n v="2449"/>
    <n v="2464.8000000000002"/>
    <m/>
    <m/>
    <n v="528.29999999999995"/>
    <n v="528.29999999999995"/>
    <n v="0"/>
  </r>
  <r>
    <x v="70"/>
    <n v="1000"/>
    <n v="528.24220000000003"/>
    <n v="4.4999999999999998E-2"/>
    <n v="520.14689999999996"/>
    <n v="530.90089999999998"/>
    <n v="533.67909999999995"/>
    <n v="4.2000000000000003E-2"/>
    <n v="4.3999999999999997E-2"/>
    <n v="4.8000000000000001E-2"/>
    <n v="2437.6"/>
    <n v="2448.8000000000002"/>
    <n v="2464.8000000000002"/>
    <m/>
    <m/>
    <n v="528.20000000000005"/>
    <n v="528.29999999999995"/>
    <n v="0"/>
  </r>
  <r>
    <x v="70"/>
    <n v="1100"/>
    <n v="528.23"/>
    <n v="4.2000000000000003E-2"/>
    <n v="520.13729999999998"/>
    <n v="530.88919999999996"/>
    <n v="533.6635"/>
    <n v="3.1E-2"/>
    <n v="3.7999999999999999E-2"/>
    <n v="5.3999999999999999E-2"/>
    <n v="2437.4"/>
    <n v="2448.8000000000002"/>
    <n v="2464.6"/>
    <m/>
    <m/>
    <n v="528.20000000000005"/>
    <n v="528.29999999999995"/>
    <n v="0"/>
  </r>
  <r>
    <x v="70"/>
    <n v="1200"/>
    <n v="528.22670000000005"/>
    <n v="4.2000000000000003E-2"/>
    <n v="520.13729999999998"/>
    <n v="530.8931"/>
    <n v="533.6499"/>
    <n v="3.1E-2"/>
    <n v="3.5999999999999997E-2"/>
    <n v="5.5E-2"/>
    <n v="2437.4"/>
    <n v="2448.8000000000002"/>
    <n v="2464.6"/>
    <m/>
    <m/>
    <n v="528.20000000000005"/>
    <n v="528.29999999999995"/>
    <n v="0"/>
  </r>
  <r>
    <x v="70"/>
    <n v="1300"/>
    <n v="528.22360000000003"/>
    <n v="4.1000000000000002E-2"/>
    <n v="520.13729999999998"/>
    <n v="530.88149999999996"/>
    <n v="533.65189999999996"/>
    <n v="3.6999999999999998E-2"/>
    <n v="2.5000000000000001E-2"/>
    <n v="5.5E-2"/>
    <n v="2437.4"/>
    <n v="2448.8000000000002"/>
    <n v="2464.8000000000002"/>
    <m/>
    <m/>
    <n v="528.20000000000005"/>
    <n v="528.29999999999995"/>
    <n v="0"/>
  </r>
  <r>
    <x v="70"/>
    <n v="1400"/>
    <n v="528.24739999999997"/>
    <n v="4.9000000000000002E-2"/>
    <n v="520.16999999999996"/>
    <n v="530.89890000000003"/>
    <n v="533.67319999999995"/>
    <n v="5.2999999999999999E-2"/>
    <n v="4.2000000000000003E-2"/>
    <n v="5.0999999999999997E-2"/>
    <n v="2437.6"/>
    <n v="2448.8000000000002"/>
    <n v="2464.8000000000002"/>
    <m/>
    <m/>
    <n v="528.20000000000005"/>
    <n v="528.29999999999995"/>
    <n v="0"/>
  </r>
  <r>
    <x v="70"/>
    <n v="1500"/>
    <n v="528.3347"/>
    <n v="3.9E-2"/>
    <n v="520.24509999999998"/>
    <n v="530.9941"/>
    <n v="533.76459999999997"/>
    <n v="2.8000000000000001E-2"/>
    <n v="2.9000000000000001E-2"/>
    <n v="5.5E-2"/>
    <n v="2437.6"/>
    <n v="2449"/>
    <n v="2464.8000000000002"/>
    <m/>
    <m/>
    <n v="528.29999999999995"/>
    <n v="528.29999999999995"/>
    <n v="0"/>
  </r>
  <r>
    <x v="70"/>
    <n v="1600"/>
    <n v="528.58579999999995"/>
    <n v="4.8000000000000001E-2"/>
    <n v="520.49900000000002"/>
    <n v="531.23900000000003"/>
    <n v="534.01930000000004"/>
    <n v="5.2999999999999999E-2"/>
    <n v="4.8000000000000001E-2"/>
    <n v="4.2000000000000003E-2"/>
    <n v="2438.1999999999998"/>
    <n v="2449.4"/>
    <n v="2465.4"/>
    <m/>
    <m/>
    <n v="528.6"/>
    <n v="528.6"/>
    <n v="0.30000000000006821"/>
  </r>
  <r>
    <x v="70"/>
    <n v="1700"/>
    <n v="528.9443"/>
    <n v="4.7E-2"/>
    <n v="520.85500000000002"/>
    <n v="531.59860000000003"/>
    <n v="534.37940000000003"/>
    <n v="5.2999999999999999E-2"/>
    <n v="5.5E-2"/>
    <n v="2.8000000000000001E-2"/>
    <n v="2438.6"/>
    <n v="2450.1999999999998"/>
    <n v="2466"/>
    <m/>
    <m/>
    <n v="528.9"/>
    <n v="528.9"/>
    <n v="0.29999999999995453"/>
  </r>
  <r>
    <x v="70"/>
    <n v="1800"/>
    <n v="529.33399999999995"/>
    <n v="4.8000000000000001E-2"/>
    <n v="521.24180000000001"/>
    <n v="531.98950000000002"/>
    <n v="534.77059999999994"/>
    <n v="4.4999999999999998E-2"/>
    <n v="4.3999999999999997E-2"/>
    <n v="5.3999999999999999E-2"/>
    <n v="2439.4"/>
    <n v="2451"/>
    <n v="2466.6"/>
    <m/>
    <m/>
    <n v="529.29999999999995"/>
    <n v="529.29999999999995"/>
    <n v="0.39999999999997726"/>
  </r>
  <r>
    <x v="70"/>
    <n v="1900"/>
    <n v="530.5625"/>
    <n v="5.3999999999999999E-2"/>
    <n v="522.45740000000001"/>
    <n v="533.28719999999998"/>
    <n v="535.94290000000001"/>
    <n v="0.05"/>
    <n v="5.8000000000000003E-2"/>
    <n v="5.3999999999999999E-2"/>
    <n v="2441.6"/>
    <n v="2453.1999999999998"/>
    <n v="2469"/>
    <m/>
    <m/>
    <n v="530.6"/>
    <n v="530.6"/>
    <n v="1.3000000000000682"/>
  </r>
  <r>
    <x v="70"/>
    <n v="2000"/>
    <n v="530.88530000000003"/>
    <n v="4.7E-2"/>
    <n v="522.76959999999997"/>
    <n v="533.56960000000004"/>
    <n v="536.31700000000001"/>
    <n v="3.5000000000000003E-2"/>
    <n v="4.9000000000000002E-2"/>
    <n v="5.5E-2"/>
    <n v="2442.1999999999998"/>
    <n v="2453.6"/>
    <n v="2469.6"/>
    <m/>
    <m/>
    <n v="530.9"/>
    <n v="530.9"/>
    <n v="0.29999999999995453"/>
  </r>
  <r>
    <x v="70"/>
    <n v="2100"/>
    <n v="531.33130000000006"/>
    <n v="4.5999999999999999E-2"/>
    <n v="523.20920000000001"/>
    <n v="534.01160000000004"/>
    <n v="536.77300000000002"/>
    <n v="3.5000000000000003E-2"/>
    <n v="4.8000000000000001E-2"/>
    <n v="5.3999999999999999E-2"/>
    <n v="2443"/>
    <n v="2454.6"/>
    <n v="2470.4"/>
    <m/>
    <m/>
    <n v="531.29999999999995"/>
    <n v="531.29999999999995"/>
    <n v="0.39999999999997726"/>
  </r>
  <r>
    <x v="70"/>
    <n v="2200"/>
    <n v="531.4162"/>
    <n v="4.4999999999999998E-2"/>
    <n v="523.28629999999998"/>
    <n v="534.09550000000002"/>
    <n v="536.86670000000004"/>
    <n v="4.5999999999999999E-2"/>
    <n v="2.9000000000000001E-2"/>
    <n v="5.6000000000000001E-2"/>
    <n v="2443.1999999999998"/>
    <n v="2454.6"/>
    <n v="2470.6"/>
    <m/>
    <m/>
    <n v="531.4"/>
    <n v="531.4"/>
    <n v="0.10000000000002274"/>
  </r>
  <r>
    <x v="70"/>
    <n v="2300"/>
    <n v="531.42899999999997"/>
    <n v="4.1000000000000002E-2"/>
    <n v="523.30759999999998"/>
    <n v="534.10709999999995"/>
    <n v="536.87249999999995"/>
    <n v="2.9000000000000001E-2"/>
    <n v="3.4000000000000002E-2"/>
    <n v="5.6000000000000001E-2"/>
    <n v="2443.1999999999998"/>
    <n v="2454.6"/>
    <n v="2470.6"/>
    <m/>
    <m/>
    <n v="531.4"/>
    <n v="531.4"/>
    <n v="0"/>
  </r>
  <r>
    <x v="70"/>
    <n v="2400"/>
    <n v="531.43880000000001"/>
    <n v="4.2999999999999997E-2"/>
    <n v="523.31719999999996"/>
    <n v="534.11879999999996"/>
    <n v="536.88030000000003"/>
    <n v="2.5000000000000001E-2"/>
    <n v="4.4999999999999998E-2"/>
    <n v="5.5E-2"/>
    <n v="2443.1999999999998"/>
    <n v="2454.6"/>
    <n v="2470.6"/>
    <m/>
    <m/>
    <n v="531.4"/>
    <n v="531.4"/>
    <n v="0"/>
  </r>
  <r>
    <x v="71"/>
    <n v="100"/>
    <n v="531.44460000000004"/>
    <n v="4.5999999999999999E-2"/>
    <n v="523.3229"/>
    <n v="534.12469999999996"/>
    <n v="536.88620000000003"/>
    <n v="3.4000000000000002E-2"/>
    <n v="4.9000000000000002E-2"/>
    <n v="5.2999999999999999E-2"/>
    <n v="2443.1999999999998"/>
    <n v="2454.6"/>
    <n v="2470.4"/>
    <m/>
    <m/>
    <n v="531.4"/>
    <n v="531.4"/>
    <n v="0"/>
  </r>
  <r>
    <x v="71"/>
    <n v="200"/>
    <n v="531.45500000000004"/>
    <n v="4.9000000000000002E-2"/>
    <n v="523.33450000000005"/>
    <n v="534.13440000000003"/>
    <n v="536.89589999999998"/>
    <n v="4.4999999999999998E-2"/>
    <n v="5.2999999999999999E-2"/>
    <n v="4.9000000000000002E-2"/>
    <n v="2443.1999999999998"/>
    <n v="2454.6"/>
    <n v="2470.6"/>
    <m/>
    <m/>
    <n v="531.5"/>
    <n v="531.5"/>
    <n v="0.10000000000002274"/>
  </r>
  <r>
    <x v="71"/>
    <n v="300"/>
    <n v="531.47500000000002"/>
    <n v="4.9000000000000002E-2"/>
    <n v="523.3519"/>
    <n v="534.1617"/>
    <n v="536.91160000000002"/>
    <n v="5.2999999999999999E-2"/>
    <n v="5.3999999999999999E-2"/>
    <n v="3.6999999999999998E-2"/>
    <n v="2443.1999999999998"/>
    <n v="2454.6"/>
    <n v="2470.4"/>
    <m/>
    <m/>
    <n v="531.5"/>
    <n v="531.5"/>
    <n v="0"/>
  </r>
  <r>
    <x v="71"/>
    <n v="400"/>
    <n v="531.72559999999999"/>
    <n v="4.8000000000000001E-2"/>
    <n v="523.60469999999998"/>
    <n v="534.40120000000002"/>
    <n v="537.17079999999999"/>
    <n v="5.1999999999999998E-2"/>
    <n v="4.8000000000000001E-2"/>
    <n v="4.4999999999999998E-2"/>
    <n v="2443.8000000000002"/>
    <n v="2455.1999999999998"/>
    <n v="2471.1999999999998"/>
    <m/>
    <m/>
    <n v="531.70000000000005"/>
    <n v="531.70000000000005"/>
    <n v="0.20000000000004547"/>
  </r>
  <r>
    <x v="71"/>
    <n v="500"/>
    <n v="532.28129999999999"/>
    <n v="4.7E-2"/>
    <n v="524.16409999999996"/>
    <n v="534.95479999999998"/>
    <n v="537.72479999999996"/>
    <n v="4.7E-2"/>
    <n v="4.9000000000000002E-2"/>
    <n v="4.3999999999999997E-2"/>
    <n v="2444.8000000000002"/>
    <n v="2456.1999999999998"/>
    <n v="2472"/>
    <m/>
    <m/>
    <n v="532.29999999999995"/>
    <n v="532.29999999999995"/>
    <n v="0.59999999999990905"/>
  </r>
  <r>
    <x v="71"/>
    <n v="600"/>
    <n v="532.82230000000004"/>
    <n v="4.3999999999999997E-2"/>
    <n v="524.69690000000003"/>
    <n v="535.50649999999996"/>
    <n v="538.26340000000005"/>
    <n v="5.3999999999999999E-2"/>
    <n v="5.0999999999999997E-2"/>
    <n v="0.02"/>
    <n v="2445.8000000000002"/>
    <n v="2457.1999999999998"/>
    <n v="2473"/>
    <m/>
    <m/>
    <n v="532.79999999999995"/>
    <n v="532.79999999999995"/>
    <n v="0.5"/>
  </r>
  <r>
    <x v="71"/>
    <n v="700"/>
    <n v="533.07050000000004"/>
    <n v="4.5999999999999999E-2"/>
    <n v="524.93820000000005"/>
    <n v="535.75819999999999"/>
    <n v="538.51520000000005"/>
    <n v="4.4999999999999998E-2"/>
    <n v="4.1000000000000002E-2"/>
    <n v="5.0999999999999997E-2"/>
    <n v="2446.1999999999998"/>
    <n v="2457.6"/>
    <n v="2473.4"/>
    <m/>
    <m/>
    <n v="533.1"/>
    <n v="533.1"/>
    <n v="0.30000000000006821"/>
  </r>
  <r>
    <x v="71"/>
    <n v="800"/>
    <n v="533.60670000000005"/>
    <n v="4.8000000000000001E-2"/>
    <n v="525.46939999999995"/>
    <n v="536.29269999999997"/>
    <n v="539.05799999999999"/>
    <n v="5.3999999999999999E-2"/>
    <n v="4.7E-2"/>
    <n v="4.2000000000000003E-2"/>
    <n v="2447.1999999999998"/>
    <n v="2458.6"/>
    <n v="2474.4"/>
    <m/>
    <m/>
    <n v="533.6"/>
    <n v="533.6"/>
    <n v="0.5"/>
  </r>
  <r>
    <x v="71"/>
    <n v="900"/>
    <n v="533.80050000000006"/>
    <n v="4.9000000000000002E-2"/>
    <n v="525.66639999999995"/>
    <n v="536.48779999999999"/>
    <n v="539.24749999999995"/>
    <n v="5.3999999999999999E-2"/>
    <n v="5.5E-2"/>
    <n v="3.6999999999999998E-2"/>
    <n v="2447.4"/>
    <n v="2459"/>
    <n v="2474.6"/>
    <m/>
    <m/>
    <n v="533.79999999999995"/>
    <n v="533.79999999999995"/>
    <n v="0.19999999999993179"/>
  </r>
  <r>
    <x v="71"/>
    <n v="1000"/>
    <n v="533.82259999999997"/>
    <n v="4.3999999999999997E-2"/>
    <n v="525.70119999999997"/>
    <n v="536.51900000000001"/>
    <n v="539.24749999999995"/>
    <n v="0.05"/>
    <n v="4.3999999999999997E-2"/>
    <n v="3.6999999999999998E-2"/>
    <n v="2447.6"/>
    <n v="2459"/>
    <n v="2474.8000000000002"/>
    <m/>
    <m/>
    <n v="533.79999999999995"/>
    <n v="533.79999999999995"/>
    <n v="0"/>
  </r>
  <r>
    <x v="71"/>
    <n v="1100"/>
    <n v="533.85990000000004"/>
    <n v="4.7E-2"/>
    <n v="525.80359999999996"/>
    <n v="536.5444"/>
    <n v="539.2319"/>
    <n v="5.2999999999999999E-2"/>
    <n v="3.5999999999999997E-2"/>
    <n v="4.9000000000000002E-2"/>
    <n v="2447.8000000000002"/>
    <n v="2459"/>
    <n v="2474.6"/>
    <m/>
    <m/>
    <n v="533.9"/>
    <n v="533.9"/>
    <n v="0.10000000000002274"/>
  </r>
  <r>
    <x v="71"/>
    <n v="1200"/>
    <n v="533.79470000000003"/>
    <n v="4.9000000000000002E-2"/>
    <n v="525.64700000000005"/>
    <n v="536.49950000000001"/>
    <n v="539.23770000000002"/>
    <n v="4.5999999999999999E-2"/>
    <n v="5.3999999999999999E-2"/>
    <n v="4.4999999999999998E-2"/>
    <n v="2447.4"/>
    <n v="2458.8000000000002"/>
    <n v="2474.6"/>
    <m/>
    <m/>
    <n v="533.79999999999995"/>
    <n v="533.9"/>
    <n v="0"/>
  </r>
  <r>
    <x v="71"/>
    <n v="1300"/>
    <n v="533.81550000000004"/>
    <n v="4.3999999999999997E-2"/>
    <n v="525.67020000000002"/>
    <n v="536.51120000000003"/>
    <n v="539.26509999999996"/>
    <n v="5.5E-2"/>
    <n v="4.9000000000000002E-2"/>
    <n v="0.02"/>
    <n v="2447.6"/>
    <n v="2459"/>
    <n v="2474.8000000000002"/>
    <m/>
    <m/>
    <n v="533.79999999999995"/>
    <n v="533.9"/>
    <n v="0"/>
  </r>
  <r>
    <x v="71"/>
    <n v="1400"/>
    <n v="533.85500000000002"/>
    <n v="4.3999999999999997E-2"/>
    <n v="525.71280000000002"/>
    <n v="536.54830000000004"/>
    <n v="539.30409999999995"/>
    <n v="4.2000000000000003E-2"/>
    <n v="3.5000000000000003E-2"/>
    <n v="5.3999999999999999E-2"/>
    <n v="2447.6"/>
    <n v="2459"/>
    <n v="2474.8000000000002"/>
    <m/>
    <m/>
    <n v="533.9"/>
    <n v="533.9"/>
    <n v="0"/>
  </r>
  <r>
    <x v="71"/>
    <n v="1500"/>
    <n v="533.87519999999995"/>
    <n v="4.9000000000000002E-2"/>
    <n v="525.72050000000002"/>
    <n v="536.58150000000001"/>
    <n v="539.32370000000003"/>
    <n v="3.4000000000000002E-2"/>
    <n v="5.3999999999999999E-2"/>
    <n v="5.5E-2"/>
    <n v="2447.6"/>
    <n v="2459"/>
    <n v="2474.8000000000002"/>
    <m/>
    <m/>
    <n v="533.9"/>
    <n v="533.9"/>
    <n v="0"/>
  </r>
  <r>
    <x v="71"/>
    <n v="1600"/>
    <n v="533.84860000000003"/>
    <n v="5.0999999999999997E-2"/>
    <n v="525.68960000000004"/>
    <n v="536.53459999999995"/>
    <n v="539.32169999999996"/>
    <n v="5.3999999999999999E-2"/>
    <n v="4.3999999999999997E-2"/>
    <n v="5.5E-2"/>
    <n v="2447.4"/>
    <n v="2459"/>
    <n v="2475"/>
    <m/>
    <m/>
    <n v="533.79999999999995"/>
    <n v="533.9"/>
    <n v="0"/>
  </r>
  <r>
    <x v="71"/>
    <n v="1700"/>
    <n v="533.86360000000002"/>
    <n v="4.8000000000000001E-2"/>
    <n v="525.6857"/>
    <n v="536.55799999999999"/>
    <n v="539.34709999999995"/>
    <n v="5.3999999999999999E-2"/>
    <n v="4.1000000000000002E-2"/>
    <n v="4.7E-2"/>
    <n v="2447.4"/>
    <n v="2459"/>
    <n v="2474.8000000000002"/>
    <m/>
    <m/>
    <n v="533.9"/>
    <n v="533.9"/>
    <n v="0"/>
  </r>
  <r>
    <x v="71"/>
    <n v="1800"/>
    <n v="533.9153"/>
    <n v="4.8000000000000001E-2"/>
    <n v="525.78229999999996"/>
    <n v="536.59699999999998"/>
    <n v="539.36659999999995"/>
    <n v="5.5E-2"/>
    <n v="5.6000000000000001E-2"/>
    <n v="2.5000000000000001E-2"/>
    <n v="2447.8000000000002"/>
    <n v="2459"/>
    <n v="2475"/>
    <m/>
    <m/>
    <n v="533.9"/>
    <n v="533.9"/>
    <n v="0"/>
  </r>
  <r>
    <x v="71"/>
    <n v="1900"/>
    <n v="533.92830000000004"/>
    <n v="4.7E-2"/>
    <n v="525.79"/>
    <n v="536.6146"/>
    <n v="539.38030000000003"/>
    <n v="5.5E-2"/>
    <n v="5.1999999999999998E-2"/>
    <n v="2.8000000000000001E-2"/>
    <n v="2447.8000000000002"/>
    <n v="2459"/>
    <n v="2475"/>
    <m/>
    <m/>
    <n v="533.9"/>
    <n v="533.9"/>
    <n v="0"/>
  </r>
  <r>
    <x v="71"/>
    <n v="2000"/>
    <n v="533.91219999999998"/>
    <n v="4.9000000000000002E-2"/>
    <n v="525.77269999999999"/>
    <n v="536.57370000000003"/>
    <n v="539.39009999999996"/>
    <n v="5.2999999999999999E-2"/>
    <n v="5.0999999999999997E-2"/>
    <n v="4.1000000000000002E-2"/>
    <n v="2447.6"/>
    <n v="2459"/>
    <n v="2475"/>
    <m/>
    <m/>
    <n v="533.9"/>
    <n v="533.9"/>
    <n v="0"/>
  </r>
  <r>
    <x v="71"/>
    <n v="2100"/>
    <n v="533.92780000000005"/>
    <n v="4.9000000000000002E-2"/>
    <n v="525.76110000000006"/>
    <n v="536.62049999999999"/>
    <n v="539.40179999999998"/>
    <n v="4.8000000000000001E-2"/>
    <n v="0.05"/>
    <n v="4.9000000000000002E-2"/>
    <n v="2447.8000000000002"/>
    <n v="2459.1999999999998"/>
    <n v="2475"/>
    <m/>
    <m/>
    <n v="533.9"/>
    <n v="533.9"/>
    <n v="0"/>
  </r>
  <r>
    <x v="71"/>
    <n v="2200"/>
    <n v="533.98800000000006"/>
    <n v="4.8000000000000001E-2"/>
    <n v="525.8732"/>
    <n v="536.65949999999998"/>
    <n v="539.43110000000001"/>
    <n v="0.05"/>
    <n v="3.5000000000000003E-2"/>
    <n v="5.6000000000000001E-2"/>
    <n v="2447.8000000000002"/>
    <n v="2459.1999999999998"/>
    <n v="2475"/>
    <m/>
    <m/>
    <n v="534"/>
    <n v="534"/>
    <n v="0.10000000000002274"/>
  </r>
  <r>
    <x v="71"/>
    <n v="2300"/>
    <n v="533.9905"/>
    <n v="4.5999999999999999E-2"/>
    <n v="525.87699999999995"/>
    <n v="536.65560000000005"/>
    <n v="539.43889999999999"/>
    <n v="5.0999999999999997E-2"/>
    <n v="2.9000000000000001E-2"/>
    <n v="5.5E-2"/>
    <n v="2447.8000000000002"/>
    <n v="2459.1999999999998"/>
    <n v="2475.1999999999998"/>
    <m/>
    <m/>
    <n v="534"/>
    <n v="534"/>
    <n v="0"/>
  </r>
  <r>
    <x v="71"/>
    <n v="2400"/>
    <n v="534.00739999999996"/>
    <n v="4.9000000000000002E-2"/>
    <n v="525.89829999999995"/>
    <n v="536.67129999999997"/>
    <n v="539.45259999999996"/>
    <n v="5.5E-2"/>
    <n v="4.2000000000000003E-2"/>
    <n v="0.05"/>
    <n v="2448"/>
    <n v="2459.4"/>
    <n v="2475"/>
    <m/>
    <m/>
    <n v="534"/>
    <n v="534"/>
    <n v="0"/>
  </r>
  <r>
    <x v="72"/>
    <n v="100"/>
    <n v="533.99239999999998"/>
    <n v="0.05"/>
    <n v="525.8886"/>
    <n v="536.63419999999996"/>
    <n v="539.45450000000005"/>
    <n v="5.3999999999999999E-2"/>
    <n v="4.5999999999999999E-2"/>
    <n v="4.9000000000000002E-2"/>
    <n v="2448"/>
    <n v="2459"/>
    <n v="2475.1999999999998"/>
    <m/>
    <m/>
    <n v="534"/>
    <n v="534"/>
    <n v="0"/>
  </r>
  <r>
    <x v="72"/>
    <n v="200"/>
    <n v="533.85969999999998"/>
    <n v="4.2999999999999997E-2"/>
    <n v="525.69920000000002"/>
    <n v="536.40779999999995"/>
    <n v="539.47209999999995"/>
    <n v="0.05"/>
    <n v="4.3999999999999997E-2"/>
    <n v="3.4000000000000002E-2"/>
    <n v="2447.6"/>
    <n v="2458.8000000000002"/>
    <n v="2475.1999999999998"/>
    <m/>
    <m/>
    <n v="533.9"/>
    <n v="534"/>
    <n v="0"/>
  </r>
  <r>
    <x v="72"/>
    <n v="300"/>
    <n v="533.96420000000001"/>
    <n v="3.9E-2"/>
    <n v="525.76880000000006"/>
    <n v="536.65560000000005"/>
    <n v="539.46820000000002"/>
    <n v="5.1999999999999998E-2"/>
    <n v="0.02"/>
    <n v="3.9E-2"/>
    <n v="2447.8000000000002"/>
    <n v="2459.1999999999998"/>
    <n v="2475.1999999999998"/>
    <m/>
    <m/>
    <n v="534"/>
    <n v="534"/>
    <n v="0"/>
  </r>
  <r>
    <x v="72"/>
    <n v="400"/>
    <n v="534.197"/>
    <n v="0.04"/>
    <n v="526.0471"/>
    <n v="536.96019999999999"/>
    <n v="539.58349999999996"/>
    <n v="3.7999999999999999E-2"/>
    <n v="4.7E-2"/>
    <n v="3.4000000000000002E-2"/>
    <n v="2448.1999999999998"/>
    <n v="2459.6"/>
    <n v="2475.4"/>
    <m/>
    <m/>
    <n v="534.20000000000005"/>
    <n v="534.20000000000005"/>
    <n v="0.20000000000004547"/>
  </r>
  <r>
    <x v="72"/>
    <n v="500"/>
    <n v="534.25390000000004"/>
    <n v="4.9000000000000002E-2"/>
    <n v="526.12040000000002"/>
    <n v="537.03639999999996"/>
    <n v="539.60500000000002"/>
    <n v="5.5E-2"/>
    <n v="5.5E-2"/>
    <n v="3.2000000000000001E-2"/>
    <n v="2448.1999999999998"/>
    <n v="2460"/>
    <n v="2475.4"/>
    <m/>
    <m/>
    <n v="534.29999999999995"/>
    <n v="534.29999999999995"/>
    <n v="9.9999999999909051E-2"/>
  </r>
  <r>
    <x v="72"/>
    <n v="600"/>
    <n v="534.25519999999995"/>
    <n v="4.9000000000000002E-2"/>
    <n v="526.12239999999997"/>
    <n v="537.03639999999996"/>
    <n v="539.6069"/>
    <n v="5.5E-2"/>
    <n v="5.5E-2"/>
    <n v="3.4000000000000002E-2"/>
    <n v="2448.1999999999998"/>
    <n v="2459.8000000000002"/>
    <n v="2475.4"/>
    <m/>
    <m/>
    <n v="534.29999999999995"/>
    <n v="534.29999999999995"/>
    <n v="0"/>
  </r>
  <r>
    <x v="72"/>
    <n v="700"/>
    <n v="534.23310000000004"/>
    <n v="4.9000000000000002E-2"/>
    <n v="526.13400000000001"/>
    <n v="536.95039999999995"/>
    <n v="539.61469999999997"/>
    <n v="5.2999999999999999E-2"/>
    <n v="5.1999999999999998E-2"/>
    <n v="4.2000000000000003E-2"/>
    <n v="2448.1999999999998"/>
    <n v="2459.8000000000002"/>
    <n v="2475.4"/>
    <m/>
    <m/>
    <n v="534.20000000000005"/>
    <n v="534.29999999999995"/>
    <n v="0"/>
  </r>
  <r>
    <x v="72"/>
    <n v="800"/>
    <n v="534.20500000000004"/>
    <n v="4.2999999999999997E-2"/>
    <n v="526.15909999999997"/>
    <n v="536.84109999999998"/>
    <n v="539.61469999999997"/>
    <n v="3.5999999999999997E-2"/>
    <n v="5.0999999999999997E-2"/>
    <n v="4.2000000000000003E-2"/>
    <n v="2448.4"/>
    <n v="2459.6"/>
    <n v="2475.4"/>
    <m/>
    <m/>
    <n v="534.20000000000005"/>
    <n v="534.29999999999995"/>
    <n v="0"/>
  </r>
  <r>
    <x v="72"/>
    <n v="900"/>
    <n v="534.15340000000003"/>
    <n v="4.5999999999999999E-2"/>
    <n v="526.02769999999998"/>
    <n v="536.82939999999996"/>
    <n v="539.60299999999995"/>
    <n v="5.0999999999999997E-2"/>
    <n v="5.5E-2"/>
    <n v="2.8000000000000001E-2"/>
    <n v="2448.1999999999998"/>
    <n v="2459.4"/>
    <n v="2475.4"/>
    <m/>
    <m/>
    <n v="534.20000000000005"/>
    <n v="534.29999999999995"/>
    <n v="0"/>
  </r>
  <r>
    <x v="72"/>
    <n v="1000"/>
    <n v="534.14369999999997"/>
    <n v="4.5999999999999999E-2"/>
    <n v="526.01229999999998"/>
    <n v="536.82749999999999"/>
    <n v="539.59130000000005"/>
    <n v="5.5E-2"/>
    <n v="5.5E-2"/>
    <n v="0.02"/>
    <n v="2448"/>
    <n v="2459.4"/>
    <n v="2475.4"/>
    <m/>
    <m/>
    <n v="534.1"/>
    <n v="534.29999999999995"/>
    <n v="0"/>
  </r>
  <r>
    <x v="72"/>
    <n v="1100"/>
    <n v="534.14089999999999"/>
    <n v="4.7E-2"/>
    <n v="526.06050000000005"/>
    <n v="536.8098"/>
    <n v="539.55219999999997"/>
    <n v="2.5000000000000001E-2"/>
    <n v="5.5E-2"/>
    <n v="5.3999999999999999E-2"/>
    <n v="2448.1999999999998"/>
    <n v="2459.6"/>
    <n v="2475.4"/>
    <m/>
    <m/>
    <n v="534.1"/>
    <n v="534.29999999999995"/>
    <n v="0"/>
  </r>
  <r>
    <x v="72"/>
    <n v="1200"/>
    <n v="534.15060000000005"/>
    <n v="4.4999999999999998E-2"/>
    <n v="526.06629999999996"/>
    <n v="536.82349999999997"/>
    <n v="539.56200000000001"/>
    <n v="0.02"/>
    <n v="5.5E-2"/>
    <n v="5.0999999999999997E-2"/>
    <n v="2448.1999999999998"/>
    <n v="2459.6"/>
    <n v="2475.4"/>
    <m/>
    <m/>
    <n v="534.20000000000005"/>
    <n v="534.29999999999995"/>
    <n v="0"/>
  </r>
  <r>
    <x v="72"/>
    <n v="1300"/>
    <n v="534.20899999999995"/>
    <n v="4.8000000000000001E-2"/>
    <n v="526.14170000000001"/>
    <n v="536.85479999999995"/>
    <n v="539.63040000000001"/>
    <n v="4.9000000000000002E-2"/>
    <n v="4.2000000000000003E-2"/>
    <n v="5.1999999999999998E-2"/>
    <n v="2448.4"/>
    <n v="2459.6"/>
    <n v="2475.4"/>
    <m/>
    <m/>
    <n v="534.20000000000005"/>
    <n v="534.29999999999995"/>
    <n v="0"/>
  </r>
  <r>
    <x v="72"/>
    <n v="1400"/>
    <n v="534.22979999999995"/>
    <n v="5.0999999999999997E-2"/>
    <n v="526.13980000000004"/>
    <n v="536.89779999999996"/>
    <n v="539.65189999999996"/>
    <n v="0.05"/>
    <n v="4.4999999999999998E-2"/>
    <n v="5.6000000000000001E-2"/>
    <n v="2448.4"/>
    <n v="2459.6"/>
    <n v="2475.4"/>
    <m/>
    <m/>
    <n v="534.20000000000005"/>
    <n v="534.29999999999995"/>
    <n v="0"/>
  </r>
  <r>
    <x v="72"/>
    <n v="1500"/>
    <n v="534.22659999999996"/>
    <n v="5.5E-2"/>
    <n v="526.1069"/>
    <n v="536.91930000000002"/>
    <n v="539.65390000000002"/>
    <n v="5.3999999999999999E-2"/>
    <n v="5.5E-2"/>
    <n v="5.6000000000000001E-2"/>
    <n v="2448.1999999999998"/>
    <n v="2459.6"/>
    <n v="2475.4"/>
    <m/>
    <m/>
    <n v="534.20000000000005"/>
    <n v="534.29999999999995"/>
    <n v="0"/>
  </r>
  <r>
    <x v="72"/>
    <n v="1600"/>
    <n v="534.57899999999995"/>
    <n v="5.2999999999999999E-2"/>
    <n v="526.44719999999995"/>
    <n v="537.28030000000001"/>
    <n v="540.0095"/>
    <n v="5.5E-2"/>
    <n v="5.2999999999999999E-2"/>
    <n v="0.05"/>
    <n v="2449"/>
    <n v="2460.4"/>
    <n v="2476"/>
    <m/>
    <m/>
    <n v="534.6"/>
    <n v="534.6"/>
    <n v="0.30000000000006821"/>
  </r>
  <r>
    <x v="72"/>
    <n v="1700"/>
    <n v="534.63220000000001"/>
    <n v="3.4000000000000002E-2"/>
    <n v="526.50130000000001"/>
    <n v="537.33309999999994"/>
    <n v="540.06230000000005"/>
    <n v="1.4E-2"/>
    <n v="3.6999999999999998E-2"/>
    <n v="4.3999999999999997E-2"/>
    <n v="2449"/>
    <n v="2460.4"/>
    <n v="2476.1999999999998"/>
    <m/>
    <m/>
    <n v="534.6"/>
    <n v="534.6"/>
    <n v="0"/>
  </r>
  <r>
    <x v="72"/>
    <n v="1800"/>
    <n v="534.63810000000001"/>
    <n v="4.1000000000000002E-2"/>
    <n v="526.50710000000004"/>
    <n v="537.34090000000003"/>
    <n v="540.06619999999998"/>
    <n v="2.9000000000000001E-2"/>
    <n v="4.3999999999999997E-2"/>
    <n v="4.7E-2"/>
    <n v="2449"/>
    <n v="2460.4"/>
    <n v="2476.1999999999998"/>
    <m/>
    <m/>
    <n v="534.6"/>
    <n v="534.6"/>
    <n v="0"/>
  </r>
  <r>
    <x v="72"/>
    <n v="1900"/>
    <n v="534.63940000000002"/>
    <n v="4.2999999999999997E-2"/>
    <n v="526.50519999999995"/>
    <n v="537.33900000000006"/>
    <n v="540.07399999999996"/>
    <n v="3.3000000000000002E-2"/>
    <n v="4.2000000000000003E-2"/>
    <n v="5.0999999999999997E-2"/>
    <n v="2449"/>
    <n v="2460.4"/>
    <n v="2476.4"/>
    <m/>
    <m/>
    <n v="534.6"/>
    <n v="534.6"/>
    <n v="0"/>
  </r>
  <r>
    <x v="72"/>
    <n v="2000"/>
    <n v="534.80100000000004"/>
    <n v="5.0999999999999997E-2"/>
    <n v="526.65989999999999"/>
    <n v="537.50120000000004"/>
    <n v="540.24210000000005"/>
    <n v="5.3999999999999999E-2"/>
    <n v="5.3999999999999999E-2"/>
    <n v="4.3999999999999997E-2"/>
    <n v="2449.4"/>
    <n v="2460.8000000000002"/>
    <n v="2476.4"/>
    <m/>
    <m/>
    <n v="534.79999999999995"/>
    <n v="534.79999999999995"/>
    <n v="0.19999999999993179"/>
  </r>
  <r>
    <x v="72"/>
    <n v="2100"/>
    <n v="534.84199999999998"/>
    <n v="4.3999999999999997E-2"/>
    <n v="526.69269999999995"/>
    <n v="537.54409999999996"/>
    <n v="540.28909999999996"/>
    <n v="0.05"/>
    <n v="3.3000000000000002E-2"/>
    <n v="4.7E-2"/>
    <n v="2449.1999999999998"/>
    <n v="2460.6"/>
    <n v="2476.6"/>
    <m/>
    <m/>
    <n v="534.79999999999995"/>
    <n v="534.79999999999995"/>
    <n v="0"/>
  </r>
  <r>
    <x v="72"/>
    <n v="2200"/>
    <n v="535.20680000000004"/>
    <n v="0.05"/>
    <n v="527.04480000000001"/>
    <n v="537.92110000000002"/>
    <n v="540.65459999999996"/>
    <n v="3.6999999999999998E-2"/>
    <n v="5.5E-2"/>
    <n v="5.6000000000000001E-2"/>
    <n v="2450"/>
    <n v="2461.4"/>
    <n v="2477.4"/>
    <m/>
    <m/>
    <n v="535.20000000000005"/>
    <n v="535.20000000000005"/>
    <n v="0.40000000000009095"/>
  </r>
  <r>
    <x v="72"/>
    <n v="2300"/>
    <n v="536.08579999999995"/>
    <n v="5.3999999999999999E-2"/>
    <n v="527.89030000000002"/>
    <n v="538.76940000000002"/>
    <n v="541.59749999999997"/>
    <n v="5.8000000000000003E-2"/>
    <n v="4.3999999999999997E-2"/>
    <n v="5.8999999999999997E-2"/>
    <n v="2451.8000000000002"/>
    <n v="2463"/>
    <n v="2479.1999999999998"/>
    <m/>
    <m/>
    <n v="536.1"/>
    <n v="536.1"/>
    <n v="0.89999999999997726"/>
  </r>
  <r>
    <x v="72"/>
    <n v="2400"/>
    <n v="537.46519999999998"/>
    <n v="3.5999999999999997E-2"/>
    <n v="529.25559999999996"/>
    <n v="540.21900000000005"/>
    <n v="542.92100000000005"/>
    <n v="3.2000000000000001E-2"/>
    <n v="3.3000000000000002E-2"/>
    <n v="4.2000000000000003E-2"/>
    <n v="2453.8000000000002"/>
    <n v="2465.6"/>
    <n v="2481.1999999999998"/>
    <m/>
    <m/>
    <n v="537.5"/>
    <n v="537.5"/>
    <n v="1.39999999999997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U4:V78" firstHeaderRow="1" firstDataRow="1" firstDataCol="1"/>
  <pivotFields count="18">
    <pivotField axis="axisRow" showAll="0">
      <items count="366">
        <item m="1" x="246"/>
        <item m="1" x="152"/>
        <item m="1" x="252"/>
        <item m="1" x="351"/>
        <item m="1" x="109"/>
        <item m="1" x="157"/>
        <item m="1" x="203"/>
        <item m="1" x="256"/>
        <item m="1" x="281"/>
        <item m="1" x="307"/>
        <item m="1" x="331"/>
        <item m="1" x="355"/>
        <item m="1" x="88"/>
        <item m="1" x="114"/>
        <item m="1" x="136"/>
        <item m="1" x="161"/>
        <item m="1" x="172"/>
        <item m="1" x="183"/>
        <item m="1" x="195"/>
        <item m="1" x="208"/>
        <item m="1" x="222"/>
        <item m="1" x="234"/>
        <item m="1" x="247"/>
        <item m="1" x="261"/>
        <item m="1" x="273"/>
        <item m="1" x="287"/>
        <item m="1" x="299"/>
        <item m="1" x="312"/>
        <item m="1" x="324"/>
        <item m="1" x="337"/>
        <item m="1" x="347"/>
        <item m="1" x="360"/>
        <item m="1" x="217"/>
        <item m="1" x="80"/>
        <item m="1" x="230"/>
        <item m="1" x="93"/>
        <item m="1" x="242"/>
        <item m="1" x="105"/>
        <item m="1" x="257"/>
        <item m="1" x="118"/>
        <item m="1" x="269"/>
        <item m="1" x="129"/>
        <item m="1" x="282"/>
        <item m="1" x="141"/>
        <item m="1" x="295"/>
        <item m="1" x="153"/>
        <item m="1" x="308"/>
        <item m="1" x="165"/>
        <item m="1" x="319"/>
        <item m="1" x="176"/>
        <item m="1" x="332"/>
        <item m="1" x="187"/>
        <item m="1" x="343"/>
        <item m="1" x="199"/>
        <item m="1" x="356"/>
        <item m="1" x="213"/>
        <item m="1" x="76"/>
        <item m="1" x="226"/>
        <item m="1" x="89"/>
        <item m="1" x="238"/>
        <item m="1" x="101"/>
        <item m="1" x="253"/>
        <item m="1" x="115"/>
        <item m="1" x="266"/>
        <item m="1" x="192"/>
        <item m="1" x="126"/>
        <item m="1" x="348"/>
        <item m="1" x="277"/>
        <item m="1" x="204"/>
        <item m="1" x="137"/>
        <item m="1" x="361"/>
        <item m="1" x="291"/>
        <item m="1" x="218"/>
        <item m="1" x="148"/>
        <item m="1" x="81"/>
        <item m="1" x="303"/>
        <item m="1" x="231"/>
        <item m="1" x="162"/>
        <item m="1" x="94"/>
        <item m="1" x="316"/>
        <item m="1" x="243"/>
        <item m="1" x="173"/>
        <item m="1" x="106"/>
        <item m="1" x="328"/>
        <item m="1" x="258"/>
        <item m="1" x="184"/>
        <item m="1" x="119"/>
        <item m="1" x="340"/>
        <item m="1" x="270"/>
        <item m="1" x="196"/>
        <item m="1" x="130"/>
        <item m="1" x="352"/>
        <item m="1" x="283"/>
        <item m="1" x="209"/>
        <item m="1" x="142"/>
        <item m="1" x="73"/>
        <item m="1" x="296"/>
        <item m="1" x="223"/>
        <item m="1" x="154"/>
        <item m="1" x="85"/>
        <item m="1" x="309"/>
        <item m="1" x="235"/>
        <item m="1" x="166"/>
        <item m="1" x="97"/>
        <item m="1" x="320"/>
        <item m="1" x="248"/>
        <item m="1" x="177"/>
        <item m="1" x="110"/>
        <item m="1" x="333"/>
        <item m="1" x="262"/>
        <item m="1" x="188"/>
        <item m="1" x="122"/>
        <item m="1" x="344"/>
        <item m="1" x="274"/>
        <item m="1" x="200"/>
        <item m="1" x="133"/>
        <item m="1" x="357"/>
        <item m="1" x="288"/>
        <item m="1" x="214"/>
        <item m="1" x="145"/>
        <item m="1" x="77"/>
        <item m="1" x="300"/>
        <item m="1" x="227"/>
        <item m="1" x="158"/>
        <item m="1" x="90"/>
        <item m="1" x="313"/>
        <item m="1" x="239"/>
        <item m="1" x="169"/>
        <item m="1" x="284"/>
        <item m="1" x="102"/>
        <item m="1" x="210"/>
        <item m="1" x="325"/>
        <item m="1" x="143"/>
        <item m="1" x="254"/>
        <item m="1" x="74"/>
        <item m="1" x="181"/>
        <item m="1" x="297"/>
        <item m="1" x="116"/>
        <item m="1" x="224"/>
        <item m="1" x="338"/>
        <item m="1" x="155"/>
        <item m="1" x="267"/>
        <item m="1" x="86"/>
        <item m="1" x="193"/>
        <item m="1" x="310"/>
        <item m="1" x="127"/>
        <item m="1" x="236"/>
        <item m="1" x="349"/>
        <item m="1" x="167"/>
        <item m="1" x="278"/>
        <item m="1" x="98"/>
        <item m="1" x="205"/>
        <item m="1" x="321"/>
        <item m="1" x="138"/>
        <item m="1" x="249"/>
        <item m="1" x="362"/>
        <item m="1" x="178"/>
        <item m="1" x="292"/>
        <item m="1" x="111"/>
        <item m="1" x="219"/>
        <item m="1" x="334"/>
        <item m="1" x="149"/>
        <item m="1" x="263"/>
        <item m="1" x="82"/>
        <item m="1" x="189"/>
        <item m="1" x="304"/>
        <item m="1" x="123"/>
        <item m="1" x="232"/>
        <item m="1" x="345"/>
        <item m="1" x="163"/>
        <item m="1" x="275"/>
        <item m="1" x="95"/>
        <item m="1" x="201"/>
        <item m="1" x="317"/>
        <item m="1" x="134"/>
        <item m="1" x="244"/>
        <item m="1" x="358"/>
        <item m="1" x="174"/>
        <item m="1" x="289"/>
        <item m="1" x="107"/>
        <item m="1" x="215"/>
        <item m="1" x="329"/>
        <item m="1" x="146"/>
        <item m="1" x="259"/>
        <item m="1" x="78"/>
        <item m="1" x="185"/>
        <item m="1" x="301"/>
        <item m="1" x="120"/>
        <item m="1" x="228"/>
        <item m="1" x="341"/>
        <item m="1" x="159"/>
        <item m="1" x="271"/>
        <item m="1" x="91"/>
        <item m="1" x="197"/>
        <item m="1" x="314"/>
        <item m="1" x="131"/>
        <item m="1" x="240"/>
        <item m="1" x="353"/>
        <item m="1" x="170"/>
        <item m="1" x="285"/>
        <item m="1" x="103"/>
        <item m="1" x="211"/>
        <item m="1" x="326"/>
        <item m="1" x="144"/>
        <item m="1" x="255"/>
        <item m="1" x="75"/>
        <item m="1" x="182"/>
        <item m="1" x="298"/>
        <item m="1" x="117"/>
        <item m="1" x="225"/>
        <item m="1" x="339"/>
        <item m="1" x="156"/>
        <item m="1" x="268"/>
        <item m="1" x="87"/>
        <item m="1" x="194"/>
        <item m="1" x="311"/>
        <item m="1" x="128"/>
        <item m="1" x="237"/>
        <item m="1" x="350"/>
        <item m="1" x="168"/>
        <item m="1" x="279"/>
        <item m="1" x="99"/>
        <item m="1" x="206"/>
        <item m="1" x="322"/>
        <item m="1" x="139"/>
        <item m="1" x="250"/>
        <item m="1" x="363"/>
        <item m="1" x="179"/>
        <item m="1" x="293"/>
        <item m="1" x="112"/>
        <item m="1" x="220"/>
        <item m="1" x="335"/>
        <item m="1" x="150"/>
        <item m="1" x="264"/>
        <item m="1" x="83"/>
        <item m="1" x="190"/>
        <item m="1" x="305"/>
        <item m="1" x="124"/>
        <item m="1" x="233"/>
        <item m="1" x="346"/>
        <item m="1" x="164"/>
        <item m="1" x="276"/>
        <item m="1" x="96"/>
        <item m="1" x="202"/>
        <item m="1" x="318"/>
        <item m="1" x="135"/>
        <item m="1" x="245"/>
        <item m="1" x="359"/>
        <item m="1" x="175"/>
        <item m="1" x="290"/>
        <item m="1" x="108"/>
        <item m="1" x="216"/>
        <item m="1" x="330"/>
        <item m="1" x="147"/>
        <item m="1" x="260"/>
        <item m="1" x="79"/>
        <item m="1" x="280"/>
        <item m="1" x="186"/>
        <item m="1" x="100"/>
        <item m="1" x="302"/>
        <item m="1" x="207"/>
        <item m="1" x="121"/>
        <item m="1" x="323"/>
        <item m="1" x="229"/>
        <item m="1" x="140"/>
        <item m="1" x="342"/>
        <item m="1" x="251"/>
        <item m="1" x="160"/>
        <item m="1" x="364"/>
        <item m="1" x="272"/>
        <item m="1" x="180"/>
        <item m="1" x="92"/>
        <item m="1" x="294"/>
        <item m="1" x="198"/>
        <item m="1" x="113"/>
        <item m="1" x="315"/>
        <item m="1" x="221"/>
        <item m="1" x="132"/>
        <item m="1" x="336"/>
        <item m="1" x="241"/>
        <item m="1" x="151"/>
        <item m="1" x="354"/>
        <item m="1" x="265"/>
        <item m="1" x="171"/>
        <item m="1" x="84"/>
        <item m="1" x="286"/>
        <item m="1" x="191"/>
        <item m="1" x="104"/>
        <item m="1" x="306"/>
        <item m="1" x="212"/>
        <item m="1" x="125"/>
        <item m="1" x="3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dataField="1" showAll="0"/>
  </pivotFields>
  <rowFields count="1">
    <field x="0"/>
  </rowFields>
  <rowItems count="74"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Items count="1">
    <i/>
  </colItems>
  <dataFields count="1">
    <dataField name="Sum of Chang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56"/>
  <sheetViews>
    <sheetView workbookViewId="0">
      <pane xSplit="3" ySplit="4" topLeftCell="K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cols>
    <col min="1" max="1" width="9.7109375" customWidth="1"/>
    <col min="2" max="3" width="6.7109375" customWidth="1"/>
    <col min="4" max="4" width="7.7109375" customWidth="1"/>
    <col min="5" max="15" width="6.7109375" customWidth="1"/>
    <col min="16" max="16" width="3.7109375" customWidth="1"/>
    <col min="17" max="17" width="6.7109375" customWidth="1"/>
    <col min="19" max="19" width="6.7109375" customWidth="1"/>
    <col min="21" max="21" width="13.140625" bestFit="1" customWidth="1"/>
    <col min="22" max="22" width="14.28515625" customWidth="1"/>
  </cols>
  <sheetData>
    <row r="1" spans="1:26" x14ac:dyDescent="0.25">
      <c r="A1" t="s">
        <v>47</v>
      </c>
    </row>
    <row r="2" spans="1:26" x14ac:dyDescent="0.25">
      <c r="A2" t="s">
        <v>53</v>
      </c>
    </row>
    <row r="3" spans="1:26" x14ac:dyDescent="0.25">
      <c r="D3" t="s">
        <v>16</v>
      </c>
      <c r="E3" t="s">
        <v>16</v>
      </c>
      <c r="F3" t="s">
        <v>16</v>
      </c>
      <c r="L3" t="s">
        <v>17</v>
      </c>
      <c r="M3" t="s">
        <v>17</v>
      </c>
      <c r="N3" t="s">
        <v>17</v>
      </c>
      <c r="Q3" t="s">
        <v>16</v>
      </c>
      <c r="R3">
        <v>537.5</v>
      </c>
    </row>
    <row r="4" spans="1:26" x14ac:dyDescent="0.25">
      <c r="A4" s="1" t="s">
        <v>13</v>
      </c>
      <c r="B4" t="s">
        <v>14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19</v>
      </c>
      <c r="Q4" t="s">
        <v>50</v>
      </c>
      <c r="R4" t="s">
        <v>18</v>
      </c>
      <c r="S4" t="s">
        <v>12</v>
      </c>
      <c r="U4" s="6" t="s">
        <v>20</v>
      </c>
      <c r="V4" t="s">
        <v>22</v>
      </c>
      <c r="X4" t="s">
        <v>23</v>
      </c>
      <c r="Y4" t="s">
        <v>24</v>
      </c>
      <c r="Z4" t="s">
        <v>25</v>
      </c>
    </row>
    <row r="5" spans="1:26" x14ac:dyDescent="0.25">
      <c r="A5" s="2">
        <v>44854</v>
      </c>
      <c r="B5" s="3">
        <v>293</v>
      </c>
      <c r="C5" s="3">
        <v>100</v>
      </c>
      <c r="S5">
        <f t="shared" ref="S5:S36" si="0">IF(R5&gt;R4,R5-R4,0)</f>
        <v>0</v>
      </c>
      <c r="U5" s="7">
        <v>293</v>
      </c>
      <c r="V5" s="5">
        <v>0</v>
      </c>
      <c r="X5">
        <f t="shared" ref="X5:X36" si="1">U5</f>
        <v>293</v>
      </c>
      <c r="Y5">
        <f t="shared" ref="Y5:Y36" si="2">V5</f>
        <v>0</v>
      </c>
      <c r="Z5">
        <f>Y5</f>
        <v>0</v>
      </c>
    </row>
    <row r="6" spans="1:26" x14ac:dyDescent="0.25">
      <c r="A6" s="2">
        <v>44854</v>
      </c>
      <c r="B6" s="3">
        <v>293</v>
      </c>
      <c r="C6" s="3">
        <v>200</v>
      </c>
      <c r="S6">
        <f t="shared" si="0"/>
        <v>0</v>
      </c>
      <c r="U6" s="7">
        <v>294</v>
      </c>
      <c r="V6" s="5">
        <v>6.6000000000000227</v>
      </c>
      <c r="X6">
        <f t="shared" si="1"/>
        <v>294</v>
      </c>
      <c r="Y6">
        <f t="shared" si="2"/>
        <v>6.6000000000000227</v>
      </c>
      <c r="Z6">
        <f t="shared" ref="Z6:Z37" si="3">Z5+Y6</f>
        <v>6.6000000000000227</v>
      </c>
    </row>
    <row r="7" spans="1:26" x14ac:dyDescent="0.25">
      <c r="A7" s="2">
        <v>44854</v>
      </c>
      <c r="B7" s="3">
        <v>293</v>
      </c>
      <c r="C7" s="3">
        <v>300</v>
      </c>
      <c r="S7">
        <f t="shared" si="0"/>
        <v>0</v>
      </c>
      <c r="U7" s="7">
        <v>295</v>
      </c>
      <c r="V7" s="5">
        <v>0</v>
      </c>
      <c r="X7">
        <f t="shared" si="1"/>
        <v>295</v>
      </c>
      <c r="Y7">
        <f t="shared" si="2"/>
        <v>0</v>
      </c>
      <c r="Z7">
        <f t="shared" si="3"/>
        <v>6.6000000000000227</v>
      </c>
    </row>
    <row r="8" spans="1:26" x14ac:dyDescent="0.25">
      <c r="A8" s="2">
        <v>44854</v>
      </c>
      <c r="B8" s="3">
        <v>293</v>
      </c>
      <c r="C8" s="3">
        <v>400</v>
      </c>
      <c r="S8">
        <f t="shared" si="0"/>
        <v>0</v>
      </c>
      <c r="U8" s="7">
        <v>296</v>
      </c>
      <c r="V8" s="5">
        <v>0.39999999999997726</v>
      </c>
      <c r="X8">
        <f t="shared" si="1"/>
        <v>296</v>
      </c>
      <c r="Y8">
        <f t="shared" si="2"/>
        <v>0.39999999999997726</v>
      </c>
      <c r="Z8">
        <f t="shared" si="3"/>
        <v>7</v>
      </c>
    </row>
    <row r="9" spans="1:26" x14ac:dyDescent="0.25">
      <c r="A9" s="2">
        <v>44854</v>
      </c>
      <c r="B9" s="3">
        <v>293</v>
      </c>
      <c r="C9" s="3">
        <v>500</v>
      </c>
      <c r="S9">
        <f t="shared" si="0"/>
        <v>0</v>
      </c>
      <c r="U9" s="7">
        <v>297</v>
      </c>
      <c r="V9" s="5">
        <v>5.7000000000000455</v>
      </c>
      <c r="X9">
        <f t="shared" si="1"/>
        <v>297</v>
      </c>
      <c r="Y9">
        <f t="shared" si="2"/>
        <v>5.7000000000000455</v>
      </c>
      <c r="Z9">
        <f t="shared" si="3"/>
        <v>12.700000000000045</v>
      </c>
    </row>
    <row r="10" spans="1:26" x14ac:dyDescent="0.25">
      <c r="A10" s="2">
        <v>44854</v>
      </c>
      <c r="B10" s="3">
        <v>293</v>
      </c>
      <c r="C10" s="3">
        <v>600</v>
      </c>
      <c r="S10">
        <f t="shared" si="0"/>
        <v>0</v>
      </c>
      <c r="U10" s="7">
        <v>298</v>
      </c>
      <c r="V10" s="5">
        <v>5.2999999999999545</v>
      </c>
      <c r="X10">
        <f t="shared" si="1"/>
        <v>298</v>
      </c>
      <c r="Y10">
        <f t="shared" si="2"/>
        <v>5.2999999999999545</v>
      </c>
      <c r="Z10">
        <f t="shared" si="3"/>
        <v>18</v>
      </c>
    </row>
    <row r="11" spans="1:26" x14ac:dyDescent="0.25">
      <c r="A11" s="2">
        <v>44854</v>
      </c>
      <c r="B11" s="3">
        <v>293</v>
      </c>
      <c r="C11" s="3">
        <v>700</v>
      </c>
      <c r="S11">
        <f t="shared" si="0"/>
        <v>0</v>
      </c>
      <c r="U11" s="7">
        <v>299</v>
      </c>
      <c r="V11" s="5">
        <v>2.9000000000000341</v>
      </c>
      <c r="X11">
        <f t="shared" si="1"/>
        <v>299</v>
      </c>
      <c r="Y11">
        <f t="shared" si="2"/>
        <v>2.9000000000000341</v>
      </c>
      <c r="Z11">
        <f t="shared" si="3"/>
        <v>20.900000000000034</v>
      </c>
    </row>
    <row r="12" spans="1:26" x14ac:dyDescent="0.25">
      <c r="A12" s="2">
        <v>44854</v>
      </c>
      <c r="B12" s="3">
        <v>293</v>
      </c>
      <c r="C12" s="3">
        <v>800</v>
      </c>
      <c r="S12">
        <f t="shared" si="0"/>
        <v>0</v>
      </c>
      <c r="U12" s="7">
        <v>300</v>
      </c>
      <c r="V12" s="5">
        <v>0.59999999999996589</v>
      </c>
      <c r="X12">
        <f t="shared" si="1"/>
        <v>300</v>
      </c>
      <c r="Y12">
        <f t="shared" si="2"/>
        <v>0.59999999999996589</v>
      </c>
      <c r="Z12">
        <f t="shared" si="3"/>
        <v>21.5</v>
      </c>
    </row>
    <row r="13" spans="1:26" x14ac:dyDescent="0.25">
      <c r="A13" s="2">
        <v>44854</v>
      </c>
      <c r="B13" s="3">
        <v>293</v>
      </c>
      <c r="C13" s="3">
        <v>900</v>
      </c>
      <c r="S13">
        <f t="shared" si="0"/>
        <v>0</v>
      </c>
      <c r="U13" s="7">
        <v>301</v>
      </c>
      <c r="V13" s="5">
        <v>3.5</v>
      </c>
      <c r="X13">
        <f t="shared" si="1"/>
        <v>301</v>
      </c>
      <c r="Y13">
        <f t="shared" si="2"/>
        <v>3.5</v>
      </c>
      <c r="Z13">
        <f t="shared" si="3"/>
        <v>25</v>
      </c>
    </row>
    <row r="14" spans="1:26" x14ac:dyDescent="0.25">
      <c r="A14" s="2">
        <v>44854</v>
      </c>
      <c r="B14" s="3">
        <v>293</v>
      </c>
      <c r="C14" s="3">
        <v>1000</v>
      </c>
      <c r="S14">
        <f t="shared" si="0"/>
        <v>0</v>
      </c>
      <c r="U14" s="7">
        <v>302</v>
      </c>
      <c r="V14" s="5">
        <v>0.10000000000002274</v>
      </c>
      <c r="X14">
        <f t="shared" si="1"/>
        <v>302</v>
      </c>
      <c r="Y14">
        <f t="shared" si="2"/>
        <v>0.10000000000002274</v>
      </c>
      <c r="Z14">
        <f t="shared" si="3"/>
        <v>25.100000000000023</v>
      </c>
    </row>
    <row r="15" spans="1:26" x14ac:dyDescent="0.25">
      <c r="A15" s="2">
        <v>44854</v>
      </c>
      <c r="B15" s="3">
        <v>293</v>
      </c>
      <c r="C15" s="3">
        <v>1100</v>
      </c>
      <c r="S15">
        <f t="shared" si="0"/>
        <v>0</v>
      </c>
      <c r="U15" s="7">
        <v>303</v>
      </c>
      <c r="V15" s="5">
        <v>7.3999999999999773</v>
      </c>
      <c r="X15">
        <f t="shared" si="1"/>
        <v>303</v>
      </c>
      <c r="Y15">
        <f t="shared" si="2"/>
        <v>7.3999999999999773</v>
      </c>
      <c r="Z15">
        <f t="shared" si="3"/>
        <v>32.5</v>
      </c>
    </row>
    <row r="16" spans="1:26" x14ac:dyDescent="0.25">
      <c r="A16" s="2">
        <v>44854</v>
      </c>
      <c r="B16" s="3">
        <v>293</v>
      </c>
      <c r="C16" s="3">
        <v>1200</v>
      </c>
      <c r="S16">
        <f t="shared" si="0"/>
        <v>0</v>
      </c>
      <c r="U16" s="7">
        <v>304</v>
      </c>
      <c r="V16" s="5">
        <v>5.5</v>
      </c>
      <c r="X16">
        <f t="shared" si="1"/>
        <v>304</v>
      </c>
      <c r="Y16">
        <f t="shared" si="2"/>
        <v>5.5</v>
      </c>
      <c r="Z16">
        <f t="shared" si="3"/>
        <v>38</v>
      </c>
    </row>
    <row r="17" spans="1:26" x14ac:dyDescent="0.25">
      <c r="A17" s="2">
        <v>44854</v>
      </c>
      <c r="B17" s="3">
        <v>293</v>
      </c>
      <c r="C17" s="3">
        <v>1300</v>
      </c>
      <c r="R17">
        <v>299.7</v>
      </c>
      <c r="S17" s="4">
        <v>0</v>
      </c>
      <c r="U17" s="7">
        <v>305</v>
      </c>
      <c r="V17" s="5">
        <v>0.10000000000002274</v>
      </c>
      <c r="X17">
        <f t="shared" si="1"/>
        <v>305</v>
      </c>
      <c r="Y17">
        <f t="shared" si="2"/>
        <v>0.10000000000002274</v>
      </c>
      <c r="Z17">
        <f t="shared" si="3"/>
        <v>38.100000000000023</v>
      </c>
    </row>
    <row r="18" spans="1:26" x14ac:dyDescent="0.25">
      <c r="A18" s="2">
        <v>44854</v>
      </c>
      <c r="B18" s="3">
        <v>293</v>
      </c>
      <c r="C18" s="3">
        <v>1400</v>
      </c>
      <c r="D18">
        <v>299.66899999999998</v>
      </c>
      <c r="E18">
        <v>0.15</v>
      </c>
      <c r="F18">
        <v>293.94690000000003</v>
      </c>
      <c r="G18">
        <v>300.89069999999998</v>
      </c>
      <c r="H18">
        <v>304.16950000000003</v>
      </c>
      <c r="I18">
        <v>0.14199999999999999</v>
      </c>
      <c r="J18">
        <v>0.13100000000000001</v>
      </c>
      <c r="K18">
        <v>0.17399999999999999</v>
      </c>
      <c r="L18">
        <v>1978.4</v>
      </c>
      <c r="M18">
        <v>1987</v>
      </c>
      <c r="N18">
        <v>2003.8</v>
      </c>
      <c r="O18" t="s">
        <v>46</v>
      </c>
      <c r="Q18">
        <f>ROUND(D18,1)</f>
        <v>299.7</v>
      </c>
      <c r="R18" s="4">
        <f>ROUND(Q18,1)</f>
        <v>299.7</v>
      </c>
      <c r="S18">
        <f t="shared" si="0"/>
        <v>0</v>
      </c>
      <c r="U18" s="7">
        <v>306</v>
      </c>
      <c r="V18" s="5">
        <v>0.10000000000002274</v>
      </c>
      <c r="X18">
        <f t="shared" si="1"/>
        <v>306</v>
      </c>
      <c r="Y18">
        <f t="shared" si="2"/>
        <v>0.10000000000002274</v>
      </c>
      <c r="Z18">
        <f t="shared" si="3"/>
        <v>38.200000000000045</v>
      </c>
    </row>
    <row r="19" spans="1:26" x14ac:dyDescent="0.25">
      <c r="A19" s="2">
        <v>44854</v>
      </c>
      <c r="B19" s="3">
        <v>293</v>
      </c>
      <c r="C19" s="3">
        <v>1500</v>
      </c>
      <c r="D19">
        <v>298.9742</v>
      </c>
      <c r="E19">
        <v>3.7999999999999999E-2</v>
      </c>
      <c r="F19">
        <v>293.71510000000001</v>
      </c>
      <c r="G19">
        <v>300.12009999999998</v>
      </c>
      <c r="H19">
        <v>303.0874</v>
      </c>
      <c r="I19">
        <v>2.8000000000000001E-2</v>
      </c>
      <c r="J19">
        <v>3.9E-2</v>
      </c>
      <c r="K19">
        <v>4.3999999999999997E-2</v>
      </c>
      <c r="L19">
        <v>1978</v>
      </c>
      <c r="M19">
        <v>1984.8</v>
      </c>
      <c r="N19">
        <v>2001.8</v>
      </c>
      <c r="Q19">
        <f t="shared" ref="Q19:Q82" si="4">ROUND(D19,1)</f>
        <v>299</v>
      </c>
      <c r="R19">
        <f t="shared" ref="R19:R34" si="5">ROUND(IF(Q19&lt;R18,R18,Q19),1)</f>
        <v>299.7</v>
      </c>
      <c r="S19">
        <f t="shared" si="0"/>
        <v>0</v>
      </c>
      <c r="U19" s="7">
        <v>307</v>
      </c>
      <c r="V19" s="5">
        <v>9.8999999999999773</v>
      </c>
      <c r="X19">
        <f t="shared" si="1"/>
        <v>307</v>
      </c>
      <c r="Y19">
        <f t="shared" si="2"/>
        <v>9.8999999999999773</v>
      </c>
      <c r="Z19">
        <f t="shared" si="3"/>
        <v>48.100000000000023</v>
      </c>
    </row>
    <row r="20" spans="1:26" x14ac:dyDescent="0.25">
      <c r="A20" s="2">
        <v>44854</v>
      </c>
      <c r="B20" s="3">
        <v>293</v>
      </c>
      <c r="C20" s="3">
        <v>1600</v>
      </c>
      <c r="D20">
        <v>298.55509999999998</v>
      </c>
      <c r="E20">
        <v>0.04</v>
      </c>
      <c r="F20">
        <v>293.35599999999999</v>
      </c>
      <c r="G20">
        <v>299.65780000000001</v>
      </c>
      <c r="H20">
        <v>302.65159999999997</v>
      </c>
      <c r="I20">
        <v>3.3000000000000002E-2</v>
      </c>
      <c r="J20">
        <v>4.3999999999999997E-2</v>
      </c>
      <c r="K20">
        <v>4.2999999999999997E-2</v>
      </c>
      <c r="L20">
        <v>1977.2</v>
      </c>
      <c r="M20">
        <v>1983.6</v>
      </c>
      <c r="N20">
        <v>2000.8</v>
      </c>
      <c r="Q20">
        <f t="shared" si="4"/>
        <v>298.60000000000002</v>
      </c>
      <c r="R20">
        <f t="shared" si="5"/>
        <v>299.7</v>
      </c>
      <c r="S20">
        <f t="shared" si="0"/>
        <v>0</v>
      </c>
      <c r="U20" s="7">
        <v>308</v>
      </c>
      <c r="V20" s="5">
        <v>29.199999999999989</v>
      </c>
      <c r="X20">
        <f t="shared" si="1"/>
        <v>308</v>
      </c>
      <c r="Y20">
        <f t="shared" si="2"/>
        <v>29.199999999999989</v>
      </c>
      <c r="Z20">
        <f t="shared" si="3"/>
        <v>77.300000000000011</v>
      </c>
    </row>
    <row r="21" spans="1:26" x14ac:dyDescent="0.25">
      <c r="A21" s="2">
        <v>44854</v>
      </c>
      <c r="B21" s="3">
        <v>293</v>
      </c>
      <c r="C21" s="3">
        <v>1700</v>
      </c>
      <c r="D21">
        <v>298.17099999999999</v>
      </c>
      <c r="E21">
        <v>0.04</v>
      </c>
      <c r="F21">
        <v>292.9588</v>
      </c>
      <c r="G21">
        <v>299.25760000000002</v>
      </c>
      <c r="H21">
        <v>302.29660000000001</v>
      </c>
      <c r="I21">
        <v>3.9E-2</v>
      </c>
      <c r="J21">
        <v>3.5000000000000003E-2</v>
      </c>
      <c r="K21">
        <v>4.3999999999999997E-2</v>
      </c>
      <c r="L21">
        <v>1976.2</v>
      </c>
      <c r="M21">
        <v>1982.8</v>
      </c>
      <c r="N21">
        <v>2000.2</v>
      </c>
      <c r="Q21">
        <f t="shared" si="4"/>
        <v>298.2</v>
      </c>
      <c r="R21">
        <f t="shared" si="5"/>
        <v>299.7</v>
      </c>
      <c r="S21">
        <f t="shared" si="0"/>
        <v>0</v>
      </c>
      <c r="U21" s="7">
        <v>309</v>
      </c>
      <c r="V21" s="5">
        <v>16.199999999999989</v>
      </c>
      <c r="X21">
        <f t="shared" si="1"/>
        <v>309</v>
      </c>
      <c r="Y21">
        <f t="shared" si="2"/>
        <v>16.199999999999989</v>
      </c>
      <c r="Z21">
        <f t="shared" si="3"/>
        <v>93.5</v>
      </c>
    </row>
    <row r="22" spans="1:26" x14ac:dyDescent="0.25">
      <c r="A22" s="2">
        <v>44854</v>
      </c>
      <c r="B22" s="3">
        <v>293</v>
      </c>
      <c r="C22" s="3">
        <v>1800</v>
      </c>
      <c r="D22">
        <v>297.83449999999999</v>
      </c>
      <c r="E22">
        <v>3.4000000000000002E-2</v>
      </c>
      <c r="F22">
        <v>292.68740000000003</v>
      </c>
      <c r="G22">
        <v>298.90230000000003</v>
      </c>
      <c r="H22">
        <v>301.91379999999998</v>
      </c>
      <c r="I22">
        <v>3.3000000000000002E-2</v>
      </c>
      <c r="J22">
        <v>0.03</v>
      </c>
      <c r="K22">
        <v>3.7999999999999999E-2</v>
      </c>
      <c r="L22">
        <v>1975.6</v>
      </c>
      <c r="M22">
        <v>1982</v>
      </c>
      <c r="N22">
        <v>1999.2</v>
      </c>
      <c r="Q22">
        <f t="shared" si="4"/>
        <v>297.8</v>
      </c>
      <c r="R22">
        <f t="shared" si="5"/>
        <v>299.7</v>
      </c>
      <c r="S22">
        <f t="shared" si="0"/>
        <v>0</v>
      </c>
      <c r="U22" s="7">
        <v>310</v>
      </c>
      <c r="V22" s="5">
        <v>13.200000000000045</v>
      </c>
      <c r="X22">
        <f t="shared" si="1"/>
        <v>310</v>
      </c>
      <c r="Y22">
        <f t="shared" si="2"/>
        <v>13.200000000000045</v>
      </c>
      <c r="Z22">
        <f t="shared" si="3"/>
        <v>106.70000000000005</v>
      </c>
    </row>
    <row r="23" spans="1:26" x14ac:dyDescent="0.25">
      <c r="A23" s="2">
        <v>44854</v>
      </c>
      <c r="B23" s="3">
        <v>293</v>
      </c>
      <c r="C23" s="3">
        <v>1900</v>
      </c>
      <c r="D23">
        <v>297.4511</v>
      </c>
      <c r="E23">
        <v>3.5999999999999997E-2</v>
      </c>
      <c r="F23">
        <v>292.32889999999998</v>
      </c>
      <c r="G23">
        <v>298.5009</v>
      </c>
      <c r="H23">
        <v>301.52359999999999</v>
      </c>
      <c r="I23">
        <v>3.2000000000000001E-2</v>
      </c>
      <c r="J23">
        <v>4.2000000000000003E-2</v>
      </c>
      <c r="K23">
        <v>3.4000000000000002E-2</v>
      </c>
      <c r="L23">
        <v>1974.6</v>
      </c>
      <c r="M23">
        <v>1981.2</v>
      </c>
      <c r="N23">
        <v>1998.4</v>
      </c>
      <c r="Q23">
        <f t="shared" si="4"/>
        <v>297.5</v>
      </c>
      <c r="R23">
        <f t="shared" si="5"/>
        <v>299.7</v>
      </c>
      <c r="S23">
        <f t="shared" si="0"/>
        <v>0</v>
      </c>
      <c r="U23" s="7">
        <v>311</v>
      </c>
      <c r="V23" s="5">
        <v>20.799999999999955</v>
      </c>
      <c r="X23">
        <f t="shared" si="1"/>
        <v>311</v>
      </c>
      <c r="Y23">
        <f t="shared" si="2"/>
        <v>20.799999999999955</v>
      </c>
      <c r="Z23">
        <f t="shared" si="3"/>
        <v>127.5</v>
      </c>
    </row>
    <row r="24" spans="1:26" x14ac:dyDescent="0.25">
      <c r="A24" s="2">
        <v>44854</v>
      </c>
      <c r="B24" s="3">
        <v>293</v>
      </c>
      <c r="C24" s="3">
        <v>2000</v>
      </c>
      <c r="D24">
        <v>297.05349999999999</v>
      </c>
      <c r="E24">
        <v>0.04</v>
      </c>
      <c r="F24">
        <v>291.9597</v>
      </c>
      <c r="G24">
        <v>298.07810000000001</v>
      </c>
      <c r="H24">
        <v>301.12270000000001</v>
      </c>
      <c r="I24">
        <v>3.5999999999999997E-2</v>
      </c>
      <c r="J24">
        <v>4.3999999999999997E-2</v>
      </c>
      <c r="K24">
        <v>0.04</v>
      </c>
      <c r="L24">
        <v>1973.8</v>
      </c>
      <c r="M24">
        <v>1980.2</v>
      </c>
      <c r="N24">
        <v>1997.4</v>
      </c>
      <c r="Q24">
        <f t="shared" si="4"/>
        <v>297.10000000000002</v>
      </c>
      <c r="R24">
        <f t="shared" si="5"/>
        <v>299.7</v>
      </c>
      <c r="S24">
        <f t="shared" si="0"/>
        <v>0</v>
      </c>
      <c r="U24" s="7">
        <v>312</v>
      </c>
      <c r="V24" s="5">
        <v>2.3000000000000114</v>
      </c>
      <c r="X24">
        <f t="shared" si="1"/>
        <v>312</v>
      </c>
      <c r="Y24">
        <f t="shared" si="2"/>
        <v>2.3000000000000114</v>
      </c>
      <c r="Z24">
        <f t="shared" si="3"/>
        <v>129.80000000000001</v>
      </c>
    </row>
    <row r="25" spans="1:26" x14ac:dyDescent="0.25">
      <c r="A25" s="2">
        <v>44854</v>
      </c>
      <c r="B25" s="3">
        <v>293</v>
      </c>
      <c r="C25" s="3">
        <v>2100</v>
      </c>
      <c r="D25">
        <v>296.65089999999998</v>
      </c>
      <c r="E25">
        <v>4.2000000000000003E-2</v>
      </c>
      <c r="F25">
        <v>291.58609999999999</v>
      </c>
      <c r="G25">
        <v>297.64780000000002</v>
      </c>
      <c r="H25">
        <v>300.71879999999999</v>
      </c>
      <c r="I25">
        <v>4.2999999999999997E-2</v>
      </c>
      <c r="J25">
        <v>4.2000000000000003E-2</v>
      </c>
      <c r="K25">
        <v>0.04</v>
      </c>
      <c r="L25">
        <v>1973.2</v>
      </c>
      <c r="M25">
        <v>1979</v>
      </c>
      <c r="N25">
        <v>1996.4</v>
      </c>
      <c r="Q25">
        <f t="shared" si="4"/>
        <v>296.7</v>
      </c>
      <c r="R25">
        <f t="shared" si="5"/>
        <v>299.7</v>
      </c>
      <c r="S25">
        <f t="shared" si="0"/>
        <v>0</v>
      </c>
      <c r="U25" s="7">
        <v>313</v>
      </c>
      <c r="V25" s="5">
        <v>0</v>
      </c>
      <c r="X25">
        <f t="shared" si="1"/>
        <v>313</v>
      </c>
      <c r="Y25">
        <f t="shared" si="2"/>
        <v>0</v>
      </c>
      <c r="Z25">
        <f t="shared" si="3"/>
        <v>129.80000000000001</v>
      </c>
    </row>
    <row r="26" spans="1:26" x14ac:dyDescent="0.25">
      <c r="A26" s="2">
        <v>44854</v>
      </c>
      <c r="B26" s="3">
        <v>293</v>
      </c>
      <c r="C26" s="3">
        <v>2200</v>
      </c>
      <c r="D26">
        <v>296.32760000000002</v>
      </c>
      <c r="E26">
        <v>4.2999999999999997E-2</v>
      </c>
      <c r="F26">
        <v>291.28460000000001</v>
      </c>
      <c r="G26">
        <v>297.30410000000001</v>
      </c>
      <c r="H26">
        <v>300.39409999999998</v>
      </c>
      <c r="I26">
        <v>3.9E-2</v>
      </c>
      <c r="J26">
        <v>4.8000000000000001E-2</v>
      </c>
      <c r="K26">
        <v>4.2000000000000003E-2</v>
      </c>
      <c r="L26">
        <v>1972.4</v>
      </c>
      <c r="M26">
        <v>1978.4</v>
      </c>
      <c r="N26">
        <v>1995.8</v>
      </c>
      <c r="Q26">
        <f t="shared" si="4"/>
        <v>296.3</v>
      </c>
      <c r="R26">
        <f t="shared" si="5"/>
        <v>299.7</v>
      </c>
      <c r="S26">
        <f t="shared" si="0"/>
        <v>0</v>
      </c>
      <c r="U26" s="7">
        <v>314</v>
      </c>
      <c r="V26" s="5">
        <v>0.10000000000002274</v>
      </c>
      <c r="X26">
        <f t="shared" si="1"/>
        <v>314</v>
      </c>
      <c r="Y26">
        <f t="shared" si="2"/>
        <v>0.10000000000002274</v>
      </c>
      <c r="Z26">
        <f t="shared" si="3"/>
        <v>129.90000000000003</v>
      </c>
    </row>
    <row r="27" spans="1:26" x14ac:dyDescent="0.25">
      <c r="A27" s="2">
        <v>44854</v>
      </c>
      <c r="B27" s="3">
        <v>293</v>
      </c>
      <c r="C27" s="3">
        <v>2300</v>
      </c>
      <c r="D27">
        <v>296.03620000000001</v>
      </c>
      <c r="E27">
        <v>0.04</v>
      </c>
      <c r="F27">
        <v>291</v>
      </c>
      <c r="G27">
        <v>297.00979999999998</v>
      </c>
      <c r="H27">
        <v>300.09879999999998</v>
      </c>
      <c r="I27">
        <v>3.2000000000000001E-2</v>
      </c>
      <c r="J27">
        <v>4.5999999999999999E-2</v>
      </c>
      <c r="K27">
        <v>4.2000000000000003E-2</v>
      </c>
      <c r="L27">
        <v>1971.8</v>
      </c>
      <c r="M27">
        <v>1977.6</v>
      </c>
      <c r="N27">
        <v>1995</v>
      </c>
      <c r="Q27">
        <f t="shared" si="4"/>
        <v>296</v>
      </c>
      <c r="R27">
        <f t="shared" si="5"/>
        <v>299.7</v>
      </c>
      <c r="S27">
        <f t="shared" si="0"/>
        <v>0</v>
      </c>
      <c r="U27" s="7">
        <v>315</v>
      </c>
      <c r="V27" s="5">
        <v>0</v>
      </c>
      <c r="X27">
        <f t="shared" si="1"/>
        <v>315</v>
      </c>
      <c r="Y27">
        <f t="shared" si="2"/>
        <v>0</v>
      </c>
      <c r="Z27">
        <f t="shared" si="3"/>
        <v>129.90000000000003</v>
      </c>
    </row>
    <row r="28" spans="1:26" x14ac:dyDescent="0.25">
      <c r="A28" s="2">
        <v>44854</v>
      </c>
      <c r="B28" s="3">
        <v>293</v>
      </c>
      <c r="C28" s="3">
        <v>2400</v>
      </c>
      <c r="D28">
        <v>295.69009999999997</v>
      </c>
      <c r="E28">
        <v>4.2000000000000003E-2</v>
      </c>
      <c r="F28">
        <v>290.66820000000001</v>
      </c>
      <c r="G28">
        <v>296.65859999999998</v>
      </c>
      <c r="H28">
        <v>299.74340000000001</v>
      </c>
      <c r="I28">
        <v>0.04</v>
      </c>
      <c r="J28">
        <v>4.2999999999999997E-2</v>
      </c>
      <c r="K28">
        <v>4.2000000000000003E-2</v>
      </c>
      <c r="L28">
        <v>1971</v>
      </c>
      <c r="M28">
        <v>1976.8</v>
      </c>
      <c r="N28">
        <v>1994.2</v>
      </c>
      <c r="Q28">
        <f t="shared" si="4"/>
        <v>295.7</v>
      </c>
      <c r="R28">
        <f t="shared" si="5"/>
        <v>299.7</v>
      </c>
      <c r="S28">
        <f t="shared" si="0"/>
        <v>0</v>
      </c>
      <c r="U28" s="7">
        <v>316</v>
      </c>
      <c r="V28" s="5">
        <v>0</v>
      </c>
      <c r="X28">
        <f t="shared" si="1"/>
        <v>316</v>
      </c>
      <c r="Y28">
        <f t="shared" si="2"/>
        <v>0</v>
      </c>
      <c r="Z28">
        <f t="shared" si="3"/>
        <v>129.90000000000003</v>
      </c>
    </row>
    <row r="29" spans="1:26" x14ac:dyDescent="0.25">
      <c r="A29" s="2">
        <v>44855</v>
      </c>
      <c r="B29" s="3">
        <v>294</v>
      </c>
      <c r="C29" s="3">
        <v>100</v>
      </c>
      <c r="D29">
        <v>295.2851</v>
      </c>
      <c r="E29">
        <v>0.05</v>
      </c>
      <c r="F29">
        <v>290.29669999999999</v>
      </c>
      <c r="G29">
        <v>296.23829999999998</v>
      </c>
      <c r="H29">
        <v>299.3202</v>
      </c>
      <c r="I29">
        <v>6.5000000000000002E-2</v>
      </c>
      <c r="J29">
        <v>4.2999999999999997E-2</v>
      </c>
      <c r="K29">
        <v>3.6999999999999998E-2</v>
      </c>
      <c r="L29">
        <v>1970</v>
      </c>
      <c r="M29">
        <v>1975.8</v>
      </c>
      <c r="N29">
        <v>1993.2</v>
      </c>
      <c r="Q29">
        <f t="shared" si="4"/>
        <v>295.3</v>
      </c>
      <c r="R29">
        <f t="shared" si="5"/>
        <v>299.7</v>
      </c>
      <c r="S29">
        <f t="shared" si="0"/>
        <v>0</v>
      </c>
      <c r="U29" s="7">
        <v>317</v>
      </c>
      <c r="V29" s="5">
        <v>0</v>
      </c>
      <c r="X29">
        <f t="shared" si="1"/>
        <v>317</v>
      </c>
      <c r="Y29">
        <f t="shared" si="2"/>
        <v>0</v>
      </c>
      <c r="Z29">
        <f t="shared" si="3"/>
        <v>129.90000000000003</v>
      </c>
    </row>
    <row r="30" spans="1:26" x14ac:dyDescent="0.25">
      <c r="A30" s="2">
        <v>44855</v>
      </c>
      <c r="B30" s="3">
        <v>294</v>
      </c>
      <c r="C30" s="3">
        <v>200</v>
      </c>
      <c r="D30">
        <v>294.90339999999998</v>
      </c>
      <c r="E30">
        <v>3.7999999999999999E-2</v>
      </c>
      <c r="F30">
        <v>289.9468</v>
      </c>
      <c r="G30">
        <v>295.8229</v>
      </c>
      <c r="H30">
        <v>298.94040000000001</v>
      </c>
      <c r="I30">
        <v>3.7999999999999999E-2</v>
      </c>
      <c r="J30">
        <v>0.03</v>
      </c>
      <c r="K30">
        <v>4.3999999999999997E-2</v>
      </c>
      <c r="L30">
        <v>1969.4</v>
      </c>
      <c r="M30">
        <v>1975</v>
      </c>
      <c r="N30">
        <v>1992.6</v>
      </c>
      <c r="Q30">
        <f t="shared" si="4"/>
        <v>294.89999999999998</v>
      </c>
      <c r="R30">
        <f t="shared" si="5"/>
        <v>299.7</v>
      </c>
      <c r="S30">
        <f t="shared" si="0"/>
        <v>0</v>
      </c>
      <c r="U30" s="7">
        <v>318</v>
      </c>
      <c r="V30" s="5">
        <v>0</v>
      </c>
      <c r="X30">
        <f t="shared" si="1"/>
        <v>318</v>
      </c>
      <c r="Y30">
        <f t="shared" si="2"/>
        <v>0</v>
      </c>
      <c r="Z30">
        <f t="shared" si="3"/>
        <v>129.90000000000003</v>
      </c>
    </row>
    <row r="31" spans="1:26" x14ac:dyDescent="0.25">
      <c r="A31" s="2">
        <v>44855</v>
      </c>
      <c r="B31" s="3">
        <v>294</v>
      </c>
      <c r="C31" s="3">
        <v>300</v>
      </c>
      <c r="D31">
        <v>294.6284</v>
      </c>
      <c r="E31">
        <v>4.4999999999999998E-2</v>
      </c>
      <c r="F31">
        <v>289.67649999999998</v>
      </c>
      <c r="G31">
        <v>295.53840000000002</v>
      </c>
      <c r="H31">
        <v>298.67039999999997</v>
      </c>
      <c r="I31">
        <v>4.2000000000000003E-2</v>
      </c>
      <c r="J31">
        <v>4.2999999999999997E-2</v>
      </c>
      <c r="K31">
        <v>4.9000000000000002E-2</v>
      </c>
      <c r="L31">
        <v>1968.6</v>
      </c>
      <c r="M31">
        <v>1974.2</v>
      </c>
      <c r="N31">
        <v>1991.6</v>
      </c>
      <c r="Q31">
        <f t="shared" si="4"/>
        <v>294.60000000000002</v>
      </c>
      <c r="R31">
        <f t="shared" si="5"/>
        <v>299.7</v>
      </c>
      <c r="S31">
        <f t="shared" si="0"/>
        <v>0</v>
      </c>
      <c r="U31" s="7">
        <v>319</v>
      </c>
      <c r="V31" s="5">
        <v>0</v>
      </c>
      <c r="X31">
        <f t="shared" si="1"/>
        <v>319</v>
      </c>
      <c r="Y31">
        <f t="shared" si="2"/>
        <v>0</v>
      </c>
      <c r="Z31">
        <f t="shared" si="3"/>
        <v>129.90000000000003</v>
      </c>
    </row>
    <row r="32" spans="1:26" x14ac:dyDescent="0.25">
      <c r="A32" s="2">
        <v>44855</v>
      </c>
      <c r="B32" s="3">
        <v>294</v>
      </c>
      <c r="C32" s="3">
        <v>400</v>
      </c>
      <c r="D32">
        <v>294.32740000000001</v>
      </c>
      <c r="E32">
        <v>3.3000000000000002E-2</v>
      </c>
      <c r="F32">
        <v>289.40010000000001</v>
      </c>
      <c r="G32">
        <v>295.21710000000002</v>
      </c>
      <c r="H32">
        <v>298.36489999999998</v>
      </c>
      <c r="I32">
        <v>4.2999999999999997E-2</v>
      </c>
      <c r="J32">
        <v>0.03</v>
      </c>
      <c r="K32">
        <v>2.3E-2</v>
      </c>
      <c r="L32">
        <v>1968.2</v>
      </c>
      <c r="M32">
        <v>1973.6</v>
      </c>
      <c r="N32">
        <v>1991.2</v>
      </c>
      <c r="Q32">
        <f t="shared" si="4"/>
        <v>294.3</v>
      </c>
      <c r="R32">
        <f t="shared" si="5"/>
        <v>299.7</v>
      </c>
      <c r="S32">
        <f t="shared" si="0"/>
        <v>0</v>
      </c>
      <c r="U32" s="7">
        <v>320</v>
      </c>
      <c r="V32" s="5">
        <v>0</v>
      </c>
      <c r="X32">
        <f t="shared" si="1"/>
        <v>320</v>
      </c>
      <c r="Y32">
        <f t="shared" si="2"/>
        <v>0</v>
      </c>
      <c r="Z32">
        <f t="shared" si="3"/>
        <v>129.90000000000003</v>
      </c>
    </row>
    <row r="33" spans="1:26" x14ac:dyDescent="0.25">
      <c r="A33" s="2">
        <v>44855</v>
      </c>
      <c r="B33" s="3">
        <v>294</v>
      </c>
      <c r="C33" s="3">
        <v>500</v>
      </c>
      <c r="D33">
        <v>294.06490000000002</v>
      </c>
      <c r="E33">
        <v>2.9000000000000001E-2</v>
      </c>
      <c r="F33">
        <v>289.13760000000002</v>
      </c>
      <c r="G33">
        <v>294.95269999999999</v>
      </c>
      <c r="H33">
        <v>298.10430000000002</v>
      </c>
      <c r="I33">
        <v>4.2999999999999997E-2</v>
      </c>
      <c r="J33">
        <v>2.1999999999999999E-2</v>
      </c>
      <c r="K33">
        <v>1.6E-2</v>
      </c>
      <c r="L33">
        <v>1967.4</v>
      </c>
      <c r="M33">
        <v>1973</v>
      </c>
      <c r="N33">
        <v>1990.6</v>
      </c>
      <c r="Q33">
        <f t="shared" si="4"/>
        <v>294.10000000000002</v>
      </c>
      <c r="R33">
        <f t="shared" si="5"/>
        <v>299.7</v>
      </c>
      <c r="S33">
        <f t="shared" si="0"/>
        <v>0</v>
      </c>
      <c r="U33" s="7">
        <v>321</v>
      </c>
      <c r="V33" s="5">
        <v>9.9999999999965894E-2</v>
      </c>
      <c r="X33">
        <f t="shared" si="1"/>
        <v>321</v>
      </c>
      <c r="Y33">
        <f t="shared" si="2"/>
        <v>9.9999999999965894E-2</v>
      </c>
      <c r="Z33">
        <f t="shared" si="3"/>
        <v>130</v>
      </c>
    </row>
    <row r="34" spans="1:26" x14ac:dyDescent="0.25">
      <c r="A34" s="2">
        <v>44855</v>
      </c>
      <c r="B34" s="3">
        <v>294</v>
      </c>
      <c r="C34" s="3">
        <v>600</v>
      </c>
      <c r="D34">
        <v>293.92219999999998</v>
      </c>
      <c r="E34">
        <v>4.1000000000000002E-2</v>
      </c>
      <c r="F34">
        <v>288.98809999999997</v>
      </c>
      <c r="G34">
        <v>294.81599999999997</v>
      </c>
      <c r="H34">
        <v>297.96249999999998</v>
      </c>
      <c r="I34">
        <v>3.7999999999999999E-2</v>
      </c>
      <c r="J34">
        <v>4.2000000000000003E-2</v>
      </c>
      <c r="K34">
        <v>4.2999999999999997E-2</v>
      </c>
      <c r="L34">
        <v>1967.2</v>
      </c>
      <c r="M34">
        <v>1972.6</v>
      </c>
      <c r="N34">
        <v>1990.4</v>
      </c>
      <c r="Q34">
        <f t="shared" si="4"/>
        <v>293.89999999999998</v>
      </c>
      <c r="R34">
        <f t="shared" si="5"/>
        <v>299.7</v>
      </c>
      <c r="S34">
        <f t="shared" si="0"/>
        <v>0</v>
      </c>
      <c r="U34" s="7">
        <v>322</v>
      </c>
      <c r="V34" s="5">
        <v>0</v>
      </c>
      <c r="X34">
        <f t="shared" si="1"/>
        <v>322</v>
      </c>
      <c r="Y34">
        <f t="shared" si="2"/>
        <v>0</v>
      </c>
      <c r="Z34">
        <f t="shared" si="3"/>
        <v>130</v>
      </c>
    </row>
    <row r="35" spans="1:26" x14ac:dyDescent="0.25">
      <c r="A35" s="2">
        <v>44855</v>
      </c>
      <c r="B35" s="3">
        <v>294</v>
      </c>
      <c r="C35" s="3">
        <v>700</v>
      </c>
      <c r="D35">
        <v>293.91250000000002</v>
      </c>
      <c r="E35">
        <v>4.1000000000000002E-2</v>
      </c>
      <c r="F35">
        <v>288.9744</v>
      </c>
      <c r="G35">
        <v>294.80070000000001</v>
      </c>
      <c r="H35">
        <v>297.96249999999998</v>
      </c>
      <c r="I35">
        <v>4.2999999999999997E-2</v>
      </c>
      <c r="J35">
        <v>3.5000000000000003E-2</v>
      </c>
      <c r="K35">
        <v>4.2999999999999997E-2</v>
      </c>
      <c r="L35">
        <v>1967.2</v>
      </c>
      <c r="M35">
        <v>1972.6</v>
      </c>
      <c r="N35">
        <v>1990.4</v>
      </c>
      <c r="Q35">
        <f t="shared" si="4"/>
        <v>293.89999999999998</v>
      </c>
      <c r="R35" s="4">
        <f>ROUND(Q35,1)</f>
        <v>293.89999999999998</v>
      </c>
      <c r="S35">
        <f t="shared" si="0"/>
        <v>0</v>
      </c>
      <c r="U35" s="7">
        <v>323</v>
      </c>
      <c r="V35" s="5">
        <v>0</v>
      </c>
      <c r="X35">
        <f t="shared" si="1"/>
        <v>323</v>
      </c>
      <c r="Y35">
        <f t="shared" si="2"/>
        <v>0</v>
      </c>
      <c r="Z35">
        <f t="shared" si="3"/>
        <v>130</v>
      </c>
    </row>
    <row r="36" spans="1:26" x14ac:dyDescent="0.25">
      <c r="A36" s="2">
        <v>44855</v>
      </c>
      <c r="B36" s="3">
        <v>294</v>
      </c>
      <c r="C36" s="3">
        <v>800</v>
      </c>
      <c r="D36">
        <v>294.54340000000002</v>
      </c>
      <c r="E36">
        <v>4.9000000000000002E-2</v>
      </c>
      <c r="F36">
        <v>289.6139</v>
      </c>
      <c r="G36">
        <v>295.4169</v>
      </c>
      <c r="H36">
        <v>298.5994</v>
      </c>
      <c r="I36">
        <v>4.9000000000000002E-2</v>
      </c>
      <c r="J36">
        <v>5.1999999999999998E-2</v>
      </c>
      <c r="K36">
        <v>4.5999999999999999E-2</v>
      </c>
      <c r="L36">
        <v>1968.6</v>
      </c>
      <c r="M36">
        <v>1974.2</v>
      </c>
      <c r="N36">
        <v>1992</v>
      </c>
      <c r="Q36">
        <f t="shared" si="4"/>
        <v>294.5</v>
      </c>
      <c r="R36">
        <f t="shared" ref="R36:R67" si="6">ROUND(IF(Q36&lt;R35,R35,Q36),1)</f>
        <v>294.5</v>
      </c>
      <c r="S36">
        <f t="shared" si="0"/>
        <v>0.60000000000002274</v>
      </c>
      <c r="U36" s="7">
        <v>324</v>
      </c>
      <c r="V36" s="5">
        <v>0</v>
      </c>
      <c r="X36">
        <f t="shared" si="1"/>
        <v>324</v>
      </c>
      <c r="Y36">
        <f t="shared" si="2"/>
        <v>0</v>
      </c>
      <c r="Z36">
        <f t="shared" si="3"/>
        <v>130</v>
      </c>
    </row>
    <row r="37" spans="1:26" x14ac:dyDescent="0.25">
      <c r="A37" s="2">
        <v>44855</v>
      </c>
      <c r="B37" s="3">
        <v>294</v>
      </c>
      <c r="C37" s="3">
        <v>900</v>
      </c>
      <c r="D37">
        <v>295.11750000000001</v>
      </c>
      <c r="E37">
        <v>4.2999999999999997E-2</v>
      </c>
      <c r="F37">
        <v>290.18209999999999</v>
      </c>
      <c r="G37">
        <v>295.95979999999997</v>
      </c>
      <c r="H37">
        <v>299.21050000000002</v>
      </c>
      <c r="I37">
        <v>4.2999999999999997E-2</v>
      </c>
      <c r="J37">
        <v>4.2999999999999997E-2</v>
      </c>
      <c r="K37">
        <v>4.2999999999999997E-2</v>
      </c>
      <c r="L37">
        <v>1969.8</v>
      </c>
      <c r="M37">
        <v>1975.2</v>
      </c>
      <c r="N37">
        <v>1993.2</v>
      </c>
      <c r="Q37">
        <f t="shared" si="4"/>
        <v>295.10000000000002</v>
      </c>
      <c r="R37">
        <f t="shared" si="6"/>
        <v>295.10000000000002</v>
      </c>
      <c r="S37">
        <f t="shared" ref="S37:S100" si="7">IF(R37&gt;R36,R37-R36,0)</f>
        <v>0.60000000000002274</v>
      </c>
      <c r="U37" s="7">
        <v>325</v>
      </c>
      <c r="V37" s="5">
        <v>1.1000000000000227</v>
      </c>
      <c r="X37">
        <f t="shared" ref="X37:X68" si="8">U37</f>
        <v>325</v>
      </c>
      <c r="Y37">
        <f t="shared" ref="Y37:Y68" si="9">V37</f>
        <v>1.1000000000000227</v>
      </c>
      <c r="Z37">
        <f t="shared" si="3"/>
        <v>131.10000000000002</v>
      </c>
    </row>
    <row r="38" spans="1:26" x14ac:dyDescent="0.25">
      <c r="A38" s="2">
        <v>44855</v>
      </c>
      <c r="B38" s="3">
        <v>294</v>
      </c>
      <c r="C38" s="3">
        <v>1000</v>
      </c>
      <c r="D38">
        <v>295.69499999999999</v>
      </c>
      <c r="E38">
        <v>3.5000000000000003E-2</v>
      </c>
      <c r="F38">
        <v>290.7645</v>
      </c>
      <c r="G38">
        <v>296.55549999999999</v>
      </c>
      <c r="H38">
        <v>299.76499999999999</v>
      </c>
      <c r="I38">
        <v>3.4000000000000002E-2</v>
      </c>
      <c r="J38">
        <v>3.9E-2</v>
      </c>
      <c r="K38">
        <v>3.3000000000000002E-2</v>
      </c>
      <c r="L38">
        <v>1971.2</v>
      </c>
      <c r="M38">
        <v>1976.8</v>
      </c>
      <c r="N38">
        <v>1994.4</v>
      </c>
      <c r="Q38">
        <f t="shared" si="4"/>
        <v>295.7</v>
      </c>
      <c r="R38">
        <f t="shared" si="6"/>
        <v>295.7</v>
      </c>
      <c r="S38">
        <f t="shared" si="7"/>
        <v>0.59999999999996589</v>
      </c>
      <c r="U38" s="7">
        <v>326</v>
      </c>
      <c r="V38" s="5">
        <v>3.6999999999999886</v>
      </c>
      <c r="X38">
        <f t="shared" si="8"/>
        <v>326</v>
      </c>
      <c r="Y38">
        <f t="shared" si="9"/>
        <v>3.6999999999999886</v>
      </c>
      <c r="Z38">
        <f t="shared" ref="Z38:Z69" si="10">Z37+Y38</f>
        <v>134.80000000000001</v>
      </c>
    </row>
    <row r="39" spans="1:26" x14ac:dyDescent="0.25">
      <c r="A39" s="2">
        <v>44855</v>
      </c>
      <c r="B39" s="3">
        <v>294</v>
      </c>
      <c r="C39" s="3">
        <v>1100</v>
      </c>
      <c r="D39">
        <v>296.79849999999999</v>
      </c>
      <c r="E39">
        <v>4.8000000000000001E-2</v>
      </c>
      <c r="F39">
        <v>291.85550000000001</v>
      </c>
      <c r="G39">
        <v>297.68020000000001</v>
      </c>
      <c r="H39">
        <v>300.8596</v>
      </c>
      <c r="I39">
        <v>4.8000000000000001E-2</v>
      </c>
      <c r="J39">
        <v>4.8000000000000001E-2</v>
      </c>
      <c r="K39">
        <v>4.7E-2</v>
      </c>
      <c r="L39">
        <v>1973.8</v>
      </c>
      <c r="M39">
        <v>1979.2</v>
      </c>
      <c r="N39">
        <v>1997</v>
      </c>
      <c r="Q39">
        <f t="shared" si="4"/>
        <v>296.8</v>
      </c>
      <c r="R39">
        <f t="shared" si="6"/>
        <v>296.8</v>
      </c>
      <c r="S39">
        <f t="shared" si="7"/>
        <v>1.1000000000000227</v>
      </c>
      <c r="U39" s="7">
        <v>327</v>
      </c>
      <c r="V39" s="5">
        <v>0</v>
      </c>
      <c r="X39">
        <f t="shared" si="8"/>
        <v>327</v>
      </c>
      <c r="Y39">
        <f t="shared" si="9"/>
        <v>0</v>
      </c>
      <c r="Z39">
        <f t="shared" si="10"/>
        <v>134.80000000000001</v>
      </c>
    </row>
    <row r="40" spans="1:26" x14ac:dyDescent="0.25">
      <c r="A40" s="2">
        <v>44855</v>
      </c>
      <c r="B40" s="3">
        <v>294</v>
      </c>
      <c r="C40" s="3">
        <v>1200</v>
      </c>
      <c r="D40">
        <v>297.71269999999998</v>
      </c>
      <c r="E40">
        <v>4.8000000000000001E-2</v>
      </c>
      <c r="F40">
        <v>292.77330000000001</v>
      </c>
      <c r="G40">
        <v>298.58890000000002</v>
      </c>
      <c r="H40">
        <v>301.77600000000001</v>
      </c>
      <c r="I40">
        <v>4.9000000000000002E-2</v>
      </c>
      <c r="J40">
        <v>4.8000000000000001E-2</v>
      </c>
      <c r="K40">
        <v>4.7E-2</v>
      </c>
      <c r="L40">
        <v>1976</v>
      </c>
      <c r="M40">
        <v>1981.2</v>
      </c>
      <c r="N40">
        <v>1999</v>
      </c>
      <c r="Q40">
        <f t="shared" si="4"/>
        <v>297.7</v>
      </c>
      <c r="R40">
        <f t="shared" si="6"/>
        <v>297.7</v>
      </c>
      <c r="S40">
        <f t="shared" si="7"/>
        <v>0.89999999999997726</v>
      </c>
      <c r="U40" s="7">
        <v>328</v>
      </c>
      <c r="V40" s="5">
        <v>0</v>
      </c>
      <c r="X40">
        <f t="shared" si="8"/>
        <v>328</v>
      </c>
      <c r="Y40">
        <f t="shared" si="9"/>
        <v>0</v>
      </c>
      <c r="Z40">
        <f t="shared" si="10"/>
        <v>134.80000000000001</v>
      </c>
    </row>
    <row r="41" spans="1:26" x14ac:dyDescent="0.25">
      <c r="A41" s="2">
        <v>44855</v>
      </c>
      <c r="B41" s="3">
        <v>294</v>
      </c>
      <c r="C41" s="3">
        <v>1300</v>
      </c>
      <c r="D41">
        <v>298.61939999999998</v>
      </c>
      <c r="E41">
        <v>4.5999999999999999E-2</v>
      </c>
      <c r="F41">
        <v>293.66750000000002</v>
      </c>
      <c r="G41">
        <v>299.49549999999999</v>
      </c>
      <c r="H41">
        <v>302.69499999999999</v>
      </c>
      <c r="I41">
        <v>4.8000000000000001E-2</v>
      </c>
      <c r="J41">
        <v>4.4999999999999998E-2</v>
      </c>
      <c r="K41">
        <v>4.4999999999999998E-2</v>
      </c>
      <c r="L41">
        <v>1978</v>
      </c>
      <c r="M41">
        <v>1983.4</v>
      </c>
      <c r="N41">
        <v>2001.2</v>
      </c>
      <c r="Q41">
        <f t="shared" si="4"/>
        <v>298.60000000000002</v>
      </c>
      <c r="R41">
        <f t="shared" si="6"/>
        <v>298.60000000000002</v>
      </c>
      <c r="S41">
        <f t="shared" si="7"/>
        <v>0.90000000000003411</v>
      </c>
      <c r="U41" s="7">
        <v>329</v>
      </c>
      <c r="V41" s="5">
        <v>4.6000000000000227</v>
      </c>
      <c r="X41">
        <f t="shared" si="8"/>
        <v>329</v>
      </c>
      <c r="Y41">
        <f t="shared" si="9"/>
        <v>4.6000000000000227</v>
      </c>
      <c r="Z41">
        <f t="shared" si="10"/>
        <v>139.40000000000003</v>
      </c>
    </row>
    <row r="42" spans="1:26" x14ac:dyDescent="0.25">
      <c r="A42" s="2">
        <v>44855</v>
      </c>
      <c r="B42" s="3">
        <v>294</v>
      </c>
      <c r="C42" s="3">
        <v>1400</v>
      </c>
      <c r="D42">
        <v>299.37860000000001</v>
      </c>
      <c r="E42">
        <v>3.7999999999999999E-2</v>
      </c>
      <c r="F42">
        <v>294.42610000000002</v>
      </c>
      <c r="G42">
        <v>300.25619999999998</v>
      </c>
      <c r="H42">
        <v>303.45359999999999</v>
      </c>
      <c r="I42">
        <v>0.03</v>
      </c>
      <c r="J42">
        <v>0.04</v>
      </c>
      <c r="K42">
        <v>4.2000000000000003E-2</v>
      </c>
      <c r="L42">
        <v>1979.8</v>
      </c>
      <c r="M42">
        <v>1985.2</v>
      </c>
      <c r="N42">
        <v>2002.8</v>
      </c>
      <c r="Q42">
        <f t="shared" si="4"/>
        <v>299.39999999999998</v>
      </c>
      <c r="R42">
        <f t="shared" si="6"/>
        <v>299.39999999999998</v>
      </c>
      <c r="S42">
        <f t="shared" si="7"/>
        <v>0.79999999999995453</v>
      </c>
      <c r="U42" s="7">
        <v>330</v>
      </c>
      <c r="V42" s="5">
        <v>0.30000000000001137</v>
      </c>
      <c r="X42">
        <f t="shared" si="8"/>
        <v>330</v>
      </c>
      <c r="Y42">
        <f t="shared" si="9"/>
        <v>0.30000000000001137</v>
      </c>
      <c r="Z42">
        <f t="shared" si="10"/>
        <v>139.70000000000005</v>
      </c>
    </row>
    <row r="43" spans="1:26" x14ac:dyDescent="0.25">
      <c r="A43" s="2">
        <v>44855</v>
      </c>
      <c r="B43" s="3">
        <v>294</v>
      </c>
      <c r="C43" s="3">
        <v>1500</v>
      </c>
      <c r="D43">
        <v>299.74340000000001</v>
      </c>
      <c r="E43">
        <v>3.9E-2</v>
      </c>
      <c r="F43">
        <v>294.78559999999999</v>
      </c>
      <c r="G43">
        <v>300.62450000000001</v>
      </c>
      <c r="H43">
        <v>303.81990000000002</v>
      </c>
      <c r="I43">
        <v>3.5999999999999997E-2</v>
      </c>
      <c r="J43">
        <v>4.3999999999999997E-2</v>
      </c>
      <c r="K43">
        <v>3.5000000000000003E-2</v>
      </c>
      <c r="L43">
        <v>1980.4</v>
      </c>
      <c r="M43">
        <v>1985.8</v>
      </c>
      <c r="N43">
        <v>2003.6</v>
      </c>
      <c r="Q43">
        <f t="shared" si="4"/>
        <v>299.7</v>
      </c>
      <c r="R43">
        <f t="shared" si="6"/>
        <v>299.7</v>
      </c>
      <c r="S43">
        <f t="shared" si="7"/>
        <v>0.30000000000001137</v>
      </c>
      <c r="U43" s="7">
        <v>331</v>
      </c>
      <c r="V43" s="5">
        <v>14.5</v>
      </c>
      <c r="X43">
        <f t="shared" si="8"/>
        <v>331</v>
      </c>
      <c r="Y43">
        <f t="shared" si="9"/>
        <v>14.5</v>
      </c>
      <c r="Z43">
        <f t="shared" si="10"/>
        <v>154.20000000000005</v>
      </c>
    </row>
    <row r="44" spans="1:26" x14ac:dyDescent="0.25">
      <c r="A44" s="2">
        <v>44855</v>
      </c>
      <c r="B44" s="3">
        <v>294</v>
      </c>
      <c r="C44" s="3">
        <v>1600</v>
      </c>
      <c r="D44">
        <v>300.18720000000002</v>
      </c>
      <c r="E44">
        <v>3.2000000000000001E-2</v>
      </c>
      <c r="F44">
        <v>295.21910000000003</v>
      </c>
      <c r="G44">
        <v>301.05950000000001</v>
      </c>
      <c r="H44">
        <v>304.28280000000001</v>
      </c>
      <c r="I44">
        <v>3.2000000000000001E-2</v>
      </c>
      <c r="J44">
        <v>4.2999999999999997E-2</v>
      </c>
      <c r="K44">
        <v>1.6E-2</v>
      </c>
      <c r="L44">
        <v>1981.6</v>
      </c>
      <c r="M44">
        <v>1986.8</v>
      </c>
      <c r="N44">
        <v>2004.6</v>
      </c>
      <c r="Q44">
        <f t="shared" si="4"/>
        <v>300.2</v>
      </c>
      <c r="R44">
        <f t="shared" si="6"/>
        <v>300.2</v>
      </c>
      <c r="S44">
        <f t="shared" si="7"/>
        <v>0.5</v>
      </c>
      <c r="U44" s="7">
        <v>332</v>
      </c>
      <c r="V44" s="5">
        <v>4.0999999999999659</v>
      </c>
      <c r="X44">
        <f t="shared" si="8"/>
        <v>332</v>
      </c>
      <c r="Y44">
        <f t="shared" si="9"/>
        <v>4.0999999999999659</v>
      </c>
      <c r="Z44">
        <f t="shared" si="10"/>
        <v>158.30000000000001</v>
      </c>
    </row>
    <row r="45" spans="1:26" x14ac:dyDescent="0.25">
      <c r="A45" s="2">
        <v>44855</v>
      </c>
      <c r="B45" s="3">
        <v>294</v>
      </c>
      <c r="C45" s="3">
        <v>1700</v>
      </c>
      <c r="D45">
        <v>300.52330000000001</v>
      </c>
      <c r="E45">
        <v>3.5000000000000003E-2</v>
      </c>
      <c r="F45">
        <v>295.55599999999998</v>
      </c>
      <c r="G45">
        <v>301.40640000000002</v>
      </c>
      <c r="H45">
        <v>304.60759999999999</v>
      </c>
      <c r="I45">
        <v>0.02</v>
      </c>
      <c r="J45">
        <v>4.1000000000000002E-2</v>
      </c>
      <c r="K45">
        <v>4.1000000000000002E-2</v>
      </c>
      <c r="L45">
        <v>1982.2</v>
      </c>
      <c r="M45">
        <v>1987.8</v>
      </c>
      <c r="N45">
        <v>2005.4</v>
      </c>
      <c r="Q45">
        <f t="shared" si="4"/>
        <v>300.5</v>
      </c>
      <c r="R45">
        <f t="shared" si="6"/>
        <v>300.5</v>
      </c>
      <c r="S45">
        <f t="shared" si="7"/>
        <v>0.30000000000001137</v>
      </c>
      <c r="U45" s="7">
        <v>333</v>
      </c>
      <c r="V45" s="5">
        <v>4.6000000000000227</v>
      </c>
      <c r="X45">
        <f t="shared" si="8"/>
        <v>333</v>
      </c>
      <c r="Y45">
        <f t="shared" si="9"/>
        <v>4.6000000000000227</v>
      </c>
      <c r="Z45">
        <f t="shared" si="10"/>
        <v>162.90000000000003</v>
      </c>
    </row>
    <row r="46" spans="1:26" x14ac:dyDescent="0.25">
      <c r="A46" s="2">
        <v>44855</v>
      </c>
      <c r="B46" s="3">
        <v>294</v>
      </c>
      <c r="C46" s="3">
        <v>1800</v>
      </c>
      <c r="D46">
        <v>300.51049999999998</v>
      </c>
      <c r="E46">
        <v>3.5000000000000003E-2</v>
      </c>
      <c r="F46">
        <v>295.53289999999998</v>
      </c>
      <c r="G46">
        <v>301.38619999999997</v>
      </c>
      <c r="H46">
        <v>304.6123</v>
      </c>
      <c r="I46">
        <v>4.1000000000000002E-2</v>
      </c>
      <c r="J46">
        <v>2.5000000000000001E-2</v>
      </c>
      <c r="K46">
        <v>3.7999999999999999E-2</v>
      </c>
      <c r="L46">
        <v>1982.2</v>
      </c>
      <c r="M46">
        <v>1987.6</v>
      </c>
      <c r="N46">
        <v>2005.4</v>
      </c>
      <c r="Q46">
        <f t="shared" si="4"/>
        <v>300.5</v>
      </c>
      <c r="R46">
        <f t="shared" si="6"/>
        <v>300.5</v>
      </c>
      <c r="S46">
        <f t="shared" si="7"/>
        <v>0</v>
      </c>
      <c r="U46" s="7">
        <v>334</v>
      </c>
      <c r="V46" s="5">
        <v>3</v>
      </c>
      <c r="X46">
        <f t="shared" si="8"/>
        <v>334</v>
      </c>
      <c r="Y46">
        <f t="shared" si="9"/>
        <v>3</v>
      </c>
      <c r="Z46">
        <f t="shared" si="10"/>
        <v>165.90000000000003</v>
      </c>
    </row>
    <row r="47" spans="1:26" x14ac:dyDescent="0.25">
      <c r="A47" s="2">
        <v>44855</v>
      </c>
      <c r="B47" s="3">
        <v>294</v>
      </c>
      <c r="C47" s="3">
        <v>1900</v>
      </c>
      <c r="D47">
        <v>300.54090000000002</v>
      </c>
      <c r="E47">
        <v>3.4000000000000002E-2</v>
      </c>
      <c r="F47">
        <v>295.5652</v>
      </c>
      <c r="G47">
        <v>301.411</v>
      </c>
      <c r="H47">
        <v>304.6465</v>
      </c>
      <c r="I47">
        <v>2.5999999999999999E-2</v>
      </c>
      <c r="J47">
        <v>4.2999999999999997E-2</v>
      </c>
      <c r="K47">
        <v>3.1E-2</v>
      </c>
      <c r="L47">
        <v>1982.2</v>
      </c>
      <c r="M47">
        <v>1987.8</v>
      </c>
      <c r="N47">
        <v>2005.4</v>
      </c>
      <c r="Q47">
        <f t="shared" si="4"/>
        <v>300.5</v>
      </c>
      <c r="R47">
        <f t="shared" si="6"/>
        <v>300.5</v>
      </c>
      <c r="S47">
        <f t="shared" si="7"/>
        <v>0</v>
      </c>
      <c r="U47" s="7">
        <v>335</v>
      </c>
      <c r="V47" s="5">
        <v>2</v>
      </c>
      <c r="X47">
        <f t="shared" si="8"/>
        <v>335</v>
      </c>
      <c r="Y47">
        <f t="shared" si="9"/>
        <v>2</v>
      </c>
      <c r="Z47">
        <f t="shared" si="10"/>
        <v>167.90000000000003</v>
      </c>
    </row>
    <row r="48" spans="1:26" x14ac:dyDescent="0.25">
      <c r="A48" s="2">
        <v>44855</v>
      </c>
      <c r="B48" s="3">
        <v>294</v>
      </c>
      <c r="C48" s="3">
        <v>2000</v>
      </c>
      <c r="D48">
        <v>300.53059999999999</v>
      </c>
      <c r="E48">
        <v>0.03</v>
      </c>
      <c r="F48">
        <v>295.55290000000002</v>
      </c>
      <c r="G48">
        <v>301.39400000000001</v>
      </c>
      <c r="H48">
        <v>304.64499999999998</v>
      </c>
      <c r="I48">
        <v>2.5000000000000001E-2</v>
      </c>
      <c r="J48">
        <v>3.4000000000000002E-2</v>
      </c>
      <c r="K48">
        <v>2.9000000000000001E-2</v>
      </c>
      <c r="L48">
        <v>1982.2</v>
      </c>
      <c r="M48">
        <v>1987.6</v>
      </c>
      <c r="N48">
        <v>2005.4</v>
      </c>
      <c r="Q48">
        <f t="shared" si="4"/>
        <v>300.5</v>
      </c>
      <c r="R48">
        <f t="shared" si="6"/>
        <v>300.5</v>
      </c>
      <c r="S48">
        <f t="shared" si="7"/>
        <v>0</v>
      </c>
      <c r="U48" s="7">
        <v>336</v>
      </c>
      <c r="V48" s="5">
        <v>0</v>
      </c>
      <c r="X48">
        <f t="shared" si="8"/>
        <v>336</v>
      </c>
      <c r="Y48">
        <f t="shared" si="9"/>
        <v>0</v>
      </c>
      <c r="Z48">
        <f t="shared" si="10"/>
        <v>167.90000000000003</v>
      </c>
    </row>
    <row r="49" spans="1:26" x14ac:dyDescent="0.25">
      <c r="A49" s="2">
        <v>44855</v>
      </c>
      <c r="B49" s="3">
        <v>294</v>
      </c>
      <c r="C49" s="3">
        <v>2100</v>
      </c>
      <c r="D49">
        <v>300.41149999999999</v>
      </c>
      <c r="E49">
        <v>3.7999999999999999E-2</v>
      </c>
      <c r="F49">
        <v>295.43299999999999</v>
      </c>
      <c r="G49">
        <v>301.27159999999998</v>
      </c>
      <c r="H49">
        <v>304.5299</v>
      </c>
      <c r="I49">
        <v>4.3999999999999997E-2</v>
      </c>
      <c r="J49">
        <v>3.5999999999999997E-2</v>
      </c>
      <c r="K49">
        <v>3.4000000000000002E-2</v>
      </c>
      <c r="L49">
        <v>1982</v>
      </c>
      <c r="M49">
        <v>1987.4</v>
      </c>
      <c r="N49">
        <v>2005</v>
      </c>
      <c r="Q49">
        <f t="shared" si="4"/>
        <v>300.39999999999998</v>
      </c>
      <c r="R49">
        <f t="shared" si="6"/>
        <v>300.5</v>
      </c>
      <c r="S49">
        <f t="shared" si="7"/>
        <v>0</v>
      </c>
      <c r="U49" s="7">
        <v>337</v>
      </c>
      <c r="V49" s="5">
        <v>0</v>
      </c>
      <c r="X49">
        <f t="shared" si="8"/>
        <v>337</v>
      </c>
      <c r="Y49">
        <f t="shared" si="9"/>
        <v>0</v>
      </c>
      <c r="Z49">
        <f t="shared" si="10"/>
        <v>167.90000000000003</v>
      </c>
    </row>
    <row r="50" spans="1:26" x14ac:dyDescent="0.25">
      <c r="A50" s="2">
        <v>44855</v>
      </c>
      <c r="B50" s="3">
        <v>294</v>
      </c>
      <c r="C50" s="3">
        <v>2200</v>
      </c>
      <c r="D50">
        <v>300.30680000000001</v>
      </c>
      <c r="E50">
        <v>4.2000000000000003E-2</v>
      </c>
      <c r="F50">
        <v>295.32990000000001</v>
      </c>
      <c r="G50">
        <v>301.1601</v>
      </c>
      <c r="H50">
        <v>304.43049999999999</v>
      </c>
      <c r="I50">
        <v>4.2000000000000003E-2</v>
      </c>
      <c r="J50">
        <v>4.3999999999999997E-2</v>
      </c>
      <c r="K50">
        <v>4.1000000000000002E-2</v>
      </c>
      <c r="L50">
        <v>1981.6</v>
      </c>
      <c r="M50">
        <v>1987</v>
      </c>
      <c r="N50">
        <v>2005</v>
      </c>
      <c r="Q50">
        <f t="shared" si="4"/>
        <v>300.3</v>
      </c>
      <c r="R50">
        <f t="shared" si="6"/>
        <v>300.5</v>
      </c>
      <c r="S50">
        <f t="shared" si="7"/>
        <v>0</v>
      </c>
      <c r="U50" s="7">
        <v>338</v>
      </c>
      <c r="V50" s="5">
        <v>1.8000000000000114</v>
      </c>
      <c r="X50">
        <f t="shared" si="8"/>
        <v>338</v>
      </c>
      <c r="Y50">
        <f t="shared" si="9"/>
        <v>1.8000000000000114</v>
      </c>
      <c r="Z50">
        <f t="shared" si="10"/>
        <v>169.70000000000005</v>
      </c>
    </row>
    <row r="51" spans="1:26" x14ac:dyDescent="0.25">
      <c r="A51" s="2">
        <v>44855</v>
      </c>
      <c r="B51" s="3">
        <v>294</v>
      </c>
      <c r="C51" s="3">
        <v>2300</v>
      </c>
      <c r="D51">
        <v>300.1857</v>
      </c>
      <c r="E51">
        <v>3.3000000000000002E-2</v>
      </c>
      <c r="F51">
        <v>295.20679999999999</v>
      </c>
      <c r="G51">
        <v>301.0378</v>
      </c>
      <c r="H51">
        <v>304.31240000000003</v>
      </c>
      <c r="I51">
        <v>2.3E-2</v>
      </c>
      <c r="J51">
        <v>3.1E-2</v>
      </c>
      <c r="K51">
        <v>4.2999999999999997E-2</v>
      </c>
      <c r="L51">
        <v>1981.4</v>
      </c>
      <c r="M51">
        <v>1986.8</v>
      </c>
      <c r="N51">
        <v>2004.6</v>
      </c>
      <c r="Q51">
        <f t="shared" si="4"/>
        <v>300.2</v>
      </c>
      <c r="R51">
        <f t="shared" si="6"/>
        <v>300.5</v>
      </c>
      <c r="S51">
        <f t="shared" si="7"/>
        <v>0</v>
      </c>
      <c r="U51" s="7">
        <v>339</v>
      </c>
      <c r="V51" s="5">
        <v>9.9999999999965894E-2</v>
      </c>
      <c r="X51">
        <f t="shared" si="8"/>
        <v>339</v>
      </c>
      <c r="Y51">
        <f t="shared" si="9"/>
        <v>9.9999999999965894E-2</v>
      </c>
      <c r="Z51">
        <f t="shared" si="10"/>
        <v>169.8</v>
      </c>
    </row>
    <row r="52" spans="1:26" x14ac:dyDescent="0.25">
      <c r="A52" s="2">
        <v>44855</v>
      </c>
      <c r="B52" s="3">
        <v>294</v>
      </c>
      <c r="C52" s="3">
        <v>2400</v>
      </c>
      <c r="D52">
        <v>300.11559999999997</v>
      </c>
      <c r="E52">
        <v>3.9E-2</v>
      </c>
      <c r="F52">
        <v>295.13920000000002</v>
      </c>
      <c r="G52">
        <v>300.96350000000001</v>
      </c>
      <c r="H52">
        <v>304.24400000000003</v>
      </c>
      <c r="I52">
        <v>3.5000000000000003E-2</v>
      </c>
      <c r="J52">
        <v>0.04</v>
      </c>
      <c r="K52">
        <v>4.2999999999999997E-2</v>
      </c>
      <c r="L52">
        <v>1981.2</v>
      </c>
      <c r="M52">
        <v>1986.6</v>
      </c>
      <c r="N52">
        <v>2004.6</v>
      </c>
      <c r="Q52">
        <f t="shared" si="4"/>
        <v>300.10000000000002</v>
      </c>
      <c r="R52">
        <f t="shared" si="6"/>
        <v>300.5</v>
      </c>
      <c r="S52">
        <f t="shared" si="7"/>
        <v>0</v>
      </c>
      <c r="U52" s="7">
        <v>340</v>
      </c>
      <c r="V52" s="5">
        <v>0</v>
      </c>
      <c r="X52">
        <f t="shared" si="8"/>
        <v>340</v>
      </c>
      <c r="Y52">
        <f t="shared" si="9"/>
        <v>0</v>
      </c>
      <c r="Z52">
        <f t="shared" si="10"/>
        <v>169.8</v>
      </c>
    </row>
    <row r="53" spans="1:26" x14ac:dyDescent="0.25">
      <c r="A53" s="2">
        <v>44856</v>
      </c>
      <c r="B53" s="3">
        <v>295</v>
      </c>
      <c r="C53" s="3">
        <v>100</v>
      </c>
      <c r="D53">
        <v>300.0532</v>
      </c>
      <c r="E53">
        <v>3.5999999999999997E-2</v>
      </c>
      <c r="F53">
        <v>295.07150000000001</v>
      </c>
      <c r="G53">
        <v>300.89839999999998</v>
      </c>
      <c r="H53">
        <v>304.18970000000002</v>
      </c>
      <c r="I53">
        <v>4.2999999999999997E-2</v>
      </c>
      <c r="J53">
        <v>4.3999999999999997E-2</v>
      </c>
      <c r="K53">
        <v>1.2E-2</v>
      </c>
      <c r="L53">
        <v>1981.2</v>
      </c>
      <c r="M53">
        <v>1986.4</v>
      </c>
      <c r="N53">
        <v>2004.4</v>
      </c>
      <c r="Q53">
        <f t="shared" si="4"/>
        <v>300.10000000000002</v>
      </c>
      <c r="R53">
        <f t="shared" si="6"/>
        <v>300.5</v>
      </c>
      <c r="S53">
        <f t="shared" si="7"/>
        <v>0</v>
      </c>
      <c r="U53" s="7">
        <v>341</v>
      </c>
      <c r="V53" s="5">
        <v>0.90000000000003411</v>
      </c>
      <c r="X53">
        <f t="shared" si="8"/>
        <v>341</v>
      </c>
      <c r="Y53">
        <f t="shared" si="9"/>
        <v>0.90000000000003411</v>
      </c>
      <c r="Z53">
        <f t="shared" si="10"/>
        <v>170.70000000000005</v>
      </c>
    </row>
    <row r="54" spans="1:26" x14ac:dyDescent="0.25">
      <c r="A54" s="2">
        <v>44856</v>
      </c>
      <c r="B54" s="3">
        <v>295</v>
      </c>
      <c r="C54" s="3">
        <v>200</v>
      </c>
      <c r="D54">
        <v>299.96300000000002</v>
      </c>
      <c r="E54">
        <v>3.7999999999999999E-2</v>
      </c>
      <c r="F54">
        <v>294.99009999999998</v>
      </c>
      <c r="G54">
        <v>300.80239999999998</v>
      </c>
      <c r="H54">
        <v>304.09640000000002</v>
      </c>
      <c r="I54">
        <v>4.3999999999999997E-2</v>
      </c>
      <c r="J54">
        <v>4.3999999999999997E-2</v>
      </c>
      <c r="K54">
        <v>2.3E-2</v>
      </c>
      <c r="L54">
        <v>1980.8</v>
      </c>
      <c r="M54">
        <v>1986.2</v>
      </c>
      <c r="N54">
        <v>2004.2</v>
      </c>
      <c r="Q54">
        <f t="shared" si="4"/>
        <v>300</v>
      </c>
      <c r="R54">
        <f t="shared" si="6"/>
        <v>300.5</v>
      </c>
      <c r="S54">
        <f t="shared" si="7"/>
        <v>0</v>
      </c>
      <c r="U54" s="7">
        <v>342</v>
      </c>
      <c r="V54" s="5">
        <v>0.5</v>
      </c>
      <c r="X54">
        <f t="shared" si="8"/>
        <v>342</v>
      </c>
      <c r="Y54">
        <f t="shared" si="9"/>
        <v>0.5</v>
      </c>
      <c r="Z54">
        <f t="shared" si="10"/>
        <v>171.20000000000005</v>
      </c>
    </row>
    <row r="55" spans="1:26" x14ac:dyDescent="0.25">
      <c r="A55" s="2">
        <v>44856</v>
      </c>
      <c r="B55" s="3">
        <v>295</v>
      </c>
      <c r="C55" s="3">
        <v>300</v>
      </c>
      <c r="D55">
        <v>299.84809999999999</v>
      </c>
      <c r="E55">
        <v>3.5999999999999997E-2</v>
      </c>
      <c r="F55">
        <v>294.87630000000001</v>
      </c>
      <c r="G55">
        <v>300.68329999999997</v>
      </c>
      <c r="H55">
        <v>303.9846</v>
      </c>
      <c r="I55">
        <v>3.5000000000000003E-2</v>
      </c>
      <c r="J55">
        <v>2.9000000000000001E-2</v>
      </c>
      <c r="K55">
        <v>4.2000000000000003E-2</v>
      </c>
      <c r="L55">
        <v>1980.8</v>
      </c>
      <c r="M55">
        <v>1986</v>
      </c>
      <c r="N55">
        <v>2004</v>
      </c>
      <c r="Q55">
        <f t="shared" si="4"/>
        <v>299.8</v>
      </c>
      <c r="R55">
        <f t="shared" si="6"/>
        <v>300.5</v>
      </c>
      <c r="S55">
        <f t="shared" si="7"/>
        <v>0</v>
      </c>
      <c r="U55" s="7">
        <v>343</v>
      </c>
      <c r="V55" s="5">
        <v>3.2999999999999545</v>
      </c>
      <c r="X55">
        <f t="shared" si="8"/>
        <v>343</v>
      </c>
      <c r="Y55">
        <f t="shared" si="9"/>
        <v>3.2999999999999545</v>
      </c>
      <c r="Z55">
        <f t="shared" si="10"/>
        <v>174.5</v>
      </c>
    </row>
    <row r="56" spans="1:26" x14ac:dyDescent="0.25">
      <c r="A56" s="2">
        <v>44856</v>
      </c>
      <c r="B56" s="3">
        <v>295</v>
      </c>
      <c r="C56" s="3">
        <v>400</v>
      </c>
      <c r="D56">
        <v>299.75220000000002</v>
      </c>
      <c r="E56">
        <v>0.03</v>
      </c>
      <c r="F56">
        <v>294.77949999999998</v>
      </c>
      <c r="G56">
        <v>300.58429999999998</v>
      </c>
      <c r="H56">
        <v>303.89299999999997</v>
      </c>
      <c r="I56">
        <v>2.5000000000000001E-2</v>
      </c>
      <c r="J56">
        <v>1.7000000000000001E-2</v>
      </c>
      <c r="K56">
        <v>4.2999999999999997E-2</v>
      </c>
      <c r="L56">
        <v>1980.4</v>
      </c>
      <c r="M56">
        <v>1985.8</v>
      </c>
      <c r="N56">
        <v>2003.8</v>
      </c>
      <c r="Q56">
        <f t="shared" si="4"/>
        <v>299.8</v>
      </c>
      <c r="R56">
        <f t="shared" si="6"/>
        <v>300.5</v>
      </c>
      <c r="S56">
        <f t="shared" si="7"/>
        <v>0</v>
      </c>
      <c r="U56" s="7">
        <v>344</v>
      </c>
      <c r="V56" s="5">
        <v>3.9000000000000341</v>
      </c>
      <c r="X56">
        <f t="shared" si="8"/>
        <v>344</v>
      </c>
      <c r="Y56">
        <f t="shared" si="9"/>
        <v>3.9000000000000341</v>
      </c>
      <c r="Z56">
        <f t="shared" si="10"/>
        <v>178.40000000000003</v>
      </c>
    </row>
    <row r="57" spans="1:26" x14ac:dyDescent="0.25">
      <c r="A57" s="2">
        <v>44856</v>
      </c>
      <c r="B57" s="3">
        <v>295</v>
      </c>
      <c r="C57" s="3">
        <v>500</v>
      </c>
      <c r="D57">
        <v>299.61619999999999</v>
      </c>
      <c r="E57">
        <v>3.9E-2</v>
      </c>
      <c r="F57">
        <v>294.64269999999999</v>
      </c>
      <c r="G57">
        <v>300.44810000000001</v>
      </c>
      <c r="H57">
        <v>303.75779999999997</v>
      </c>
      <c r="I57">
        <v>4.3999999999999997E-2</v>
      </c>
      <c r="J57">
        <v>4.3999999999999997E-2</v>
      </c>
      <c r="K57">
        <v>2.7E-2</v>
      </c>
      <c r="L57">
        <v>1980</v>
      </c>
      <c r="M57">
        <v>1985.4</v>
      </c>
      <c r="N57">
        <v>2003.4</v>
      </c>
      <c r="Q57">
        <f t="shared" si="4"/>
        <v>299.60000000000002</v>
      </c>
      <c r="R57">
        <f t="shared" si="6"/>
        <v>300.5</v>
      </c>
      <c r="S57">
        <f t="shared" si="7"/>
        <v>0</v>
      </c>
      <c r="U57" s="7">
        <v>345</v>
      </c>
      <c r="V57" s="5">
        <v>2.1999999999999886</v>
      </c>
      <c r="X57">
        <f t="shared" si="8"/>
        <v>345</v>
      </c>
      <c r="Y57">
        <f t="shared" si="9"/>
        <v>2.1999999999999886</v>
      </c>
      <c r="Z57">
        <f t="shared" si="10"/>
        <v>180.60000000000002</v>
      </c>
    </row>
    <row r="58" spans="1:26" x14ac:dyDescent="0.25">
      <c r="A58" s="2">
        <v>44856</v>
      </c>
      <c r="B58" s="3">
        <v>295</v>
      </c>
      <c r="C58" s="3">
        <v>600</v>
      </c>
      <c r="D58">
        <v>299.49259999999998</v>
      </c>
      <c r="E58">
        <v>0.03</v>
      </c>
      <c r="F58">
        <v>294.51819999999998</v>
      </c>
      <c r="G58">
        <v>300.3227</v>
      </c>
      <c r="H58">
        <v>303.63670000000002</v>
      </c>
      <c r="I58">
        <v>3.1E-2</v>
      </c>
      <c r="J58">
        <v>1.6E-2</v>
      </c>
      <c r="K58">
        <v>3.9E-2</v>
      </c>
      <c r="L58">
        <v>1979.8</v>
      </c>
      <c r="M58">
        <v>1985.2</v>
      </c>
      <c r="N58">
        <v>2003.2</v>
      </c>
      <c r="Q58">
        <f t="shared" si="4"/>
        <v>299.5</v>
      </c>
      <c r="R58">
        <f t="shared" si="6"/>
        <v>300.5</v>
      </c>
      <c r="S58">
        <f t="shared" si="7"/>
        <v>0</v>
      </c>
      <c r="U58" s="7">
        <v>346</v>
      </c>
      <c r="V58" s="5">
        <v>0.19999999999998863</v>
      </c>
      <c r="X58">
        <f t="shared" si="8"/>
        <v>346</v>
      </c>
      <c r="Y58">
        <f t="shared" si="9"/>
        <v>0.19999999999998863</v>
      </c>
      <c r="Z58">
        <f t="shared" si="10"/>
        <v>180.8</v>
      </c>
    </row>
    <row r="59" spans="1:26" x14ac:dyDescent="0.25">
      <c r="A59" s="2">
        <v>44856</v>
      </c>
      <c r="B59" s="3">
        <v>295</v>
      </c>
      <c r="C59" s="3">
        <v>700</v>
      </c>
      <c r="D59">
        <v>299.38650000000001</v>
      </c>
      <c r="E59">
        <v>3.5999999999999997E-2</v>
      </c>
      <c r="F59">
        <v>294.40910000000002</v>
      </c>
      <c r="G59">
        <v>300.21449999999999</v>
      </c>
      <c r="H59">
        <v>303.53590000000003</v>
      </c>
      <c r="I59">
        <v>0.03</v>
      </c>
      <c r="J59">
        <v>3.5000000000000003E-2</v>
      </c>
      <c r="K59">
        <v>4.2999999999999997E-2</v>
      </c>
      <c r="L59">
        <v>1979.4</v>
      </c>
      <c r="M59">
        <v>1985</v>
      </c>
      <c r="N59">
        <v>2002.8</v>
      </c>
      <c r="Q59">
        <f t="shared" si="4"/>
        <v>299.39999999999998</v>
      </c>
      <c r="R59">
        <f t="shared" si="6"/>
        <v>300.5</v>
      </c>
      <c r="S59">
        <f t="shared" si="7"/>
        <v>0</v>
      </c>
      <c r="U59" s="7">
        <v>347</v>
      </c>
      <c r="V59" s="5">
        <v>2.1999999999999886</v>
      </c>
      <c r="X59">
        <f t="shared" si="8"/>
        <v>347</v>
      </c>
      <c r="Y59">
        <f t="shared" si="9"/>
        <v>2.1999999999999886</v>
      </c>
      <c r="Z59">
        <f t="shared" si="10"/>
        <v>183</v>
      </c>
    </row>
    <row r="60" spans="1:26" x14ac:dyDescent="0.25">
      <c r="A60" s="2">
        <v>44856</v>
      </c>
      <c r="B60" s="3">
        <v>295</v>
      </c>
      <c r="C60" s="3">
        <v>800</v>
      </c>
      <c r="D60">
        <v>299.35610000000003</v>
      </c>
      <c r="E60">
        <v>4.1000000000000002E-2</v>
      </c>
      <c r="F60">
        <v>294.38459999999998</v>
      </c>
      <c r="G60">
        <v>300.18049999999999</v>
      </c>
      <c r="H60">
        <v>303.50330000000002</v>
      </c>
      <c r="I60">
        <v>4.2999999999999997E-2</v>
      </c>
      <c r="J60">
        <v>4.3999999999999997E-2</v>
      </c>
      <c r="K60">
        <v>3.6999999999999998E-2</v>
      </c>
      <c r="L60">
        <v>1979.4</v>
      </c>
      <c r="M60">
        <v>1985</v>
      </c>
      <c r="N60">
        <v>2002.8</v>
      </c>
      <c r="Q60">
        <f t="shared" si="4"/>
        <v>299.39999999999998</v>
      </c>
      <c r="R60">
        <f t="shared" si="6"/>
        <v>300.5</v>
      </c>
      <c r="S60">
        <f t="shared" si="7"/>
        <v>0</v>
      </c>
      <c r="U60" s="7">
        <v>348</v>
      </c>
      <c r="V60" s="5">
        <v>0.30000000000001137</v>
      </c>
      <c r="X60">
        <f t="shared" si="8"/>
        <v>348</v>
      </c>
      <c r="Y60">
        <f t="shared" si="9"/>
        <v>0.30000000000001137</v>
      </c>
      <c r="Z60">
        <f t="shared" si="10"/>
        <v>183.3</v>
      </c>
    </row>
    <row r="61" spans="1:26" x14ac:dyDescent="0.25">
      <c r="A61" s="2">
        <v>44856</v>
      </c>
      <c r="B61" s="3">
        <v>295</v>
      </c>
      <c r="C61" s="3">
        <v>900</v>
      </c>
      <c r="D61">
        <v>299.24119999999999</v>
      </c>
      <c r="E61">
        <v>3.2000000000000001E-2</v>
      </c>
      <c r="F61">
        <v>294.26940000000002</v>
      </c>
      <c r="G61">
        <v>300.0675</v>
      </c>
      <c r="H61">
        <v>303.38690000000003</v>
      </c>
      <c r="I61">
        <v>3.9E-2</v>
      </c>
      <c r="J61">
        <v>3.1E-2</v>
      </c>
      <c r="K61">
        <v>2.5000000000000001E-2</v>
      </c>
      <c r="L61">
        <v>1979.2</v>
      </c>
      <c r="M61">
        <v>1984.6</v>
      </c>
      <c r="N61">
        <v>2002.6</v>
      </c>
      <c r="Q61">
        <f t="shared" si="4"/>
        <v>299.2</v>
      </c>
      <c r="R61">
        <f t="shared" si="6"/>
        <v>300.5</v>
      </c>
      <c r="S61">
        <f t="shared" si="7"/>
        <v>0</v>
      </c>
      <c r="U61" s="7">
        <v>349</v>
      </c>
      <c r="V61" s="5">
        <v>0</v>
      </c>
      <c r="X61">
        <f t="shared" si="8"/>
        <v>349</v>
      </c>
      <c r="Y61">
        <f t="shared" si="9"/>
        <v>0</v>
      </c>
      <c r="Z61">
        <f t="shared" si="10"/>
        <v>183.3</v>
      </c>
    </row>
    <row r="62" spans="1:26" x14ac:dyDescent="0.25">
      <c r="A62" s="2">
        <v>44856</v>
      </c>
      <c r="B62" s="3">
        <v>295</v>
      </c>
      <c r="C62" s="3">
        <v>1000</v>
      </c>
      <c r="D62">
        <v>299.08010000000002</v>
      </c>
      <c r="E62">
        <v>3.6999999999999998E-2</v>
      </c>
      <c r="F62">
        <v>294.12200000000001</v>
      </c>
      <c r="G62">
        <v>299.9067</v>
      </c>
      <c r="H62">
        <v>303.2115</v>
      </c>
      <c r="I62">
        <v>4.2999999999999997E-2</v>
      </c>
      <c r="J62">
        <v>4.1000000000000002E-2</v>
      </c>
      <c r="K62">
        <v>2.3E-2</v>
      </c>
      <c r="L62">
        <v>1979</v>
      </c>
      <c r="M62">
        <v>1984.2</v>
      </c>
      <c r="N62">
        <v>2002.2</v>
      </c>
      <c r="Q62">
        <f t="shared" si="4"/>
        <v>299.10000000000002</v>
      </c>
      <c r="R62">
        <f t="shared" si="6"/>
        <v>300.5</v>
      </c>
      <c r="S62">
        <f t="shared" si="7"/>
        <v>0</v>
      </c>
      <c r="U62" s="7">
        <v>350</v>
      </c>
      <c r="V62" s="5">
        <v>0</v>
      </c>
      <c r="X62">
        <f t="shared" si="8"/>
        <v>350</v>
      </c>
      <c r="Y62">
        <f t="shared" si="9"/>
        <v>0</v>
      </c>
      <c r="Z62">
        <f t="shared" si="10"/>
        <v>183.3</v>
      </c>
    </row>
    <row r="63" spans="1:26" x14ac:dyDescent="0.25">
      <c r="A63" s="2">
        <v>44856</v>
      </c>
      <c r="B63" s="3">
        <v>295</v>
      </c>
      <c r="C63" s="3">
        <v>1100</v>
      </c>
      <c r="D63">
        <v>298.9205</v>
      </c>
      <c r="E63">
        <v>3.5000000000000003E-2</v>
      </c>
      <c r="F63">
        <v>293.97300000000001</v>
      </c>
      <c r="G63">
        <v>299.73970000000003</v>
      </c>
      <c r="H63">
        <v>303.04860000000002</v>
      </c>
      <c r="I63">
        <v>3.3000000000000002E-2</v>
      </c>
      <c r="J63">
        <v>4.3999999999999997E-2</v>
      </c>
      <c r="K63">
        <v>2.5000000000000001E-2</v>
      </c>
      <c r="L63">
        <v>1978.4</v>
      </c>
      <c r="M63">
        <v>1984</v>
      </c>
      <c r="N63">
        <v>2001.8</v>
      </c>
      <c r="Q63">
        <f t="shared" si="4"/>
        <v>298.89999999999998</v>
      </c>
      <c r="R63">
        <f t="shared" si="6"/>
        <v>300.5</v>
      </c>
      <c r="S63">
        <f t="shared" si="7"/>
        <v>0</v>
      </c>
      <c r="U63" s="7">
        <v>351</v>
      </c>
      <c r="V63" s="5">
        <v>1.1999999999999886</v>
      </c>
      <c r="X63">
        <f t="shared" si="8"/>
        <v>351</v>
      </c>
      <c r="Y63">
        <f t="shared" si="9"/>
        <v>1.1999999999999886</v>
      </c>
      <c r="Z63">
        <f t="shared" si="10"/>
        <v>184.5</v>
      </c>
    </row>
    <row r="64" spans="1:26" x14ac:dyDescent="0.25">
      <c r="A64" s="2">
        <v>44856</v>
      </c>
      <c r="B64" s="3">
        <v>295</v>
      </c>
      <c r="C64" s="3">
        <v>1200</v>
      </c>
      <c r="D64">
        <v>298.7568</v>
      </c>
      <c r="E64">
        <v>3.5999999999999997E-2</v>
      </c>
      <c r="F64">
        <v>293.81029999999998</v>
      </c>
      <c r="G64">
        <v>299.57279999999997</v>
      </c>
      <c r="H64">
        <v>302.88729999999998</v>
      </c>
      <c r="I64">
        <v>0.02</v>
      </c>
      <c r="J64">
        <v>4.3999999999999997E-2</v>
      </c>
      <c r="K64">
        <v>3.9E-2</v>
      </c>
      <c r="L64">
        <v>1978.2</v>
      </c>
      <c r="M64">
        <v>1983.4</v>
      </c>
      <c r="N64">
        <v>2001.4</v>
      </c>
      <c r="Q64">
        <f t="shared" si="4"/>
        <v>298.8</v>
      </c>
      <c r="R64">
        <f t="shared" si="6"/>
        <v>300.5</v>
      </c>
      <c r="S64">
        <f t="shared" si="7"/>
        <v>0</v>
      </c>
      <c r="U64" s="7">
        <v>352</v>
      </c>
      <c r="V64" s="5">
        <v>2.8000000000000114</v>
      </c>
      <c r="X64">
        <f t="shared" si="8"/>
        <v>352</v>
      </c>
      <c r="Y64">
        <f t="shared" si="9"/>
        <v>2.8000000000000114</v>
      </c>
      <c r="Z64">
        <f t="shared" si="10"/>
        <v>187.3</v>
      </c>
    </row>
    <row r="65" spans="1:26" x14ac:dyDescent="0.25">
      <c r="A65" s="2">
        <v>44856</v>
      </c>
      <c r="B65" s="3">
        <v>295</v>
      </c>
      <c r="C65" s="3">
        <v>1300</v>
      </c>
      <c r="D65">
        <v>298.61430000000001</v>
      </c>
      <c r="E65">
        <v>3.4000000000000002E-2</v>
      </c>
      <c r="F65">
        <v>293.65679999999998</v>
      </c>
      <c r="G65">
        <v>299.43220000000002</v>
      </c>
      <c r="H65">
        <v>302.75389999999999</v>
      </c>
      <c r="I65">
        <v>3.9E-2</v>
      </c>
      <c r="J65">
        <v>2.1999999999999999E-2</v>
      </c>
      <c r="K65">
        <v>3.7999999999999999E-2</v>
      </c>
      <c r="L65">
        <v>1977.8</v>
      </c>
      <c r="M65">
        <v>1983</v>
      </c>
      <c r="N65">
        <v>2001.2</v>
      </c>
      <c r="Q65">
        <f t="shared" si="4"/>
        <v>298.60000000000002</v>
      </c>
      <c r="R65">
        <f t="shared" si="6"/>
        <v>300.5</v>
      </c>
      <c r="S65">
        <f t="shared" si="7"/>
        <v>0</v>
      </c>
      <c r="U65" s="7">
        <v>353</v>
      </c>
      <c r="V65" s="5">
        <v>0.5</v>
      </c>
      <c r="X65">
        <f t="shared" si="8"/>
        <v>353</v>
      </c>
      <c r="Y65">
        <f t="shared" si="9"/>
        <v>0.5</v>
      </c>
      <c r="Z65">
        <f t="shared" si="10"/>
        <v>187.8</v>
      </c>
    </row>
    <row r="66" spans="1:26" x14ac:dyDescent="0.25">
      <c r="A66" s="2">
        <v>44856</v>
      </c>
      <c r="B66" s="3">
        <v>295</v>
      </c>
      <c r="C66" s="3">
        <v>1400</v>
      </c>
      <c r="D66">
        <v>298.50580000000002</v>
      </c>
      <c r="E66">
        <v>3.6999999999999998E-2</v>
      </c>
      <c r="F66">
        <v>293.52940000000001</v>
      </c>
      <c r="G66">
        <v>299.33479999999997</v>
      </c>
      <c r="H66">
        <v>302.65309999999999</v>
      </c>
      <c r="I66">
        <v>3.5000000000000003E-2</v>
      </c>
      <c r="J66">
        <v>3.3000000000000002E-2</v>
      </c>
      <c r="K66">
        <v>4.2999999999999997E-2</v>
      </c>
      <c r="L66">
        <v>1977.6</v>
      </c>
      <c r="M66">
        <v>1982.8</v>
      </c>
      <c r="N66">
        <v>2000.8</v>
      </c>
      <c r="Q66">
        <f t="shared" si="4"/>
        <v>298.5</v>
      </c>
      <c r="R66">
        <f t="shared" si="6"/>
        <v>300.5</v>
      </c>
      <c r="S66">
        <f t="shared" si="7"/>
        <v>0</v>
      </c>
      <c r="U66" s="7">
        <v>354</v>
      </c>
      <c r="V66" s="5">
        <v>11.199999999999989</v>
      </c>
      <c r="X66">
        <f t="shared" si="8"/>
        <v>354</v>
      </c>
      <c r="Y66">
        <f t="shared" si="9"/>
        <v>11.199999999999989</v>
      </c>
      <c r="Z66">
        <f t="shared" si="10"/>
        <v>199</v>
      </c>
    </row>
    <row r="67" spans="1:26" x14ac:dyDescent="0.25">
      <c r="A67" s="2">
        <v>44856</v>
      </c>
      <c r="B67" s="3">
        <v>295</v>
      </c>
      <c r="C67" s="3">
        <v>1500</v>
      </c>
      <c r="D67">
        <v>298.40809999999999</v>
      </c>
      <c r="E67">
        <v>4.2000000000000003E-2</v>
      </c>
      <c r="F67">
        <v>293.43579999999997</v>
      </c>
      <c r="G67">
        <v>299.23129999999998</v>
      </c>
      <c r="H67">
        <v>302.55700000000002</v>
      </c>
      <c r="I67">
        <v>3.9E-2</v>
      </c>
      <c r="J67">
        <v>4.2000000000000003E-2</v>
      </c>
      <c r="K67">
        <v>4.3999999999999997E-2</v>
      </c>
      <c r="L67">
        <v>1977.2</v>
      </c>
      <c r="M67">
        <v>1982.6</v>
      </c>
      <c r="N67">
        <v>2000.6</v>
      </c>
      <c r="Q67">
        <f t="shared" si="4"/>
        <v>298.39999999999998</v>
      </c>
      <c r="R67">
        <f t="shared" si="6"/>
        <v>300.5</v>
      </c>
      <c r="S67">
        <f t="shared" si="7"/>
        <v>0</v>
      </c>
      <c r="U67" s="7">
        <v>355</v>
      </c>
      <c r="V67" s="5">
        <v>1.1000000000000227</v>
      </c>
      <c r="X67">
        <f t="shared" si="8"/>
        <v>355</v>
      </c>
      <c r="Y67">
        <f t="shared" si="9"/>
        <v>1.1000000000000227</v>
      </c>
      <c r="Z67">
        <f t="shared" si="10"/>
        <v>200.10000000000002</v>
      </c>
    </row>
    <row r="68" spans="1:26" x14ac:dyDescent="0.25">
      <c r="A68" s="2">
        <v>44856</v>
      </c>
      <c r="B68" s="3">
        <v>295</v>
      </c>
      <c r="C68" s="3">
        <v>1600</v>
      </c>
      <c r="D68">
        <v>298.33300000000003</v>
      </c>
      <c r="E68">
        <v>3.5000000000000003E-2</v>
      </c>
      <c r="F68">
        <v>293.35750000000002</v>
      </c>
      <c r="G68">
        <v>299.12009999999998</v>
      </c>
      <c r="H68">
        <v>302.52140000000003</v>
      </c>
      <c r="I68">
        <v>3.2000000000000001E-2</v>
      </c>
      <c r="J68">
        <v>4.2999999999999997E-2</v>
      </c>
      <c r="K68">
        <v>2.9000000000000001E-2</v>
      </c>
      <c r="L68">
        <v>1977.2</v>
      </c>
      <c r="M68">
        <v>1982.6</v>
      </c>
      <c r="N68">
        <v>2000.6</v>
      </c>
      <c r="Q68">
        <f t="shared" si="4"/>
        <v>298.3</v>
      </c>
      <c r="R68">
        <f t="shared" ref="R68:R96" si="11">ROUND(IF(Q68&lt;R67,R67,Q68),1)</f>
        <v>300.5</v>
      </c>
      <c r="S68">
        <f t="shared" si="7"/>
        <v>0</v>
      </c>
      <c r="U68" s="7">
        <v>356</v>
      </c>
      <c r="V68" s="5">
        <v>0.30000000000001137</v>
      </c>
      <c r="X68">
        <f t="shared" si="8"/>
        <v>356</v>
      </c>
      <c r="Y68">
        <f t="shared" si="9"/>
        <v>0.30000000000001137</v>
      </c>
      <c r="Z68">
        <f t="shared" si="10"/>
        <v>200.40000000000003</v>
      </c>
    </row>
    <row r="69" spans="1:26" x14ac:dyDescent="0.25">
      <c r="A69" s="2">
        <v>44856</v>
      </c>
      <c r="B69" s="3">
        <v>295</v>
      </c>
      <c r="C69" s="3">
        <v>1700</v>
      </c>
      <c r="D69">
        <v>298.22710000000001</v>
      </c>
      <c r="E69">
        <v>4.2999999999999997E-2</v>
      </c>
      <c r="F69">
        <v>293.23790000000002</v>
      </c>
      <c r="G69">
        <v>299.04899999999998</v>
      </c>
      <c r="H69">
        <v>302.39420000000001</v>
      </c>
      <c r="I69">
        <v>4.3999999999999997E-2</v>
      </c>
      <c r="J69">
        <v>4.2999999999999997E-2</v>
      </c>
      <c r="K69">
        <v>4.1000000000000002E-2</v>
      </c>
      <c r="L69">
        <v>1976.8</v>
      </c>
      <c r="M69">
        <v>1982.2</v>
      </c>
      <c r="N69">
        <v>2000.4</v>
      </c>
      <c r="Q69">
        <f t="shared" si="4"/>
        <v>298.2</v>
      </c>
      <c r="R69">
        <f t="shared" si="11"/>
        <v>300.5</v>
      </c>
      <c r="S69">
        <f t="shared" si="7"/>
        <v>0</v>
      </c>
      <c r="U69" s="7">
        <v>357</v>
      </c>
      <c r="V69" s="5">
        <v>9.0999999999999659</v>
      </c>
      <c r="X69">
        <f t="shared" ref="X69:X77" si="12">U69</f>
        <v>357</v>
      </c>
      <c r="Y69">
        <f t="shared" ref="Y69:Y77" si="13">V69</f>
        <v>9.0999999999999659</v>
      </c>
      <c r="Z69">
        <f t="shared" si="10"/>
        <v>209.5</v>
      </c>
    </row>
    <row r="70" spans="1:26" x14ac:dyDescent="0.25">
      <c r="A70" s="2">
        <v>44856</v>
      </c>
      <c r="B70" s="3">
        <v>295</v>
      </c>
      <c r="C70" s="3">
        <v>1800</v>
      </c>
      <c r="D70">
        <v>298.1422</v>
      </c>
      <c r="E70">
        <v>0.04</v>
      </c>
      <c r="F70">
        <v>293.1474</v>
      </c>
      <c r="G70">
        <v>298.96100000000001</v>
      </c>
      <c r="H70">
        <v>302.31819999999999</v>
      </c>
      <c r="I70">
        <v>4.2999999999999997E-2</v>
      </c>
      <c r="J70">
        <v>4.2999999999999997E-2</v>
      </c>
      <c r="K70">
        <v>3.4000000000000002E-2</v>
      </c>
      <c r="L70">
        <v>1976.6</v>
      </c>
      <c r="M70">
        <v>1982.2</v>
      </c>
      <c r="N70">
        <v>2000.2</v>
      </c>
      <c r="Q70">
        <f t="shared" si="4"/>
        <v>298.10000000000002</v>
      </c>
      <c r="R70">
        <f t="shared" si="11"/>
        <v>300.5</v>
      </c>
      <c r="S70">
        <f t="shared" si="7"/>
        <v>0</v>
      </c>
      <c r="U70" s="7">
        <v>358</v>
      </c>
      <c r="V70" s="5">
        <v>2.9000000000000341</v>
      </c>
      <c r="X70">
        <f t="shared" si="12"/>
        <v>358</v>
      </c>
      <c r="Y70">
        <f t="shared" si="13"/>
        <v>2.9000000000000341</v>
      </c>
      <c r="Z70">
        <f t="shared" ref="Z70:Z77" si="14">Z69+Y70</f>
        <v>212.40000000000003</v>
      </c>
    </row>
    <row r="71" spans="1:26" x14ac:dyDescent="0.25">
      <c r="A71" s="2">
        <v>44856</v>
      </c>
      <c r="B71" s="3">
        <v>295</v>
      </c>
      <c r="C71" s="3">
        <v>1900</v>
      </c>
      <c r="D71">
        <v>298.0369</v>
      </c>
      <c r="E71">
        <v>3.9E-2</v>
      </c>
      <c r="F71">
        <v>293.03550000000001</v>
      </c>
      <c r="G71">
        <v>298.85599999999999</v>
      </c>
      <c r="H71">
        <v>302.21910000000003</v>
      </c>
      <c r="I71">
        <v>3.2000000000000001E-2</v>
      </c>
      <c r="J71">
        <v>4.2999999999999997E-2</v>
      </c>
      <c r="K71">
        <v>0.04</v>
      </c>
      <c r="L71">
        <v>1976.4</v>
      </c>
      <c r="M71">
        <v>1982</v>
      </c>
      <c r="N71">
        <v>1999.8</v>
      </c>
      <c r="Q71">
        <f t="shared" si="4"/>
        <v>298</v>
      </c>
      <c r="R71">
        <f t="shared" si="11"/>
        <v>300.5</v>
      </c>
      <c r="S71">
        <f t="shared" si="7"/>
        <v>0</v>
      </c>
      <c r="U71" s="7">
        <v>359</v>
      </c>
      <c r="V71" s="5">
        <v>3.6999999999999886</v>
      </c>
      <c r="X71">
        <f t="shared" si="12"/>
        <v>359</v>
      </c>
      <c r="Y71">
        <f t="shared" si="13"/>
        <v>3.6999999999999886</v>
      </c>
      <c r="Z71">
        <f t="shared" si="14"/>
        <v>216.10000000000002</v>
      </c>
    </row>
    <row r="72" spans="1:26" x14ac:dyDescent="0.25">
      <c r="A72" s="2">
        <v>44856</v>
      </c>
      <c r="B72" s="3">
        <v>295</v>
      </c>
      <c r="C72" s="3">
        <v>2000</v>
      </c>
      <c r="D72">
        <v>297.94639999999998</v>
      </c>
      <c r="E72">
        <v>3.6999999999999998E-2</v>
      </c>
      <c r="F72">
        <v>292.94959999999998</v>
      </c>
      <c r="G72">
        <v>298.75720000000001</v>
      </c>
      <c r="H72">
        <v>302.13229999999999</v>
      </c>
      <c r="I72">
        <v>3.3000000000000002E-2</v>
      </c>
      <c r="J72">
        <v>3.9E-2</v>
      </c>
      <c r="K72">
        <v>0.04</v>
      </c>
      <c r="L72">
        <v>1976.2</v>
      </c>
      <c r="M72">
        <v>1981.6</v>
      </c>
      <c r="N72">
        <v>1999.8</v>
      </c>
      <c r="Q72">
        <f t="shared" si="4"/>
        <v>297.89999999999998</v>
      </c>
      <c r="R72">
        <f t="shared" si="11"/>
        <v>300.5</v>
      </c>
      <c r="S72">
        <f t="shared" si="7"/>
        <v>0</v>
      </c>
      <c r="U72" s="7">
        <v>360</v>
      </c>
      <c r="V72" s="5">
        <v>8.2000000000000455</v>
      </c>
      <c r="X72">
        <f t="shared" si="12"/>
        <v>360</v>
      </c>
      <c r="Y72">
        <f t="shared" si="13"/>
        <v>8.2000000000000455</v>
      </c>
      <c r="Z72">
        <f t="shared" si="14"/>
        <v>224.30000000000007</v>
      </c>
    </row>
    <row r="73" spans="1:26" x14ac:dyDescent="0.25">
      <c r="A73" s="2">
        <v>44856</v>
      </c>
      <c r="B73" s="3">
        <v>295</v>
      </c>
      <c r="C73" s="3">
        <v>2100</v>
      </c>
      <c r="D73">
        <v>297.85789999999997</v>
      </c>
      <c r="E73">
        <v>3.5999999999999997E-2</v>
      </c>
      <c r="F73">
        <v>292.86219999999997</v>
      </c>
      <c r="G73">
        <v>298.66609999999997</v>
      </c>
      <c r="H73">
        <v>302.0455</v>
      </c>
      <c r="I73">
        <v>3.3000000000000002E-2</v>
      </c>
      <c r="J73">
        <v>3.6999999999999998E-2</v>
      </c>
      <c r="K73">
        <v>3.9E-2</v>
      </c>
      <c r="L73">
        <v>1976</v>
      </c>
      <c r="M73">
        <v>1981.6</v>
      </c>
      <c r="N73">
        <v>1999.4</v>
      </c>
      <c r="Q73">
        <f t="shared" si="4"/>
        <v>297.89999999999998</v>
      </c>
      <c r="R73">
        <f t="shared" si="11"/>
        <v>300.5</v>
      </c>
      <c r="S73">
        <f t="shared" si="7"/>
        <v>0</v>
      </c>
      <c r="U73" s="7">
        <v>361</v>
      </c>
      <c r="V73" s="5">
        <v>11.5</v>
      </c>
      <c r="X73">
        <f t="shared" si="12"/>
        <v>361</v>
      </c>
      <c r="Y73">
        <f t="shared" si="13"/>
        <v>11.5</v>
      </c>
      <c r="Z73">
        <f t="shared" si="14"/>
        <v>235.80000000000007</v>
      </c>
    </row>
    <row r="74" spans="1:26" x14ac:dyDescent="0.25">
      <c r="A74" s="2">
        <v>44856</v>
      </c>
      <c r="B74" s="3">
        <v>295</v>
      </c>
      <c r="C74" s="3">
        <v>2200</v>
      </c>
      <c r="D74">
        <v>297.77730000000003</v>
      </c>
      <c r="E74">
        <v>3.6999999999999998E-2</v>
      </c>
      <c r="F74">
        <v>292.78250000000003</v>
      </c>
      <c r="G74">
        <v>298.58429999999998</v>
      </c>
      <c r="H74">
        <v>301.96499999999997</v>
      </c>
      <c r="I74">
        <v>3.7999999999999999E-2</v>
      </c>
      <c r="J74">
        <v>0.04</v>
      </c>
      <c r="K74">
        <v>3.4000000000000002E-2</v>
      </c>
      <c r="L74">
        <v>1976</v>
      </c>
      <c r="M74">
        <v>1981.4</v>
      </c>
      <c r="N74">
        <v>1999.4</v>
      </c>
      <c r="Q74">
        <f t="shared" si="4"/>
        <v>297.8</v>
      </c>
      <c r="R74">
        <f t="shared" si="11"/>
        <v>300.5</v>
      </c>
      <c r="S74">
        <f t="shared" si="7"/>
        <v>0</v>
      </c>
      <c r="U74" s="7">
        <v>362</v>
      </c>
      <c r="V74" s="5">
        <v>3.0999999999999091</v>
      </c>
      <c r="X74">
        <f t="shared" si="12"/>
        <v>362</v>
      </c>
      <c r="Y74">
        <f t="shared" si="13"/>
        <v>3.0999999999999091</v>
      </c>
      <c r="Z74">
        <f t="shared" si="14"/>
        <v>238.89999999999998</v>
      </c>
    </row>
    <row r="75" spans="1:26" x14ac:dyDescent="0.25">
      <c r="A75" s="2">
        <v>44856</v>
      </c>
      <c r="B75" s="3">
        <v>295</v>
      </c>
      <c r="C75" s="3">
        <v>2300</v>
      </c>
      <c r="D75">
        <v>297.6909</v>
      </c>
      <c r="E75">
        <v>3.5999999999999997E-2</v>
      </c>
      <c r="F75">
        <v>292.69659999999999</v>
      </c>
      <c r="G75">
        <v>298.49470000000002</v>
      </c>
      <c r="H75">
        <v>301.88130000000001</v>
      </c>
      <c r="I75">
        <v>3.9E-2</v>
      </c>
      <c r="J75">
        <v>0.04</v>
      </c>
      <c r="K75">
        <v>2.9000000000000001E-2</v>
      </c>
      <c r="L75">
        <v>1975.6</v>
      </c>
      <c r="M75">
        <v>1981</v>
      </c>
      <c r="N75">
        <v>1999.2</v>
      </c>
      <c r="Q75">
        <f t="shared" si="4"/>
        <v>297.7</v>
      </c>
      <c r="R75">
        <f t="shared" si="11"/>
        <v>300.5</v>
      </c>
      <c r="S75">
        <f t="shared" si="7"/>
        <v>0</v>
      </c>
      <c r="U75" s="7">
        <v>363</v>
      </c>
      <c r="V75" s="5">
        <v>3.1000000000000227</v>
      </c>
      <c r="X75">
        <f t="shared" si="12"/>
        <v>363</v>
      </c>
      <c r="Y75">
        <f t="shared" si="13"/>
        <v>3.1000000000000227</v>
      </c>
      <c r="Z75">
        <f t="shared" si="14"/>
        <v>242</v>
      </c>
    </row>
    <row r="76" spans="1:26" x14ac:dyDescent="0.25">
      <c r="A76" s="2">
        <v>44856</v>
      </c>
      <c r="B76" s="3">
        <v>295</v>
      </c>
      <c r="C76" s="3">
        <v>2400</v>
      </c>
      <c r="D76">
        <v>297.60199999999998</v>
      </c>
      <c r="E76">
        <v>3.6999999999999998E-2</v>
      </c>
      <c r="F76">
        <v>292.61079999999998</v>
      </c>
      <c r="G76">
        <v>298.40370000000001</v>
      </c>
      <c r="H76">
        <v>301.79149999999998</v>
      </c>
      <c r="I76">
        <v>0.04</v>
      </c>
      <c r="J76">
        <v>3.7999999999999999E-2</v>
      </c>
      <c r="K76">
        <v>3.1E-2</v>
      </c>
      <c r="L76">
        <v>1975.4</v>
      </c>
      <c r="M76">
        <v>1980.8</v>
      </c>
      <c r="N76">
        <v>1999</v>
      </c>
      <c r="Q76">
        <f t="shared" si="4"/>
        <v>297.60000000000002</v>
      </c>
      <c r="R76">
        <f t="shared" si="11"/>
        <v>300.5</v>
      </c>
      <c r="S76">
        <f t="shared" si="7"/>
        <v>0</v>
      </c>
      <c r="U76" s="7">
        <v>364</v>
      </c>
      <c r="V76" s="5">
        <v>2.6000000000000227</v>
      </c>
      <c r="X76">
        <f t="shared" si="12"/>
        <v>364</v>
      </c>
      <c r="Y76">
        <f t="shared" si="13"/>
        <v>2.6000000000000227</v>
      </c>
      <c r="Z76">
        <f t="shared" si="14"/>
        <v>244.60000000000002</v>
      </c>
    </row>
    <row r="77" spans="1:26" x14ac:dyDescent="0.25">
      <c r="A77" s="2">
        <v>44857</v>
      </c>
      <c r="B77" s="3">
        <v>296</v>
      </c>
      <c r="C77" s="3">
        <v>100</v>
      </c>
      <c r="D77">
        <v>297.5059</v>
      </c>
      <c r="E77">
        <v>3.4000000000000002E-2</v>
      </c>
      <c r="F77">
        <v>292.51429999999999</v>
      </c>
      <c r="G77">
        <v>298.30650000000003</v>
      </c>
      <c r="H77">
        <v>301.69709999999998</v>
      </c>
      <c r="I77">
        <v>3.4000000000000002E-2</v>
      </c>
      <c r="J77">
        <v>3.1E-2</v>
      </c>
      <c r="K77">
        <v>3.5999999999999997E-2</v>
      </c>
      <c r="L77">
        <v>1975.2</v>
      </c>
      <c r="M77">
        <v>1980.6</v>
      </c>
      <c r="N77">
        <v>1998.8</v>
      </c>
      <c r="Q77">
        <f t="shared" si="4"/>
        <v>297.5</v>
      </c>
      <c r="R77">
        <f t="shared" si="11"/>
        <v>300.5</v>
      </c>
      <c r="S77">
        <f t="shared" si="7"/>
        <v>0</v>
      </c>
      <c r="U77" s="7">
        <v>365</v>
      </c>
      <c r="V77" s="5">
        <v>3.5</v>
      </c>
      <c r="X77">
        <f t="shared" si="12"/>
        <v>365</v>
      </c>
      <c r="Y77">
        <f t="shared" si="13"/>
        <v>3.5</v>
      </c>
      <c r="Z77">
        <f t="shared" si="14"/>
        <v>248.10000000000002</v>
      </c>
    </row>
    <row r="78" spans="1:26" x14ac:dyDescent="0.25">
      <c r="A78" s="2">
        <v>44857</v>
      </c>
      <c r="B78" s="3">
        <v>296</v>
      </c>
      <c r="C78" s="3">
        <v>200</v>
      </c>
      <c r="D78">
        <v>297.42829999999998</v>
      </c>
      <c r="E78">
        <v>3.3000000000000002E-2</v>
      </c>
      <c r="F78">
        <v>292.43299999999999</v>
      </c>
      <c r="G78">
        <v>298.22620000000001</v>
      </c>
      <c r="H78">
        <v>301.62580000000003</v>
      </c>
      <c r="I78">
        <v>3.7999999999999999E-2</v>
      </c>
      <c r="J78">
        <v>3.6999999999999998E-2</v>
      </c>
      <c r="K78">
        <v>0.02</v>
      </c>
      <c r="L78">
        <v>1975</v>
      </c>
      <c r="M78">
        <v>1980.4</v>
      </c>
      <c r="N78">
        <v>1998.6</v>
      </c>
      <c r="Q78">
        <f t="shared" si="4"/>
        <v>297.39999999999998</v>
      </c>
      <c r="R78">
        <f t="shared" si="11"/>
        <v>300.5</v>
      </c>
      <c r="S78">
        <f t="shared" si="7"/>
        <v>0</v>
      </c>
      <c r="U78" s="7" t="s">
        <v>21</v>
      </c>
      <c r="V78" s="5">
        <v>248.10000000000002</v>
      </c>
    </row>
    <row r="79" spans="1:26" x14ac:dyDescent="0.25">
      <c r="A79" s="2">
        <v>44857</v>
      </c>
      <c r="B79" s="3">
        <v>296</v>
      </c>
      <c r="C79" s="3">
        <v>300</v>
      </c>
      <c r="D79">
        <v>297.34460000000001</v>
      </c>
      <c r="E79">
        <v>3.5000000000000003E-2</v>
      </c>
      <c r="F79">
        <v>292.35340000000002</v>
      </c>
      <c r="G79">
        <v>298.14139999999998</v>
      </c>
      <c r="H79">
        <v>301.53910000000002</v>
      </c>
      <c r="I79">
        <v>4.2000000000000003E-2</v>
      </c>
      <c r="J79">
        <v>3.9E-2</v>
      </c>
      <c r="K79">
        <v>1.7000000000000001E-2</v>
      </c>
      <c r="L79">
        <v>1974.8</v>
      </c>
      <c r="M79">
        <v>1980.4</v>
      </c>
      <c r="N79">
        <v>1998.4</v>
      </c>
      <c r="Q79">
        <f t="shared" si="4"/>
        <v>297.3</v>
      </c>
      <c r="R79">
        <f t="shared" si="11"/>
        <v>300.5</v>
      </c>
      <c r="S79">
        <f t="shared" si="7"/>
        <v>0</v>
      </c>
    </row>
    <row r="80" spans="1:26" x14ac:dyDescent="0.25">
      <c r="A80" s="2">
        <v>44857</v>
      </c>
      <c r="B80" s="3">
        <v>296</v>
      </c>
      <c r="C80" s="3">
        <v>400</v>
      </c>
      <c r="D80">
        <v>297.29169999999999</v>
      </c>
      <c r="E80">
        <v>4.1000000000000002E-2</v>
      </c>
      <c r="F80">
        <v>292.30279999999999</v>
      </c>
      <c r="G80">
        <v>298.0874</v>
      </c>
      <c r="H80">
        <v>301.48489999999998</v>
      </c>
      <c r="I80">
        <v>3.6999999999999998E-2</v>
      </c>
      <c r="J80">
        <v>4.2000000000000003E-2</v>
      </c>
      <c r="K80">
        <v>4.2999999999999997E-2</v>
      </c>
      <c r="L80">
        <v>1974.6</v>
      </c>
      <c r="M80">
        <v>1980.2</v>
      </c>
      <c r="N80">
        <v>1998.2</v>
      </c>
      <c r="Q80">
        <f t="shared" si="4"/>
        <v>297.3</v>
      </c>
      <c r="R80">
        <f t="shared" si="11"/>
        <v>300.5</v>
      </c>
      <c r="S80">
        <f t="shared" si="7"/>
        <v>0</v>
      </c>
    </row>
    <row r="81" spans="1:26" x14ac:dyDescent="0.25">
      <c r="A81" s="2">
        <v>44857</v>
      </c>
      <c r="B81" s="3">
        <v>296</v>
      </c>
      <c r="C81" s="3">
        <v>500</v>
      </c>
      <c r="D81">
        <v>297.22699999999998</v>
      </c>
      <c r="E81">
        <v>2.8000000000000001E-2</v>
      </c>
      <c r="F81">
        <v>292.23230000000001</v>
      </c>
      <c r="G81">
        <v>298.02420000000001</v>
      </c>
      <c r="H81">
        <v>301.42450000000002</v>
      </c>
      <c r="I81">
        <v>1.6E-2</v>
      </c>
      <c r="J81">
        <v>2.1999999999999999E-2</v>
      </c>
      <c r="K81">
        <v>0.04</v>
      </c>
      <c r="L81">
        <v>1974.6</v>
      </c>
      <c r="M81">
        <v>1980</v>
      </c>
      <c r="N81">
        <v>1998</v>
      </c>
      <c r="Q81">
        <f t="shared" si="4"/>
        <v>297.2</v>
      </c>
      <c r="R81">
        <f t="shared" si="11"/>
        <v>300.5</v>
      </c>
      <c r="S81">
        <f t="shared" si="7"/>
        <v>0</v>
      </c>
    </row>
    <row r="82" spans="1:26" x14ac:dyDescent="0.25">
      <c r="A82" s="2">
        <v>44857</v>
      </c>
      <c r="B82" s="3">
        <v>296</v>
      </c>
      <c r="C82" s="3">
        <v>600</v>
      </c>
      <c r="D82">
        <v>297.18029999999999</v>
      </c>
      <c r="E82">
        <v>0.04</v>
      </c>
      <c r="F82">
        <v>292.18790000000001</v>
      </c>
      <c r="G82">
        <v>297.97320000000002</v>
      </c>
      <c r="H82">
        <v>301.37959999999998</v>
      </c>
      <c r="I82">
        <v>4.2999999999999997E-2</v>
      </c>
      <c r="J82">
        <v>4.2000000000000003E-2</v>
      </c>
      <c r="K82">
        <v>3.5000000000000003E-2</v>
      </c>
      <c r="L82">
        <v>1974.6</v>
      </c>
      <c r="M82">
        <v>1979.8</v>
      </c>
      <c r="N82">
        <v>1998.2</v>
      </c>
      <c r="Q82">
        <f t="shared" si="4"/>
        <v>297.2</v>
      </c>
      <c r="R82">
        <f t="shared" si="11"/>
        <v>300.5</v>
      </c>
      <c r="S82">
        <f t="shared" si="7"/>
        <v>0</v>
      </c>
    </row>
    <row r="83" spans="1:26" x14ac:dyDescent="0.25">
      <c r="A83" s="2">
        <v>44857</v>
      </c>
      <c r="B83" s="3">
        <v>296</v>
      </c>
      <c r="C83" s="3">
        <v>700</v>
      </c>
      <c r="D83">
        <v>297.1191</v>
      </c>
      <c r="E83">
        <v>4.1000000000000002E-2</v>
      </c>
      <c r="F83">
        <v>292.12509999999997</v>
      </c>
      <c r="G83">
        <v>297.91149999999999</v>
      </c>
      <c r="H83">
        <v>301.32080000000002</v>
      </c>
      <c r="I83">
        <v>3.7999999999999999E-2</v>
      </c>
      <c r="J83">
        <v>4.2000000000000003E-2</v>
      </c>
      <c r="K83">
        <v>4.3999999999999997E-2</v>
      </c>
      <c r="L83">
        <v>1974.4</v>
      </c>
      <c r="M83">
        <v>1979.8</v>
      </c>
      <c r="N83">
        <v>1997.8</v>
      </c>
      <c r="Q83">
        <f t="shared" ref="Q83:Q146" si="15">ROUND(D83,1)</f>
        <v>297.10000000000002</v>
      </c>
      <c r="R83">
        <f t="shared" si="11"/>
        <v>300.5</v>
      </c>
      <c r="S83">
        <f t="shared" si="7"/>
        <v>0</v>
      </c>
    </row>
    <row r="84" spans="1:26" x14ac:dyDescent="0.25">
      <c r="A84" s="2">
        <v>44857</v>
      </c>
      <c r="B84" s="3">
        <v>296</v>
      </c>
      <c r="C84" s="3">
        <v>800</v>
      </c>
      <c r="D84">
        <v>297.0308</v>
      </c>
      <c r="E84">
        <v>4.2000000000000003E-2</v>
      </c>
      <c r="F84">
        <v>292.03320000000002</v>
      </c>
      <c r="G84">
        <v>297.82670000000002</v>
      </c>
      <c r="H84">
        <v>301.23250000000002</v>
      </c>
      <c r="I84">
        <v>4.1000000000000002E-2</v>
      </c>
      <c r="J84">
        <v>4.1000000000000002E-2</v>
      </c>
      <c r="K84">
        <v>4.3999999999999997E-2</v>
      </c>
      <c r="L84">
        <v>1974.2</v>
      </c>
      <c r="M84">
        <v>1979.6</v>
      </c>
      <c r="N84">
        <v>1997.8</v>
      </c>
      <c r="Q84">
        <f t="shared" si="15"/>
        <v>297</v>
      </c>
      <c r="R84">
        <f t="shared" si="11"/>
        <v>300.5</v>
      </c>
      <c r="S84">
        <f t="shared" si="7"/>
        <v>0</v>
      </c>
    </row>
    <row r="85" spans="1:26" x14ac:dyDescent="0.25">
      <c r="A85" s="2">
        <v>44857</v>
      </c>
      <c r="B85" s="3">
        <v>296</v>
      </c>
      <c r="C85" s="3">
        <v>900</v>
      </c>
      <c r="D85">
        <v>296.98970000000003</v>
      </c>
      <c r="E85">
        <v>3.5000000000000003E-2</v>
      </c>
      <c r="F85">
        <v>292.0163</v>
      </c>
      <c r="G85">
        <v>297.7774</v>
      </c>
      <c r="H85">
        <v>301.17529999999999</v>
      </c>
      <c r="I85">
        <v>4.3999999999999997E-2</v>
      </c>
      <c r="J85">
        <v>2.9000000000000001E-2</v>
      </c>
      <c r="K85">
        <v>2.9000000000000001E-2</v>
      </c>
      <c r="L85">
        <v>1974.2</v>
      </c>
      <c r="M85">
        <v>1979.4</v>
      </c>
      <c r="N85">
        <v>1997.4</v>
      </c>
      <c r="Q85">
        <f t="shared" si="15"/>
        <v>297</v>
      </c>
      <c r="R85">
        <f t="shared" si="11"/>
        <v>300.5</v>
      </c>
      <c r="S85">
        <f t="shared" si="7"/>
        <v>0</v>
      </c>
    </row>
    <row r="86" spans="1:26" x14ac:dyDescent="0.25">
      <c r="A86" s="2">
        <v>44857</v>
      </c>
      <c r="B86" s="3">
        <v>296</v>
      </c>
      <c r="C86" s="3">
        <v>1000</v>
      </c>
      <c r="D86">
        <v>296.91359999999997</v>
      </c>
      <c r="E86">
        <v>0.04</v>
      </c>
      <c r="F86">
        <v>291.95659999999998</v>
      </c>
      <c r="G86">
        <v>297.71409999999997</v>
      </c>
      <c r="H86">
        <v>301.07</v>
      </c>
      <c r="I86">
        <v>3.4000000000000002E-2</v>
      </c>
      <c r="J86">
        <v>4.2999999999999997E-2</v>
      </c>
      <c r="K86">
        <v>4.1000000000000002E-2</v>
      </c>
      <c r="L86">
        <v>1974</v>
      </c>
      <c r="M86">
        <v>1979.2</v>
      </c>
      <c r="N86">
        <v>1997.4</v>
      </c>
      <c r="Q86">
        <f t="shared" si="15"/>
        <v>296.89999999999998</v>
      </c>
      <c r="R86">
        <f t="shared" si="11"/>
        <v>300.5</v>
      </c>
      <c r="S86">
        <f t="shared" si="7"/>
        <v>0</v>
      </c>
    </row>
    <row r="87" spans="1:26" x14ac:dyDescent="0.25">
      <c r="A87" s="2">
        <v>44857</v>
      </c>
      <c r="B87" s="3">
        <v>296</v>
      </c>
      <c r="C87" s="3">
        <v>1100</v>
      </c>
      <c r="D87">
        <v>296.87959999999998</v>
      </c>
      <c r="E87">
        <v>3.2000000000000001E-2</v>
      </c>
      <c r="F87">
        <v>291.95359999999999</v>
      </c>
      <c r="G87">
        <v>297.66629999999998</v>
      </c>
      <c r="H87">
        <v>301.01900000000001</v>
      </c>
      <c r="I87">
        <v>3.6999999999999998E-2</v>
      </c>
      <c r="J87">
        <v>3.1E-2</v>
      </c>
      <c r="K87">
        <v>2.7E-2</v>
      </c>
      <c r="L87">
        <v>1974</v>
      </c>
      <c r="M87">
        <v>1979.2</v>
      </c>
      <c r="N87">
        <v>1997.2</v>
      </c>
      <c r="Q87">
        <f t="shared" si="15"/>
        <v>296.89999999999998</v>
      </c>
      <c r="R87">
        <f t="shared" si="11"/>
        <v>300.5</v>
      </c>
      <c r="S87">
        <f t="shared" si="7"/>
        <v>0</v>
      </c>
    </row>
    <row r="88" spans="1:26" x14ac:dyDescent="0.25">
      <c r="A88" s="2">
        <v>44857</v>
      </c>
      <c r="B88" s="3">
        <v>296</v>
      </c>
      <c r="C88" s="3">
        <v>1200</v>
      </c>
      <c r="D88">
        <v>296.76220000000001</v>
      </c>
      <c r="E88">
        <v>3.3000000000000002E-2</v>
      </c>
      <c r="F88">
        <v>291.80500000000001</v>
      </c>
      <c r="G88">
        <v>297.56459999999998</v>
      </c>
      <c r="H88">
        <v>300.91680000000002</v>
      </c>
      <c r="I88">
        <v>3.2000000000000001E-2</v>
      </c>
      <c r="J88">
        <v>4.2999999999999997E-2</v>
      </c>
      <c r="K88">
        <v>0.02</v>
      </c>
      <c r="L88">
        <v>1973.6</v>
      </c>
      <c r="M88">
        <v>1979</v>
      </c>
      <c r="N88">
        <v>1997</v>
      </c>
      <c r="Q88">
        <f t="shared" si="15"/>
        <v>296.8</v>
      </c>
      <c r="R88">
        <f t="shared" si="11"/>
        <v>300.5</v>
      </c>
      <c r="S88">
        <f t="shared" si="7"/>
        <v>0</v>
      </c>
    </row>
    <row r="89" spans="1:26" x14ac:dyDescent="0.25">
      <c r="A89" s="2">
        <v>44857</v>
      </c>
      <c r="B89" s="3">
        <v>296</v>
      </c>
      <c r="C89" s="3">
        <v>1300</v>
      </c>
      <c r="D89">
        <v>296.73099999999999</v>
      </c>
      <c r="E89">
        <v>3.5999999999999997E-2</v>
      </c>
      <c r="F89">
        <v>291.7285</v>
      </c>
      <c r="G89">
        <v>297.58</v>
      </c>
      <c r="H89">
        <v>300.88440000000003</v>
      </c>
      <c r="I89">
        <v>3.4000000000000002E-2</v>
      </c>
      <c r="J89">
        <v>2.9000000000000001E-2</v>
      </c>
      <c r="K89">
        <v>4.3999999999999997E-2</v>
      </c>
      <c r="L89">
        <v>1973.6</v>
      </c>
      <c r="M89">
        <v>1979</v>
      </c>
      <c r="N89">
        <v>1997</v>
      </c>
      <c r="Q89">
        <f t="shared" si="15"/>
        <v>296.7</v>
      </c>
      <c r="R89">
        <f t="shared" si="11"/>
        <v>300.5</v>
      </c>
      <c r="S89">
        <f t="shared" si="7"/>
        <v>0</v>
      </c>
    </row>
    <row r="90" spans="1:26" x14ac:dyDescent="0.25">
      <c r="A90" s="2">
        <v>44857</v>
      </c>
      <c r="B90" s="3">
        <v>296</v>
      </c>
      <c r="C90" s="3">
        <v>1400</v>
      </c>
      <c r="D90">
        <v>296.59890000000001</v>
      </c>
      <c r="E90">
        <v>3.9E-2</v>
      </c>
      <c r="F90">
        <v>291.65649999999999</v>
      </c>
      <c r="G90">
        <v>297.38119999999998</v>
      </c>
      <c r="H90">
        <v>300.75900000000001</v>
      </c>
      <c r="I90">
        <v>4.2000000000000003E-2</v>
      </c>
      <c r="J90">
        <v>4.2999999999999997E-2</v>
      </c>
      <c r="K90">
        <v>3.2000000000000001E-2</v>
      </c>
      <c r="L90">
        <v>1973.4</v>
      </c>
      <c r="M90">
        <v>1978.4</v>
      </c>
      <c r="N90">
        <v>1996.6</v>
      </c>
      <c r="Q90">
        <f t="shared" si="15"/>
        <v>296.60000000000002</v>
      </c>
      <c r="R90">
        <f t="shared" si="11"/>
        <v>300.5</v>
      </c>
      <c r="S90">
        <f t="shared" si="7"/>
        <v>0</v>
      </c>
    </row>
    <row r="91" spans="1:26" x14ac:dyDescent="0.25">
      <c r="A91" s="2">
        <v>44857</v>
      </c>
      <c r="B91" s="3">
        <v>296</v>
      </c>
      <c r="C91" s="3">
        <v>1500</v>
      </c>
      <c r="D91">
        <v>296.52609999999999</v>
      </c>
      <c r="E91">
        <v>4.1000000000000002E-2</v>
      </c>
      <c r="F91">
        <v>291.57069999999999</v>
      </c>
      <c r="G91">
        <v>297.30869999999999</v>
      </c>
      <c r="H91">
        <v>300.69869999999997</v>
      </c>
      <c r="I91">
        <v>4.2000000000000003E-2</v>
      </c>
      <c r="J91">
        <v>3.5999999999999997E-2</v>
      </c>
      <c r="K91">
        <v>4.3999999999999997E-2</v>
      </c>
      <c r="L91">
        <v>1973.2</v>
      </c>
      <c r="M91">
        <v>1978.4</v>
      </c>
      <c r="N91">
        <v>1996.6</v>
      </c>
      <c r="Q91">
        <f t="shared" si="15"/>
        <v>296.5</v>
      </c>
      <c r="R91">
        <f t="shared" si="11"/>
        <v>300.5</v>
      </c>
      <c r="S91">
        <f t="shared" si="7"/>
        <v>0</v>
      </c>
    </row>
    <row r="92" spans="1:26" x14ac:dyDescent="0.25">
      <c r="A92" s="2">
        <v>44857</v>
      </c>
      <c r="B92" s="3">
        <v>296</v>
      </c>
      <c r="C92" s="3">
        <v>1600</v>
      </c>
      <c r="D92">
        <v>296.44499999999999</v>
      </c>
      <c r="E92">
        <v>3.7999999999999999E-2</v>
      </c>
      <c r="F92">
        <v>291.46359999999999</v>
      </c>
      <c r="G92">
        <v>297.25779999999997</v>
      </c>
      <c r="H92">
        <v>300.61360000000002</v>
      </c>
      <c r="I92">
        <v>3.2000000000000001E-2</v>
      </c>
      <c r="J92">
        <v>3.5999999999999997E-2</v>
      </c>
      <c r="K92">
        <v>4.3999999999999997E-2</v>
      </c>
      <c r="L92">
        <v>1972.8</v>
      </c>
      <c r="M92">
        <v>1978.2</v>
      </c>
      <c r="N92">
        <v>1996.2</v>
      </c>
      <c r="Q92">
        <f t="shared" si="15"/>
        <v>296.39999999999998</v>
      </c>
      <c r="R92">
        <f t="shared" si="11"/>
        <v>300.5</v>
      </c>
      <c r="S92">
        <f t="shared" si="7"/>
        <v>0</v>
      </c>
      <c r="X92">
        <f t="shared" ref="X92:X155" si="16">U92</f>
        <v>0</v>
      </c>
      <c r="Y92">
        <f t="shared" ref="Y92:Y155" si="17">V92</f>
        <v>0</v>
      </c>
      <c r="Z92">
        <f>Z78+Y92</f>
        <v>0</v>
      </c>
    </row>
    <row r="93" spans="1:26" x14ac:dyDescent="0.25">
      <c r="A93" s="2">
        <v>44857</v>
      </c>
      <c r="B93" s="3">
        <v>296</v>
      </c>
      <c r="C93" s="3">
        <v>1700</v>
      </c>
      <c r="D93">
        <v>296.34719999999999</v>
      </c>
      <c r="E93">
        <v>3.9E-2</v>
      </c>
      <c r="F93">
        <v>291.31979999999999</v>
      </c>
      <c r="G93">
        <v>297.17</v>
      </c>
      <c r="H93">
        <v>300.55180000000001</v>
      </c>
      <c r="I93">
        <v>4.3999999999999997E-2</v>
      </c>
      <c r="J93">
        <v>3.5999999999999997E-2</v>
      </c>
      <c r="K93">
        <v>3.5000000000000003E-2</v>
      </c>
      <c r="L93">
        <v>1972.6</v>
      </c>
      <c r="M93">
        <v>1978</v>
      </c>
      <c r="N93">
        <v>1996.2</v>
      </c>
      <c r="Q93">
        <f t="shared" si="15"/>
        <v>296.3</v>
      </c>
      <c r="R93">
        <f t="shared" si="11"/>
        <v>300.5</v>
      </c>
      <c r="S93">
        <f t="shared" si="7"/>
        <v>0</v>
      </c>
      <c r="X93">
        <f t="shared" si="16"/>
        <v>0</v>
      </c>
      <c r="Y93">
        <f t="shared" si="17"/>
        <v>0</v>
      </c>
      <c r="Z93">
        <f t="shared" ref="Z93:Z156" si="18">Z92+Y93</f>
        <v>0</v>
      </c>
    </row>
    <row r="94" spans="1:26" x14ac:dyDescent="0.25">
      <c r="A94" s="2">
        <v>44857</v>
      </c>
      <c r="B94" s="3">
        <v>296</v>
      </c>
      <c r="C94" s="3">
        <v>1800</v>
      </c>
      <c r="D94">
        <v>296.26560000000001</v>
      </c>
      <c r="E94">
        <v>3.4000000000000002E-2</v>
      </c>
      <c r="F94">
        <v>291.24329999999998</v>
      </c>
      <c r="G94">
        <v>297.07920000000001</v>
      </c>
      <c r="H94">
        <v>300.47449999999998</v>
      </c>
      <c r="I94">
        <v>4.2000000000000003E-2</v>
      </c>
      <c r="J94">
        <v>3.3000000000000002E-2</v>
      </c>
      <c r="K94">
        <v>2.3E-2</v>
      </c>
      <c r="L94">
        <v>1972.4</v>
      </c>
      <c r="M94">
        <v>1977.8</v>
      </c>
      <c r="N94">
        <v>1996</v>
      </c>
      <c r="Q94">
        <f t="shared" si="15"/>
        <v>296.3</v>
      </c>
      <c r="R94">
        <f t="shared" si="11"/>
        <v>300.5</v>
      </c>
      <c r="S94">
        <f t="shared" si="7"/>
        <v>0</v>
      </c>
      <c r="X94">
        <f t="shared" si="16"/>
        <v>0</v>
      </c>
      <c r="Y94">
        <f t="shared" si="17"/>
        <v>0</v>
      </c>
      <c r="Z94">
        <f t="shared" si="18"/>
        <v>0</v>
      </c>
    </row>
    <row r="95" spans="1:26" x14ac:dyDescent="0.25">
      <c r="A95" s="2">
        <v>44857</v>
      </c>
      <c r="B95" s="3">
        <v>296</v>
      </c>
      <c r="C95" s="3">
        <v>1900</v>
      </c>
      <c r="D95">
        <v>296.18970000000002</v>
      </c>
      <c r="E95">
        <v>0.03</v>
      </c>
      <c r="F95">
        <v>291.18049999999999</v>
      </c>
      <c r="G95">
        <v>296.9975</v>
      </c>
      <c r="H95">
        <v>300.39100000000002</v>
      </c>
      <c r="I95">
        <v>0.03</v>
      </c>
      <c r="J95">
        <v>3.7999999999999999E-2</v>
      </c>
      <c r="K95">
        <v>0.02</v>
      </c>
      <c r="L95">
        <v>1972.2</v>
      </c>
      <c r="M95">
        <v>1977.6</v>
      </c>
      <c r="N95">
        <v>1995.8</v>
      </c>
      <c r="Q95">
        <f t="shared" si="15"/>
        <v>296.2</v>
      </c>
      <c r="R95">
        <f t="shared" si="11"/>
        <v>300.5</v>
      </c>
      <c r="S95">
        <f t="shared" si="7"/>
        <v>0</v>
      </c>
      <c r="X95">
        <f t="shared" si="16"/>
        <v>0</v>
      </c>
      <c r="Y95">
        <f t="shared" si="17"/>
        <v>0</v>
      </c>
      <c r="Z95">
        <f t="shared" si="18"/>
        <v>0</v>
      </c>
    </row>
    <row r="96" spans="1:26" x14ac:dyDescent="0.25">
      <c r="A96" s="2">
        <v>44857</v>
      </c>
      <c r="B96" s="3">
        <v>296</v>
      </c>
      <c r="C96" s="3">
        <v>2000</v>
      </c>
      <c r="D96">
        <v>296.09480000000002</v>
      </c>
      <c r="E96">
        <v>0.03</v>
      </c>
      <c r="F96">
        <v>291.08420000000001</v>
      </c>
      <c r="G96">
        <v>296.90199999999999</v>
      </c>
      <c r="H96">
        <v>300.29820000000001</v>
      </c>
      <c r="I96">
        <v>3.4000000000000002E-2</v>
      </c>
      <c r="J96">
        <v>3.2000000000000001E-2</v>
      </c>
      <c r="K96">
        <v>2.1999999999999999E-2</v>
      </c>
      <c r="L96">
        <v>1972</v>
      </c>
      <c r="M96">
        <v>1977.6</v>
      </c>
      <c r="N96">
        <v>1995.6</v>
      </c>
      <c r="Q96">
        <f t="shared" si="15"/>
        <v>296.10000000000002</v>
      </c>
      <c r="R96">
        <f t="shared" si="11"/>
        <v>300.5</v>
      </c>
      <c r="S96">
        <f t="shared" si="7"/>
        <v>0</v>
      </c>
      <c r="X96">
        <f t="shared" si="16"/>
        <v>0</v>
      </c>
      <c r="Y96">
        <f t="shared" si="17"/>
        <v>0</v>
      </c>
      <c r="Z96">
        <f t="shared" si="18"/>
        <v>0</v>
      </c>
    </row>
    <row r="97" spans="1:26" x14ac:dyDescent="0.25">
      <c r="A97" s="2">
        <v>44857</v>
      </c>
      <c r="B97" s="3">
        <v>296</v>
      </c>
      <c r="C97" s="3">
        <v>2100</v>
      </c>
      <c r="D97">
        <v>295.99939999999998</v>
      </c>
      <c r="E97">
        <v>2.9000000000000001E-2</v>
      </c>
      <c r="F97">
        <v>290.98009999999999</v>
      </c>
      <c r="G97">
        <v>296.80340000000001</v>
      </c>
      <c r="H97">
        <v>300.21480000000003</v>
      </c>
      <c r="I97">
        <v>4.2000000000000003E-2</v>
      </c>
      <c r="J97">
        <v>2.3E-2</v>
      </c>
      <c r="K97">
        <v>1.2E-2</v>
      </c>
      <c r="L97">
        <v>1971.8</v>
      </c>
      <c r="M97">
        <v>1977.2</v>
      </c>
      <c r="N97">
        <v>1995.4</v>
      </c>
      <c r="Q97">
        <f t="shared" si="15"/>
        <v>296</v>
      </c>
      <c r="R97" s="4">
        <f>ROUND(Q97,1)</f>
        <v>296</v>
      </c>
      <c r="S97">
        <f t="shared" si="7"/>
        <v>0</v>
      </c>
      <c r="X97">
        <f t="shared" si="16"/>
        <v>0</v>
      </c>
      <c r="Y97">
        <f t="shared" si="17"/>
        <v>0</v>
      </c>
      <c r="Z97">
        <f t="shared" si="18"/>
        <v>0</v>
      </c>
    </row>
    <row r="98" spans="1:26" x14ac:dyDescent="0.25">
      <c r="A98" s="2">
        <v>44857</v>
      </c>
      <c r="B98" s="3">
        <v>296</v>
      </c>
      <c r="C98" s="3">
        <v>2200</v>
      </c>
      <c r="D98">
        <v>295.93369999999999</v>
      </c>
      <c r="E98">
        <v>3.5000000000000003E-2</v>
      </c>
      <c r="F98">
        <v>290.91590000000002</v>
      </c>
      <c r="G98">
        <v>296.73719999999997</v>
      </c>
      <c r="H98">
        <v>300.14830000000001</v>
      </c>
      <c r="I98">
        <v>2.9000000000000001E-2</v>
      </c>
      <c r="J98">
        <v>3.9E-2</v>
      </c>
      <c r="K98">
        <v>3.6999999999999998E-2</v>
      </c>
      <c r="L98">
        <v>1971.6</v>
      </c>
      <c r="M98">
        <v>1977</v>
      </c>
      <c r="N98">
        <v>1995.2</v>
      </c>
      <c r="Q98">
        <f t="shared" si="15"/>
        <v>295.89999999999998</v>
      </c>
      <c r="R98">
        <f t="shared" ref="R98:R161" si="19">ROUND(IF(Q98&lt;R97,R97,Q98),1)</f>
        <v>296</v>
      </c>
      <c r="S98">
        <f t="shared" si="7"/>
        <v>0</v>
      </c>
      <c r="X98">
        <f t="shared" si="16"/>
        <v>0</v>
      </c>
      <c r="Y98">
        <f t="shared" si="17"/>
        <v>0</v>
      </c>
      <c r="Z98">
        <f t="shared" si="18"/>
        <v>0</v>
      </c>
    </row>
    <row r="99" spans="1:26" x14ac:dyDescent="0.25">
      <c r="A99" s="2">
        <v>44857</v>
      </c>
      <c r="B99" s="3">
        <v>296</v>
      </c>
      <c r="C99" s="3">
        <v>2300</v>
      </c>
      <c r="D99">
        <v>295.9117</v>
      </c>
      <c r="E99">
        <v>2.7E-2</v>
      </c>
      <c r="F99">
        <v>290.89749999999998</v>
      </c>
      <c r="G99">
        <v>296.7079</v>
      </c>
      <c r="H99">
        <v>300.12970000000001</v>
      </c>
      <c r="I99">
        <v>4.1000000000000002E-2</v>
      </c>
      <c r="J99">
        <v>0.02</v>
      </c>
      <c r="K99">
        <v>1.2E-2</v>
      </c>
      <c r="L99">
        <v>1971.4</v>
      </c>
      <c r="M99">
        <v>1977</v>
      </c>
      <c r="N99">
        <v>1995.2</v>
      </c>
      <c r="Q99">
        <f t="shared" si="15"/>
        <v>295.89999999999998</v>
      </c>
      <c r="R99">
        <f t="shared" si="19"/>
        <v>296</v>
      </c>
      <c r="S99">
        <f t="shared" si="7"/>
        <v>0</v>
      </c>
      <c r="X99">
        <f t="shared" si="16"/>
        <v>0</v>
      </c>
      <c r="Y99">
        <f t="shared" si="17"/>
        <v>0</v>
      </c>
      <c r="Z99">
        <f t="shared" si="18"/>
        <v>0</v>
      </c>
    </row>
    <row r="100" spans="1:26" x14ac:dyDescent="0.25">
      <c r="A100" s="2">
        <v>44857</v>
      </c>
      <c r="B100" s="3">
        <v>296</v>
      </c>
      <c r="C100" s="3">
        <v>2400</v>
      </c>
      <c r="D100">
        <v>296.36259999999999</v>
      </c>
      <c r="E100">
        <v>3.9E-2</v>
      </c>
      <c r="F100">
        <v>291.34269999999998</v>
      </c>
      <c r="G100">
        <v>297.15620000000001</v>
      </c>
      <c r="H100">
        <v>300.58890000000002</v>
      </c>
      <c r="I100">
        <v>0.04</v>
      </c>
      <c r="J100">
        <v>3.5000000000000003E-2</v>
      </c>
      <c r="K100">
        <v>4.1000000000000002E-2</v>
      </c>
      <c r="L100">
        <v>1972.6</v>
      </c>
      <c r="M100">
        <v>1978.2</v>
      </c>
      <c r="N100">
        <v>1996.4</v>
      </c>
      <c r="Q100">
        <f t="shared" si="15"/>
        <v>296.39999999999998</v>
      </c>
      <c r="R100">
        <f t="shared" si="19"/>
        <v>296.39999999999998</v>
      </c>
      <c r="S100">
        <f t="shared" si="7"/>
        <v>0.39999999999997726</v>
      </c>
      <c r="X100">
        <f t="shared" si="16"/>
        <v>0</v>
      </c>
      <c r="Y100">
        <f t="shared" si="17"/>
        <v>0</v>
      </c>
      <c r="Z100">
        <f t="shared" si="18"/>
        <v>0</v>
      </c>
    </row>
    <row r="101" spans="1:26" x14ac:dyDescent="0.25">
      <c r="A101" s="2">
        <v>44858</v>
      </c>
      <c r="B101" s="3">
        <v>297</v>
      </c>
      <c r="C101" s="3">
        <v>100</v>
      </c>
      <c r="D101">
        <v>296.93639999999999</v>
      </c>
      <c r="E101">
        <v>4.2000000000000003E-2</v>
      </c>
      <c r="F101">
        <v>291.92140000000001</v>
      </c>
      <c r="G101">
        <v>297.72489999999999</v>
      </c>
      <c r="H101">
        <v>301.16289999999998</v>
      </c>
      <c r="I101">
        <v>4.2999999999999997E-2</v>
      </c>
      <c r="J101">
        <v>4.3999999999999997E-2</v>
      </c>
      <c r="K101">
        <v>3.9E-2</v>
      </c>
      <c r="L101">
        <v>1973.8</v>
      </c>
      <c r="M101">
        <v>1979.4</v>
      </c>
      <c r="N101">
        <v>1997.6</v>
      </c>
      <c r="Q101">
        <f t="shared" si="15"/>
        <v>296.89999999999998</v>
      </c>
      <c r="R101">
        <f t="shared" si="19"/>
        <v>296.89999999999998</v>
      </c>
      <c r="S101">
        <f t="shared" ref="S101:S164" si="20">IF(R101&gt;R100,R101-R100,0)</f>
        <v>0.5</v>
      </c>
      <c r="X101">
        <f t="shared" si="16"/>
        <v>0</v>
      </c>
      <c r="Y101">
        <f t="shared" si="17"/>
        <v>0</v>
      </c>
      <c r="Z101">
        <f t="shared" si="18"/>
        <v>0</v>
      </c>
    </row>
    <row r="102" spans="1:26" x14ac:dyDescent="0.25">
      <c r="A102" s="2">
        <v>44858</v>
      </c>
      <c r="B102" s="3">
        <v>297</v>
      </c>
      <c r="C102" s="3">
        <v>200</v>
      </c>
      <c r="D102">
        <v>296.98669999999998</v>
      </c>
      <c r="E102">
        <v>3.4000000000000002E-2</v>
      </c>
      <c r="F102">
        <v>291.97190000000001</v>
      </c>
      <c r="G102">
        <v>297.7774</v>
      </c>
      <c r="H102">
        <v>301.21089999999998</v>
      </c>
      <c r="I102">
        <v>3.1E-2</v>
      </c>
      <c r="J102">
        <v>2.9000000000000001E-2</v>
      </c>
      <c r="K102">
        <v>0.04</v>
      </c>
      <c r="L102">
        <v>1974</v>
      </c>
      <c r="M102">
        <v>1979.4</v>
      </c>
      <c r="N102">
        <v>1997.6</v>
      </c>
      <c r="Q102">
        <f t="shared" si="15"/>
        <v>297</v>
      </c>
      <c r="R102">
        <f t="shared" si="19"/>
        <v>297</v>
      </c>
      <c r="S102">
        <f t="shared" si="20"/>
        <v>0.10000000000002274</v>
      </c>
      <c r="X102">
        <f t="shared" si="16"/>
        <v>0</v>
      </c>
      <c r="Y102">
        <f t="shared" si="17"/>
        <v>0</v>
      </c>
      <c r="Z102">
        <f t="shared" si="18"/>
        <v>0</v>
      </c>
    </row>
    <row r="103" spans="1:26" x14ac:dyDescent="0.25">
      <c r="A103" s="2">
        <v>44858</v>
      </c>
      <c r="B103" s="3">
        <v>297</v>
      </c>
      <c r="C103" s="3">
        <v>300</v>
      </c>
      <c r="D103">
        <v>296.96460000000002</v>
      </c>
      <c r="E103">
        <v>3.2000000000000001E-2</v>
      </c>
      <c r="F103">
        <v>291.95049999999998</v>
      </c>
      <c r="G103">
        <v>297.7527</v>
      </c>
      <c r="H103">
        <v>301.19069999999999</v>
      </c>
      <c r="I103">
        <v>3.7999999999999999E-2</v>
      </c>
      <c r="J103">
        <v>3.2000000000000001E-2</v>
      </c>
      <c r="K103">
        <v>2.5999999999999999E-2</v>
      </c>
      <c r="L103">
        <v>1974</v>
      </c>
      <c r="M103">
        <v>1979.4</v>
      </c>
      <c r="N103">
        <v>1997.8</v>
      </c>
      <c r="Q103">
        <f t="shared" si="15"/>
        <v>297</v>
      </c>
      <c r="R103">
        <f t="shared" si="19"/>
        <v>297</v>
      </c>
      <c r="S103">
        <f t="shared" si="20"/>
        <v>0</v>
      </c>
      <c r="X103">
        <f t="shared" si="16"/>
        <v>0</v>
      </c>
      <c r="Y103">
        <f t="shared" si="17"/>
        <v>0</v>
      </c>
      <c r="Z103">
        <f t="shared" si="18"/>
        <v>0</v>
      </c>
    </row>
    <row r="104" spans="1:26" x14ac:dyDescent="0.25">
      <c r="A104" s="2">
        <v>44858</v>
      </c>
      <c r="B104" s="3">
        <v>297</v>
      </c>
      <c r="C104" s="3">
        <v>400</v>
      </c>
      <c r="D104">
        <v>297.25689999999997</v>
      </c>
      <c r="E104">
        <v>3.3000000000000002E-2</v>
      </c>
      <c r="F104">
        <v>292.23540000000003</v>
      </c>
      <c r="G104">
        <v>298.04109999999997</v>
      </c>
      <c r="H104">
        <v>301.4941</v>
      </c>
      <c r="I104">
        <v>2.3E-2</v>
      </c>
      <c r="J104">
        <v>2.9000000000000001E-2</v>
      </c>
      <c r="K104">
        <v>4.3999999999999997E-2</v>
      </c>
      <c r="L104">
        <v>1974.6</v>
      </c>
      <c r="M104">
        <v>1980.2</v>
      </c>
      <c r="N104">
        <v>1998.4</v>
      </c>
      <c r="Q104">
        <f t="shared" si="15"/>
        <v>297.3</v>
      </c>
      <c r="R104">
        <f t="shared" si="19"/>
        <v>297.3</v>
      </c>
      <c r="S104">
        <f t="shared" si="20"/>
        <v>0.30000000000001137</v>
      </c>
      <c r="X104">
        <f t="shared" si="16"/>
        <v>0</v>
      </c>
      <c r="Y104">
        <f t="shared" si="17"/>
        <v>0</v>
      </c>
      <c r="Z104">
        <f t="shared" si="18"/>
        <v>0</v>
      </c>
    </row>
    <row r="105" spans="1:26" x14ac:dyDescent="0.25">
      <c r="A105" s="2">
        <v>44858</v>
      </c>
      <c r="B105" s="3">
        <v>297</v>
      </c>
      <c r="C105" s="3">
        <v>500</v>
      </c>
      <c r="D105">
        <v>297.7337</v>
      </c>
      <c r="E105">
        <v>3.9E-2</v>
      </c>
      <c r="F105">
        <v>292.70429999999999</v>
      </c>
      <c r="G105">
        <v>298.52100000000002</v>
      </c>
      <c r="H105">
        <v>301.97579999999999</v>
      </c>
      <c r="I105">
        <v>4.2000000000000003E-2</v>
      </c>
      <c r="J105">
        <v>4.2999999999999997E-2</v>
      </c>
      <c r="K105">
        <v>3.1E-2</v>
      </c>
      <c r="L105">
        <v>1975.6</v>
      </c>
      <c r="M105">
        <v>1981.2</v>
      </c>
      <c r="N105">
        <v>1999.4</v>
      </c>
      <c r="Q105">
        <f t="shared" si="15"/>
        <v>297.7</v>
      </c>
      <c r="R105">
        <f t="shared" si="19"/>
        <v>297.7</v>
      </c>
      <c r="S105">
        <f t="shared" si="20"/>
        <v>0.39999999999997726</v>
      </c>
      <c r="X105">
        <f t="shared" si="16"/>
        <v>0</v>
      </c>
      <c r="Y105">
        <f t="shared" si="17"/>
        <v>0</v>
      </c>
      <c r="Z105">
        <f t="shared" si="18"/>
        <v>0</v>
      </c>
    </row>
    <row r="106" spans="1:26" x14ac:dyDescent="0.25">
      <c r="A106" s="2">
        <v>44858</v>
      </c>
      <c r="B106" s="3">
        <v>297</v>
      </c>
      <c r="C106" s="3">
        <v>600</v>
      </c>
      <c r="D106">
        <v>298.3929</v>
      </c>
      <c r="E106">
        <v>3.9E-2</v>
      </c>
      <c r="F106">
        <v>293.35750000000002</v>
      </c>
      <c r="G106">
        <v>299.17880000000002</v>
      </c>
      <c r="H106">
        <v>302.64229999999998</v>
      </c>
      <c r="I106">
        <v>3.5999999999999997E-2</v>
      </c>
      <c r="J106">
        <v>3.5000000000000003E-2</v>
      </c>
      <c r="K106">
        <v>4.3999999999999997E-2</v>
      </c>
      <c r="L106">
        <v>1977.2</v>
      </c>
      <c r="M106">
        <v>1982.6</v>
      </c>
      <c r="N106">
        <v>2000.8</v>
      </c>
      <c r="Q106">
        <f t="shared" si="15"/>
        <v>298.39999999999998</v>
      </c>
      <c r="R106">
        <f t="shared" si="19"/>
        <v>298.39999999999998</v>
      </c>
      <c r="S106">
        <f t="shared" si="20"/>
        <v>0.69999999999998863</v>
      </c>
      <c r="X106">
        <f t="shared" si="16"/>
        <v>0</v>
      </c>
      <c r="Y106">
        <f t="shared" si="17"/>
        <v>0</v>
      </c>
      <c r="Z106">
        <f t="shared" si="18"/>
        <v>0</v>
      </c>
    </row>
    <row r="107" spans="1:26" x14ac:dyDescent="0.25">
      <c r="A107" s="2">
        <v>44858</v>
      </c>
      <c r="B107" s="3">
        <v>297</v>
      </c>
      <c r="C107" s="3">
        <v>700</v>
      </c>
      <c r="D107">
        <v>298.87090000000001</v>
      </c>
      <c r="E107">
        <v>3.7999999999999999E-2</v>
      </c>
      <c r="F107">
        <v>293.83019999999999</v>
      </c>
      <c r="G107">
        <v>299.65780000000001</v>
      </c>
      <c r="H107">
        <v>303.12459999999999</v>
      </c>
      <c r="I107">
        <v>3.7999999999999999E-2</v>
      </c>
      <c r="J107">
        <v>4.3999999999999997E-2</v>
      </c>
      <c r="K107">
        <v>3.1E-2</v>
      </c>
      <c r="L107">
        <v>1978.2</v>
      </c>
      <c r="M107">
        <v>1983.6</v>
      </c>
      <c r="N107">
        <v>2002</v>
      </c>
      <c r="Q107">
        <f t="shared" si="15"/>
        <v>298.89999999999998</v>
      </c>
      <c r="R107">
        <f t="shared" si="19"/>
        <v>298.89999999999998</v>
      </c>
      <c r="S107">
        <f t="shared" si="20"/>
        <v>0.5</v>
      </c>
      <c r="X107">
        <f t="shared" si="16"/>
        <v>0</v>
      </c>
      <c r="Y107">
        <f t="shared" si="17"/>
        <v>0</v>
      </c>
      <c r="Z107">
        <f t="shared" si="18"/>
        <v>0</v>
      </c>
    </row>
    <row r="108" spans="1:26" x14ac:dyDescent="0.25">
      <c r="A108" s="2">
        <v>44858</v>
      </c>
      <c r="B108" s="3">
        <v>297</v>
      </c>
      <c r="C108" s="3">
        <v>800</v>
      </c>
      <c r="D108">
        <v>299.0129</v>
      </c>
      <c r="E108">
        <v>0.03</v>
      </c>
      <c r="F108">
        <v>293.98840000000001</v>
      </c>
      <c r="G108">
        <v>299.79700000000003</v>
      </c>
      <c r="H108">
        <v>303.2534</v>
      </c>
      <c r="I108">
        <v>0.02</v>
      </c>
      <c r="J108">
        <v>2.1999999999999999E-2</v>
      </c>
      <c r="K108">
        <v>4.2999999999999997E-2</v>
      </c>
      <c r="L108">
        <v>1978.6</v>
      </c>
      <c r="M108">
        <v>1984</v>
      </c>
      <c r="N108">
        <v>2002.2</v>
      </c>
      <c r="Q108">
        <f t="shared" si="15"/>
        <v>299</v>
      </c>
      <c r="R108">
        <f t="shared" si="19"/>
        <v>299</v>
      </c>
      <c r="S108">
        <f t="shared" si="20"/>
        <v>0.10000000000002274</v>
      </c>
      <c r="X108">
        <f t="shared" si="16"/>
        <v>0</v>
      </c>
      <c r="Y108">
        <f t="shared" si="17"/>
        <v>0</v>
      </c>
      <c r="Z108">
        <f t="shared" si="18"/>
        <v>0</v>
      </c>
    </row>
    <row r="109" spans="1:26" x14ac:dyDescent="0.25">
      <c r="A109" s="2">
        <v>44858</v>
      </c>
      <c r="B109" s="3">
        <v>297</v>
      </c>
      <c r="C109" s="3">
        <v>900</v>
      </c>
      <c r="D109">
        <v>299.10140000000001</v>
      </c>
      <c r="E109">
        <v>3.3000000000000002E-2</v>
      </c>
      <c r="F109">
        <v>294.07589999999999</v>
      </c>
      <c r="G109">
        <v>299.89429999999999</v>
      </c>
      <c r="H109">
        <v>303.33409999999998</v>
      </c>
      <c r="I109">
        <v>0.02</v>
      </c>
      <c r="J109">
        <v>3.4000000000000002E-2</v>
      </c>
      <c r="K109">
        <v>4.1000000000000002E-2</v>
      </c>
      <c r="L109">
        <v>1978.8</v>
      </c>
      <c r="M109">
        <v>1984.2</v>
      </c>
      <c r="N109">
        <v>2002.4</v>
      </c>
      <c r="Q109">
        <f t="shared" si="15"/>
        <v>299.10000000000002</v>
      </c>
      <c r="R109">
        <f t="shared" si="19"/>
        <v>299.10000000000002</v>
      </c>
      <c r="S109">
        <f t="shared" si="20"/>
        <v>0.10000000000002274</v>
      </c>
      <c r="X109">
        <f t="shared" si="16"/>
        <v>0</v>
      </c>
      <c r="Y109">
        <f t="shared" si="17"/>
        <v>0</v>
      </c>
      <c r="Z109">
        <f t="shared" si="18"/>
        <v>0</v>
      </c>
    </row>
    <row r="110" spans="1:26" x14ac:dyDescent="0.25">
      <c r="A110" s="2">
        <v>44858</v>
      </c>
      <c r="B110" s="3">
        <v>297</v>
      </c>
      <c r="C110" s="3">
        <v>1000</v>
      </c>
      <c r="D110">
        <v>299.06439999999998</v>
      </c>
      <c r="E110">
        <v>3.5999999999999997E-2</v>
      </c>
      <c r="F110">
        <v>294.02980000000002</v>
      </c>
      <c r="G110">
        <v>299.86340000000001</v>
      </c>
      <c r="H110">
        <v>303.3</v>
      </c>
      <c r="I110">
        <v>4.3999999999999997E-2</v>
      </c>
      <c r="J110">
        <v>3.3000000000000002E-2</v>
      </c>
      <c r="K110">
        <v>2.8000000000000001E-2</v>
      </c>
      <c r="L110">
        <v>1978.8</v>
      </c>
      <c r="M110">
        <v>1984.2</v>
      </c>
      <c r="N110">
        <v>2002.4</v>
      </c>
      <c r="Q110">
        <f t="shared" si="15"/>
        <v>299.10000000000002</v>
      </c>
      <c r="R110">
        <f t="shared" si="19"/>
        <v>299.10000000000002</v>
      </c>
      <c r="S110">
        <f t="shared" si="20"/>
        <v>0</v>
      </c>
      <c r="X110">
        <f t="shared" si="16"/>
        <v>0</v>
      </c>
      <c r="Y110">
        <f t="shared" si="17"/>
        <v>0</v>
      </c>
      <c r="Z110">
        <f t="shared" si="18"/>
        <v>0</v>
      </c>
    </row>
    <row r="111" spans="1:26" x14ac:dyDescent="0.25">
      <c r="A111" s="2">
        <v>44858</v>
      </c>
      <c r="B111" s="3">
        <v>297</v>
      </c>
      <c r="C111" s="3">
        <v>1100</v>
      </c>
      <c r="D111">
        <v>299.00720000000001</v>
      </c>
      <c r="E111">
        <v>3.2000000000000001E-2</v>
      </c>
      <c r="F111">
        <v>293.98070000000001</v>
      </c>
      <c r="G111">
        <v>299.8</v>
      </c>
      <c r="H111">
        <v>303.24099999999999</v>
      </c>
      <c r="I111">
        <v>2.3E-2</v>
      </c>
      <c r="J111">
        <v>3.2000000000000001E-2</v>
      </c>
      <c r="K111">
        <v>3.9E-2</v>
      </c>
      <c r="L111">
        <v>1978.6</v>
      </c>
      <c r="M111">
        <v>1984.2</v>
      </c>
      <c r="N111">
        <v>2002.2</v>
      </c>
      <c r="Q111">
        <f t="shared" si="15"/>
        <v>299</v>
      </c>
      <c r="R111">
        <f t="shared" si="19"/>
        <v>299.10000000000002</v>
      </c>
      <c r="S111">
        <f t="shared" si="20"/>
        <v>0</v>
      </c>
      <c r="X111">
        <f t="shared" si="16"/>
        <v>0</v>
      </c>
      <c r="Y111">
        <f t="shared" si="17"/>
        <v>0</v>
      </c>
      <c r="Z111">
        <f t="shared" si="18"/>
        <v>0</v>
      </c>
    </row>
    <row r="112" spans="1:26" x14ac:dyDescent="0.25">
      <c r="A112" s="2">
        <v>44858</v>
      </c>
      <c r="B112" s="3">
        <v>297</v>
      </c>
      <c r="C112" s="3">
        <v>1200</v>
      </c>
      <c r="D112">
        <v>299.0736</v>
      </c>
      <c r="E112">
        <v>0.03</v>
      </c>
      <c r="F112">
        <v>294.04520000000002</v>
      </c>
      <c r="G112">
        <v>299.87729999999999</v>
      </c>
      <c r="H112">
        <v>303.29849999999999</v>
      </c>
      <c r="I112">
        <v>0.04</v>
      </c>
      <c r="J112">
        <v>0.02</v>
      </c>
      <c r="K112">
        <v>2.5000000000000001E-2</v>
      </c>
      <c r="L112">
        <v>1978.6</v>
      </c>
      <c r="M112">
        <v>1984.2</v>
      </c>
      <c r="N112">
        <v>2002.4</v>
      </c>
      <c r="Q112">
        <f t="shared" si="15"/>
        <v>299.10000000000002</v>
      </c>
      <c r="R112">
        <f t="shared" si="19"/>
        <v>299.10000000000002</v>
      </c>
      <c r="S112">
        <f t="shared" si="20"/>
        <v>0</v>
      </c>
      <c r="X112">
        <f t="shared" si="16"/>
        <v>0</v>
      </c>
      <c r="Y112">
        <f t="shared" si="17"/>
        <v>0</v>
      </c>
      <c r="Z112">
        <f t="shared" si="18"/>
        <v>0</v>
      </c>
    </row>
    <row r="113" spans="1:26" x14ac:dyDescent="0.25">
      <c r="A113" s="2">
        <v>44858</v>
      </c>
      <c r="B113" s="3">
        <v>297</v>
      </c>
      <c r="C113" s="3">
        <v>1300</v>
      </c>
      <c r="D113">
        <v>299.0335</v>
      </c>
      <c r="E113">
        <v>4.2000000000000003E-2</v>
      </c>
      <c r="F113">
        <v>294.00529999999998</v>
      </c>
      <c r="G113">
        <v>299.834</v>
      </c>
      <c r="H113">
        <v>303.26119999999997</v>
      </c>
      <c r="I113">
        <v>3.7999999999999999E-2</v>
      </c>
      <c r="J113">
        <v>4.3999999999999997E-2</v>
      </c>
      <c r="K113">
        <v>4.3999999999999997E-2</v>
      </c>
      <c r="L113">
        <v>1978.6</v>
      </c>
      <c r="M113">
        <v>1984.2</v>
      </c>
      <c r="N113">
        <v>2002.4</v>
      </c>
      <c r="Q113">
        <f t="shared" si="15"/>
        <v>299</v>
      </c>
      <c r="R113">
        <f t="shared" si="19"/>
        <v>299.10000000000002</v>
      </c>
      <c r="S113">
        <f t="shared" si="20"/>
        <v>0</v>
      </c>
      <c r="X113">
        <f t="shared" si="16"/>
        <v>0</v>
      </c>
      <c r="Y113">
        <f t="shared" si="17"/>
        <v>0</v>
      </c>
      <c r="Z113">
        <f t="shared" si="18"/>
        <v>0</v>
      </c>
    </row>
    <row r="114" spans="1:26" x14ac:dyDescent="0.25">
      <c r="A114" s="2">
        <v>44858</v>
      </c>
      <c r="B114" s="3">
        <v>297</v>
      </c>
      <c r="C114" s="3">
        <v>1400</v>
      </c>
      <c r="D114">
        <v>298.91820000000001</v>
      </c>
      <c r="E114">
        <v>3.4000000000000002E-2</v>
      </c>
      <c r="F114">
        <v>293.89319999999998</v>
      </c>
      <c r="G114">
        <v>299.71039999999999</v>
      </c>
      <c r="H114">
        <v>303.15100000000001</v>
      </c>
      <c r="I114">
        <v>2.8000000000000001E-2</v>
      </c>
      <c r="J114">
        <v>3.4000000000000002E-2</v>
      </c>
      <c r="K114">
        <v>3.7999999999999999E-2</v>
      </c>
      <c r="L114">
        <v>1978.4</v>
      </c>
      <c r="M114">
        <v>1983.8</v>
      </c>
      <c r="N114">
        <v>2002</v>
      </c>
      <c r="Q114">
        <f t="shared" si="15"/>
        <v>298.89999999999998</v>
      </c>
      <c r="R114">
        <f t="shared" si="19"/>
        <v>299.10000000000002</v>
      </c>
      <c r="S114">
        <f t="shared" si="20"/>
        <v>0</v>
      </c>
      <c r="X114">
        <f t="shared" si="16"/>
        <v>0</v>
      </c>
      <c r="Y114">
        <f t="shared" si="17"/>
        <v>0</v>
      </c>
      <c r="Z114">
        <f t="shared" si="18"/>
        <v>0</v>
      </c>
    </row>
    <row r="115" spans="1:26" x14ac:dyDescent="0.25">
      <c r="A115" s="2">
        <v>44858</v>
      </c>
      <c r="B115" s="3">
        <v>297</v>
      </c>
      <c r="C115" s="3">
        <v>1500</v>
      </c>
      <c r="D115">
        <v>298.99029999999999</v>
      </c>
      <c r="E115">
        <v>3.3000000000000002E-2</v>
      </c>
      <c r="F115">
        <v>293.95769999999999</v>
      </c>
      <c r="G115">
        <v>299.78919999999999</v>
      </c>
      <c r="H115">
        <v>303.22390000000001</v>
      </c>
      <c r="I115">
        <v>0.04</v>
      </c>
      <c r="J115">
        <v>2.5999999999999999E-2</v>
      </c>
      <c r="K115">
        <v>3.3000000000000002E-2</v>
      </c>
      <c r="L115">
        <v>1978.6</v>
      </c>
      <c r="M115">
        <v>1984</v>
      </c>
      <c r="N115">
        <v>2002.2</v>
      </c>
      <c r="Q115">
        <f t="shared" si="15"/>
        <v>299</v>
      </c>
      <c r="R115">
        <f t="shared" si="19"/>
        <v>299.10000000000002</v>
      </c>
      <c r="S115">
        <f t="shared" si="20"/>
        <v>0</v>
      </c>
      <c r="X115">
        <f t="shared" si="16"/>
        <v>0</v>
      </c>
      <c r="Y115">
        <f t="shared" si="17"/>
        <v>0</v>
      </c>
      <c r="Z115">
        <f t="shared" si="18"/>
        <v>0</v>
      </c>
    </row>
    <row r="116" spans="1:26" x14ac:dyDescent="0.25">
      <c r="A116" s="2">
        <v>44858</v>
      </c>
      <c r="B116" s="3">
        <v>297</v>
      </c>
      <c r="C116" s="3">
        <v>1600</v>
      </c>
      <c r="D116">
        <v>299.1524</v>
      </c>
      <c r="E116">
        <v>3.7999999999999999E-2</v>
      </c>
      <c r="F116">
        <v>294.125</v>
      </c>
      <c r="G116">
        <v>299.93759999999997</v>
      </c>
      <c r="H116">
        <v>303.39460000000003</v>
      </c>
      <c r="I116">
        <v>4.2999999999999997E-2</v>
      </c>
      <c r="J116">
        <v>4.4999999999999998E-2</v>
      </c>
      <c r="K116">
        <v>2.3E-2</v>
      </c>
      <c r="L116">
        <v>1979</v>
      </c>
      <c r="M116">
        <v>1984.2</v>
      </c>
      <c r="N116">
        <v>2002.4</v>
      </c>
      <c r="Q116">
        <f t="shared" si="15"/>
        <v>299.2</v>
      </c>
      <c r="R116">
        <f t="shared" si="19"/>
        <v>299.2</v>
      </c>
      <c r="S116">
        <f t="shared" si="20"/>
        <v>9.9999999999965894E-2</v>
      </c>
      <c r="X116">
        <f t="shared" si="16"/>
        <v>0</v>
      </c>
      <c r="Y116">
        <f t="shared" si="17"/>
        <v>0</v>
      </c>
      <c r="Z116">
        <f t="shared" si="18"/>
        <v>0</v>
      </c>
    </row>
    <row r="117" spans="1:26" x14ac:dyDescent="0.25">
      <c r="A117" s="2">
        <v>44858</v>
      </c>
      <c r="B117" s="3">
        <v>297</v>
      </c>
      <c r="C117" s="3">
        <v>1700</v>
      </c>
      <c r="D117">
        <v>299.59379999999999</v>
      </c>
      <c r="E117">
        <v>4.2000000000000003E-2</v>
      </c>
      <c r="F117">
        <v>294.55669999999998</v>
      </c>
      <c r="G117">
        <v>300.3877</v>
      </c>
      <c r="H117">
        <v>303.83699999999999</v>
      </c>
      <c r="I117">
        <v>4.3999999999999997E-2</v>
      </c>
      <c r="J117">
        <v>4.7E-2</v>
      </c>
      <c r="K117">
        <v>3.3000000000000002E-2</v>
      </c>
      <c r="L117">
        <v>1980</v>
      </c>
      <c r="M117">
        <v>1985.6</v>
      </c>
      <c r="N117">
        <v>2003.6</v>
      </c>
      <c r="Q117">
        <f t="shared" si="15"/>
        <v>299.60000000000002</v>
      </c>
      <c r="R117">
        <f t="shared" si="19"/>
        <v>299.60000000000002</v>
      </c>
      <c r="S117">
        <f t="shared" si="20"/>
        <v>0.40000000000003411</v>
      </c>
      <c r="X117">
        <f t="shared" si="16"/>
        <v>0</v>
      </c>
      <c r="Y117">
        <f t="shared" si="17"/>
        <v>0</v>
      </c>
      <c r="Z117">
        <f t="shared" si="18"/>
        <v>0</v>
      </c>
    </row>
    <row r="118" spans="1:26" x14ac:dyDescent="0.25">
      <c r="A118" s="2">
        <v>44858</v>
      </c>
      <c r="B118" s="3">
        <v>297</v>
      </c>
      <c r="C118" s="3">
        <v>1800</v>
      </c>
      <c r="D118">
        <v>299.74790000000002</v>
      </c>
      <c r="E118">
        <v>4.1000000000000002E-2</v>
      </c>
      <c r="F118">
        <v>294.7072</v>
      </c>
      <c r="G118">
        <v>300.54559999999998</v>
      </c>
      <c r="H118">
        <v>303.99079999999998</v>
      </c>
      <c r="I118">
        <v>3.9E-2</v>
      </c>
      <c r="J118">
        <v>4.3999999999999997E-2</v>
      </c>
      <c r="K118">
        <v>3.9E-2</v>
      </c>
      <c r="L118">
        <v>1980.2</v>
      </c>
      <c r="M118">
        <v>1985.8</v>
      </c>
      <c r="N118">
        <v>2004</v>
      </c>
      <c r="Q118">
        <f t="shared" si="15"/>
        <v>299.7</v>
      </c>
      <c r="R118">
        <f t="shared" si="19"/>
        <v>299.7</v>
      </c>
      <c r="S118">
        <f t="shared" si="20"/>
        <v>9.9999999999965894E-2</v>
      </c>
      <c r="X118">
        <f t="shared" si="16"/>
        <v>0</v>
      </c>
      <c r="Y118">
        <f t="shared" si="17"/>
        <v>0</v>
      </c>
      <c r="Z118">
        <f t="shared" si="18"/>
        <v>0</v>
      </c>
    </row>
    <row r="119" spans="1:26" x14ac:dyDescent="0.25">
      <c r="A119" s="2">
        <v>44858</v>
      </c>
      <c r="B119" s="3">
        <v>297</v>
      </c>
      <c r="C119" s="3">
        <v>1900</v>
      </c>
      <c r="D119">
        <v>299.79320000000001</v>
      </c>
      <c r="E119">
        <v>3.3000000000000002E-2</v>
      </c>
      <c r="F119">
        <v>294.7518</v>
      </c>
      <c r="G119">
        <v>300.58730000000003</v>
      </c>
      <c r="H119">
        <v>304.04050000000001</v>
      </c>
      <c r="I119">
        <v>3.6999999999999998E-2</v>
      </c>
      <c r="J119">
        <v>1.6E-2</v>
      </c>
      <c r="K119">
        <v>0.04</v>
      </c>
      <c r="L119">
        <v>1980.4</v>
      </c>
      <c r="M119">
        <v>1985.8</v>
      </c>
      <c r="N119">
        <v>2004</v>
      </c>
      <c r="Q119">
        <f t="shared" si="15"/>
        <v>299.8</v>
      </c>
      <c r="R119">
        <f t="shared" si="19"/>
        <v>299.8</v>
      </c>
      <c r="S119">
        <f t="shared" si="20"/>
        <v>0.10000000000002274</v>
      </c>
      <c r="X119">
        <f t="shared" si="16"/>
        <v>0</v>
      </c>
      <c r="Y119">
        <f t="shared" si="17"/>
        <v>0</v>
      </c>
      <c r="Z119">
        <f t="shared" si="18"/>
        <v>0</v>
      </c>
    </row>
    <row r="120" spans="1:26" x14ac:dyDescent="0.25">
      <c r="A120" s="2">
        <v>44858</v>
      </c>
      <c r="B120" s="3">
        <v>297</v>
      </c>
      <c r="C120" s="3">
        <v>2000</v>
      </c>
      <c r="D120">
        <v>299.73140000000001</v>
      </c>
      <c r="E120">
        <v>3.9E-2</v>
      </c>
      <c r="F120">
        <v>294.6934</v>
      </c>
      <c r="G120">
        <v>300.52080000000001</v>
      </c>
      <c r="H120">
        <v>303.97989999999999</v>
      </c>
      <c r="I120">
        <v>3.2000000000000001E-2</v>
      </c>
      <c r="J120">
        <v>0.04</v>
      </c>
      <c r="K120">
        <v>4.2999999999999997E-2</v>
      </c>
      <c r="L120">
        <v>1980</v>
      </c>
      <c r="M120">
        <v>1985.6</v>
      </c>
      <c r="N120">
        <v>2003.8</v>
      </c>
      <c r="Q120">
        <f t="shared" si="15"/>
        <v>299.7</v>
      </c>
      <c r="R120">
        <f t="shared" si="19"/>
        <v>299.8</v>
      </c>
      <c r="S120">
        <f t="shared" si="20"/>
        <v>0</v>
      </c>
      <c r="X120">
        <f t="shared" si="16"/>
        <v>0</v>
      </c>
      <c r="Y120">
        <f t="shared" si="17"/>
        <v>0</v>
      </c>
      <c r="Z120">
        <f t="shared" si="18"/>
        <v>0</v>
      </c>
    </row>
    <row r="121" spans="1:26" x14ac:dyDescent="0.25">
      <c r="A121" s="2">
        <v>44858</v>
      </c>
      <c r="B121" s="3">
        <v>297</v>
      </c>
      <c r="C121" s="3">
        <v>2100</v>
      </c>
      <c r="D121">
        <v>299.82100000000003</v>
      </c>
      <c r="E121">
        <v>3.7999999999999999E-2</v>
      </c>
      <c r="F121">
        <v>294.77640000000002</v>
      </c>
      <c r="G121">
        <v>300.61059999999998</v>
      </c>
      <c r="H121">
        <v>304.07619999999997</v>
      </c>
      <c r="I121">
        <v>3.4000000000000002E-2</v>
      </c>
      <c r="J121">
        <v>0.04</v>
      </c>
      <c r="K121">
        <v>0.04</v>
      </c>
      <c r="L121">
        <v>1980.4</v>
      </c>
      <c r="M121">
        <v>1986</v>
      </c>
      <c r="N121">
        <v>2004</v>
      </c>
      <c r="Q121">
        <f t="shared" si="15"/>
        <v>299.8</v>
      </c>
      <c r="R121">
        <f t="shared" si="19"/>
        <v>299.8</v>
      </c>
      <c r="S121">
        <f t="shared" si="20"/>
        <v>0</v>
      </c>
      <c r="X121">
        <f t="shared" si="16"/>
        <v>0</v>
      </c>
      <c r="Y121">
        <f t="shared" si="17"/>
        <v>0</v>
      </c>
      <c r="Z121">
        <f t="shared" si="18"/>
        <v>0</v>
      </c>
    </row>
    <row r="122" spans="1:26" x14ac:dyDescent="0.25">
      <c r="A122" s="2">
        <v>44858</v>
      </c>
      <c r="B122" s="3">
        <v>297</v>
      </c>
      <c r="C122" s="3">
        <v>2200</v>
      </c>
      <c r="D122">
        <v>299.8777</v>
      </c>
      <c r="E122">
        <v>0.04</v>
      </c>
      <c r="F122">
        <v>294.82859999999999</v>
      </c>
      <c r="G122">
        <v>300.6662</v>
      </c>
      <c r="H122">
        <v>304.13839999999999</v>
      </c>
      <c r="I122">
        <v>4.2000000000000003E-2</v>
      </c>
      <c r="J122">
        <v>3.5999999999999997E-2</v>
      </c>
      <c r="K122">
        <v>4.2999999999999997E-2</v>
      </c>
      <c r="L122">
        <v>1980.6</v>
      </c>
      <c r="M122">
        <v>1986</v>
      </c>
      <c r="N122">
        <v>2004.4</v>
      </c>
      <c r="Q122">
        <f t="shared" si="15"/>
        <v>299.89999999999998</v>
      </c>
      <c r="R122">
        <f t="shared" si="19"/>
        <v>299.89999999999998</v>
      </c>
      <c r="S122">
        <f t="shared" si="20"/>
        <v>9.9999999999965894E-2</v>
      </c>
      <c r="X122">
        <f t="shared" si="16"/>
        <v>0</v>
      </c>
      <c r="Y122">
        <f t="shared" si="17"/>
        <v>0</v>
      </c>
      <c r="Z122">
        <f t="shared" si="18"/>
        <v>0</v>
      </c>
    </row>
    <row r="123" spans="1:26" x14ac:dyDescent="0.25">
      <c r="A123" s="2">
        <v>44858</v>
      </c>
      <c r="B123" s="3">
        <v>297</v>
      </c>
      <c r="C123" s="3">
        <v>2300</v>
      </c>
      <c r="D123">
        <v>300.46960000000001</v>
      </c>
      <c r="E123">
        <v>3.5000000000000003E-2</v>
      </c>
      <c r="F123">
        <v>295.41140000000001</v>
      </c>
      <c r="G123">
        <v>301.26850000000002</v>
      </c>
      <c r="H123">
        <v>304.72890000000001</v>
      </c>
      <c r="I123">
        <v>0.04</v>
      </c>
      <c r="J123">
        <v>3.7999999999999999E-2</v>
      </c>
      <c r="K123">
        <v>2.3E-2</v>
      </c>
      <c r="L123">
        <v>1981.8</v>
      </c>
      <c r="M123">
        <v>1987.4</v>
      </c>
      <c r="N123">
        <v>2005.6</v>
      </c>
      <c r="Q123">
        <f t="shared" si="15"/>
        <v>300.5</v>
      </c>
      <c r="R123">
        <f t="shared" si="19"/>
        <v>300.5</v>
      </c>
      <c r="S123">
        <f t="shared" si="20"/>
        <v>0.60000000000002274</v>
      </c>
      <c r="X123">
        <f t="shared" si="16"/>
        <v>0</v>
      </c>
      <c r="Y123">
        <f t="shared" si="17"/>
        <v>0</v>
      </c>
      <c r="Z123">
        <f t="shared" si="18"/>
        <v>0</v>
      </c>
    </row>
    <row r="124" spans="1:26" x14ac:dyDescent="0.25">
      <c r="A124" s="2">
        <v>44858</v>
      </c>
      <c r="B124" s="3">
        <v>297</v>
      </c>
      <c r="C124" s="3">
        <v>2400</v>
      </c>
      <c r="D124">
        <v>302.1454</v>
      </c>
      <c r="E124">
        <v>5.8999999999999997E-2</v>
      </c>
      <c r="F124">
        <v>297.06349999999998</v>
      </c>
      <c r="G124">
        <v>302.95690000000002</v>
      </c>
      <c r="H124">
        <v>306.41570000000002</v>
      </c>
      <c r="I124">
        <v>5.7000000000000002E-2</v>
      </c>
      <c r="J124">
        <v>5.8000000000000003E-2</v>
      </c>
      <c r="K124">
        <v>6.0999999999999999E-2</v>
      </c>
      <c r="L124">
        <v>1985.8</v>
      </c>
      <c r="M124">
        <v>1991.4</v>
      </c>
      <c r="N124">
        <v>2009.6</v>
      </c>
      <c r="Q124">
        <f t="shared" si="15"/>
        <v>302.10000000000002</v>
      </c>
      <c r="R124">
        <f t="shared" si="19"/>
        <v>302.10000000000002</v>
      </c>
      <c r="S124">
        <f t="shared" si="20"/>
        <v>1.6000000000000227</v>
      </c>
      <c r="X124">
        <f t="shared" si="16"/>
        <v>0</v>
      </c>
      <c r="Y124">
        <f t="shared" si="17"/>
        <v>0</v>
      </c>
      <c r="Z124">
        <f t="shared" si="18"/>
        <v>0</v>
      </c>
    </row>
    <row r="125" spans="1:26" x14ac:dyDescent="0.25">
      <c r="A125" s="2">
        <v>44859</v>
      </c>
      <c r="B125" s="3">
        <v>298</v>
      </c>
      <c r="C125" s="3">
        <v>100</v>
      </c>
      <c r="D125">
        <v>303.49740000000003</v>
      </c>
      <c r="E125">
        <v>4.5999999999999999E-2</v>
      </c>
      <c r="F125">
        <v>298.39789999999999</v>
      </c>
      <c r="G125">
        <v>304.32389999999998</v>
      </c>
      <c r="H125">
        <v>307.77050000000003</v>
      </c>
      <c r="I125">
        <v>4.3999999999999997E-2</v>
      </c>
      <c r="J125">
        <v>4.7E-2</v>
      </c>
      <c r="K125">
        <v>4.8000000000000001E-2</v>
      </c>
      <c r="L125">
        <v>1988.8</v>
      </c>
      <c r="M125">
        <v>1994.2</v>
      </c>
      <c r="N125">
        <v>2012.6</v>
      </c>
      <c r="Q125">
        <f t="shared" si="15"/>
        <v>303.5</v>
      </c>
      <c r="R125">
        <f t="shared" si="19"/>
        <v>303.5</v>
      </c>
      <c r="S125">
        <f t="shared" si="20"/>
        <v>1.3999999999999773</v>
      </c>
      <c r="X125">
        <f t="shared" si="16"/>
        <v>0</v>
      </c>
      <c r="Y125">
        <f t="shared" si="17"/>
        <v>0</v>
      </c>
      <c r="Z125">
        <f t="shared" si="18"/>
        <v>0</v>
      </c>
    </row>
    <row r="126" spans="1:26" x14ac:dyDescent="0.25">
      <c r="A126" s="2">
        <v>44859</v>
      </c>
      <c r="B126" s="3">
        <v>298</v>
      </c>
      <c r="C126" s="3">
        <v>200</v>
      </c>
      <c r="D126">
        <v>304.17700000000002</v>
      </c>
      <c r="E126">
        <v>3.4000000000000002E-2</v>
      </c>
      <c r="F126">
        <v>299.06819999999999</v>
      </c>
      <c r="G126">
        <v>304.98970000000003</v>
      </c>
      <c r="H126">
        <v>308.47300000000001</v>
      </c>
      <c r="I126">
        <v>0.03</v>
      </c>
      <c r="J126">
        <v>3.5000000000000003E-2</v>
      </c>
      <c r="K126">
        <v>3.6999999999999998E-2</v>
      </c>
      <c r="L126">
        <v>1990.2</v>
      </c>
      <c r="M126">
        <v>1995.8</v>
      </c>
      <c r="N126">
        <v>2014</v>
      </c>
      <c r="Q126">
        <f t="shared" si="15"/>
        <v>304.2</v>
      </c>
      <c r="R126">
        <f t="shared" si="19"/>
        <v>304.2</v>
      </c>
      <c r="S126">
        <f t="shared" si="20"/>
        <v>0.69999999999998863</v>
      </c>
      <c r="X126">
        <f t="shared" si="16"/>
        <v>0</v>
      </c>
      <c r="Y126">
        <f t="shared" si="17"/>
        <v>0</v>
      </c>
      <c r="Z126">
        <f t="shared" si="18"/>
        <v>0</v>
      </c>
    </row>
    <row r="127" spans="1:26" x14ac:dyDescent="0.25">
      <c r="A127" s="2">
        <v>44859</v>
      </c>
      <c r="B127" s="3">
        <v>298</v>
      </c>
      <c r="C127" s="3">
        <v>300</v>
      </c>
      <c r="D127">
        <v>304.54430000000002</v>
      </c>
      <c r="E127">
        <v>3.2000000000000001E-2</v>
      </c>
      <c r="F127">
        <v>299.44380000000001</v>
      </c>
      <c r="G127">
        <v>305.35700000000003</v>
      </c>
      <c r="H127">
        <v>308.83229999999998</v>
      </c>
      <c r="I127">
        <v>3.3000000000000002E-2</v>
      </c>
      <c r="J127">
        <v>0.02</v>
      </c>
      <c r="K127">
        <v>3.9E-2</v>
      </c>
      <c r="L127">
        <v>1991</v>
      </c>
      <c r="M127">
        <v>1996.6</v>
      </c>
      <c r="N127">
        <v>2014.8</v>
      </c>
      <c r="Q127">
        <f t="shared" si="15"/>
        <v>304.5</v>
      </c>
      <c r="R127">
        <f t="shared" si="19"/>
        <v>304.5</v>
      </c>
      <c r="S127">
        <f t="shared" si="20"/>
        <v>0.30000000000001137</v>
      </c>
      <c r="X127">
        <f t="shared" si="16"/>
        <v>0</v>
      </c>
      <c r="Y127">
        <f t="shared" si="17"/>
        <v>0</v>
      </c>
      <c r="Z127">
        <f t="shared" si="18"/>
        <v>0</v>
      </c>
    </row>
    <row r="128" spans="1:26" x14ac:dyDescent="0.25">
      <c r="A128" s="2">
        <v>44859</v>
      </c>
      <c r="B128" s="3">
        <v>298</v>
      </c>
      <c r="C128" s="3">
        <v>400</v>
      </c>
      <c r="D128">
        <v>304.58269999999999</v>
      </c>
      <c r="E128">
        <v>4.1000000000000002E-2</v>
      </c>
      <c r="F128">
        <v>299.48239999999998</v>
      </c>
      <c r="G128">
        <v>305.39120000000003</v>
      </c>
      <c r="H128">
        <v>308.87450000000001</v>
      </c>
      <c r="I128">
        <v>4.2999999999999997E-2</v>
      </c>
      <c r="J128">
        <v>4.2000000000000003E-2</v>
      </c>
      <c r="K128">
        <v>3.9E-2</v>
      </c>
      <c r="L128">
        <v>1991.2</v>
      </c>
      <c r="M128">
        <v>1996.6</v>
      </c>
      <c r="N128">
        <v>2014.8</v>
      </c>
      <c r="Q128">
        <f t="shared" si="15"/>
        <v>304.60000000000002</v>
      </c>
      <c r="R128">
        <f t="shared" si="19"/>
        <v>304.60000000000002</v>
      </c>
      <c r="S128">
        <f t="shared" si="20"/>
        <v>0.10000000000002274</v>
      </c>
      <c r="X128">
        <f t="shared" si="16"/>
        <v>0</v>
      </c>
      <c r="Y128">
        <f t="shared" si="17"/>
        <v>0</v>
      </c>
      <c r="Z128">
        <f t="shared" si="18"/>
        <v>0</v>
      </c>
    </row>
    <row r="129" spans="1:26" x14ac:dyDescent="0.25">
      <c r="A129" s="2">
        <v>44859</v>
      </c>
      <c r="B129" s="3">
        <v>298</v>
      </c>
      <c r="C129" s="3">
        <v>500</v>
      </c>
      <c r="D129">
        <v>304.58370000000002</v>
      </c>
      <c r="E129">
        <v>4.1000000000000002E-2</v>
      </c>
      <c r="F129">
        <v>299.48860000000002</v>
      </c>
      <c r="G129">
        <v>305.3897</v>
      </c>
      <c r="H129">
        <v>308.87290000000002</v>
      </c>
      <c r="I129">
        <v>4.1000000000000002E-2</v>
      </c>
      <c r="J129">
        <v>4.1000000000000002E-2</v>
      </c>
      <c r="K129">
        <v>0.04</v>
      </c>
      <c r="L129">
        <v>1991.2</v>
      </c>
      <c r="M129">
        <v>1996.6</v>
      </c>
      <c r="N129">
        <v>2014.8</v>
      </c>
      <c r="Q129">
        <f t="shared" si="15"/>
        <v>304.60000000000002</v>
      </c>
      <c r="R129">
        <f t="shared" si="19"/>
        <v>304.60000000000002</v>
      </c>
      <c r="S129">
        <f t="shared" si="20"/>
        <v>0</v>
      </c>
      <c r="X129">
        <f t="shared" si="16"/>
        <v>0</v>
      </c>
      <c r="Y129">
        <f t="shared" si="17"/>
        <v>0</v>
      </c>
      <c r="Z129">
        <f t="shared" si="18"/>
        <v>0</v>
      </c>
    </row>
    <row r="130" spans="1:26" x14ac:dyDescent="0.25">
      <c r="A130" s="2">
        <v>44859</v>
      </c>
      <c r="B130" s="3">
        <v>298</v>
      </c>
      <c r="C130" s="3">
        <v>600</v>
      </c>
      <c r="D130">
        <v>304.59559999999999</v>
      </c>
      <c r="E130">
        <v>3.5999999999999997E-2</v>
      </c>
      <c r="F130">
        <v>299.50560000000002</v>
      </c>
      <c r="G130">
        <v>305.39589999999998</v>
      </c>
      <c r="H130">
        <v>308.8854</v>
      </c>
      <c r="I130">
        <v>3.3000000000000002E-2</v>
      </c>
      <c r="J130">
        <v>4.2999999999999997E-2</v>
      </c>
      <c r="K130">
        <v>3.1E-2</v>
      </c>
      <c r="L130">
        <v>1991.2</v>
      </c>
      <c r="M130">
        <v>1996.6</v>
      </c>
      <c r="N130">
        <v>2015</v>
      </c>
      <c r="Q130">
        <f t="shared" si="15"/>
        <v>304.60000000000002</v>
      </c>
      <c r="R130">
        <f t="shared" si="19"/>
        <v>304.60000000000002</v>
      </c>
      <c r="S130">
        <f t="shared" si="20"/>
        <v>0</v>
      </c>
      <c r="X130">
        <f t="shared" si="16"/>
        <v>0</v>
      </c>
      <c r="Y130">
        <f t="shared" si="17"/>
        <v>0</v>
      </c>
      <c r="Z130">
        <f t="shared" si="18"/>
        <v>0</v>
      </c>
    </row>
    <row r="131" spans="1:26" x14ac:dyDescent="0.25">
      <c r="A131" s="2">
        <v>44859</v>
      </c>
      <c r="B131" s="3">
        <v>298</v>
      </c>
      <c r="C131" s="3">
        <v>700</v>
      </c>
      <c r="D131">
        <v>304.62880000000001</v>
      </c>
      <c r="E131">
        <v>3.6999999999999998E-2</v>
      </c>
      <c r="F131">
        <v>299.53960000000001</v>
      </c>
      <c r="G131">
        <v>305.43020000000001</v>
      </c>
      <c r="H131">
        <v>308.91660000000002</v>
      </c>
      <c r="I131">
        <v>3.9E-2</v>
      </c>
      <c r="J131">
        <v>3.6999999999999998E-2</v>
      </c>
      <c r="K131">
        <v>3.5999999999999997E-2</v>
      </c>
      <c r="L131">
        <v>1991.2</v>
      </c>
      <c r="M131">
        <v>1996.6</v>
      </c>
      <c r="N131">
        <v>2015</v>
      </c>
      <c r="Q131">
        <f t="shared" si="15"/>
        <v>304.60000000000002</v>
      </c>
      <c r="R131">
        <f t="shared" si="19"/>
        <v>304.60000000000002</v>
      </c>
      <c r="S131">
        <f t="shared" si="20"/>
        <v>0</v>
      </c>
      <c r="X131">
        <f t="shared" si="16"/>
        <v>0</v>
      </c>
      <c r="Y131">
        <f t="shared" si="17"/>
        <v>0</v>
      </c>
      <c r="Z131">
        <f t="shared" si="18"/>
        <v>0</v>
      </c>
    </row>
    <row r="132" spans="1:26" x14ac:dyDescent="0.25">
      <c r="A132" s="2">
        <v>44859</v>
      </c>
      <c r="B132" s="3">
        <v>298</v>
      </c>
      <c r="C132" s="3">
        <v>800</v>
      </c>
      <c r="D132">
        <v>304.69150000000002</v>
      </c>
      <c r="E132">
        <v>3.4000000000000002E-2</v>
      </c>
      <c r="F132">
        <v>299.60610000000003</v>
      </c>
      <c r="G132">
        <v>305.49709999999999</v>
      </c>
      <c r="H132">
        <v>308.97129999999999</v>
      </c>
      <c r="I132">
        <v>0.02</v>
      </c>
      <c r="J132">
        <v>4.3999999999999997E-2</v>
      </c>
      <c r="K132">
        <v>3.4000000000000002E-2</v>
      </c>
      <c r="L132">
        <v>1991.4</v>
      </c>
      <c r="M132">
        <v>1997</v>
      </c>
      <c r="N132">
        <v>2015.2</v>
      </c>
      <c r="Q132">
        <f t="shared" si="15"/>
        <v>304.7</v>
      </c>
      <c r="R132">
        <f t="shared" si="19"/>
        <v>304.7</v>
      </c>
      <c r="S132">
        <f t="shared" si="20"/>
        <v>9.9999999999965894E-2</v>
      </c>
      <c r="X132">
        <f t="shared" si="16"/>
        <v>0</v>
      </c>
      <c r="Y132">
        <f t="shared" si="17"/>
        <v>0</v>
      </c>
      <c r="Z132">
        <f t="shared" si="18"/>
        <v>0</v>
      </c>
    </row>
    <row r="133" spans="1:26" x14ac:dyDescent="0.25">
      <c r="A133" s="2">
        <v>44859</v>
      </c>
      <c r="B133" s="3">
        <v>298</v>
      </c>
      <c r="C133" s="3">
        <v>900</v>
      </c>
      <c r="D133">
        <v>304.67489999999998</v>
      </c>
      <c r="E133">
        <v>4.1000000000000002E-2</v>
      </c>
      <c r="F133">
        <v>299.58760000000001</v>
      </c>
      <c r="G133">
        <v>305.48930000000001</v>
      </c>
      <c r="H133">
        <v>308.9479</v>
      </c>
      <c r="I133">
        <v>3.5000000000000003E-2</v>
      </c>
      <c r="J133">
        <v>4.3999999999999997E-2</v>
      </c>
      <c r="K133">
        <v>4.3999999999999997E-2</v>
      </c>
      <c r="L133">
        <v>1991.4</v>
      </c>
      <c r="M133">
        <v>1997</v>
      </c>
      <c r="N133">
        <v>2015.2</v>
      </c>
      <c r="Q133">
        <f t="shared" si="15"/>
        <v>304.7</v>
      </c>
      <c r="R133">
        <f t="shared" si="19"/>
        <v>304.7</v>
      </c>
      <c r="S133">
        <f t="shared" si="20"/>
        <v>0</v>
      </c>
      <c r="X133">
        <f t="shared" si="16"/>
        <v>0</v>
      </c>
      <c r="Y133">
        <f t="shared" si="17"/>
        <v>0</v>
      </c>
      <c r="Z133">
        <f t="shared" si="18"/>
        <v>0</v>
      </c>
    </row>
    <row r="134" spans="1:26" x14ac:dyDescent="0.25">
      <c r="A134" s="2">
        <v>44859</v>
      </c>
      <c r="B134" s="3">
        <v>298</v>
      </c>
      <c r="C134" s="3">
        <v>1000</v>
      </c>
      <c r="D134">
        <v>304.64580000000001</v>
      </c>
      <c r="E134">
        <v>3.5000000000000003E-2</v>
      </c>
      <c r="F134">
        <v>299.57679999999999</v>
      </c>
      <c r="G134">
        <v>305.46600000000001</v>
      </c>
      <c r="H134">
        <v>308.89479999999998</v>
      </c>
      <c r="I134">
        <v>4.1000000000000002E-2</v>
      </c>
      <c r="J134">
        <v>3.7999999999999999E-2</v>
      </c>
      <c r="K134">
        <v>2.3E-2</v>
      </c>
      <c r="L134">
        <v>1991.4</v>
      </c>
      <c r="M134">
        <v>1997</v>
      </c>
      <c r="N134">
        <v>2015</v>
      </c>
      <c r="Q134">
        <f t="shared" si="15"/>
        <v>304.60000000000002</v>
      </c>
      <c r="R134">
        <f t="shared" si="19"/>
        <v>304.7</v>
      </c>
      <c r="S134">
        <f t="shared" si="20"/>
        <v>0</v>
      </c>
      <c r="X134">
        <f t="shared" si="16"/>
        <v>0</v>
      </c>
      <c r="Y134">
        <f t="shared" si="17"/>
        <v>0</v>
      </c>
      <c r="Z134">
        <f t="shared" si="18"/>
        <v>0</v>
      </c>
    </row>
    <row r="135" spans="1:26" x14ac:dyDescent="0.25">
      <c r="A135" s="2">
        <v>44859</v>
      </c>
      <c r="B135" s="3">
        <v>298</v>
      </c>
      <c r="C135" s="3">
        <v>1100</v>
      </c>
      <c r="D135">
        <v>304.59039999999999</v>
      </c>
      <c r="E135">
        <v>3.5000000000000003E-2</v>
      </c>
      <c r="F135">
        <v>299.51490000000001</v>
      </c>
      <c r="G135">
        <v>305.41609999999997</v>
      </c>
      <c r="H135">
        <v>308.84010000000001</v>
      </c>
      <c r="I135">
        <v>1.2E-2</v>
      </c>
      <c r="J135">
        <v>4.2999999999999997E-2</v>
      </c>
      <c r="K135">
        <v>4.2000000000000003E-2</v>
      </c>
      <c r="L135">
        <v>1991.2</v>
      </c>
      <c r="M135">
        <v>1996.6</v>
      </c>
      <c r="N135">
        <v>2014.8</v>
      </c>
      <c r="Q135">
        <f t="shared" si="15"/>
        <v>304.60000000000002</v>
      </c>
      <c r="R135">
        <f t="shared" si="19"/>
        <v>304.7</v>
      </c>
      <c r="S135">
        <f t="shared" si="20"/>
        <v>0</v>
      </c>
      <c r="X135">
        <f t="shared" si="16"/>
        <v>0</v>
      </c>
      <c r="Y135">
        <f t="shared" si="17"/>
        <v>0</v>
      </c>
      <c r="Z135">
        <f t="shared" si="18"/>
        <v>0</v>
      </c>
    </row>
    <row r="136" spans="1:26" x14ac:dyDescent="0.25">
      <c r="A136" s="2">
        <v>44859</v>
      </c>
      <c r="B136" s="3">
        <v>298</v>
      </c>
      <c r="C136" s="3">
        <v>1200</v>
      </c>
      <c r="D136">
        <v>304.58</v>
      </c>
      <c r="E136">
        <v>3.7999999999999999E-2</v>
      </c>
      <c r="F136">
        <v>299.50560000000002</v>
      </c>
      <c r="G136">
        <v>305.40370000000001</v>
      </c>
      <c r="H136">
        <v>308.83069999999998</v>
      </c>
      <c r="I136">
        <v>2.9000000000000001E-2</v>
      </c>
      <c r="J136">
        <v>4.3999999999999997E-2</v>
      </c>
      <c r="K136">
        <v>3.7999999999999999E-2</v>
      </c>
      <c r="L136">
        <v>1991.2</v>
      </c>
      <c r="M136">
        <v>1996.6</v>
      </c>
      <c r="N136">
        <v>2014.8</v>
      </c>
      <c r="Q136">
        <f t="shared" si="15"/>
        <v>304.60000000000002</v>
      </c>
      <c r="R136">
        <f t="shared" si="19"/>
        <v>304.7</v>
      </c>
      <c r="S136">
        <f t="shared" si="20"/>
        <v>0</v>
      </c>
      <c r="X136">
        <f t="shared" si="16"/>
        <v>0</v>
      </c>
      <c r="Y136">
        <f t="shared" si="17"/>
        <v>0</v>
      </c>
      <c r="Z136">
        <f t="shared" si="18"/>
        <v>0</v>
      </c>
    </row>
    <row r="137" spans="1:26" x14ac:dyDescent="0.25">
      <c r="A137" s="2">
        <v>44859</v>
      </c>
      <c r="B137" s="3">
        <v>298</v>
      </c>
      <c r="C137" s="3">
        <v>1300</v>
      </c>
      <c r="D137">
        <v>304.54930000000002</v>
      </c>
      <c r="E137">
        <v>3.3000000000000002E-2</v>
      </c>
      <c r="F137">
        <v>299.51330000000002</v>
      </c>
      <c r="G137">
        <v>305.34609999999998</v>
      </c>
      <c r="H137">
        <v>308.7885</v>
      </c>
      <c r="I137">
        <v>2.8000000000000001E-2</v>
      </c>
      <c r="J137">
        <v>3.4000000000000002E-2</v>
      </c>
      <c r="K137">
        <v>3.6999999999999998E-2</v>
      </c>
      <c r="L137">
        <v>1991.2</v>
      </c>
      <c r="M137">
        <v>1996.6</v>
      </c>
      <c r="N137">
        <v>2014.8</v>
      </c>
      <c r="Q137">
        <f t="shared" si="15"/>
        <v>304.5</v>
      </c>
      <c r="R137">
        <f t="shared" si="19"/>
        <v>304.7</v>
      </c>
      <c r="S137">
        <f t="shared" si="20"/>
        <v>0</v>
      </c>
      <c r="X137">
        <f t="shared" si="16"/>
        <v>0</v>
      </c>
      <c r="Y137">
        <f t="shared" si="17"/>
        <v>0</v>
      </c>
      <c r="Z137">
        <f t="shared" si="18"/>
        <v>0</v>
      </c>
    </row>
    <row r="138" spans="1:26" x14ac:dyDescent="0.25">
      <c r="A138" s="2">
        <v>44859</v>
      </c>
      <c r="B138" s="3">
        <v>298</v>
      </c>
      <c r="C138" s="3">
        <v>1400</v>
      </c>
      <c r="D138">
        <v>304.49239999999998</v>
      </c>
      <c r="E138">
        <v>3.1E-2</v>
      </c>
      <c r="F138">
        <v>299.41910000000001</v>
      </c>
      <c r="G138">
        <v>305.33980000000003</v>
      </c>
      <c r="H138">
        <v>308.71820000000002</v>
      </c>
      <c r="I138">
        <v>3.2000000000000001E-2</v>
      </c>
      <c r="J138">
        <v>3.7999999999999999E-2</v>
      </c>
      <c r="K138">
        <v>0.02</v>
      </c>
      <c r="L138">
        <v>1991</v>
      </c>
      <c r="M138">
        <v>1996.6</v>
      </c>
      <c r="N138">
        <v>2014.6</v>
      </c>
      <c r="Q138">
        <f t="shared" si="15"/>
        <v>304.5</v>
      </c>
      <c r="R138">
        <f t="shared" si="19"/>
        <v>304.7</v>
      </c>
      <c r="S138">
        <f t="shared" si="20"/>
        <v>0</v>
      </c>
      <c r="X138">
        <f t="shared" si="16"/>
        <v>0</v>
      </c>
      <c r="Y138">
        <f t="shared" si="17"/>
        <v>0</v>
      </c>
      <c r="Z138">
        <f t="shared" si="18"/>
        <v>0</v>
      </c>
    </row>
    <row r="139" spans="1:26" x14ac:dyDescent="0.25">
      <c r="A139" s="2">
        <v>44859</v>
      </c>
      <c r="B139" s="3">
        <v>298</v>
      </c>
      <c r="C139" s="3">
        <v>1500</v>
      </c>
      <c r="D139">
        <v>304.50020000000001</v>
      </c>
      <c r="E139">
        <v>3.7999999999999999E-2</v>
      </c>
      <c r="F139">
        <v>299.4221</v>
      </c>
      <c r="G139">
        <v>305.32889999999998</v>
      </c>
      <c r="H139">
        <v>308.74950000000001</v>
      </c>
      <c r="I139">
        <v>2.8000000000000001E-2</v>
      </c>
      <c r="J139">
        <v>4.2999999999999997E-2</v>
      </c>
      <c r="K139">
        <v>4.2000000000000003E-2</v>
      </c>
      <c r="L139">
        <v>1991</v>
      </c>
      <c r="M139">
        <v>1996.4</v>
      </c>
      <c r="N139">
        <v>2014.6</v>
      </c>
      <c r="Q139">
        <f t="shared" si="15"/>
        <v>304.5</v>
      </c>
      <c r="R139">
        <f t="shared" si="19"/>
        <v>304.7</v>
      </c>
      <c r="S139">
        <f t="shared" si="20"/>
        <v>0</v>
      </c>
      <c r="X139">
        <f t="shared" si="16"/>
        <v>0</v>
      </c>
      <c r="Y139">
        <f t="shared" si="17"/>
        <v>0</v>
      </c>
      <c r="Z139">
        <f t="shared" si="18"/>
        <v>0</v>
      </c>
    </row>
    <row r="140" spans="1:26" x14ac:dyDescent="0.25">
      <c r="A140" s="2">
        <v>44859</v>
      </c>
      <c r="B140" s="3">
        <v>298</v>
      </c>
      <c r="C140" s="3">
        <v>1600</v>
      </c>
      <c r="D140">
        <v>304.53910000000002</v>
      </c>
      <c r="E140">
        <v>4.1000000000000002E-2</v>
      </c>
      <c r="F140">
        <v>299.44839999999999</v>
      </c>
      <c r="G140">
        <v>305.39589999999998</v>
      </c>
      <c r="H140">
        <v>308.77289999999999</v>
      </c>
      <c r="I140">
        <v>3.6999999999999998E-2</v>
      </c>
      <c r="J140">
        <v>4.2999999999999997E-2</v>
      </c>
      <c r="K140">
        <v>4.3999999999999997E-2</v>
      </c>
      <c r="L140">
        <v>1991</v>
      </c>
      <c r="M140">
        <v>1996.8</v>
      </c>
      <c r="N140">
        <v>2014.8</v>
      </c>
      <c r="Q140">
        <f t="shared" si="15"/>
        <v>304.5</v>
      </c>
      <c r="R140">
        <f t="shared" si="19"/>
        <v>304.7</v>
      </c>
      <c r="S140">
        <f t="shared" si="20"/>
        <v>0</v>
      </c>
      <c r="X140">
        <f t="shared" si="16"/>
        <v>0</v>
      </c>
      <c r="Y140">
        <f t="shared" si="17"/>
        <v>0</v>
      </c>
      <c r="Z140">
        <f t="shared" si="18"/>
        <v>0</v>
      </c>
    </row>
    <row r="141" spans="1:26" x14ac:dyDescent="0.25">
      <c r="A141" s="2">
        <v>44859</v>
      </c>
      <c r="B141" s="3">
        <v>298</v>
      </c>
      <c r="C141" s="3">
        <v>1700</v>
      </c>
      <c r="D141">
        <v>304.56139999999999</v>
      </c>
      <c r="E141">
        <v>3.9E-2</v>
      </c>
      <c r="F141">
        <v>299.46850000000001</v>
      </c>
      <c r="G141">
        <v>305.41770000000002</v>
      </c>
      <c r="H141">
        <v>308.79790000000003</v>
      </c>
      <c r="I141">
        <v>4.3999999999999997E-2</v>
      </c>
      <c r="J141">
        <v>4.2999999999999997E-2</v>
      </c>
      <c r="K141">
        <v>2.9000000000000001E-2</v>
      </c>
      <c r="L141">
        <v>1991</v>
      </c>
      <c r="M141">
        <v>1996.8</v>
      </c>
      <c r="N141">
        <v>2014.8</v>
      </c>
      <c r="Q141">
        <f t="shared" si="15"/>
        <v>304.60000000000002</v>
      </c>
      <c r="R141">
        <f t="shared" si="19"/>
        <v>304.7</v>
      </c>
      <c r="S141">
        <f t="shared" si="20"/>
        <v>0</v>
      </c>
      <c r="X141">
        <f t="shared" si="16"/>
        <v>0</v>
      </c>
      <c r="Y141">
        <f t="shared" si="17"/>
        <v>0</v>
      </c>
      <c r="Z141">
        <f t="shared" si="18"/>
        <v>0</v>
      </c>
    </row>
    <row r="142" spans="1:26" x14ac:dyDescent="0.25">
      <c r="A142" s="2">
        <v>44859</v>
      </c>
      <c r="B142" s="3">
        <v>298</v>
      </c>
      <c r="C142" s="3">
        <v>1800</v>
      </c>
      <c r="D142">
        <v>304.5806</v>
      </c>
      <c r="E142">
        <v>3.7999999999999999E-2</v>
      </c>
      <c r="F142">
        <v>299.48239999999998</v>
      </c>
      <c r="G142">
        <v>305.43169999999998</v>
      </c>
      <c r="H142">
        <v>308.82760000000002</v>
      </c>
      <c r="I142">
        <v>4.2999999999999997E-2</v>
      </c>
      <c r="J142">
        <v>3.5999999999999997E-2</v>
      </c>
      <c r="K142">
        <v>3.5999999999999997E-2</v>
      </c>
      <c r="L142">
        <v>1991.2</v>
      </c>
      <c r="M142">
        <v>1996.6</v>
      </c>
      <c r="N142">
        <v>2014.8</v>
      </c>
      <c r="Q142">
        <f t="shared" si="15"/>
        <v>304.60000000000002</v>
      </c>
      <c r="R142">
        <f t="shared" si="19"/>
        <v>304.7</v>
      </c>
      <c r="S142">
        <f t="shared" si="20"/>
        <v>0</v>
      </c>
      <c r="X142">
        <f t="shared" si="16"/>
        <v>0</v>
      </c>
      <c r="Y142">
        <f t="shared" si="17"/>
        <v>0</v>
      </c>
      <c r="Z142">
        <f t="shared" si="18"/>
        <v>0</v>
      </c>
    </row>
    <row r="143" spans="1:26" x14ac:dyDescent="0.25">
      <c r="A143" s="2">
        <v>44859</v>
      </c>
      <c r="B143" s="3">
        <v>298</v>
      </c>
      <c r="C143" s="3">
        <v>1900</v>
      </c>
      <c r="D143">
        <v>304.59460000000001</v>
      </c>
      <c r="E143">
        <v>3.7999999999999999E-2</v>
      </c>
      <c r="F143">
        <v>299.49009999999998</v>
      </c>
      <c r="G143">
        <v>305.44729999999998</v>
      </c>
      <c r="H143">
        <v>308.84629999999999</v>
      </c>
      <c r="I143">
        <v>0.04</v>
      </c>
      <c r="J143">
        <v>2.9000000000000001E-2</v>
      </c>
      <c r="K143">
        <v>4.3999999999999997E-2</v>
      </c>
      <c r="L143">
        <v>1991.2</v>
      </c>
      <c r="M143">
        <v>1996.8</v>
      </c>
      <c r="N143">
        <v>2015</v>
      </c>
      <c r="Q143">
        <f t="shared" si="15"/>
        <v>304.60000000000002</v>
      </c>
      <c r="R143">
        <f t="shared" si="19"/>
        <v>304.7</v>
      </c>
      <c r="S143">
        <f t="shared" si="20"/>
        <v>0</v>
      </c>
      <c r="X143">
        <f t="shared" si="16"/>
        <v>0</v>
      </c>
      <c r="Y143">
        <f t="shared" si="17"/>
        <v>0</v>
      </c>
      <c r="Z143">
        <f t="shared" si="18"/>
        <v>0</v>
      </c>
    </row>
    <row r="144" spans="1:26" x14ac:dyDescent="0.25">
      <c r="A144" s="2">
        <v>44859</v>
      </c>
      <c r="B144" s="3">
        <v>298</v>
      </c>
      <c r="C144" s="3">
        <v>2000</v>
      </c>
      <c r="D144">
        <v>304.65010000000001</v>
      </c>
      <c r="E144">
        <v>3.9E-2</v>
      </c>
      <c r="F144">
        <v>299.53649999999999</v>
      </c>
      <c r="G144">
        <v>305.50330000000002</v>
      </c>
      <c r="H144">
        <v>308.91039999999998</v>
      </c>
      <c r="I144">
        <v>3.6999999999999998E-2</v>
      </c>
      <c r="J144">
        <v>4.3999999999999997E-2</v>
      </c>
      <c r="K144">
        <v>3.5000000000000003E-2</v>
      </c>
      <c r="L144">
        <v>1991.2</v>
      </c>
      <c r="M144">
        <v>1996.8</v>
      </c>
      <c r="N144">
        <v>2015</v>
      </c>
      <c r="Q144">
        <f t="shared" si="15"/>
        <v>304.7</v>
      </c>
      <c r="R144">
        <f t="shared" si="19"/>
        <v>304.7</v>
      </c>
      <c r="S144">
        <f t="shared" si="20"/>
        <v>0</v>
      </c>
      <c r="X144">
        <f t="shared" si="16"/>
        <v>0</v>
      </c>
      <c r="Y144">
        <f t="shared" si="17"/>
        <v>0</v>
      </c>
      <c r="Z144">
        <f t="shared" si="18"/>
        <v>0</v>
      </c>
    </row>
    <row r="145" spans="1:26" x14ac:dyDescent="0.25">
      <c r="A145" s="2">
        <v>44859</v>
      </c>
      <c r="B145" s="3">
        <v>298</v>
      </c>
      <c r="C145" s="3">
        <v>2100</v>
      </c>
      <c r="D145">
        <v>305.1567</v>
      </c>
      <c r="E145">
        <v>3.5000000000000003E-2</v>
      </c>
      <c r="F145">
        <v>300.03140000000002</v>
      </c>
      <c r="G145">
        <v>306.01569999999998</v>
      </c>
      <c r="H145">
        <v>309.42309999999998</v>
      </c>
      <c r="I145">
        <v>3.2000000000000001E-2</v>
      </c>
      <c r="J145">
        <v>4.2999999999999997E-2</v>
      </c>
      <c r="K145">
        <v>2.7E-2</v>
      </c>
      <c r="L145">
        <v>1992.4</v>
      </c>
      <c r="M145">
        <v>1998</v>
      </c>
      <c r="N145">
        <v>2016.2</v>
      </c>
      <c r="Q145">
        <f t="shared" si="15"/>
        <v>305.2</v>
      </c>
      <c r="R145">
        <f t="shared" si="19"/>
        <v>305.2</v>
      </c>
      <c r="S145">
        <f t="shared" si="20"/>
        <v>0.5</v>
      </c>
      <c r="X145">
        <f t="shared" si="16"/>
        <v>0</v>
      </c>
      <c r="Y145">
        <f t="shared" si="17"/>
        <v>0</v>
      </c>
      <c r="Z145">
        <f t="shared" si="18"/>
        <v>0</v>
      </c>
    </row>
    <row r="146" spans="1:26" x14ac:dyDescent="0.25">
      <c r="A146" s="2">
        <v>44859</v>
      </c>
      <c r="B146" s="3">
        <v>298</v>
      </c>
      <c r="C146" s="3">
        <v>2200</v>
      </c>
      <c r="D146">
        <v>305.66269999999997</v>
      </c>
      <c r="E146">
        <v>4.1000000000000002E-2</v>
      </c>
      <c r="F146">
        <v>300.52820000000003</v>
      </c>
      <c r="G146">
        <v>306.52690000000001</v>
      </c>
      <c r="H146">
        <v>309.93299999999999</v>
      </c>
      <c r="I146">
        <v>4.3999999999999997E-2</v>
      </c>
      <c r="J146">
        <v>3.6999999999999998E-2</v>
      </c>
      <c r="K146">
        <v>4.2999999999999997E-2</v>
      </c>
      <c r="L146">
        <v>1993.6</v>
      </c>
      <c r="M146">
        <v>1999.2</v>
      </c>
      <c r="N146">
        <v>2017.4</v>
      </c>
      <c r="Q146">
        <f t="shared" si="15"/>
        <v>305.7</v>
      </c>
      <c r="R146">
        <f t="shared" si="19"/>
        <v>305.7</v>
      </c>
      <c r="S146">
        <f t="shared" si="20"/>
        <v>0.5</v>
      </c>
      <c r="X146">
        <f t="shared" si="16"/>
        <v>0</v>
      </c>
      <c r="Y146">
        <f t="shared" si="17"/>
        <v>0</v>
      </c>
      <c r="Z146">
        <f t="shared" si="18"/>
        <v>0</v>
      </c>
    </row>
    <row r="147" spans="1:26" x14ac:dyDescent="0.25">
      <c r="A147" s="2">
        <v>44859</v>
      </c>
      <c r="B147" s="3">
        <v>298</v>
      </c>
      <c r="C147" s="3">
        <v>2300</v>
      </c>
      <c r="D147">
        <v>306.18970000000002</v>
      </c>
      <c r="E147">
        <v>0.04</v>
      </c>
      <c r="F147">
        <v>301.04379999999998</v>
      </c>
      <c r="G147">
        <v>307.05709999999999</v>
      </c>
      <c r="H147">
        <v>310.46820000000002</v>
      </c>
      <c r="I147">
        <v>4.1000000000000002E-2</v>
      </c>
      <c r="J147">
        <v>3.4000000000000002E-2</v>
      </c>
      <c r="K147">
        <v>4.2999999999999997E-2</v>
      </c>
      <c r="L147">
        <v>1994.6</v>
      </c>
      <c r="M147">
        <v>2000.4</v>
      </c>
      <c r="N147">
        <v>2018.6</v>
      </c>
      <c r="Q147">
        <f t="shared" ref="Q147:Q210" si="21">ROUND(D147,1)</f>
        <v>306.2</v>
      </c>
      <c r="R147">
        <f t="shared" si="19"/>
        <v>306.2</v>
      </c>
      <c r="S147">
        <f t="shared" si="20"/>
        <v>0.5</v>
      </c>
      <c r="X147">
        <f t="shared" si="16"/>
        <v>0</v>
      </c>
      <c r="Y147">
        <f t="shared" si="17"/>
        <v>0</v>
      </c>
      <c r="Z147">
        <f t="shared" si="18"/>
        <v>0</v>
      </c>
    </row>
    <row r="148" spans="1:26" x14ac:dyDescent="0.25">
      <c r="A148" s="2">
        <v>44859</v>
      </c>
      <c r="B148" s="3">
        <v>298</v>
      </c>
      <c r="C148" s="3">
        <v>2400</v>
      </c>
      <c r="D148">
        <v>307.3784</v>
      </c>
      <c r="E148">
        <v>5.8999999999999997E-2</v>
      </c>
      <c r="F148">
        <v>302.2002</v>
      </c>
      <c r="G148">
        <v>308.267</v>
      </c>
      <c r="H148">
        <v>311.66820000000001</v>
      </c>
      <c r="I148">
        <v>5.5E-2</v>
      </c>
      <c r="J148">
        <v>6.0999999999999999E-2</v>
      </c>
      <c r="K148">
        <v>6.0999999999999999E-2</v>
      </c>
      <c r="L148">
        <v>1997.4</v>
      </c>
      <c r="M148">
        <v>2003.4</v>
      </c>
      <c r="N148">
        <v>2021.4</v>
      </c>
      <c r="Q148">
        <f t="shared" si="21"/>
        <v>307.39999999999998</v>
      </c>
      <c r="R148">
        <f t="shared" si="19"/>
        <v>307.39999999999998</v>
      </c>
      <c r="S148">
        <f t="shared" si="20"/>
        <v>1.1999999999999886</v>
      </c>
      <c r="X148">
        <f t="shared" si="16"/>
        <v>0</v>
      </c>
      <c r="Y148">
        <f t="shared" si="17"/>
        <v>0</v>
      </c>
      <c r="Z148">
        <f t="shared" si="18"/>
        <v>0</v>
      </c>
    </row>
    <row r="149" spans="1:26" x14ac:dyDescent="0.25">
      <c r="A149" s="2">
        <v>44860</v>
      </c>
      <c r="B149" s="3">
        <v>299</v>
      </c>
      <c r="C149" s="3">
        <v>100</v>
      </c>
      <c r="D149">
        <v>309.8895</v>
      </c>
      <c r="E149">
        <v>4.2000000000000003E-2</v>
      </c>
      <c r="F149">
        <v>304.65629999999999</v>
      </c>
      <c r="G149">
        <v>310.82069999999999</v>
      </c>
      <c r="H149">
        <v>314.19150000000002</v>
      </c>
      <c r="I149">
        <v>3.9E-2</v>
      </c>
      <c r="J149">
        <v>4.4999999999999998E-2</v>
      </c>
      <c r="K149">
        <v>4.2000000000000003E-2</v>
      </c>
      <c r="L149">
        <v>2003</v>
      </c>
      <c r="M149">
        <v>2009</v>
      </c>
      <c r="N149">
        <v>2027</v>
      </c>
      <c r="Q149">
        <f t="shared" si="21"/>
        <v>309.89999999999998</v>
      </c>
      <c r="R149">
        <f t="shared" si="19"/>
        <v>309.89999999999998</v>
      </c>
      <c r="S149">
        <f t="shared" si="20"/>
        <v>2.5</v>
      </c>
      <c r="X149">
        <f t="shared" si="16"/>
        <v>0</v>
      </c>
      <c r="Y149">
        <f t="shared" si="17"/>
        <v>0</v>
      </c>
      <c r="Z149">
        <f t="shared" si="18"/>
        <v>0</v>
      </c>
    </row>
    <row r="150" spans="1:26" x14ac:dyDescent="0.25">
      <c r="A150" s="2">
        <v>44860</v>
      </c>
      <c r="B150" s="3">
        <v>299</v>
      </c>
      <c r="C150" s="3">
        <v>200</v>
      </c>
      <c r="D150">
        <v>310.28190000000001</v>
      </c>
      <c r="E150">
        <v>4.2000000000000003E-2</v>
      </c>
      <c r="F150">
        <v>305.0641</v>
      </c>
      <c r="G150">
        <v>311.19690000000003</v>
      </c>
      <c r="H150">
        <v>314.5847</v>
      </c>
      <c r="I150">
        <v>3.9E-2</v>
      </c>
      <c r="J150">
        <v>4.4999999999999998E-2</v>
      </c>
      <c r="K150">
        <v>4.2999999999999997E-2</v>
      </c>
      <c r="L150">
        <v>2003.8</v>
      </c>
      <c r="M150">
        <v>2009.8</v>
      </c>
      <c r="N150">
        <v>2027.8</v>
      </c>
      <c r="Q150">
        <f t="shared" si="21"/>
        <v>310.3</v>
      </c>
      <c r="R150">
        <f t="shared" si="19"/>
        <v>310.3</v>
      </c>
      <c r="S150">
        <f t="shared" si="20"/>
        <v>0.40000000000003411</v>
      </c>
      <c r="X150">
        <f t="shared" si="16"/>
        <v>0</v>
      </c>
      <c r="Y150">
        <f t="shared" si="17"/>
        <v>0</v>
      </c>
      <c r="Z150">
        <f t="shared" si="18"/>
        <v>0</v>
      </c>
    </row>
    <row r="151" spans="1:26" x14ac:dyDescent="0.25">
      <c r="A151" s="2">
        <v>44860</v>
      </c>
      <c r="B151" s="3">
        <v>299</v>
      </c>
      <c r="C151" s="3">
        <v>300</v>
      </c>
      <c r="D151">
        <v>310.28399999999999</v>
      </c>
      <c r="E151">
        <v>4.2000000000000003E-2</v>
      </c>
      <c r="F151">
        <v>305.06880000000001</v>
      </c>
      <c r="G151">
        <v>311.19850000000002</v>
      </c>
      <c r="H151">
        <v>314.5847</v>
      </c>
      <c r="I151">
        <v>3.5999999999999997E-2</v>
      </c>
      <c r="J151">
        <v>4.4999999999999998E-2</v>
      </c>
      <c r="K151">
        <v>4.2999999999999997E-2</v>
      </c>
      <c r="L151">
        <v>2003.8</v>
      </c>
      <c r="M151">
        <v>2009.6</v>
      </c>
      <c r="N151">
        <v>2027.6</v>
      </c>
      <c r="Q151">
        <f t="shared" si="21"/>
        <v>310.3</v>
      </c>
      <c r="R151">
        <f t="shared" si="19"/>
        <v>310.3</v>
      </c>
      <c r="S151">
        <f t="shared" si="20"/>
        <v>0</v>
      </c>
      <c r="X151">
        <f t="shared" si="16"/>
        <v>0</v>
      </c>
      <c r="Y151">
        <f t="shared" si="17"/>
        <v>0</v>
      </c>
      <c r="Z151">
        <f t="shared" si="18"/>
        <v>0</v>
      </c>
    </row>
    <row r="152" spans="1:26" x14ac:dyDescent="0.25">
      <c r="A152" s="2">
        <v>44860</v>
      </c>
      <c r="B152" s="3">
        <v>299</v>
      </c>
      <c r="C152" s="3">
        <v>400</v>
      </c>
      <c r="D152">
        <v>310.28870000000001</v>
      </c>
      <c r="E152">
        <v>3.9E-2</v>
      </c>
      <c r="F152">
        <v>305.08120000000002</v>
      </c>
      <c r="G152">
        <v>311.19529999999997</v>
      </c>
      <c r="H152">
        <v>314.58949999999999</v>
      </c>
      <c r="I152">
        <v>2.8000000000000001E-2</v>
      </c>
      <c r="J152">
        <v>4.4999999999999998E-2</v>
      </c>
      <c r="K152">
        <v>4.2000000000000003E-2</v>
      </c>
      <c r="L152">
        <v>2003.8</v>
      </c>
      <c r="M152">
        <v>2009.8</v>
      </c>
      <c r="N152">
        <v>2027.6</v>
      </c>
      <c r="Q152">
        <f t="shared" si="21"/>
        <v>310.3</v>
      </c>
      <c r="R152">
        <f t="shared" si="19"/>
        <v>310.3</v>
      </c>
      <c r="S152">
        <f t="shared" si="20"/>
        <v>0</v>
      </c>
      <c r="X152">
        <f t="shared" si="16"/>
        <v>0</v>
      </c>
      <c r="Y152">
        <f t="shared" si="17"/>
        <v>0</v>
      </c>
      <c r="Z152">
        <f t="shared" si="18"/>
        <v>0</v>
      </c>
    </row>
    <row r="153" spans="1:26" x14ac:dyDescent="0.25">
      <c r="A153" s="2">
        <v>44860</v>
      </c>
      <c r="B153" s="3">
        <v>299</v>
      </c>
      <c r="C153" s="3">
        <v>500</v>
      </c>
      <c r="D153">
        <v>310.29860000000002</v>
      </c>
      <c r="E153">
        <v>3.5999999999999997E-2</v>
      </c>
      <c r="F153">
        <v>305.09210000000002</v>
      </c>
      <c r="G153">
        <v>311.2063</v>
      </c>
      <c r="H153">
        <v>314.59730000000002</v>
      </c>
      <c r="I153">
        <v>2.5999999999999999E-2</v>
      </c>
      <c r="J153">
        <v>4.2999999999999997E-2</v>
      </c>
      <c r="K153">
        <v>3.7999999999999999E-2</v>
      </c>
      <c r="L153">
        <v>2003.8</v>
      </c>
      <c r="M153">
        <v>2009.8</v>
      </c>
      <c r="N153">
        <v>2027.8</v>
      </c>
      <c r="Q153">
        <f t="shared" si="21"/>
        <v>310.3</v>
      </c>
      <c r="R153">
        <f t="shared" si="19"/>
        <v>310.3</v>
      </c>
      <c r="S153">
        <f t="shared" si="20"/>
        <v>0</v>
      </c>
      <c r="X153">
        <f t="shared" si="16"/>
        <v>0</v>
      </c>
      <c r="Y153">
        <f t="shared" si="17"/>
        <v>0</v>
      </c>
      <c r="Z153">
        <f t="shared" si="18"/>
        <v>0</v>
      </c>
    </row>
    <row r="154" spans="1:26" x14ac:dyDescent="0.25">
      <c r="A154" s="2">
        <v>44860</v>
      </c>
      <c r="B154" s="3">
        <v>299</v>
      </c>
      <c r="C154" s="3">
        <v>600</v>
      </c>
      <c r="D154">
        <v>310.29750000000001</v>
      </c>
      <c r="E154">
        <v>3.6999999999999998E-2</v>
      </c>
      <c r="F154">
        <v>305.09370000000001</v>
      </c>
      <c r="G154">
        <v>311.19850000000002</v>
      </c>
      <c r="H154">
        <v>314.60050000000001</v>
      </c>
      <c r="I154">
        <v>2.8000000000000001E-2</v>
      </c>
      <c r="J154">
        <v>4.4999999999999998E-2</v>
      </c>
      <c r="K154">
        <v>3.5000000000000003E-2</v>
      </c>
      <c r="L154">
        <v>2003.8</v>
      </c>
      <c r="M154">
        <v>2009.8</v>
      </c>
      <c r="N154">
        <v>2027.8</v>
      </c>
      <c r="Q154">
        <f t="shared" si="21"/>
        <v>310.3</v>
      </c>
      <c r="R154">
        <f t="shared" si="19"/>
        <v>310.3</v>
      </c>
      <c r="S154">
        <f t="shared" si="20"/>
        <v>0</v>
      </c>
      <c r="X154">
        <f t="shared" si="16"/>
        <v>0</v>
      </c>
      <c r="Y154">
        <f t="shared" si="17"/>
        <v>0</v>
      </c>
      <c r="Z154">
        <f t="shared" si="18"/>
        <v>0</v>
      </c>
    </row>
    <row r="155" spans="1:26" x14ac:dyDescent="0.25">
      <c r="A155" s="2">
        <v>44860</v>
      </c>
      <c r="B155" s="3">
        <v>299</v>
      </c>
      <c r="C155" s="3">
        <v>700</v>
      </c>
      <c r="D155">
        <v>310.29649999999998</v>
      </c>
      <c r="E155">
        <v>3.6999999999999998E-2</v>
      </c>
      <c r="F155">
        <v>305.089</v>
      </c>
      <c r="G155">
        <v>311.2</v>
      </c>
      <c r="H155">
        <v>314.60050000000001</v>
      </c>
      <c r="I155">
        <v>3.1E-2</v>
      </c>
      <c r="J155">
        <v>4.3999999999999997E-2</v>
      </c>
      <c r="K155">
        <v>3.5000000000000003E-2</v>
      </c>
      <c r="L155">
        <v>2003.8</v>
      </c>
      <c r="M155">
        <v>2009.6</v>
      </c>
      <c r="N155">
        <v>2027.8</v>
      </c>
      <c r="Q155">
        <f t="shared" si="21"/>
        <v>310.3</v>
      </c>
      <c r="R155">
        <f t="shared" si="19"/>
        <v>310.3</v>
      </c>
      <c r="S155">
        <f t="shared" si="20"/>
        <v>0</v>
      </c>
      <c r="X155">
        <f t="shared" si="16"/>
        <v>0</v>
      </c>
      <c r="Y155">
        <f t="shared" si="17"/>
        <v>0</v>
      </c>
      <c r="Z155">
        <f t="shared" si="18"/>
        <v>0</v>
      </c>
    </row>
    <row r="156" spans="1:26" x14ac:dyDescent="0.25">
      <c r="A156" s="2">
        <v>44860</v>
      </c>
      <c r="B156" s="3">
        <v>299</v>
      </c>
      <c r="C156" s="3">
        <v>800</v>
      </c>
      <c r="D156">
        <v>310.30529999999999</v>
      </c>
      <c r="E156">
        <v>4.2000000000000003E-2</v>
      </c>
      <c r="F156">
        <v>305.12009999999998</v>
      </c>
      <c r="G156">
        <v>311.20319999999998</v>
      </c>
      <c r="H156">
        <v>314.5926</v>
      </c>
      <c r="I156">
        <v>4.2999999999999997E-2</v>
      </c>
      <c r="J156">
        <v>4.3999999999999997E-2</v>
      </c>
      <c r="K156">
        <v>0.04</v>
      </c>
      <c r="L156">
        <v>2004</v>
      </c>
      <c r="M156">
        <v>2009.8</v>
      </c>
      <c r="N156">
        <v>2027.8</v>
      </c>
      <c r="Q156">
        <f t="shared" si="21"/>
        <v>310.3</v>
      </c>
      <c r="R156">
        <f t="shared" si="19"/>
        <v>310.3</v>
      </c>
      <c r="S156">
        <f t="shared" si="20"/>
        <v>0</v>
      </c>
      <c r="X156">
        <f t="shared" ref="X156:X219" si="22">U156</f>
        <v>0</v>
      </c>
      <c r="Y156">
        <f t="shared" ref="Y156:Y219" si="23">V156</f>
        <v>0</v>
      </c>
      <c r="Z156">
        <f t="shared" si="18"/>
        <v>0</v>
      </c>
    </row>
    <row r="157" spans="1:26" x14ac:dyDescent="0.25">
      <c r="A157" s="2">
        <v>44860</v>
      </c>
      <c r="B157" s="3">
        <v>299</v>
      </c>
      <c r="C157" s="3">
        <v>900</v>
      </c>
      <c r="D157">
        <v>310.29570000000001</v>
      </c>
      <c r="E157">
        <v>3.6999999999999998E-2</v>
      </c>
      <c r="F157">
        <v>305.1497</v>
      </c>
      <c r="G157">
        <v>311.21100000000001</v>
      </c>
      <c r="H157">
        <v>314.5265</v>
      </c>
      <c r="I157">
        <v>4.1000000000000002E-2</v>
      </c>
      <c r="J157">
        <v>4.2000000000000003E-2</v>
      </c>
      <c r="K157">
        <v>2.7E-2</v>
      </c>
      <c r="L157">
        <v>2004</v>
      </c>
      <c r="M157">
        <v>2009.6</v>
      </c>
      <c r="N157">
        <v>2027.4</v>
      </c>
      <c r="Q157">
        <f t="shared" si="21"/>
        <v>310.3</v>
      </c>
      <c r="R157">
        <f t="shared" si="19"/>
        <v>310.3</v>
      </c>
      <c r="S157">
        <f t="shared" si="20"/>
        <v>0</v>
      </c>
      <c r="X157">
        <f t="shared" si="22"/>
        <v>0</v>
      </c>
      <c r="Y157">
        <f t="shared" si="23"/>
        <v>0</v>
      </c>
      <c r="Z157">
        <f t="shared" ref="Z157:Z220" si="24">Z156+Y157</f>
        <v>0</v>
      </c>
    </row>
    <row r="158" spans="1:26" x14ac:dyDescent="0.25">
      <c r="A158" s="2">
        <v>44860</v>
      </c>
      <c r="B158" s="3">
        <v>299</v>
      </c>
      <c r="C158" s="3">
        <v>1000</v>
      </c>
      <c r="D158">
        <v>310.24770000000001</v>
      </c>
      <c r="E158">
        <v>3.7999999999999999E-2</v>
      </c>
      <c r="F158">
        <v>305.09519999999998</v>
      </c>
      <c r="G158">
        <v>311.17809999999997</v>
      </c>
      <c r="H158">
        <v>314.4699</v>
      </c>
      <c r="I158">
        <v>2.5000000000000001E-2</v>
      </c>
      <c r="J158">
        <v>4.2000000000000003E-2</v>
      </c>
      <c r="K158">
        <v>4.2999999999999997E-2</v>
      </c>
      <c r="L158">
        <v>2003.8</v>
      </c>
      <c r="M158">
        <v>2009.6</v>
      </c>
      <c r="N158">
        <v>2027.6</v>
      </c>
      <c r="Q158">
        <f t="shared" si="21"/>
        <v>310.2</v>
      </c>
      <c r="R158">
        <f t="shared" si="19"/>
        <v>310.3</v>
      </c>
      <c r="S158">
        <f t="shared" si="20"/>
        <v>0</v>
      </c>
      <c r="X158">
        <f t="shared" si="22"/>
        <v>0</v>
      </c>
      <c r="Y158">
        <f t="shared" si="23"/>
        <v>0</v>
      </c>
      <c r="Z158">
        <f t="shared" si="24"/>
        <v>0</v>
      </c>
    </row>
    <row r="159" spans="1:26" x14ac:dyDescent="0.25">
      <c r="A159" s="2">
        <v>44860</v>
      </c>
      <c r="B159" s="3">
        <v>299</v>
      </c>
      <c r="C159" s="3">
        <v>1100</v>
      </c>
      <c r="D159">
        <v>310.24160000000001</v>
      </c>
      <c r="E159">
        <v>0.04</v>
      </c>
      <c r="F159">
        <v>305.04689999999999</v>
      </c>
      <c r="G159">
        <v>311.1703</v>
      </c>
      <c r="H159">
        <v>314.50760000000002</v>
      </c>
      <c r="I159">
        <v>4.3999999999999997E-2</v>
      </c>
      <c r="J159">
        <v>3.7999999999999999E-2</v>
      </c>
      <c r="K159">
        <v>3.7999999999999999E-2</v>
      </c>
      <c r="L159">
        <v>2003.8</v>
      </c>
      <c r="M159">
        <v>2009.6</v>
      </c>
      <c r="N159">
        <v>2027.6</v>
      </c>
      <c r="Q159">
        <f t="shared" si="21"/>
        <v>310.2</v>
      </c>
      <c r="R159">
        <f t="shared" si="19"/>
        <v>310.3</v>
      </c>
      <c r="S159">
        <f t="shared" si="20"/>
        <v>0</v>
      </c>
      <c r="X159">
        <f t="shared" si="22"/>
        <v>0</v>
      </c>
      <c r="Y159">
        <f t="shared" si="23"/>
        <v>0</v>
      </c>
      <c r="Z159">
        <f t="shared" si="24"/>
        <v>0</v>
      </c>
    </row>
    <row r="160" spans="1:26" x14ac:dyDescent="0.25">
      <c r="A160" s="2">
        <v>44860</v>
      </c>
      <c r="B160" s="3">
        <v>299</v>
      </c>
      <c r="C160" s="3">
        <v>1200</v>
      </c>
      <c r="D160">
        <v>310.2364</v>
      </c>
      <c r="E160">
        <v>3.7999999999999999E-2</v>
      </c>
      <c r="F160">
        <v>305.036</v>
      </c>
      <c r="G160">
        <v>311.16239999999999</v>
      </c>
      <c r="H160">
        <v>314.51080000000002</v>
      </c>
      <c r="I160">
        <v>4.3999999999999997E-2</v>
      </c>
      <c r="J160">
        <v>3.5000000000000003E-2</v>
      </c>
      <c r="K160">
        <v>3.5000000000000003E-2</v>
      </c>
      <c r="L160">
        <v>2003.6</v>
      </c>
      <c r="M160">
        <v>2009.6</v>
      </c>
      <c r="N160">
        <v>2027.4</v>
      </c>
      <c r="Q160">
        <f t="shared" si="21"/>
        <v>310.2</v>
      </c>
      <c r="R160">
        <f t="shared" si="19"/>
        <v>310.3</v>
      </c>
      <c r="S160">
        <f t="shared" si="20"/>
        <v>0</v>
      </c>
      <c r="X160">
        <f t="shared" si="22"/>
        <v>0</v>
      </c>
      <c r="Y160">
        <f t="shared" si="23"/>
        <v>0</v>
      </c>
      <c r="Z160">
        <f t="shared" si="24"/>
        <v>0</v>
      </c>
    </row>
    <row r="161" spans="1:26" x14ac:dyDescent="0.25">
      <c r="A161" s="2">
        <v>44860</v>
      </c>
      <c r="B161" s="3">
        <v>299</v>
      </c>
      <c r="C161" s="3">
        <v>1300</v>
      </c>
      <c r="D161">
        <v>310.20609999999999</v>
      </c>
      <c r="E161">
        <v>4.3999999999999997E-2</v>
      </c>
      <c r="F161">
        <v>305.04230000000001</v>
      </c>
      <c r="G161">
        <v>311.09809999999999</v>
      </c>
      <c r="H161">
        <v>314.4778</v>
      </c>
      <c r="I161">
        <v>4.3999999999999997E-2</v>
      </c>
      <c r="J161">
        <v>4.3999999999999997E-2</v>
      </c>
      <c r="K161">
        <v>4.3999999999999997E-2</v>
      </c>
      <c r="L161">
        <v>2003.6</v>
      </c>
      <c r="M161">
        <v>2009.4</v>
      </c>
      <c r="N161">
        <v>2027.4</v>
      </c>
      <c r="Q161">
        <f t="shared" si="21"/>
        <v>310.2</v>
      </c>
      <c r="R161">
        <f t="shared" si="19"/>
        <v>310.3</v>
      </c>
      <c r="S161">
        <f t="shared" si="20"/>
        <v>0</v>
      </c>
      <c r="X161">
        <f t="shared" si="22"/>
        <v>0</v>
      </c>
      <c r="Y161">
        <f t="shared" si="23"/>
        <v>0</v>
      </c>
      <c r="Z161">
        <f t="shared" si="24"/>
        <v>0</v>
      </c>
    </row>
    <row r="162" spans="1:26" x14ac:dyDescent="0.25">
      <c r="A162" s="2">
        <v>44860</v>
      </c>
      <c r="B162" s="3">
        <v>299</v>
      </c>
      <c r="C162" s="3">
        <v>1400</v>
      </c>
      <c r="D162">
        <v>310.21129999999999</v>
      </c>
      <c r="E162">
        <v>4.2999999999999997E-2</v>
      </c>
      <c r="F162">
        <v>305.036</v>
      </c>
      <c r="G162">
        <v>311.1216</v>
      </c>
      <c r="H162">
        <v>314.47620000000001</v>
      </c>
      <c r="I162">
        <v>4.3999999999999997E-2</v>
      </c>
      <c r="J162">
        <v>4.2000000000000003E-2</v>
      </c>
      <c r="K162">
        <v>4.3999999999999997E-2</v>
      </c>
      <c r="L162">
        <v>2003.8</v>
      </c>
      <c r="M162">
        <v>2009.4</v>
      </c>
      <c r="N162">
        <v>2027.4</v>
      </c>
      <c r="Q162">
        <f t="shared" si="21"/>
        <v>310.2</v>
      </c>
      <c r="R162">
        <f t="shared" ref="R162:R225" si="25">ROUND(IF(Q162&lt;R161,R161,Q162),1)</f>
        <v>310.3</v>
      </c>
      <c r="S162">
        <f t="shared" si="20"/>
        <v>0</v>
      </c>
      <c r="X162">
        <f t="shared" si="22"/>
        <v>0</v>
      </c>
      <c r="Y162">
        <f t="shared" si="23"/>
        <v>0</v>
      </c>
      <c r="Z162">
        <f t="shared" si="24"/>
        <v>0</v>
      </c>
    </row>
    <row r="163" spans="1:26" x14ac:dyDescent="0.25">
      <c r="A163" s="2">
        <v>44860</v>
      </c>
      <c r="B163" s="3">
        <v>299</v>
      </c>
      <c r="C163" s="3">
        <v>1500</v>
      </c>
      <c r="D163">
        <v>310.22070000000002</v>
      </c>
      <c r="E163">
        <v>4.2000000000000003E-2</v>
      </c>
      <c r="F163">
        <v>305.04230000000001</v>
      </c>
      <c r="G163">
        <v>311.1311</v>
      </c>
      <c r="H163">
        <v>314.48880000000003</v>
      </c>
      <c r="I163">
        <v>4.3999999999999997E-2</v>
      </c>
      <c r="J163">
        <v>3.5999999999999997E-2</v>
      </c>
      <c r="K163">
        <v>4.3999999999999997E-2</v>
      </c>
      <c r="L163">
        <v>2003.8</v>
      </c>
      <c r="M163">
        <v>2009.6</v>
      </c>
      <c r="N163">
        <v>2027.4</v>
      </c>
      <c r="Q163">
        <f t="shared" si="21"/>
        <v>310.2</v>
      </c>
      <c r="R163">
        <f t="shared" si="25"/>
        <v>310.3</v>
      </c>
      <c r="S163">
        <f t="shared" si="20"/>
        <v>0</v>
      </c>
      <c r="X163">
        <f t="shared" si="22"/>
        <v>0</v>
      </c>
      <c r="Y163">
        <f t="shared" si="23"/>
        <v>0</v>
      </c>
      <c r="Z163">
        <f t="shared" si="24"/>
        <v>0</v>
      </c>
    </row>
    <row r="164" spans="1:26" x14ac:dyDescent="0.25">
      <c r="A164" s="2">
        <v>44860</v>
      </c>
      <c r="B164" s="3">
        <v>299</v>
      </c>
      <c r="C164" s="3">
        <v>1600</v>
      </c>
      <c r="D164">
        <v>310.24160000000001</v>
      </c>
      <c r="E164">
        <v>3.2000000000000001E-2</v>
      </c>
      <c r="F164">
        <v>305.05779999999999</v>
      </c>
      <c r="G164">
        <v>311.15140000000002</v>
      </c>
      <c r="H164">
        <v>314.51549999999997</v>
      </c>
      <c r="I164">
        <v>4.2000000000000003E-2</v>
      </c>
      <c r="J164">
        <v>0.02</v>
      </c>
      <c r="K164">
        <v>3.1E-2</v>
      </c>
      <c r="L164">
        <v>2003.6</v>
      </c>
      <c r="M164">
        <v>2009.6</v>
      </c>
      <c r="N164">
        <v>2027.6</v>
      </c>
      <c r="Q164">
        <f t="shared" si="21"/>
        <v>310.2</v>
      </c>
      <c r="R164">
        <f t="shared" si="25"/>
        <v>310.3</v>
      </c>
      <c r="S164">
        <f t="shared" si="20"/>
        <v>0</v>
      </c>
      <c r="X164">
        <f t="shared" si="22"/>
        <v>0</v>
      </c>
      <c r="Y164">
        <f t="shared" si="23"/>
        <v>0</v>
      </c>
      <c r="Z164">
        <f t="shared" si="24"/>
        <v>0</v>
      </c>
    </row>
    <row r="165" spans="1:26" x14ac:dyDescent="0.25">
      <c r="A165" s="2">
        <v>44860</v>
      </c>
      <c r="B165" s="3">
        <v>299</v>
      </c>
      <c r="C165" s="3">
        <v>1700</v>
      </c>
      <c r="D165">
        <v>310.26249999999999</v>
      </c>
      <c r="E165">
        <v>4.1000000000000002E-2</v>
      </c>
      <c r="F165">
        <v>305.05630000000002</v>
      </c>
      <c r="G165">
        <v>311.17340000000002</v>
      </c>
      <c r="H165">
        <v>314.55799999999999</v>
      </c>
      <c r="I165">
        <v>4.2000000000000003E-2</v>
      </c>
      <c r="J165">
        <v>3.9E-2</v>
      </c>
      <c r="K165">
        <v>4.2000000000000003E-2</v>
      </c>
      <c r="L165">
        <v>2003.8</v>
      </c>
      <c r="M165">
        <v>2009.8</v>
      </c>
      <c r="N165">
        <v>2027.6</v>
      </c>
      <c r="Q165">
        <f t="shared" si="21"/>
        <v>310.3</v>
      </c>
      <c r="R165">
        <f t="shared" si="25"/>
        <v>310.3</v>
      </c>
      <c r="S165">
        <f t="shared" ref="S165:S228" si="26">IF(R165&gt;R164,R165-R164,0)</f>
        <v>0</v>
      </c>
      <c r="X165">
        <f t="shared" si="22"/>
        <v>0</v>
      </c>
      <c r="Y165">
        <f t="shared" si="23"/>
        <v>0</v>
      </c>
      <c r="Z165">
        <f t="shared" si="24"/>
        <v>0</v>
      </c>
    </row>
    <row r="166" spans="1:26" x14ac:dyDescent="0.25">
      <c r="A166" s="2">
        <v>44860</v>
      </c>
      <c r="B166" s="3">
        <v>299</v>
      </c>
      <c r="C166" s="3">
        <v>1800</v>
      </c>
      <c r="D166">
        <v>310.3091</v>
      </c>
      <c r="E166">
        <v>0.03</v>
      </c>
      <c r="F166">
        <v>305.09679999999997</v>
      </c>
      <c r="G166">
        <v>311.22199999999998</v>
      </c>
      <c r="H166">
        <v>314.60840000000002</v>
      </c>
      <c r="I166">
        <v>2.7E-2</v>
      </c>
      <c r="J166">
        <v>3.5000000000000003E-2</v>
      </c>
      <c r="K166">
        <v>2.8000000000000001E-2</v>
      </c>
      <c r="L166">
        <v>2003.8</v>
      </c>
      <c r="M166">
        <v>2009.8</v>
      </c>
      <c r="N166">
        <v>2027.8</v>
      </c>
      <c r="Q166">
        <f t="shared" si="21"/>
        <v>310.3</v>
      </c>
      <c r="R166">
        <f t="shared" si="25"/>
        <v>310.3</v>
      </c>
      <c r="S166">
        <f t="shared" si="26"/>
        <v>0</v>
      </c>
      <c r="X166">
        <f t="shared" si="22"/>
        <v>0</v>
      </c>
      <c r="Y166">
        <f t="shared" si="23"/>
        <v>0</v>
      </c>
      <c r="Z166">
        <f t="shared" si="24"/>
        <v>0</v>
      </c>
    </row>
    <row r="167" spans="1:26" x14ac:dyDescent="0.25">
      <c r="A167" s="2">
        <v>44860</v>
      </c>
      <c r="B167" s="3">
        <v>299</v>
      </c>
      <c r="C167" s="3">
        <v>1900</v>
      </c>
      <c r="D167">
        <v>310.32679999999999</v>
      </c>
      <c r="E167">
        <v>2.9000000000000001E-2</v>
      </c>
      <c r="F167">
        <v>305.12479999999999</v>
      </c>
      <c r="G167">
        <v>311.2346</v>
      </c>
      <c r="H167">
        <v>314.62090000000001</v>
      </c>
      <c r="I167">
        <v>4.3999999999999997E-2</v>
      </c>
      <c r="J167">
        <v>0.02</v>
      </c>
      <c r="K167">
        <v>1.6E-2</v>
      </c>
      <c r="L167">
        <v>2004</v>
      </c>
      <c r="M167">
        <v>2009.8</v>
      </c>
      <c r="N167">
        <v>2027.8</v>
      </c>
      <c r="Q167">
        <f t="shared" si="21"/>
        <v>310.3</v>
      </c>
      <c r="R167">
        <f t="shared" si="25"/>
        <v>310.3</v>
      </c>
      <c r="S167">
        <f t="shared" si="26"/>
        <v>0</v>
      </c>
      <c r="X167">
        <f t="shared" si="22"/>
        <v>0</v>
      </c>
      <c r="Y167">
        <f t="shared" si="23"/>
        <v>0</v>
      </c>
      <c r="Z167">
        <f t="shared" si="24"/>
        <v>0</v>
      </c>
    </row>
    <row r="168" spans="1:26" x14ac:dyDescent="0.25">
      <c r="A168" s="2">
        <v>44860</v>
      </c>
      <c r="B168" s="3">
        <v>299</v>
      </c>
      <c r="C168" s="3">
        <v>2000</v>
      </c>
      <c r="D168">
        <v>310.32470000000001</v>
      </c>
      <c r="E168">
        <v>3.1E-2</v>
      </c>
      <c r="F168">
        <v>305.1232</v>
      </c>
      <c r="G168">
        <v>311.22989999999999</v>
      </c>
      <c r="H168">
        <v>314.62090000000001</v>
      </c>
      <c r="I168">
        <v>4.3999999999999997E-2</v>
      </c>
      <c r="J168">
        <v>2.7E-2</v>
      </c>
      <c r="K168">
        <v>1.6E-2</v>
      </c>
      <c r="L168">
        <v>2004</v>
      </c>
      <c r="M168">
        <v>2009.8</v>
      </c>
      <c r="N168">
        <v>2027.8</v>
      </c>
      <c r="Q168">
        <f t="shared" si="21"/>
        <v>310.3</v>
      </c>
      <c r="R168">
        <f t="shared" si="25"/>
        <v>310.3</v>
      </c>
      <c r="S168">
        <f t="shared" si="26"/>
        <v>0</v>
      </c>
      <c r="X168">
        <f t="shared" si="22"/>
        <v>0</v>
      </c>
      <c r="Y168">
        <f t="shared" si="23"/>
        <v>0</v>
      </c>
      <c r="Z168">
        <f t="shared" si="24"/>
        <v>0</v>
      </c>
    </row>
    <row r="169" spans="1:26" x14ac:dyDescent="0.25">
      <c r="A169" s="2">
        <v>44860</v>
      </c>
      <c r="B169" s="3">
        <v>299</v>
      </c>
      <c r="C169" s="3">
        <v>2100</v>
      </c>
      <c r="D169">
        <v>310.32780000000002</v>
      </c>
      <c r="E169">
        <v>3.3000000000000002E-2</v>
      </c>
      <c r="F169">
        <v>305.13099999999997</v>
      </c>
      <c r="G169">
        <v>311.22829999999999</v>
      </c>
      <c r="H169">
        <v>314.6241</v>
      </c>
      <c r="I169">
        <v>4.3999999999999997E-2</v>
      </c>
      <c r="J169">
        <v>2.9000000000000001E-2</v>
      </c>
      <c r="K169">
        <v>2.3E-2</v>
      </c>
      <c r="L169">
        <v>2004</v>
      </c>
      <c r="M169">
        <v>2009.8</v>
      </c>
      <c r="N169">
        <v>2027.8</v>
      </c>
      <c r="Q169">
        <f t="shared" si="21"/>
        <v>310.3</v>
      </c>
      <c r="R169">
        <f t="shared" si="25"/>
        <v>310.3</v>
      </c>
      <c r="S169">
        <f t="shared" si="26"/>
        <v>0</v>
      </c>
      <c r="X169">
        <f t="shared" si="22"/>
        <v>0</v>
      </c>
      <c r="Y169">
        <f t="shared" si="23"/>
        <v>0</v>
      </c>
      <c r="Z169">
        <f t="shared" si="24"/>
        <v>0</v>
      </c>
    </row>
    <row r="170" spans="1:26" x14ac:dyDescent="0.25">
      <c r="A170" s="2">
        <v>44860</v>
      </c>
      <c r="B170" s="3">
        <v>299</v>
      </c>
      <c r="C170" s="3">
        <v>2200</v>
      </c>
      <c r="D170">
        <v>310.322</v>
      </c>
      <c r="E170">
        <v>3.7999999999999999E-2</v>
      </c>
      <c r="F170">
        <v>305.13409999999999</v>
      </c>
      <c r="G170">
        <v>311.21420000000001</v>
      </c>
      <c r="H170">
        <v>314.61779999999999</v>
      </c>
      <c r="I170">
        <v>4.3999999999999997E-2</v>
      </c>
      <c r="J170">
        <v>0.04</v>
      </c>
      <c r="K170">
        <v>2.9000000000000001E-2</v>
      </c>
      <c r="L170">
        <v>2004</v>
      </c>
      <c r="M170">
        <v>2009.8</v>
      </c>
      <c r="N170">
        <v>2027.8</v>
      </c>
      <c r="Q170">
        <f t="shared" si="21"/>
        <v>310.3</v>
      </c>
      <c r="R170">
        <f t="shared" si="25"/>
        <v>310.3</v>
      </c>
      <c r="S170">
        <f t="shared" si="26"/>
        <v>0</v>
      </c>
      <c r="X170">
        <f t="shared" si="22"/>
        <v>0</v>
      </c>
      <c r="Y170">
        <f t="shared" si="23"/>
        <v>0</v>
      </c>
      <c r="Z170">
        <f t="shared" si="24"/>
        <v>0</v>
      </c>
    </row>
    <row r="171" spans="1:26" x14ac:dyDescent="0.25">
      <c r="A171" s="2">
        <v>44860</v>
      </c>
      <c r="B171" s="3">
        <v>299</v>
      </c>
      <c r="C171" s="3">
        <v>2300</v>
      </c>
      <c r="D171">
        <v>310.32209999999998</v>
      </c>
      <c r="E171">
        <v>3.4000000000000002E-2</v>
      </c>
      <c r="F171">
        <v>305.12479999999999</v>
      </c>
      <c r="G171">
        <v>311.22039999999998</v>
      </c>
      <c r="H171">
        <v>314.62090000000001</v>
      </c>
      <c r="I171">
        <v>4.3999999999999997E-2</v>
      </c>
      <c r="J171">
        <v>3.5999999999999997E-2</v>
      </c>
      <c r="K171">
        <v>1.6E-2</v>
      </c>
      <c r="L171">
        <v>2003.8</v>
      </c>
      <c r="M171">
        <v>2009.8</v>
      </c>
      <c r="N171">
        <v>2027.8</v>
      </c>
      <c r="Q171">
        <f t="shared" si="21"/>
        <v>310.3</v>
      </c>
      <c r="R171">
        <f t="shared" si="25"/>
        <v>310.3</v>
      </c>
      <c r="S171">
        <f t="shared" si="26"/>
        <v>0</v>
      </c>
      <c r="X171">
        <f t="shared" si="22"/>
        <v>0</v>
      </c>
      <c r="Y171">
        <f t="shared" si="23"/>
        <v>0</v>
      </c>
      <c r="Z171">
        <f t="shared" si="24"/>
        <v>0</v>
      </c>
    </row>
    <row r="172" spans="1:26" x14ac:dyDescent="0.25">
      <c r="A172" s="2">
        <v>44860</v>
      </c>
      <c r="B172" s="3">
        <v>299</v>
      </c>
      <c r="C172" s="3">
        <v>2400</v>
      </c>
      <c r="D172">
        <v>310.3152</v>
      </c>
      <c r="E172">
        <v>3.7999999999999999E-2</v>
      </c>
      <c r="F172">
        <v>305.12630000000001</v>
      </c>
      <c r="G172">
        <v>311.20949999999999</v>
      </c>
      <c r="H172">
        <v>314.60989999999998</v>
      </c>
      <c r="I172">
        <v>4.3999999999999997E-2</v>
      </c>
      <c r="J172">
        <v>4.2000000000000003E-2</v>
      </c>
      <c r="K172">
        <v>2.5000000000000001E-2</v>
      </c>
      <c r="L172">
        <v>2003.8</v>
      </c>
      <c r="M172">
        <v>2009.8</v>
      </c>
      <c r="N172">
        <v>2027.8</v>
      </c>
      <c r="Q172">
        <f t="shared" si="21"/>
        <v>310.3</v>
      </c>
      <c r="R172">
        <f t="shared" si="25"/>
        <v>310.3</v>
      </c>
      <c r="S172">
        <f t="shared" si="26"/>
        <v>0</v>
      </c>
      <c r="X172">
        <f t="shared" si="22"/>
        <v>0</v>
      </c>
      <c r="Y172">
        <f t="shared" si="23"/>
        <v>0</v>
      </c>
      <c r="Z172">
        <f t="shared" si="24"/>
        <v>0</v>
      </c>
    </row>
    <row r="173" spans="1:26" x14ac:dyDescent="0.25">
      <c r="A173" s="2">
        <v>44861</v>
      </c>
      <c r="B173" s="3">
        <v>300</v>
      </c>
      <c r="C173" s="3">
        <v>100</v>
      </c>
      <c r="D173">
        <v>310.31950000000001</v>
      </c>
      <c r="E173">
        <v>3.4000000000000002E-2</v>
      </c>
      <c r="F173">
        <v>305.12009999999998</v>
      </c>
      <c r="G173">
        <v>311.22039999999998</v>
      </c>
      <c r="H173">
        <v>314.61779999999999</v>
      </c>
      <c r="I173">
        <v>4.2999999999999997E-2</v>
      </c>
      <c r="J173">
        <v>3.5999999999999997E-2</v>
      </c>
      <c r="K173">
        <v>1.7000000000000001E-2</v>
      </c>
      <c r="L173">
        <v>2004</v>
      </c>
      <c r="M173">
        <v>2009.6</v>
      </c>
      <c r="N173">
        <v>2027.8</v>
      </c>
      <c r="Q173">
        <f t="shared" si="21"/>
        <v>310.3</v>
      </c>
      <c r="R173">
        <f t="shared" si="25"/>
        <v>310.3</v>
      </c>
      <c r="S173">
        <f t="shared" si="26"/>
        <v>0</v>
      </c>
      <c r="X173">
        <f t="shared" si="22"/>
        <v>0</v>
      </c>
      <c r="Y173">
        <f t="shared" si="23"/>
        <v>0</v>
      </c>
      <c r="Z173">
        <f t="shared" si="24"/>
        <v>0</v>
      </c>
    </row>
    <row r="174" spans="1:26" x14ac:dyDescent="0.25">
      <c r="A174" s="2">
        <v>44861</v>
      </c>
      <c r="B174" s="3">
        <v>300</v>
      </c>
      <c r="C174" s="3">
        <v>200</v>
      </c>
      <c r="D174">
        <v>310.31889999999999</v>
      </c>
      <c r="E174">
        <v>3.6999999999999998E-2</v>
      </c>
      <c r="F174">
        <v>305.1232</v>
      </c>
      <c r="G174">
        <v>311.21100000000001</v>
      </c>
      <c r="H174">
        <v>314.6225</v>
      </c>
      <c r="I174">
        <v>4.3999999999999997E-2</v>
      </c>
      <c r="J174">
        <v>4.2000000000000003E-2</v>
      </c>
      <c r="K174">
        <v>0.02</v>
      </c>
      <c r="L174">
        <v>2003.8</v>
      </c>
      <c r="M174">
        <v>2009.6</v>
      </c>
      <c r="N174">
        <v>2027.8</v>
      </c>
      <c r="Q174">
        <f t="shared" si="21"/>
        <v>310.3</v>
      </c>
      <c r="R174">
        <f t="shared" si="25"/>
        <v>310.3</v>
      </c>
      <c r="S174">
        <f t="shared" si="26"/>
        <v>0</v>
      </c>
      <c r="X174">
        <f t="shared" si="22"/>
        <v>0</v>
      </c>
      <c r="Y174">
        <f t="shared" si="23"/>
        <v>0</v>
      </c>
      <c r="Z174">
        <f t="shared" si="24"/>
        <v>0</v>
      </c>
    </row>
    <row r="175" spans="1:26" x14ac:dyDescent="0.25">
      <c r="A175" s="2">
        <v>44861</v>
      </c>
      <c r="B175" s="3">
        <v>300</v>
      </c>
      <c r="C175" s="3">
        <v>300</v>
      </c>
      <c r="D175">
        <v>310.32889999999998</v>
      </c>
      <c r="E175">
        <v>3.5000000000000003E-2</v>
      </c>
      <c r="F175">
        <v>305.13099999999997</v>
      </c>
      <c r="G175">
        <v>311.22669999999999</v>
      </c>
      <c r="H175">
        <v>314.62880000000001</v>
      </c>
      <c r="I175">
        <v>4.3999999999999997E-2</v>
      </c>
      <c r="J175">
        <v>3.1E-2</v>
      </c>
      <c r="K175">
        <v>2.9000000000000001E-2</v>
      </c>
      <c r="L175">
        <v>2004</v>
      </c>
      <c r="M175">
        <v>2009.8</v>
      </c>
      <c r="N175">
        <v>2027.8</v>
      </c>
      <c r="Q175">
        <f t="shared" si="21"/>
        <v>310.3</v>
      </c>
      <c r="R175">
        <f t="shared" si="25"/>
        <v>310.3</v>
      </c>
      <c r="S175">
        <f t="shared" si="26"/>
        <v>0</v>
      </c>
      <c r="X175">
        <f t="shared" si="22"/>
        <v>0</v>
      </c>
      <c r="Y175">
        <f t="shared" si="23"/>
        <v>0</v>
      </c>
      <c r="Z175">
        <f t="shared" si="24"/>
        <v>0</v>
      </c>
    </row>
    <row r="176" spans="1:26" x14ac:dyDescent="0.25">
      <c r="A176" s="2">
        <v>44861</v>
      </c>
      <c r="B176" s="3">
        <v>300</v>
      </c>
      <c r="C176" s="3">
        <v>400</v>
      </c>
      <c r="D176">
        <v>310.32569999999998</v>
      </c>
      <c r="E176">
        <v>3.5999999999999997E-2</v>
      </c>
      <c r="F176">
        <v>305.13099999999997</v>
      </c>
      <c r="G176">
        <v>311.22039999999998</v>
      </c>
      <c r="H176">
        <v>314.62569999999999</v>
      </c>
      <c r="I176">
        <v>4.3999999999999997E-2</v>
      </c>
      <c r="J176">
        <v>3.5999999999999997E-2</v>
      </c>
      <c r="K176">
        <v>2.5000000000000001E-2</v>
      </c>
      <c r="L176">
        <v>2004</v>
      </c>
      <c r="M176">
        <v>2009.8</v>
      </c>
      <c r="N176">
        <v>2027.8</v>
      </c>
      <c r="Q176">
        <f t="shared" si="21"/>
        <v>310.3</v>
      </c>
      <c r="R176">
        <f t="shared" si="25"/>
        <v>310.3</v>
      </c>
      <c r="S176">
        <f t="shared" si="26"/>
        <v>0</v>
      </c>
      <c r="X176">
        <f t="shared" si="22"/>
        <v>0</v>
      </c>
      <c r="Y176">
        <f t="shared" si="23"/>
        <v>0</v>
      </c>
      <c r="Z176">
        <f t="shared" si="24"/>
        <v>0</v>
      </c>
    </row>
    <row r="177" spans="1:26" x14ac:dyDescent="0.25">
      <c r="A177" s="2">
        <v>44861</v>
      </c>
      <c r="B177" s="3">
        <v>300</v>
      </c>
      <c r="C177" s="3">
        <v>500</v>
      </c>
      <c r="D177">
        <v>310.31369999999998</v>
      </c>
      <c r="E177">
        <v>3.5999999999999997E-2</v>
      </c>
      <c r="F177">
        <v>305.11700000000002</v>
      </c>
      <c r="G177">
        <v>311.20949999999999</v>
      </c>
      <c r="H177">
        <v>314.61470000000003</v>
      </c>
      <c r="I177">
        <v>4.2000000000000003E-2</v>
      </c>
      <c r="J177">
        <v>4.2000000000000003E-2</v>
      </c>
      <c r="K177">
        <v>1.7000000000000001E-2</v>
      </c>
      <c r="L177">
        <v>2003.8</v>
      </c>
      <c r="M177">
        <v>2009.8</v>
      </c>
      <c r="N177">
        <v>2027.8</v>
      </c>
      <c r="Q177">
        <f t="shared" si="21"/>
        <v>310.3</v>
      </c>
      <c r="R177">
        <f t="shared" si="25"/>
        <v>310.3</v>
      </c>
      <c r="S177">
        <f t="shared" si="26"/>
        <v>0</v>
      </c>
      <c r="X177">
        <f t="shared" si="22"/>
        <v>0</v>
      </c>
      <c r="Y177">
        <f t="shared" si="23"/>
        <v>0</v>
      </c>
      <c r="Z177">
        <f t="shared" si="24"/>
        <v>0</v>
      </c>
    </row>
    <row r="178" spans="1:26" x14ac:dyDescent="0.25">
      <c r="A178" s="2">
        <v>44861</v>
      </c>
      <c r="B178" s="3">
        <v>300</v>
      </c>
      <c r="C178" s="3">
        <v>600</v>
      </c>
      <c r="D178">
        <v>310.31110000000001</v>
      </c>
      <c r="E178">
        <v>3.5999999999999997E-2</v>
      </c>
      <c r="F178">
        <v>305.11079999999998</v>
      </c>
      <c r="G178">
        <v>311.2079</v>
      </c>
      <c r="H178">
        <v>314.61470000000003</v>
      </c>
      <c r="I178">
        <v>3.9E-2</v>
      </c>
      <c r="J178">
        <v>4.2999999999999997E-2</v>
      </c>
      <c r="K178">
        <v>2.4E-2</v>
      </c>
      <c r="L178">
        <v>2003.8</v>
      </c>
      <c r="M178">
        <v>2009.8</v>
      </c>
      <c r="N178">
        <v>2027.8</v>
      </c>
      <c r="Q178">
        <f t="shared" si="21"/>
        <v>310.3</v>
      </c>
      <c r="R178">
        <f t="shared" si="25"/>
        <v>310.3</v>
      </c>
      <c r="S178">
        <f t="shared" si="26"/>
        <v>0</v>
      </c>
      <c r="X178">
        <f t="shared" si="22"/>
        <v>0</v>
      </c>
      <c r="Y178">
        <f t="shared" si="23"/>
        <v>0</v>
      </c>
      <c r="Z178">
        <f t="shared" si="24"/>
        <v>0</v>
      </c>
    </row>
    <row r="179" spans="1:26" x14ac:dyDescent="0.25">
      <c r="A179" s="2">
        <v>44861</v>
      </c>
      <c r="B179" s="3">
        <v>300</v>
      </c>
      <c r="C179" s="3">
        <v>700</v>
      </c>
      <c r="D179">
        <v>310.30689999999998</v>
      </c>
      <c r="E179">
        <v>3.7999999999999999E-2</v>
      </c>
      <c r="F179">
        <v>305.10919999999999</v>
      </c>
      <c r="G179">
        <v>311.2079</v>
      </c>
      <c r="H179">
        <v>314.60359999999997</v>
      </c>
      <c r="I179">
        <v>3.7999999999999999E-2</v>
      </c>
      <c r="J179">
        <v>4.2999999999999997E-2</v>
      </c>
      <c r="K179">
        <v>3.3000000000000002E-2</v>
      </c>
      <c r="L179">
        <v>2004</v>
      </c>
      <c r="M179">
        <v>2009.6</v>
      </c>
      <c r="N179">
        <v>2027.8</v>
      </c>
      <c r="Q179">
        <f t="shared" si="21"/>
        <v>310.3</v>
      </c>
      <c r="R179">
        <f t="shared" si="25"/>
        <v>310.3</v>
      </c>
      <c r="S179">
        <f t="shared" si="26"/>
        <v>0</v>
      </c>
      <c r="X179">
        <f t="shared" si="22"/>
        <v>0</v>
      </c>
      <c r="Y179">
        <f t="shared" si="23"/>
        <v>0</v>
      </c>
      <c r="Z179">
        <f t="shared" si="24"/>
        <v>0</v>
      </c>
    </row>
    <row r="180" spans="1:26" x14ac:dyDescent="0.25">
      <c r="A180" s="2">
        <v>44861</v>
      </c>
      <c r="B180" s="3">
        <v>300</v>
      </c>
      <c r="C180" s="3">
        <v>800</v>
      </c>
      <c r="D180">
        <v>310.28859999999997</v>
      </c>
      <c r="E180">
        <v>3.9E-2</v>
      </c>
      <c r="F180">
        <v>305.09519999999998</v>
      </c>
      <c r="G180">
        <v>311.1891</v>
      </c>
      <c r="H180">
        <v>314.58159999999998</v>
      </c>
      <c r="I180">
        <v>2.5000000000000001E-2</v>
      </c>
      <c r="J180">
        <v>4.3999999999999997E-2</v>
      </c>
      <c r="K180">
        <v>4.3999999999999997E-2</v>
      </c>
      <c r="L180">
        <v>2003.8</v>
      </c>
      <c r="M180">
        <v>2009.8</v>
      </c>
      <c r="N180">
        <v>2027.8</v>
      </c>
      <c r="Q180">
        <f t="shared" si="21"/>
        <v>310.3</v>
      </c>
      <c r="R180">
        <f t="shared" si="25"/>
        <v>310.3</v>
      </c>
      <c r="S180">
        <f t="shared" si="26"/>
        <v>0</v>
      </c>
      <c r="X180">
        <f t="shared" si="22"/>
        <v>0</v>
      </c>
      <c r="Y180">
        <f t="shared" si="23"/>
        <v>0</v>
      </c>
      <c r="Z180">
        <f t="shared" si="24"/>
        <v>0</v>
      </c>
    </row>
    <row r="181" spans="1:26" x14ac:dyDescent="0.25">
      <c r="A181" s="2">
        <v>44861</v>
      </c>
      <c r="B181" s="3">
        <v>300</v>
      </c>
      <c r="C181" s="3">
        <v>900</v>
      </c>
      <c r="D181">
        <v>310.38099999999997</v>
      </c>
      <c r="E181">
        <v>3.7999999999999999E-2</v>
      </c>
      <c r="F181">
        <v>305.1823</v>
      </c>
      <c r="G181">
        <v>311.28629999999998</v>
      </c>
      <c r="H181">
        <v>314.67439999999999</v>
      </c>
      <c r="I181">
        <v>2.3E-2</v>
      </c>
      <c r="J181">
        <v>4.4999999999999998E-2</v>
      </c>
      <c r="K181">
        <v>4.2999999999999997E-2</v>
      </c>
      <c r="L181">
        <v>2004</v>
      </c>
      <c r="M181">
        <v>2010</v>
      </c>
      <c r="N181">
        <v>2028</v>
      </c>
      <c r="Q181">
        <f t="shared" si="21"/>
        <v>310.39999999999998</v>
      </c>
      <c r="R181">
        <f t="shared" si="25"/>
        <v>310.39999999999998</v>
      </c>
      <c r="S181">
        <f t="shared" si="26"/>
        <v>9.9999999999965894E-2</v>
      </c>
      <c r="X181">
        <f t="shared" si="22"/>
        <v>0</v>
      </c>
      <c r="Y181">
        <f t="shared" si="23"/>
        <v>0</v>
      </c>
      <c r="Z181">
        <f t="shared" si="24"/>
        <v>0</v>
      </c>
    </row>
    <row r="182" spans="1:26" x14ac:dyDescent="0.25">
      <c r="A182" s="2">
        <v>44861</v>
      </c>
      <c r="B182" s="3">
        <v>300</v>
      </c>
      <c r="C182" s="3">
        <v>1000</v>
      </c>
      <c r="D182">
        <v>310.34960000000001</v>
      </c>
      <c r="E182">
        <v>3.4000000000000002E-2</v>
      </c>
      <c r="F182">
        <v>305.16210000000001</v>
      </c>
      <c r="G182">
        <v>311.25810000000001</v>
      </c>
      <c r="H182">
        <v>314.62880000000001</v>
      </c>
      <c r="I182">
        <v>3.2000000000000001E-2</v>
      </c>
      <c r="J182">
        <v>0.04</v>
      </c>
      <c r="K182">
        <v>2.9000000000000001E-2</v>
      </c>
      <c r="L182">
        <v>2004</v>
      </c>
      <c r="M182">
        <v>2009.8</v>
      </c>
      <c r="N182">
        <v>2027.8</v>
      </c>
      <c r="Q182">
        <f t="shared" si="21"/>
        <v>310.3</v>
      </c>
      <c r="R182">
        <f t="shared" si="25"/>
        <v>310.39999999999998</v>
      </c>
      <c r="S182">
        <f t="shared" si="26"/>
        <v>0</v>
      </c>
      <c r="X182">
        <f t="shared" si="22"/>
        <v>0</v>
      </c>
      <c r="Y182">
        <f t="shared" si="23"/>
        <v>0</v>
      </c>
      <c r="Z182">
        <f t="shared" si="24"/>
        <v>0</v>
      </c>
    </row>
    <row r="183" spans="1:26" x14ac:dyDescent="0.25">
      <c r="A183" s="2">
        <v>44861</v>
      </c>
      <c r="B183" s="3">
        <v>300</v>
      </c>
      <c r="C183" s="3">
        <v>1100</v>
      </c>
      <c r="D183">
        <v>310.3109</v>
      </c>
      <c r="E183">
        <v>4.2000000000000003E-2</v>
      </c>
      <c r="F183">
        <v>305.14190000000002</v>
      </c>
      <c r="G183">
        <v>311.21890000000002</v>
      </c>
      <c r="H183">
        <v>314.57209999999998</v>
      </c>
      <c r="I183">
        <v>4.2999999999999997E-2</v>
      </c>
      <c r="J183">
        <v>3.7999999999999999E-2</v>
      </c>
      <c r="K183">
        <v>4.4999999999999998E-2</v>
      </c>
      <c r="L183">
        <v>2003.8</v>
      </c>
      <c r="M183">
        <v>2009.8</v>
      </c>
      <c r="N183">
        <v>2027.8</v>
      </c>
      <c r="Q183">
        <f t="shared" si="21"/>
        <v>310.3</v>
      </c>
      <c r="R183">
        <f t="shared" si="25"/>
        <v>310.39999999999998</v>
      </c>
      <c r="S183">
        <f t="shared" si="26"/>
        <v>0</v>
      </c>
      <c r="X183">
        <f t="shared" si="22"/>
        <v>0</v>
      </c>
      <c r="Y183">
        <f t="shared" si="23"/>
        <v>0</v>
      </c>
      <c r="Z183">
        <f t="shared" si="24"/>
        <v>0</v>
      </c>
    </row>
    <row r="184" spans="1:26" x14ac:dyDescent="0.25">
      <c r="A184" s="2">
        <v>44861</v>
      </c>
      <c r="B184" s="3">
        <v>300</v>
      </c>
      <c r="C184" s="3">
        <v>1200</v>
      </c>
      <c r="D184">
        <v>310.26029999999997</v>
      </c>
      <c r="E184">
        <v>4.2999999999999997E-2</v>
      </c>
      <c r="F184">
        <v>305.12009999999998</v>
      </c>
      <c r="G184">
        <v>311.15769999999998</v>
      </c>
      <c r="H184">
        <v>314.50290000000001</v>
      </c>
      <c r="I184">
        <v>4.2999999999999997E-2</v>
      </c>
      <c r="J184">
        <v>4.4999999999999998E-2</v>
      </c>
      <c r="K184">
        <v>0.04</v>
      </c>
      <c r="L184">
        <v>2003.8</v>
      </c>
      <c r="M184">
        <v>2009.6</v>
      </c>
      <c r="N184">
        <v>2027.6</v>
      </c>
      <c r="Q184">
        <f t="shared" si="21"/>
        <v>310.3</v>
      </c>
      <c r="R184">
        <f t="shared" si="25"/>
        <v>310.39999999999998</v>
      </c>
      <c r="S184">
        <f t="shared" si="26"/>
        <v>0</v>
      </c>
      <c r="X184">
        <f t="shared" si="22"/>
        <v>0</v>
      </c>
      <c r="Y184">
        <f t="shared" si="23"/>
        <v>0</v>
      </c>
      <c r="Z184">
        <f t="shared" si="24"/>
        <v>0</v>
      </c>
    </row>
    <row r="185" spans="1:26" x14ac:dyDescent="0.25">
      <c r="A185" s="2">
        <v>44861</v>
      </c>
      <c r="B185" s="3">
        <v>300</v>
      </c>
      <c r="C185" s="3">
        <v>1300</v>
      </c>
      <c r="D185">
        <v>310.20639999999997</v>
      </c>
      <c r="E185">
        <v>3.5000000000000003E-2</v>
      </c>
      <c r="F185">
        <v>305.09210000000002</v>
      </c>
      <c r="G185">
        <v>311.09969999999998</v>
      </c>
      <c r="H185">
        <v>314.42739999999998</v>
      </c>
      <c r="I185">
        <v>3.1E-2</v>
      </c>
      <c r="J185">
        <v>4.3999999999999997E-2</v>
      </c>
      <c r="K185">
        <v>2.9000000000000001E-2</v>
      </c>
      <c r="L185">
        <v>2003.8</v>
      </c>
      <c r="M185">
        <v>2009.4</v>
      </c>
      <c r="N185">
        <v>2027.2</v>
      </c>
      <c r="Q185">
        <f t="shared" si="21"/>
        <v>310.2</v>
      </c>
      <c r="R185">
        <f t="shared" si="25"/>
        <v>310.39999999999998</v>
      </c>
      <c r="S185">
        <f t="shared" si="26"/>
        <v>0</v>
      </c>
      <c r="X185">
        <f t="shared" si="22"/>
        <v>0</v>
      </c>
      <c r="Y185">
        <f t="shared" si="23"/>
        <v>0</v>
      </c>
      <c r="Z185">
        <f t="shared" si="24"/>
        <v>0</v>
      </c>
    </row>
    <row r="186" spans="1:26" x14ac:dyDescent="0.25">
      <c r="A186" s="2">
        <v>44861</v>
      </c>
      <c r="B186" s="3">
        <v>300</v>
      </c>
      <c r="C186" s="3">
        <v>1400</v>
      </c>
      <c r="D186">
        <v>310.1454</v>
      </c>
      <c r="E186">
        <v>3.5000000000000003E-2</v>
      </c>
      <c r="F186">
        <v>305.01580000000001</v>
      </c>
      <c r="G186">
        <v>311.06049999999999</v>
      </c>
      <c r="H186">
        <v>314.35980000000001</v>
      </c>
      <c r="I186">
        <v>3.5000000000000003E-2</v>
      </c>
      <c r="J186">
        <v>3.6999999999999998E-2</v>
      </c>
      <c r="K186">
        <v>3.4000000000000002E-2</v>
      </c>
      <c r="L186">
        <v>2003.6</v>
      </c>
      <c r="M186">
        <v>2009.4</v>
      </c>
      <c r="N186">
        <v>2027.2</v>
      </c>
      <c r="Q186">
        <f t="shared" si="21"/>
        <v>310.10000000000002</v>
      </c>
      <c r="R186">
        <f t="shared" si="25"/>
        <v>310.39999999999998</v>
      </c>
      <c r="S186">
        <f t="shared" si="26"/>
        <v>0</v>
      </c>
      <c r="X186">
        <f t="shared" si="22"/>
        <v>0</v>
      </c>
      <c r="Y186">
        <f t="shared" si="23"/>
        <v>0</v>
      </c>
      <c r="Z186">
        <f t="shared" si="24"/>
        <v>0</v>
      </c>
    </row>
    <row r="187" spans="1:26" x14ac:dyDescent="0.25">
      <c r="A187" s="2">
        <v>44861</v>
      </c>
      <c r="B187" s="3">
        <v>300</v>
      </c>
      <c r="C187" s="3">
        <v>1500</v>
      </c>
      <c r="D187">
        <v>310.13339999999999</v>
      </c>
      <c r="E187">
        <v>0.04</v>
      </c>
      <c r="F187">
        <v>305.0111</v>
      </c>
      <c r="G187">
        <v>311.01190000000003</v>
      </c>
      <c r="H187">
        <v>314.37709999999998</v>
      </c>
      <c r="I187">
        <v>3.1E-2</v>
      </c>
      <c r="J187">
        <v>4.4999999999999998E-2</v>
      </c>
      <c r="K187">
        <v>4.2000000000000003E-2</v>
      </c>
      <c r="L187">
        <v>2003.6</v>
      </c>
      <c r="M187">
        <v>2009.2</v>
      </c>
      <c r="N187">
        <v>2027.2</v>
      </c>
      <c r="Q187">
        <f t="shared" si="21"/>
        <v>310.10000000000002</v>
      </c>
      <c r="R187">
        <f t="shared" si="25"/>
        <v>310.39999999999998</v>
      </c>
      <c r="S187">
        <f t="shared" si="26"/>
        <v>0</v>
      </c>
      <c r="X187">
        <f t="shared" si="22"/>
        <v>0</v>
      </c>
      <c r="Y187">
        <f t="shared" si="23"/>
        <v>0</v>
      </c>
      <c r="Z187">
        <f t="shared" si="24"/>
        <v>0</v>
      </c>
    </row>
    <row r="188" spans="1:26" x14ac:dyDescent="0.25">
      <c r="A188" s="2">
        <v>44861</v>
      </c>
      <c r="B188" s="3">
        <v>300</v>
      </c>
      <c r="C188" s="3">
        <v>1600</v>
      </c>
      <c r="D188">
        <v>310.16210000000001</v>
      </c>
      <c r="E188">
        <v>0.04</v>
      </c>
      <c r="F188">
        <v>305.01580000000001</v>
      </c>
      <c r="G188">
        <v>311.09809999999999</v>
      </c>
      <c r="H188">
        <v>314.3723</v>
      </c>
      <c r="I188">
        <v>3.5000000000000003E-2</v>
      </c>
      <c r="J188">
        <v>4.3999999999999997E-2</v>
      </c>
      <c r="K188">
        <v>3.9E-2</v>
      </c>
      <c r="L188">
        <v>2003.6</v>
      </c>
      <c r="M188">
        <v>2009.6</v>
      </c>
      <c r="N188">
        <v>2027.2</v>
      </c>
      <c r="Q188">
        <f t="shared" si="21"/>
        <v>310.2</v>
      </c>
      <c r="R188">
        <f t="shared" si="25"/>
        <v>310.39999999999998</v>
      </c>
      <c r="S188">
        <f t="shared" si="26"/>
        <v>0</v>
      </c>
      <c r="X188">
        <f t="shared" si="22"/>
        <v>0</v>
      </c>
      <c r="Y188">
        <f t="shared" si="23"/>
        <v>0</v>
      </c>
      <c r="Z188">
        <f t="shared" si="24"/>
        <v>0</v>
      </c>
    </row>
    <row r="189" spans="1:26" x14ac:dyDescent="0.25">
      <c r="A189" s="2">
        <v>44861</v>
      </c>
      <c r="B189" s="3">
        <v>300</v>
      </c>
      <c r="C189" s="3">
        <v>1700</v>
      </c>
      <c r="D189">
        <v>310.22160000000002</v>
      </c>
      <c r="E189">
        <v>3.4000000000000002E-2</v>
      </c>
      <c r="F189">
        <v>305.05939999999998</v>
      </c>
      <c r="G189">
        <v>311.1671</v>
      </c>
      <c r="H189">
        <v>314.4384</v>
      </c>
      <c r="I189">
        <v>4.1000000000000002E-2</v>
      </c>
      <c r="J189">
        <v>3.5000000000000003E-2</v>
      </c>
      <c r="K189">
        <v>2.4E-2</v>
      </c>
      <c r="L189">
        <v>2003.8</v>
      </c>
      <c r="M189">
        <v>2009.6</v>
      </c>
      <c r="N189">
        <v>2027.2</v>
      </c>
      <c r="Q189">
        <f t="shared" si="21"/>
        <v>310.2</v>
      </c>
      <c r="R189">
        <f t="shared" si="25"/>
        <v>310.39999999999998</v>
      </c>
      <c r="S189">
        <f t="shared" si="26"/>
        <v>0</v>
      </c>
      <c r="X189">
        <f t="shared" si="22"/>
        <v>0</v>
      </c>
      <c r="Y189">
        <f t="shared" si="23"/>
        <v>0</v>
      </c>
      <c r="Z189">
        <f t="shared" si="24"/>
        <v>0</v>
      </c>
    </row>
    <row r="190" spans="1:26" x14ac:dyDescent="0.25">
      <c r="A190" s="2">
        <v>44861</v>
      </c>
      <c r="B190" s="3">
        <v>300</v>
      </c>
      <c r="C190" s="3">
        <v>1800</v>
      </c>
      <c r="D190">
        <v>310.2629</v>
      </c>
      <c r="E190">
        <v>0.04</v>
      </c>
      <c r="F190">
        <v>305.09829999999999</v>
      </c>
      <c r="G190">
        <v>311.20319999999998</v>
      </c>
      <c r="H190">
        <v>314.48719999999997</v>
      </c>
      <c r="I190">
        <v>2.9000000000000001E-2</v>
      </c>
      <c r="J190">
        <v>4.3999999999999997E-2</v>
      </c>
      <c r="K190">
        <v>4.4999999999999998E-2</v>
      </c>
      <c r="L190">
        <v>2003.8</v>
      </c>
      <c r="M190">
        <v>2009.6</v>
      </c>
      <c r="N190">
        <v>2027.6</v>
      </c>
      <c r="Q190">
        <f t="shared" si="21"/>
        <v>310.3</v>
      </c>
      <c r="R190">
        <f t="shared" si="25"/>
        <v>310.39999999999998</v>
      </c>
      <c r="S190">
        <f t="shared" si="26"/>
        <v>0</v>
      </c>
      <c r="X190">
        <f t="shared" si="22"/>
        <v>0</v>
      </c>
      <c r="Y190">
        <f t="shared" si="23"/>
        <v>0</v>
      </c>
      <c r="Z190">
        <f t="shared" si="24"/>
        <v>0</v>
      </c>
    </row>
    <row r="191" spans="1:26" x14ac:dyDescent="0.25">
      <c r="A191" s="2">
        <v>44861</v>
      </c>
      <c r="B191" s="3">
        <v>300</v>
      </c>
      <c r="C191" s="3">
        <v>1900</v>
      </c>
      <c r="D191">
        <v>310.27859999999998</v>
      </c>
      <c r="E191">
        <v>3.5999999999999997E-2</v>
      </c>
      <c r="F191">
        <v>305.10610000000003</v>
      </c>
      <c r="G191">
        <v>311.22039999999998</v>
      </c>
      <c r="H191">
        <v>314.50920000000002</v>
      </c>
      <c r="I191">
        <v>3.5999999999999997E-2</v>
      </c>
      <c r="J191">
        <v>3.5999999999999997E-2</v>
      </c>
      <c r="K191">
        <v>3.6999999999999998E-2</v>
      </c>
      <c r="L191">
        <v>2003.8</v>
      </c>
      <c r="M191">
        <v>2009.8</v>
      </c>
      <c r="N191">
        <v>2027.6</v>
      </c>
      <c r="Q191">
        <f t="shared" si="21"/>
        <v>310.3</v>
      </c>
      <c r="R191">
        <f t="shared" si="25"/>
        <v>310.39999999999998</v>
      </c>
      <c r="S191">
        <f t="shared" si="26"/>
        <v>0</v>
      </c>
      <c r="X191">
        <f t="shared" si="22"/>
        <v>0</v>
      </c>
      <c r="Y191">
        <f t="shared" si="23"/>
        <v>0</v>
      </c>
      <c r="Z191">
        <f t="shared" si="24"/>
        <v>0</v>
      </c>
    </row>
    <row r="192" spans="1:26" x14ac:dyDescent="0.25">
      <c r="A192" s="2">
        <v>44861</v>
      </c>
      <c r="B192" s="3">
        <v>300</v>
      </c>
      <c r="C192" s="3">
        <v>2000</v>
      </c>
      <c r="D192">
        <v>310.28120000000001</v>
      </c>
      <c r="E192">
        <v>3.5999999999999997E-2</v>
      </c>
      <c r="F192">
        <v>305.10919999999999</v>
      </c>
      <c r="G192">
        <v>311.22039999999998</v>
      </c>
      <c r="H192">
        <v>314.51389999999998</v>
      </c>
      <c r="I192">
        <v>3.7999999999999999E-2</v>
      </c>
      <c r="J192">
        <v>3.5999999999999997E-2</v>
      </c>
      <c r="K192">
        <v>3.3000000000000002E-2</v>
      </c>
      <c r="L192">
        <v>2003.8</v>
      </c>
      <c r="M192">
        <v>2009.8</v>
      </c>
      <c r="N192">
        <v>2027.6</v>
      </c>
      <c r="Q192">
        <f t="shared" si="21"/>
        <v>310.3</v>
      </c>
      <c r="R192">
        <f t="shared" si="25"/>
        <v>310.39999999999998</v>
      </c>
      <c r="S192">
        <f t="shared" si="26"/>
        <v>0</v>
      </c>
      <c r="X192">
        <f t="shared" si="22"/>
        <v>0</v>
      </c>
      <c r="Y192">
        <f t="shared" si="23"/>
        <v>0</v>
      </c>
      <c r="Z192">
        <f t="shared" si="24"/>
        <v>0</v>
      </c>
    </row>
    <row r="193" spans="1:26" x14ac:dyDescent="0.25">
      <c r="A193" s="2">
        <v>44861</v>
      </c>
      <c r="B193" s="3">
        <v>300</v>
      </c>
      <c r="C193" s="3">
        <v>2100</v>
      </c>
      <c r="D193">
        <v>310.36259999999999</v>
      </c>
      <c r="E193">
        <v>3.9E-2</v>
      </c>
      <c r="F193">
        <v>305.19319999999999</v>
      </c>
      <c r="G193">
        <v>311.30200000000002</v>
      </c>
      <c r="H193">
        <v>314.5926</v>
      </c>
      <c r="I193">
        <v>3.5000000000000003E-2</v>
      </c>
      <c r="J193">
        <v>4.1000000000000002E-2</v>
      </c>
      <c r="K193">
        <v>0.04</v>
      </c>
      <c r="L193">
        <v>2004</v>
      </c>
      <c r="M193">
        <v>2010</v>
      </c>
      <c r="N193">
        <v>2027.8</v>
      </c>
      <c r="Q193">
        <f t="shared" si="21"/>
        <v>310.39999999999998</v>
      </c>
      <c r="R193">
        <f t="shared" si="25"/>
        <v>310.39999999999998</v>
      </c>
      <c r="S193">
        <f t="shared" si="26"/>
        <v>0</v>
      </c>
      <c r="X193">
        <f t="shared" si="22"/>
        <v>0</v>
      </c>
      <c r="Y193">
        <f t="shared" si="23"/>
        <v>0</v>
      </c>
      <c r="Z193">
        <f t="shared" si="24"/>
        <v>0</v>
      </c>
    </row>
    <row r="194" spans="1:26" x14ac:dyDescent="0.25">
      <c r="A194" s="2">
        <v>44861</v>
      </c>
      <c r="B194" s="3">
        <v>300</v>
      </c>
      <c r="C194" s="3">
        <v>2200</v>
      </c>
      <c r="D194">
        <v>310.56310000000002</v>
      </c>
      <c r="E194">
        <v>3.1E-2</v>
      </c>
      <c r="F194">
        <v>305.3895</v>
      </c>
      <c r="G194">
        <v>311.50110000000001</v>
      </c>
      <c r="H194">
        <v>314.7987</v>
      </c>
      <c r="I194">
        <v>4.3999999999999997E-2</v>
      </c>
      <c r="J194">
        <v>2.3E-2</v>
      </c>
      <c r="K194">
        <v>2.1000000000000001E-2</v>
      </c>
      <c r="L194">
        <v>2004.4</v>
      </c>
      <c r="M194">
        <v>2010.4</v>
      </c>
      <c r="N194">
        <v>2028.2</v>
      </c>
      <c r="Q194">
        <f t="shared" si="21"/>
        <v>310.60000000000002</v>
      </c>
      <c r="R194">
        <f t="shared" si="25"/>
        <v>310.60000000000002</v>
      </c>
      <c r="S194">
        <f t="shared" si="26"/>
        <v>0.20000000000004547</v>
      </c>
      <c r="X194">
        <f t="shared" si="22"/>
        <v>0</v>
      </c>
      <c r="Y194">
        <f t="shared" si="23"/>
        <v>0</v>
      </c>
      <c r="Z194">
        <f t="shared" si="24"/>
        <v>0</v>
      </c>
    </row>
    <row r="195" spans="1:26" x14ac:dyDescent="0.25">
      <c r="A195" s="2">
        <v>44861</v>
      </c>
      <c r="B195" s="3">
        <v>300</v>
      </c>
      <c r="C195" s="3">
        <v>2300</v>
      </c>
      <c r="D195">
        <v>310.84989999999999</v>
      </c>
      <c r="E195">
        <v>3.9E-2</v>
      </c>
      <c r="F195">
        <v>305.66980000000001</v>
      </c>
      <c r="G195">
        <v>311.79450000000003</v>
      </c>
      <c r="H195">
        <v>315.08519999999999</v>
      </c>
      <c r="I195">
        <v>4.3999999999999997E-2</v>
      </c>
      <c r="J195">
        <v>3.5999999999999997E-2</v>
      </c>
      <c r="K195">
        <v>3.6999999999999998E-2</v>
      </c>
      <c r="L195">
        <v>2005.2</v>
      </c>
      <c r="M195">
        <v>2011</v>
      </c>
      <c r="N195">
        <v>2028.8</v>
      </c>
      <c r="Q195">
        <f t="shared" si="21"/>
        <v>310.8</v>
      </c>
      <c r="R195">
        <f t="shared" si="25"/>
        <v>310.8</v>
      </c>
      <c r="S195">
        <f t="shared" si="26"/>
        <v>0.19999999999998863</v>
      </c>
      <c r="X195">
        <f t="shared" si="22"/>
        <v>0</v>
      </c>
      <c r="Y195">
        <f t="shared" si="23"/>
        <v>0</v>
      </c>
      <c r="Z195">
        <f t="shared" si="24"/>
        <v>0</v>
      </c>
    </row>
    <row r="196" spans="1:26" x14ac:dyDescent="0.25">
      <c r="A196" s="2">
        <v>44861</v>
      </c>
      <c r="B196" s="3">
        <v>300</v>
      </c>
      <c r="C196" s="3">
        <v>2400</v>
      </c>
      <c r="D196">
        <v>310.93450000000001</v>
      </c>
      <c r="E196">
        <v>3.7999999999999999E-2</v>
      </c>
      <c r="F196">
        <v>305.75389999999999</v>
      </c>
      <c r="G196">
        <v>311.8777</v>
      </c>
      <c r="H196">
        <v>315.17180000000002</v>
      </c>
      <c r="I196">
        <v>4.3999999999999997E-2</v>
      </c>
      <c r="J196">
        <v>3.5000000000000003E-2</v>
      </c>
      <c r="K196">
        <v>3.4000000000000002E-2</v>
      </c>
      <c r="L196">
        <v>2005.2</v>
      </c>
      <c r="M196">
        <v>2011.2</v>
      </c>
      <c r="N196">
        <v>2029</v>
      </c>
      <c r="Q196">
        <f t="shared" si="21"/>
        <v>310.89999999999998</v>
      </c>
      <c r="R196">
        <f t="shared" si="25"/>
        <v>310.89999999999998</v>
      </c>
      <c r="S196">
        <f t="shared" si="26"/>
        <v>9.9999999999965894E-2</v>
      </c>
      <c r="X196">
        <f t="shared" si="22"/>
        <v>0</v>
      </c>
      <c r="Y196">
        <f t="shared" si="23"/>
        <v>0</v>
      </c>
      <c r="Z196">
        <f t="shared" si="24"/>
        <v>0</v>
      </c>
    </row>
    <row r="197" spans="1:26" x14ac:dyDescent="0.25">
      <c r="A197" s="2">
        <v>44862</v>
      </c>
      <c r="B197" s="3">
        <v>301</v>
      </c>
      <c r="C197" s="3">
        <v>100</v>
      </c>
      <c r="D197">
        <v>311.12</v>
      </c>
      <c r="E197">
        <v>4.1000000000000002E-2</v>
      </c>
      <c r="F197">
        <v>305.93619999999999</v>
      </c>
      <c r="G197">
        <v>312.06439999999998</v>
      </c>
      <c r="H197">
        <v>315.35919999999999</v>
      </c>
      <c r="I197">
        <v>4.3999999999999997E-2</v>
      </c>
      <c r="J197">
        <v>3.7999999999999999E-2</v>
      </c>
      <c r="K197">
        <v>0.04</v>
      </c>
      <c r="L197">
        <v>2005.8</v>
      </c>
      <c r="M197">
        <v>2011.6</v>
      </c>
      <c r="N197">
        <v>2029.4</v>
      </c>
      <c r="Q197">
        <f t="shared" si="21"/>
        <v>311.10000000000002</v>
      </c>
      <c r="R197">
        <f t="shared" si="25"/>
        <v>311.10000000000002</v>
      </c>
      <c r="S197">
        <f t="shared" si="26"/>
        <v>0.20000000000004547</v>
      </c>
      <c r="X197">
        <f t="shared" si="22"/>
        <v>0</v>
      </c>
      <c r="Y197">
        <f t="shared" si="23"/>
        <v>0</v>
      </c>
      <c r="Z197">
        <f t="shared" si="24"/>
        <v>0</v>
      </c>
    </row>
    <row r="198" spans="1:26" x14ac:dyDescent="0.25">
      <c r="A198" s="2">
        <v>44862</v>
      </c>
      <c r="B198" s="3">
        <v>301</v>
      </c>
      <c r="C198" s="3">
        <v>200</v>
      </c>
      <c r="D198">
        <v>312.0333</v>
      </c>
      <c r="E198">
        <v>4.2999999999999997E-2</v>
      </c>
      <c r="F198">
        <v>306.83749999999998</v>
      </c>
      <c r="G198">
        <v>312.98939999999999</v>
      </c>
      <c r="H198">
        <v>316.2731</v>
      </c>
      <c r="I198">
        <v>4.1000000000000002E-2</v>
      </c>
      <c r="J198">
        <v>4.3999999999999997E-2</v>
      </c>
      <c r="K198">
        <v>4.4999999999999998E-2</v>
      </c>
      <c r="L198">
        <v>2007.8</v>
      </c>
      <c r="M198">
        <v>2013.6</v>
      </c>
      <c r="N198">
        <v>2031.6</v>
      </c>
      <c r="Q198">
        <f t="shared" si="21"/>
        <v>312</v>
      </c>
      <c r="R198">
        <f t="shared" si="25"/>
        <v>312</v>
      </c>
      <c r="S198">
        <f t="shared" si="26"/>
        <v>0.89999999999997726</v>
      </c>
      <c r="X198">
        <f t="shared" si="22"/>
        <v>0</v>
      </c>
      <c r="Y198">
        <f t="shared" si="23"/>
        <v>0</v>
      </c>
      <c r="Z198">
        <f t="shared" si="24"/>
        <v>0</v>
      </c>
    </row>
    <row r="199" spans="1:26" x14ac:dyDescent="0.25">
      <c r="A199" s="2">
        <v>44862</v>
      </c>
      <c r="B199" s="3">
        <v>301</v>
      </c>
      <c r="C199" s="3">
        <v>300</v>
      </c>
      <c r="D199">
        <v>312.49009999999998</v>
      </c>
      <c r="E199">
        <v>0.04</v>
      </c>
      <c r="F199">
        <v>307.29149999999998</v>
      </c>
      <c r="G199">
        <v>313.45310000000001</v>
      </c>
      <c r="H199">
        <v>316.72559999999999</v>
      </c>
      <c r="I199">
        <v>3.5000000000000003E-2</v>
      </c>
      <c r="J199">
        <v>3.9E-2</v>
      </c>
      <c r="K199">
        <v>4.4999999999999998E-2</v>
      </c>
      <c r="L199">
        <v>2008.8</v>
      </c>
      <c r="M199">
        <v>2014.6</v>
      </c>
      <c r="N199">
        <v>2032.6</v>
      </c>
      <c r="Q199">
        <f t="shared" si="21"/>
        <v>312.5</v>
      </c>
      <c r="R199">
        <f t="shared" si="25"/>
        <v>312.5</v>
      </c>
      <c r="S199">
        <f t="shared" si="26"/>
        <v>0.5</v>
      </c>
      <c r="X199">
        <f t="shared" si="22"/>
        <v>0</v>
      </c>
      <c r="Y199">
        <f t="shared" si="23"/>
        <v>0</v>
      </c>
      <c r="Z199">
        <f t="shared" si="24"/>
        <v>0</v>
      </c>
    </row>
    <row r="200" spans="1:26" x14ac:dyDescent="0.25">
      <c r="A200" s="2">
        <v>44862</v>
      </c>
      <c r="B200" s="3">
        <v>301</v>
      </c>
      <c r="C200" s="3">
        <v>400</v>
      </c>
      <c r="D200">
        <v>313.3426</v>
      </c>
      <c r="E200">
        <v>3.5000000000000003E-2</v>
      </c>
      <c r="F200">
        <v>308.13959999999997</v>
      </c>
      <c r="G200">
        <v>314.30410000000001</v>
      </c>
      <c r="H200">
        <v>317.58420000000001</v>
      </c>
      <c r="I200">
        <v>4.2000000000000003E-2</v>
      </c>
      <c r="J200">
        <v>3.7999999999999999E-2</v>
      </c>
      <c r="K200">
        <v>2.1000000000000001E-2</v>
      </c>
      <c r="L200">
        <v>2010.6</v>
      </c>
      <c r="M200">
        <v>2016.8</v>
      </c>
      <c r="N200">
        <v>2034.4</v>
      </c>
      <c r="Q200">
        <f t="shared" si="21"/>
        <v>313.3</v>
      </c>
      <c r="R200">
        <f t="shared" si="25"/>
        <v>313.3</v>
      </c>
      <c r="S200">
        <f t="shared" si="26"/>
        <v>0.80000000000001137</v>
      </c>
      <c r="X200">
        <f t="shared" si="22"/>
        <v>0</v>
      </c>
      <c r="Y200">
        <f t="shared" si="23"/>
        <v>0</v>
      </c>
      <c r="Z200">
        <f t="shared" si="24"/>
        <v>0</v>
      </c>
    </row>
    <row r="201" spans="1:26" x14ac:dyDescent="0.25">
      <c r="A201" s="2">
        <v>44862</v>
      </c>
      <c r="B201" s="3">
        <v>301</v>
      </c>
      <c r="C201" s="3">
        <v>500</v>
      </c>
      <c r="D201">
        <v>313.90809999999999</v>
      </c>
      <c r="E201">
        <v>4.2999999999999997E-2</v>
      </c>
      <c r="F201">
        <v>308.7054</v>
      </c>
      <c r="G201">
        <v>314.86619999999999</v>
      </c>
      <c r="H201">
        <v>318.15280000000001</v>
      </c>
      <c r="I201">
        <v>4.1000000000000002E-2</v>
      </c>
      <c r="J201">
        <v>4.4999999999999998E-2</v>
      </c>
      <c r="K201">
        <v>4.2000000000000003E-2</v>
      </c>
      <c r="L201">
        <v>2012</v>
      </c>
      <c r="M201">
        <v>2018</v>
      </c>
      <c r="N201">
        <v>2035.8</v>
      </c>
      <c r="Q201">
        <f t="shared" si="21"/>
        <v>313.89999999999998</v>
      </c>
      <c r="R201">
        <f t="shared" si="25"/>
        <v>313.89999999999998</v>
      </c>
      <c r="S201">
        <f t="shared" si="26"/>
        <v>0.59999999999996589</v>
      </c>
      <c r="X201">
        <f t="shared" si="22"/>
        <v>0</v>
      </c>
      <c r="Y201">
        <f t="shared" si="23"/>
        <v>0</v>
      </c>
      <c r="Z201">
        <f t="shared" si="24"/>
        <v>0</v>
      </c>
    </row>
    <row r="202" spans="1:26" x14ac:dyDescent="0.25">
      <c r="A202" s="2">
        <v>44862</v>
      </c>
      <c r="B202" s="3">
        <v>301</v>
      </c>
      <c r="C202" s="3">
        <v>600</v>
      </c>
      <c r="D202">
        <v>314.27210000000002</v>
      </c>
      <c r="E202">
        <v>4.3999999999999997E-2</v>
      </c>
      <c r="F202">
        <v>309.05880000000002</v>
      </c>
      <c r="G202">
        <v>315.23480000000001</v>
      </c>
      <c r="H202">
        <v>318.52260000000001</v>
      </c>
      <c r="I202">
        <v>4.2999999999999997E-2</v>
      </c>
      <c r="J202">
        <v>4.3999999999999997E-2</v>
      </c>
      <c r="K202">
        <v>4.4999999999999998E-2</v>
      </c>
      <c r="L202">
        <v>2012.8</v>
      </c>
      <c r="M202">
        <v>2018.8</v>
      </c>
      <c r="N202">
        <v>2036.4</v>
      </c>
      <c r="Q202">
        <f t="shared" si="21"/>
        <v>314.3</v>
      </c>
      <c r="R202">
        <f t="shared" si="25"/>
        <v>314.3</v>
      </c>
      <c r="S202">
        <f t="shared" si="26"/>
        <v>0.40000000000003411</v>
      </c>
      <c r="X202">
        <f t="shared" si="22"/>
        <v>0</v>
      </c>
      <c r="Y202">
        <f t="shared" si="23"/>
        <v>0</v>
      </c>
      <c r="Z202">
        <f t="shared" si="24"/>
        <v>0</v>
      </c>
    </row>
    <row r="203" spans="1:26" x14ac:dyDescent="0.25">
      <c r="A203" s="2">
        <v>44862</v>
      </c>
      <c r="B203" s="3">
        <v>301</v>
      </c>
      <c r="C203" s="3">
        <v>700</v>
      </c>
      <c r="D203">
        <v>314.41160000000002</v>
      </c>
      <c r="E203">
        <v>2.9000000000000001E-2</v>
      </c>
      <c r="F203">
        <v>309.19650000000001</v>
      </c>
      <c r="G203">
        <v>315.375</v>
      </c>
      <c r="H203">
        <v>318.66340000000002</v>
      </c>
      <c r="I203">
        <v>3.5000000000000003E-2</v>
      </c>
      <c r="J203">
        <v>3.3000000000000002E-2</v>
      </c>
      <c r="K203">
        <v>1.7000000000000001E-2</v>
      </c>
      <c r="L203">
        <v>2013</v>
      </c>
      <c r="M203">
        <v>2019</v>
      </c>
      <c r="N203">
        <v>2036.8</v>
      </c>
      <c r="Q203">
        <f t="shared" si="21"/>
        <v>314.39999999999998</v>
      </c>
      <c r="R203">
        <f t="shared" si="25"/>
        <v>314.39999999999998</v>
      </c>
      <c r="S203">
        <f t="shared" si="26"/>
        <v>9.9999999999965894E-2</v>
      </c>
      <c r="X203">
        <f t="shared" si="22"/>
        <v>0</v>
      </c>
      <c r="Y203">
        <f t="shared" si="23"/>
        <v>0</v>
      </c>
      <c r="Z203">
        <f t="shared" si="24"/>
        <v>0</v>
      </c>
    </row>
    <row r="204" spans="1:26" x14ac:dyDescent="0.25">
      <c r="A204" s="2">
        <v>44862</v>
      </c>
      <c r="B204" s="3">
        <v>301</v>
      </c>
      <c r="C204" s="3">
        <v>800</v>
      </c>
      <c r="D204">
        <v>314.38490000000002</v>
      </c>
      <c r="E204">
        <v>3.6999999999999998E-2</v>
      </c>
      <c r="F204">
        <v>309.18709999999999</v>
      </c>
      <c r="G204">
        <v>315.32299999999998</v>
      </c>
      <c r="H204">
        <v>318.64440000000002</v>
      </c>
      <c r="I204">
        <v>0.03</v>
      </c>
      <c r="J204">
        <v>4.3999999999999997E-2</v>
      </c>
      <c r="K204">
        <v>3.6999999999999998E-2</v>
      </c>
      <c r="L204">
        <v>2013.2</v>
      </c>
      <c r="M204">
        <v>2019</v>
      </c>
      <c r="N204">
        <v>2036.8</v>
      </c>
      <c r="Q204">
        <f t="shared" si="21"/>
        <v>314.39999999999998</v>
      </c>
      <c r="R204">
        <f t="shared" si="25"/>
        <v>314.39999999999998</v>
      </c>
      <c r="S204">
        <f t="shared" si="26"/>
        <v>0</v>
      </c>
      <c r="X204">
        <f t="shared" si="22"/>
        <v>0</v>
      </c>
      <c r="Y204">
        <f t="shared" si="23"/>
        <v>0</v>
      </c>
      <c r="Z204">
        <f t="shared" si="24"/>
        <v>0</v>
      </c>
    </row>
    <row r="205" spans="1:26" x14ac:dyDescent="0.25">
      <c r="A205" s="2">
        <v>44862</v>
      </c>
      <c r="B205" s="3">
        <v>301</v>
      </c>
      <c r="C205" s="3">
        <v>900</v>
      </c>
      <c r="D205">
        <v>314.37849999999997</v>
      </c>
      <c r="E205">
        <v>3.7999999999999999E-2</v>
      </c>
      <c r="F205">
        <v>309.18239999999997</v>
      </c>
      <c r="G205">
        <v>315.31830000000002</v>
      </c>
      <c r="H205">
        <v>318.63490000000002</v>
      </c>
      <c r="I205">
        <v>2.3E-2</v>
      </c>
      <c r="J205">
        <v>4.4999999999999998E-2</v>
      </c>
      <c r="K205">
        <v>4.2000000000000003E-2</v>
      </c>
      <c r="L205">
        <v>2013</v>
      </c>
      <c r="M205">
        <v>2018.8</v>
      </c>
      <c r="N205">
        <v>2036.8</v>
      </c>
      <c r="Q205">
        <f t="shared" si="21"/>
        <v>314.39999999999998</v>
      </c>
      <c r="R205">
        <f t="shared" si="25"/>
        <v>314.39999999999998</v>
      </c>
      <c r="S205">
        <f t="shared" si="26"/>
        <v>0</v>
      </c>
      <c r="X205">
        <f t="shared" si="22"/>
        <v>0</v>
      </c>
      <c r="Y205">
        <f t="shared" si="23"/>
        <v>0</v>
      </c>
      <c r="Z205">
        <f t="shared" si="24"/>
        <v>0</v>
      </c>
    </row>
    <row r="206" spans="1:26" x14ac:dyDescent="0.25">
      <c r="A206" s="2">
        <v>44862</v>
      </c>
      <c r="B206" s="3">
        <v>301</v>
      </c>
      <c r="C206" s="3">
        <v>1000</v>
      </c>
      <c r="D206">
        <v>314.38589999999999</v>
      </c>
      <c r="E206">
        <v>3.3000000000000002E-2</v>
      </c>
      <c r="F206">
        <v>309.17930000000001</v>
      </c>
      <c r="G206">
        <v>315.34980000000002</v>
      </c>
      <c r="H206">
        <v>318.62860000000001</v>
      </c>
      <c r="I206">
        <v>2.4E-2</v>
      </c>
      <c r="J206">
        <v>2.9000000000000001E-2</v>
      </c>
      <c r="K206">
        <v>4.3999999999999997E-2</v>
      </c>
      <c r="L206">
        <v>2013</v>
      </c>
      <c r="M206">
        <v>2019</v>
      </c>
      <c r="N206">
        <v>2036.8</v>
      </c>
      <c r="Q206">
        <f t="shared" si="21"/>
        <v>314.39999999999998</v>
      </c>
      <c r="R206">
        <f t="shared" si="25"/>
        <v>314.39999999999998</v>
      </c>
      <c r="S206">
        <f t="shared" si="26"/>
        <v>0</v>
      </c>
      <c r="X206">
        <f t="shared" si="22"/>
        <v>0</v>
      </c>
      <c r="Y206">
        <f t="shared" si="23"/>
        <v>0</v>
      </c>
      <c r="Z206">
        <f t="shared" si="24"/>
        <v>0</v>
      </c>
    </row>
    <row r="207" spans="1:26" x14ac:dyDescent="0.25">
      <c r="A207" s="2">
        <v>44862</v>
      </c>
      <c r="B207" s="3">
        <v>301</v>
      </c>
      <c r="C207" s="3">
        <v>1100</v>
      </c>
      <c r="D207">
        <v>314.38529999999997</v>
      </c>
      <c r="E207">
        <v>3.6999999999999998E-2</v>
      </c>
      <c r="F207">
        <v>309.19959999999998</v>
      </c>
      <c r="G207">
        <v>315.34980000000002</v>
      </c>
      <c r="H207">
        <v>318.60640000000001</v>
      </c>
      <c r="I207">
        <v>3.6999999999999998E-2</v>
      </c>
      <c r="J207">
        <v>2.9000000000000001E-2</v>
      </c>
      <c r="K207">
        <v>4.2999999999999997E-2</v>
      </c>
      <c r="L207">
        <v>2013.2</v>
      </c>
      <c r="M207">
        <v>2019</v>
      </c>
      <c r="N207">
        <v>2036.6</v>
      </c>
      <c r="Q207">
        <f t="shared" si="21"/>
        <v>314.39999999999998</v>
      </c>
      <c r="R207">
        <f t="shared" si="25"/>
        <v>314.39999999999998</v>
      </c>
      <c r="S207">
        <f t="shared" si="26"/>
        <v>0</v>
      </c>
      <c r="X207">
        <f t="shared" si="22"/>
        <v>0</v>
      </c>
      <c r="Y207">
        <f t="shared" si="23"/>
        <v>0</v>
      </c>
      <c r="Z207">
        <f t="shared" si="24"/>
        <v>0</v>
      </c>
    </row>
    <row r="208" spans="1:26" x14ac:dyDescent="0.25">
      <c r="A208" s="2">
        <v>44862</v>
      </c>
      <c r="B208" s="3">
        <v>301</v>
      </c>
      <c r="C208" s="3">
        <v>1200</v>
      </c>
      <c r="D208">
        <v>314.3338</v>
      </c>
      <c r="E208">
        <v>3.6999999999999998E-2</v>
      </c>
      <c r="F208">
        <v>309.16359999999997</v>
      </c>
      <c r="G208">
        <v>315.28359999999998</v>
      </c>
      <c r="H208">
        <v>318.55430000000001</v>
      </c>
      <c r="I208">
        <v>3.7999999999999999E-2</v>
      </c>
      <c r="J208">
        <v>3.5000000000000003E-2</v>
      </c>
      <c r="K208">
        <v>3.6999999999999998E-2</v>
      </c>
      <c r="L208">
        <v>2013</v>
      </c>
      <c r="M208">
        <v>2018.8</v>
      </c>
      <c r="N208">
        <v>2036.6</v>
      </c>
      <c r="Q208">
        <f t="shared" si="21"/>
        <v>314.3</v>
      </c>
      <c r="R208">
        <f t="shared" si="25"/>
        <v>314.39999999999998</v>
      </c>
      <c r="S208">
        <f t="shared" si="26"/>
        <v>0</v>
      </c>
      <c r="X208">
        <f t="shared" si="22"/>
        <v>0</v>
      </c>
      <c r="Y208">
        <f t="shared" si="23"/>
        <v>0</v>
      </c>
      <c r="Z208">
        <f t="shared" si="24"/>
        <v>0</v>
      </c>
    </row>
    <row r="209" spans="1:26" x14ac:dyDescent="0.25">
      <c r="A209" s="2">
        <v>44862</v>
      </c>
      <c r="B209" s="3">
        <v>301</v>
      </c>
      <c r="C209" s="3">
        <v>1300</v>
      </c>
      <c r="D209">
        <v>314.31079999999997</v>
      </c>
      <c r="E209">
        <v>3.6999999999999998E-2</v>
      </c>
      <c r="F209">
        <v>309.1198</v>
      </c>
      <c r="G209">
        <v>315.2647</v>
      </c>
      <c r="H209">
        <v>318.54790000000003</v>
      </c>
      <c r="I209">
        <v>4.2000000000000003E-2</v>
      </c>
      <c r="J209">
        <v>2.8000000000000001E-2</v>
      </c>
      <c r="K209">
        <v>0.04</v>
      </c>
      <c r="L209">
        <v>2012.8</v>
      </c>
      <c r="M209">
        <v>2018.8</v>
      </c>
      <c r="N209">
        <v>2036.4</v>
      </c>
      <c r="Q209">
        <f t="shared" si="21"/>
        <v>314.3</v>
      </c>
      <c r="R209">
        <f t="shared" si="25"/>
        <v>314.39999999999998</v>
      </c>
      <c r="S209">
        <f t="shared" si="26"/>
        <v>0</v>
      </c>
      <c r="X209">
        <f t="shared" si="22"/>
        <v>0</v>
      </c>
      <c r="Y209">
        <f t="shared" si="23"/>
        <v>0</v>
      </c>
      <c r="Z209">
        <f t="shared" si="24"/>
        <v>0</v>
      </c>
    </row>
    <row r="210" spans="1:26" x14ac:dyDescent="0.25">
      <c r="A210" s="2">
        <v>44862</v>
      </c>
      <c r="B210" s="3">
        <v>301</v>
      </c>
      <c r="C210" s="3">
        <v>1400</v>
      </c>
      <c r="D210">
        <v>314.25409999999999</v>
      </c>
      <c r="E210">
        <v>3.7999999999999999E-2</v>
      </c>
      <c r="F210">
        <v>309.10570000000001</v>
      </c>
      <c r="G210">
        <v>315.17329999999998</v>
      </c>
      <c r="H210">
        <v>318.48309999999998</v>
      </c>
      <c r="I210">
        <v>4.1000000000000002E-2</v>
      </c>
      <c r="J210">
        <v>4.2000000000000003E-2</v>
      </c>
      <c r="K210">
        <v>2.9000000000000001E-2</v>
      </c>
      <c r="L210">
        <v>2012.8</v>
      </c>
      <c r="M210">
        <v>2018.6</v>
      </c>
      <c r="N210">
        <v>2036.4</v>
      </c>
      <c r="Q210">
        <f t="shared" si="21"/>
        <v>314.3</v>
      </c>
      <c r="R210">
        <f t="shared" si="25"/>
        <v>314.39999999999998</v>
      </c>
      <c r="S210">
        <f t="shared" si="26"/>
        <v>0</v>
      </c>
      <c r="X210">
        <f t="shared" si="22"/>
        <v>0</v>
      </c>
      <c r="Y210">
        <f t="shared" si="23"/>
        <v>0</v>
      </c>
      <c r="Z210">
        <f t="shared" si="24"/>
        <v>0</v>
      </c>
    </row>
    <row r="211" spans="1:26" x14ac:dyDescent="0.25">
      <c r="A211" s="2">
        <v>44862</v>
      </c>
      <c r="B211" s="3">
        <v>301</v>
      </c>
      <c r="C211" s="3">
        <v>1500</v>
      </c>
      <c r="D211">
        <v>314.30079999999998</v>
      </c>
      <c r="E211">
        <v>4.2999999999999997E-2</v>
      </c>
      <c r="F211">
        <v>309.1277</v>
      </c>
      <c r="G211">
        <v>315.2285</v>
      </c>
      <c r="H211">
        <v>318.54640000000001</v>
      </c>
      <c r="I211">
        <v>4.3999999999999997E-2</v>
      </c>
      <c r="J211">
        <v>4.4999999999999998E-2</v>
      </c>
      <c r="K211">
        <v>4.1000000000000002E-2</v>
      </c>
      <c r="L211">
        <v>2013</v>
      </c>
      <c r="M211">
        <v>2018.8</v>
      </c>
      <c r="N211">
        <v>2036.6</v>
      </c>
      <c r="Q211">
        <f t="shared" ref="Q211:Q274" si="27">ROUND(D211,1)</f>
        <v>314.3</v>
      </c>
      <c r="R211">
        <f t="shared" si="25"/>
        <v>314.39999999999998</v>
      </c>
      <c r="S211">
        <f t="shared" si="26"/>
        <v>0</v>
      </c>
      <c r="X211">
        <f t="shared" si="22"/>
        <v>0</v>
      </c>
      <c r="Y211">
        <f t="shared" si="23"/>
        <v>0</v>
      </c>
      <c r="Z211">
        <f t="shared" si="24"/>
        <v>0</v>
      </c>
    </row>
    <row r="212" spans="1:26" x14ac:dyDescent="0.25">
      <c r="A212" s="2">
        <v>44862</v>
      </c>
      <c r="B212" s="3">
        <v>301</v>
      </c>
      <c r="C212" s="3">
        <v>1600</v>
      </c>
      <c r="D212">
        <v>314.2962</v>
      </c>
      <c r="E212">
        <v>3.5000000000000003E-2</v>
      </c>
      <c r="F212">
        <v>309.09320000000002</v>
      </c>
      <c r="G212">
        <v>315.23320000000001</v>
      </c>
      <c r="H212">
        <v>318.56209999999999</v>
      </c>
      <c r="I212">
        <v>2.9000000000000001E-2</v>
      </c>
      <c r="J212">
        <v>4.3999999999999997E-2</v>
      </c>
      <c r="K212">
        <v>0.03</v>
      </c>
      <c r="L212">
        <v>2012.8</v>
      </c>
      <c r="M212">
        <v>2018.6</v>
      </c>
      <c r="N212">
        <v>2036.6</v>
      </c>
      <c r="Q212">
        <f t="shared" si="27"/>
        <v>314.3</v>
      </c>
      <c r="R212">
        <f t="shared" si="25"/>
        <v>314.39999999999998</v>
      </c>
      <c r="S212">
        <f t="shared" si="26"/>
        <v>0</v>
      </c>
      <c r="X212">
        <f t="shared" si="22"/>
        <v>0</v>
      </c>
      <c r="Y212">
        <f t="shared" si="23"/>
        <v>0</v>
      </c>
      <c r="Z212">
        <f t="shared" si="24"/>
        <v>0</v>
      </c>
    </row>
    <row r="213" spans="1:26" x14ac:dyDescent="0.25">
      <c r="A213" s="2">
        <v>44862</v>
      </c>
      <c r="B213" s="3">
        <v>301</v>
      </c>
      <c r="C213" s="3">
        <v>1700</v>
      </c>
      <c r="D213">
        <v>314.34440000000001</v>
      </c>
      <c r="E213">
        <v>2.8000000000000001E-2</v>
      </c>
      <c r="F213">
        <v>309.16829999999999</v>
      </c>
      <c r="G213">
        <v>315.27890000000002</v>
      </c>
      <c r="H213">
        <v>318.58589999999998</v>
      </c>
      <c r="I213">
        <v>2.9000000000000001E-2</v>
      </c>
      <c r="J213">
        <v>2.5000000000000001E-2</v>
      </c>
      <c r="K213">
        <v>3.1E-2</v>
      </c>
      <c r="L213">
        <v>2013</v>
      </c>
      <c r="M213">
        <v>2018.8</v>
      </c>
      <c r="N213">
        <v>2036.6</v>
      </c>
      <c r="Q213">
        <f t="shared" si="27"/>
        <v>314.3</v>
      </c>
      <c r="R213">
        <f t="shared" si="25"/>
        <v>314.39999999999998</v>
      </c>
      <c r="S213">
        <f t="shared" si="26"/>
        <v>0</v>
      </c>
      <c r="X213">
        <f t="shared" si="22"/>
        <v>0</v>
      </c>
      <c r="Y213">
        <f t="shared" si="23"/>
        <v>0</v>
      </c>
      <c r="Z213">
        <f t="shared" si="24"/>
        <v>0</v>
      </c>
    </row>
    <row r="214" spans="1:26" x14ac:dyDescent="0.25">
      <c r="A214" s="2">
        <v>44862</v>
      </c>
      <c r="B214" s="3">
        <v>301</v>
      </c>
      <c r="C214" s="3">
        <v>1800</v>
      </c>
      <c r="D214">
        <v>314.36450000000002</v>
      </c>
      <c r="E214">
        <v>4.1000000000000002E-2</v>
      </c>
      <c r="F214">
        <v>309.14800000000002</v>
      </c>
      <c r="G214">
        <v>315.30259999999998</v>
      </c>
      <c r="H214">
        <v>318.64280000000002</v>
      </c>
      <c r="I214">
        <v>4.2999999999999997E-2</v>
      </c>
      <c r="J214">
        <v>4.2999999999999997E-2</v>
      </c>
      <c r="K214">
        <v>3.7999999999999999E-2</v>
      </c>
      <c r="L214">
        <v>2012.8</v>
      </c>
      <c r="M214">
        <v>2018.8</v>
      </c>
      <c r="N214">
        <v>2036.6</v>
      </c>
      <c r="Q214">
        <f t="shared" si="27"/>
        <v>314.39999999999998</v>
      </c>
      <c r="R214">
        <f t="shared" si="25"/>
        <v>314.39999999999998</v>
      </c>
      <c r="S214">
        <f t="shared" si="26"/>
        <v>0</v>
      </c>
      <c r="X214">
        <f t="shared" si="22"/>
        <v>0</v>
      </c>
      <c r="Y214">
        <f t="shared" si="23"/>
        <v>0</v>
      </c>
      <c r="Z214">
        <f t="shared" si="24"/>
        <v>0</v>
      </c>
    </row>
    <row r="215" spans="1:26" x14ac:dyDescent="0.25">
      <c r="A215" s="2">
        <v>44862</v>
      </c>
      <c r="B215" s="3">
        <v>301</v>
      </c>
      <c r="C215" s="3">
        <v>1900</v>
      </c>
      <c r="D215">
        <v>314.4126</v>
      </c>
      <c r="E215">
        <v>3.4000000000000002E-2</v>
      </c>
      <c r="F215">
        <v>309.21519999999998</v>
      </c>
      <c r="G215">
        <v>315.34980000000002</v>
      </c>
      <c r="H215">
        <v>318.67290000000003</v>
      </c>
      <c r="I215">
        <v>4.3999999999999997E-2</v>
      </c>
      <c r="J215">
        <v>2.9000000000000001E-2</v>
      </c>
      <c r="K215">
        <v>2.8000000000000001E-2</v>
      </c>
      <c r="L215">
        <v>2013</v>
      </c>
      <c r="M215">
        <v>2019</v>
      </c>
      <c r="N215">
        <v>2037</v>
      </c>
      <c r="Q215">
        <f t="shared" si="27"/>
        <v>314.39999999999998</v>
      </c>
      <c r="R215">
        <f t="shared" si="25"/>
        <v>314.39999999999998</v>
      </c>
      <c r="S215">
        <f t="shared" si="26"/>
        <v>0</v>
      </c>
      <c r="X215">
        <f t="shared" si="22"/>
        <v>0</v>
      </c>
      <c r="Y215">
        <f t="shared" si="23"/>
        <v>0</v>
      </c>
      <c r="Z215">
        <f t="shared" si="24"/>
        <v>0</v>
      </c>
    </row>
    <row r="216" spans="1:26" x14ac:dyDescent="0.25">
      <c r="A216" s="2">
        <v>44862</v>
      </c>
      <c r="B216" s="3">
        <v>301</v>
      </c>
      <c r="C216" s="3">
        <v>2000</v>
      </c>
      <c r="D216">
        <v>314.4074</v>
      </c>
      <c r="E216">
        <v>3.4000000000000002E-2</v>
      </c>
      <c r="F216">
        <v>309.21679999999998</v>
      </c>
      <c r="G216">
        <v>315.34660000000002</v>
      </c>
      <c r="H216">
        <v>318.65859999999998</v>
      </c>
      <c r="I216">
        <v>4.3999999999999997E-2</v>
      </c>
      <c r="J216">
        <v>3.3000000000000002E-2</v>
      </c>
      <c r="K216">
        <v>0.02</v>
      </c>
      <c r="L216">
        <v>2013</v>
      </c>
      <c r="M216">
        <v>2019</v>
      </c>
      <c r="N216">
        <v>2036.8</v>
      </c>
      <c r="Q216">
        <f t="shared" si="27"/>
        <v>314.39999999999998</v>
      </c>
      <c r="R216">
        <f t="shared" si="25"/>
        <v>314.39999999999998</v>
      </c>
      <c r="S216">
        <f t="shared" si="26"/>
        <v>0</v>
      </c>
      <c r="X216">
        <f t="shared" si="22"/>
        <v>0</v>
      </c>
      <c r="Y216">
        <f t="shared" si="23"/>
        <v>0</v>
      </c>
      <c r="Z216">
        <f t="shared" si="24"/>
        <v>0</v>
      </c>
    </row>
    <row r="217" spans="1:26" x14ac:dyDescent="0.25">
      <c r="A217" s="2">
        <v>44862</v>
      </c>
      <c r="B217" s="3">
        <v>301</v>
      </c>
      <c r="C217" s="3">
        <v>2100</v>
      </c>
      <c r="D217">
        <v>314.39580000000001</v>
      </c>
      <c r="E217">
        <v>3.5999999999999997E-2</v>
      </c>
      <c r="F217">
        <v>309.19799999999998</v>
      </c>
      <c r="G217">
        <v>315.34039999999999</v>
      </c>
      <c r="H217">
        <v>318.64909999999998</v>
      </c>
      <c r="I217">
        <v>3.5999999999999997E-2</v>
      </c>
      <c r="J217">
        <v>3.7999999999999999E-2</v>
      </c>
      <c r="K217">
        <v>3.3000000000000002E-2</v>
      </c>
      <c r="L217">
        <v>2013</v>
      </c>
      <c r="M217">
        <v>2018.8</v>
      </c>
      <c r="N217">
        <v>2036.8</v>
      </c>
      <c r="Q217">
        <f t="shared" si="27"/>
        <v>314.39999999999998</v>
      </c>
      <c r="R217">
        <f t="shared" si="25"/>
        <v>314.39999999999998</v>
      </c>
      <c r="S217">
        <f t="shared" si="26"/>
        <v>0</v>
      </c>
      <c r="X217">
        <f t="shared" si="22"/>
        <v>0</v>
      </c>
      <c r="Y217">
        <f t="shared" si="23"/>
        <v>0</v>
      </c>
      <c r="Z217">
        <f t="shared" si="24"/>
        <v>0</v>
      </c>
    </row>
    <row r="218" spans="1:26" x14ac:dyDescent="0.25">
      <c r="A218" s="2">
        <v>44862</v>
      </c>
      <c r="B218" s="3">
        <v>301</v>
      </c>
      <c r="C218" s="3">
        <v>2200</v>
      </c>
      <c r="D218">
        <v>314.39120000000003</v>
      </c>
      <c r="E218">
        <v>3.1E-2</v>
      </c>
      <c r="F218">
        <v>309.17610000000002</v>
      </c>
      <c r="G218">
        <v>315.3451</v>
      </c>
      <c r="H218">
        <v>318.65230000000003</v>
      </c>
      <c r="I218">
        <v>2.9000000000000001E-2</v>
      </c>
      <c r="J218">
        <v>3.4000000000000002E-2</v>
      </c>
      <c r="K218">
        <v>0.03</v>
      </c>
      <c r="L218">
        <v>2012.8</v>
      </c>
      <c r="M218">
        <v>2019</v>
      </c>
      <c r="N218">
        <v>2036.8</v>
      </c>
      <c r="Q218">
        <f t="shared" si="27"/>
        <v>314.39999999999998</v>
      </c>
      <c r="R218">
        <f t="shared" si="25"/>
        <v>314.39999999999998</v>
      </c>
      <c r="S218">
        <f t="shared" si="26"/>
        <v>0</v>
      </c>
      <c r="X218">
        <f t="shared" si="22"/>
        <v>0</v>
      </c>
      <c r="Y218">
        <f t="shared" si="23"/>
        <v>0</v>
      </c>
      <c r="Z218">
        <f t="shared" si="24"/>
        <v>0</v>
      </c>
    </row>
    <row r="219" spans="1:26" x14ac:dyDescent="0.25">
      <c r="A219" s="2">
        <v>44862</v>
      </c>
      <c r="B219" s="3">
        <v>301</v>
      </c>
      <c r="C219" s="3">
        <v>2300</v>
      </c>
      <c r="D219">
        <v>314.39080000000001</v>
      </c>
      <c r="E219">
        <v>3.9E-2</v>
      </c>
      <c r="F219">
        <v>309.1386</v>
      </c>
      <c r="G219">
        <v>315.34660000000002</v>
      </c>
      <c r="H219">
        <v>318.68709999999999</v>
      </c>
      <c r="I219">
        <v>4.3999999999999997E-2</v>
      </c>
      <c r="J219">
        <v>3.3000000000000002E-2</v>
      </c>
      <c r="K219">
        <v>0.04</v>
      </c>
      <c r="L219">
        <v>2012.8</v>
      </c>
      <c r="M219">
        <v>2019</v>
      </c>
      <c r="N219">
        <v>2036.8</v>
      </c>
      <c r="Q219">
        <f t="shared" si="27"/>
        <v>314.39999999999998</v>
      </c>
      <c r="R219">
        <f t="shared" si="25"/>
        <v>314.39999999999998</v>
      </c>
      <c r="S219">
        <f t="shared" si="26"/>
        <v>0</v>
      </c>
      <c r="X219">
        <f t="shared" si="22"/>
        <v>0</v>
      </c>
      <c r="Y219">
        <f t="shared" si="23"/>
        <v>0</v>
      </c>
      <c r="Z219">
        <f t="shared" si="24"/>
        <v>0</v>
      </c>
    </row>
    <row r="220" spans="1:26" x14ac:dyDescent="0.25">
      <c r="A220" s="2">
        <v>44862</v>
      </c>
      <c r="B220" s="3">
        <v>301</v>
      </c>
      <c r="C220" s="3">
        <v>2400</v>
      </c>
      <c r="D220">
        <v>314.44</v>
      </c>
      <c r="E220">
        <v>0.04</v>
      </c>
      <c r="F220">
        <v>309.209</v>
      </c>
      <c r="G220">
        <v>315.38290000000001</v>
      </c>
      <c r="H220">
        <v>318.72809999999998</v>
      </c>
      <c r="I220">
        <v>4.2000000000000003E-2</v>
      </c>
      <c r="J220">
        <v>3.9E-2</v>
      </c>
      <c r="K220">
        <v>0.04</v>
      </c>
      <c r="L220">
        <v>2013</v>
      </c>
      <c r="M220">
        <v>2019</v>
      </c>
      <c r="N220">
        <v>2037</v>
      </c>
      <c r="Q220">
        <f t="shared" si="27"/>
        <v>314.39999999999998</v>
      </c>
      <c r="R220">
        <f t="shared" si="25"/>
        <v>314.39999999999998</v>
      </c>
      <c r="S220">
        <f t="shared" si="26"/>
        <v>0</v>
      </c>
      <c r="X220">
        <f t="shared" ref="X220:X283" si="28">U220</f>
        <v>0</v>
      </c>
      <c r="Y220">
        <f t="shared" ref="Y220:Y283" si="29">V220</f>
        <v>0</v>
      </c>
      <c r="Z220">
        <f t="shared" si="24"/>
        <v>0</v>
      </c>
    </row>
    <row r="221" spans="1:26" x14ac:dyDescent="0.25">
      <c r="A221" s="2">
        <v>44863</v>
      </c>
      <c r="B221" s="3">
        <v>302</v>
      </c>
      <c r="C221" s="3">
        <v>100</v>
      </c>
      <c r="D221">
        <v>314.46940000000001</v>
      </c>
      <c r="E221">
        <v>3.3000000000000002E-2</v>
      </c>
      <c r="F221">
        <v>309.25439999999998</v>
      </c>
      <c r="G221">
        <v>315.39870000000002</v>
      </c>
      <c r="H221">
        <v>318.755</v>
      </c>
      <c r="I221">
        <v>3.3000000000000002E-2</v>
      </c>
      <c r="J221">
        <v>4.3999999999999997E-2</v>
      </c>
      <c r="K221">
        <v>1.2E-2</v>
      </c>
      <c r="L221">
        <v>2013.2</v>
      </c>
      <c r="M221">
        <v>2019</v>
      </c>
      <c r="N221">
        <v>2037</v>
      </c>
      <c r="Q221">
        <f t="shared" si="27"/>
        <v>314.5</v>
      </c>
      <c r="R221">
        <f t="shared" si="25"/>
        <v>314.5</v>
      </c>
      <c r="S221">
        <f t="shared" si="26"/>
        <v>0.10000000000002274</v>
      </c>
      <c r="X221">
        <f t="shared" si="28"/>
        <v>0</v>
      </c>
      <c r="Y221">
        <f t="shared" si="29"/>
        <v>0</v>
      </c>
      <c r="Z221">
        <f t="shared" ref="Z221:Z284" si="30">Z220+Y221</f>
        <v>0</v>
      </c>
    </row>
    <row r="222" spans="1:26" x14ac:dyDescent="0.25">
      <c r="A222" s="2">
        <v>44863</v>
      </c>
      <c r="B222" s="3">
        <v>302</v>
      </c>
      <c r="C222" s="3">
        <v>200</v>
      </c>
      <c r="D222">
        <v>314.46519999999998</v>
      </c>
      <c r="E222">
        <v>3.5999999999999997E-2</v>
      </c>
      <c r="F222">
        <v>309.24340000000001</v>
      </c>
      <c r="G222">
        <v>315.39389999999997</v>
      </c>
      <c r="H222">
        <v>318.75819999999999</v>
      </c>
      <c r="I222">
        <v>0.04</v>
      </c>
      <c r="J222">
        <v>4.2999999999999997E-2</v>
      </c>
      <c r="K222">
        <v>0.02</v>
      </c>
      <c r="L222">
        <v>2013</v>
      </c>
      <c r="M222">
        <v>2019</v>
      </c>
      <c r="N222">
        <v>2037</v>
      </c>
      <c r="Q222">
        <f t="shared" si="27"/>
        <v>314.5</v>
      </c>
      <c r="R222">
        <f t="shared" si="25"/>
        <v>314.5</v>
      </c>
      <c r="S222">
        <f t="shared" si="26"/>
        <v>0</v>
      </c>
      <c r="X222">
        <f t="shared" si="28"/>
        <v>0</v>
      </c>
      <c r="Y222">
        <f t="shared" si="29"/>
        <v>0</v>
      </c>
      <c r="Z222">
        <f t="shared" si="30"/>
        <v>0</v>
      </c>
    </row>
    <row r="223" spans="1:26" x14ac:dyDescent="0.25">
      <c r="A223" s="2">
        <v>44863</v>
      </c>
      <c r="B223" s="3">
        <v>302</v>
      </c>
      <c r="C223" s="3">
        <v>300</v>
      </c>
      <c r="D223">
        <v>314.4631</v>
      </c>
      <c r="E223">
        <v>0.04</v>
      </c>
      <c r="F223">
        <v>309.2278</v>
      </c>
      <c r="G223">
        <v>315.39710000000002</v>
      </c>
      <c r="H223">
        <v>318.7645</v>
      </c>
      <c r="I223">
        <v>4.3999999999999997E-2</v>
      </c>
      <c r="J223">
        <v>4.3999999999999997E-2</v>
      </c>
      <c r="K223">
        <v>0.03</v>
      </c>
      <c r="L223">
        <v>2013.2</v>
      </c>
      <c r="M223">
        <v>2019.2</v>
      </c>
      <c r="N223">
        <v>2037</v>
      </c>
      <c r="Q223">
        <f t="shared" si="27"/>
        <v>314.5</v>
      </c>
      <c r="R223">
        <f t="shared" si="25"/>
        <v>314.5</v>
      </c>
      <c r="S223">
        <f t="shared" si="26"/>
        <v>0</v>
      </c>
      <c r="X223">
        <f t="shared" si="28"/>
        <v>0</v>
      </c>
      <c r="Y223">
        <f t="shared" si="29"/>
        <v>0</v>
      </c>
      <c r="Z223">
        <f t="shared" si="30"/>
        <v>0</v>
      </c>
    </row>
    <row r="224" spans="1:26" x14ac:dyDescent="0.25">
      <c r="A224" s="2">
        <v>44863</v>
      </c>
      <c r="B224" s="3">
        <v>302</v>
      </c>
      <c r="C224" s="3">
        <v>400</v>
      </c>
      <c r="D224">
        <v>314.459</v>
      </c>
      <c r="E224">
        <v>4.1000000000000002E-2</v>
      </c>
      <c r="F224">
        <v>309.20269999999999</v>
      </c>
      <c r="G224">
        <v>315.39710000000002</v>
      </c>
      <c r="H224">
        <v>318.77719999999999</v>
      </c>
      <c r="I224">
        <v>3.9E-2</v>
      </c>
      <c r="J224">
        <v>4.3999999999999997E-2</v>
      </c>
      <c r="K224">
        <v>0.04</v>
      </c>
      <c r="L224">
        <v>2013</v>
      </c>
      <c r="M224">
        <v>2019</v>
      </c>
      <c r="N224">
        <v>2037</v>
      </c>
      <c r="Q224">
        <f t="shared" si="27"/>
        <v>314.5</v>
      </c>
      <c r="R224">
        <f t="shared" si="25"/>
        <v>314.5</v>
      </c>
      <c r="S224">
        <f t="shared" si="26"/>
        <v>0</v>
      </c>
      <c r="X224">
        <f t="shared" si="28"/>
        <v>0</v>
      </c>
      <c r="Y224">
        <f t="shared" si="29"/>
        <v>0</v>
      </c>
      <c r="Z224">
        <f t="shared" si="30"/>
        <v>0</v>
      </c>
    </row>
    <row r="225" spans="1:26" x14ac:dyDescent="0.25">
      <c r="A225" s="2">
        <v>44863</v>
      </c>
      <c r="B225" s="3">
        <v>302</v>
      </c>
      <c r="C225" s="3">
        <v>500</v>
      </c>
      <c r="D225">
        <v>314.47149999999999</v>
      </c>
      <c r="E225">
        <v>4.1000000000000002E-2</v>
      </c>
      <c r="F225">
        <v>309.24029999999999</v>
      </c>
      <c r="G225">
        <v>315.40179999999998</v>
      </c>
      <c r="H225">
        <v>318.7724</v>
      </c>
      <c r="I225">
        <v>4.1000000000000002E-2</v>
      </c>
      <c r="J225">
        <v>4.4999999999999998E-2</v>
      </c>
      <c r="K225">
        <v>3.6999999999999998E-2</v>
      </c>
      <c r="L225">
        <v>2013.2</v>
      </c>
      <c r="M225">
        <v>2019.2</v>
      </c>
      <c r="N225">
        <v>2037</v>
      </c>
      <c r="Q225">
        <f t="shared" si="27"/>
        <v>314.5</v>
      </c>
      <c r="R225">
        <f t="shared" si="25"/>
        <v>314.5</v>
      </c>
      <c r="S225">
        <f t="shared" si="26"/>
        <v>0</v>
      </c>
      <c r="X225">
        <f t="shared" si="28"/>
        <v>0</v>
      </c>
      <c r="Y225">
        <f t="shared" si="29"/>
        <v>0</v>
      </c>
      <c r="Z225">
        <f t="shared" si="30"/>
        <v>0</v>
      </c>
    </row>
    <row r="226" spans="1:26" x14ac:dyDescent="0.25">
      <c r="A226" s="2">
        <v>44863</v>
      </c>
      <c r="B226" s="3">
        <v>302</v>
      </c>
      <c r="C226" s="3">
        <v>600</v>
      </c>
      <c r="D226">
        <v>314.47039999999998</v>
      </c>
      <c r="E226">
        <v>3.2000000000000001E-2</v>
      </c>
      <c r="F226">
        <v>309.25900000000001</v>
      </c>
      <c r="G226">
        <v>315.39240000000001</v>
      </c>
      <c r="H226">
        <v>318.75979999999998</v>
      </c>
      <c r="I226">
        <v>2.7E-2</v>
      </c>
      <c r="J226">
        <v>4.2999999999999997E-2</v>
      </c>
      <c r="K226">
        <v>2.3E-2</v>
      </c>
      <c r="L226">
        <v>2013.2</v>
      </c>
      <c r="M226">
        <v>2019.2</v>
      </c>
      <c r="N226">
        <v>2037</v>
      </c>
      <c r="Q226">
        <f t="shared" si="27"/>
        <v>314.5</v>
      </c>
      <c r="R226">
        <f t="shared" ref="R226:R289" si="31">ROUND(IF(Q226&lt;R225,R225,Q226),1)</f>
        <v>314.5</v>
      </c>
      <c r="S226">
        <f t="shared" si="26"/>
        <v>0</v>
      </c>
      <c r="X226">
        <f t="shared" si="28"/>
        <v>0</v>
      </c>
      <c r="Y226">
        <f t="shared" si="29"/>
        <v>0</v>
      </c>
      <c r="Z226">
        <f t="shared" si="30"/>
        <v>0</v>
      </c>
    </row>
    <row r="227" spans="1:26" x14ac:dyDescent="0.25">
      <c r="A227" s="2">
        <v>44863</v>
      </c>
      <c r="B227" s="3">
        <v>302</v>
      </c>
      <c r="C227" s="3">
        <v>700</v>
      </c>
      <c r="D227">
        <v>314.45729999999998</v>
      </c>
      <c r="E227">
        <v>3.9E-2</v>
      </c>
      <c r="F227">
        <v>309.2199</v>
      </c>
      <c r="G227">
        <v>315.40499999999997</v>
      </c>
      <c r="H227">
        <v>318.74709999999999</v>
      </c>
      <c r="I227">
        <v>4.3999999999999997E-2</v>
      </c>
      <c r="J227">
        <v>4.4999999999999998E-2</v>
      </c>
      <c r="K227">
        <v>2.3E-2</v>
      </c>
      <c r="L227">
        <v>2013</v>
      </c>
      <c r="M227">
        <v>2019</v>
      </c>
      <c r="N227">
        <v>2037</v>
      </c>
      <c r="Q227">
        <f t="shared" si="27"/>
        <v>314.5</v>
      </c>
      <c r="R227">
        <f t="shared" si="31"/>
        <v>314.5</v>
      </c>
      <c r="S227">
        <f t="shared" si="26"/>
        <v>0</v>
      </c>
      <c r="X227">
        <f t="shared" si="28"/>
        <v>0</v>
      </c>
      <c r="Y227">
        <f t="shared" si="29"/>
        <v>0</v>
      </c>
      <c r="Z227">
        <f t="shared" si="30"/>
        <v>0</v>
      </c>
    </row>
    <row r="228" spans="1:26" x14ac:dyDescent="0.25">
      <c r="A228" s="2">
        <v>44863</v>
      </c>
      <c r="B228" s="3">
        <v>302</v>
      </c>
      <c r="C228" s="3">
        <v>800</v>
      </c>
      <c r="D228">
        <v>314.4699</v>
      </c>
      <c r="E228">
        <v>3.6999999999999998E-2</v>
      </c>
      <c r="F228">
        <v>309.24810000000002</v>
      </c>
      <c r="G228">
        <v>315.42070000000001</v>
      </c>
      <c r="H228">
        <v>318.74079999999998</v>
      </c>
      <c r="I228">
        <v>3.6999999999999998E-2</v>
      </c>
      <c r="J228">
        <v>4.2000000000000003E-2</v>
      </c>
      <c r="K228">
        <v>3.1E-2</v>
      </c>
      <c r="L228">
        <v>2013</v>
      </c>
      <c r="M228">
        <v>2019</v>
      </c>
      <c r="N228">
        <v>2037</v>
      </c>
      <c r="Q228">
        <f t="shared" si="27"/>
        <v>314.5</v>
      </c>
      <c r="R228">
        <f t="shared" si="31"/>
        <v>314.5</v>
      </c>
      <c r="S228">
        <f t="shared" si="26"/>
        <v>0</v>
      </c>
      <c r="X228">
        <f t="shared" si="28"/>
        <v>0</v>
      </c>
      <c r="Y228">
        <f t="shared" si="29"/>
        <v>0</v>
      </c>
      <c r="Z228">
        <f t="shared" si="30"/>
        <v>0</v>
      </c>
    </row>
    <row r="229" spans="1:26" x14ac:dyDescent="0.25">
      <c r="A229" s="2">
        <v>44863</v>
      </c>
      <c r="B229" s="3">
        <v>302</v>
      </c>
      <c r="C229" s="3">
        <v>900</v>
      </c>
      <c r="D229">
        <v>314.37380000000002</v>
      </c>
      <c r="E229">
        <v>3.7999999999999999E-2</v>
      </c>
      <c r="F229">
        <v>309.1746</v>
      </c>
      <c r="G229">
        <v>315.30410000000001</v>
      </c>
      <c r="H229">
        <v>318.64280000000002</v>
      </c>
      <c r="I229">
        <v>3.1E-2</v>
      </c>
      <c r="J229">
        <v>4.2999999999999997E-2</v>
      </c>
      <c r="K229">
        <v>3.7999999999999999E-2</v>
      </c>
      <c r="L229">
        <v>2013</v>
      </c>
      <c r="M229">
        <v>2018.8</v>
      </c>
      <c r="N229">
        <v>2036.8</v>
      </c>
      <c r="Q229">
        <f t="shared" si="27"/>
        <v>314.39999999999998</v>
      </c>
      <c r="R229">
        <f t="shared" si="31"/>
        <v>314.5</v>
      </c>
      <c r="S229">
        <f t="shared" ref="S229:S292" si="32">IF(R229&gt;R228,R229-R228,0)</f>
        <v>0</v>
      </c>
      <c r="X229">
        <f t="shared" si="28"/>
        <v>0</v>
      </c>
      <c r="Y229">
        <f t="shared" si="29"/>
        <v>0</v>
      </c>
      <c r="Z229">
        <f t="shared" si="30"/>
        <v>0</v>
      </c>
    </row>
    <row r="230" spans="1:26" x14ac:dyDescent="0.25">
      <c r="A230" s="2">
        <v>44863</v>
      </c>
      <c r="B230" s="3">
        <v>302</v>
      </c>
      <c r="C230" s="3">
        <v>1000</v>
      </c>
      <c r="D230">
        <v>314.32589999999999</v>
      </c>
      <c r="E230">
        <v>3.5000000000000003E-2</v>
      </c>
      <c r="F230">
        <v>309.17770000000002</v>
      </c>
      <c r="G230">
        <v>315.25209999999998</v>
      </c>
      <c r="H230">
        <v>318.54790000000003</v>
      </c>
      <c r="I230">
        <v>2.5999999999999999E-2</v>
      </c>
      <c r="J230">
        <v>3.6999999999999998E-2</v>
      </c>
      <c r="K230">
        <v>0.04</v>
      </c>
      <c r="L230">
        <v>2013</v>
      </c>
      <c r="M230">
        <v>2018.8</v>
      </c>
      <c r="N230">
        <v>2036.6</v>
      </c>
      <c r="Q230">
        <f t="shared" si="27"/>
        <v>314.3</v>
      </c>
      <c r="R230">
        <f t="shared" si="31"/>
        <v>314.5</v>
      </c>
      <c r="S230">
        <f t="shared" si="32"/>
        <v>0</v>
      </c>
      <c r="X230">
        <f t="shared" si="28"/>
        <v>0</v>
      </c>
      <c r="Y230">
        <f t="shared" si="29"/>
        <v>0</v>
      </c>
      <c r="Z230">
        <f t="shared" si="30"/>
        <v>0</v>
      </c>
    </row>
    <row r="231" spans="1:26" x14ac:dyDescent="0.25">
      <c r="A231" s="2">
        <v>44863</v>
      </c>
      <c r="B231" s="3">
        <v>302</v>
      </c>
      <c r="C231" s="3">
        <v>1100</v>
      </c>
      <c r="D231">
        <v>314.2944</v>
      </c>
      <c r="E231">
        <v>4.2000000000000003E-2</v>
      </c>
      <c r="F231">
        <v>309.1542</v>
      </c>
      <c r="G231">
        <v>315.20639999999997</v>
      </c>
      <c r="H231">
        <v>318.52260000000001</v>
      </c>
      <c r="I231">
        <v>0.04</v>
      </c>
      <c r="J231">
        <v>0.04</v>
      </c>
      <c r="K231">
        <v>4.4999999999999998E-2</v>
      </c>
      <c r="L231">
        <v>2013</v>
      </c>
      <c r="M231">
        <v>2018.6</v>
      </c>
      <c r="N231">
        <v>2036.4</v>
      </c>
      <c r="Q231">
        <f t="shared" si="27"/>
        <v>314.3</v>
      </c>
      <c r="R231">
        <f t="shared" si="31"/>
        <v>314.5</v>
      </c>
      <c r="S231">
        <f t="shared" si="32"/>
        <v>0</v>
      </c>
      <c r="X231">
        <f t="shared" si="28"/>
        <v>0</v>
      </c>
      <c r="Y231">
        <f t="shared" si="29"/>
        <v>0</v>
      </c>
      <c r="Z231">
        <f t="shared" si="30"/>
        <v>0</v>
      </c>
    </row>
    <row r="232" spans="1:26" x14ac:dyDescent="0.25">
      <c r="A232" s="2">
        <v>44863</v>
      </c>
      <c r="B232" s="3">
        <v>302</v>
      </c>
      <c r="C232" s="3">
        <v>1200</v>
      </c>
      <c r="D232">
        <v>314.25880000000001</v>
      </c>
      <c r="E232">
        <v>0.03</v>
      </c>
      <c r="F232">
        <v>309.09949999999998</v>
      </c>
      <c r="G232">
        <v>315.1875</v>
      </c>
      <c r="H232">
        <v>318.48939999999999</v>
      </c>
      <c r="I232">
        <v>3.2000000000000001E-2</v>
      </c>
      <c r="J232">
        <v>3.3000000000000002E-2</v>
      </c>
      <c r="K232">
        <v>2.3E-2</v>
      </c>
      <c r="L232">
        <v>2012.8</v>
      </c>
      <c r="M232">
        <v>2018.6</v>
      </c>
      <c r="N232">
        <v>2036.4</v>
      </c>
      <c r="Q232">
        <f t="shared" si="27"/>
        <v>314.3</v>
      </c>
      <c r="R232">
        <f t="shared" si="31"/>
        <v>314.5</v>
      </c>
      <c r="S232">
        <f t="shared" si="32"/>
        <v>0</v>
      </c>
      <c r="X232">
        <f t="shared" si="28"/>
        <v>0</v>
      </c>
      <c r="Y232">
        <f t="shared" si="29"/>
        <v>0</v>
      </c>
      <c r="Z232">
        <f t="shared" si="30"/>
        <v>0</v>
      </c>
    </row>
    <row r="233" spans="1:26" x14ac:dyDescent="0.25">
      <c r="A233" s="2">
        <v>44863</v>
      </c>
      <c r="B233" s="3">
        <v>302</v>
      </c>
      <c r="C233" s="3">
        <v>1300</v>
      </c>
      <c r="D233">
        <v>314.24579999999997</v>
      </c>
      <c r="E233">
        <v>3.2000000000000001E-2</v>
      </c>
      <c r="F233">
        <v>309.06819999999999</v>
      </c>
      <c r="G233">
        <v>315.18119999999999</v>
      </c>
      <c r="H233">
        <v>318.48790000000002</v>
      </c>
      <c r="I233">
        <v>4.2000000000000003E-2</v>
      </c>
      <c r="J233">
        <v>2.4E-2</v>
      </c>
      <c r="K233">
        <v>2.5999999999999999E-2</v>
      </c>
      <c r="L233">
        <v>2012.8</v>
      </c>
      <c r="M233">
        <v>2018.6</v>
      </c>
      <c r="N233">
        <v>2036.4</v>
      </c>
      <c r="Q233">
        <f t="shared" si="27"/>
        <v>314.2</v>
      </c>
      <c r="R233">
        <f t="shared" si="31"/>
        <v>314.5</v>
      </c>
      <c r="S233">
        <f t="shared" si="32"/>
        <v>0</v>
      </c>
      <c r="X233">
        <f t="shared" si="28"/>
        <v>0</v>
      </c>
      <c r="Y233">
        <f t="shared" si="29"/>
        <v>0</v>
      </c>
      <c r="Z233">
        <f t="shared" si="30"/>
        <v>0</v>
      </c>
    </row>
    <row r="234" spans="1:26" x14ac:dyDescent="0.25">
      <c r="A234" s="2">
        <v>44863</v>
      </c>
      <c r="B234" s="3">
        <v>302</v>
      </c>
      <c r="C234" s="3">
        <v>1400</v>
      </c>
      <c r="D234">
        <v>314.27359999999999</v>
      </c>
      <c r="E234">
        <v>4.2000000000000003E-2</v>
      </c>
      <c r="F234">
        <v>309.08859999999999</v>
      </c>
      <c r="G234">
        <v>315.21589999999998</v>
      </c>
      <c r="H234">
        <v>318.5163</v>
      </c>
      <c r="I234">
        <v>3.9E-2</v>
      </c>
      <c r="J234">
        <v>4.3999999999999997E-2</v>
      </c>
      <c r="K234">
        <v>4.2999999999999997E-2</v>
      </c>
      <c r="L234">
        <v>2013</v>
      </c>
      <c r="M234">
        <v>2018.8</v>
      </c>
      <c r="N234">
        <v>2036.4</v>
      </c>
      <c r="Q234">
        <f t="shared" si="27"/>
        <v>314.3</v>
      </c>
      <c r="R234">
        <f t="shared" si="31"/>
        <v>314.5</v>
      </c>
      <c r="S234">
        <f t="shared" si="32"/>
        <v>0</v>
      </c>
      <c r="X234">
        <f t="shared" si="28"/>
        <v>0</v>
      </c>
      <c r="Y234">
        <f t="shared" si="29"/>
        <v>0</v>
      </c>
      <c r="Z234">
        <f t="shared" si="30"/>
        <v>0</v>
      </c>
    </row>
    <row r="235" spans="1:26" x14ac:dyDescent="0.25">
      <c r="A235" s="2">
        <v>44863</v>
      </c>
      <c r="B235" s="3">
        <v>302</v>
      </c>
      <c r="C235" s="3">
        <v>1500</v>
      </c>
      <c r="D235">
        <v>314.31139999999999</v>
      </c>
      <c r="E235">
        <v>3.6999999999999998E-2</v>
      </c>
      <c r="F235">
        <v>309.1198</v>
      </c>
      <c r="G235">
        <v>315.25209999999998</v>
      </c>
      <c r="H235">
        <v>318.56209999999999</v>
      </c>
      <c r="I235">
        <v>4.2000000000000003E-2</v>
      </c>
      <c r="J235">
        <v>3.6999999999999998E-2</v>
      </c>
      <c r="K235">
        <v>0.03</v>
      </c>
      <c r="L235">
        <v>2013</v>
      </c>
      <c r="M235">
        <v>2018.6</v>
      </c>
      <c r="N235">
        <v>2036.4</v>
      </c>
      <c r="Q235">
        <f t="shared" si="27"/>
        <v>314.3</v>
      </c>
      <c r="R235">
        <f t="shared" si="31"/>
        <v>314.5</v>
      </c>
      <c r="S235">
        <f t="shared" si="32"/>
        <v>0</v>
      </c>
      <c r="X235">
        <f t="shared" si="28"/>
        <v>0</v>
      </c>
      <c r="Y235">
        <f t="shared" si="29"/>
        <v>0</v>
      </c>
      <c r="Z235">
        <f t="shared" si="30"/>
        <v>0</v>
      </c>
    </row>
    <row r="236" spans="1:26" x14ac:dyDescent="0.25">
      <c r="A236" s="2">
        <v>44863</v>
      </c>
      <c r="B236" s="3">
        <v>302</v>
      </c>
      <c r="C236" s="3">
        <v>1600</v>
      </c>
      <c r="D236">
        <v>314.3329</v>
      </c>
      <c r="E236">
        <v>3.5000000000000003E-2</v>
      </c>
      <c r="F236">
        <v>309.13389999999998</v>
      </c>
      <c r="G236">
        <v>315.28050000000002</v>
      </c>
      <c r="H236">
        <v>318.58429999999998</v>
      </c>
      <c r="I236">
        <v>4.4999999999999998E-2</v>
      </c>
      <c r="J236">
        <v>2.8000000000000001E-2</v>
      </c>
      <c r="K236">
        <v>0.03</v>
      </c>
      <c r="L236">
        <v>2013</v>
      </c>
      <c r="M236">
        <v>2018.8</v>
      </c>
      <c r="N236">
        <v>2036.6</v>
      </c>
      <c r="Q236">
        <f t="shared" si="27"/>
        <v>314.3</v>
      </c>
      <c r="R236">
        <f t="shared" si="31"/>
        <v>314.5</v>
      </c>
      <c r="S236">
        <f t="shared" si="32"/>
        <v>0</v>
      </c>
      <c r="X236">
        <f t="shared" si="28"/>
        <v>0</v>
      </c>
      <c r="Y236">
        <f t="shared" si="29"/>
        <v>0</v>
      </c>
      <c r="Z236">
        <f t="shared" si="30"/>
        <v>0</v>
      </c>
    </row>
    <row r="237" spans="1:26" x14ac:dyDescent="0.25">
      <c r="A237" s="2">
        <v>44863</v>
      </c>
      <c r="B237" s="3">
        <v>302</v>
      </c>
      <c r="C237" s="3">
        <v>1700</v>
      </c>
      <c r="D237">
        <v>314.34559999999999</v>
      </c>
      <c r="E237">
        <v>4.1000000000000002E-2</v>
      </c>
      <c r="F237">
        <v>309.10419999999999</v>
      </c>
      <c r="G237">
        <v>315.31040000000002</v>
      </c>
      <c r="H237">
        <v>318.6223</v>
      </c>
      <c r="I237">
        <v>3.3000000000000002E-2</v>
      </c>
      <c r="J237">
        <v>4.4999999999999998E-2</v>
      </c>
      <c r="K237">
        <v>4.4999999999999998E-2</v>
      </c>
      <c r="L237">
        <v>2012.8</v>
      </c>
      <c r="M237">
        <v>2019</v>
      </c>
      <c r="N237">
        <v>2036.8</v>
      </c>
      <c r="Q237">
        <f t="shared" si="27"/>
        <v>314.3</v>
      </c>
      <c r="R237">
        <f t="shared" si="31"/>
        <v>314.5</v>
      </c>
      <c r="S237">
        <f t="shared" si="32"/>
        <v>0</v>
      </c>
      <c r="X237">
        <f t="shared" si="28"/>
        <v>0</v>
      </c>
      <c r="Y237">
        <f t="shared" si="29"/>
        <v>0</v>
      </c>
      <c r="Z237">
        <f t="shared" si="30"/>
        <v>0</v>
      </c>
    </row>
    <row r="238" spans="1:26" x14ac:dyDescent="0.25">
      <c r="A238" s="2">
        <v>44863</v>
      </c>
      <c r="B238" s="3">
        <v>302</v>
      </c>
      <c r="C238" s="3">
        <v>1800</v>
      </c>
      <c r="D238">
        <v>314.3827</v>
      </c>
      <c r="E238">
        <v>3.5999999999999997E-2</v>
      </c>
      <c r="F238">
        <v>309.18079999999998</v>
      </c>
      <c r="G238">
        <v>315.32619999999997</v>
      </c>
      <c r="H238">
        <v>318.64120000000003</v>
      </c>
      <c r="I238">
        <v>0.02</v>
      </c>
      <c r="J238">
        <v>4.3999999999999997E-2</v>
      </c>
      <c r="K238">
        <v>3.9E-2</v>
      </c>
      <c r="L238">
        <v>2013</v>
      </c>
      <c r="M238">
        <v>2018.8</v>
      </c>
      <c r="N238">
        <v>2036.8</v>
      </c>
      <c r="Q238">
        <f t="shared" si="27"/>
        <v>314.39999999999998</v>
      </c>
      <c r="R238">
        <f t="shared" si="31"/>
        <v>314.5</v>
      </c>
      <c r="S238">
        <f t="shared" si="32"/>
        <v>0</v>
      </c>
      <c r="X238">
        <f t="shared" si="28"/>
        <v>0</v>
      </c>
      <c r="Y238">
        <f t="shared" si="29"/>
        <v>0</v>
      </c>
      <c r="Z238">
        <f t="shared" si="30"/>
        <v>0</v>
      </c>
    </row>
    <row r="239" spans="1:26" x14ac:dyDescent="0.25">
      <c r="A239" s="2">
        <v>44863</v>
      </c>
      <c r="B239" s="3">
        <v>302</v>
      </c>
      <c r="C239" s="3">
        <v>1900</v>
      </c>
      <c r="D239">
        <v>314.38220000000001</v>
      </c>
      <c r="E239">
        <v>3.5999999999999997E-2</v>
      </c>
      <c r="F239">
        <v>309.17610000000002</v>
      </c>
      <c r="G239">
        <v>315.32780000000002</v>
      </c>
      <c r="H239">
        <v>318.64280000000002</v>
      </c>
      <c r="I239">
        <v>2.3E-2</v>
      </c>
      <c r="J239">
        <v>4.2999999999999997E-2</v>
      </c>
      <c r="K239">
        <v>3.7999999999999999E-2</v>
      </c>
      <c r="L239">
        <v>2013</v>
      </c>
      <c r="M239">
        <v>2018.8</v>
      </c>
      <c r="N239">
        <v>2036.8</v>
      </c>
      <c r="Q239">
        <f t="shared" si="27"/>
        <v>314.39999999999998</v>
      </c>
      <c r="R239">
        <f t="shared" si="31"/>
        <v>314.5</v>
      </c>
      <c r="S239">
        <f t="shared" si="32"/>
        <v>0</v>
      </c>
      <c r="X239">
        <f t="shared" si="28"/>
        <v>0</v>
      </c>
      <c r="Y239">
        <f t="shared" si="29"/>
        <v>0</v>
      </c>
      <c r="Z239">
        <f t="shared" si="30"/>
        <v>0</v>
      </c>
    </row>
    <row r="240" spans="1:26" x14ac:dyDescent="0.25">
      <c r="A240" s="2">
        <v>44863</v>
      </c>
      <c r="B240" s="3">
        <v>302</v>
      </c>
      <c r="C240" s="3">
        <v>2000</v>
      </c>
      <c r="D240">
        <v>314.38440000000003</v>
      </c>
      <c r="E240">
        <v>3.5999999999999997E-2</v>
      </c>
      <c r="F240">
        <v>309.17610000000002</v>
      </c>
      <c r="G240">
        <v>315.33089999999999</v>
      </c>
      <c r="H240">
        <v>318.64600000000002</v>
      </c>
      <c r="I240">
        <v>2.9000000000000001E-2</v>
      </c>
      <c r="J240">
        <v>4.2000000000000003E-2</v>
      </c>
      <c r="K240">
        <v>3.5999999999999997E-2</v>
      </c>
      <c r="L240">
        <v>2013</v>
      </c>
      <c r="M240">
        <v>2019</v>
      </c>
      <c r="N240">
        <v>2036.6</v>
      </c>
      <c r="Q240">
        <f t="shared" si="27"/>
        <v>314.39999999999998</v>
      </c>
      <c r="R240">
        <f t="shared" si="31"/>
        <v>314.5</v>
      </c>
      <c r="S240">
        <f t="shared" si="32"/>
        <v>0</v>
      </c>
      <c r="X240">
        <f t="shared" si="28"/>
        <v>0</v>
      </c>
      <c r="Y240">
        <f t="shared" si="29"/>
        <v>0</v>
      </c>
      <c r="Z240">
        <f t="shared" si="30"/>
        <v>0</v>
      </c>
    </row>
    <row r="241" spans="1:26" x14ac:dyDescent="0.25">
      <c r="A241" s="2">
        <v>44863</v>
      </c>
      <c r="B241" s="3">
        <v>302</v>
      </c>
      <c r="C241" s="3">
        <v>2100</v>
      </c>
      <c r="D241">
        <v>314.38639999999998</v>
      </c>
      <c r="E241">
        <v>3.3000000000000002E-2</v>
      </c>
      <c r="F241">
        <v>309.18400000000003</v>
      </c>
      <c r="G241">
        <v>315.32299999999998</v>
      </c>
      <c r="H241">
        <v>318.65230000000003</v>
      </c>
      <c r="I241">
        <v>0.02</v>
      </c>
      <c r="J241">
        <v>4.3999999999999997E-2</v>
      </c>
      <c r="K241">
        <v>0.03</v>
      </c>
      <c r="L241">
        <v>2013</v>
      </c>
      <c r="M241">
        <v>2019</v>
      </c>
      <c r="N241">
        <v>2036.8</v>
      </c>
      <c r="Q241">
        <f t="shared" si="27"/>
        <v>314.39999999999998</v>
      </c>
      <c r="R241">
        <f t="shared" si="31"/>
        <v>314.5</v>
      </c>
      <c r="S241">
        <f t="shared" si="32"/>
        <v>0</v>
      </c>
      <c r="X241">
        <f t="shared" si="28"/>
        <v>0</v>
      </c>
      <c r="Y241">
        <f t="shared" si="29"/>
        <v>0</v>
      </c>
      <c r="Z241">
        <f t="shared" si="30"/>
        <v>0</v>
      </c>
    </row>
    <row r="242" spans="1:26" x14ac:dyDescent="0.25">
      <c r="A242" s="2">
        <v>44863</v>
      </c>
      <c r="B242" s="3">
        <v>302</v>
      </c>
      <c r="C242" s="3">
        <v>2200</v>
      </c>
      <c r="D242">
        <v>314.39109999999999</v>
      </c>
      <c r="E242">
        <v>2.9000000000000001E-2</v>
      </c>
      <c r="F242">
        <v>309.17770000000002</v>
      </c>
      <c r="G242">
        <v>315.334</v>
      </c>
      <c r="H242">
        <v>318.66180000000003</v>
      </c>
      <c r="I242">
        <v>2.5999999999999999E-2</v>
      </c>
      <c r="J242">
        <v>4.1000000000000002E-2</v>
      </c>
      <c r="K242">
        <v>1.2E-2</v>
      </c>
      <c r="L242">
        <v>2013</v>
      </c>
      <c r="M242">
        <v>2019</v>
      </c>
      <c r="N242">
        <v>2036.8</v>
      </c>
      <c r="Q242">
        <f t="shared" si="27"/>
        <v>314.39999999999998</v>
      </c>
      <c r="R242">
        <f t="shared" si="31"/>
        <v>314.5</v>
      </c>
      <c r="S242">
        <f t="shared" si="32"/>
        <v>0</v>
      </c>
      <c r="X242">
        <f t="shared" si="28"/>
        <v>0</v>
      </c>
      <c r="Y242">
        <f t="shared" si="29"/>
        <v>0</v>
      </c>
      <c r="Z242">
        <f t="shared" si="30"/>
        <v>0</v>
      </c>
    </row>
    <row r="243" spans="1:26" x14ac:dyDescent="0.25">
      <c r="A243" s="2">
        <v>44863</v>
      </c>
      <c r="B243" s="3">
        <v>302</v>
      </c>
      <c r="C243" s="3">
        <v>2300</v>
      </c>
      <c r="D243">
        <v>314.38959999999997</v>
      </c>
      <c r="E243">
        <v>3.4000000000000002E-2</v>
      </c>
      <c r="F243">
        <v>309.16829999999999</v>
      </c>
      <c r="G243">
        <v>315.33089999999999</v>
      </c>
      <c r="H243">
        <v>318.66969999999998</v>
      </c>
      <c r="I243">
        <v>3.4000000000000002E-2</v>
      </c>
      <c r="J243">
        <v>4.2000000000000003E-2</v>
      </c>
      <c r="K243">
        <v>2.3E-2</v>
      </c>
      <c r="L243">
        <v>2013</v>
      </c>
      <c r="M243">
        <v>2018.8</v>
      </c>
      <c r="N243">
        <v>2036.8</v>
      </c>
      <c r="Q243">
        <f t="shared" si="27"/>
        <v>314.39999999999998</v>
      </c>
      <c r="R243">
        <f t="shared" si="31"/>
        <v>314.5</v>
      </c>
      <c r="S243">
        <f t="shared" si="32"/>
        <v>0</v>
      </c>
      <c r="X243">
        <f t="shared" si="28"/>
        <v>0</v>
      </c>
      <c r="Y243">
        <f t="shared" si="29"/>
        <v>0</v>
      </c>
      <c r="Z243">
        <f t="shared" si="30"/>
        <v>0</v>
      </c>
    </row>
    <row r="244" spans="1:26" x14ac:dyDescent="0.25">
      <c r="A244" s="2">
        <v>44863</v>
      </c>
      <c r="B244" s="3">
        <v>302</v>
      </c>
      <c r="C244" s="3">
        <v>2400</v>
      </c>
      <c r="D244">
        <v>314.39800000000002</v>
      </c>
      <c r="E244">
        <v>3.2000000000000001E-2</v>
      </c>
      <c r="F244">
        <v>309.18709999999999</v>
      </c>
      <c r="G244">
        <v>315.334</v>
      </c>
      <c r="H244">
        <v>318.67290000000003</v>
      </c>
      <c r="I244">
        <v>2.5000000000000001E-2</v>
      </c>
      <c r="J244">
        <v>4.1000000000000002E-2</v>
      </c>
      <c r="K244">
        <v>2.8000000000000001E-2</v>
      </c>
      <c r="L244">
        <v>2013</v>
      </c>
      <c r="M244">
        <v>2018.8</v>
      </c>
      <c r="N244">
        <v>2036.8</v>
      </c>
      <c r="Q244">
        <f t="shared" si="27"/>
        <v>314.39999999999998</v>
      </c>
      <c r="R244">
        <f t="shared" si="31"/>
        <v>314.5</v>
      </c>
      <c r="S244">
        <f t="shared" si="32"/>
        <v>0</v>
      </c>
      <c r="X244">
        <f t="shared" si="28"/>
        <v>0</v>
      </c>
      <c r="Y244">
        <f t="shared" si="29"/>
        <v>0</v>
      </c>
      <c r="Z244">
        <f t="shared" si="30"/>
        <v>0</v>
      </c>
    </row>
    <row r="245" spans="1:26" x14ac:dyDescent="0.25">
      <c r="A245" s="2">
        <v>44864</v>
      </c>
      <c r="B245" s="3">
        <v>303</v>
      </c>
      <c r="C245" s="3">
        <v>100</v>
      </c>
      <c r="D245">
        <v>314.40010000000001</v>
      </c>
      <c r="E245">
        <v>3.1E-2</v>
      </c>
      <c r="F245">
        <v>309.18549999999999</v>
      </c>
      <c r="G245">
        <v>315.34039999999999</v>
      </c>
      <c r="H245">
        <v>318.67439999999999</v>
      </c>
      <c r="I245">
        <v>2.3E-2</v>
      </c>
      <c r="J245">
        <v>3.7999999999999999E-2</v>
      </c>
      <c r="K245">
        <v>0.03</v>
      </c>
      <c r="L245">
        <v>2013</v>
      </c>
      <c r="M245">
        <v>2018.8</v>
      </c>
      <c r="N245">
        <v>2036.8</v>
      </c>
      <c r="Q245">
        <f t="shared" si="27"/>
        <v>314.39999999999998</v>
      </c>
      <c r="R245">
        <f t="shared" si="31"/>
        <v>314.5</v>
      </c>
      <c r="S245">
        <f t="shared" si="32"/>
        <v>0</v>
      </c>
      <c r="X245">
        <f t="shared" si="28"/>
        <v>0</v>
      </c>
      <c r="Y245">
        <f t="shared" si="29"/>
        <v>0</v>
      </c>
      <c r="Z245">
        <f t="shared" si="30"/>
        <v>0</v>
      </c>
    </row>
    <row r="246" spans="1:26" x14ac:dyDescent="0.25">
      <c r="A246" s="2">
        <v>44864</v>
      </c>
      <c r="B246" s="3">
        <v>303</v>
      </c>
      <c r="C246" s="3">
        <v>200</v>
      </c>
      <c r="D246">
        <v>314.399</v>
      </c>
      <c r="E246">
        <v>3.4000000000000002E-2</v>
      </c>
      <c r="F246">
        <v>309.19959999999998</v>
      </c>
      <c r="G246">
        <v>315.33089999999999</v>
      </c>
      <c r="H246">
        <v>318.66649999999998</v>
      </c>
      <c r="I246">
        <v>3.6999999999999998E-2</v>
      </c>
      <c r="J246">
        <v>4.2000000000000003E-2</v>
      </c>
      <c r="K246">
        <v>1.7000000000000001E-2</v>
      </c>
      <c r="L246">
        <v>2013.2</v>
      </c>
      <c r="M246">
        <v>2018.8</v>
      </c>
      <c r="N246">
        <v>2036.8</v>
      </c>
      <c r="Q246">
        <f t="shared" si="27"/>
        <v>314.39999999999998</v>
      </c>
      <c r="R246">
        <f t="shared" si="31"/>
        <v>314.5</v>
      </c>
      <c r="S246">
        <f t="shared" si="32"/>
        <v>0</v>
      </c>
      <c r="X246">
        <f t="shared" si="28"/>
        <v>0</v>
      </c>
      <c r="Y246">
        <f t="shared" si="29"/>
        <v>0</v>
      </c>
      <c r="Z246">
        <f t="shared" si="30"/>
        <v>0</v>
      </c>
    </row>
    <row r="247" spans="1:26" x14ac:dyDescent="0.25">
      <c r="A247" s="2">
        <v>44864</v>
      </c>
      <c r="B247" s="3">
        <v>303</v>
      </c>
      <c r="C247" s="3">
        <v>300</v>
      </c>
      <c r="D247">
        <v>314.38060000000002</v>
      </c>
      <c r="E247">
        <v>3.2000000000000001E-2</v>
      </c>
      <c r="F247">
        <v>309.17770000000002</v>
      </c>
      <c r="G247">
        <v>315.31360000000001</v>
      </c>
      <c r="H247">
        <v>318.65069999999997</v>
      </c>
      <c r="I247">
        <v>1.2E-2</v>
      </c>
      <c r="J247">
        <v>4.4999999999999998E-2</v>
      </c>
      <c r="K247">
        <v>3.1E-2</v>
      </c>
      <c r="L247">
        <v>2013</v>
      </c>
      <c r="M247">
        <v>2018.8</v>
      </c>
      <c r="N247">
        <v>2036.8</v>
      </c>
      <c r="Q247">
        <f t="shared" si="27"/>
        <v>314.39999999999998</v>
      </c>
      <c r="R247">
        <f t="shared" si="31"/>
        <v>314.5</v>
      </c>
      <c r="S247">
        <f t="shared" si="32"/>
        <v>0</v>
      </c>
      <c r="X247">
        <f t="shared" si="28"/>
        <v>0</v>
      </c>
      <c r="Y247">
        <f t="shared" si="29"/>
        <v>0</v>
      </c>
      <c r="Z247">
        <f t="shared" si="30"/>
        <v>0</v>
      </c>
    </row>
    <row r="248" spans="1:26" x14ac:dyDescent="0.25">
      <c r="A248" s="2">
        <v>44864</v>
      </c>
      <c r="B248" s="3">
        <v>303</v>
      </c>
      <c r="C248" s="3">
        <v>400</v>
      </c>
      <c r="D248">
        <v>314.37959999999998</v>
      </c>
      <c r="E248">
        <v>3.5000000000000003E-2</v>
      </c>
      <c r="F248">
        <v>309.18079999999998</v>
      </c>
      <c r="G248">
        <v>315.31040000000002</v>
      </c>
      <c r="H248">
        <v>318.64760000000001</v>
      </c>
      <c r="I248">
        <v>0.02</v>
      </c>
      <c r="J248">
        <v>4.4999999999999998E-2</v>
      </c>
      <c r="K248">
        <v>3.4000000000000002E-2</v>
      </c>
      <c r="L248">
        <v>2013</v>
      </c>
      <c r="M248">
        <v>2018.8</v>
      </c>
      <c r="N248">
        <v>2036.8</v>
      </c>
      <c r="Q248">
        <f t="shared" si="27"/>
        <v>314.39999999999998</v>
      </c>
      <c r="R248">
        <f t="shared" si="31"/>
        <v>314.5</v>
      </c>
      <c r="S248">
        <f t="shared" si="32"/>
        <v>0</v>
      </c>
      <c r="X248">
        <f t="shared" si="28"/>
        <v>0</v>
      </c>
      <c r="Y248">
        <f t="shared" si="29"/>
        <v>0</v>
      </c>
      <c r="Z248">
        <f t="shared" si="30"/>
        <v>0</v>
      </c>
    </row>
    <row r="249" spans="1:26" x14ac:dyDescent="0.25">
      <c r="A249" s="2">
        <v>44864</v>
      </c>
      <c r="B249" s="3">
        <v>303</v>
      </c>
      <c r="C249" s="3">
        <v>500</v>
      </c>
      <c r="D249">
        <v>314.41579999999999</v>
      </c>
      <c r="E249">
        <v>3.6999999999999998E-2</v>
      </c>
      <c r="F249">
        <v>309.20580000000001</v>
      </c>
      <c r="G249">
        <v>315.35140000000001</v>
      </c>
      <c r="H249">
        <v>318.6902</v>
      </c>
      <c r="I249">
        <v>4.1000000000000002E-2</v>
      </c>
      <c r="J249">
        <v>2.8000000000000001E-2</v>
      </c>
      <c r="K249">
        <v>4.1000000000000002E-2</v>
      </c>
      <c r="L249">
        <v>2013</v>
      </c>
      <c r="M249">
        <v>2019</v>
      </c>
      <c r="N249">
        <v>2036.8</v>
      </c>
      <c r="Q249">
        <f t="shared" si="27"/>
        <v>314.39999999999998</v>
      </c>
      <c r="R249">
        <f t="shared" si="31"/>
        <v>314.5</v>
      </c>
      <c r="S249">
        <f t="shared" si="32"/>
        <v>0</v>
      </c>
      <c r="X249">
        <f t="shared" si="28"/>
        <v>0</v>
      </c>
      <c r="Y249">
        <f t="shared" si="29"/>
        <v>0</v>
      </c>
      <c r="Z249">
        <f t="shared" si="30"/>
        <v>0</v>
      </c>
    </row>
    <row r="250" spans="1:26" x14ac:dyDescent="0.25">
      <c r="A250" s="2">
        <v>44864</v>
      </c>
      <c r="B250" s="3">
        <v>303</v>
      </c>
      <c r="C250" s="3">
        <v>600</v>
      </c>
      <c r="D250">
        <v>314.7527</v>
      </c>
      <c r="E250">
        <v>4.2000000000000003E-2</v>
      </c>
      <c r="F250">
        <v>309.5455</v>
      </c>
      <c r="G250">
        <v>315.68709999999999</v>
      </c>
      <c r="H250">
        <v>319.02550000000002</v>
      </c>
      <c r="I250">
        <v>0.04</v>
      </c>
      <c r="J250">
        <v>4.5999999999999999E-2</v>
      </c>
      <c r="K250">
        <v>0.04</v>
      </c>
      <c r="L250">
        <v>2013.8</v>
      </c>
      <c r="M250">
        <v>2019.8</v>
      </c>
      <c r="N250">
        <v>2037.6</v>
      </c>
      <c r="Q250">
        <f t="shared" si="27"/>
        <v>314.8</v>
      </c>
      <c r="R250">
        <f t="shared" si="31"/>
        <v>314.8</v>
      </c>
      <c r="S250">
        <f t="shared" si="32"/>
        <v>0.30000000000001137</v>
      </c>
      <c r="X250">
        <f t="shared" si="28"/>
        <v>0</v>
      </c>
      <c r="Y250">
        <f t="shared" si="29"/>
        <v>0</v>
      </c>
      <c r="Z250">
        <f t="shared" si="30"/>
        <v>0</v>
      </c>
    </row>
    <row r="251" spans="1:26" x14ac:dyDescent="0.25">
      <c r="A251" s="2">
        <v>44864</v>
      </c>
      <c r="B251" s="3">
        <v>303</v>
      </c>
      <c r="C251" s="3">
        <v>700</v>
      </c>
      <c r="D251">
        <v>314.99149999999997</v>
      </c>
      <c r="E251">
        <v>0.04</v>
      </c>
      <c r="F251">
        <v>309.78489999999999</v>
      </c>
      <c r="G251">
        <v>315.92520000000002</v>
      </c>
      <c r="H251">
        <v>319.26429999999999</v>
      </c>
      <c r="I251">
        <v>3.5999999999999997E-2</v>
      </c>
      <c r="J251">
        <v>0.04</v>
      </c>
      <c r="K251">
        <v>4.2999999999999997E-2</v>
      </c>
      <c r="L251">
        <v>2014.4</v>
      </c>
      <c r="M251">
        <v>2020.2</v>
      </c>
      <c r="N251">
        <v>2038.2</v>
      </c>
      <c r="Q251">
        <f t="shared" si="27"/>
        <v>315</v>
      </c>
      <c r="R251">
        <f t="shared" si="31"/>
        <v>315</v>
      </c>
      <c r="S251">
        <f t="shared" si="32"/>
        <v>0.19999999999998863</v>
      </c>
      <c r="X251">
        <f t="shared" si="28"/>
        <v>0</v>
      </c>
      <c r="Y251">
        <f t="shared" si="29"/>
        <v>0</v>
      </c>
      <c r="Z251">
        <f t="shared" si="30"/>
        <v>0</v>
      </c>
    </row>
    <row r="252" spans="1:26" x14ac:dyDescent="0.25">
      <c r="A252" s="2">
        <v>44864</v>
      </c>
      <c r="B252" s="3">
        <v>303</v>
      </c>
      <c r="C252" s="3">
        <v>800</v>
      </c>
      <c r="D252">
        <v>315.14479999999998</v>
      </c>
      <c r="E252">
        <v>4.2000000000000003E-2</v>
      </c>
      <c r="F252">
        <v>309.93529999999998</v>
      </c>
      <c r="G252">
        <v>316.0797</v>
      </c>
      <c r="H252">
        <v>319.4194</v>
      </c>
      <c r="I252">
        <v>4.4999999999999998E-2</v>
      </c>
      <c r="J252">
        <v>3.7999999999999999E-2</v>
      </c>
      <c r="K252">
        <v>4.3999999999999997E-2</v>
      </c>
      <c r="L252">
        <v>2014.8</v>
      </c>
      <c r="M252">
        <v>2020.6</v>
      </c>
      <c r="N252">
        <v>2038.6</v>
      </c>
      <c r="Q252">
        <f t="shared" si="27"/>
        <v>315.10000000000002</v>
      </c>
      <c r="R252">
        <f t="shared" si="31"/>
        <v>315.10000000000002</v>
      </c>
      <c r="S252">
        <f t="shared" si="32"/>
        <v>0.10000000000002274</v>
      </c>
      <c r="X252">
        <f t="shared" si="28"/>
        <v>0</v>
      </c>
      <c r="Y252">
        <f t="shared" si="29"/>
        <v>0</v>
      </c>
      <c r="Z252">
        <f t="shared" si="30"/>
        <v>0</v>
      </c>
    </row>
    <row r="253" spans="1:26" x14ac:dyDescent="0.25">
      <c r="A253" s="2">
        <v>44864</v>
      </c>
      <c r="B253" s="3">
        <v>303</v>
      </c>
      <c r="C253" s="3">
        <v>900</v>
      </c>
      <c r="D253">
        <v>315.38319999999999</v>
      </c>
      <c r="E253">
        <v>2.9000000000000001E-2</v>
      </c>
      <c r="F253">
        <v>310.16699999999997</v>
      </c>
      <c r="G253">
        <v>316.3227</v>
      </c>
      <c r="H253">
        <v>319.66000000000003</v>
      </c>
      <c r="I253">
        <v>2.3E-2</v>
      </c>
      <c r="J253">
        <v>4.1000000000000002E-2</v>
      </c>
      <c r="K253">
        <v>0.02</v>
      </c>
      <c r="L253">
        <v>2015.2</v>
      </c>
      <c r="M253">
        <v>2021</v>
      </c>
      <c r="N253">
        <v>2039</v>
      </c>
      <c r="Q253">
        <f t="shared" si="27"/>
        <v>315.39999999999998</v>
      </c>
      <c r="R253">
        <f t="shared" si="31"/>
        <v>315.39999999999998</v>
      </c>
      <c r="S253">
        <f t="shared" si="32"/>
        <v>0.29999999999995453</v>
      </c>
      <c r="X253">
        <f t="shared" si="28"/>
        <v>0</v>
      </c>
      <c r="Y253">
        <f t="shared" si="29"/>
        <v>0</v>
      </c>
      <c r="Z253">
        <f t="shared" si="30"/>
        <v>0</v>
      </c>
    </row>
    <row r="254" spans="1:26" x14ac:dyDescent="0.25">
      <c r="A254" s="2">
        <v>44864</v>
      </c>
      <c r="B254" s="3">
        <v>303</v>
      </c>
      <c r="C254" s="3">
        <v>1000</v>
      </c>
      <c r="D254">
        <v>315.46679999999998</v>
      </c>
      <c r="E254">
        <v>0.03</v>
      </c>
      <c r="F254">
        <v>310.24540000000002</v>
      </c>
      <c r="G254">
        <v>316.40949999999998</v>
      </c>
      <c r="H254">
        <v>319.74549999999999</v>
      </c>
      <c r="I254">
        <v>2.5999999999999999E-2</v>
      </c>
      <c r="J254">
        <v>4.2000000000000003E-2</v>
      </c>
      <c r="K254">
        <v>1.7000000000000001E-2</v>
      </c>
      <c r="L254">
        <v>2015.4</v>
      </c>
      <c r="M254">
        <v>2021.4</v>
      </c>
      <c r="N254">
        <v>2039.2</v>
      </c>
      <c r="Q254">
        <f t="shared" si="27"/>
        <v>315.5</v>
      </c>
      <c r="R254">
        <f t="shared" si="31"/>
        <v>315.5</v>
      </c>
      <c r="S254">
        <f t="shared" si="32"/>
        <v>0.10000000000002274</v>
      </c>
      <c r="X254">
        <f t="shared" si="28"/>
        <v>0</v>
      </c>
      <c r="Y254">
        <f t="shared" si="29"/>
        <v>0</v>
      </c>
      <c r="Z254">
        <f t="shared" si="30"/>
        <v>0</v>
      </c>
    </row>
    <row r="255" spans="1:26" x14ac:dyDescent="0.25">
      <c r="A255" s="2">
        <v>44864</v>
      </c>
      <c r="B255" s="3">
        <v>303</v>
      </c>
      <c r="C255" s="3">
        <v>1100</v>
      </c>
      <c r="D255">
        <v>315.9991</v>
      </c>
      <c r="E255">
        <v>3.6999999999999998E-2</v>
      </c>
      <c r="F255">
        <v>310.76400000000001</v>
      </c>
      <c r="G255">
        <v>316.95240000000001</v>
      </c>
      <c r="H255">
        <v>320.28070000000002</v>
      </c>
      <c r="I255">
        <v>3.7999999999999999E-2</v>
      </c>
      <c r="J255">
        <v>4.1000000000000002E-2</v>
      </c>
      <c r="K255">
        <v>3.3000000000000002E-2</v>
      </c>
      <c r="L255">
        <v>2016.4</v>
      </c>
      <c r="M255">
        <v>2022.6</v>
      </c>
      <c r="N255">
        <v>2040.4</v>
      </c>
      <c r="Q255">
        <f t="shared" si="27"/>
        <v>316</v>
      </c>
      <c r="R255">
        <f t="shared" si="31"/>
        <v>316</v>
      </c>
      <c r="S255">
        <f t="shared" si="32"/>
        <v>0.5</v>
      </c>
      <c r="X255">
        <f t="shared" si="28"/>
        <v>0</v>
      </c>
      <c r="Y255">
        <f t="shared" si="29"/>
        <v>0</v>
      </c>
      <c r="Z255">
        <f t="shared" si="30"/>
        <v>0</v>
      </c>
    </row>
    <row r="256" spans="1:26" x14ac:dyDescent="0.25">
      <c r="A256" s="2">
        <v>44864</v>
      </c>
      <c r="B256" s="3">
        <v>303</v>
      </c>
      <c r="C256" s="3">
        <v>1200</v>
      </c>
      <c r="D256">
        <v>316.40280000000001</v>
      </c>
      <c r="E256">
        <v>0.04</v>
      </c>
      <c r="F256">
        <v>311.16230000000002</v>
      </c>
      <c r="G256">
        <v>317.36930000000001</v>
      </c>
      <c r="H256">
        <v>320.67680000000001</v>
      </c>
      <c r="I256">
        <v>3.5999999999999997E-2</v>
      </c>
      <c r="J256">
        <v>4.2000000000000003E-2</v>
      </c>
      <c r="K256">
        <v>4.2000000000000003E-2</v>
      </c>
      <c r="L256">
        <v>2017.4</v>
      </c>
      <c r="M256">
        <v>2023.6</v>
      </c>
      <c r="N256">
        <v>2041.2</v>
      </c>
      <c r="Q256">
        <f t="shared" si="27"/>
        <v>316.39999999999998</v>
      </c>
      <c r="R256">
        <f t="shared" si="31"/>
        <v>316.39999999999998</v>
      </c>
      <c r="S256">
        <f t="shared" si="32"/>
        <v>0.39999999999997726</v>
      </c>
      <c r="X256">
        <f t="shared" si="28"/>
        <v>0</v>
      </c>
      <c r="Y256">
        <f t="shared" si="29"/>
        <v>0</v>
      </c>
      <c r="Z256">
        <f t="shared" si="30"/>
        <v>0</v>
      </c>
    </row>
    <row r="257" spans="1:26" x14ac:dyDescent="0.25">
      <c r="A257" s="2">
        <v>44864</v>
      </c>
      <c r="B257" s="3">
        <v>303</v>
      </c>
      <c r="C257" s="3">
        <v>1300</v>
      </c>
      <c r="D257">
        <v>316.40699999999998</v>
      </c>
      <c r="E257">
        <v>4.2000000000000003E-2</v>
      </c>
      <c r="F257">
        <v>311.16860000000003</v>
      </c>
      <c r="G257">
        <v>317.36930000000001</v>
      </c>
      <c r="H257">
        <v>320.68310000000002</v>
      </c>
      <c r="I257">
        <v>0.04</v>
      </c>
      <c r="J257">
        <v>4.2000000000000003E-2</v>
      </c>
      <c r="K257">
        <v>4.3999999999999997E-2</v>
      </c>
      <c r="L257">
        <v>2017.4</v>
      </c>
      <c r="M257">
        <v>2023.4</v>
      </c>
      <c r="N257">
        <v>2041.2</v>
      </c>
      <c r="Q257">
        <f t="shared" si="27"/>
        <v>316.39999999999998</v>
      </c>
      <c r="R257">
        <f t="shared" si="31"/>
        <v>316.39999999999998</v>
      </c>
      <c r="S257">
        <f t="shared" si="32"/>
        <v>0</v>
      </c>
      <c r="X257">
        <f t="shared" si="28"/>
        <v>0</v>
      </c>
      <c r="Y257">
        <f t="shared" si="29"/>
        <v>0</v>
      </c>
      <c r="Z257">
        <f t="shared" si="30"/>
        <v>0</v>
      </c>
    </row>
    <row r="258" spans="1:26" x14ac:dyDescent="0.25">
      <c r="A258" s="2">
        <v>44864</v>
      </c>
      <c r="B258" s="3">
        <v>303</v>
      </c>
      <c r="C258" s="3">
        <v>1400</v>
      </c>
      <c r="D258">
        <v>316.3997</v>
      </c>
      <c r="E258">
        <v>3.9E-2</v>
      </c>
      <c r="F258">
        <v>311.16390000000001</v>
      </c>
      <c r="G258">
        <v>317.36149999999998</v>
      </c>
      <c r="H258">
        <v>320.67360000000002</v>
      </c>
      <c r="I258">
        <v>3.7999999999999999E-2</v>
      </c>
      <c r="J258">
        <v>3.9E-2</v>
      </c>
      <c r="K258">
        <v>4.1000000000000002E-2</v>
      </c>
      <c r="L258">
        <v>2017.4</v>
      </c>
      <c r="M258">
        <v>2023.4</v>
      </c>
      <c r="N258">
        <v>2041.2</v>
      </c>
      <c r="Q258">
        <f t="shared" si="27"/>
        <v>316.39999999999998</v>
      </c>
      <c r="R258">
        <f t="shared" si="31"/>
        <v>316.39999999999998</v>
      </c>
      <c r="S258">
        <f t="shared" si="32"/>
        <v>0</v>
      </c>
      <c r="X258">
        <f t="shared" si="28"/>
        <v>0</v>
      </c>
      <c r="Y258">
        <f t="shared" si="29"/>
        <v>0</v>
      </c>
      <c r="Z258">
        <f t="shared" si="30"/>
        <v>0</v>
      </c>
    </row>
    <row r="259" spans="1:26" x14ac:dyDescent="0.25">
      <c r="A259" s="2">
        <v>44864</v>
      </c>
      <c r="B259" s="3">
        <v>303</v>
      </c>
      <c r="C259" s="3">
        <v>1500</v>
      </c>
      <c r="D259">
        <v>316.3897</v>
      </c>
      <c r="E259">
        <v>3.1E-2</v>
      </c>
      <c r="F259">
        <v>311.15129999999999</v>
      </c>
      <c r="G259">
        <v>317.35669999999999</v>
      </c>
      <c r="H259">
        <v>320.66090000000003</v>
      </c>
      <c r="I259">
        <v>2.5000000000000001E-2</v>
      </c>
      <c r="J259">
        <v>3.5999999999999997E-2</v>
      </c>
      <c r="K259">
        <v>3.1E-2</v>
      </c>
      <c r="L259">
        <v>2017.4</v>
      </c>
      <c r="M259">
        <v>2023.6</v>
      </c>
      <c r="N259">
        <v>2041.2</v>
      </c>
      <c r="Q259">
        <f t="shared" si="27"/>
        <v>316.39999999999998</v>
      </c>
      <c r="R259">
        <f t="shared" si="31"/>
        <v>316.39999999999998</v>
      </c>
      <c r="S259">
        <f t="shared" si="32"/>
        <v>0</v>
      </c>
      <c r="X259">
        <f t="shared" si="28"/>
        <v>0</v>
      </c>
      <c r="Y259">
        <f t="shared" si="29"/>
        <v>0</v>
      </c>
      <c r="Z259">
        <f t="shared" si="30"/>
        <v>0</v>
      </c>
    </row>
    <row r="260" spans="1:26" x14ac:dyDescent="0.25">
      <c r="A260" s="2">
        <v>44864</v>
      </c>
      <c r="B260" s="3">
        <v>303</v>
      </c>
      <c r="C260" s="3">
        <v>1600</v>
      </c>
      <c r="D260">
        <v>316.37700000000001</v>
      </c>
      <c r="E260">
        <v>2.4E-2</v>
      </c>
      <c r="F260">
        <v>311.14659999999998</v>
      </c>
      <c r="G260">
        <v>317.33929999999998</v>
      </c>
      <c r="H260">
        <v>320.64510000000001</v>
      </c>
      <c r="I260">
        <v>2.9000000000000001E-2</v>
      </c>
      <c r="J260">
        <v>2.4E-2</v>
      </c>
      <c r="K260">
        <v>1.7000000000000001E-2</v>
      </c>
      <c r="L260">
        <v>2017.4</v>
      </c>
      <c r="M260">
        <v>2023.4</v>
      </c>
      <c r="N260">
        <v>2041.2</v>
      </c>
      <c r="Q260">
        <f t="shared" si="27"/>
        <v>316.39999999999998</v>
      </c>
      <c r="R260">
        <f t="shared" si="31"/>
        <v>316.39999999999998</v>
      </c>
      <c r="S260">
        <f t="shared" si="32"/>
        <v>0</v>
      </c>
      <c r="X260">
        <f t="shared" si="28"/>
        <v>0</v>
      </c>
      <c r="Y260">
        <f t="shared" si="29"/>
        <v>0</v>
      </c>
      <c r="Z260">
        <f t="shared" si="30"/>
        <v>0</v>
      </c>
    </row>
    <row r="261" spans="1:26" x14ac:dyDescent="0.25">
      <c r="A261" s="2">
        <v>44864</v>
      </c>
      <c r="B261" s="3">
        <v>303</v>
      </c>
      <c r="C261" s="3">
        <v>1700</v>
      </c>
      <c r="D261">
        <v>316.70519999999999</v>
      </c>
      <c r="E261">
        <v>4.5999999999999999E-2</v>
      </c>
      <c r="F261">
        <v>311.46339999999998</v>
      </c>
      <c r="G261">
        <v>317.67110000000002</v>
      </c>
      <c r="H261">
        <v>320.9812</v>
      </c>
      <c r="I261">
        <v>4.3999999999999997E-2</v>
      </c>
      <c r="J261">
        <v>4.8000000000000001E-2</v>
      </c>
      <c r="K261">
        <v>4.4999999999999998E-2</v>
      </c>
      <c r="L261">
        <v>2018</v>
      </c>
      <c r="M261">
        <v>2024.2</v>
      </c>
      <c r="N261">
        <v>2042</v>
      </c>
      <c r="Q261">
        <f t="shared" si="27"/>
        <v>316.7</v>
      </c>
      <c r="R261">
        <f t="shared" si="31"/>
        <v>316.7</v>
      </c>
      <c r="S261">
        <f t="shared" si="32"/>
        <v>0.30000000000001137</v>
      </c>
      <c r="X261">
        <f t="shared" si="28"/>
        <v>0</v>
      </c>
      <c r="Y261">
        <f t="shared" si="29"/>
        <v>0</v>
      </c>
      <c r="Z261">
        <f t="shared" si="30"/>
        <v>0</v>
      </c>
    </row>
    <row r="262" spans="1:26" x14ac:dyDescent="0.25">
      <c r="A262" s="2">
        <v>44864</v>
      </c>
      <c r="B262" s="3">
        <v>303</v>
      </c>
      <c r="C262" s="3">
        <v>1800</v>
      </c>
      <c r="D262">
        <v>317.31670000000003</v>
      </c>
      <c r="E262">
        <v>4.4999999999999998E-2</v>
      </c>
      <c r="F262">
        <v>312.07240000000002</v>
      </c>
      <c r="G262">
        <v>318.28129999999999</v>
      </c>
      <c r="H262">
        <v>321.59649999999999</v>
      </c>
      <c r="I262">
        <v>4.3999999999999997E-2</v>
      </c>
      <c r="J262">
        <v>4.4999999999999998E-2</v>
      </c>
      <c r="K262">
        <v>4.4999999999999998E-2</v>
      </c>
      <c r="L262">
        <v>2019.4</v>
      </c>
      <c r="M262">
        <v>2025.6</v>
      </c>
      <c r="N262">
        <v>2043.4</v>
      </c>
      <c r="Q262">
        <f t="shared" si="27"/>
        <v>317.3</v>
      </c>
      <c r="R262">
        <f t="shared" si="31"/>
        <v>317.3</v>
      </c>
      <c r="S262">
        <f t="shared" si="32"/>
        <v>0.60000000000002274</v>
      </c>
      <c r="X262">
        <f t="shared" si="28"/>
        <v>0</v>
      </c>
      <c r="Y262">
        <f t="shared" si="29"/>
        <v>0</v>
      </c>
      <c r="Z262">
        <f t="shared" si="30"/>
        <v>0</v>
      </c>
    </row>
    <row r="263" spans="1:26" x14ac:dyDescent="0.25">
      <c r="A263" s="2">
        <v>44864</v>
      </c>
      <c r="B263" s="3">
        <v>303</v>
      </c>
      <c r="C263" s="3">
        <v>1900</v>
      </c>
      <c r="D263">
        <v>318.33440000000002</v>
      </c>
      <c r="E263">
        <v>3.9E-2</v>
      </c>
      <c r="F263">
        <v>313.0951</v>
      </c>
      <c r="G263">
        <v>319.28930000000003</v>
      </c>
      <c r="H263">
        <v>322.6189</v>
      </c>
      <c r="I263">
        <v>3.5000000000000003E-2</v>
      </c>
      <c r="J263">
        <v>4.3999999999999997E-2</v>
      </c>
      <c r="K263">
        <v>3.6999999999999998E-2</v>
      </c>
      <c r="L263">
        <v>2021.6</v>
      </c>
      <c r="M263">
        <v>2027.8</v>
      </c>
      <c r="N263">
        <v>2045.6</v>
      </c>
      <c r="Q263">
        <f t="shared" si="27"/>
        <v>318.3</v>
      </c>
      <c r="R263">
        <f t="shared" si="31"/>
        <v>318.3</v>
      </c>
      <c r="S263">
        <f t="shared" si="32"/>
        <v>1</v>
      </c>
      <c r="X263">
        <f t="shared" si="28"/>
        <v>0</v>
      </c>
      <c r="Y263">
        <f t="shared" si="29"/>
        <v>0</v>
      </c>
      <c r="Z263">
        <f t="shared" si="30"/>
        <v>0</v>
      </c>
    </row>
    <row r="264" spans="1:26" x14ac:dyDescent="0.25">
      <c r="A264" s="2">
        <v>44864</v>
      </c>
      <c r="B264" s="3">
        <v>303</v>
      </c>
      <c r="C264" s="3">
        <v>2000</v>
      </c>
      <c r="D264">
        <v>318.75830000000002</v>
      </c>
      <c r="E264">
        <v>4.7E-2</v>
      </c>
      <c r="F264">
        <v>313.5102</v>
      </c>
      <c r="G264">
        <v>319.71370000000002</v>
      </c>
      <c r="H264">
        <v>323.05110000000002</v>
      </c>
      <c r="I264">
        <v>4.3999999999999997E-2</v>
      </c>
      <c r="J264">
        <v>5.1999999999999998E-2</v>
      </c>
      <c r="K264">
        <v>4.4999999999999998E-2</v>
      </c>
      <c r="L264">
        <v>2022.6</v>
      </c>
      <c r="M264">
        <v>2028.8</v>
      </c>
      <c r="N264">
        <v>2046.6</v>
      </c>
      <c r="Q264">
        <f t="shared" si="27"/>
        <v>318.8</v>
      </c>
      <c r="R264">
        <f t="shared" si="31"/>
        <v>318.8</v>
      </c>
      <c r="S264">
        <f t="shared" si="32"/>
        <v>0.5</v>
      </c>
      <c r="X264">
        <f t="shared" si="28"/>
        <v>0</v>
      </c>
      <c r="Y264">
        <f t="shared" si="29"/>
        <v>0</v>
      </c>
      <c r="Z264">
        <f t="shared" si="30"/>
        <v>0</v>
      </c>
    </row>
    <row r="265" spans="1:26" x14ac:dyDescent="0.25">
      <c r="A265" s="2">
        <v>44864</v>
      </c>
      <c r="B265" s="3">
        <v>303</v>
      </c>
      <c r="C265" s="3">
        <v>2100</v>
      </c>
      <c r="D265">
        <v>319.70760000000001</v>
      </c>
      <c r="E265">
        <v>3.5000000000000003E-2</v>
      </c>
      <c r="F265">
        <v>314.45740000000001</v>
      </c>
      <c r="G265">
        <v>320.65679999999998</v>
      </c>
      <c r="H265">
        <v>324.00839999999999</v>
      </c>
      <c r="I265">
        <v>3.4000000000000002E-2</v>
      </c>
      <c r="J265">
        <v>3.7999999999999999E-2</v>
      </c>
      <c r="K265">
        <v>3.4000000000000002E-2</v>
      </c>
      <c r="L265">
        <v>2024.8</v>
      </c>
      <c r="M265">
        <v>2030.8</v>
      </c>
      <c r="N265">
        <v>2048.8000000000002</v>
      </c>
      <c r="Q265">
        <f t="shared" si="27"/>
        <v>319.7</v>
      </c>
      <c r="R265">
        <f t="shared" si="31"/>
        <v>319.7</v>
      </c>
      <c r="S265">
        <f t="shared" si="32"/>
        <v>0.89999999999997726</v>
      </c>
      <c r="X265">
        <f t="shared" si="28"/>
        <v>0</v>
      </c>
      <c r="Y265">
        <f t="shared" si="29"/>
        <v>0</v>
      </c>
      <c r="Z265">
        <f t="shared" si="30"/>
        <v>0</v>
      </c>
    </row>
    <row r="266" spans="1:26" x14ac:dyDescent="0.25">
      <c r="A266" s="2">
        <v>44864</v>
      </c>
      <c r="B266" s="3">
        <v>303</v>
      </c>
      <c r="C266" s="3">
        <v>2200</v>
      </c>
      <c r="D266">
        <v>320.11900000000003</v>
      </c>
      <c r="E266">
        <v>0.04</v>
      </c>
      <c r="F266">
        <v>314.83539999999999</v>
      </c>
      <c r="G266">
        <v>321.08510000000001</v>
      </c>
      <c r="H266">
        <v>324.43650000000002</v>
      </c>
      <c r="I266">
        <v>3.6999999999999998E-2</v>
      </c>
      <c r="J266">
        <v>4.4999999999999998E-2</v>
      </c>
      <c r="K266">
        <v>3.6999999999999998E-2</v>
      </c>
      <c r="L266">
        <v>2025.8</v>
      </c>
      <c r="M266">
        <v>2031.8</v>
      </c>
      <c r="N266">
        <v>2049.6</v>
      </c>
      <c r="Q266">
        <f t="shared" si="27"/>
        <v>320.10000000000002</v>
      </c>
      <c r="R266">
        <f t="shared" si="31"/>
        <v>320.10000000000002</v>
      </c>
      <c r="S266">
        <f t="shared" si="32"/>
        <v>0.40000000000003411</v>
      </c>
      <c r="X266">
        <f t="shared" si="28"/>
        <v>0</v>
      </c>
      <c r="Y266">
        <f t="shared" si="29"/>
        <v>0</v>
      </c>
      <c r="Z266">
        <f t="shared" si="30"/>
        <v>0</v>
      </c>
    </row>
    <row r="267" spans="1:26" x14ac:dyDescent="0.25">
      <c r="A267" s="2">
        <v>44864</v>
      </c>
      <c r="B267" s="3">
        <v>303</v>
      </c>
      <c r="C267" s="3">
        <v>2300</v>
      </c>
      <c r="D267">
        <v>321.13209999999998</v>
      </c>
      <c r="E267">
        <v>4.4999999999999998E-2</v>
      </c>
      <c r="F267">
        <v>315.85680000000002</v>
      </c>
      <c r="G267">
        <v>322.08530000000002</v>
      </c>
      <c r="H267">
        <v>325.45429999999999</v>
      </c>
      <c r="I267">
        <v>4.3999999999999997E-2</v>
      </c>
      <c r="J267">
        <v>4.4999999999999998E-2</v>
      </c>
      <c r="K267">
        <v>4.5999999999999999E-2</v>
      </c>
      <c r="L267">
        <v>2028</v>
      </c>
      <c r="M267">
        <v>2034</v>
      </c>
      <c r="N267">
        <v>2052</v>
      </c>
      <c r="Q267">
        <f t="shared" si="27"/>
        <v>321.10000000000002</v>
      </c>
      <c r="R267">
        <f t="shared" si="31"/>
        <v>321.10000000000002</v>
      </c>
      <c r="S267">
        <f t="shared" si="32"/>
        <v>1</v>
      </c>
      <c r="X267">
        <f t="shared" si="28"/>
        <v>0</v>
      </c>
      <c r="Y267">
        <f t="shared" si="29"/>
        <v>0</v>
      </c>
      <c r="Z267">
        <f t="shared" si="30"/>
        <v>0</v>
      </c>
    </row>
    <row r="268" spans="1:26" x14ac:dyDescent="0.25">
      <c r="A268" s="2">
        <v>44864</v>
      </c>
      <c r="B268" s="3">
        <v>303</v>
      </c>
      <c r="C268" s="3">
        <v>2400</v>
      </c>
      <c r="D268">
        <v>321.85059999999999</v>
      </c>
      <c r="E268">
        <v>3.7999999999999999E-2</v>
      </c>
      <c r="F268">
        <v>316.55250000000001</v>
      </c>
      <c r="G268">
        <v>322.83390000000003</v>
      </c>
      <c r="H268">
        <v>326.16539999999998</v>
      </c>
      <c r="I268">
        <v>4.8000000000000001E-2</v>
      </c>
      <c r="J268">
        <v>3.4000000000000002E-2</v>
      </c>
      <c r="K268">
        <v>0.03</v>
      </c>
      <c r="L268">
        <v>2029.6</v>
      </c>
      <c r="M268">
        <v>2035.6</v>
      </c>
      <c r="N268">
        <v>2053.4</v>
      </c>
      <c r="Q268">
        <f t="shared" si="27"/>
        <v>321.89999999999998</v>
      </c>
      <c r="R268">
        <f t="shared" si="31"/>
        <v>321.89999999999998</v>
      </c>
      <c r="S268">
        <f t="shared" si="32"/>
        <v>0.79999999999995453</v>
      </c>
      <c r="X268">
        <f t="shared" si="28"/>
        <v>0</v>
      </c>
      <c r="Y268">
        <f t="shared" si="29"/>
        <v>0</v>
      </c>
      <c r="Z268">
        <f t="shared" si="30"/>
        <v>0</v>
      </c>
    </row>
    <row r="269" spans="1:26" x14ac:dyDescent="0.25">
      <c r="A269" s="2">
        <v>44865</v>
      </c>
      <c r="B269" s="3">
        <v>304</v>
      </c>
      <c r="C269" s="3">
        <v>100</v>
      </c>
      <c r="D269">
        <v>322.64909999999998</v>
      </c>
      <c r="E269">
        <v>4.3999999999999997E-2</v>
      </c>
      <c r="F269">
        <v>317.36579999999998</v>
      </c>
      <c r="G269">
        <v>323.62610000000001</v>
      </c>
      <c r="H269">
        <v>326.9554</v>
      </c>
      <c r="I269">
        <v>4.2999999999999997E-2</v>
      </c>
      <c r="J269">
        <v>4.4999999999999998E-2</v>
      </c>
      <c r="K269">
        <v>4.4999999999999998E-2</v>
      </c>
      <c r="L269">
        <v>2031.2</v>
      </c>
      <c r="M269">
        <v>2037.4</v>
      </c>
      <c r="N269">
        <v>2055.1999999999998</v>
      </c>
      <c r="Q269">
        <f t="shared" si="27"/>
        <v>322.60000000000002</v>
      </c>
      <c r="R269">
        <f t="shared" si="31"/>
        <v>322.60000000000002</v>
      </c>
      <c r="S269">
        <f t="shared" si="32"/>
        <v>0.70000000000004547</v>
      </c>
      <c r="X269">
        <f t="shared" si="28"/>
        <v>0</v>
      </c>
      <c r="Y269">
        <f t="shared" si="29"/>
        <v>0</v>
      </c>
      <c r="Z269">
        <f t="shared" si="30"/>
        <v>0</v>
      </c>
    </row>
    <row r="270" spans="1:26" x14ac:dyDescent="0.25">
      <c r="A270" s="2">
        <v>44865</v>
      </c>
      <c r="B270" s="3">
        <v>304</v>
      </c>
      <c r="C270" s="3">
        <v>200</v>
      </c>
      <c r="D270">
        <v>323.0752</v>
      </c>
      <c r="E270">
        <v>3.5000000000000003E-2</v>
      </c>
      <c r="F270">
        <v>317.78140000000002</v>
      </c>
      <c r="G270">
        <v>324.05270000000002</v>
      </c>
      <c r="H270">
        <v>327.39139999999998</v>
      </c>
      <c r="I270">
        <v>1.7000000000000001E-2</v>
      </c>
      <c r="J270">
        <v>0.04</v>
      </c>
      <c r="K270">
        <v>4.2999999999999997E-2</v>
      </c>
      <c r="L270">
        <v>2032.2</v>
      </c>
      <c r="M270">
        <v>2038.2</v>
      </c>
      <c r="N270">
        <v>2056.1999999999998</v>
      </c>
      <c r="Q270">
        <f t="shared" si="27"/>
        <v>323.10000000000002</v>
      </c>
      <c r="R270">
        <f t="shared" si="31"/>
        <v>323.10000000000002</v>
      </c>
      <c r="S270">
        <f t="shared" si="32"/>
        <v>0.5</v>
      </c>
      <c r="X270">
        <f t="shared" si="28"/>
        <v>0</v>
      </c>
      <c r="Y270">
        <f t="shared" si="29"/>
        <v>0</v>
      </c>
      <c r="Z270">
        <f t="shared" si="30"/>
        <v>0</v>
      </c>
    </row>
    <row r="271" spans="1:26" x14ac:dyDescent="0.25">
      <c r="A271" s="2">
        <v>44865</v>
      </c>
      <c r="B271" s="3">
        <v>304</v>
      </c>
      <c r="C271" s="3">
        <v>300</v>
      </c>
      <c r="D271">
        <v>323.10109999999997</v>
      </c>
      <c r="E271">
        <v>4.3999999999999997E-2</v>
      </c>
      <c r="F271">
        <v>317.81150000000002</v>
      </c>
      <c r="G271">
        <v>324.07819999999998</v>
      </c>
      <c r="H271">
        <v>327.41370000000001</v>
      </c>
      <c r="I271">
        <v>4.1000000000000002E-2</v>
      </c>
      <c r="J271">
        <v>4.4999999999999998E-2</v>
      </c>
      <c r="K271">
        <v>4.4999999999999998E-2</v>
      </c>
      <c r="L271">
        <v>2032.2</v>
      </c>
      <c r="M271">
        <v>2038.2</v>
      </c>
      <c r="N271">
        <v>2056</v>
      </c>
      <c r="Q271">
        <f t="shared" si="27"/>
        <v>323.10000000000002</v>
      </c>
      <c r="R271">
        <f t="shared" si="31"/>
        <v>323.10000000000002</v>
      </c>
      <c r="S271">
        <f t="shared" si="32"/>
        <v>0</v>
      </c>
      <c r="X271">
        <f t="shared" si="28"/>
        <v>0</v>
      </c>
      <c r="Y271">
        <f t="shared" si="29"/>
        <v>0</v>
      </c>
      <c r="Z271">
        <f t="shared" si="30"/>
        <v>0</v>
      </c>
    </row>
    <row r="272" spans="1:26" x14ac:dyDescent="0.25">
      <c r="A272" s="2">
        <v>44865</v>
      </c>
      <c r="B272" s="3">
        <v>304</v>
      </c>
      <c r="C272" s="3">
        <v>400</v>
      </c>
      <c r="D272">
        <v>323.1123</v>
      </c>
      <c r="E272">
        <v>4.1000000000000002E-2</v>
      </c>
      <c r="F272">
        <v>317.81619999999998</v>
      </c>
      <c r="G272">
        <v>324.09410000000003</v>
      </c>
      <c r="H272">
        <v>327.42649999999998</v>
      </c>
      <c r="I272">
        <v>4.2999999999999997E-2</v>
      </c>
      <c r="J272">
        <v>4.1000000000000002E-2</v>
      </c>
      <c r="K272">
        <v>0.04</v>
      </c>
      <c r="L272">
        <v>2032.4</v>
      </c>
      <c r="M272">
        <v>2038.4</v>
      </c>
      <c r="N272">
        <v>2056</v>
      </c>
      <c r="Q272">
        <f t="shared" si="27"/>
        <v>323.10000000000002</v>
      </c>
      <c r="R272">
        <f t="shared" si="31"/>
        <v>323.10000000000002</v>
      </c>
      <c r="S272">
        <f t="shared" si="32"/>
        <v>0</v>
      </c>
      <c r="X272">
        <f t="shared" si="28"/>
        <v>0</v>
      </c>
      <c r="Y272">
        <f t="shared" si="29"/>
        <v>0</v>
      </c>
      <c r="Z272">
        <f t="shared" si="30"/>
        <v>0</v>
      </c>
    </row>
    <row r="273" spans="1:26" x14ac:dyDescent="0.25">
      <c r="A273" s="2">
        <v>44865</v>
      </c>
      <c r="B273" s="3">
        <v>304</v>
      </c>
      <c r="C273" s="3">
        <v>500</v>
      </c>
      <c r="D273">
        <v>323.11649999999997</v>
      </c>
      <c r="E273">
        <v>0.03</v>
      </c>
      <c r="F273">
        <v>317.79880000000003</v>
      </c>
      <c r="G273">
        <v>324.10849999999999</v>
      </c>
      <c r="H273">
        <v>327.44240000000002</v>
      </c>
      <c r="I273">
        <v>3.3000000000000002E-2</v>
      </c>
      <c r="J273">
        <v>0.03</v>
      </c>
      <c r="K273">
        <v>2.5999999999999999E-2</v>
      </c>
      <c r="L273">
        <v>2032.2</v>
      </c>
      <c r="M273">
        <v>2038.4</v>
      </c>
      <c r="N273">
        <v>2056.1999999999998</v>
      </c>
      <c r="Q273">
        <f t="shared" si="27"/>
        <v>323.10000000000002</v>
      </c>
      <c r="R273">
        <f t="shared" si="31"/>
        <v>323.10000000000002</v>
      </c>
      <c r="S273">
        <f t="shared" si="32"/>
        <v>0</v>
      </c>
      <c r="X273">
        <f t="shared" si="28"/>
        <v>0</v>
      </c>
      <c r="Y273">
        <f t="shared" si="29"/>
        <v>0</v>
      </c>
      <c r="Z273">
        <f t="shared" si="30"/>
        <v>0</v>
      </c>
    </row>
    <row r="274" spans="1:26" x14ac:dyDescent="0.25">
      <c r="A274" s="2">
        <v>44865</v>
      </c>
      <c r="B274" s="3">
        <v>304</v>
      </c>
      <c r="C274" s="3">
        <v>600</v>
      </c>
      <c r="D274">
        <v>323.12819999999999</v>
      </c>
      <c r="E274">
        <v>0.03</v>
      </c>
      <c r="F274">
        <v>317.81619999999998</v>
      </c>
      <c r="G274">
        <v>324.11320000000001</v>
      </c>
      <c r="H274">
        <v>327.45519999999999</v>
      </c>
      <c r="I274">
        <v>4.2999999999999997E-2</v>
      </c>
      <c r="J274">
        <v>2.3E-2</v>
      </c>
      <c r="K274">
        <v>0.02</v>
      </c>
      <c r="L274">
        <v>2032.2</v>
      </c>
      <c r="M274">
        <v>2038.4</v>
      </c>
      <c r="N274">
        <v>2056.1999999999998</v>
      </c>
      <c r="Q274">
        <f t="shared" si="27"/>
        <v>323.10000000000002</v>
      </c>
      <c r="R274">
        <f t="shared" si="31"/>
        <v>323.10000000000002</v>
      </c>
      <c r="S274">
        <f t="shared" si="32"/>
        <v>0</v>
      </c>
      <c r="X274">
        <f t="shared" si="28"/>
        <v>0</v>
      </c>
      <c r="Y274">
        <f t="shared" si="29"/>
        <v>0</v>
      </c>
      <c r="Z274">
        <f t="shared" si="30"/>
        <v>0</v>
      </c>
    </row>
    <row r="275" spans="1:26" x14ac:dyDescent="0.25">
      <c r="A275" s="2">
        <v>44865</v>
      </c>
      <c r="B275" s="3">
        <v>304</v>
      </c>
      <c r="C275" s="3">
        <v>700</v>
      </c>
      <c r="D275">
        <v>323.10610000000003</v>
      </c>
      <c r="E275">
        <v>4.1000000000000002E-2</v>
      </c>
      <c r="F275">
        <v>317.75299999999999</v>
      </c>
      <c r="G275">
        <v>324.09249999999997</v>
      </c>
      <c r="H275">
        <v>327.47280000000001</v>
      </c>
      <c r="I275">
        <v>4.2999999999999997E-2</v>
      </c>
      <c r="J275">
        <v>4.2000000000000003E-2</v>
      </c>
      <c r="K275">
        <v>3.9E-2</v>
      </c>
      <c r="L275">
        <v>2032</v>
      </c>
      <c r="M275">
        <v>2038.2</v>
      </c>
      <c r="N275">
        <v>2056.1999999999998</v>
      </c>
      <c r="Q275">
        <f t="shared" ref="Q275:Q338" si="33">ROUND(D275,1)</f>
        <v>323.10000000000002</v>
      </c>
      <c r="R275">
        <f t="shared" si="31"/>
        <v>323.10000000000002</v>
      </c>
      <c r="S275">
        <f t="shared" si="32"/>
        <v>0</v>
      </c>
      <c r="X275">
        <f t="shared" si="28"/>
        <v>0</v>
      </c>
      <c r="Y275">
        <f t="shared" si="29"/>
        <v>0</v>
      </c>
      <c r="Z275">
        <f t="shared" si="30"/>
        <v>0</v>
      </c>
    </row>
    <row r="276" spans="1:26" x14ac:dyDescent="0.25">
      <c r="A276" s="2">
        <v>44865</v>
      </c>
      <c r="B276" s="3">
        <v>304</v>
      </c>
      <c r="C276" s="3">
        <v>800</v>
      </c>
      <c r="D276">
        <v>323.14780000000002</v>
      </c>
      <c r="E276">
        <v>3.6999999999999998E-2</v>
      </c>
      <c r="F276">
        <v>317.8415</v>
      </c>
      <c r="G276">
        <v>324.12759999999997</v>
      </c>
      <c r="H276">
        <v>327.4744</v>
      </c>
      <c r="I276">
        <v>4.2999999999999997E-2</v>
      </c>
      <c r="J276">
        <v>2.5999999999999999E-2</v>
      </c>
      <c r="K276">
        <v>0.04</v>
      </c>
      <c r="L276">
        <v>2032.4</v>
      </c>
      <c r="M276">
        <v>2038.4</v>
      </c>
      <c r="N276">
        <v>2056.1999999999998</v>
      </c>
      <c r="Q276">
        <f t="shared" si="33"/>
        <v>323.10000000000002</v>
      </c>
      <c r="R276">
        <f t="shared" si="31"/>
        <v>323.10000000000002</v>
      </c>
      <c r="S276">
        <f t="shared" si="32"/>
        <v>0</v>
      </c>
      <c r="X276">
        <f t="shared" si="28"/>
        <v>0</v>
      </c>
      <c r="Y276">
        <f t="shared" si="29"/>
        <v>0</v>
      </c>
      <c r="Z276">
        <f t="shared" si="30"/>
        <v>0</v>
      </c>
    </row>
    <row r="277" spans="1:26" x14ac:dyDescent="0.25">
      <c r="A277" s="2">
        <v>44865</v>
      </c>
      <c r="B277" s="3">
        <v>304</v>
      </c>
      <c r="C277" s="3">
        <v>900</v>
      </c>
      <c r="D277">
        <v>324.66430000000003</v>
      </c>
      <c r="E277">
        <v>7.9000000000000001E-2</v>
      </c>
      <c r="F277">
        <v>319.3288</v>
      </c>
      <c r="G277">
        <v>325.66890000000001</v>
      </c>
      <c r="H277">
        <v>328.99509999999998</v>
      </c>
      <c r="I277">
        <v>7.5999999999999998E-2</v>
      </c>
      <c r="J277">
        <v>8.1000000000000003E-2</v>
      </c>
      <c r="K277">
        <v>8.1000000000000003E-2</v>
      </c>
      <c r="L277">
        <v>2035.8</v>
      </c>
      <c r="M277">
        <v>2042.2</v>
      </c>
      <c r="N277">
        <v>2059.8000000000002</v>
      </c>
      <c r="Q277">
        <f t="shared" si="33"/>
        <v>324.7</v>
      </c>
      <c r="R277">
        <f t="shared" si="31"/>
        <v>324.7</v>
      </c>
      <c r="S277">
        <f t="shared" si="32"/>
        <v>1.5999999999999659</v>
      </c>
      <c r="X277">
        <f t="shared" si="28"/>
        <v>0</v>
      </c>
      <c r="Y277">
        <f t="shared" si="29"/>
        <v>0</v>
      </c>
      <c r="Z277">
        <f t="shared" si="30"/>
        <v>0</v>
      </c>
    </row>
    <row r="278" spans="1:26" x14ac:dyDescent="0.25">
      <c r="A278" s="2">
        <v>44865</v>
      </c>
      <c r="B278" s="3">
        <v>304</v>
      </c>
      <c r="C278" s="3">
        <v>1000</v>
      </c>
      <c r="D278">
        <v>325.24540000000002</v>
      </c>
      <c r="E278">
        <v>0.04</v>
      </c>
      <c r="F278">
        <v>319.92759999999998</v>
      </c>
      <c r="G278">
        <v>326.245</v>
      </c>
      <c r="H278">
        <v>329.5634</v>
      </c>
      <c r="I278">
        <v>3.9E-2</v>
      </c>
      <c r="J278">
        <v>4.3999999999999997E-2</v>
      </c>
      <c r="K278">
        <v>3.5000000000000003E-2</v>
      </c>
      <c r="L278">
        <v>2037</v>
      </c>
      <c r="M278">
        <v>2043</v>
      </c>
      <c r="N278">
        <v>2060.8000000000002</v>
      </c>
      <c r="Q278">
        <f t="shared" si="33"/>
        <v>325.2</v>
      </c>
      <c r="R278">
        <f t="shared" si="31"/>
        <v>325.2</v>
      </c>
      <c r="S278">
        <f t="shared" si="32"/>
        <v>0.5</v>
      </c>
      <c r="X278">
        <f t="shared" si="28"/>
        <v>0</v>
      </c>
      <c r="Y278">
        <f t="shared" si="29"/>
        <v>0</v>
      </c>
      <c r="Z278">
        <f t="shared" si="30"/>
        <v>0</v>
      </c>
    </row>
    <row r="279" spans="1:26" x14ac:dyDescent="0.25">
      <c r="A279" s="2">
        <v>44865</v>
      </c>
      <c r="B279" s="3">
        <v>304</v>
      </c>
      <c r="C279" s="3">
        <v>1100</v>
      </c>
      <c r="D279">
        <v>326.43599999999998</v>
      </c>
      <c r="E279">
        <v>5.2999999999999999E-2</v>
      </c>
      <c r="F279">
        <v>321.08999999999997</v>
      </c>
      <c r="G279">
        <v>327.45749999999998</v>
      </c>
      <c r="H279">
        <v>330.76049999999998</v>
      </c>
      <c r="I279">
        <v>0.05</v>
      </c>
      <c r="J279">
        <v>5.3999999999999999E-2</v>
      </c>
      <c r="K279">
        <v>5.6000000000000001E-2</v>
      </c>
      <c r="L279">
        <v>2039.6</v>
      </c>
      <c r="M279">
        <v>2046</v>
      </c>
      <c r="N279">
        <v>2063.6</v>
      </c>
      <c r="Q279">
        <f t="shared" si="33"/>
        <v>326.39999999999998</v>
      </c>
      <c r="R279">
        <f t="shared" si="31"/>
        <v>326.39999999999998</v>
      </c>
      <c r="S279">
        <f t="shared" si="32"/>
        <v>1.1999999999999886</v>
      </c>
      <c r="X279">
        <f t="shared" si="28"/>
        <v>0</v>
      </c>
      <c r="Y279">
        <f t="shared" si="29"/>
        <v>0</v>
      </c>
      <c r="Z279">
        <f t="shared" si="30"/>
        <v>0</v>
      </c>
    </row>
    <row r="280" spans="1:26" x14ac:dyDescent="0.25">
      <c r="A280" s="2">
        <v>44865</v>
      </c>
      <c r="B280" s="3">
        <v>304</v>
      </c>
      <c r="C280" s="3">
        <v>1200</v>
      </c>
      <c r="D280">
        <v>327.1909</v>
      </c>
      <c r="E280">
        <v>3.7999999999999999E-2</v>
      </c>
      <c r="F280">
        <v>321.85680000000002</v>
      </c>
      <c r="G280">
        <v>328.19170000000003</v>
      </c>
      <c r="H280">
        <v>331.52420000000001</v>
      </c>
      <c r="I280">
        <v>3.1E-2</v>
      </c>
      <c r="J280">
        <v>3.9E-2</v>
      </c>
      <c r="K280">
        <v>4.3999999999999997E-2</v>
      </c>
      <c r="L280">
        <v>2041.2</v>
      </c>
      <c r="M280">
        <v>2047.4</v>
      </c>
      <c r="N280">
        <v>2065</v>
      </c>
      <c r="Q280">
        <f t="shared" si="33"/>
        <v>327.2</v>
      </c>
      <c r="R280">
        <f t="shared" si="31"/>
        <v>327.2</v>
      </c>
      <c r="S280">
        <f t="shared" si="32"/>
        <v>0.80000000000001137</v>
      </c>
      <c r="X280">
        <f t="shared" si="28"/>
        <v>0</v>
      </c>
      <c r="Y280">
        <f t="shared" si="29"/>
        <v>0</v>
      </c>
      <c r="Z280">
        <f t="shared" si="30"/>
        <v>0</v>
      </c>
    </row>
    <row r="281" spans="1:26" x14ac:dyDescent="0.25">
      <c r="A281" s="2">
        <v>44865</v>
      </c>
      <c r="B281" s="3">
        <v>304</v>
      </c>
      <c r="C281" s="3">
        <v>1300</v>
      </c>
      <c r="D281">
        <v>327.1728</v>
      </c>
      <c r="E281">
        <v>0.04</v>
      </c>
      <c r="F281">
        <v>321.8426</v>
      </c>
      <c r="G281">
        <v>328.17399999999998</v>
      </c>
      <c r="H281">
        <v>331.50170000000003</v>
      </c>
      <c r="I281">
        <v>2.9000000000000001E-2</v>
      </c>
      <c r="J281">
        <v>4.4999999999999998E-2</v>
      </c>
      <c r="K281">
        <v>4.4999999999999998E-2</v>
      </c>
      <c r="L281">
        <v>2041</v>
      </c>
      <c r="M281">
        <v>2047.4</v>
      </c>
      <c r="N281">
        <v>2065</v>
      </c>
      <c r="Q281">
        <f t="shared" si="33"/>
        <v>327.2</v>
      </c>
      <c r="R281">
        <f t="shared" si="31"/>
        <v>327.2</v>
      </c>
      <c r="S281">
        <f t="shared" si="32"/>
        <v>0</v>
      </c>
      <c r="X281">
        <f t="shared" si="28"/>
        <v>0</v>
      </c>
      <c r="Y281">
        <f t="shared" si="29"/>
        <v>0</v>
      </c>
      <c r="Z281">
        <f t="shared" si="30"/>
        <v>0</v>
      </c>
    </row>
    <row r="282" spans="1:26" x14ac:dyDescent="0.25">
      <c r="A282" s="2">
        <v>44865</v>
      </c>
      <c r="B282" s="3">
        <v>304</v>
      </c>
      <c r="C282" s="3">
        <v>1400</v>
      </c>
      <c r="D282">
        <v>327.16590000000002</v>
      </c>
      <c r="E282">
        <v>4.1000000000000002E-2</v>
      </c>
      <c r="F282">
        <v>321.83460000000002</v>
      </c>
      <c r="G282">
        <v>328.17239999999998</v>
      </c>
      <c r="H282">
        <v>331.4905</v>
      </c>
      <c r="I282">
        <v>3.6999999999999998E-2</v>
      </c>
      <c r="J282">
        <v>4.4999999999999998E-2</v>
      </c>
      <c r="K282">
        <v>0.04</v>
      </c>
      <c r="L282">
        <v>2041</v>
      </c>
      <c r="M282">
        <v>2047.2</v>
      </c>
      <c r="N282">
        <v>2065</v>
      </c>
      <c r="Q282">
        <f t="shared" si="33"/>
        <v>327.2</v>
      </c>
      <c r="R282">
        <f t="shared" si="31"/>
        <v>327.2</v>
      </c>
      <c r="S282">
        <f t="shared" si="32"/>
        <v>0</v>
      </c>
      <c r="X282">
        <f t="shared" si="28"/>
        <v>0</v>
      </c>
      <c r="Y282">
        <f t="shared" si="29"/>
        <v>0</v>
      </c>
      <c r="Z282">
        <f t="shared" si="30"/>
        <v>0</v>
      </c>
    </row>
    <row r="283" spans="1:26" x14ac:dyDescent="0.25">
      <c r="A283" s="2">
        <v>44865</v>
      </c>
      <c r="B283" s="3">
        <v>304</v>
      </c>
      <c r="C283" s="3">
        <v>1500</v>
      </c>
      <c r="D283">
        <v>327.1515</v>
      </c>
      <c r="E283">
        <v>4.1000000000000002E-2</v>
      </c>
      <c r="F283">
        <v>321.81560000000002</v>
      </c>
      <c r="G283">
        <v>328.15960000000001</v>
      </c>
      <c r="H283">
        <v>331.47930000000002</v>
      </c>
      <c r="I283">
        <v>4.3999999999999997E-2</v>
      </c>
      <c r="J283">
        <v>4.4999999999999998E-2</v>
      </c>
      <c r="K283">
        <v>3.2000000000000001E-2</v>
      </c>
      <c r="L283">
        <v>2041.2</v>
      </c>
      <c r="M283">
        <v>2047.2</v>
      </c>
      <c r="N283">
        <v>2065</v>
      </c>
      <c r="Q283">
        <f t="shared" si="33"/>
        <v>327.2</v>
      </c>
      <c r="R283">
        <f t="shared" si="31"/>
        <v>327.2</v>
      </c>
      <c r="S283">
        <f t="shared" si="32"/>
        <v>0</v>
      </c>
      <c r="X283">
        <f t="shared" si="28"/>
        <v>0</v>
      </c>
      <c r="Y283">
        <f t="shared" si="29"/>
        <v>0</v>
      </c>
      <c r="Z283">
        <f t="shared" si="30"/>
        <v>0</v>
      </c>
    </row>
    <row r="284" spans="1:26" x14ac:dyDescent="0.25">
      <c r="A284" s="2">
        <v>44865</v>
      </c>
      <c r="B284" s="3">
        <v>304</v>
      </c>
      <c r="C284" s="3">
        <v>1600</v>
      </c>
      <c r="D284">
        <v>327.14510000000001</v>
      </c>
      <c r="E284">
        <v>4.1000000000000002E-2</v>
      </c>
      <c r="F284">
        <v>321.81079999999997</v>
      </c>
      <c r="G284">
        <v>328.15159999999997</v>
      </c>
      <c r="H284">
        <v>331.47280000000001</v>
      </c>
      <c r="I284">
        <v>4.4999999999999998E-2</v>
      </c>
      <c r="J284">
        <v>4.2000000000000003E-2</v>
      </c>
      <c r="K284">
        <v>3.4000000000000002E-2</v>
      </c>
      <c r="L284">
        <v>2041.2</v>
      </c>
      <c r="M284">
        <v>2047.4</v>
      </c>
      <c r="N284">
        <v>2065</v>
      </c>
      <c r="Q284">
        <f t="shared" si="33"/>
        <v>327.10000000000002</v>
      </c>
      <c r="R284">
        <f t="shared" si="31"/>
        <v>327.2</v>
      </c>
      <c r="S284">
        <f t="shared" si="32"/>
        <v>0</v>
      </c>
      <c r="X284">
        <f t="shared" ref="X284:X347" si="34">U284</f>
        <v>0</v>
      </c>
      <c r="Y284">
        <f t="shared" ref="Y284:Y347" si="35">V284</f>
        <v>0</v>
      </c>
      <c r="Z284">
        <f t="shared" si="30"/>
        <v>0</v>
      </c>
    </row>
    <row r="285" spans="1:26" x14ac:dyDescent="0.25">
      <c r="A285" s="2">
        <v>44865</v>
      </c>
      <c r="B285" s="3">
        <v>304</v>
      </c>
      <c r="C285" s="3">
        <v>1700</v>
      </c>
      <c r="D285">
        <v>327.16640000000001</v>
      </c>
      <c r="E285">
        <v>4.1000000000000002E-2</v>
      </c>
      <c r="F285">
        <v>321.83780000000002</v>
      </c>
      <c r="G285">
        <v>328.16759999999999</v>
      </c>
      <c r="H285">
        <v>331.49369999999999</v>
      </c>
      <c r="I285">
        <v>0.03</v>
      </c>
      <c r="J285">
        <v>4.5999999999999999E-2</v>
      </c>
      <c r="K285">
        <v>4.4999999999999998E-2</v>
      </c>
      <c r="L285">
        <v>2041.2</v>
      </c>
      <c r="M285">
        <v>2047.4</v>
      </c>
      <c r="N285">
        <v>2065</v>
      </c>
      <c r="Q285">
        <f t="shared" si="33"/>
        <v>327.2</v>
      </c>
      <c r="R285">
        <f t="shared" si="31"/>
        <v>327.2</v>
      </c>
      <c r="S285">
        <f t="shared" si="32"/>
        <v>0</v>
      </c>
      <c r="X285">
        <f t="shared" si="34"/>
        <v>0</v>
      </c>
      <c r="Y285">
        <f t="shared" si="35"/>
        <v>0</v>
      </c>
      <c r="Z285">
        <f t="shared" ref="Z285:Z348" si="36">Z284+Y285</f>
        <v>0</v>
      </c>
    </row>
    <row r="286" spans="1:26" x14ac:dyDescent="0.25">
      <c r="A286" s="2">
        <v>44865</v>
      </c>
      <c r="B286" s="3">
        <v>304</v>
      </c>
      <c r="C286" s="3">
        <v>1800</v>
      </c>
      <c r="D286">
        <v>327.22129999999999</v>
      </c>
      <c r="E286">
        <v>3.1E-2</v>
      </c>
      <c r="F286">
        <v>321.8537</v>
      </c>
      <c r="G286">
        <v>328.25409999999999</v>
      </c>
      <c r="H286">
        <v>331.55630000000002</v>
      </c>
      <c r="I286">
        <v>2.5999999999999999E-2</v>
      </c>
      <c r="J286">
        <v>4.4999999999999998E-2</v>
      </c>
      <c r="K286">
        <v>1.2E-2</v>
      </c>
      <c r="L286">
        <v>2041.2</v>
      </c>
      <c r="M286">
        <v>2047.4</v>
      </c>
      <c r="N286">
        <v>2065.1999999999998</v>
      </c>
      <c r="Q286">
        <f t="shared" si="33"/>
        <v>327.2</v>
      </c>
      <c r="R286">
        <f t="shared" si="31"/>
        <v>327.2</v>
      </c>
      <c r="S286">
        <f t="shared" si="32"/>
        <v>0</v>
      </c>
      <c r="X286">
        <f t="shared" si="34"/>
        <v>0</v>
      </c>
      <c r="Y286">
        <f t="shared" si="35"/>
        <v>0</v>
      </c>
      <c r="Z286">
        <f t="shared" si="36"/>
        <v>0</v>
      </c>
    </row>
    <row r="287" spans="1:26" x14ac:dyDescent="0.25">
      <c r="A287" s="2">
        <v>44865</v>
      </c>
      <c r="B287" s="3">
        <v>304</v>
      </c>
      <c r="C287" s="3">
        <v>1900</v>
      </c>
      <c r="D287">
        <v>327.24209999999999</v>
      </c>
      <c r="E287">
        <v>4.2999999999999997E-2</v>
      </c>
      <c r="F287">
        <v>321.8775</v>
      </c>
      <c r="G287">
        <v>328.2636</v>
      </c>
      <c r="H287">
        <v>331.58519999999999</v>
      </c>
      <c r="I287">
        <v>4.2000000000000003E-2</v>
      </c>
      <c r="J287">
        <v>4.4999999999999998E-2</v>
      </c>
      <c r="K287">
        <v>4.2000000000000003E-2</v>
      </c>
      <c r="L287">
        <v>2041.2</v>
      </c>
      <c r="M287">
        <v>2047.4</v>
      </c>
      <c r="N287">
        <v>2065.1999999999998</v>
      </c>
      <c r="Q287">
        <f t="shared" si="33"/>
        <v>327.2</v>
      </c>
      <c r="R287">
        <f t="shared" si="31"/>
        <v>327.2</v>
      </c>
      <c r="S287">
        <f t="shared" si="32"/>
        <v>0</v>
      </c>
      <c r="X287">
        <f t="shared" si="34"/>
        <v>0</v>
      </c>
      <c r="Y287">
        <f t="shared" si="35"/>
        <v>0</v>
      </c>
      <c r="Z287">
        <f t="shared" si="36"/>
        <v>0</v>
      </c>
    </row>
    <row r="288" spans="1:26" x14ac:dyDescent="0.25">
      <c r="A288" s="2">
        <v>44865</v>
      </c>
      <c r="B288" s="3">
        <v>304</v>
      </c>
      <c r="C288" s="3">
        <v>2000</v>
      </c>
      <c r="D288">
        <v>327.2448</v>
      </c>
      <c r="E288">
        <v>4.3999999999999997E-2</v>
      </c>
      <c r="F288">
        <v>321.87909999999999</v>
      </c>
      <c r="G288">
        <v>328.26519999999999</v>
      </c>
      <c r="H288">
        <v>331.59</v>
      </c>
      <c r="I288">
        <v>4.2999999999999997E-2</v>
      </c>
      <c r="J288">
        <v>4.4999999999999998E-2</v>
      </c>
      <c r="K288">
        <v>4.3999999999999997E-2</v>
      </c>
      <c r="L288">
        <v>2041.2</v>
      </c>
      <c r="M288">
        <v>2047.4</v>
      </c>
      <c r="N288">
        <v>2065.1999999999998</v>
      </c>
      <c r="Q288">
        <f t="shared" si="33"/>
        <v>327.2</v>
      </c>
      <c r="R288">
        <f t="shared" si="31"/>
        <v>327.2</v>
      </c>
      <c r="S288">
        <f t="shared" si="32"/>
        <v>0</v>
      </c>
      <c r="X288">
        <f t="shared" si="34"/>
        <v>0</v>
      </c>
      <c r="Y288">
        <f t="shared" si="35"/>
        <v>0</v>
      </c>
      <c r="Z288">
        <f t="shared" si="36"/>
        <v>0</v>
      </c>
    </row>
    <row r="289" spans="1:26" x14ac:dyDescent="0.25">
      <c r="A289" s="2">
        <v>44865</v>
      </c>
      <c r="B289" s="3">
        <v>304</v>
      </c>
      <c r="C289" s="3">
        <v>2100</v>
      </c>
      <c r="D289">
        <v>327.24959999999999</v>
      </c>
      <c r="E289">
        <v>4.4999999999999998E-2</v>
      </c>
      <c r="F289">
        <v>321.87909999999999</v>
      </c>
      <c r="G289">
        <v>328.26209999999998</v>
      </c>
      <c r="H289">
        <v>331.60770000000002</v>
      </c>
      <c r="I289">
        <v>4.2999999999999997E-2</v>
      </c>
      <c r="J289">
        <v>4.5999999999999999E-2</v>
      </c>
      <c r="K289">
        <v>4.5999999999999999E-2</v>
      </c>
      <c r="L289">
        <v>2041.2</v>
      </c>
      <c r="M289">
        <v>2047.4</v>
      </c>
      <c r="N289">
        <v>2065.4</v>
      </c>
      <c r="Q289">
        <f t="shared" si="33"/>
        <v>327.2</v>
      </c>
      <c r="R289">
        <f t="shared" si="31"/>
        <v>327.2</v>
      </c>
      <c r="S289">
        <f t="shared" si="32"/>
        <v>0</v>
      </c>
      <c r="X289">
        <f t="shared" si="34"/>
        <v>0</v>
      </c>
      <c r="Y289">
        <f t="shared" si="35"/>
        <v>0</v>
      </c>
      <c r="Z289">
        <f t="shared" si="36"/>
        <v>0</v>
      </c>
    </row>
    <row r="290" spans="1:26" x14ac:dyDescent="0.25">
      <c r="A290" s="2">
        <v>44865</v>
      </c>
      <c r="B290" s="3">
        <v>304</v>
      </c>
      <c r="C290" s="3">
        <v>2200</v>
      </c>
      <c r="D290">
        <v>327.29610000000002</v>
      </c>
      <c r="E290">
        <v>0.04</v>
      </c>
      <c r="F290">
        <v>321.89179999999999</v>
      </c>
      <c r="G290">
        <v>328.30520000000001</v>
      </c>
      <c r="H290">
        <v>331.69119999999998</v>
      </c>
      <c r="I290">
        <v>4.4999999999999998E-2</v>
      </c>
      <c r="J290">
        <v>2.4E-2</v>
      </c>
      <c r="K290">
        <v>4.5999999999999999E-2</v>
      </c>
      <c r="L290">
        <v>2041.2</v>
      </c>
      <c r="M290">
        <v>2047.6</v>
      </c>
      <c r="N290">
        <v>2065.6</v>
      </c>
      <c r="Q290">
        <f t="shared" si="33"/>
        <v>327.3</v>
      </c>
      <c r="R290">
        <f t="shared" ref="R290:R353" si="37">ROUND(IF(Q290&lt;R289,R289,Q290),1)</f>
        <v>327.3</v>
      </c>
      <c r="S290">
        <f t="shared" si="32"/>
        <v>0.10000000000002274</v>
      </c>
      <c r="X290">
        <f t="shared" si="34"/>
        <v>0</v>
      </c>
      <c r="Y290">
        <f t="shared" si="35"/>
        <v>0</v>
      </c>
      <c r="Z290">
        <f t="shared" si="36"/>
        <v>0</v>
      </c>
    </row>
    <row r="291" spans="1:26" x14ac:dyDescent="0.25">
      <c r="A291" s="2">
        <v>44865</v>
      </c>
      <c r="B291" s="3">
        <v>304</v>
      </c>
      <c r="C291" s="3">
        <v>2300</v>
      </c>
      <c r="D291">
        <v>327.37529999999998</v>
      </c>
      <c r="E291">
        <v>3.2000000000000001E-2</v>
      </c>
      <c r="F291">
        <v>322.00459999999998</v>
      </c>
      <c r="G291">
        <v>328.38690000000003</v>
      </c>
      <c r="H291">
        <v>331.7346</v>
      </c>
      <c r="I291">
        <v>4.1000000000000002E-2</v>
      </c>
      <c r="J291">
        <v>2.8000000000000001E-2</v>
      </c>
      <c r="K291">
        <v>2.3E-2</v>
      </c>
      <c r="L291">
        <v>2041.6</v>
      </c>
      <c r="M291">
        <v>2047.8</v>
      </c>
      <c r="N291">
        <v>2065.6</v>
      </c>
      <c r="Q291">
        <f t="shared" si="33"/>
        <v>327.39999999999998</v>
      </c>
      <c r="R291">
        <f t="shared" si="37"/>
        <v>327.39999999999998</v>
      </c>
      <c r="S291">
        <f t="shared" si="32"/>
        <v>9.9999999999965894E-2</v>
      </c>
      <c r="X291">
        <f t="shared" si="34"/>
        <v>0</v>
      </c>
      <c r="Y291">
        <f t="shared" si="35"/>
        <v>0</v>
      </c>
      <c r="Z291">
        <f t="shared" si="36"/>
        <v>0</v>
      </c>
    </row>
    <row r="292" spans="1:26" x14ac:dyDescent="0.25">
      <c r="A292" s="2">
        <v>44865</v>
      </c>
      <c r="B292" s="3">
        <v>304</v>
      </c>
      <c r="C292" s="3">
        <v>2400</v>
      </c>
      <c r="D292">
        <v>327.38130000000001</v>
      </c>
      <c r="E292">
        <v>3.7999999999999999E-2</v>
      </c>
      <c r="F292">
        <v>321.98869999999999</v>
      </c>
      <c r="G292">
        <v>328.3965</v>
      </c>
      <c r="H292">
        <v>331.75869999999998</v>
      </c>
      <c r="I292">
        <v>4.4999999999999998E-2</v>
      </c>
      <c r="J292">
        <v>0.03</v>
      </c>
      <c r="K292">
        <v>3.5999999999999997E-2</v>
      </c>
      <c r="L292">
        <v>2041.6</v>
      </c>
      <c r="M292">
        <v>2047.8</v>
      </c>
      <c r="N292">
        <v>2065.6</v>
      </c>
      <c r="Q292">
        <f t="shared" si="33"/>
        <v>327.39999999999998</v>
      </c>
      <c r="R292">
        <f t="shared" si="37"/>
        <v>327.39999999999998</v>
      </c>
      <c r="S292">
        <f t="shared" si="32"/>
        <v>0</v>
      </c>
      <c r="X292">
        <f t="shared" si="34"/>
        <v>0</v>
      </c>
      <c r="Y292">
        <f t="shared" si="35"/>
        <v>0</v>
      </c>
      <c r="Z292">
        <f t="shared" si="36"/>
        <v>0</v>
      </c>
    </row>
    <row r="293" spans="1:26" x14ac:dyDescent="0.25">
      <c r="A293" s="2">
        <v>44866</v>
      </c>
      <c r="B293" s="3">
        <v>305</v>
      </c>
      <c r="C293" s="3">
        <v>100</v>
      </c>
      <c r="D293">
        <v>327.38819999999998</v>
      </c>
      <c r="E293">
        <v>3.9E-2</v>
      </c>
      <c r="F293">
        <v>321.99669999999998</v>
      </c>
      <c r="G293">
        <v>328.3981</v>
      </c>
      <c r="H293">
        <v>331.76990000000001</v>
      </c>
      <c r="I293">
        <v>4.3999999999999997E-2</v>
      </c>
      <c r="J293">
        <v>2.7E-2</v>
      </c>
      <c r="K293">
        <v>4.2999999999999997E-2</v>
      </c>
      <c r="L293">
        <v>2041.6</v>
      </c>
      <c r="M293">
        <v>2047.8</v>
      </c>
      <c r="N293">
        <v>2065.6</v>
      </c>
      <c r="Q293">
        <f t="shared" si="33"/>
        <v>327.39999999999998</v>
      </c>
      <c r="R293">
        <f t="shared" si="37"/>
        <v>327.39999999999998</v>
      </c>
      <c r="S293">
        <f t="shared" ref="S293:S356" si="38">IF(R293&gt;R292,R293-R292,0)</f>
        <v>0</v>
      </c>
      <c r="X293">
        <f t="shared" si="34"/>
        <v>0</v>
      </c>
      <c r="Y293">
        <f t="shared" si="35"/>
        <v>0</v>
      </c>
      <c r="Z293">
        <f t="shared" si="36"/>
        <v>0</v>
      </c>
    </row>
    <row r="294" spans="1:26" x14ac:dyDescent="0.25">
      <c r="A294" s="2">
        <v>44866</v>
      </c>
      <c r="B294" s="3">
        <v>305</v>
      </c>
      <c r="C294" s="3">
        <v>200</v>
      </c>
      <c r="D294">
        <v>327.36169999999998</v>
      </c>
      <c r="E294">
        <v>0.04</v>
      </c>
      <c r="F294">
        <v>321.93310000000002</v>
      </c>
      <c r="G294">
        <v>328.36770000000001</v>
      </c>
      <c r="H294">
        <v>331.78440000000001</v>
      </c>
      <c r="I294">
        <v>2.9000000000000001E-2</v>
      </c>
      <c r="J294">
        <v>4.2000000000000003E-2</v>
      </c>
      <c r="K294">
        <v>4.5999999999999999E-2</v>
      </c>
      <c r="L294">
        <v>2041.4</v>
      </c>
      <c r="M294">
        <v>2047.6</v>
      </c>
      <c r="N294">
        <v>2065.8000000000002</v>
      </c>
      <c r="Q294">
        <f t="shared" si="33"/>
        <v>327.39999999999998</v>
      </c>
      <c r="R294">
        <f t="shared" si="37"/>
        <v>327.39999999999998</v>
      </c>
      <c r="S294">
        <f t="shared" si="38"/>
        <v>0</v>
      </c>
      <c r="X294">
        <f t="shared" si="34"/>
        <v>0</v>
      </c>
      <c r="Y294">
        <f t="shared" si="35"/>
        <v>0</v>
      </c>
      <c r="Z294">
        <f t="shared" si="36"/>
        <v>0</v>
      </c>
    </row>
    <row r="295" spans="1:26" x14ac:dyDescent="0.25">
      <c r="A295" s="2">
        <v>44866</v>
      </c>
      <c r="B295" s="3">
        <v>305</v>
      </c>
      <c r="C295" s="3">
        <v>300</v>
      </c>
      <c r="D295">
        <v>327.40789999999998</v>
      </c>
      <c r="E295">
        <v>3.7999999999999999E-2</v>
      </c>
      <c r="F295">
        <v>322.01569999999998</v>
      </c>
      <c r="G295">
        <v>328.41250000000002</v>
      </c>
      <c r="H295">
        <v>331.79559999999998</v>
      </c>
      <c r="I295">
        <v>3.3000000000000002E-2</v>
      </c>
      <c r="J295">
        <v>3.5000000000000003E-2</v>
      </c>
      <c r="K295">
        <v>4.4999999999999998E-2</v>
      </c>
      <c r="L295">
        <v>2041.6</v>
      </c>
      <c r="M295">
        <v>2047.8</v>
      </c>
      <c r="N295">
        <v>2065.8000000000002</v>
      </c>
      <c r="Q295">
        <f t="shared" si="33"/>
        <v>327.39999999999998</v>
      </c>
      <c r="R295">
        <f t="shared" si="37"/>
        <v>327.39999999999998</v>
      </c>
      <c r="S295">
        <f t="shared" si="38"/>
        <v>0</v>
      </c>
      <c r="X295">
        <f t="shared" si="34"/>
        <v>0</v>
      </c>
      <c r="Y295">
        <f t="shared" si="35"/>
        <v>0</v>
      </c>
      <c r="Z295">
        <f t="shared" si="36"/>
        <v>0</v>
      </c>
    </row>
    <row r="296" spans="1:26" x14ac:dyDescent="0.25">
      <c r="A296" s="2">
        <v>44866</v>
      </c>
      <c r="B296" s="3">
        <v>305</v>
      </c>
      <c r="C296" s="3">
        <v>400</v>
      </c>
      <c r="D296">
        <v>327.41699999999997</v>
      </c>
      <c r="E296">
        <v>3.6999999999999998E-2</v>
      </c>
      <c r="F296">
        <v>322.02370000000002</v>
      </c>
      <c r="G296">
        <v>328.4237</v>
      </c>
      <c r="H296">
        <v>331.80360000000002</v>
      </c>
      <c r="I296">
        <v>2.3E-2</v>
      </c>
      <c r="J296">
        <v>4.2000000000000003E-2</v>
      </c>
      <c r="K296">
        <v>4.2999999999999997E-2</v>
      </c>
      <c r="L296">
        <v>2041.6</v>
      </c>
      <c r="M296">
        <v>2047.8</v>
      </c>
      <c r="N296">
        <v>2065.6</v>
      </c>
      <c r="Q296">
        <f t="shared" si="33"/>
        <v>327.39999999999998</v>
      </c>
      <c r="R296">
        <f t="shared" si="37"/>
        <v>327.39999999999998</v>
      </c>
      <c r="S296">
        <f t="shared" si="38"/>
        <v>0</v>
      </c>
      <c r="X296">
        <f t="shared" si="34"/>
        <v>0</v>
      </c>
      <c r="Y296">
        <f t="shared" si="35"/>
        <v>0</v>
      </c>
      <c r="Z296">
        <f t="shared" si="36"/>
        <v>0</v>
      </c>
    </row>
    <row r="297" spans="1:26" x14ac:dyDescent="0.25">
      <c r="A297" s="2">
        <v>44866</v>
      </c>
      <c r="B297" s="3">
        <v>305</v>
      </c>
      <c r="C297" s="3">
        <v>500</v>
      </c>
      <c r="D297">
        <v>327.3931</v>
      </c>
      <c r="E297">
        <v>3.9E-2</v>
      </c>
      <c r="F297">
        <v>321.98390000000001</v>
      </c>
      <c r="G297">
        <v>328.38049999999998</v>
      </c>
      <c r="H297">
        <v>331.81479999999999</v>
      </c>
      <c r="I297">
        <v>4.4999999999999998E-2</v>
      </c>
      <c r="J297">
        <v>3.5000000000000003E-2</v>
      </c>
      <c r="K297">
        <v>3.5999999999999997E-2</v>
      </c>
      <c r="L297">
        <v>2041.4</v>
      </c>
      <c r="M297">
        <v>2047.8</v>
      </c>
      <c r="N297">
        <v>2065.8000000000002</v>
      </c>
      <c r="Q297">
        <f t="shared" si="33"/>
        <v>327.39999999999998</v>
      </c>
      <c r="R297">
        <f t="shared" si="37"/>
        <v>327.39999999999998</v>
      </c>
      <c r="S297">
        <f t="shared" si="38"/>
        <v>0</v>
      </c>
      <c r="X297">
        <f t="shared" si="34"/>
        <v>0</v>
      </c>
      <c r="Y297">
        <f t="shared" si="35"/>
        <v>0</v>
      </c>
      <c r="Z297">
        <f t="shared" si="36"/>
        <v>0</v>
      </c>
    </row>
    <row r="298" spans="1:26" x14ac:dyDescent="0.25">
      <c r="A298" s="2">
        <v>44866</v>
      </c>
      <c r="B298" s="3">
        <v>305</v>
      </c>
      <c r="C298" s="3">
        <v>600</v>
      </c>
      <c r="D298">
        <v>327.3931</v>
      </c>
      <c r="E298">
        <v>0.04</v>
      </c>
      <c r="F298">
        <v>321.99349999999998</v>
      </c>
      <c r="G298">
        <v>328.35489999999999</v>
      </c>
      <c r="H298">
        <v>331.83089999999999</v>
      </c>
      <c r="I298">
        <v>4.3999999999999997E-2</v>
      </c>
      <c r="J298">
        <v>4.4999999999999998E-2</v>
      </c>
      <c r="K298">
        <v>2.7E-2</v>
      </c>
      <c r="L298">
        <v>2041.6</v>
      </c>
      <c r="M298">
        <v>2047.8</v>
      </c>
      <c r="N298">
        <v>2065.8000000000002</v>
      </c>
      <c r="Q298">
        <f t="shared" si="33"/>
        <v>327.39999999999998</v>
      </c>
      <c r="R298">
        <f t="shared" si="37"/>
        <v>327.39999999999998</v>
      </c>
      <c r="S298">
        <f t="shared" si="38"/>
        <v>0</v>
      </c>
      <c r="X298">
        <f t="shared" si="34"/>
        <v>0</v>
      </c>
      <c r="Y298">
        <f t="shared" si="35"/>
        <v>0</v>
      </c>
      <c r="Z298">
        <f t="shared" si="36"/>
        <v>0</v>
      </c>
    </row>
    <row r="299" spans="1:26" x14ac:dyDescent="0.25">
      <c r="A299" s="2">
        <v>44866</v>
      </c>
      <c r="B299" s="3">
        <v>305</v>
      </c>
      <c r="C299" s="3">
        <v>700</v>
      </c>
      <c r="D299">
        <v>327.4325</v>
      </c>
      <c r="E299">
        <v>3.5000000000000003E-2</v>
      </c>
      <c r="F299">
        <v>322.02999999999997</v>
      </c>
      <c r="G299">
        <v>328.41410000000002</v>
      </c>
      <c r="H299">
        <v>331.85340000000002</v>
      </c>
      <c r="I299">
        <v>2.9000000000000001E-2</v>
      </c>
      <c r="J299">
        <v>3.5999999999999997E-2</v>
      </c>
      <c r="K299">
        <v>3.7999999999999999E-2</v>
      </c>
      <c r="L299">
        <v>2041.6</v>
      </c>
      <c r="M299">
        <v>2047.8</v>
      </c>
      <c r="N299">
        <v>2066</v>
      </c>
      <c r="Q299">
        <f t="shared" si="33"/>
        <v>327.39999999999998</v>
      </c>
      <c r="R299">
        <f t="shared" si="37"/>
        <v>327.39999999999998</v>
      </c>
      <c r="S299">
        <f t="shared" si="38"/>
        <v>0</v>
      </c>
      <c r="X299">
        <f t="shared" si="34"/>
        <v>0</v>
      </c>
      <c r="Y299">
        <f t="shared" si="35"/>
        <v>0</v>
      </c>
      <c r="Z299">
        <f t="shared" si="36"/>
        <v>0</v>
      </c>
    </row>
    <row r="300" spans="1:26" x14ac:dyDescent="0.25">
      <c r="A300" s="2">
        <v>44866</v>
      </c>
      <c r="B300" s="3">
        <v>305</v>
      </c>
      <c r="C300" s="3">
        <v>800</v>
      </c>
      <c r="D300">
        <v>327.45</v>
      </c>
      <c r="E300">
        <v>4.1000000000000002E-2</v>
      </c>
      <c r="F300">
        <v>322.05860000000001</v>
      </c>
      <c r="G300">
        <v>328.44290000000001</v>
      </c>
      <c r="H300">
        <v>331.84859999999998</v>
      </c>
      <c r="I300">
        <v>4.2000000000000003E-2</v>
      </c>
      <c r="J300">
        <v>4.5999999999999999E-2</v>
      </c>
      <c r="K300">
        <v>3.5000000000000003E-2</v>
      </c>
      <c r="L300">
        <v>2041.8</v>
      </c>
      <c r="M300">
        <v>2048</v>
      </c>
      <c r="N300">
        <v>2065.8000000000002</v>
      </c>
      <c r="Q300">
        <f t="shared" si="33"/>
        <v>327.5</v>
      </c>
      <c r="R300">
        <f t="shared" si="37"/>
        <v>327.5</v>
      </c>
      <c r="S300">
        <f t="shared" si="38"/>
        <v>0.10000000000002274</v>
      </c>
      <c r="X300">
        <f t="shared" si="34"/>
        <v>0</v>
      </c>
      <c r="Y300">
        <f t="shared" si="35"/>
        <v>0</v>
      </c>
      <c r="Z300">
        <f t="shared" si="36"/>
        <v>0</v>
      </c>
    </row>
    <row r="301" spans="1:26" x14ac:dyDescent="0.25">
      <c r="A301" s="2">
        <v>44866</v>
      </c>
      <c r="B301" s="3">
        <v>305</v>
      </c>
      <c r="C301" s="3">
        <v>900</v>
      </c>
      <c r="D301">
        <v>327.4298</v>
      </c>
      <c r="E301">
        <v>3.5000000000000003E-2</v>
      </c>
      <c r="F301">
        <v>322.04430000000002</v>
      </c>
      <c r="G301">
        <v>328.4237</v>
      </c>
      <c r="H301">
        <v>331.82130000000001</v>
      </c>
      <c r="I301">
        <v>3.3000000000000002E-2</v>
      </c>
      <c r="J301">
        <v>4.2000000000000003E-2</v>
      </c>
      <c r="K301">
        <v>0.03</v>
      </c>
      <c r="L301">
        <v>2041.8</v>
      </c>
      <c r="M301">
        <v>2048</v>
      </c>
      <c r="N301">
        <v>2065.8000000000002</v>
      </c>
      <c r="Q301">
        <f t="shared" si="33"/>
        <v>327.39999999999998</v>
      </c>
      <c r="R301">
        <f t="shared" si="37"/>
        <v>327.5</v>
      </c>
      <c r="S301">
        <f t="shared" si="38"/>
        <v>0</v>
      </c>
      <c r="X301">
        <f t="shared" si="34"/>
        <v>0</v>
      </c>
      <c r="Y301">
        <f t="shared" si="35"/>
        <v>0</v>
      </c>
      <c r="Z301">
        <f t="shared" si="36"/>
        <v>0</v>
      </c>
    </row>
    <row r="302" spans="1:26" x14ac:dyDescent="0.25">
      <c r="A302" s="2">
        <v>44866</v>
      </c>
      <c r="B302" s="3">
        <v>305</v>
      </c>
      <c r="C302" s="3">
        <v>1000</v>
      </c>
      <c r="D302">
        <v>327.39879999999999</v>
      </c>
      <c r="E302">
        <v>3.5999999999999997E-2</v>
      </c>
      <c r="F302">
        <v>322.02370000000002</v>
      </c>
      <c r="G302">
        <v>328.39490000000001</v>
      </c>
      <c r="H302">
        <v>331.77789999999999</v>
      </c>
      <c r="I302">
        <v>3.3000000000000002E-2</v>
      </c>
      <c r="J302">
        <v>2.7E-2</v>
      </c>
      <c r="K302">
        <v>4.4999999999999998E-2</v>
      </c>
      <c r="L302">
        <v>2041.6</v>
      </c>
      <c r="M302">
        <v>2047.8</v>
      </c>
      <c r="N302">
        <v>2065.6</v>
      </c>
      <c r="Q302">
        <f t="shared" si="33"/>
        <v>327.39999999999998</v>
      </c>
      <c r="R302">
        <f t="shared" si="37"/>
        <v>327.5</v>
      </c>
      <c r="S302">
        <f t="shared" si="38"/>
        <v>0</v>
      </c>
      <c r="X302">
        <f t="shared" si="34"/>
        <v>0</v>
      </c>
      <c r="Y302">
        <f t="shared" si="35"/>
        <v>0</v>
      </c>
      <c r="Z302">
        <f t="shared" si="36"/>
        <v>0</v>
      </c>
    </row>
    <row r="303" spans="1:26" x14ac:dyDescent="0.25">
      <c r="A303" s="2">
        <v>44866</v>
      </c>
      <c r="B303" s="3">
        <v>305</v>
      </c>
      <c r="C303" s="3">
        <v>1100</v>
      </c>
      <c r="D303">
        <v>327.35840000000002</v>
      </c>
      <c r="E303">
        <v>3.6999999999999998E-2</v>
      </c>
      <c r="F303">
        <v>321.97280000000001</v>
      </c>
      <c r="G303">
        <v>328.36130000000003</v>
      </c>
      <c r="H303">
        <v>331.74099999999999</v>
      </c>
      <c r="I303">
        <v>4.3999999999999997E-2</v>
      </c>
      <c r="J303">
        <v>4.3999999999999997E-2</v>
      </c>
      <c r="K303">
        <v>1.7000000000000001E-2</v>
      </c>
      <c r="L303">
        <v>2041.4</v>
      </c>
      <c r="M303">
        <v>2047.6</v>
      </c>
      <c r="N303">
        <v>2065.6</v>
      </c>
      <c r="Q303">
        <f t="shared" si="33"/>
        <v>327.39999999999998</v>
      </c>
      <c r="R303">
        <f t="shared" si="37"/>
        <v>327.5</v>
      </c>
      <c r="S303">
        <f t="shared" si="38"/>
        <v>0</v>
      </c>
      <c r="X303">
        <f t="shared" si="34"/>
        <v>0</v>
      </c>
      <c r="Y303">
        <f t="shared" si="35"/>
        <v>0</v>
      </c>
      <c r="Z303">
        <f t="shared" si="36"/>
        <v>0</v>
      </c>
    </row>
    <row r="304" spans="1:26" x14ac:dyDescent="0.25">
      <c r="A304" s="2">
        <v>44866</v>
      </c>
      <c r="B304" s="3">
        <v>305</v>
      </c>
      <c r="C304" s="3">
        <v>1200</v>
      </c>
      <c r="D304">
        <v>327.33159999999998</v>
      </c>
      <c r="E304">
        <v>4.2999999999999997E-2</v>
      </c>
      <c r="F304">
        <v>321.9776</v>
      </c>
      <c r="G304">
        <v>328.32279999999997</v>
      </c>
      <c r="H304">
        <v>331.69439999999997</v>
      </c>
      <c r="I304">
        <v>4.4999999999999998E-2</v>
      </c>
      <c r="J304">
        <v>3.5999999999999997E-2</v>
      </c>
      <c r="K304">
        <v>4.5999999999999999E-2</v>
      </c>
      <c r="L304">
        <v>2041.6</v>
      </c>
      <c r="M304">
        <v>2047.6</v>
      </c>
      <c r="N304">
        <v>2065.4</v>
      </c>
      <c r="Q304">
        <f t="shared" si="33"/>
        <v>327.3</v>
      </c>
      <c r="R304">
        <f t="shared" si="37"/>
        <v>327.5</v>
      </c>
      <c r="S304">
        <f t="shared" si="38"/>
        <v>0</v>
      </c>
      <c r="X304">
        <f t="shared" si="34"/>
        <v>0</v>
      </c>
      <c r="Y304">
        <f t="shared" si="35"/>
        <v>0</v>
      </c>
      <c r="Z304">
        <f t="shared" si="36"/>
        <v>0</v>
      </c>
    </row>
    <row r="305" spans="1:26" x14ac:dyDescent="0.25">
      <c r="A305" s="2">
        <v>44866</v>
      </c>
      <c r="B305" s="3">
        <v>305</v>
      </c>
      <c r="C305" s="3">
        <v>1300</v>
      </c>
      <c r="D305">
        <v>327.29860000000002</v>
      </c>
      <c r="E305">
        <v>3.6999999999999998E-2</v>
      </c>
      <c r="F305">
        <v>321.9538</v>
      </c>
      <c r="G305">
        <v>328.27640000000002</v>
      </c>
      <c r="H305">
        <v>331.66550000000001</v>
      </c>
      <c r="I305">
        <v>3.3000000000000002E-2</v>
      </c>
      <c r="J305">
        <v>4.2000000000000003E-2</v>
      </c>
      <c r="K305">
        <v>3.5000000000000003E-2</v>
      </c>
      <c r="L305">
        <v>2041.4</v>
      </c>
      <c r="M305">
        <v>2047.6</v>
      </c>
      <c r="N305">
        <v>2065.4</v>
      </c>
      <c r="Q305">
        <f t="shared" si="33"/>
        <v>327.3</v>
      </c>
      <c r="R305">
        <f t="shared" si="37"/>
        <v>327.5</v>
      </c>
      <c r="S305">
        <f t="shared" si="38"/>
        <v>0</v>
      </c>
      <c r="X305">
        <f t="shared" si="34"/>
        <v>0</v>
      </c>
      <c r="Y305">
        <f t="shared" si="35"/>
        <v>0</v>
      </c>
      <c r="Z305">
        <f t="shared" si="36"/>
        <v>0</v>
      </c>
    </row>
    <row r="306" spans="1:26" x14ac:dyDescent="0.25">
      <c r="A306" s="2">
        <v>44866</v>
      </c>
      <c r="B306" s="3">
        <v>305</v>
      </c>
      <c r="C306" s="3">
        <v>1400</v>
      </c>
      <c r="D306">
        <v>327.2681</v>
      </c>
      <c r="E306">
        <v>3.5000000000000003E-2</v>
      </c>
      <c r="F306">
        <v>321.9633</v>
      </c>
      <c r="G306">
        <v>328.21559999999999</v>
      </c>
      <c r="H306">
        <v>331.62529999999998</v>
      </c>
      <c r="I306">
        <v>0.04</v>
      </c>
      <c r="J306">
        <v>2.1000000000000001E-2</v>
      </c>
      <c r="K306">
        <v>0.04</v>
      </c>
      <c r="L306">
        <v>2041.4</v>
      </c>
      <c r="M306">
        <v>2047.4</v>
      </c>
      <c r="N306">
        <v>2065.4</v>
      </c>
      <c r="Q306">
        <f t="shared" si="33"/>
        <v>327.3</v>
      </c>
      <c r="R306">
        <f t="shared" si="37"/>
        <v>327.5</v>
      </c>
      <c r="S306">
        <f t="shared" si="38"/>
        <v>0</v>
      </c>
      <c r="X306">
        <f t="shared" si="34"/>
        <v>0</v>
      </c>
      <c r="Y306">
        <f t="shared" si="35"/>
        <v>0</v>
      </c>
      <c r="Z306">
        <f t="shared" si="36"/>
        <v>0</v>
      </c>
    </row>
    <row r="307" spans="1:26" x14ac:dyDescent="0.25">
      <c r="A307" s="2">
        <v>44866</v>
      </c>
      <c r="B307" s="3">
        <v>305</v>
      </c>
      <c r="C307" s="3">
        <v>1500</v>
      </c>
      <c r="D307">
        <v>327.24160000000001</v>
      </c>
      <c r="E307">
        <v>0.04</v>
      </c>
      <c r="F307">
        <v>321.89019999999999</v>
      </c>
      <c r="G307">
        <v>328.21409999999997</v>
      </c>
      <c r="H307">
        <v>331.62049999999999</v>
      </c>
      <c r="I307">
        <v>4.4999999999999998E-2</v>
      </c>
      <c r="J307">
        <v>0.03</v>
      </c>
      <c r="K307">
        <v>4.2999999999999997E-2</v>
      </c>
      <c r="L307">
        <v>2041.2</v>
      </c>
      <c r="M307">
        <v>2047.4</v>
      </c>
      <c r="N307">
        <v>2065.1999999999998</v>
      </c>
      <c r="Q307">
        <f t="shared" si="33"/>
        <v>327.2</v>
      </c>
      <c r="R307">
        <f t="shared" si="37"/>
        <v>327.5</v>
      </c>
      <c r="S307">
        <f t="shared" si="38"/>
        <v>0</v>
      </c>
      <c r="X307">
        <f t="shared" si="34"/>
        <v>0</v>
      </c>
      <c r="Y307">
        <f t="shared" si="35"/>
        <v>0</v>
      </c>
      <c r="Z307">
        <f t="shared" si="36"/>
        <v>0</v>
      </c>
    </row>
    <row r="308" spans="1:26" x14ac:dyDescent="0.25">
      <c r="A308" s="2">
        <v>44866</v>
      </c>
      <c r="B308" s="3">
        <v>305</v>
      </c>
      <c r="C308" s="3">
        <v>1600</v>
      </c>
      <c r="D308">
        <v>327.28050000000002</v>
      </c>
      <c r="E308">
        <v>4.1000000000000002E-2</v>
      </c>
      <c r="F308">
        <v>321.90609999999998</v>
      </c>
      <c r="G308">
        <v>328.27010000000001</v>
      </c>
      <c r="H308">
        <v>331.66550000000001</v>
      </c>
      <c r="I308">
        <v>4.3999999999999997E-2</v>
      </c>
      <c r="J308">
        <v>4.3999999999999997E-2</v>
      </c>
      <c r="K308">
        <v>3.5000000000000003E-2</v>
      </c>
      <c r="L308">
        <v>2041.4</v>
      </c>
      <c r="M308">
        <v>2047.6</v>
      </c>
      <c r="N308">
        <v>2065.6</v>
      </c>
      <c r="Q308">
        <f t="shared" si="33"/>
        <v>327.3</v>
      </c>
      <c r="R308">
        <f t="shared" si="37"/>
        <v>327.5</v>
      </c>
      <c r="S308">
        <f t="shared" si="38"/>
        <v>0</v>
      </c>
      <c r="X308">
        <f t="shared" si="34"/>
        <v>0</v>
      </c>
      <c r="Y308">
        <f t="shared" si="35"/>
        <v>0</v>
      </c>
      <c r="Z308">
        <f t="shared" si="36"/>
        <v>0</v>
      </c>
    </row>
    <row r="309" spans="1:26" x14ac:dyDescent="0.25">
      <c r="A309" s="2">
        <v>44866</v>
      </c>
      <c r="B309" s="3">
        <v>305</v>
      </c>
      <c r="C309" s="3">
        <v>1700</v>
      </c>
      <c r="D309">
        <v>327.33760000000001</v>
      </c>
      <c r="E309">
        <v>2.9000000000000001E-2</v>
      </c>
      <c r="F309">
        <v>321.94420000000002</v>
      </c>
      <c r="G309">
        <v>328.31639999999999</v>
      </c>
      <c r="H309">
        <v>331.75220000000002</v>
      </c>
      <c r="I309">
        <v>2.5999999999999999E-2</v>
      </c>
      <c r="J309">
        <v>0.03</v>
      </c>
      <c r="K309">
        <v>0.03</v>
      </c>
      <c r="L309">
        <v>2041.4</v>
      </c>
      <c r="M309">
        <v>2047.6</v>
      </c>
      <c r="N309">
        <v>2065.6</v>
      </c>
      <c r="Q309">
        <f t="shared" si="33"/>
        <v>327.3</v>
      </c>
      <c r="R309">
        <f t="shared" si="37"/>
        <v>327.5</v>
      </c>
      <c r="S309">
        <f t="shared" si="38"/>
        <v>0</v>
      </c>
      <c r="X309">
        <f t="shared" si="34"/>
        <v>0</v>
      </c>
      <c r="Y309">
        <f t="shared" si="35"/>
        <v>0</v>
      </c>
      <c r="Z309">
        <f t="shared" si="36"/>
        <v>0</v>
      </c>
    </row>
    <row r="310" spans="1:26" x14ac:dyDescent="0.25">
      <c r="A310" s="2">
        <v>44866</v>
      </c>
      <c r="B310" s="3">
        <v>305</v>
      </c>
      <c r="C310" s="3">
        <v>1800</v>
      </c>
      <c r="D310">
        <v>327.392</v>
      </c>
      <c r="E310">
        <v>4.1000000000000002E-2</v>
      </c>
      <c r="F310">
        <v>321.99349999999998</v>
      </c>
      <c r="G310">
        <v>328.37729999999999</v>
      </c>
      <c r="H310">
        <v>331.80520000000001</v>
      </c>
      <c r="I310">
        <v>4.3999999999999997E-2</v>
      </c>
      <c r="J310">
        <v>3.6999999999999998E-2</v>
      </c>
      <c r="K310">
        <v>4.2000000000000003E-2</v>
      </c>
      <c r="L310">
        <v>2041.6</v>
      </c>
      <c r="M310">
        <v>2047.8</v>
      </c>
      <c r="N310">
        <v>2065.8000000000002</v>
      </c>
      <c r="Q310">
        <f t="shared" si="33"/>
        <v>327.39999999999998</v>
      </c>
      <c r="R310">
        <f t="shared" si="37"/>
        <v>327.5</v>
      </c>
      <c r="S310">
        <f t="shared" si="38"/>
        <v>0</v>
      </c>
      <c r="X310">
        <f t="shared" si="34"/>
        <v>0</v>
      </c>
      <c r="Y310">
        <f t="shared" si="35"/>
        <v>0</v>
      </c>
      <c r="Z310">
        <f t="shared" si="36"/>
        <v>0</v>
      </c>
    </row>
    <row r="311" spans="1:26" x14ac:dyDescent="0.25">
      <c r="A311" s="2">
        <v>44866</v>
      </c>
      <c r="B311" s="3">
        <v>305</v>
      </c>
      <c r="C311" s="3">
        <v>1900</v>
      </c>
      <c r="D311">
        <v>327.43779999999998</v>
      </c>
      <c r="E311">
        <v>3.7999999999999999E-2</v>
      </c>
      <c r="F311">
        <v>322.05070000000001</v>
      </c>
      <c r="G311">
        <v>328.43650000000002</v>
      </c>
      <c r="H311">
        <v>331.8261</v>
      </c>
      <c r="I311">
        <v>3.7999999999999999E-2</v>
      </c>
      <c r="J311">
        <v>4.4999999999999998E-2</v>
      </c>
      <c r="K311">
        <v>2.9000000000000001E-2</v>
      </c>
      <c r="L311">
        <v>2041.8</v>
      </c>
      <c r="M311">
        <v>2047.8</v>
      </c>
      <c r="N311">
        <v>2065.8000000000002</v>
      </c>
      <c r="Q311">
        <f t="shared" si="33"/>
        <v>327.39999999999998</v>
      </c>
      <c r="R311">
        <f t="shared" si="37"/>
        <v>327.5</v>
      </c>
      <c r="S311">
        <f t="shared" si="38"/>
        <v>0</v>
      </c>
      <c r="X311">
        <f t="shared" si="34"/>
        <v>0</v>
      </c>
      <c r="Y311">
        <f t="shared" si="35"/>
        <v>0</v>
      </c>
      <c r="Z311">
        <f t="shared" si="36"/>
        <v>0</v>
      </c>
    </row>
    <row r="312" spans="1:26" x14ac:dyDescent="0.25">
      <c r="A312" s="2">
        <v>44866</v>
      </c>
      <c r="B312" s="3">
        <v>305</v>
      </c>
      <c r="C312" s="3">
        <v>2000</v>
      </c>
      <c r="D312">
        <v>327.43189999999998</v>
      </c>
      <c r="E312">
        <v>3.7999999999999999E-2</v>
      </c>
      <c r="F312">
        <v>322.0523</v>
      </c>
      <c r="G312">
        <v>328.4237</v>
      </c>
      <c r="H312">
        <v>331.81970000000001</v>
      </c>
      <c r="I312">
        <v>3.9E-2</v>
      </c>
      <c r="J312">
        <v>4.2000000000000003E-2</v>
      </c>
      <c r="K312">
        <v>3.2000000000000001E-2</v>
      </c>
      <c r="L312">
        <v>2041.6</v>
      </c>
      <c r="M312">
        <v>2047.8</v>
      </c>
      <c r="N312">
        <v>2065.8000000000002</v>
      </c>
      <c r="Q312">
        <f t="shared" si="33"/>
        <v>327.39999999999998</v>
      </c>
      <c r="R312">
        <f t="shared" si="37"/>
        <v>327.5</v>
      </c>
      <c r="S312">
        <f t="shared" si="38"/>
        <v>0</v>
      </c>
      <c r="X312">
        <f t="shared" si="34"/>
        <v>0</v>
      </c>
      <c r="Y312">
        <f t="shared" si="35"/>
        <v>0</v>
      </c>
      <c r="Z312">
        <f t="shared" si="36"/>
        <v>0</v>
      </c>
    </row>
    <row r="313" spans="1:26" x14ac:dyDescent="0.25">
      <c r="A313" s="2">
        <v>44866</v>
      </c>
      <c r="B313" s="3">
        <v>305</v>
      </c>
      <c r="C313" s="3">
        <v>2100</v>
      </c>
      <c r="D313">
        <v>327.42759999999998</v>
      </c>
      <c r="E313">
        <v>3.5999999999999997E-2</v>
      </c>
      <c r="F313">
        <v>322.04910000000001</v>
      </c>
      <c r="G313">
        <v>328.41570000000002</v>
      </c>
      <c r="H313">
        <v>331.81810000000002</v>
      </c>
      <c r="I313">
        <v>3.6999999999999998E-2</v>
      </c>
      <c r="J313">
        <v>3.6999999999999998E-2</v>
      </c>
      <c r="K313">
        <v>3.3000000000000002E-2</v>
      </c>
      <c r="L313">
        <v>2041.6</v>
      </c>
      <c r="M313">
        <v>2047.8</v>
      </c>
      <c r="N313">
        <v>2065.8000000000002</v>
      </c>
      <c r="Q313">
        <f t="shared" si="33"/>
        <v>327.39999999999998</v>
      </c>
      <c r="R313">
        <f t="shared" si="37"/>
        <v>327.5</v>
      </c>
      <c r="S313">
        <f t="shared" si="38"/>
        <v>0</v>
      </c>
      <c r="X313">
        <f t="shared" si="34"/>
        <v>0</v>
      </c>
      <c r="Y313">
        <f t="shared" si="35"/>
        <v>0</v>
      </c>
      <c r="Z313">
        <f t="shared" si="36"/>
        <v>0</v>
      </c>
    </row>
    <row r="314" spans="1:26" x14ac:dyDescent="0.25">
      <c r="A314" s="2">
        <v>44866</v>
      </c>
      <c r="B314" s="3">
        <v>305</v>
      </c>
      <c r="C314" s="3">
        <v>2200</v>
      </c>
      <c r="D314">
        <v>327.42500000000001</v>
      </c>
      <c r="E314">
        <v>3.6999999999999998E-2</v>
      </c>
      <c r="F314">
        <v>322.04590000000002</v>
      </c>
      <c r="G314">
        <v>328.41570000000002</v>
      </c>
      <c r="H314">
        <v>331.81330000000003</v>
      </c>
      <c r="I314">
        <v>3.4000000000000002E-2</v>
      </c>
      <c r="J314">
        <v>4.1000000000000002E-2</v>
      </c>
      <c r="K314">
        <v>3.6999999999999998E-2</v>
      </c>
      <c r="L314">
        <v>2041.6</v>
      </c>
      <c r="M314">
        <v>2048</v>
      </c>
      <c r="N314">
        <v>2065.8000000000002</v>
      </c>
      <c r="Q314">
        <f t="shared" si="33"/>
        <v>327.39999999999998</v>
      </c>
      <c r="R314">
        <f t="shared" si="37"/>
        <v>327.5</v>
      </c>
      <c r="S314">
        <f t="shared" si="38"/>
        <v>0</v>
      </c>
      <c r="X314">
        <f t="shared" si="34"/>
        <v>0</v>
      </c>
      <c r="Y314">
        <f t="shared" si="35"/>
        <v>0</v>
      </c>
      <c r="Z314">
        <f t="shared" si="36"/>
        <v>0</v>
      </c>
    </row>
    <row r="315" spans="1:26" x14ac:dyDescent="0.25">
      <c r="A315" s="2">
        <v>44866</v>
      </c>
      <c r="B315" s="3">
        <v>305</v>
      </c>
      <c r="C315" s="3">
        <v>2300</v>
      </c>
      <c r="D315">
        <v>327.4298</v>
      </c>
      <c r="E315">
        <v>3.5999999999999997E-2</v>
      </c>
      <c r="F315">
        <v>322.0523</v>
      </c>
      <c r="G315">
        <v>328.41730000000001</v>
      </c>
      <c r="H315">
        <v>331.81970000000001</v>
      </c>
      <c r="I315">
        <v>3.9E-2</v>
      </c>
      <c r="J315">
        <v>3.7999999999999999E-2</v>
      </c>
      <c r="K315">
        <v>3.2000000000000001E-2</v>
      </c>
      <c r="L315">
        <v>2041.8</v>
      </c>
      <c r="M315">
        <v>2047.8</v>
      </c>
      <c r="N315">
        <v>2065.8000000000002</v>
      </c>
      <c r="Q315">
        <f t="shared" si="33"/>
        <v>327.39999999999998</v>
      </c>
      <c r="R315">
        <f t="shared" si="37"/>
        <v>327.5</v>
      </c>
      <c r="S315">
        <f t="shared" si="38"/>
        <v>0</v>
      </c>
      <c r="X315">
        <f t="shared" si="34"/>
        <v>0</v>
      </c>
      <c r="Y315">
        <f t="shared" si="35"/>
        <v>0</v>
      </c>
      <c r="Z315">
        <f t="shared" si="36"/>
        <v>0</v>
      </c>
    </row>
    <row r="316" spans="1:26" x14ac:dyDescent="0.25">
      <c r="A316" s="2">
        <v>44866</v>
      </c>
      <c r="B316" s="3">
        <v>305</v>
      </c>
      <c r="C316" s="3">
        <v>2400</v>
      </c>
      <c r="D316">
        <v>327.42809999999997</v>
      </c>
      <c r="E316">
        <v>3.5000000000000003E-2</v>
      </c>
      <c r="F316">
        <v>322.04910000000001</v>
      </c>
      <c r="G316">
        <v>328.41570000000002</v>
      </c>
      <c r="H316">
        <v>331.81970000000001</v>
      </c>
      <c r="I316">
        <v>3.6999999999999998E-2</v>
      </c>
      <c r="J316">
        <v>3.6999999999999998E-2</v>
      </c>
      <c r="K316">
        <v>3.2000000000000001E-2</v>
      </c>
      <c r="L316">
        <v>2041.6</v>
      </c>
      <c r="M316">
        <v>2047.8</v>
      </c>
      <c r="N316">
        <v>2065.8000000000002</v>
      </c>
      <c r="Q316">
        <f t="shared" si="33"/>
        <v>327.39999999999998</v>
      </c>
      <c r="R316">
        <f t="shared" si="37"/>
        <v>327.5</v>
      </c>
      <c r="S316">
        <f t="shared" si="38"/>
        <v>0</v>
      </c>
      <c r="X316">
        <f t="shared" si="34"/>
        <v>0</v>
      </c>
      <c r="Y316">
        <f t="shared" si="35"/>
        <v>0</v>
      </c>
      <c r="Z316">
        <f t="shared" si="36"/>
        <v>0</v>
      </c>
    </row>
    <row r="317" spans="1:26" x14ac:dyDescent="0.25">
      <c r="A317" s="2">
        <v>44867</v>
      </c>
      <c r="B317" s="3">
        <v>306</v>
      </c>
      <c r="C317" s="3">
        <v>100</v>
      </c>
      <c r="D317">
        <v>327.43079999999998</v>
      </c>
      <c r="E317">
        <v>3.5999999999999997E-2</v>
      </c>
      <c r="F317">
        <v>322.04910000000001</v>
      </c>
      <c r="G317">
        <v>328.4221</v>
      </c>
      <c r="H317">
        <v>331.82130000000001</v>
      </c>
      <c r="I317">
        <v>3.6999999999999998E-2</v>
      </c>
      <c r="J317">
        <v>4.1000000000000002E-2</v>
      </c>
      <c r="K317">
        <v>0.03</v>
      </c>
      <c r="L317">
        <v>2041.6</v>
      </c>
      <c r="M317">
        <v>2047.8</v>
      </c>
      <c r="N317">
        <v>2065.8000000000002</v>
      </c>
      <c r="Q317">
        <f t="shared" si="33"/>
        <v>327.39999999999998</v>
      </c>
      <c r="R317">
        <f t="shared" si="37"/>
        <v>327.5</v>
      </c>
      <c r="S317">
        <f t="shared" si="38"/>
        <v>0</v>
      </c>
      <c r="X317">
        <f t="shared" si="34"/>
        <v>0</v>
      </c>
      <c r="Y317">
        <f t="shared" si="35"/>
        <v>0</v>
      </c>
      <c r="Z317">
        <f t="shared" si="36"/>
        <v>0</v>
      </c>
    </row>
    <row r="318" spans="1:26" x14ac:dyDescent="0.25">
      <c r="A318" s="2">
        <v>44867</v>
      </c>
      <c r="B318" s="3">
        <v>306</v>
      </c>
      <c r="C318" s="3">
        <v>200</v>
      </c>
      <c r="D318">
        <v>327.44040000000001</v>
      </c>
      <c r="E318">
        <v>3.7999999999999999E-2</v>
      </c>
      <c r="F318">
        <v>322.05860000000001</v>
      </c>
      <c r="G318">
        <v>328.43009999999998</v>
      </c>
      <c r="H318">
        <v>331.83249999999998</v>
      </c>
      <c r="I318">
        <v>4.2000000000000003E-2</v>
      </c>
      <c r="J318">
        <v>4.3999999999999997E-2</v>
      </c>
      <c r="K318">
        <v>2.4E-2</v>
      </c>
      <c r="L318">
        <v>2041.6</v>
      </c>
      <c r="M318">
        <v>2048</v>
      </c>
      <c r="N318">
        <v>2065.8000000000002</v>
      </c>
      <c r="Q318">
        <f t="shared" si="33"/>
        <v>327.39999999999998</v>
      </c>
      <c r="R318">
        <f t="shared" si="37"/>
        <v>327.5</v>
      </c>
      <c r="S318">
        <f t="shared" si="38"/>
        <v>0</v>
      </c>
      <c r="X318">
        <f t="shared" si="34"/>
        <v>0</v>
      </c>
      <c r="Y318">
        <f t="shared" si="35"/>
        <v>0</v>
      </c>
      <c r="Z318">
        <f t="shared" si="36"/>
        <v>0</v>
      </c>
    </row>
    <row r="319" spans="1:26" x14ac:dyDescent="0.25">
      <c r="A319" s="2">
        <v>44867</v>
      </c>
      <c r="B319" s="3">
        <v>306</v>
      </c>
      <c r="C319" s="3">
        <v>300</v>
      </c>
      <c r="D319">
        <v>327.4452</v>
      </c>
      <c r="E319">
        <v>3.9E-2</v>
      </c>
      <c r="F319">
        <v>322.06020000000001</v>
      </c>
      <c r="G319">
        <v>328.43490000000003</v>
      </c>
      <c r="H319">
        <v>331.84050000000002</v>
      </c>
      <c r="I319">
        <v>4.2999999999999997E-2</v>
      </c>
      <c r="J319">
        <v>4.4999999999999998E-2</v>
      </c>
      <c r="K319">
        <v>2.5999999999999999E-2</v>
      </c>
      <c r="L319">
        <v>2041.6</v>
      </c>
      <c r="M319">
        <v>2047.8</v>
      </c>
      <c r="N319">
        <v>2065.8000000000002</v>
      </c>
      <c r="Q319">
        <f t="shared" si="33"/>
        <v>327.39999999999998</v>
      </c>
      <c r="R319">
        <f t="shared" si="37"/>
        <v>327.5</v>
      </c>
      <c r="S319">
        <f t="shared" si="38"/>
        <v>0</v>
      </c>
      <c r="X319">
        <f t="shared" si="34"/>
        <v>0</v>
      </c>
      <c r="Y319">
        <f t="shared" si="35"/>
        <v>0</v>
      </c>
      <c r="Z319">
        <f t="shared" si="36"/>
        <v>0</v>
      </c>
    </row>
    <row r="320" spans="1:26" x14ac:dyDescent="0.25">
      <c r="A320" s="2">
        <v>44867</v>
      </c>
      <c r="B320" s="3">
        <v>306</v>
      </c>
      <c r="C320" s="3">
        <v>400</v>
      </c>
      <c r="D320">
        <v>327.45100000000002</v>
      </c>
      <c r="E320">
        <v>4.1000000000000002E-2</v>
      </c>
      <c r="F320">
        <v>322.06819999999999</v>
      </c>
      <c r="G320">
        <v>328.43810000000002</v>
      </c>
      <c r="H320">
        <v>331.84699999999998</v>
      </c>
      <c r="I320">
        <v>4.4999999999999998E-2</v>
      </c>
      <c r="J320">
        <v>4.4999999999999998E-2</v>
      </c>
      <c r="K320">
        <v>3.3000000000000002E-2</v>
      </c>
      <c r="L320">
        <v>2041.8</v>
      </c>
      <c r="M320">
        <v>2048</v>
      </c>
      <c r="N320">
        <v>2065.8000000000002</v>
      </c>
      <c r="Q320">
        <f t="shared" si="33"/>
        <v>327.5</v>
      </c>
      <c r="R320">
        <f t="shared" si="37"/>
        <v>327.5</v>
      </c>
      <c r="S320">
        <f t="shared" si="38"/>
        <v>0</v>
      </c>
      <c r="X320">
        <f t="shared" si="34"/>
        <v>0</v>
      </c>
      <c r="Y320">
        <f t="shared" si="35"/>
        <v>0</v>
      </c>
      <c r="Z320">
        <f t="shared" si="36"/>
        <v>0</v>
      </c>
    </row>
    <row r="321" spans="1:26" x14ac:dyDescent="0.25">
      <c r="A321" s="2">
        <v>44867</v>
      </c>
      <c r="B321" s="3">
        <v>306</v>
      </c>
      <c r="C321" s="3">
        <v>500</v>
      </c>
      <c r="D321">
        <v>327.45429999999999</v>
      </c>
      <c r="E321">
        <v>4.2000000000000003E-2</v>
      </c>
      <c r="F321">
        <v>322.06180000000001</v>
      </c>
      <c r="G321">
        <v>328.4477</v>
      </c>
      <c r="H321">
        <v>331.85340000000002</v>
      </c>
      <c r="I321">
        <v>4.2999999999999997E-2</v>
      </c>
      <c r="J321">
        <v>4.4999999999999998E-2</v>
      </c>
      <c r="K321">
        <v>3.7999999999999999E-2</v>
      </c>
      <c r="L321">
        <v>2041.8</v>
      </c>
      <c r="M321">
        <v>2048</v>
      </c>
      <c r="N321">
        <v>2065.8000000000002</v>
      </c>
      <c r="Q321">
        <f t="shared" si="33"/>
        <v>327.5</v>
      </c>
      <c r="R321">
        <f t="shared" si="37"/>
        <v>327.5</v>
      </c>
      <c r="S321">
        <f t="shared" si="38"/>
        <v>0</v>
      </c>
      <c r="X321">
        <f t="shared" si="34"/>
        <v>0</v>
      </c>
      <c r="Y321">
        <f t="shared" si="35"/>
        <v>0</v>
      </c>
      <c r="Z321">
        <f t="shared" si="36"/>
        <v>0</v>
      </c>
    </row>
    <row r="322" spans="1:26" x14ac:dyDescent="0.25">
      <c r="A322" s="2">
        <v>44867</v>
      </c>
      <c r="B322" s="3">
        <v>306</v>
      </c>
      <c r="C322" s="3">
        <v>600</v>
      </c>
      <c r="D322">
        <v>327.4708</v>
      </c>
      <c r="E322">
        <v>4.2999999999999997E-2</v>
      </c>
      <c r="F322">
        <v>322.09519999999998</v>
      </c>
      <c r="G322">
        <v>328.45089999999999</v>
      </c>
      <c r="H322">
        <v>331.86619999999999</v>
      </c>
      <c r="I322">
        <v>4.1000000000000002E-2</v>
      </c>
      <c r="J322">
        <v>4.4999999999999998E-2</v>
      </c>
      <c r="K322">
        <v>4.3999999999999997E-2</v>
      </c>
      <c r="L322">
        <v>2041.6</v>
      </c>
      <c r="M322">
        <v>2047.8</v>
      </c>
      <c r="N322">
        <v>2065.8000000000002</v>
      </c>
      <c r="Q322">
        <f t="shared" si="33"/>
        <v>327.5</v>
      </c>
      <c r="R322">
        <f t="shared" si="37"/>
        <v>327.5</v>
      </c>
      <c r="S322">
        <f t="shared" si="38"/>
        <v>0</v>
      </c>
      <c r="X322">
        <f t="shared" si="34"/>
        <v>0</v>
      </c>
      <c r="Y322">
        <f t="shared" si="35"/>
        <v>0</v>
      </c>
      <c r="Z322">
        <f t="shared" si="36"/>
        <v>0</v>
      </c>
    </row>
    <row r="323" spans="1:26" x14ac:dyDescent="0.25">
      <c r="A323" s="2">
        <v>44867</v>
      </c>
      <c r="B323" s="3">
        <v>306</v>
      </c>
      <c r="C323" s="3">
        <v>700</v>
      </c>
      <c r="D323">
        <v>327.47770000000003</v>
      </c>
      <c r="E323">
        <v>4.1000000000000002E-2</v>
      </c>
      <c r="F323">
        <v>322.10469999999998</v>
      </c>
      <c r="G323">
        <v>328.45569999999998</v>
      </c>
      <c r="H323">
        <v>331.87270000000001</v>
      </c>
      <c r="I323">
        <v>3.4000000000000002E-2</v>
      </c>
      <c r="J323">
        <v>4.3999999999999997E-2</v>
      </c>
      <c r="K323">
        <v>4.4999999999999998E-2</v>
      </c>
      <c r="L323">
        <v>2041.6</v>
      </c>
      <c r="M323">
        <v>2048</v>
      </c>
      <c r="N323">
        <v>2066</v>
      </c>
      <c r="Q323">
        <f t="shared" si="33"/>
        <v>327.5</v>
      </c>
      <c r="R323">
        <f t="shared" si="37"/>
        <v>327.5</v>
      </c>
      <c r="S323">
        <f t="shared" si="38"/>
        <v>0</v>
      </c>
      <c r="X323">
        <f t="shared" si="34"/>
        <v>0</v>
      </c>
      <c r="Y323">
        <f t="shared" si="35"/>
        <v>0</v>
      </c>
      <c r="Z323">
        <f t="shared" si="36"/>
        <v>0</v>
      </c>
    </row>
    <row r="324" spans="1:26" x14ac:dyDescent="0.25">
      <c r="A324" s="2">
        <v>44867</v>
      </c>
      <c r="B324" s="3">
        <v>306</v>
      </c>
      <c r="C324" s="3">
        <v>800</v>
      </c>
      <c r="D324">
        <v>327.47710000000001</v>
      </c>
      <c r="E324">
        <v>0.04</v>
      </c>
      <c r="F324">
        <v>322.11270000000002</v>
      </c>
      <c r="G324">
        <v>328.45409999999998</v>
      </c>
      <c r="H324">
        <v>331.8646</v>
      </c>
      <c r="I324">
        <v>3.1E-2</v>
      </c>
      <c r="J324">
        <v>4.3999999999999997E-2</v>
      </c>
      <c r="K324">
        <v>4.3999999999999997E-2</v>
      </c>
      <c r="L324">
        <v>2041.8</v>
      </c>
      <c r="M324">
        <v>2048</v>
      </c>
      <c r="N324">
        <v>2065.8000000000002</v>
      </c>
      <c r="Q324">
        <f t="shared" si="33"/>
        <v>327.5</v>
      </c>
      <c r="R324">
        <f t="shared" si="37"/>
        <v>327.5</v>
      </c>
      <c r="S324">
        <f t="shared" si="38"/>
        <v>0</v>
      </c>
      <c r="X324">
        <f t="shared" si="34"/>
        <v>0</v>
      </c>
      <c r="Y324">
        <f t="shared" si="35"/>
        <v>0</v>
      </c>
      <c r="Z324">
        <f t="shared" si="36"/>
        <v>0</v>
      </c>
    </row>
    <row r="325" spans="1:26" x14ac:dyDescent="0.25">
      <c r="A325" s="2">
        <v>44867</v>
      </c>
      <c r="B325" s="3">
        <v>306</v>
      </c>
      <c r="C325" s="3">
        <v>900</v>
      </c>
      <c r="D325">
        <v>327.45580000000001</v>
      </c>
      <c r="E325">
        <v>3.3000000000000002E-2</v>
      </c>
      <c r="F325">
        <v>322.10469999999998</v>
      </c>
      <c r="G325">
        <v>328.42689999999999</v>
      </c>
      <c r="H325">
        <v>331.83569999999997</v>
      </c>
      <c r="I325">
        <v>3.4000000000000002E-2</v>
      </c>
      <c r="J325">
        <v>4.2999999999999997E-2</v>
      </c>
      <c r="K325">
        <v>1.7000000000000001E-2</v>
      </c>
      <c r="L325">
        <v>2041.8</v>
      </c>
      <c r="M325">
        <v>2047.8</v>
      </c>
      <c r="N325">
        <v>2065.8000000000002</v>
      </c>
      <c r="Q325">
        <f t="shared" si="33"/>
        <v>327.5</v>
      </c>
      <c r="R325">
        <f t="shared" si="37"/>
        <v>327.5</v>
      </c>
      <c r="S325">
        <f t="shared" si="38"/>
        <v>0</v>
      </c>
      <c r="X325">
        <f t="shared" si="34"/>
        <v>0</v>
      </c>
      <c r="Y325">
        <f t="shared" si="35"/>
        <v>0</v>
      </c>
      <c r="Z325">
        <f t="shared" si="36"/>
        <v>0</v>
      </c>
    </row>
    <row r="326" spans="1:26" x14ac:dyDescent="0.25">
      <c r="A326" s="2">
        <v>44867</v>
      </c>
      <c r="B326" s="3">
        <v>306</v>
      </c>
      <c r="C326" s="3">
        <v>1000</v>
      </c>
      <c r="D326">
        <v>327.4409</v>
      </c>
      <c r="E326">
        <v>3.9E-2</v>
      </c>
      <c r="F326">
        <v>322.07139999999998</v>
      </c>
      <c r="G326">
        <v>328.42689999999999</v>
      </c>
      <c r="H326">
        <v>331.8245</v>
      </c>
      <c r="I326">
        <v>4.4999999999999998E-2</v>
      </c>
      <c r="J326">
        <v>4.2999999999999997E-2</v>
      </c>
      <c r="K326">
        <v>2.5999999999999999E-2</v>
      </c>
      <c r="L326">
        <v>2041.8</v>
      </c>
      <c r="M326">
        <v>2047.8</v>
      </c>
      <c r="N326">
        <v>2065.6</v>
      </c>
      <c r="Q326">
        <f t="shared" si="33"/>
        <v>327.39999999999998</v>
      </c>
      <c r="R326">
        <f t="shared" si="37"/>
        <v>327.5</v>
      </c>
      <c r="S326">
        <f t="shared" si="38"/>
        <v>0</v>
      </c>
      <c r="X326">
        <f t="shared" si="34"/>
        <v>0</v>
      </c>
      <c r="Y326">
        <f t="shared" si="35"/>
        <v>0</v>
      </c>
      <c r="Z326">
        <f t="shared" si="36"/>
        <v>0</v>
      </c>
    </row>
    <row r="327" spans="1:26" x14ac:dyDescent="0.25">
      <c r="A327" s="2">
        <v>44867</v>
      </c>
      <c r="B327" s="3">
        <v>306</v>
      </c>
      <c r="C327" s="3">
        <v>1100</v>
      </c>
      <c r="D327">
        <v>327.4393</v>
      </c>
      <c r="E327">
        <v>3.7999999999999999E-2</v>
      </c>
      <c r="F327">
        <v>322.08089999999999</v>
      </c>
      <c r="G327">
        <v>328.41570000000002</v>
      </c>
      <c r="H327">
        <v>331.82130000000001</v>
      </c>
      <c r="I327">
        <v>4.4999999999999998E-2</v>
      </c>
      <c r="J327">
        <v>3.6999999999999998E-2</v>
      </c>
      <c r="K327">
        <v>0.03</v>
      </c>
      <c r="L327">
        <v>2041.6</v>
      </c>
      <c r="M327">
        <v>2047.8</v>
      </c>
      <c r="N327">
        <v>2065.6</v>
      </c>
      <c r="Q327">
        <f t="shared" si="33"/>
        <v>327.39999999999998</v>
      </c>
      <c r="R327">
        <f t="shared" si="37"/>
        <v>327.5</v>
      </c>
      <c r="S327">
        <f t="shared" si="38"/>
        <v>0</v>
      </c>
      <c r="X327">
        <f t="shared" si="34"/>
        <v>0</v>
      </c>
      <c r="Y327">
        <f t="shared" si="35"/>
        <v>0</v>
      </c>
      <c r="Z327">
        <f t="shared" si="36"/>
        <v>0</v>
      </c>
    </row>
    <row r="328" spans="1:26" x14ac:dyDescent="0.25">
      <c r="A328" s="2">
        <v>44867</v>
      </c>
      <c r="B328" s="3">
        <v>306</v>
      </c>
      <c r="C328" s="3">
        <v>1200</v>
      </c>
      <c r="D328">
        <v>327.43020000000001</v>
      </c>
      <c r="E328">
        <v>3.7999999999999999E-2</v>
      </c>
      <c r="F328">
        <v>322.0729</v>
      </c>
      <c r="G328">
        <v>328.40449999999998</v>
      </c>
      <c r="H328">
        <v>331.81330000000003</v>
      </c>
      <c r="I328">
        <v>4.4999999999999998E-2</v>
      </c>
      <c r="J328">
        <v>3.1E-2</v>
      </c>
      <c r="K328">
        <v>3.6999999999999998E-2</v>
      </c>
      <c r="L328">
        <v>2041.8</v>
      </c>
      <c r="M328">
        <v>2047.8</v>
      </c>
      <c r="N328">
        <v>2065.6</v>
      </c>
      <c r="Q328">
        <f t="shared" si="33"/>
        <v>327.39999999999998</v>
      </c>
      <c r="R328">
        <f t="shared" si="37"/>
        <v>327.5</v>
      </c>
      <c r="S328">
        <f t="shared" si="38"/>
        <v>0</v>
      </c>
      <c r="X328">
        <f t="shared" si="34"/>
        <v>0</v>
      </c>
      <c r="Y328">
        <f t="shared" si="35"/>
        <v>0</v>
      </c>
      <c r="Z328">
        <f t="shared" si="36"/>
        <v>0</v>
      </c>
    </row>
    <row r="329" spans="1:26" x14ac:dyDescent="0.25">
      <c r="A329" s="2">
        <v>44867</v>
      </c>
      <c r="B329" s="3">
        <v>306</v>
      </c>
      <c r="C329" s="3">
        <v>1300</v>
      </c>
      <c r="D329">
        <v>327.42649999999998</v>
      </c>
      <c r="E329">
        <v>3.3000000000000002E-2</v>
      </c>
      <c r="F329">
        <v>322.06180000000001</v>
      </c>
      <c r="G329">
        <v>328.3997</v>
      </c>
      <c r="H329">
        <v>331.81810000000002</v>
      </c>
      <c r="I329">
        <v>4.2999999999999997E-2</v>
      </c>
      <c r="J329">
        <v>1.7000000000000001E-2</v>
      </c>
      <c r="K329">
        <v>3.3000000000000002E-2</v>
      </c>
      <c r="L329">
        <v>2041.6</v>
      </c>
      <c r="M329">
        <v>2047.8</v>
      </c>
      <c r="N329">
        <v>2065.8000000000002</v>
      </c>
      <c r="Q329">
        <f t="shared" si="33"/>
        <v>327.39999999999998</v>
      </c>
      <c r="R329">
        <f t="shared" si="37"/>
        <v>327.5</v>
      </c>
      <c r="S329">
        <f t="shared" si="38"/>
        <v>0</v>
      </c>
      <c r="X329">
        <f t="shared" si="34"/>
        <v>0</v>
      </c>
      <c r="Y329">
        <f t="shared" si="35"/>
        <v>0</v>
      </c>
      <c r="Z329">
        <f t="shared" si="36"/>
        <v>0</v>
      </c>
    </row>
    <row r="330" spans="1:26" x14ac:dyDescent="0.25">
      <c r="A330" s="2">
        <v>44867</v>
      </c>
      <c r="B330" s="3">
        <v>306</v>
      </c>
      <c r="C330" s="3">
        <v>1400</v>
      </c>
      <c r="D330">
        <v>327.44040000000001</v>
      </c>
      <c r="E330">
        <v>3.7999999999999999E-2</v>
      </c>
      <c r="F330">
        <v>322.07139999999998</v>
      </c>
      <c r="G330">
        <v>328.4237</v>
      </c>
      <c r="H330">
        <v>331.8261</v>
      </c>
      <c r="I330">
        <v>4.4999999999999998E-2</v>
      </c>
      <c r="J330">
        <v>4.2000000000000003E-2</v>
      </c>
      <c r="K330">
        <v>2.3E-2</v>
      </c>
      <c r="L330">
        <v>2041.8</v>
      </c>
      <c r="M330">
        <v>2048</v>
      </c>
      <c r="N330">
        <v>2065.8000000000002</v>
      </c>
      <c r="Q330">
        <f t="shared" si="33"/>
        <v>327.39999999999998</v>
      </c>
      <c r="R330">
        <f t="shared" si="37"/>
        <v>327.5</v>
      </c>
      <c r="S330">
        <f t="shared" si="38"/>
        <v>0</v>
      </c>
      <c r="X330">
        <f t="shared" si="34"/>
        <v>0</v>
      </c>
      <c r="Y330">
        <f t="shared" si="35"/>
        <v>0</v>
      </c>
      <c r="Z330">
        <f t="shared" si="36"/>
        <v>0</v>
      </c>
    </row>
    <row r="331" spans="1:26" x14ac:dyDescent="0.25">
      <c r="A331" s="2">
        <v>44867</v>
      </c>
      <c r="B331" s="3">
        <v>306</v>
      </c>
      <c r="C331" s="3">
        <v>1500</v>
      </c>
      <c r="D331">
        <v>327.43610000000001</v>
      </c>
      <c r="E331">
        <v>3.6999999999999998E-2</v>
      </c>
      <c r="F331">
        <v>322.06020000000001</v>
      </c>
      <c r="G331">
        <v>328.4221</v>
      </c>
      <c r="H331">
        <v>331.8261</v>
      </c>
      <c r="I331">
        <v>4.2999999999999997E-2</v>
      </c>
      <c r="J331">
        <v>4.1000000000000002E-2</v>
      </c>
      <c r="K331">
        <v>2.3E-2</v>
      </c>
      <c r="L331">
        <v>2041.6</v>
      </c>
      <c r="M331">
        <v>2048</v>
      </c>
      <c r="N331">
        <v>2065.8000000000002</v>
      </c>
      <c r="Q331">
        <f t="shared" si="33"/>
        <v>327.39999999999998</v>
      </c>
      <c r="R331">
        <f t="shared" si="37"/>
        <v>327.5</v>
      </c>
      <c r="S331">
        <f t="shared" si="38"/>
        <v>0</v>
      </c>
      <c r="X331">
        <f t="shared" si="34"/>
        <v>0</v>
      </c>
      <c r="Y331">
        <f t="shared" si="35"/>
        <v>0</v>
      </c>
      <c r="Z331">
        <f t="shared" si="36"/>
        <v>0</v>
      </c>
    </row>
    <row r="332" spans="1:26" x14ac:dyDescent="0.25">
      <c r="A332" s="2">
        <v>44867</v>
      </c>
      <c r="B332" s="3">
        <v>306</v>
      </c>
      <c r="C332" s="3">
        <v>1600</v>
      </c>
      <c r="D332">
        <v>327.42079999999999</v>
      </c>
      <c r="E332">
        <v>3.6999999999999998E-2</v>
      </c>
      <c r="F332">
        <v>321.99829999999997</v>
      </c>
      <c r="G332">
        <v>328.42689999999999</v>
      </c>
      <c r="H332">
        <v>331.83730000000003</v>
      </c>
      <c r="I332">
        <v>4.2999999999999997E-2</v>
      </c>
      <c r="J332">
        <v>4.2999999999999997E-2</v>
      </c>
      <c r="K332">
        <v>0.02</v>
      </c>
      <c r="L332">
        <v>2041.6</v>
      </c>
      <c r="M332">
        <v>2048</v>
      </c>
      <c r="N332">
        <v>2065.8000000000002</v>
      </c>
      <c r="Q332">
        <f t="shared" si="33"/>
        <v>327.39999999999998</v>
      </c>
      <c r="R332">
        <f t="shared" si="37"/>
        <v>327.5</v>
      </c>
      <c r="S332">
        <f t="shared" si="38"/>
        <v>0</v>
      </c>
      <c r="X332">
        <f t="shared" si="34"/>
        <v>0</v>
      </c>
      <c r="Y332">
        <f t="shared" si="35"/>
        <v>0</v>
      </c>
      <c r="Z332">
        <f t="shared" si="36"/>
        <v>0</v>
      </c>
    </row>
    <row r="333" spans="1:26" x14ac:dyDescent="0.25">
      <c r="A333" s="2">
        <v>44867</v>
      </c>
      <c r="B333" s="3">
        <v>306</v>
      </c>
      <c r="C333" s="3">
        <v>1700</v>
      </c>
      <c r="D333">
        <v>327.39490000000001</v>
      </c>
      <c r="E333">
        <v>3.9E-2</v>
      </c>
      <c r="F333">
        <v>321.91399999999999</v>
      </c>
      <c r="G333">
        <v>328.4205</v>
      </c>
      <c r="H333">
        <v>331.85019999999997</v>
      </c>
      <c r="I333">
        <v>4.1000000000000002E-2</v>
      </c>
      <c r="J333">
        <v>0.04</v>
      </c>
      <c r="K333">
        <v>3.5999999999999997E-2</v>
      </c>
      <c r="L333">
        <v>2041.2</v>
      </c>
      <c r="M333">
        <v>2047.8</v>
      </c>
      <c r="N333">
        <v>2065.8000000000002</v>
      </c>
      <c r="Q333">
        <f t="shared" si="33"/>
        <v>327.39999999999998</v>
      </c>
      <c r="R333">
        <f t="shared" si="37"/>
        <v>327.5</v>
      </c>
      <c r="S333">
        <f t="shared" si="38"/>
        <v>0</v>
      </c>
      <c r="X333">
        <f t="shared" si="34"/>
        <v>0</v>
      </c>
      <c r="Y333">
        <f t="shared" si="35"/>
        <v>0</v>
      </c>
      <c r="Z333">
        <f t="shared" si="36"/>
        <v>0</v>
      </c>
    </row>
    <row r="334" spans="1:26" x14ac:dyDescent="0.25">
      <c r="A334" s="2">
        <v>44867</v>
      </c>
      <c r="B334" s="3">
        <v>306</v>
      </c>
      <c r="C334" s="3">
        <v>1800</v>
      </c>
      <c r="D334">
        <v>327.46710000000002</v>
      </c>
      <c r="E334">
        <v>4.4999999999999998E-2</v>
      </c>
      <c r="F334">
        <v>322.084</v>
      </c>
      <c r="G334">
        <v>328.44290000000001</v>
      </c>
      <c r="H334">
        <v>331.87430000000001</v>
      </c>
      <c r="I334">
        <v>4.3999999999999997E-2</v>
      </c>
      <c r="J334">
        <v>4.5999999999999999E-2</v>
      </c>
      <c r="K334">
        <v>4.5999999999999999E-2</v>
      </c>
      <c r="L334">
        <v>2041.8</v>
      </c>
      <c r="M334">
        <v>2047.8</v>
      </c>
      <c r="N334">
        <v>2066</v>
      </c>
      <c r="Q334">
        <f t="shared" si="33"/>
        <v>327.5</v>
      </c>
      <c r="R334">
        <f t="shared" si="37"/>
        <v>327.5</v>
      </c>
      <c r="S334">
        <f t="shared" si="38"/>
        <v>0</v>
      </c>
      <c r="X334">
        <f t="shared" si="34"/>
        <v>0</v>
      </c>
      <c r="Y334">
        <f t="shared" si="35"/>
        <v>0</v>
      </c>
      <c r="Z334">
        <f t="shared" si="36"/>
        <v>0</v>
      </c>
    </row>
    <row r="335" spans="1:26" x14ac:dyDescent="0.25">
      <c r="A335" s="2">
        <v>44867</v>
      </c>
      <c r="B335" s="3">
        <v>306</v>
      </c>
      <c r="C335" s="3">
        <v>1900</v>
      </c>
      <c r="D335">
        <v>327.48250000000002</v>
      </c>
      <c r="E335">
        <v>4.2000000000000003E-2</v>
      </c>
      <c r="F335">
        <v>322.09840000000003</v>
      </c>
      <c r="G335">
        <v>328.45249999999999</v>
      </c>
      <c r="H335">
        <v>331.89670000000001</v>
      </c>
      <c r="I335">
        <v>3.9E-2</v>
      </c>
      <c r="J335">
        <v>4.3999999999999997E-2</v>
      </c>
      <c r="K335">
        <v>4.2000000000000003E-2</v>
      </c>
      <c r="L335">
        <v>2041.6</v>
      </c>
      <c r="M335">
        <v>2048</v>
      </c>
      <c r="N335">
        <v>2066</v>
      </c>
      <c r="Q335">
        <f t="shared" si="33"/>
        <v>327.5</v>
      </c>
      <c r="R335">
        <f t="shared" si="37"/>
        <v>327.5</v>
      </c>
      <c r="S335">
        <f t="shared" si="38"/>
        <v>0</v>
      </c>
      <c r="X335">
        <f t="shared" si="34"/>
        <v>0</v>
      </c>
      <c r="Y335">
        <f t="shared" si="35"/>
        <v>0</v>
      </c>
      <c r="Z335">
        <f t="shared" si="36"/>
        <v>0</v>
      </c>
    </row>
    <row r="336" spans="1:26" x14ac:dyDescent="0.25">
      <c r="A336" s="2">
        <v>44867</v>
      </c>
      <c r="B336" s="3">
        <v>306</v>
      </c>
      <c r="C336" s="3">
        <v>2000</v>
      </c>
      <c r="D336">
        <v>327.53399999999999</v>
      </c>
      <c r="E336">
        <v>2.8000000000000001E-2</v>
      </c>
      <c r="F336">
        <v>322.20960000000002</v>
      </c>
      <c r="G336">
        <v>328.48129999999998</v>
      </c>
      <c r="H336">
        <v>331.91120000000001</v>
      </c>
      <c r="I336">
        <v>2.7E-2</v>
      </c>
      <c r="J336">
        <v>2.3E-2</v>
      </c>
      <c r="K336">
        <v>3.2000000000000001E-2</v>
      </c>
      <c r="L336">
        <v>2042</v>
      </c>
      <c r="M336">
        <v>2048</v>
      </c>
      <c r="N336">
        <v>2065.8000000000002</v>
      </c>
      <c r="Q336">
        <f t="shared" si="33"/>
        <v>327.5</v>
      </c>
      <c r="R336">
        <f t="shared" si="37"/>
        <v>327.5</v>
      </c>
      <c r="S336">
        <f t="shared" si="38"/>
        <v>0</v>
      </c>
      <c r="X336">
        <f t="shared" si="34"/>
        <v>0</v>
      </c>
      <c r="Y336">
        <f t="shared" si="35"/>
        <v>0</v>
      </c>
      <c r="Z336">
        <f t="shared" si="36"/>
        <v>0</v>
      </c>
    </row>
    <row r="337" spans="1:26" x14ac:dyDescent="0.25">
      <c r="A337" s="2">
        <v>44867</v>
      </c>
      <c r="B337" s="3">
        <v>306</v>
      </c>
      <c r="C337" s="3">
        <v>2100</v>
      </c>
      <c r="D337">
        <v>327.49</v>
      </c>
      <c r="E337">
        <v>3.5000000000000003E-2</v>
      </c>
      <c r="F337">
        <v>322.10309999999998</v>
      </c>
      <c r="G337">
        <v>328.44290000000001</v>
      </c>
      <c r="H337">
        <v>331.92399999999998</v>
      </c>
      <c r="I337">
        <v>3.5999999999999997E-2</v>
      </c>
      <c r="J337">
        <v>4.5999999999999999E-2</v>
      </c>
      <c r="K337">
        <v>1.7000000000000001E-2</v>
      </c>
      <c r="L337">
        <v>2041.6</v>
      </c>
      <c r="M337">
        <v>2047.8</v>
      </c>
      <c r="N337">
        <v>2066</v>
      </c>
      <c r="Q337">
        <f t="shared" si="33"/>
        <v>327.5</v>
      </c>
      <c r="R337">
        <f t="shared" si="37"/>
        <v>327.5</v>
      </c>
      <c r="S337">
        <f t="shared" si="38"/>
        <v>0</v>
      </c>
      <c r="X337">
        <f t="shared" si="34"/>
        <v>0</v>
      </c>
      <c r="Y337">
        <f t="shared" si="35"/>
        <v>0</v>
      </c>
      <c r="Z337">
        <f t="shared" si="36"/>
        <v>0</v>
      </c>
    </row>
    <row r="338" spans="1:26" x14ac:dyDescent="0.25">
      <c r="A338" s="2">
        <v>44867</v>
      </c>
      <c r="B338" s="3">
        <v>306</v>
      </c>
      <c r="C338" s="3">
        <v>2200</v>
      </c>
      <c r="D338">
        <v>327.56909999999999</v>
      </c>
      <c r="E338">
        <v>3.9E-2</v>
      </c>
      <c r="F338">
        <v>322.2604</v>
      </c>
      <c r="G338">
        <v>328.50209999999998</v>
      </c>
      <c r="H338">
        <v>331.94490000000002</v>
      </c>
      <c r="I338">
        <v>4.4999999999999998E-2</v>
      </c>
      <c r="J338">
        <v>3.3000000000000002E-2</v>
      </c>
      <c r="K338">
        <v>3.7999999999999999E-2</v>
      </c>
      <c r="L338">
        <v>2042.2</v>
      </c>
      <c r="M338">
        <v>2048</v>
      </c>
      <c r="N338">
        <v>2066</v>
      </c>
      <c r="Q338">
        <f t="shared" si="33"/>
        <v>327.60000000000002</v>
      </c>
      <c r="R338">
        <f t="shared" si="37"/>
        <v>327.60000000000002</v>
      </c>
      <c r="S338">
        <f t="shared" si="38"/>
        <v>0.10000000000002274</v>
      </c>
      <c r="X338">
        <f t="shared" si="34"/>
        <v>0</v>
      </c>
      <c r="Y338">
        <f t="shared" si="35"/>
        <v>0</v>
      </c>
      <c r="Z338">
        <f t="shared" si="36"/>
        <v>0</v>
      </c>
    </row>
    <row r="339" spans="1:26" x14ac:dyDescent="0.25">
      <c r="A339" s="2">
        <v>44867</v>
      </c>
      <c r="B339" s="3">
        <v>306</v>
      </c>
      <c r="C339" s="3">
        <v>2300</v>
      </c>
      <c r="D339">
        <v>327.59500000000003</v>
      </c>
      <c r="E339">
        <v>3.9E-2</v>
      </c>
      <c r="F339">
        <v>322.34379999999999</v>
      </c>
      <c r="G339">
        <v>328.48610000000002</v>
      </c>
      <c r="H339">
        <v>331.95510000000002</v>
      </c>
      <c r="I339">
        <v>4.4999999999999998E-2</v>
      </c>
      <c r="J339">
        <v>2.7E-2</v>
      </c>
      <c r="K339">
        <v>4.2999999999999997E-2</v>
      </c>
      <c r="L339">
        <v>2042.2</v>
      </c>
      <c r="M339">
        <v>2048</v>
      </c>
      <c r="N339">
        <v>2066</v>
      </c>
      <c r="Q339">
        <f t="shared" ref="Q339:Q402" si="39">ROUND(D339,1)</f>
        <v>327.60000000000002</v>
      </c>
      <c r="R339">
        <f t="shared" si="37"/>
        <v>327.60000000000002</v>
      </c>
      <c r="S339">
        <f t="shared" si="38"/>
        <v>0</v>
      </c>
      <c r="X339">
        <f t="shared" si="34"/>
        <v>0</v>
      </c>
      <c r="Y339">
        <f t="shared" si="35"/>
        <v>0</v>
      </c>
      <c r="Z339">
        <f t="shared" si="36"/>
        <v>0</v>
      </c>
    </row>
    <row r="340" spans="1:26" x14ac:dyDescent="0.25">
      <c r="A340" s="2">
        <v>44867</v>
      </c>
      <c r="B340" s="3">
        <v>306</v>
      </c>
      <c r="C340" s="3">
        <v>2400</v>
      </c>
      <c r="D340">
        <v>327.61840000000001</v>
      </c>
      <c r="E340">
        <v>3.5000000000000003E-2</v>
      </c>
      <c r="F340">
        <v>322.40339999999998</v>
      </c>
      <c r="G340">
        <v>328.50689999999997</v>
      </c>
      <c r="H340">
        <v>331.94490000000002</v>
      </c>
      <c r="I340">
        <v>0.03</v>
      </c>
      <c r="J340">
        <v>3.6999999999999998E-2</v>
      </c>
      <c r="K340">
        <v>3.7999999999999999E-2</v>
      </c>
      <c r="L340">
        <v>2042.4</v>
      </c>
      <c r="M340">
        <v>2048</v>
      </c>
      <c r="N340">
        <v>2066</v>
      </c>
      <c r="Q340">
        <f t="shared" si="39"/>
        <v>327.60000000000002</v>
      </c>
      <c r="R340">
        <f t="shared" si="37"/>
        <v>327.60000000000002</v>
      </c>
      <c r="S340">
        <f t="shared" si="38"/>
        <v>0</v>
      </c>
      <c r="X340">
        <f t="shared" si="34"/>
        <v>0</v>
      </c>
      <c r="Y340">
        <f t="shared" si="35"/>
        <v>0</v>
      </c>
      <c r="Z340">
        <f t="shared" si="36"/>
        <v>0</v>
      </c>
    </row>
    <row r="341" spans="1:26" x14ac:dyDescent="0.25">
      <c r="A341" s="2">
        <v>44868</v>
      </c>
      <c r="B341" s="3">
        <v>307</v>
      </c>
      <c r="C341" s="3">
        <v>100</v>
      </c>
      <c r="D341">
        <v>327.62630000000001</v>
      </c>
      <c r="E341">
        <v>3.7999999999999999E-2</v>
      </c>
      <c r="F341">
        <v>322.43759999999997</v>
      </c>
      <c r="G341">
        <v>328.50069999999999</v>
      </c>
      <c r="H341">
        <v>331.94040000000001</v>
      </c>
      <c r="I341">
        <v>4.4999999999999998E-2</v>
      </c>
      <c r="J341">
        <v>3.2000000000000001E-2</v>
      </c>
      <c r="K341">
        <v>3.5000000000000003E-2</v>
      </c>
      <c r="L341">
        <v>2042.4</v>
      </c>
      <c r="M341">
        <v>2048.1999999999998</v>
      </c>
      <c r="N341">
        <v>2066</v>
      </c>
      <c r="Q341">
        <f t="shared" si="39"/>
        <v>327.60000000000002</v>
      </c>
      <c r="R341">
        <f t="shared" si="37"/>
        <v>327.60000000000002</v>
      </c>
      <c r="S341">
        <f t="shared" si="38"/>
        <v>0</v>
      </c>
      <c r="X341">
        <f t="shared" si="34"/>
        <v>0</v>
      </c>
      <c r="Y341">
        <f t="shared" si="35"/>
        <v>0</v>
      </c>
      <c r="Z341">
        <f t="shared" si="36"/>
        <v>0</v>
      </c>
    </row>
    <row r="342" spans="1:26" x14ac:dyDescent="0.25">
      <c r="A342" s="2">
        <v>44868</v>
      </c>
      <c r="B342" s="3">
        <v>307</v>
      </c>
      <c r="C342" s="3">
        <v>200</v>
      </c>
      <c r="D342">
        <v>327.63209999999998</v>
      </c>
      <c r="E342">
        <v>3.1E-2</v>
      </c>
      <c r="F342">
        <v>322.46510000000001</v>
      </c>
      <c r="G342">
        <v>328.4991</v>
      </c>
      <c r="H342">
        <v>331.93220000000002</v>
      </c>
      <c r="I342">
        <v>3.5999999999999997E-2</v>
      </c>
      <c r="J342">
        <v>0.03</v>
      </c>
      <c r="K342">
        <v>2.5999999999999999E-2</v>
      </c>
      <c r="L342">
        <v>2042.6</v>
      </c>
      <c r="M342">
        <v>2048</v>
      </c>
      <c r="N342">
        <v>2066</v>
      </c>
      <c r="Q342">
        <f t="shared" si="39"/>
        <v>327.60000000000002</v>
      </c>
      <c r="R342">
        <f t="shared" si="37"/>
        <v>327.60000000000002</v>
      </c>
      <c r="S342">
        <f t="shared" si="38"/>
        <v>0</v>
      </c>
      <c r="X342">
        <f t="shared" si="34"/>
        <v>0</v>
      </c>
      <c r="Y342">
        <f t="shared" si="35"/>
        <v>0</v>
      </c>
      <c r="Z342">
        <f t="shared" si="36"/>
        <v>0</v>
      </c>
    </row>
    <row r="343" spans="1:26" x14ac:dyDescent="0.25">
      <c r="A343" s="2">
        <v>44868</v>
      </c>
      <c r="B343" s="3">
        <v>307</v>
      </c>
      <c r="C343" s="3">
        <v>300</v>
      </c>
      <c r="D343">
        <v>327.62830000000002</v>
      </c>
      <c r="E343">
        <v>2.9000000000000001E-2</v>
      </c>
      <c r="F343">
        <v>322.47969999999998</v>
      </c>
      <c r="G343">
        <v>328.47629999999998</v>
      </c>
      <c r="H343">
        <v>331.9289</v>
      </c>
      <c r="I343">
        <v>2.9000000000000001E-2</v>
      </c>
      <c r="J343">
        <v>3.5000000000000003E-2</v>
      </c>
      <c r="K343">
        <v>2.1000000000000001E-2</v>
      </c>
      <c r="L343">
        <v>2042.6</v>
      </c>
      <c r="M343">
        <v>2047.8</v>
      </c>
      <c r="N343">
        <v>2066</v>
      </c>
      <c r="Q343">
        <f t="shared" si="39"/>
        <v>327.60000000000002</v>
      </c>
      <c r="R343">
        <f t="shared" si="37"/>
        <v>327.60000000000002</v>
      </c>
      <c r="S343">
        <f t="shared" si="38"/>
        <v>0</v>
      </c>
      <c r="X343">
        <f t="shared" si="34"/>
        <v>0</v>
      </c>
      <c r="Y343">
        <f t="shared" si="35"/>
        <v>0</v>
      </c>
      <c r="Z343">
        <f t="shared" si="36"/>
        <v>0</v>
      </c>
    </row>
    <row r="344" spans="1:26" x14ac:dyDescent="0.25">
      <c r="A344" s="2">
        <v>44868</v>
      </c>
      <c r="B344" s="3">
        <v>307</v>
      </c>
      <c r="C344" s="3">
        <v>400</v>
      </c>
      <c r="D344">
        <v>327.62150000000003</v>
      </c>
      <c r="E344">
        <v>3.2000000000000001E-2</v>
      </c>
      <c r="F344">
        <v>322.45589999999999</v>
      </c>
      <c r="G344">
        <v>328.47969999999998</v>
      </c>
      <c r="H344">
        <v>331.92880000000002</v>
      </c>
      <c r="I344">
        <v>4.1000000000000002E-2</v>
      </c>
      <c r="J344">
        <v>3.1E-2</v>
      </c>
      <c r="K344">
        <v>0.02</v>
      </c>
      <c r="L344">
        <v>2042.6</v>
      </c>
      <c r="M344">
        <v>2048</v>
      </c>
      <c r="N344">
        <v>2066</v>
      </c>
      <c r="Q344">
        <f t="shared" si="39"/>
        <v>327.60000000000002</v>
      </c>
      <c r="R344">
        <f t="shared" si="37"/>
        <v>327.60000000000002</v>
      </c>
      <c r="S344">
        <f t="shared" si="38"/>
        <v>0</v>
      </c>
      <c r="X344">
        <f t="shared" si="34"/>
        <v>0</v>
      </c>
      <c r="Y344">
        <f t="shared" si="35"/>
        <v>0</v>
      </c>
      <c r="Z344">
        <f t="shared" si="36"/>
        <v>0</v>
      </c>
    </row>
    <row r="345" spans="1:26" x14ac:dyDescent="0.25">
      <c r="A345" s="2">
        <v>44868</v>
      </c>
      <c r="B345" s="3">
        <v>307</v>
      </c>
      <c r="C345" s="3">
        <v>500</v>
      </c>
      <c r="D345">
        <v>327.62279999999998</v>
      </c>
      <c r="E345">
        <v>3.5999999999999997E-2</v>
      </c>
      <c r="F345">
        <v>322.52179999999998</v>
      </c>
      <c r="G345">
        <v>328.41770000000002</v>
      </c>
      <c r="H345">
        <v>331.9289</v>
      </c>
      <c r="I345">
        <v>4.4999999999999998E-2</v>
      </c>
      <c r="J345">
        <v>3.9E-2</v>
      </c>
      <c r="K345">
        <v>2.1000000000000001E-2</v>
      </c>
      <c r="L345">
        <v>2042.6</v>
      </c>
      <c r="M345">
        <v>2048</v>
      </c>
      <c r="N345">
        <v>2066</v>
      </c>
      <c r="Q345">
        <f t="shared" si="39"/>
        <v>327.60000000000002</v>
      </c>
      <c r="R345">
        <f t="shared" si="37"/>
        <v>327.60000000000002</v>
      </c>
      <c r="S345">
        <f t="shared" si="38"/>
        <v>0</v>
      </c>
      <c r="X345">
        <f t="shared" si="34"/>
        <v>0</v>
      </c>
      <c r="Y345">
        <f t="shared" si="35"/>
        <v>0</v>
      </c>
      <c r="Z345">
        <f t="shared" si="36"/>
        <v>0</v>
      </c>
    </row>
    <row r="346" spans="1:26" x14ac:dyDescent="0.25">
      <c r="A346" s="2">
        <v>44868</v>
      </c>
      <c r="B346" s="3">
        <v>307</v>
      </c>
      <c r="C346" s="3">
        <v>600</v>
      </c>
      <c r="D346">
        <v>327.66930000000002</v>
      </c>
      <c r="E346">
        <v>2.9000000000000001E-2</v>
      </c>
      <c r="F346">
        <v>322.58330000000001</v>
      </c>
      <c r="G346">
        <v>328.50560000000002</v>
      </c>
      <c r="H346">
        <v>331.91910000000001</v>
      </c>
      <c r="I346">
        <v>2.8000000000000001E-2</v>
      </c>
      <c r="J346">
        <v>3.5999999999999997E-2</v>
      </c>
      <c r="K346">
        <v>2.1000000000000001E-2</v>
      </c>
      <c r="L346">
        <v>2042.8</v>
      </c>
      <c r="M346">
        <v>2048</v>
      </c>
      <c r="N346">
        <v>2065.8000000000002</v>
      </c>
      <c r="Q346">
        <f t="shared" si="39"/>
        <v>327.7</v>
      </c>
      <c r="R346">
        <f t="shared" si="37"/>
        <v>327.7</v>
      </c>
      <c r="S346">
        <f t="shared" si="38"/>
        <v>9.9999999999965894E-2</v>
      </c>
      <c r="X346">
        <f t="shared" si="34"/>
        <v>0</v>
      </c>
      <c r="Y346">
        <f t="shared" si="35"/>
        <v>0</v>
      </c>
      <c r="Z346">
        <f t="shared" si="36"/>
        <v>0</v>
      </c>
    </row>
    <row r="347" spans="1:26" x14ac:dyDescent="0.25">
      <c r="A347" s="2">
        <v>44868</v>
      </c>
      <c r="B347" s="3">
        <v>307</v>
      </c>
      <c r="C347" s="3">
        <v>700</v>
      </c>
      <c r="D347">
        <v>327.65750000000003</v>
      </c>
      <c r="E347">
        <v>2.5999999999999999E-2</v>
      </c>
      <c r="F347">
        <v>322.57830000000001</v>
      </c>
      <c r="G347">
        <v>328.48450000000003</v>
      </c>
      <c r="H347">
        <v>331.90960000000001</v>
      </c>
      <c r="I347">
        <v>0.02</v>
      </c>
      <c r="J347">
        <v>2.4E-2</v>
      </c>
      <c r="K347">
        <v>3.3000000000000002E-2</v>
      </c>
      <c r="L347">
        <v>2042.8</v>
      </c>
      <c r="M347">
        <v>2048</v>
      </c>
      <c r="N347">
        <v>2066</v>
      </c>
      <c r="Q347">
        <f t="shared" si="39"/>
        <v>327.7</v>
      </c>
      <c r="R347">
        <f t="shared" si="37"/>
        <v>327.7</v>
      </c>
      <c r="S347">
        <f t="shared" si="38"/>
        <v>0</v>
      </c>
      <c r="X347">
        <f t="shared" si="34"/>
        <v>0</v>
      </c>
      <c r="Y347">
        <f t="shared" si="35"/>
        <v>0</v>
      </c>
      <c r="Z347">
        <f t="shared" si="36"/>
        <v>0</v>
      </c>
    </row>
    <row r="348" spans="1:26" x14ac:dyDescent="0.25">
      <c r="A348" s="2">
        <v>44868</v>
      </c>
      <c r="B348" s="3">
        <v>307</v>
      </c>
      <c r="C348" s="3">
        <v>800</v>
      </c>
      <c r="D348">
        <v>327.62220000000002</v>
      </c>
      <c r="E348">
        <v>3.7999999999999999E-2</v>
      </c>
      <c r="F348">
        <v>322.59100000000001</v>
      </c>
      <c r="G348">
        <v>328.42849999999999</v>
      </c>
      <c r="H348">
        <v>331.84699999999998</v>
      </c>
      <c r="I348">
        <v>3.5999999999999997E-2</v>
      </c>
      <c r="J348">
        <v>4.3999999999999997E-2</v>
      </c>
      <c r="K348">
        <v>3.3000000000000002E-2</v>
      </c>
      <c r="L348">
        <v>2042.8</v>
      </c>
      <c r="M348">
        <v>2047.8</v>
      </c>
      <c r="N348">
        <v>2065.8000000000002</v>
      </c>
      <c r="Q348">
        <f t="shared" si="39"/>
        <v>327.60000000000002</v>
      </c>
      <c r="R348">
        <f t="shared" si="37"/>
        <v>327.7</v>
      </c>
      <c r="S348">
        <f t="shared" si="38"/>
        <v>0</v>
      </c>
      <c r="X348">
        <f t="shared" ref="X348:X382" si="40">U348</f>
        <v>0</v>
      </c>
      <c r="Y348">
        <f t="shared" ref="Y348:Y382" si="41">V348</f>
        <v>0</v>
      </c>
      <c r="Z348">
        <f t="shared" si="36"/>
        <v>0</v>
      </c>
    </row>
    <row r="349" spans="1:26" x14ac:dyDescent="0.25">
      <c r="A349" s="2">
        <v>44868</v>
      </c>
      <c r="B349" s="3">
        <v>307</v>
      </c>
      <c r="C349" s="3">
        <v>900</v>
      </c>
      <c r="D349">
        <v>327.55619999999999</v>
      </c>
      <c r="E349">
        <v>3.1E-2</v>
      </c>
      <c r="F349">
        <v>322.48610000000002</v>
      </c>
      <c r="G349">
        <v>328.3981</v>
      </c>
      <c r="H349">
        <v>331.78440000000001</v>
      </c>
      <c r="I349">
        <v>1.7000000000000001E-2</v>
      </c>
      <c r="J349">
        <v>2.1000000000000001E-2</v>
      </c>
      <c r="K349">
        <v>4.5999999999999999E-2</v>
      </c>
      <c r="L349">
        <v>2042.6</v>
      </c>
      <c r="M349">
        <v>2047.8</v>
      </c>
      <c r="N349">
        <v>2065.8000000000002</v>
      </c>
      <c r="Q349">
        <f t="shared" si="39"/>
        <v>327.60000000000002</v>
      </c>
      <c r="R349">
        <f t="shared" si="37"/>
        <v>327.7</v>
      </c>
      <c r="S349">
        <f t="shared" si="38"/>
        <v>0</v>
      </c>
      <c r="X349">
        <f t="shared" si="40"/>
        <v>0</v>
      </c>
      <c r="Y349">
        <f t="shared" si="41"/>
        <v>0</v>
      </c>
      <c r="Z349">
        <f t="shared" ref="Z349:Z382" si="42">Z348+Y349</f>
        <v>0</v>
      </c>
    </row>
    <row r="350" spans="1:26" x14ac:dyDescent="0.25">
      <c r="A350" s="2">
        <v>44868</v>
      </c>
      <c r="B350" s="3">
        <v>307</v>
      </c>
      <c r="C350" s="3">
        <v>1000</v>
      </c>
      <c r="D350">
        <v>327.5018</v>
      </c>
      <c r="E350">
        <v>0.04</v>
      </c>
      <c r="F350">
        <v>322.4162</v>
      </c>
      <c r="G350">
        <v>328.36930000000001</v>
      </c>
      <c r="H350">
        <v>331.7201</v>
      </c>
      <c r="I350">
        <v>0.04</v>
      </c>
      <c r="J350">
        <v>4.2000000000000003E-2</v>
      </c>
      <c r="K350">
        <v>3.7999999999999999E-2</v>
      </c>
      <c r="L350">
        <v>2042.4</v>
      </c>
      <c r="M350">
        <v>2047.6</v>
      </c>
      <c r="N350">
        <v>2065.6</v>
      </c>
      <c r="Q350">
        <f t="shared" si="39"/>
        <v>327.5</v>
      </c>
      <c r="R350">
        <f t="shared" si="37"/>
        <v>327.7</v>
      </c>
      <c r="S350">
        <f t="shared" si="38"/>
        <v>0</v>
      </c>
      <c r="X350">
        <f t="shared" si="40"/>
        <v>0</v>
      </c>
      <c r="Y350">
        <f t="shared" si="41"/>
        <v>0</v>
      </c>
      <c r="Z350">
        <f t="shared" si="42"/>
        <v>0</v>
      </c>
    </row>
    <row r="351" spans="1:26" x14ac:dyDescent="0.25">
      <c r="A351" s="2">
        <v>44868</v>
      </c>
      <c r="B351" s="3">
        <v>307</v>
      </c>
      <c r="C351" s="3">
        <v>1100</v>
      </c>
      <c r="D351">
        <v>327.44490000000002</v>
      </c>
      <c r="E351">
        <v>3.9E-2</v>
      </c>
      <c r="F351">
        <v>322.34620000000001</v>
      </c>
      <c r="G351">
        <v>328.3116</v>
      </c>
      <c r="H351">
        <v>331.67669999999998</v>
      </c>
      <c r="I351">
        <v>4.4999999999999998E-2</v>
      </c>
      <c r="J351">
        <v>2.9000000000000001E-2</v>
      </c>
      <c r="K351">
        <v>4.2000000000000003E-2</v>
      </c>
      <c r="L351">
        <v>2042.2</v>
      </c>
      <c r="M351">
        <v>2047.6</v>
      </c>
      <c r="N351">
        <v>2065.4</v>
      </c>
      <c r="Q351">
        <f t="shared" si="39"/>
        <v>327.39999999999998</v>
      </c>
      <c r="R351">
        <f t="shared" si="37"/>
        <v>327.7</v>
      </c>
      <c r="S351">
        <f t="shared" si="38"/>
        <v>0</v>
      </c>
      <c r="X351">
        <f t="shared" si="40"/>
        <v>0</v>
      </c>
      <c r="Y351">
        <f t="shared" si="41"/>
        <v>0</v>
      </c>
      <c r="Z351">
        <f t="shared" si="42"/>
        <v>0</v>
      </c>
    </row>
    <row r="352" spans="1:26" x14ac:dyDescent="0.25">
      <c r="A352" s="2">
        <v>44868</v>
      </c>
      <c r="B352" s="3">
        <v>307</v>
      </c>
      <c r="C352" s="3">
        <v>1200</v>
      </c>
      <c r="D352">
        <v>327.40550000000002</v>
      </c>
      <c r="E352">
        <v>3.5999999999999997E-2</v>
      </c>
      <c r="F352">
        <v>322.26519999999999</v>
      </c>
      <c r="G352">
        <v>328.29079999999999</v>
      </c>
      <c r="H352">
        <v>331.66070000000002</v>
      </c>
      <c r="I352">
        <v>4.3999999999999997E-2</v>
      </c>
      <c r="J352">
        <v>3.3000000000000002E-2</v>
      </c>
      <c r="K352">
        <v>0.03</v>
      </c>
      <c r="L352">
        <v>2042</v>
      </c>
      <c r="M352">
        <v>2047.4</v>
      </c>
      <c r="N352">
        <v>2065.4</v>
      </c>
      <c r="Q352">
        <f t="shared" si="39"/>
        <v>327.39999999999998</v>
      </c>
      <c r="R352">
        <f t="shared" si="37"/>
        <v>327.7</v>
      </c>
      <c r="S352">
        <f t="shared" si="38"/>
        <v>0</v>
      </c>
      <c r="X352">
        <f t="shared" si="40"/>
        <v>0</v>
      </c>
      <c r="Y352">
        <f t="shared" si="41"/>
        <v>0</v>
      </c>
      <c r="Z352">
        <f t="shared" si="42"/>
        <v>0</v>
      </c>
    </row>
    <row r="353" spans="1:26" x14ac:dyDescent="0.25">
      <c r="A353" s="2">
        <v>44868</v>
      </c>
      <c r="B353" s="3">
        <v>307</v>
      </c>
      <c r="C353" s="3">
        <v>1300</v>
      </c>
      <c r="D353">
        <v>327.46260000000001</v>
      </c>
      <c r="E353">
        <v>3.7999999999999999E-2</v>
      </c>
      <c r="F353">
        <v>322.31119999999999</v>
      </c>
      <c r="G353">
        <v>328.3501</v>
      </c>
      <c r="H353">
        <v>331.72649999999999</v>
      </c>
      <c r="I353">
        <v>3.3000000000000002E-2</v>
      </c>
      <c r="J353">
        <v>4.5999999999999999E-2</v>
      </c>
      <c r="K353">
        <v>3.3000000000000002E-2</v>
      </c>
      <c r="L353">
        <v>2042.2</v>
      </c>
      <c r="M353">
        <v>2047.6</v>
      </c>
      <c r="N353">
        <v>2065.6</v>
      </c>
      <c r="Q353">
        <f t="shared" si="39"/>
        <v>327.5</v>
      </c>
      <c r="R353">
        <f t="shared" si="37"/>
        <v>327.7</v>
      </c>
      <c r="S353">
        <f t="shared" si="38"/>
        <v>0</v>
      </c>
      <c r="X353">
        <f t="shared" si="40"/>
        <v>0</v>
      </c>
      <c r="Y353">
        <f t="shared" si="41"/>
        <v>0</v>
      </c>
      <c r="Z353">
        <f t="shared" si="42"/>
        <v>0</v>
      </c>
    </row>
    <row r="354" spans="1:26" x14ac:dyDescent="0.25">
      <c r="A354" s="2">
        <v>44868</v>
      </c>
      <c r="B354" s="3">
        <v>307</v>
      </c>
      <c r="C354" s="3">
        <v>1400</v>
      </c>
      <c r="D354">
        <v>327.88799999999998</v>
      </c>
      <c r="E354">
        <v>4.4999999999999998E-2</v>
      </c>
      <c r="F354">
        <v>322.71339999999998</v>
      </c>
      <c r="G354">
        <v>328.78710000000001</v>
      </c>
      <c r="H354">
        <v>332.16340000000002</v>
      </c>
      <c r="I354">
        <v>4.4999999999999998E-2</v>
      </c>
      <c r="J354">
        <v>4.3999999999999997E-2</v>
      </c>
      <c r="K354">
        <v>4.4999999999999998E-2</v>
      </c>
      <c r="L354">
        <v>2043.2</v>
      </c>
      <c r="M354">
        <v>2048.8000000000002</v>
      </c>
      <c r="N354">
        <v>2066.6</v>
      </c>
      <c r="Q354">
        <f t="shared" si="39"/>
        <v>327.9</v>
      </c>
      <c r="R354">
        <f t="shared" ref="R354:R417" si="43">ROUND(IF(Q354&lt;R353,R353,Q354),1)</f>
        <v>327.9</v>
      </c>
      <c r="S354">
        <f t="shared" si="38"/>
        <v>0.19999999999998863</v>
      </c>
      <c r="X354">
        <f t="shared" si="40"/>
        <v>0</v>
      </c>
      <c r="Y354">
        <f t="shared" si="41"/>
        <v>0</v>
      </c>
      <c r="Z354">
        <f t="shared" si="42"/>
        <v>0</v>
      </c>
    </row>
    <row r="355" spans="1:26" x14ac:dyDescent="0.25">
      <c r="A355" s="2">
        <v>44868</v>
      </c>
      <c r="B355" s="3">
        <v>307</v>
      </c>
      <c r="C355" s="3">
        <v>1500</v>
      </c>
      <c r="D355">
        <v>328.74779999999998</v>
      </c>
      <c r="E355">
        <v>3.9E-2</v>
      </c>
      <c r="F355">
        <v>323.53429999999997</v>
      </c>
      <c r="G355">
        <v>329.66180000000003</v>
      </c>
      <c r="H355">
        <v>333.04719999999998</v>
      </c>
      <c r="I355">
        <v>4.3999999999999997E-2</v>
      </c>
      <c r="J355">
        <v>3.2000000000000001E-2</v>
      </c>
      <c r="K355">
        <v>0.04</v>
      </c>
      <c r="L355">
        <v>2045</v>
      </c>
      <c r="M355">
        <v>2050.6</v>
      </c>
      <c r="N355">
        <v>2068.6</v>
      </c>
      <c r="Q355">
        <f t="shared" si="39"/>
        <v>328.7</v>
      </c>
      <c r="R355">
        <f t="shared" si="43"/>
        <v>328.7</v>
      </c>
      <c r="S355">
        <f t="shared" si="38"/>
        <v>0.80000000000001137</v>
      </c>
      <c r="X355">
        <f t="shared" si="40"/>
        <v>0</v>
      </c>
      <c r="Y355">
        <f t="shared" si="41"/>
        <v>0</v>
      </c>
      <c r="Z355">
        <f t="shared" si="42"/>
        <v>0</v>
      </c>
    </row>
    <row r="356" spans="1:26" x14ac:dyDescent="0.25">
      <c r="A356" s="2">
        <v>44868</v>
      </c>
      <c r="B356" s="3">
        <v>307</v>
      </c>
      <c r="C356" s="3">
        <v>1600</v>
      </c>
      <c r="D356">
        <v>329.21420000000001</v>
      </c>
      <c r="E356">
        <v>3.4000000000000002E-2</v>
      </c>
      <c r="F356">
        <v>324.00549999999998</v>
      </c>
      <c r="G356">
        <v>330.13959999999997</v>
      </c>
      <c r="H356">
        <v>333.49759999999998</v>
      </c>
      <c r="I356">
        <v>3.6999999999999998E-2</v>
      </c>
      <c r="J356">
        <v>3.1E-2</v>
      </c>
      <c r="K356">
        <v>3.5000000000000003E-2</v>
      </c>
      <c r="L356">
        <v>2046</v>
      </c>
      <c r="M356">
        <v>2051.6</v>
      </c>
      <c r="N356">
        <v>2069.6</v>
      </c>
      <c r="Q356">
        <f t="shared" si="39"/>
        <v>329.2</v>
      </c>
      <c r="R356">
        <f t="shared" si="43"/>
        <v>329.2</v>
      </c>
      <c r="S356">
        <f t="shared" si="38"/>
        <v>0.5</v>
      </c>
      <c r="X356">
        <f t="shared" si="40"/>
        <v>0</v>
      </c>
      <c r="Y356">
        <f t="shared" si="41"/>
        <v>0</v>
      </c>
      <c r="Z356">
        <f t="shared" si="42"/>
        <v>0</v>
      </c>
    </row>
    <row r="357" spans="1:26" x14ac:dyDescent="0.25">
      <c r="A357" s="2">
        <v>44868</v>
      </c>
      <c r="B357" s="3">
        <v>307</v>
      </c>
      <c r="C357" s="3">
        <v>1700</v>
      </c>
      <c r="D357">
        <v>330.26510000000002</v>
      </c>
      <c r="E357">
        <v>0.06</v>
      </c>
      <c r="F357">
        <v>325.01080000000002</v>
      </c>
      <c r="G357">
        <v>331.19380000000001</v>
      </c>
      <c r="H357">
        <v>334.59059999999999</v>
      </c>
      <c r="I357">
        <v>5.8000000000000003E-2</v>
      </c>
      <c r="J357">
        <v>6.0999999999999999E-2</v>
      </c>
      <c r="K357">
        <v>0.06</v>
      </c>
      <c r="L357">
        <v>2048.1999999999998</v>
      </c>
      <c r="M357">
        <v>2054.1999999999998</v>
      </c>
      <c r="N357">
        <v>2072</v>
      </c>
      <c r="Q357">
        <f t="shared" si="39"/>
        <v>330.3</v>
      </c>
      <c r="R357">
        <f t="shared" si="43"/>
        <v>330.3</v>
      </c>
      <c r="S357">
        <f t="shared" ref="S357:S420" si="44">IF(R357&gt;R356,R357-R356,0)</f>
        <v>1.1000000000000227</v>
      </c>
      <c r="X357">
        <f t="shared" si="40"/>
        <v>0</v>
      </c>
      <c r="Y357">
        <f t="shared" si="41"/>
        <v>0</v>
      </c>
      <c r="Z357">
        <f t="shared" si="42"/>
        <v>0</v>
      </c>
    </row>
    <row r="358" spans="1:26" x14ac:dyDescent="0.25">
      <c r="A358" s="2">
        <v>44868</v>
      </c>
      <c r="B358" s="3">
        <v>307</v>
      </c>
      <c r="C358" s="3">
        <v>1800</v>
      </c>
      <c r="D358">
        <v>332.40199999999999</v>
      </c>
      <c r="E358">
        <v>5.0999999999999997E-2</v>
      </c>
      <c r="F358">
        <v>327.16419999999999</v>
      </c>
      <c r="G358">
        <v>333.34179999999998</v>
      </c>
      <c r="H358">
        <v>336.7</v>
      </c>
      <c r="I358">
        <v>5.0999999999999997E-2</v>
      </c>
      <c r="J358">
        <v>0.05</v>
      </c>
      <c r="K358">
        <v>5.1999999999999998E-2</v>
      </c>
      <c r="L358">
        <v>2053.1999999999998</v>
      </c>
      <c r="M358">
        <v>2058.8000000000002</v>
      </c>
      <c r="N358">
        <v>2076.6</v>
      </c>
      <c r="Q358">
        <f t="shared" si="39"/>
        <v>332.4</v>
      </c>
      <c r="R358">
        <f t="shared" si="43"/>
        <v>332.4</v>
      </c>
      <c r="S358">
        <f t="shared" si="44"/>
        <v>2.0999999999999659</v>
      </c>
      <c r="X358">
        <f t="shared" si="40"/>
        <v>0</v>
      </c>
      <c r="Y358">
        <f t="shared" si="41"/>
        <v>0</v>
      </c>
      <c r="Z358">
        <f t="shared" si="42"/>
        <v>0</v>
      </c>
    </row>
    <row r="359" spans="1:26" x14ac:dyDescent="0.25">
      <c r="A359" s="2">
        <v>44868</v>
      </c>
      <c r="B359" s="3">
        <v>307</v>
      </c>
      <c r="C359" s="3">
        <v>1900</v>
      </c>
      <c r="D359">
        <v>333.56180000000001</v>
      </c>
      <c r="E359">
        <v>4.5999999999999999E-2</v>
      </c>
      <c r="F359">
        <v>328.31889999999999</v>
      </c>
      <c r="G359">
        <v>334.50630000000001</v>
      </c>
      <c r="H359">
        <v>337.86020000000002</v>
      </c>
      <c r="I359">
        <v>4.2999999999999997E-2</v>
      </c>
      <c r="J359">
        <v>0.05</v>
      </c>
      <c r="K359">
        <v>4.3999999999999997E-2</v>
      </c>
      <c r="L359">
        <v>2055.6</v>
      </c>
      <c r="M359">
        <v>2061.4</v>
      </c>
      <c r="N359">
        <v>2079</v>
      </c>
      <c r="Q359">
        <f t="shared" si="39"/>
        <v>333.6</v>
      </c>
      <c r="R359">
        <f t="shared" si="43"/>
        <v>333.6</v>
      </c>
      <c r="S359">
        <f t="shared" si="44"/>
        <v>1.2000000000000455</v>
      </c>
      <c r="X359">
        <f t="shared" si="40"/>
        <v>0</v>
      </c>
      <c r="Y359">
        <f t="shared" si="41"/>
        <v>0</v>
      </c>
      <c r="Z359">
        <f t="shared" si="42"/>
        <v>0</v>
      </c>
    </row>
    <row r="360" spans="1:26" x14ac:dyDescent="0.25">
      <c r="A360" s="2">
        <v>44868</v>
      </c>
      <c r="B360" s="3">
        <v>307</v>
      </c>
      <c r="C360" s="3">
        <v>2000</v>
      </c>
      <c r="D360">
        <v>334.64089999999999</v>
      </c>
      <c r="E360">
        <v>4.7E-2</v>
      </c>
      <c r="F360">
        <v>329.4015</v>
      </c>
      <c r="G360">
        <v>335.60469999999998</v>
      </c>
      <c r="H360">
        <v>338.91660000000002</v>
      </c>
      <c r="I360">
        <v>4.7E-2</v>
      </c>
      <c r="J360">
        <v>4.5999999999999999E-2</v>
      </c>
      <c r="K360">
        <v>4.7E-2</v>
      </c>
      <c r="L360">
        <v>2057.8000000000002</v>
      </c>
      <c r="M360">
        <v>2063.6</v>
      </c>
      <c r="N360">
        <v>2081.4</v>
      </c>
      <c r="Q360">
        <f t="shared" si="39"/>
        <v>334.6</v>
      </c>
      <c r="R360">
        <f t="shared" si="43"/>
        <v>334.6</v>
      </c>
      <c r="S360">
        <f t="shared" si="44"/>
        <v>1</v>
      </c>
      <c r="X360">
        <f t="shared" si="40"/>
        <v>0</v>
      </c>
      <c r="Y360">
        <f t="shared" si="41"/>
        <v>0</v>
      </c>
      <c r="Z360">
        <f t="shared" si="42"/>
        <v>0</v>
      </c>
    </row>
    <row r="361" spans="1:26" x14ac:dyDescent="0.25">
      <c r="A361" s="2">
        <v>44868</v>
      </c>
      <c r="B361" s="3">
        <v>307</v>
      </c>
      <c r="C361" s="3">
        <v>2100</v>
      </c>
      <c r="D361">
        <v>335.32400000000001</v>
      </c>
      <c r="E361">
        <v>4.3999999999999997E-2</v>
      </c>
      <c r="F361">
        <v>330.07459999999998</v>
      </c>
      <c r="G361">
        <v>336.29899999999998</v>
      </c>
      <c r="H361">
        <v>339.59840000000003</v>
      </c>
      <c r="I361">
        <v>4.4999999999999998E-2</v>
      </c>
      <c r="J361">
        <v>4.2000000000000003E-2</v>
      </c>
      <c r="K361">
        <v>4.5999999999999999E-2</v>
      </c>
      <c r="L361">
        <v>2059.1999999999998</v>
      </c>
      <c r="M361">
        <v>2065.1999999999998</v>
      </c>
      <c r="N361">
        <v>2082.8000000000002</v>
      </c>
      <c r="Q361">
        <f t="shared" si="39"/>
        <v>335.3</v>
      </c>
      <c r="R361">
        <f t="shared" si="43"/>
        <v>335.3</v>
      </c>
      <c r="S361">
        <f t="shared" si="44"/>
        <v>0.69999999999998863</v>
      </c>
      <c r="X361">
        <f t="shared" si="40"/>
        <v>0</v>
      </c>
      <c r="Y361">
        <f t="shared" si="41"/>
        <v>0</v>
      </c>
      <c r="Z361">
        <f t="shared" si="42"/>
        <v>0</v>
      </c>
    </row>
    <row r="362" spans="1:26" x14ac:dyDescent="0.25">
      <c r="A362" s="2">
        <v>44868</v>
      </c>
      <c r="B362" s="3">
        <v>307</v>
      </c>
      <c r="C362" s="3">
        <v>2200</v>
      </c>
      <c r="D362">
        <v>335.8075</v>
      </c>
      <c r="E362">
        <v>4.2999999999999997E-2</v>
      </c>
      <c r="F362">
        <v>330.55590000000001</v>
      </c>
      <c r="G362">
        <v>336.78359999999998</v>
      </c>
      <c r="H362">
        <v>340.08300000000003</v>
      </c>
      <c r="I362">
        <v>4.2000000000000003E-2</v>
      </c>
      <c r="J362">
        <v>4.5999999999999999E-2</v>
      </c>
      <c r="K362">
        <v>4.2000000000000003E-2</v>
      </c>
      <c r="L362">
        <v>2060.4</v>
      </c>
      <c r="M362">
        <v>2066.1999999999998</v>
      </c>
      <c r="N362">
        <v>2083.8000000000002</v>
      </c>
      <c r="Q362">
        <f t="shared" si="39"/>
        <v>335.8</v>
      </c>
      <c r="R362">
        <f t="shared" si="43"/>
        <v>335.8</v>
      </c>
      <c r="S362">
        <f t="shared" si="44"/>
        <v>0.5</v>
      </c>
      <c r="X362">
        <f t="shared" si="40"/>
        <v>0</v>
      </c>
      <c r="Y362">
        <f t="shared" si="41"/>
        <v>0</v>
      </c>
      <c r="Z362">
        <f t="shared" si="42"/>
        <v>0</v>
      </c>
    </row>
    <row r="363" spans="1:26" x14ac:dyDescent="0.25">
      <c r="A363" s="2">
        <v>44868</v>
      </c>
      <c r="B363" s="3">
        <v>307</v>
      </c>
      <c r="C363" s="3">
        <v>2300</v>
      </c>
      <c r="D363">
        <v>336.6078</v>
      </c>
      <c r="E363">
        <v>4.2000000000000003E-2</v>
      </c>
      <c r="F363">
        <v>331.35059999999999</v>
      </c>
      <c r="G363">
        <v>337.5872</v>
      </c>
      <c r="H363">
        <v>340.88569999999999</v>
      </c>
      <c r="I363">
        <v>4.3999999999999997E-2</v>
      </c>
      <c r="J363">
        <v>3.7999999999999999E-2</v>
      </c>
      <c r="K363">
        <v>4.4999999999999998E-2</v>
      </c>
      <c r="L363">
        <v>2062.1999999999998</v>
      </c>
      <c r="M363">
        <v>2068</v>
      </c>
      <c r="N363">
        <v>2085.6</v>
      </c>
      <c r="Q363">
        <f t="shared" si="39"/>
        <v>336.6</v>
      </c>
      <c r="R363">
        <f t="shared" si="43"/>
        <v>336.6</v>
      </c>
      <c r="S363">
        <f t="shared" si="44"/>
        <v>0.80000000000001137</v>
      </c>
      <c r="X363">
        <f t="shared" si="40"/>
        <v>0</v>
      </c>
      <c r="Y363">
        <f t="shared" si="41"/>
        <v>0</v>
      </c>
      <c r="Z363">
        <f t="shared" si="42"/>
        <v>0</v>
      </c>
    </row>
    <row r="364" spans="1:26" x14ac:dyDescent="0.25">
      <c r="A364" s="2">
        <v>44868</v>
      </c>
      <c r="B364" s="3">
        <v>307</v>
      </c>
      <c r="C364" s="3">
        <v>2400</v>
      </c>
      <c r="D364">
        <v>337.54419999999999</v>
      </c>
      <c r="E364">
        <v>4.7E-2</v>
      </c>
      <c r="F364">
        <v>332.27440000000001</v>
      </c>
      <c r="G364">
        <v>338.5308</v>
      </c>
      <c r="H364">
        <v>341.8272</v>
      </c>
      <c r="I364">
        <v>4.5999999999999999E-2</v>
      </c>
      <c r="J364">
        <v>4.5999999999999999E-2</v>
      </c>
      <c r="K364">
        <v>4.9000000000000002E-2</v>
      </c>
      <c r="L364">
        <v>2064.1999999999998</v>
      </c>
      <c r="M364">
        <v>2070</v>
      </c>
      <c r="N364">
        <v>2087.8000000000002</v>
      </c>
      <c r="Q364">
        <f t="shared" si="39"/>
        <v>337.5</v>
      </c>
      <c r="R364">
        <f t="shared" si="43"/>
        <v>337.5</v>
      </c>
      <c r="S364">
        <f t="shared" si="44"/>
        <v>0.89999999999997726</v>
      </c>
      <c r="X364">
        <f t="shared" si="40"/>
        <v>0</v>
      </c>
      <c r="Y364">
        <f t="shared" si="41"/>
        <v>0</v>
      </c>
      <c r="Z364">
        <f t="shared" si="42"/>
        <v>0</v>
      </c>
    </row>
    <row r="365" spans="1:26" x14ac:dyDescent="0.25">
      <c r="A365" s="2">
        <v>44869</v>
      </c>
      <c r="B365" s="3">
        <v>308</v>
      </c>
      <c r="C365" s="3">
        <v>100</v>
      </c>
      <c r="D365">
        <v>338.51710000000003</v>
      </c>
      <c r="E365">
        <v>4.2000000000000003E-2</v>
      </c>
      <c r="F365">
        <v>333.24279999999999</v>
      </c>
      <c r="G365">
        <v>339.50450000000001</v>
      </c>
      <c r="H365">
        <v>342.8039</v>
      </c>
      <c r="I365">
        <v>0.04</v>
      </c>
      <c r="J365">
        <v>4.3999999999999997E-2</v>
      </c>
      <c r="K365">
        <v>4.2999999999999997E-2</v>
      </c>
      <c r="L365">
        <v>2066.4</v>
      </c>
      <c r="M365">
        <v>2072.1999999999998</v>
      </c>
      <c r="N365">
        <v>2089.8000000000002</v>
      </c>
      <c r="Q365">
        <f t="shared" si="39"/>
        <v>338.5</v>
      </c>
      <c r="R365">
        <f t="shared" si="43"/>
        <v>338.5</v>
      </c>
      <c r="S365">
        <f t="shared" si="44"/>
        <v>1</v>
      </c>
      <c r="X365">
        <f t="shared" si="40"/>
        <v>0</v>
      </c>
      <c r="Y365">
        <f t="shared" si="41"/>
        <v>0</v>
      </c>
      <c r="Z365">
        <f t="shared" si="42"/>
        <v>0</v>
      </c>
    </row>
    <row r="366" spans="1:26" x14ac:dyDescent="0.25">
      <c r="A366" s="2">
        <v>44869</v>
      </c>
      <c r="B366" s="3">
        <v>308</v>
      </c>
      <c r="C366" s="3">
        <v>200</v>
      </c>
      <c r="D366">
        <v>339.50459999999998</v>
      </c>
      <c r="E366">
        <v>4.2000000000000003E-2</v>
      </c>
      <c r="F366">
        <v>334.22030000000001</v>
      </c>
      <c r="G366">
        <v>340.49560000000002</v>
      </c>
      <c r="H366">
        <v>343.79790000000003</v>
      </c>
      <c r="I366">
        <v>4.2999999999999997E-2</v>
      </c>
      <c r="J366">
        <v>4.2000000000000003E-2</v>
      </c>
      <c r="K366">
        <v>4.2000000000000003E-2</v>
      </c>
      <c r="L366">
        <v>2068.4</v>
      </c>
      <c r="M366">
        <v>2074.1999999999998</v>
      </c>
      <c r="N366">
        <v>2092</v>
      </c>
      <c r="Q366">
        <f t="shared" si="39"/>
        <v>339.5</v>
      </c>
      <c r="R366">
        <f t="shared" si="43"/>
        <v>339.5</v>
      </c>
      <c r="S366">
        <f t="shared" si="44"/>
        <v>1</v>
      </c>
      <c r="X366">
        <f t="shared" si="40"/>
        <v>0</v>
      </c>
      <c r="Y366">
        <f t="shared" si="41"/>
        <v>0</v>
      </c>
      <c r="Z366">
        <f t="shared" si="42"/>
        <v>0</v>
      </c>
    </row>
    <row r="367" spans="1:26" x14ac:dyDescent="0.25">
      <c r="A367" s="2">
        <v>44869</v>
      </c>
      <c r="B367" s="3">
        <v>308</v>
      </c>
      <c r="C367" s="3">
        <v>300</v>
      </c>
      <c r="D367">
        <v>340.78160000000003</v>
      </c>
      <c r="E367">
        <v>5.1999999999999998E-2</v>
      </c>
      <c r="F367">
        <v>335.4846</v>
      </c>
      <c r="G367">
        <v>341.78030000000001</v>
      </c>
      <c r="H367">
        <v>345.07979999999998</v>
      </c>
      <c r="I367">
        <v>4.9000000000000002E-2</v>
      </c>
      <c r="J367">
        <v>5.1999999999999998E-2</v>
      </c>
      <c r="K367">
        <v>5.3999999999999999E-2</v>
      </c>
      <c r="L367">
        <v>2071.1999999999998</v>
      </c>
      <c r="M367">
        <v>2077</v>
      </c>
      <c r="N367">
        <v>2094.8000000000002</v>
      </c>
      <c r="Q367">
        <f t="shared" si="39"/>
        <v>340.8</v>
      </c>
      <c r="R367">
        <f t="shared" si="43"/>
        <v>340.8</v>
      </c>
      <c r="S367">
        <f t="shared" si="44"/>
        <v>1.3000000000000114</v>
      </c>
      <c r="X367">
        <f t="shared" si="40"/>
        <v>0</v>
      </c>
      <c r="Y367">
        <f t="shared" si="41"/>
        <v>0</v>
      </c>
      <c r="Z367">
        <f t="shared" si="42"/>
        <v>0</v>
      </c>
    </row>
    <row r="368" spans="1:26" x14ac:dyDescent="0.25">
      <c r="A368" s="2">
        <v>44869</v>
      </c>
      <c r="B368" s="3">
        <v>308</v>
      </c>
      <c r="C368" s="3">
        <v>400</v>
      </c>
      <c r="D368">
        <v>342.76389999999998</v>
      </c>
      <c r="E368">
        <v>5.6000000000000001E-2</v>
      </c>
      <c r="F368">
        <v>337.44560000000001</v>
      </c>
      <c r="G368">
        <v>343.77850000000001</v>
      </c>
      <c r="H368">
        <v>347.0675</v>
      </c>
      <c r="I368">
        <v>5.3999999999999999E-2</v>
      </c>
      <c r="J368">
        <v>5.8000000000000003E-2</v>
      </c>
      <c r="K368">
        <v>5.6000000000000001E-2</v>
      </c>
      <c r="L368">
        <v>2075.4</v>
      </c>
      <c r="M368">
        <v>2081.4</v>
      </c>
      <c r="N368">
        <v>2099</v>
      </c>
      <c r="Q368">
        <f t="shared" si="39"/>
        <v>342.8</v>
      </c>
      <c r="R368">
        <f t="shared" si="43"/>
        <v>342.8</v>
      </c>
      <c r="S368">
        <f t="shared" si="44"/>
        <v>2</v>
      </c>
      <c r="X368">
        <f t="shared" si="40"/>
        <v>0</v>
      </c>
      <c r="Y368">
        <f t="shared" si="41"/>
        <v>0</v>
      </c>
      <c r="Z368">
        <f t="shared" si="42"/>
        <v>0</v>
      </c>
    </row>
    <row r="369" spans="1:26" x14ac:dyDescent="0.25">
      <c r="A369" s="2">
        <v>44869</v>
      </c>
      <c r="B369" s="3">
        <v>308</v>
      </c>
      <c r="C369" s="3">
        <v>500</v>
      </c>
      <c r="D369">
        <v>344.85449999999997</v>
      </c>
      <c r="E369">
        <v>8.1000000000000003E-2</v>
      </c>
      <c r="F369">
        <v>339.51170000000002</v>
      </c>
      <c r="G369">
        <v>345.89550000000003</v>
      </c>
      <c r="H369">
        <v>349.15620000000001</v>
      </c>
      <c r="I369">
        <v>7.9000000000000001E-2</v>
      </c>
      <c r="J369">
        <v>8.3000000000000004E-2</v>
      </c>
      <c r="K369">
        <v>0.08</v>
      </c>
      <c r="L369">
        <v>2080.1999999999998</v>
      </c>
      <c r="M369">
        <v>2086</v>
      </c>
      <c r="N369">
        <v>2103.6</v>
      </c>
      <c r="Q369">
        <f t="shared" si="39"/>
        <v>344.9</v>
      </c>
      <c r="R369">
        <f t="shared" si="43"/>
        <v>344.9</v>
      </c>
      <c r="S369">
        <f t="shared" si="44"/>
        <v>2.0999999999999659</v>
      </c>
      <c r="X369">
        <f t="shared" si="40"/>
        <v>0</v>
      </c>
      <c r="Y369">
        <f t="shared" si="41"/>
        <v>0</v>
      </c>
      <c r="Z369">
        <f t="shared" si="42"/>
        <v>0</v>
      </c>
    </row>
    <row r="370" spans="1:26" x14ac:dyDescent="0.25">
      <c r="A370" s="2">
        <v>44869</v>
      </c>
      <c r="B370" s="3">
        <v>308</v>
      </c>
      <c r="C370" s="3">
        <v>600</v>
      </c>
      <c r="D370">
        <v>347.99639999999999</v>
      </c>
      <c r="E370">
        <v>0.08</v>
      </c>
      <c r="F370">
        <v>342.86380000000003</v>
      </c>
      <c r="G370">
        <v>348.87389999999999</v>
      </c>
      <c r="H370">
        <v>352.2516</v>
      </c>
      <c r="I370">
        <v>7.3999999999999996E-2</v>
      </c>
      <c r="J370">
        <v>8.3000000000000004E-2</v>
      </c>
      <c r="K370">
        <v>8.4000000000000005E-2</v>
      </c>
      <c r="L370">
        <v>2087.4</v>
      </c>
      <c r="M370">
        <v>2092.4</v>
      </c>
      <c r="N370">
        <v>2110.1999999999998</v>
      </c>
      <c r="Q370">
        <f t="shared" si="39"/>
        <v>348</v>
      </c>
      <c r="R370">
        <f t="shared" si="43"/>
        <v>348</v>
      </c>
      <c r="S370">
        <f t="shared" si="44"/>
        <v>3.1000000000000227</v>
      </c>
      <c r="X370">
        <f t="shared" si="40"/>
        <v>0</v>
      </c>
      <c r="Y370">
        <f t="shared" si="41"/>
        <v>0</v>
      </c>
      <c r="Z370">
        <f t="shared" si="42"/>
        <v>0</v>
      </c>
    </row>
    <row r="371" spans="1:26" x14ac:dyDescent="0.25">
      <c r="A371" s="2">
        <v>44869</v>
      </c>
      <c r="B371" s="3">
        <v>308</v>
      </c>
      <c r="C371" s="3">
        <v>700</v>
      </c>
      <c r="D371">
        <v>350.90839999999997</v>
      </c>
      <c r="E371">
        <v>8.1000000000000003E-2</v>
      </c>
      <c r="F371">
        <v>345.69959999999998</v>
      </c>
      <c r="G371">
        <v>351.82619999999997</v>
      </c>
      <c r="H371">
        <v>355.19929999999999</v>
      </c>
      <c r="I371">
        <v>7.8E-2</v>
      </c>
      <c r="J371">
        <v>8.4000000000000005E-2</v>
      </c>
      <c r="K371">
        <v>0.08</v>
      </c>
      <c r="L371">
        <v>2093.4</v>
      </c>
      <c r="M371">
        <v>2098.6</v>
      </c>
      <c r="N371">
        <v>2116.6</v>
      </c>
      <c r="Q371">
        <f t="shared" si="39"/>
        <v>350.9</v>
      </c>
      <c r="R371">
        <f t="shared" si="43"/>
        <v>350.9</v>
      </c>
      <c r="S371">
        <f t="shared" si="44"/>
        <v>2.8999999999999773</v>
      </c>
      <c r="X371">
        <f t="shared" si="40"/>
        <v>0</v>
      </c>
      <c r="Y371">
        <f t="shared" si="41"/>
        <v>0</v>
      </c>
      <c r="Z371">
        <f t="shared" si="42"/>
        <v>0</v>
      </c>
    </row>
    <row r="372" spans="1:26" x14ac:dyDescent="0.25">
      <c r="A372" s="2">
        <v>44869</v>
      </c>
      <c r="B372" s="3">
        <v>308</v>
      </c>
      <c r="C372" s="3">
        <v>800</v>
      </c>
      <c r="D372">
        <v>354.10899999999998</v>
      </c>
      <c r="E372">
        <v>7.5999999999999998E-2</v>
      </c>
      <c r="F372">
        <v>348.8784</v>
      </c>
      <c r="G372">
        <v>355.05369999999999</v>
      </c>
      <c r="H372">
        <v>358.39479999999998</v>
      </c>
      <c r="I372">
        <v>7.2999999999999995E-2</v>
      </c>
      <c r="J372">
        <v>7.8E-2</v>
      </c>
      <c r="K372">
        <v>7.5999999999999998E-2</v>
      </c>
      <c r="L372">
        <v>2100.1999999999998</v>
      </c>
      <c r="M372">
        <v>2105.6</v>
      </c>
      <c r="N372">
        <v>2123.1999999999998</v>
      </c>
      <c r="Q372">
        <f t="shared" si="39"/>
        <v>354.1</v>
      </c>
      <c r="R372">
        <f t="shared" si="43"/>
        <v>354.1</v>
      </c>
      <c r="S372">
        <f t="shared" si="44"/>
        <v>3.2000000000000455</v>
      </c>
      <c r="X372">
        <f t="shared" si="40"/>
        <v>0</v>
      </c>
      <c r="Y372">
        <f t="shared" si="41"/>
        <v>0</v>
      </c>
      <c r="Z372">
        <f t="shared" si="42"/>
        <v>0</v>
      </c>
    </row>
    <row r="373" spans="1:26" x14ac:dyDescent="0.25">
      <c r="A373" s="2">
        <v>44869</v>
      </c>
      <c r="B373" s="3">
        <v>308</v>
      </c>
      <c r="C373" s="3">
        <v>900</v>
      </c>
      <c r="D373">
        <v>357.50060000000002</v>
      </c>
      <c r="E373">
        <v>8.4000000000000005E-2</v>
      </c>
      <c r="F373">
        <v>352.23939999999999</v>
      </c>
      <c r="G373">
        <v>358.47160000000002</v>
      </c>
      <c r="H373">
        <v>361.79059999999998</v>
      </c>
      <c r="I373">
        <v>8.2000000000000003E-2</v>
      </c>
      <c r="J373">
        <v>8.5999999999999993E-2</v>
      </c>
      <c r="K373">
        <v>8.3000000000000004E-2</v>
      </c>
      <c r="L373">
        <v>2107.4</v>
      </c>
      <c r="M373">
        <v>2113</v>
      </c>
      <c r="N373">
        <v>2130.4</v>
      </c>
      <c r="Q373">
        <f t="shared" si="39"/>
        <v>357.5</v>
      </c>
      <c r="R373">
        <f t="shared" si="43"/>
        <v>357.5</v>
      </c>
      <c r="S373">
        <f t="shared" si="44"/>
        <v>3.3999999999999773</v>
      </c>
      <c r="X373">
        <f t="shared" si="40"/>
        <v>0</v>
      </c>
      <c r="Y373">
        <f t="shared" si="41"/>
        <v>0</v>
      </c>
      <c r="Z373">
        <f t="shared" si="42"/>
        <v>0</v>
      </c>
    </row>
    <row r="374" spans="1:26" x14ac:dyDescent="0.25">
      <c r="A374" s="2">
        <v>44869</v>
      </c>
      <c r="B374" s="3">
        <v>308</v>
      </c>
      <c r="C374" s="3">
        <v>1000</v>
      </c>
      <c r="D374">
        <v>359.99130000000002</v>
      </c>
      <c r="E374">
        <v>7.0000000000000007E-2</v>
      </c>
      <c r="F374">
        <v>354.71069999999997</v>
      </c>
      <c r="G374">
        <v>360.98860000000002</v>
      </c>
      <c r="H374">
        <v>364.27460000000002</v>
      </c>
      <c r="I374">
        <v>7.0000000000000007E-2</v>
      </c>
      <c r="J374">
        <v>6.9000000000000006E-2</v>
      </c>
      <c r="K374">
        <v>7.0000000000000007E-2</v>
      </c>
      <c r="L374">
        <v>2112.6</v>
      </c>
      <c r="M374">
        <v>2118.1999999999998</v>
      </c>
      <c r="N374">
        <v>2135.8000000000002</v>
      </c>
      <c r="Q374">
        <f t="shared" si="39"/>
        <v>360</v>
      </c>
      <c r="R374">
        <f t="shared" si="43"/>
        <v>360</v>
      </c>
      <c r="S374">
        <f t="shared" si="44"/>
        <v>2.5</v>
      </c>
      <c r="X374">
        <f t="shared" si="40"/>
        <v>0</v>
      </c>
      <c r="Y374">
        <f t="shared" si="41"/>
        <v>0</v>
      </c>
      <c r="Z374">
        <f t="shared" si="42"/>
        <v>0</v>
      </c>
    </row>
    <row r="375" spans="1:26" x14ac:dyDescent="0.25">
      <c r="A375" s="2">
        <v>44869</v>
      </c>
      <c r="B375" s="3">
        <v>308</v>
      </c>
      <c r="C375" s="3">
        <v>1100</v>
      </c>
      <c r="D375">
        <v>362.7022</v>
      </c>
      <c r="E375">
        <v>6.4000000000000001E-2</v>
      </c>
      <c r="F375">
        <v>357.39030000000002</v>
      </c>
      <c r="G375">
        <v>363.73399999999998</v>
      </c>
      <c r="H375">
        <v>366.98230000000001</v>
      </c>
      <c r="I375">
        <v>6.6000000000000003E-2</v>
      </c>
      <c r="J375">
        <v>6.2E-2</v>
      </c>
      <c r="K375">
        <v>6.4000000000000001E-2</v>
      </c>
      <c r="L375">
        <v>2118.4</v>
      </c>
      <c r="M375">
        <v>2123.8000000000002</v>
      </c>
      <c r="N375">
        <v>2141.4</v>
      </c>
      <c r="Q375">
        <f t="shared" si="39"/>
        <v>362.7</v>
      </c>
      <c r="R375">
        <f t="shared" si="43"/>
        <v>362.7</v>
      </c>
      <c r="S375">
        <f t="shared" si="44"/>
        <v>2.6999999999999886</v>
      </c>
      <c r="X375">
        <f t="shared" si="40"/>
        <v>0</v>
      </c>
      <c r="Y375">
        <f t="shared" si="41"/>
        <v>0</v>
      </c>
      <c r="Z375">
        <f t="shared" si="42"/>
        <v>0</v>
      </c>
    </row>
    <row r="376" spans="1:26" x14ac:dyDescent="0.25">
      <c r="A376" s="2">
        <v>44869</v>
      </c>
      <c r="B376" s="3">
        <v>308</v>
      </c>
      <c r="C376" s="3">
        <v>1200</v>
      </c>
      <c r="D376">
        <v>364.99310000000003</v>
      </c>
      <c r="E376">
        <v>4.1000000000000002E-2</v>
      </c>
      <c r="F376">
        <v>359.66160000000002</v>
      </c>
      <c r="G376">
        <v>366.05669999999998</v>
      </c>
      <c r="H376">
        <v>369.26089999999999</v>
      </c>
      <c r="I376">
        <v>4.1000000000000002E-2</v>
      </c>
      <c r="J376">
        <v>3.4000000000000002E-2</v>
      </c>
      <c r="K376">
        <v>4.7E-2</v>
      </c>
      <c r="L376">
        <v>2123</v>
      </c>
      <c r="M376">
        <v>2128.6</v>
      </c>
      <c r="N376">
        <v>2146</v>
      </c>
      <c r="Q376">
        <f t="shared" si="39"/>
        <v>365</v>
      </c>
      <c r="R376">
        <f t="shared" si="43"/>
        <v>365</v>
      </c>
      <c r="S376">
        <f t="shared" si="44"/>
        <v>2.3000000000000114</v>
      </c>
      <c r="X376">
        <f t="shared" si="40"/>
        <v>0</v>
      </c>
      <c r="Y376">
        <f t="shared" si="41"/>
        <v>0</v>
      </c>
      <c r="Z376">
        <f t="shared" si="42"/>
        <v>0</v>
      </c>
    </row>
    <row r="377" spans="1:26" x14ac:dyDescent="0.25">
      <c r="A377" s="2">
        <v>44869</v>
      </c>
      <c r="B377" s="3">
        <v>308</v>
      </c>
      <c r="C377" s="3">
        <v>1300</v>
      </c>
      <c r="D377">
        <v>365.85969999999998</v>
      </c>
      <c r="E377">
        <v>3.6999999999999998E-2</v>
      </c>
      <c r="F377">
        <v>360.524</v>
      </c>
      <c r="G377">
        <v>366.91680000000002</v>
      </c>
      <c r="H377">
        <v>370.13830000000002</v>
      </c>
      <c r="I377">
        <v>3.1E-2</v>
      </c>
      <c r="J377">
        <v>3.3000000000000002E-2</v>
      </c>
      <c r="K377">
        <v>4.5999999999999999E-2</v>
      </c>
      <c r="L377">
        <v>2124.8000000000002</v>
      </c>
      <c r="M377">
        <v>2130.4</v>
      </c>
      <c r="N377">
        <v>2147.8000000000002</v>
      </c>
      <c r="Q377">
        <f t="shared" si="39"/>
        <v>365.9</v>
      </c>
      <c r="R377">
        <f t="shared" si="43"/>
        <v>365.9</v>
      </c>
      <c r="S377">
        <f t="shared" si="44"/>
        <v>0.89999999999997726</v>
      </c>
      <c r="X377">
        <f t="shared" si="40"/>
        <v>0</v>
      </c>
      <c r="Y377">
        <f t="shared" si="41"/>
        <v>0</v>
      </c>
      <c r="Z377">
        <f t="shared" si="42"/>
        <v>0</v>
      </c>
    </row>
    <row r="378" spans="1:26" x14ac:dyDescent="0.25">
      <c r="A378" s="2">
        <v>44869</v>
      </c>
      <c r="B378" s="3">
        <v>308</v>
      </c>
      <c r="C378" s="3">
        <v>1400</v>
      </c>
      <c r="D378">
        <v>366.02659999999997</v>
      </c>
      <c r="E378">
        <v>4.2000000000000003E-2</v>
      </c>
      <c r="F378">
        <v>360.69150000000002</v>
      </c>
      <c r="G378">
        <v>367.08069999999998</v>
      </c>
      <c r="H378">
        <v>370.3075</v>
      </c>
      <c r="I378">
        <v>4.4999999999999998E-2</v>
      </c>
      <c r="J378">
        <v>3.3000000000000002E-2</v>
      </c>
      <c r="K378">
        <v>4.7E-2</v>
      </c>
      <c r="L378">
        <v>2125.1999999999998</v>
      </c>
      <c r="M378">
        <v>2130.8000000000002</v>
      </c>
      <c r="N378">
        <v>2148</v>
      </c>
      <c r="Q378">
        <f t="shared" si="39"/>
        <v>366</v>
      </c>
      <c r="R378">
        <f t="shared" si="43"/>
        <v>366</v>
      </c>
      <c r="S378">
        <f t="shared" si="44"/>
        <v>0.10000000000002274</v>
      </c>
      <c r="X378">
        <f t="shared" si="40"/>
        <v>0</v>
      </c>
      <c r="Y378">
        <f t="shared" si="41"/>
        <v>0</v>
      </c>
      <c r="Z378">
        <f t="shared" si="42"/>
        <v>0</v>
      </c>
    </row>
    <row r="379" spans="1:26" x14ac:dyDescent="0.25">
      <c r="A379" s="2">
        <v>44869</v>
      </c>
      <c r="B379" s="3">
        <v>308</v>
      </c>
      <c r="C379" s="3">
        <v>1500</v>
      </c>
      <c r="D379">
        <v>366.06490000000002</v>
      </c>
      <c r="E379">
        <v>3.6999999999999998E-2</v>
      </c>
      <c r="F379">
        <v>360.733</v>
      </c>
      <c r="G379">
        <v>367.12079999999997</v>
      </c>
      <c r="H379">
        <v>370.34100000000001</v>
      </c>
      <c r="I379">
        <v>2.7E-2</v>
      </c>
      <c r="J379">
        <v>4.2999999999999997E-2</v>
      </c>
      <c r="K379">
        <v>0.04</v>
      </c>
      <c r="L379">
        <v>2125.1999999999998</v>
      </c>
      <c r="M379">
        <v>2131</v>
      </c>
      <c r="N379">
        <v>2148.1999999999998</v>
      </c>
      <c r="Q379">
        <f t="shared" si="39"/>
        <v>366.1</v>
      </c>
      <c r="R379">
        <f t="shared" si="43"/>
        <v>366.1</v>
      </c>
      <c r="S379">
        <f t="shared" si="44"/>
        <v>0.10000000000002274</v>
      </c>
      <c r="X379">
        <f t="shared" si="40"/>
        <v>0</v>
      </c>
      <c r="Y379">
        <f t="shared" si="41"/>
        <v>0</v>
      </c>
      <c r="Z379">
        <f t="shared" si="42"/>
        <v>0</v>
      </c>
    </row>
    <row r="380" spans="1:26" x14ac:dyDescent="0.25">
      <c r="A380" s="2">
        <v>44869</v>
      </c>
      <c r="B380" s="3">
        <v>308</v>
      </c>
      <c r="C380" s="3">
        <v>1600</v>
      </c>
      <c r="D380">
        <v>366.08550000000002</v>
      </c>
      <c r="E380">
        <v>0.04</v>
      </c>
      <c r="F380">
        <v>360.75779999999997</v>
      </c>
      <c r="G380">
        <v>367.14080000000001</v>
      </c>
      <c r="H380">
        <v>370.3578</v>
      </c>
      <c r="I380">
        <v>4.4999999999999998E-2</v>
      </c>
      <c r="J380">
        <v>4.8000000000000001E-2</v>
      </c>
      <c r="K380">
        <v>2.1000000000000001E-2</v>
      </c>
      <c r="L380">
        <v>2125.1999999999998</v>
      </c>
      <c r="M380">
        <v>2130.8000000000002</v>
      </c>
      <c r="N380">
        <v>2148.1999999999998</v>
      </c>
      <c r="Q380">
        <f t="shared" si="39"/>
        <v>366.1</v>
      </c>
      <c r="R380">
        <f t="shared" si="43"/>
        <v>366.1</v>
      </c>
      <c r="S380">
        <f t="shared" si="44"/>
        <v>0</v>
      </c>
      <c r="X380">
        <f t="shared" si="40"/>
        <v>0</v>
      </c>
      <c r="Y380">
        <f t="shared" si="41"/>
        <v>0</v>
      </c>
      <c r="Z380">
        <f t="shared" si="42"/>
        <v>0</v>
      </c>
    </row>
    <row r="381" spans="1:26" x14ac:dyDescent="0.25">
      <c r="A381" s="2">
        <v>44869</v>
      </c>
      <c r="B381" s="3">
        <v>308</v>
      </c>
      <c r="C381" s="3">
        <v>1700</v>
      </c>
      <c r="D381">
        <v>366.07549999999998</v>
      </c>
      <c r="E381">
        <v>4.2999999999999997E-2</v>
      </c>
      <c r="F381">
        <v>360.74619999999999</v>
      </c>
      <c r="G381">
        <v>367.13920000000002</v>
      </c>
      <c r="H381">
        <v>370.34100000000001</v>
      </c>
      <c r="I381">
        <v>0.04</v>
      </c>
      <c r="J381">
        <v>4.8000000000000001E-2</v>
      </c>
      <c r="K381">
        <v>0.04</v>
      </c>
      <c r="L381">
        <v>2125.1999999999998</v>
      </c>
      <c r="M381">
        <v>2130.8000000000002</v>
      </c>
      <c r="N381">
        <v>2148.1999999999998</v>
      </c>
      <c r="Q381">
        <f t="shared" si="39"/>
        <v>366.1</v>
      </c>
      <c r="R381">
        <f t="shared" si="43"/>
        <v>366.1</v>
      </c>
      <c r="S381">
        <f t="shared" si="44"/>
        <v>0</v>
      </c>
      <c r="X381">
        <f t="shared" si="40"/>
        <v>0</v>
      </c>
      <c r="Y381">
        <f t="shared" si="41"/>
        <v>0</v>
      </c>
      <c r="Z381">
        <f t="shared" si="42"/>
        <v>0</v>
      </c>
    </row>
    <row r="382" spans="1:26" x14ac:dyDescent="0.25">
      <c r="A382" s="2">
        <v>44869</v>
      </c>
      <c r="B382" s="3">
        <v>308</v>
      </c>
      <c r="C382" s="3">
        <v>1800</v>
      </c>
      <c r="D382">
        <v>366.08440000000002</v>
      </c>
      <c r="E382">
        <v>0.04</v>
      </c>
      <c r="F382">
        <v>360.74619999999999</v>
      </c>
      <c r="G382">
        <v>367.1626</v>
      </c>
      <c r="H382">
        <v>370.34440000000001</v>
      </c>
      <c r="I382">
        <v>0.04</v>
      </c>
      <c r="J382">
        <v>4.2999999999999997E-2</v>
      </c>
      <c r="K382">
        <v>3.7999999999999999E-2</v>
      </c>
      <c r="L382">
        <v>2125.1999999999998</v>
      </c>
      <c r="M382">
        <v>2131</v>
      </c>
      <c r="N382">
        <v>2148</v>
      </c>
      <c r="Q382">
        <f t="shared" si="39"/>
        <v>366.1</v>
      </c>
      <c r="R382">
        <f t="shared" si="43"/>
        <v>366.1</v>
      </c>
      <c r="S382">
        <f t="shared" si="44"/>
        <v>0</v>
      </c>
      <c r="X382">
        <f t="shared" si="40"/>
        <v>0</v>
      </c>
      <c r="Y382">
        <f t="shared" si="41"/>
        <v>0</v>
      </c>
      <c r="Z382">
        <f t="shared" si="42"/>
        <v>0</v>
      </c>
    </row>
    <row r="383" spans="1:26" x14ac:dyDescent="0.25">
      <c r="A383" s="2">
        <v>44869</v>
      </c>
      <c r="B383" s="3">
        <v>308</v>
      </c>
      <c r="C383" s="3">
        <v>1900</v>
      </c>
      <c r="D383">
        <v>366.1</v>
      </c>
      <c r="E383">
        <v>3.3000000000000002E-2</v>
      </c>
      <c r="F383">
        <v>360.75450000000001</v>
      </c>
      <c r="G383">
        <v>367.1859</v>
      </c>
      <c r="H383">
        <v>370.35950000000003</v>
      </c>
      <c r="I383">
        <v>4.3999999999999997E-2</v>
      </c>
      <c r="J383">
        <v>2.5000000000000001E-2</v>
      </c>
      <c r="K383">
        <v>2.5000000000000001E-2</v>
      </c>
      <c r="L383">
        <v>2125.1999999999998</v>
      </c>
      <c r="M383">
        <v>2131</v>
      </c>
      <c r="N383">
        <v>2148.1999999999998</v>
      </c>
      <c r="Q383">
        <f t="shared" si="39"/>
        <v>366.1</v>
      </c>
      <c r="R383">
        <f t="shared" si="43"/>
        <v>366.1</v>
      </c>
      <c r="S383">
        <f t="shared" si="44"/>
        <v>0</v>
      </c>
    </row>
    <row r="384" spans="1:26" x14ac:dyDescent="0.25">
      <c r="A384" s="2">
        <v>44869</v>
      </c>
      <c r="B384" s="3">
        <v>308</v>
      </c>
      <c r="C384" s="3">
        <v>2000</v>
      </c>
      <c r="D384">
        <v>366.14729999999997</v>
      </c>
      <c r="E384">
        <v>4.3999999999999997E-2</v>
      </c>
      <c r="F384">
        <v>360.79930000000002</v>
      </c>
      <c r="G384">
        <v>367.24439999999998</v>
      </c>
      <c r="H384">
        <v>370.39800000000002</v>
      </c>
      <c r="I384">
        <v>3.9E-2</v>
      </c>
      <c r="J384">
        <v>4.7E-2</v>
      </c>
      <c r="K384">
        <v>4.5999999999999999E-2</v>
      </c>
      <c r="L384">
        <v>2125.4</v>
      </c>
      <c r="M384">
        <v>2131</v>
      </c>
      <c r="N384">
        <v>2148.4</v>
      </c>
      <c r="Q384">
        <f t="shared" si="39"/>
        <v>366.1</v>
      </c>
      <c r="R384">
        <f t="shared" si="43"/>
        <v>366.1</v>
      </c>
      <c r="S384">
        <f t="shared" si="44"/>
        <v>0</v>
      </c>
    </row>
    <row r="385" spans="1:19" x14ac:dyDescent="0.25">
      <c r="A385" s="2">
        <v>44869</v>
      </c>
      <c r="B385" s="3">
        <v>308</v>
      </c>
      <c r="C385" s="3">
        <v>2100</v>
      </c>
      <c r="D385">
        <v>366.35149999999999</v>
      </c>
      <c r="E385">
        <v>0.04</v>
      </c>
      <c r="F385">
        <v>360.99189999999999</v>
      </c>
      <c r="G385">
        <v>367.46179999999998</v>
      </c>
      <c r="H385">
        <v>370.60090000000002</v>
      </c>
      <c r="I385">
        <v>3.5999999999999997E-2</v>
      </c>
      <c r="J385">
        <v>3.3000000000000002E-2</v>
      </c>
      <c r="K385">
        <v>4.8000000000000001E-2</v>
      </c>
      <c r="L385">
        <v>2125.8000000000002</v>
      </c>
      <c r="M385">
        <v>2131.6</v>
      </c>
      <c r="N385">
        <v>2148.6</v>
      </c>
      <c r="Q385">
        <f t="shared" si="39"/>
        <v>366.4</v>
      </c>
      <c r="R385">
        <f t="shared" si="43"/>
        <v>366.4</v>
      </c>
      <c r="S385">
        <f t="shared" si="44"/>
        <v>0.29999999999995453</v>
      </c>
    </row>
    <row r="386" spans="1:19" x14ac:dyDescent="0.25">
      <c r="A386" s="2">
        <v>44869</v>
      </c>
      <c r="B386" s="3">
        <v>308</v>
      </c>
      <c r="C386" s="3">
        <v>2200</v>
      </c>
      <c r="D386">
        <v>366.73329999999999</v>
      </c>
      <c r="E386">
        <v>0.04</v>
      </c>
      <c r="F386">
        <v>361.38209999999998</v>
      </c>
      <c r="G386">
        <v>367.8347</v>
      </c>
      <c r="H386">
        <v>370.98309999999998</v>
      </c>
      <c r="I386">
        <v>2.8000000000000001E-2</v>
      </c>
      <c r="J386">
        <v>0.04</v>
      </c>
      <c r="K386">
        <v>4.8000000000000001E-2</v>
      </c>
      <c r="L386">
        <v>2126.6</v>
      </c>
      <c r="M386">
        <v>2132.4</v>
      </c>
      <c r="N386">
        <v>2149.6</v>
      </c>
      <c r="Q386">
        <f t="shared" si="39"/>
        <v>366.7</v>
      </c>
      <c r="R386">
        <f t="shared" si="43"/>
        <v>366.7</v>
      </c>
      <c r="S386">
        <f t="shared" si="44"/>
        <v>0.30000000000001137</v>
      </c>
    </row>
    <row r="387" spans="1:19" x14ac:dyDescent="0.25">
      <c r="A387" s="2">
        <v>44869</v>
      </c>
      <c r="B387" s="3">
        <v>308</v>
      </c>
      <c r="C387" s="3">
        <v>2300</v>
      </c>
      <c r="D387">
        <v>366.7439</v>
      </c>
      <c r="E387">
        <v>4.1000000000000002E-2</v>
      </c>
      <c r="F387">
        <v>361.39210000000003</v>
      </c>
      <c r="G387">
        <v>367.84469999999999</v>
      </c>
      <c r="H387">
        <v>370.9948</v>
      </c>
      <c r="I387">
        <v>2.8000000000000001E-2</v>
      </c>
      <c r="J387">
        <v>4.3999999999999997E-2</v>
      </c>
      <c r="K387">
        <v>4.7E-2</v>
      </c>
      <c r="L387">
        <v>2126.6</v>
      </c>
      <c r="M387">
        <v>2132.4</v>
      </c>
      <c r="N387">
        <v>2149.4</v>
      </c>
      <c r="Q387">
        <f t="shared" si="39"/>
        <v>366.7</v>
      </c>
      <c r="R387">
        <f t="shared" si="43"/>
        <v>366.7</v>
      </c>
      <c r="S387">
        <f t="shared" si="44"/>
        <v>0</v>
      </c>
    </row>
    <row r="388" spans="1:19" x14ac:dyDescent="0.25">
      <c r="A388" s="2">
        <v>44869</v>
      </c>
      <c r="B388" s="3">
        <v>308</v>
      </c>
      <c r="C388" s="3">
        <v>2400</v>
      </c>
      <c r="D388">
        <v>366.73489999999998</v>
      </c>
      <c r="E388">
        <v>4.9000000000000002E-2</v>
      </c>
      <c r="F388">
        <v>361.40870000000001</v>
      </c>
      <c r="G388">
        <v>367.81799999999998</v>
      </c>
      <c r="H388">
        <v>370.97800000000001</v>
      </c>
      <c r="I388">
        <v>4.3999999999999997E-2</v>
      </c>
      <c r="J388">
        <v>4.7E-2</v>
      </c>
      <c r="K388">
        <v>5.3999999999999999E-2</v>
      </c>
      <c r="L388">
        <v>2126.6</v>
      </c>
      <c r="M388">
        <v>2132.4</v>
      </c>
      <c r="N388">
        <v>2149.4</v>
      </c>
      <c r="Q388">
        <f t="shared" si="39"/>
        <v>366.7</v>
      </c>
      <c r="R388">
        <f t="shared" si="43"/>
        <v>366.7</v>
      </c>
      <c r="S388">
        <f t="shared" si="44"/>
        <v>0</v>
      </c>
    </row>
    <row r="389" spans="1:19" x14ac:dyDescent="0.25">
      <c r="A389" s="2">
        <v>44870</v>
      </c>
      <c r="B389" s="3">
        <v>309</v>
      </c>
      <c r="C389" s="3">
        <v>100</v>
      </c>
      <c r="D389">
        <v>366.74439999999998</v>
      </c>
      <c r="E389">
        <v>4.2999999999999997E-2</v>
      </c>
      <c r="F389">
        <v>361.40870000000001</v>
      </c>
      <c r="G389">
        <v>367.8347</v>
      </c>
      <c r="H389">
        <v>370.9898</v>
      </c>
      <c r="I389">
        <v>0.04</v>
      </c>
      <c r="J389">
        <v>0.04</v>
      </c>
      <c r="K389">
        <v>4.8000000000000001E-2</v>
      </c>
      <c r="L389">
        <v>2126.6</v>
      </c>
      <c r="M389">
        <v>2132.4</v>
      </c>
      <c r="N389">
        <v>2149.6</v>
      </c>
      <c r="Q389">
        <f t="shared" si="39"/>
        <v>366.7</v>
      </c>
      <c r="R389">
        <f t="shared" si="43"/>
        <v>366.7</v>
      </c>
      <c r="S389">
        <f t="shared" si="44"/>
        <v>0</v>
      </c>
    </row>
    <row r="390" spans="1:19" x14ac:dyDescent="0.25">
      <c r="A390" s="2">
        <v>44870</v>
      </c>
      <c r="B390" s="3">
        <v>309</v>
      </c>
      <c r="C390" s="3">
        <v>200</v>
      </c>
      <c r="D390">
        <v>372.22329999999999</v>
      </c>
      <c r="E390">
        <v>0.185</v>
      </c>
      <c r="F390">
        <v>366.78469999999999</v>
      </c>
      <c r="G390">
        <v>373.36419999999998</v>
      </c>
      <c r="H390">
        <v>376.52109999999999</v>
      </c>
      <c r="I390">
        <v>0.184</v>
      </c>
      <c r="J390">
        <v>0.188</v>
      </c>
      <c r="K390">
        <v>0.183</v>
      </c>
      <c r="L390">
        <v>2138.6</v>
      </c>
      <c r="M390">
        <v>2144.6</v>
      </c>
      <c r="N390">
        <v>2161.8000000000002</v>
      </c>
      <c r="Q390">
        <f t="shared" si="39"/>
        <v>372.2</v>
      </c>
      <c r="R390">
        <f t="shared" si="43"/>
        <v>372.2</v>
      </c>
      <c r="S390">
        <f t="shared" si="44"/>
        <v>5.5</v>
      </c>
    </row>
    <row r="391" spans="1:19" x14ac:dyDescent="0.25">
      <c r="A391" s="2">
        <v>44870</v>
      </c>
      <c r="B391" s="3">
        <v>309</v>
      </c>
      <c r="C391" s="3">
        <v>300</v>
      </c>
      <c r="D391">
        <v>376.25569999999999</v>
      </c>
      <c r="E391">
        <v>7.6999999999999999E-2</v>
      </c>
      <c r="F391">
        <v>370.75139999999999</v>
      </c>
      <c r="G391">
        <v>377.4076</v>
      </c>
      <c r="H391">
        <v>380.60809999999998</v>
      </c>
      <c r="I391">
        <v>7.8E-2</v>
      </c>
      <c r="J391">
        <v>8.3000000000000004E-2</v>
      </c>
      <c r="K391">
        <v>7.0000000000000007E-2</v>
      </c>
      <c r="L391">
        <v>2146.6</v>
      </c>
      <c r="M391">
        <v>2152.6</v>
      </c>
      <c r="N391">
        <v>2169.8000000000002</v>
      </c>
      <c r="Q391">
        <f t="shared" si="39"/>
        <v>376.3</v>
      </c>
      <c r="R391">
        <f t="shared" si="43"/>
        <v>376.3</v>
      </c>
      <c r="S391">
        <f t="shared" si="44"/>
        <v>4.1000000000000227</v>
      </c>
    </row>
    <row r="392" spans="1:19" x14ac:dyDescent="0.25">
      <c r="A392" s="2">
        <v>44870</v>
      </c>
      <c r="B392" s="3">
        <v>309</v>
      </c>
      <c r="C392" s="3">
        <v>400</v>
      </c>
      <c r="D392">
        <v>377.90929999999997</v>
      </c>
      <c r="E392">
        <v>5.5E-2</v>
      </c>
      <c r="F392">
        <v>372.39659999999998</v>
      </c>
      <c r="G392">
        <v>379.08539999999999</v>
      </c>
      <c r="H392">
        <v>382.24579999999997</v>
      </c>
      <c r="I392">
        <v>5.6000000000000001E-2</v>
      </c>
      <c r="J392">
        <v>5.7000000000000002E-2</v>
      </c>
      <c r="K392">
        <v>5.2999999999999999E-2</v>
      </c>
      <c r="L392">
        <v>2150</v>
      </c>
      <c r="M392">
        <v>2156</v>
      </c>
      <c r="N392">
        <v>2173</v>
      </c>
      <c r="Q392">
        <f t="shared" si="39"/>
        <v>377.9</v>
      </c>
      <c r="R392">
        <f t="shared" si="43"/>
        <v>377.9</v>
      </c>
      <c r="S392">
        <f t="shared" si="44"/>
        <v>1.5999999999999659</v>
      </c>
    </row>
    <row r="393" spans="1:19" x14ac:dyDescent="0.25">
      <c r="A393" s="2">
        <v>44870</v>
      </c>
      <c r="B393" s="3">
        <v>309</v>
      </c>
      <c r="C393" s="3">
        <v>500</v>
      </c>
      <c r="D393">
        <v>381.6336</v>
      </c>
      <c r="E393">
        <v>4.4999999999999998E-2</v>
      </c>
      <c r="F393">
        <v>376.1035</v>
      </c>
      <c r="G393">
        <v>382.8098</v>
      </c>
      <c r="H393">
        <v>385.98750000000001</v>
      </c>
      <c r="I393">
        <v>4.2000000000000003E-2</v>
      </c>
      <c r="J393">
        <v>4.8000000000000001E-2</v>
      </c>
      <c r="K393">
        <v>4.5999999999999999E-2</v>
      </c>
      <c r="L393">
        <v>2157.6</v>
      </c>
      <c r="M393">
        <v>2163.4</v>
      </c>
      <c r="N393">
        <v>2180.6</v>
      </c>
      <c r="Q393">
        <f t="shared" si="39"/>
        <v>381.6</v>
      </c>
      <c r="R393">
        <f t="shared" si="43"/>
        <v>381.6</v>
      </c>
      <c r="S393">
        <f t="shared" si="44"/>
        <v>3.7000000000000455</v>
      </c>
    </row>
    <row r="394" spans="1:19" x14ac:dyDescent="0.25">
      <c r="A394" s="2">
        <v>44870</v>
      </c>
      <c r="B394" s="3">
        <v>309</v>
      </c>
      <c r="C394" s="3">
        <v>600</v>
      </c>
      <c r="D394">
        <v>381.61259999999999</v>
      </c>
      <c r="E394">
        <v>4.2000000000000003E-2</v>
      </c>
      <c r="F394">
        <v>376.09840000000003</v>
      </c>
      <c r="G394">
        <v>382.7894</v>
      </c>
      <c r="H394">
        <v>385.95</v>
      </c>
      <c r="I394">
        <v>3.9E-2</v>
      </c>
      <c r="J394">
        <v>4.7E-2</v>
      </c>
      <c r="K394">
        <v>3.7999999999999999E-2</v>
      </c>
      <c r="L394">
        <v>2157.6</v>
      </c>
      <c r="M394">
        <v>2163.6</v>
      </c>
      <c r="N394">
        <v>2180.6</v>
      </c>
      <c r="Q394">
        <f t="shared" si="39"/>
        <v>381.6</v>
      </c>
      <c r="R394">
        <f t="shared" si="43"/>
        <v>381.6</v>
      </c>
      <c r="S394">
        <f t="shared" si="44"/>
        <v>0</v>
      </c>
    </row>
    <row r="395" spans="1:19" x14ac:dyDescent="0.25">
      <c r="A395" s="2">
        <v>44870</v>
      </c>
      <c r="B395" s="3">
        <v>309</v>
      </c>
      <c r="C395" s="3">
        <v>700</v>
      </c>
      <c r="D395">
        <v>381.6155</v>
      </c>
      <c r="E395">
        <v>3.5999999999999997E-2</v>
      </c>
      <c r="F395">
        <v>376.09</v>
      </c>
      <c r="G395">
        <v>382.7894</v>
      </c>
      <c r="H395">
        <v>385.96710000000002</v>
      </c>
      <c r="I395">
        <v>3.2000000000000001E-2</v>
      </c>
      <c r="J395">
        <v>4.7E-2</v>
      </c>
      <c r="K395">
        <v>2.5000000000000001E-2</v>
      </c>
      <c r="L395">
        <v>2157.4</v>
      </c>
      <c r="M395">
        <v>2163.4</v>
      </c>
      <c r="N395">
        <v>2180.6</v>
      </c>
      <c r="Q395">
        <f t="shared" si="39"/>
        <v>381.6</v>
      </c>
      <c r="R395">
        <f t="shared" si="43"/>
        <v>381.6</v>
      </c>
      <c r="S395">
        <f t="shared" si="44"/>
        <v>0</v>
      </c>
    </row>
    <row r="396" spans="1:19" x14ac:dyDescent="0.25">
      <c r="A396" s="2">
        <v>44870</v>
      </c>
      <c r="B396" s="3">
        <v>309</v>
      </c>
      <c r="C396" s="3">
        <v>800</v>
      </c>
      <c r="D396">
        <v>381.63409999999999</v>
      </c>
      <c r="E396">
        <v>0.04</v>
      </c>
      <c r="F396">
        <v>376.12209999999999</v>
      </c>
      <c r="G396">
        <v>382.82679999999999</v>
      </c>
      <c r="H396">
        <v>385.95350000000002</v>
      </c>
      <c r="I396">
        <v>4.8000000000000001E-2</v>
      </c>
      <c r="J396">
        <v>4.1000000000000002E-2</v>
      </c>
      <c r="K396">
        <v>0.03</v>
      </c>
      <c r="L396">
        <v>2157.4</v>
      </c>
      <c r="M396">
        <v>2163.6</v>
      </c>
      <c r="N396">
        <v>2180.6</v>
      </c>
      <c r="Q396">
        <f t="shared" si="39"/>
        <v>381.6</v>
      </c>
      <c r="R396">
        <f t="shared" si="43"/>
        <v>381.6</v>
      </c>
      <c r="S396">
        <f t="shared" si="44"/>
        <v>0</v>
      </c>
    </row>
    <row r="397" spans="1:19" x14ac:dyDescent="0.25">
      <c r="A397" s="2">
        <v>44870</v>
      </c>
      <c r="B397" s="3">
        <v>309</v>
      </c>
      <c r="C397" s="3">
        <v>900</v>
      </c>
      <c r="D397">
        <v>381.62450000000001</v>
      </c>
      <c r="E397">
        <v>4.5999999999999999E-2</v>
      </c>
      <c r="F397">
        <v>376.12040000000002</v>
      </c>
      <c r="G397">
        <v>382.81490000000002</v>
      </c>
      <c r="H397">
        <v>385.93810000000002</v>
      </c>
      <c r="I397">
        <v>4.8000000000000001E-2</v>
      </c>
      <c r="J397">
        <v>4.5999999999999999E-2</v>
      </c>
      <c r="K397">
        <v>4.2999999999999997E-2</v>
      </c>
      <c r="L397">
        <v>2157.4</v>
      </c>
      <c r="M397">
        <v>2163.4</v>
      </c>
      <c r="N397">
        <v>2180.6</v>
      </c>
      <c r="Q397">
        <f t="shared" si="39"/>
        <v>381.6</v>
      </c>
      <c r="R397">
        <f t="shared" si="43"/>
        <v>381.6</v>
      </c>
      <c r="S397">
        <f t="shared" si="44"/>
        <v>0</v>
      </c>
    </row>
    <row r="398" spans="1:19" x14ac:dyDescent="0.25">
      <c r="A398" s="2">
        <v>44870</v>
      </c>
      <c r="B398" s="3">
        <v>309</v>
      </c>
      <c r="C398" s="3">
        <v>1000</v>
      </c>
      <c r="D398">
        <v>381.59789999999998</v>
      </c>
      <c r="E398">
        <v>4.3999999999999997E-2</v>
      </c>
      <c r="F398">
        <v>376.09679999999997</v>
      </c>
      <c r="G398">
        <v>382.7792</v>
      </c>
      <c r="H398">
        <v>385.91770000000002</v>
      </c>
      <c r="I398">
        <v>3.7999999999999999E-2</v>
      </c>
      <c r="J398">
        <v>4.3999999999999997E-2</v>
      </c>
      <c r="K398">
        <v>4.9000000000000002E-2</v>
      </c>
      <c r="L398">
        <v>2157.4</v>
      </c>
      <c r="M398">
        <v>2163.4</v>
      </c>
      <c r="N398">
        <v>2180.6</v>
      </c>
      <c r="Q398">
        <f t="shared" si="39"/>
        <v>381.6</v>
      </c>
      <c r="R398">
        <f t="shared" si="43"/>
        <v>381.6</v>
      </c>
      <c r="S398">
        <f t="shared" si="44"/>
        <v>0</v>
      </c>
    </row>
    <row r="399" spans="1:19" x14ac:dyDescent="0.25">
      <c r="A399" s="2">
        <v>44870</v>
      </c>
      <c r="B399" s="3">
        <v>309</v>
      </c>
      <c r="C399" s="3">
        <v>1100</v>
      </c>
      <c r="D399">
        <v>381.5883</v>
      </c>
      <c r="E399">
        <v>4.2999999999999997E-2</v>
      </c>
      <c r="F399">
        <v>376.07990000000001</v>
      </c>
      <c r="G399">
        <v>382.78429999999997</v>
      </c>
      <c r="H399">
        <v>385.9006</v>
      </c>
      <c r="I399">
        <v>3.7999999999999999E-2</v>
      </c>
      <c r="J399">
        <v>4.5999999999999999E-2</v>
      </c>
      <c r="K399">
        <v>4.5999999999999999E-2</v>
      </c>
      <c r="L399">
        <v>2157.4</v>
      </c>
      <c r="M399">
        <v>2163.4</v>
      </c>
      <c r="N399">
        <v>2180.6</v>
      </c>
      <c r="Q399">
        <f t="shared" si="39"/>
        <v>381.6</v>
      </c>
      <c r="R399">
        <f t="shared" si="43"/>
        <v>381.6</v>
      </c>
      <c r="S399">
        <f t="shared" si="44"/>
        <v>0</v>
      </c>
    </row>
    <row r="400" spans="1:19" x14ac:dyDescent="0.25">
      <c r="A400" s="2">
        <v>44870</v>
      </c>
      <c r="B400" s="3">
        <v>309</v>
      </c>
      <c r="C400" s="3">
        <v>1200</v>
      </c>
      <c r="D400">
        <v>381.57459999999998</v>
      </c>
      <c r="E400">
        <v>3.6999999999999998E-2</v>
      </c>
      <c r="F400">
        <v>376.07990000000001</v>
      </c>
      <c r="G400">
        <v>382.75709999999998</v>
      </c>
      <c r="H400">
        <v>385.887</v>
      </c>
      <c r="I400">
        <v>3.7999999999999999E-2</v>
      </c>
      <c r="J400">
        <v>3.4000000000000002E-2</v>
      </c>
      <c r="K400">
        <v>0.04</v>
      </c>
      <c r="L400">
        <v>2157.1999999999998</v>
      </c>
      <c r="M400">
        <v>2163.4</v>
      </c>
      <c r="N400">
        <v>2180.4</v>
      </c>
      <c r="Q400">
        <f t="shared" si="39"/>
        <v>381.6</v>
      </c>
      <c r="R400">
        <f t="shared" si="43"/>
        <v>381.6</v>
      </c>
      <c r="S400">
        <f t="shared" si="44"/>
        <v>0</v>
      </c>
    </row>
    <row r="401" spans="1:19" x14ac:dyDescent="0.25">
      <c r="A401" s="2">
        <v>44870</v>
      </c>
      <c r="B401" s="3">
        <v>309</v>
      </c>
      <c r="C401" s="3">
        <v>1300</v>
      </c>
      <c r="D401">
        <v>382.0566</v>
      </c>
      <c r="E401">
        <v>4.7E-2</v>
      </c>
      <c r="F401">
        <v>376.52870000000001</v>
      </c>
      <c r="G401">
        <v>383.25510000000003</v>
      </c>
      <c r="H401">
        <v>386.3861</v>
      </c>
      <c r="I401">
        <v>4.4999999999999998E-2</v>
      </c>
      <c r="J401">
        <v>4.5999999999999999E-2</v>
      </c>
      <c r="K401">
        <v>0.05</v>
      </c>
      <c r="L401">
        <v>2158.4</v>
      </c>
      <c r="M401">
        <v>2164.4</v>
      </c>
      <c r="N401">
        <v>2181.4</v>
      </c>
      <c r="Q401">
        <f t="shared" si="39"/>
        <v>382.1</v>
      </c>
      <c r="R401">
        <f t="shared" si="43"/>
        <v>382.1</v>
      </c>
      <c r="S401">
        <f t="shared" si="44"/>
        <v>0.5</v>
      </c>
    </row>
    <row r="402" spans="1:19" x14ac:dyDescent="0.25">
      <c r="A402" s="2">
        <v>44870</v>
      </c>
      <c r="B402" s="3">
        <v>309</v>
      </c>
      <c r="C402" s="3">
        <v>1400</v>
      </c>
      <c r="D402">
        <v>382.42669999999998</v>
      </c>
      <c r="E402">
        <v>4.2000000000000003E-2</v>
      </c>
      <c r="F402">
        <v>376.88819999999998</v>
      </c>
      <c r="G402">
        <v>383.61559999999997</v>
      </c>
      <c r="H402">
        <v>386.77640000000002</v>
      </c>
      <c r="I402">
        <v>4.8000000000000001E-2</v>
      </c>
      <c r="J402">
        <v>2.7E-2</v>
      </c>
      <c r="K402">
        <v>4.7E-2</v>
      </c>
      <c r="L402">
        <v>2159</v>
      </c>
      <c r="M402">
        <v>2165</v>
      </c>
      <c r="N402">
        <v>2182.1999999999998</v>
      </c>
      <c r="Q402">
        <f t="shared" si="39"/>
        <v>382.4</v>
      </c>
      <c r="R402">
        <f t="shared" si="43"/>
        <v>382.4</v>
      </c>
      <c r="S402">
        <f t="shared" si="44"/>
        <v>0.29999999999995453</v>
      </c>
    </row>
    <row r="403" spans="1:19" x14ac:dyDescent="0.25">
      <c r="A403" s="2">
        <v>44870</v>
      </c>
      <c r="B403" s="3">
        <v>309</v>
      </c>
      <c r="C403" s="3">
        <v>1500</v>
      </c>
      <c r="D403">
        <v>382.42219999999998</v>
      </c>
      <c r="E403">
        <v>4.2000000000000003E-2</v>
      </c>
      <c r="F403">
        <v>376.86799999999999</v>
      </c>
      <c r="G403">
        <v>383.61559999999997</v>
      </c>
      <c r="H403">
        <v>386.78320000000002</v>
      </c>
      <c r="I403">
        <v>3.9E-2</v>
      </c>
      <c r="J403">
        <v>3.7999999999999999E-2</v>
      </c>
      <c r="K403">
        <v>4.8000000000000001E-2</v>
      </c>
      <c r="L403">
        <v>2159</v>
      </c>
      <c r="M403">
        <v>2165.1999999999998</v>
      </c>
      <c r="N403">
        <v>2182.4</v>
      </c>
      <c r="Q403">
        <f t="shared" ref="Q403:Q466" si="45">ROUND(D403,1)</f>
        <v>382.4</v>
      </c>
      <c r="R403">
        <f t="shared" si="43"/>
        <v>382.4</v>
      </c>
      <c r="S403">
        <f t="shared" si="44"/>
        <v>0</v>
      </c>
    </row>
    <row r="404" spans="1:19" x14ac:dyDescent="0.25">
      <c r="A404" s="2">
        <v>44870</v>
      </c>
      <c r="B404" s="3">
        <v>309</v>
      </c>
      <c r="C404" s="3">
        <v>1600</v>
      </c>
      <c r="D404">
        <v>382.49130000000002</v>
      </c>
      <c r="E404">
        <v>3.9E-2</v>
      </c>
      <c r="F404">
        <v>376.93880000000001</v>
      </c>
      <c r="G404">
        <v>383.68360000000001</v>
      </c>
      <c r="H404">
        <v>386.85140000000001</v>
      </c>
      <c r="I404">
        <v>3.3000000000000002E-2</v>
      </c>
      <c r="J404">
        <v>4.7E-2</v>
      </c>
      <c r="K404">
        <v>3.4000000000000002E-2</v>
      </c>
      <c r="L404">
        <v>2159.1999999999998</v>
      </c>
      <c r="M404">
        <v>2165.4</v>
      </c>
      <c r="N404">
        <v>2182.4</v>
      </c>
      <c r="Q404">
        <f t="shared" si="45"/>
        <v>382.5</v>
      </c>
      <c r="R404">
        <f t="shared" si="43"/>
        <v>382.5</v>
      </c>
      <c r="S404">
        <f t="shared" si="44"/>
        <v>0.10000000000002274</v>
      </c>
    </row>
    <row r="405" spans="1:19" x14ac:dyDescent="0.25">
      <c r="A405" s="2">
        <v>44870</v>
      </c>
      <c r="B405" s="3">
        <v>309</v>
      </c>
      <c r="C405" s="3">
        <v>1700</v>
      </c>
      <c r="D405">
        <v>382.79309999999998</v>
      </c>
      <c r="E405">
        <v>4.2999999999999997E-2</v>
      </c>
      <c r="F405">
        <v>377.23770000000002</v>
      </c>
      <c r="G405">
        <v>383.98309999999998</v>
      </c>
      <c r="H405">
        <v>387.15839999999997</v>
      </c>
      <c r="I405">
        <v>4.2000000000000003E-2</v>
      </c>
      <c r="J405">
        <v>4.3999999999999997E-2</v>
      </c>
      <c r="K405">
        <v>4.3999999999999997E-2</v>
      </c>
      <c r="L405">
        <v>2159.8000000000002</v>
      </c>
      <c r="M405">
        <v>2165.8000000000002</v>
      </c>
      <c r="N405">
        <v>2183</v>
      </c>
      <c r="Q405">
        <f t="shared" si="45"/>
        <v>382.8</v>
      </c>
      <c r="R405">
        <f t="shared" si="43"/>
        <v>382.8</v>
      </c>
      <c r="S405">
        <f t="shared" si="44"/>
        <v>0.30000000000001137</v>
      </c>
    </row>
    <row r="406" spans="1:19" x14ac:dyDescent="0.25">
      <c r="A406" s="2">
        <v>44870</v>
      </c>
      <c r="B406" s="3">
        <v>309</v>
      </c>
      <c r="C406" s="3">
        <v>1800</v>
      </c>
      <c r="D406">
        <v>382.80040000000002</v>
      </c>
      <c r="E406">
        <v>3.6999999999999998E-2</v>
      </c>
      <c r="F406">
        <v>377.23270000000002</v>
      </c>
      <c r="G406">
        <v>383.995</v>
      </c>
      <c r="H406">
        <v>387.1737</v>
      </c>
      <c r="I406">
        <v>1.7999999999999999E-2</v>
      </c>
      <c r="J406">
        <v>3.6999999999999998E-2</v>
      </c>
      <c r="K406">
        <v>4.8000000000000001E-2</v>
      </c>
      <c r="L406">
        <v>2159.8000000000002</v>
      </c>
      <c r="M406">
        <v>2166</v>
      </c>
      <c r="N406">
        <v>2183.1999999999998</v>
      </c>
      <c r="Q406">
        <f t="shared" si="45"/>
        <v>382.8</v>
      </c>
      <c r="R406">
        <f t="shared" si="43"/>
        <v>382.8</v>
      </c>
      <c r="S406">
        <f t="shared" si="44"/>
        <v>0</v>
      </c>
    </row>
    <row r="407" spans="1:19" x14ac:dyDescent="0.25">
      <c r="A407" s="2">
        <v>44870</v>
      </c>
      <c r="B407" s="3">
        <v>309</v>
      </c>
      <c r="C407" s="3">
        <v>1900</v>
      </c>
      <c r="D407">
        <v>382.8236</v>
      </c>
      <c r="E407">
        <v>0.04</v>
      </c>
      <c r="F407">
        <v>377.25290000000001</v>
      </c>
      <c r="G407">
        <v>384.01710000000003</v>
      </c>
      <c r="H407">
        <v>387.20100000000002</v>
      </c>
      <c r="I407">
        <v>3.9E-2</v>
      </c>
      <c r="J407">
        <v>3.7999999999999999E-2</v>
      </c>
      <c r="K407">
        <v>4.2999999999999997E-2</v>
      </c>
      <c r="L407">
        <v>2159.8000000000002</v>
      </c>
      <c r="M407">
        <v>2166</v>
      </c>
      <c r="N407">
        <v>2183.1999999999998</v>
      </c>
      <c r="Q407">
        <f t="shared" si="45"/>
        <v>382.8</v>
      </c>
      <c r="R407">
        <f t="shared" si="43"/>
        <v>382.8</v>
      </c>
      <c r="S407">
        <f t="shared" si="44"/>
        <v>0</v>
      </c>
    </row>
    <row r="408" spans="1:19" x14ac:dyDescent="0.25">
      <c r="A408" s="2">
        <v>44870</v>
      </c>
      <c r="B408" s="3">
        <v>309</v>
      </c>
      <c r="C408" s="3">
        <v>2000</v>
      </c>
      <c r="D408">
        <v>382.8356</v>
      </c>
      <c r="E408">
        <v>3.5999999999999997E-2</v>
      </c>
      <c r="F408">
        <v>377.24450000000002</v>
      </c>
      <c r="G408">
        <v>384.04430000000002</v>
      </c>
      <c r="H408">
        <v>387.21800000000002</v>
      </c>
      <c r="I408">
        <v>3.2000000000000001E-2</v>
      </c>
      <c r="J408">
        <v>4.5999999999999999E-2</v>
      </c>
      <c r="K408">
        <v>2.7E-2</v>
      </c>
      <c r="L408">
        <v>2159.8000000000002</v>
      </c>
      <c r="M408">
        <v>2166</v>
      </c>
      <c r="N408">
        <v>2183.1999999999998</v>
      </c>
      <c r="Q408">
        <f t="shared" si="45"/>
        <v>382.8</v>
      </c>
      <c r="R408">
        <f t="shared" si="43"/>
        <v>382.8</v>
      </c>
      <c r="S408">
        <f t="shared" si="44"/>
        <v>0</v>
      </c>
    </row>
    <row r="409" spans="1:19" x14ac:dyDescent="0.25">
      <c r="A409" s="2">
        <v>44870</v>
      </c>
      <c r="B409" s="3">
        <v>309</v>
      </c>
      <c r="C409" s="3">
        <v>2100</v>
      </c>
      <c r="D409">
        <v>382.83510000000001</v>
      </c>
      <c r="E409">
        <v>3.4000000000000002E-2</v>
      </c>
      <c r="F409">
        <v>377.24619999999999</v>
      </c>
      <c r="G409">
        <v>384.03750000000002</v>
      </c>
      <c r="H409">
        <v>387.22140000000002</v>
      </c>
      <c r="I409">
        <v>3.3000000000000002E-2</v>
      </c>
      <c r="J409">
        <v>4.2999999999999997E-2</v>
      </c>
      <c r="K409">
        <v>2.1999999999999999E-2</v>
      </c>
      <c r="L409">
        <v>2159.8000000000002</v>
      </c>
      <c r="M409">
        <v>2166</v>
      </c>
      <c r="N409">
        <v>2183.1999999999998</v>
      </c>
      <c r="Q409">
        <f t="shared" si="45"/>
        <v>382.8</v>
      </c>
      <c r="R409">
        <f t="shared" si="43"/>
        <v>382.8</v>
      </c>
      <c r="S409">
        <f t="shared" si="44"/>
        <v>0</v>
      </c>
    </row>
    <row r="410" spans="1:19" x14ac:dyDescent="0.25">
      <c r="A410" s="2">
        <v>44870</v>
      </c>
      <c r="B410" s="3">
        <v>309</v>
      </c>
      <c r="C410" s="3">
        <v>2200</v>
      </c>
      <c r="D410">
        <v>382.8288</v>
      </c>
      <c r="E410">
        <v>3.1E-2</v>
      </c>
      <c r="F410">
        <v>377.24110000000002</v>
      </c>
      <c r="G410">
        <v>384.0222</v>
      </c>
      <c r="H410">
        <v>387.22309999999999</v>
      </c>
      <c r="I410">
        <v>3.3000000000000002E-2</v>
      </c>
      <c r="J410">
        <v>3.9E-2</v>
      </c>
      <c r="K410">
        <v>1.7999999999999999E-2</v>
      </c>
      <c r="L410">
        <v>2159.8000000000002</v>
      </c>
      <c r="M410">
        <v>2166</v>
      </c>
      <c r="N410">
        <v>2183.1999999999998</v>
      </c>
      <c r="Q410">
        <f t="shared" si="45"/>
        <v>382.8</v>
      </c>
      <c r="R410">
        <f t="shared" si="43"/>
        <v>382.8</v>
      </c>
      <c r="S410">
        <f t="shared" si="44"/>
        <v>0</v>
      </c>
    </row>
    <row r="411" spans="1:19" x14ac:dyDescent="0.25">
      <c r="A411" s="2">
        <v>44870</v>
      </c>
      <c r="B411" s="3">
        <v>309</v>
      </c>
      <c r="C411" s="3">
        <v>2300</v>
      </c>
      <c r="D411">
        <v>382.85939999999999</v>
      </c>
      <c r="E411">
        <v>4.4999999999999998E-2</v>
      </c>
      <c r="F411">
        <v>377.25119999999998</v>
      </c>
      <c r="G411">
        <v>384.06470000000002</v>
      </c>
      <c r="H411">
        <v>387.26240000000001</v>
      </c>
      <c r="I411">
        <v>3.7999999999999999E-2</v>
      </c>
      <c r="J411">
        <v>4.8000000000000001E-2</v>
      </c>
      <c r="K411">
        <v>4.7E-2</v>
      </c>
      <c r="L411">
        <v>2159.8000000000002</v>
      </c>
      <c r="M411">
        <v>2166.1999999999998</v>
      </c>
      <c r="N411">
        <v>2183.1999999999998</v>
      </c>
      <c r="Q411">
        <f t="shared" si="45"/>
        <v>382.9</v>
      </c>
      <c r="R411">
        <f t="shared" si="43"/>
        <v>382.9</v>
      </c>
      <c r="S411">
        <f t="shared" si="44"/>
        <v>9.9999999999965894E-2</v>
      </c>
    </row>
    <row r="412" spans="1:19" x14ac:dyDescent="0.25">
      <c r="A412" s="2">
        <v>44870</v>
      </c>
      <c r="B412" s="3">
        <v>309</v>
      </c>
      <c r="C412" s="3">
        <v>2400</v>
      </c>
      <c r="D412">
        <v>382.86680000000001</v>
      </c>
      <c r="E412">
        <v>4.3999999999999997E-2</v>
      </c>
      <c r="F412">
        <v>377.2681</v>
      </c>
      <c r="G412">
        <v>384.03579999999999</v>
      </c>
      <c r="H412">
        <v>387.29649999999998</v>
      </c>
      <c r="I412">
        <v>4.5999999999999999E-2</v>
      </c>
      <c r="J412">
        <v>4.2000000000000003E-2</v>
      </c>
      <c r="K412">
        <v>4.3999999999999997E-2</v>
      </c>
      <c r="L412">
        <v>2159.8000000000002</v>
      </c>
      <c r="M412">
        <v>2166</v>
      </c>
      <c r="N412">
        <v>2183.4</v>
      </c>
      <c r="Q412">
        <f t="shared" si="45"/>
        <v>382.9</v>
      </c>
      <c r="R412">
        <f t="shared" si="43"/>
        <v>382.9</v>
      </c>
      <c r="S412">
        <f t="shared" si="44"/>
        <v>0</v>
      </c>
    </row>
    <row r="413" spans="1:19" x14ac:dyDescent="0.25">
      <c r="A413" s="2">
        <v>44871</v>
      </c>
      <c r="B413" s="3">
        <v>310</v>
      </c>
      <c r="C413" s="3">
        <v>100</v>
      </c>
      <c r="D413">
        <v>382.86700000000002</v>
      </c>
      <c r="E413">
        <v>3.7999999999999999E-2</v>
      </c>
      <c r="F413">
        <v>377.26190000000003</v>
      </c>
      <c r="G413">
        <v>384.02760000000001</v>
      </c>
      <c r="H413">
        <v>387.3116</v>
      </c>
      <c r="I413">
        <v>4.3999999999999997E-2</v>
      </c>
      <c r="J413">
        <v>3.5999999999999997E-2</v>
      </c>
      <c r="K413">
        <v>3.2000000000000001E-2</v>
      </c>
      <c r="L413">
        <v>2160</v>
      </c>
      <c r="M413">
        <v>2166.1999999999998</v>
      </c>
      <c r="N413">
        <v>2183.4</v>
      </c>
      <c r="Q413">
        <f t="shared" si="45"/>
        <v>382.9</v>
      </c>
      <c r="R413">
        <f t="shared" si="43"/>
        <v>382.9</v>
      </c>
      <c r="S413">
        <f t="shared" si="44"/>
        <v>0</v>
      </c>
    </row>
    <row r="414" spans="1:19" x14ac:dyDescent="0.25">
      <c r="A414" s="2">
        <v>44871</v>
      </c>
      <c r="B414" s="3">
        <v>310</v>
      </c>
      <c r="C414" s="3">
        <v>200</v>
      </c>
      <c r="D414">
        <v>382.9153</v>
      </c>
      <c r="E414">
        <v>3.9E-2</v>
      </c>
      <c r="F414">
        <v>377.34949999999998</v>
      </c>
      <c r="G414">
        <v>384.09160000000003</v>
      </c>
      <c r="H414">
        <v>387.30470000000003</v>
      </c>
      <c r="I414">
        <v>0.04</v>
      </c>
      <c r="J414">
        <v>3.6999999999999998E-2</v>
      </c>
      <c r="K414">
        <v>3.9E-2</v>
      </c>
      <c r="L414">
        <v>2160</v>
      </c>
      <c r="M414">
        <v>2166.1999999999998</v>
      </c>
      <c r="N414">
        <v>2183.4</v>
      </c>
      <c r="Q414">
        <f t="shared" si="45"/>
        <v>382.9</v>
      </c>
      <c r="R414">
        <f t="shared" si="43"/>
        <v>382.9</v>
      </c>
      <c r="S414">
        <f t="shared" si="44"/>
        <v>0</v>
      </c>
    </row>
    <row r="415" spans="1:19" x14ac:dyDescent="0.25">
      <c r="A415" s="2">
        <v>44871</v>
      </c>
      <c r="B415" s="3">
        <v>310</v>
      </c>
      <c r="C415" s="3">
        <v>300</v>
      </c>
      <c r="D415">
        <v>382.89550000000003</v>
      </c>
      <c r="E415">
        <v>0.04</v>
      </c>
      <c r="F415">
        <v>377.32209999999998</v>
      </c>
      <c r="G415">
        <v>384.08170000000001</v>
      </c>
      <c r="H415">
        <v>387.28280000000001</v>
      </c>
      <c r="I415">
        <v>2.5000000000000001E-2</v>
      </c>
      <c r="J415">
        <v>4.3999999999999997E-2</v>
      </c>
      <c r="K415">
        <v>4.8000000000000001E-2</v>
      </c>
      <c r="L415">
        <v>2160</v>
      </c>
      <c r="M415">
        <v>2166.1999999999998</v>
      </c>
      <c r="N415">
        <v>2183.1999999999998</v>
      </c>
      <c r="Q415">
        <f t="shared" si="45"/>
        <v>382.9</v>
      </c>
      <c r="R415">
        <f t="shared" si="43"/>
        <v>382.9</v>
      </c>
      <c r="S415">
        <f t="shared" si="44"/>
        <v>0</v>
      </c>
    </row>
    <row r="416" spans="1:19" x14ac:dyDescent="0.25">
      <c r="A416" s="2">
        <v>44871</v>
      </c>
      <c r="B416" s="3">
        <v>310</v>
      </c>
      <c r="C416" s="3">
        <v>400</v>
      </c>
      <c r="D416">
        <v>382.87569999999999</v>
      </c>
      <c r="E416">
        <v>4.7E-2</v>
      </c>
      <c r="F416">
        <v>377.29680000000002</v>
      </c>
      <c r="G416">
        <v>384.06810000000002</v>
      </c>
      <c r="H416">
        <v>387.26240000000001</v>
      </c>
      <c r="I416">
        <v>4.4999999999999998E-2</v>
      </c>
      <c r="J416">
        <v>4.8000000000000001E-2</v>
      </c>
      <c r="K416">
        <v>4.7E-2</v>
      </c>
      <c r="L416">
        <v>2160</v>
      </c>
      <c r="M416">
        <v>2166.1999999999998</v>
      </c>
      <c r="N416">
        <v>2183.1999999999998</v>
      </c>
      <c r="Q416">
        <f t="shared" si="45"/>
        <v>382.9</v>
      </c>
      <c r="R416">
        <f t="shared" si="43"/>
        <v>382.9</v>
      </c>
      <c r="S416">
        <f t="shared" si="44"/>
        <v>0</v>
      </c>
    </row>
    <row r="417" spans="1:19" x14ac:dyDescent="0.25">
      <c r="A417" s="2">
        <v>44871</v>
      </c>
      <c r="B417" s="3">
        <v>310</v>
      </c>
      <c r="C417" s="3">
        <v>500</v>
      </c>
      <c r="D417">
        <v>382.86040000000003</v>
      </c>
      <c r="E417">
        <v>4.2999999999999997E-2</v>
      </c>
      <c r="F417">
        <v>377.29340000000002</v>
      </c>
      <c r="G417">
        <v>384.04770000000002</v>
      </c>
      <c r="H417">
        <v>387.24020000000002</v>
      </c>
      <c r="I417">
        <v>4.5999999999999999E-2</v>
      </c>
      <c r="J417">
        <v>4.7E-2</v>
      </c>
      <c r="K417">
        <v>3.4000000000000002E-2</v>
      </c>
      <c r="L417">
        <v>2159.8000000000002</v>
      </c>
      <c r="M417">
        <v>2166</v>
      </c>
      <c r="N417">
        <v>2183.1999999999998</v>
      </c>
      <c r="Q417">
        <f t="shared" si="45"/>
        <v>382.9</v>
      </c>
      <c r="R417">
        <f t="shared" si="43"/>
        <v>382.9</v>
      </c>
      <c r="S417">
        <f t="shared" si="44"/>
        <v>0</v>
      </c>
    </row>
    <row r="418" spans="1:19" x14ac:dyDescent="0.25">
      <c r="A418" s="2">
        <v>44871</v>
      </c>
      <c r="B418" s="3">
        <v>310</v>
      </c>
      <c r="C418" s="3">
        <v>600</v>
      </c>
      <c r="D418">
        <v>382.85140000000001</v>
      </c>
      <c r="E418">
        <v>3.9E-2</v>
      </c>
      <c r="F418">
        <v>377.2867</v>
      </c>
      <c r="G418">
        <v>384.03750000000002</v>
      </c>
      <c r="H418">
        <v>387.23</v>
      </c>
      <c r="I418">
        <v>4.8000000000000001E-2</v>
      </c>
      <c r="J418">
        <v>4.2999999999999997E-2</v>
      </c>
      <c r="K418">
        <v>1.7999999999999999E-2</v>
      </c>
      <c r="L418">
        <v>2160</v>
      </c>
      <c r="M418">
        <v>2166</v>
      </c>
      <c r="N418">
        <v>2183.1999999999998</v>
      </c>
      <c r="Q418">
        <f t="shared" si="45"/>
        <v>382.9</v>
      </c>
      <c r="R418">
        <f t="shared" ref="R418:R481" si="46">ROUND(IF(Q418&lt;R417,R417,Q418),1)</f>
        <v>382.9</v>
      </c>
      <c r="S418">
        <f t="shared" si="44"/>
        <v>0</v>
      </c>
    </row>
    <row r="419" spans="1:19" x14ac:dyDescent="0.25">
      <c r="A419" s="2">
        <v>44871</v>
      </c>
      <c r="B419" s="3">
        <v>310</v>
      </c>
      <c r="C419" s="3">
        <v>700</v>
      </c>
      <c r="D419">
        <v>382.94479999999999</v>
      </c>
      <c r="E419">
        <v>0.04</v>
      </c>
      <c r="F419">
        <v>377.36939999999998</v>
      </c>
      <c r="G419">
        <v>384.13279999999997</v>
      </c>
      <c r="H419">
        <v>387.33229999999998</v>
      </c>
      <c r="I419">
        <v>4.8000000000000001E-2</v>
      </c>
      <c r="J419">
        <v>4.2000000000000003E-2</v>
      </c>
      <c r="K419">
        <v>2.8000000000000001E-2</v>
      </c>
      <c r="L419">
        <v>2160.1999999999998</v>
      </c>
      <c r="M419">
        <v>2166.1999999999998</v>
      </c>
      <c r="N419">
        <v>2183.4</v>
      </c>
      <c r="Q419">
        <f t="shared" si="45"/>
        <v>382.9</v>
      </c>
      <c r="R419">
        <f t="shared" si="46"/>
        <v>382.9</v>
      </c>
      <c r="S419">
        <f t="shared" si="44"/>
        <v>0</v>
      </c>
    </row>
    <row r="420" spans="1:19" x14ac:dyDescent="0.25">
      <c r="A420" s="2">
        <v>44871</v>
      </c>
      <c r="B420" s="3">
        <v>310</v>
      </c>
      <c r="C420" s="3">
        <v>800</v>
      </c>
      <c r="D420">
        <v>382.98950000000002</v>
      </c>
      <c r="E420">
        <v>4.1000000000000002E-2</v>
      </c>
      <c r="F420">
        <v>377.42520000000002</v>
      </c>
      <c r="G420">
        <v>384.17360000000002</v>
      </c>
      <c r="H420">
        <v>387.36989999999997</v>
      </c>
      <c r="I420">
        <v>2.5000000000000001E-2</v>
      </c>
      <c r="J420">
        <v>4.5999999999999999E-2</v>
      </c>
      <c r="K420">
        <v>4.9000000000000002E-2</v>
      </c>
      <c r="L420">
        <v>2160.1999999999998</v>
      </c>
      <c r="M420">
        <v>2166.1999999999998</v>
      </c>
      <c r="N420">
        <v>2183.4</v>
      </c>
      <c r="Q420">
        <f t="shared" si="45"/>
        <v>383</v>
      </c>
      <c r="R420">
        <f t="shared" si="46"/>
        <v>383</v>
      </c>
      <c r="S420">
        <f t="shared" si="44"/>
        <v>0.10000000000002274</v>
      </c>
    </row>
    <row r="421" spans="1:19" x14ac:dyDescent="0.25">
      <c r="A421" s="2">
        <v>44871</v>
      </c>
      <c r="B421" s="3">
        <v>310</v>
      </c>
      <c r="C421" s="3">
        <v>900</v>
      </c>
      <c r="D421">
        <v>383.1703</v>
      </c>
      <c r="E421">
        <v>4.3999999999999997E-2</v>
      </c>
      <c r="F421">
        <v>377.60090000000002</v>
      </c>
      <c r="G421">
        <v>384.35750000000002</v>
      </c>
      <c r="H421">
        <v>387.55239999999998</v>
      </c>
      <c r="I421">
        <v>3.6999999999999998E-2</v>
      </c>
      <c r="J421">
        <v>4.8000000000000001E-2</v>
      </c>
      <c r="K421">
        <v>4.5999999999999999E-2</v>
      </c>
      <c r="L421">
        <v>2160.6</v>
      </c>
      <c r="M421">
        <v>2166.8000000000002</v>
      </c>
      <c r="N421">
        <v>2184</v>
      </c>
      <c r="Q421">
        <f t="shared" si="45"/>
        <v>383.2</v>
      </c>
      <c r="R421">
        <f t="shared" si="46"/>
        <v>383.2</v>
      </c>
      <c r="S421">
        <f t="shared" ref="S421:S484" si="47">IF(R421&gt;R420,R421-R420,0)</f>
        <v>0.19999999999998863</v>
      </c>
    </row>
    <row r="422" spans="1:19" x14ac:dyDescent="0.25">
      <c r="A422" s="2">
        <v>44871</v>
      </c>
      <c r="B422" s="3">
        <v>310</v>
      </c>
      <c r="C422" s="3">
        <v>1000</v>
      </c>
      <c r="D422">
        <v>383.62459999999999</v>
      </c>
      <c r="E422">
        <v>4.2000000000000003E-2</v>
      </c>
      <c r="F422">
        <v>378.05709999999999</v>
      </c>
      <c r="G422">
        <v>384.81369999999998</v>
      </c>
      <c r="H422">
        <v>388.00290000000001</v>
      </c>
      <c r="I422">
        <v>4.8000000000000001E-2</v>
      </c>
      <c r="J422">
        <v>4.2999999999999997E-2</v>
      </c>
      <c r="K422">
        <v>3.4000000000000002E-2</v>
      </c>
      <c r="L422">
        <v>2161.6</v>
      </c>
      <c r="M422">
        <v>2167.8000000000002</v>
      </c>
      <c r="N422">
        <v>2184.8000000000002</v>
      </c>
      <c r="Q422">
        <f t="shared" si="45"/>
        <v>383.6</v>
      </c>
      <c r="R422">
        <f t="shared" si="46"/>
        <v>383.6</v>
      </c>
      <c r="S422">
        <f t="shared" si="47"/>
        <v>0.40000000000003411</v>
      </c>
    </row>
    <row r="423" spans="1:19" x14ac:dyDescent="0.25">
      <c r="A423" s="2">
        <v>44871</v>
      </c>
      <c r="B423" s="3">
        <v>310</v>
      </c>
      <c r="C423" s="3">
        <v>1100</v>
      </c>
      <c r="D423">
        <v>383.98099999999999</v>
      </c>
      <c r="E423">
        <v>0.04</v>
      </c>
      <c r="F423">
        <v>378.4171</v>
      </c>
      <c r="G423">
        <v>385.173</v>
      </c>
      <c r="H423">
        <v>388.3528</v>
      </c>
      <c r="I423">
        <v>4.3999999999999997E-2</v>
      </c>
      <c r="J423">
        <v>2.5000000000000001E-2</v>
      </c>
      <c r="K423">
        <v>4.8000000000000001E-2</v>
      </c>
      <c r="L423">
        <v>2162.1999999999998</v>
      </c>
      <c r="M423">
        <v>2168.4</v>
      </c>
      <c r="N423">
        <v>2185.6</v>
      </c>
      <c r="Q423">
        <f t="shared" si="45"/>
        <v>384</v>
      </c>
      <c r="R423">
        <f t="shared" si="46"/>
        <v>384</v>
      </c>
      <c r="S423">
        <f t="shared" si="47"/>
        <v>0.39999999999997726</v>
      </c>
    </row>
    <row r="424" spans="1:19" x14ac:dyDescent="0.25">
      <c r="A424" s="2">
        <v>44871</v>
      </c>
      <c r="B424" s="3">
        <v>310</v>
      </c>
      <c r="C424" s="3">
        <v>1200</v>
      </c>
      <c r="D424">
        <v>384.35750000000002</v>
      </c>
      <c r="E424">
        <v>3.9E-2</v>
      </c>
      <c r="F424">
        <v>378.78410000000002</v>
      </c>
      <c r="G424">
        <v>385.55810000000002</v>
      </c>
      <c r="H424">
        <v>388.7303</v>
      </c>
      <c r="I424">
        <v>0.03</v>
      </c>
      <c r="J424">
        <v>3.5999999999999997E-2</v>
      </c>
      <c r="K424">
        <v>4.8000000000000001E-2</v>
      </c>
      <c r="L424">
        <v>2163</v>
      </c>
      <c r="M424">
        <v>2169.1999999999998</v>
      </c>
      <c r="N424">
        <v>2186.4</v>
      </c>
      <c r="Q424">
        <f t="shared" si="45"/>
        <v>384.4</v>
      </c>
      <c r="R424">
        <f t="shared" si="46"/>
        <v>384.4</v>
      </c>
      <c r="S424">
        <f t="shared" si="47"/>
        <v>0.39999999999997726</v>
      </c>
    </row>
    <row r="425" spans="1:19" x14ac:dyDescent="0.25">
      <c r="A425" s="2">
        <v>44871</v>
      </c>
      <c r="B425" s="3">
        <v>310</v>
      </c>
      <c r="C425" s="3">
        <v>1300</v>
      </c>
      <c r="D425">
        <v>384.80779999999999</v>
      </c>
      <c r="E425">
        <v>4.1000000000000002E-2</v>
      </c>
      <c r="F425">
        <v>379.23410000000001</v>
      </c>
      <c r="G425">
        <v>386.00299999999999</v>
      </c>
      <c r="H425">
        <v>389.18639999999999</v>
      </c>
      <c r="I425">
        <v>0.04</v>
      </c>
      <c r="J425">
        <v>4.9000000000000002E-2</v>
      </c>
      <c r="K425">
        <v>3.4000000000000002E-2</v>
      </c>
      <c r="L425">
        <v>2164</v>
      </c>
      <c r="M425">
        <v>2170.1999999999998</v>
      </c>
      <c r="N425">
        <v>2187.1999999999998</v>
      </c>
      <c r="Q425">
        <f t="shared" si="45"/>
        <v>384.8</v>
      </c>
      <c r="R425">
        <f t="shared" si="46"/>
        <v>384.8</v>
      </c>
      <c r="S425">
        <f t="shared" si="47"/>
        <v>0.40000000000003411</v>
      </c>
    </row>
    <row r="426" spans="1:19" x14ac:dyDescent="0.25">
      <c r="A426" s="2">
        <v>44871</v>
      </c>
      <c r="B426" s="3">
        <v>310</v>
      </c>
      <c r="C426" s="3">
        <v>1400</v>
      </c>
      <c r="D426">
        <v>385.40030000000002</v>
      </c>
      <c r="E426">
        <v>3.7999999999999999E-2</v>
      </c>
      <c r="F426">
        <v>379.82150000000001</v>
      </c>
      <c r="G426">
        <v>386.61009999999999</v>
      </c>
      <c r="H426">
        <v>389.76929999999999</v>
      </c>
      <c r="I426">
        <v>3.7999999999999999E-2</v>
      </c>
      <c r="J426">
        <v>4.2000000000000003E-2</v>
      </c>
      <c r="K426">
        <v>3.2000000000000001E-2</v>
      </c>
      <c r="L426">
        <v>2165.1999999999998</v>
      </c>
      <c r="M426">
        <v>2171.1999999999998</v>
      </c>
      <c r="N426">
        <v>2188.4</v>
      </c>
      <c r="Q426">
        <f t="shared" si="45"/>
        <v>385.4</v>
      </c>
      <c r="R426">
        <f t="shared" si="46"/>
        <v>385.4</v>
      </c>
      <c r="S426">
        <f t="shared" si="47"/>
        <v>0.59999999999996589</v>
      </c>
    </row>
    <row r="427" spans="1:19" x14ac:dyDescent="0.25">
      <c r="A427" s="2">
        <v>44871</v>
      </c>
      <c r="B427" s="3">
        <v>310</v>
      </c>
      <c r="C427" s="3">
        <v>1500</v>
      </c>
      <c r="D427">
        <v>386.0677</v>
      </c>
      <c r="E427">
        <v>4.8000000000000001E-2</v>
      </c>
      <c r="F427">
        <v>380.47359999999998</v>
      </c>
      <c r="G427">
        <v>387.2894</v>
      </c>
      <c r="H427">
        <v>390.43990000000002</v>
      </c>
      <c r="I427">
        <v>4.7E-2</v>
      </c>
      <c r="J427">
        <v>0.05</v>
      </c>
      <c r="K427">
        <v>4.8000000000000001E-2</v>
      </c>
      <c r="L427">
        <v>2166.6</v>
      </c>
      <c r="M427">
        <v>2172.8000000000002</v>
      </c>
      <c r="N427">
        <v>2189.8000000000002</v>
      </c>
      <c r="Q427">
        <f t="shared" si="45"/>
        <v>386.1</v>
      </c>
      <c r="R427">
        <f t="shared" si="46"/>
        <v>386.1</v>
      </c>
      <c r="S427">
        <f t="shared" si="47"/>
        <v>0.70000000000004547</v>
      </c>
    </row>
    <row r="428" spans="1:19" x14ac:dyDescent="0.25">
      <c r="A428" s="2">
        <v>44871</v>
      </c>
      <c r="B428" s="3">
        <v>310</v>
      </c>
      <c r="C428" s="3">
        <v>1600</v>
      </c>
      <c r="D428">
        <v>386.86950000000002</v>
      </c>
      <c r="E428">
        <v>4.1000000000000002E-2</v>
      </c>
      <c r="F428">
        <v>381.2534</v>
      </c>
      <c r="G428">
        <v>388.10399999999998</v>
      </c>
      <c r="H428">
        <v>391.25130000000001</v>
      </c>
      <c r="I428">
        <v>4.4999999999999998E-2</v>
      </c>
      <c r="J428">
        <v>0.03</v>
      </c>
      <c r="K428">
        <v>4.4999999999999998E-2</v>
      </c>
      <c r="L428">
        <v>2168.1999999999998</v>
      </c>
      <c r="M428">
        <v>2174.6</v>
      </c>
      <c r="N428">
        <v>2191.6</v>
      </c>
      <c r="Q428">
        <f t="shared" si="45"/>
        <v>386.9</v>
      </c>
      <c r="R428">
        <f t="shared" si="46"/>
        <v>386.9</v>
      </c>
      <c r="S428">
        <f t="shared" si="47"/>
        <v>0.79999999999995453</v>
      </c>
    </row>
    <row r="429" spans="1:19" x14ac:dyDescent="0.25">
      <c r="A429" s="2">
        <v>44871</v>
      </c>
      <c r="B429" s="3">
        <v>310</v>
      </c>
      <c r="C429" s="3">
        <v>1700</v>
      </c>
      <c r="D429">
        <v>387.3245</v>
      </c>
      <c r="E429">
        <v>3.9E-2</v>
      </c>
      <c r="F429">
        <v>381.71129999999999</v>
      </c>
      <c r="G429">
        <v>388.55860000000001</v>
      </c>
      <c r="H429">
        <v>391.70339999999999</v>
      </c>
      <c r="I429">
        <v>4.8000000000000001E-2</v>
      </c>
      <c r="J429">
        <v>4.1000000000000002E-2</v>
      </c>
      <c r="K429">
        <v>2.1999999999999999E-2</v>
      </c>
      <c r="L429">
        <v>2169.1999999999998</v>
      </c>
      <c r="M429">
        <v>2175.4</v>
      </c>
      <c r="N429">
        <v>2192.4</v>
      </c>
      <c r="Q429">
        <f t="shared" si="45"/>
        <v>387.3</v>
      </c>
      <c r="R429">
        <f t="shared" si="46"/>
        <v>387.3</v>
      </c>
      <c r="S429">
        <f t="shared" si="47"/>
        <v>0.40000000000003411</v>
      </c>
    </row>
    <row r="430" spans="1:19" x14ac:dyDescent="0.25">
      <c r="A430" s="2">
        <v>44871</v>
      </c>
      <c r="B430" s="3">
        <v>310</v>
      </c>
      <c r="C430" s="3">
        <v>1800</v>
      </c>
      <c r="D430">
        <v>387.87189999999998</v>
      </c>
      <c r="E430">
        <v>4.2999999999999997E-2</v>
      </c>
      <c r="F430">
        <v>382.24079999999998</v>
      </c>
      <c r="G430">
        <v>389.12119999999999</v>
      </c>
      <c r="H430">
        <v>392.25360000000001</v>
      </c>
      <c r="I430">
        <v>0.03</v>
      </c>
      <c r="J430">
        <v>4.9000000000000002E-2</v>
      </c>
      <c r="K430">
        <v>4.8000000000000001E-2</v>
      </c>
      <c r="L430">
        <v>2170.1999999999998</v>
      </c>
      <c r="M430">
        <v>2176.6</v>
      </c>
      <c r="N430">
        <v>2193.6</v>
      </c>
      <c r="Q430">
        <f t="shared" si="45"/>
        <v>387.9</v>
      </c>
      <c r="R430">
        <f t="shared" si="46"/>
        <v>387.9</v>
      </c>
      <c r="S430">
        <f t="shared" si="47"/>
        <v>0.59999999999996589</v>
      </c>
    </row>
    <row r="431" spans="1:19" x14ac:dyDescent="0.25">
      <c r="A431" s="2">
        <v>44871</v>
      </c>
      <c r="B431" s="3">
        <v>310</v>
      </c>
      <c r="C431" s="3">
        <v>1900</v>
      </c>
      <c r="D431">
        <v>388.63940000000002</v>
      </c>
      <c r="E431">
        <v>4.8000000000000001E-2</v>
      </c>
      <c r="F431">
        <v>382.988</v>
      </c>
      <c r="G431">
        <v>389.90320000000003</v>
      </c>
      <c r="H431">
        <v>393.02699999999999</v>
      </c>
      <c r="I431">
        <v>4.7E-2</v>
      </c>
      <c r="J431">
        <v>4.8000000000000001E-2</v>
      </c>
      <c r="K431">
        <v>4.9000000000000002E-2</v>
      </c>
      <c r="L431">
        <v>2171.6</v>
      </c>
      <c r="M431">
        <v>2178.1999999999998</v>
      </c>
      <c r="N431">
        <v>2195.1999999999998</v>
      </c>
      <c r="Q431">
        <f t="shared" si="45"/>
        <v>388.6</v>
      </c>
      <c r="R431">
        <f t="shared" si="46"/>
        <v>388.6</v>
      </c>
      <c r="S431">
        <f t="shared" si="47"/>
        <v>0.70000000000004547</v>
      </c>
    </row>
    <row r="432" spans="1:19" x14ac:dyDescent="0.25">
      <c r="A432" s="2">
        <v>44871</v>
      </c>
      <c r="B432" s="3">
        <v>310</v>
      </c>
      <c r="C432" s="3">
        <v>2000</v>
      </c>
      <c r="D432">
        <v>389.40859999999998</v>
      </c>
      <c r="E432">
        <v>0.05</v>
      </c>
      <c r="F432">
        <v>383.7561</v>
      </c>
      <c r="G432">
        <v>390.67039999999997</v>
      </c>
      <c r="H432">
        <v>393.79930000000002</v>
      </c>
      <c r="I432">
        <v>4.8000000000000001E-2</v>
      </c>
      <c r="J432">
        <v>5.5E-2</v>
      </c>
      <c r="K432">
        <v>4.8000000000000001E-2</v>
      </c>
      <c r="L432">
        <v>2173.4</v>
      </c>
      <c r="M432">
        <v>2179.8000000000002</v>
      </c>
      <c r="N432">
        <v>2196.6</v>
      </c>
      <c r="Q432">
        <f t="shared" si="45"/>
        <v>389.4</v>
      </c>
      <c r="R432">
        <f t="shared" si="46"/>
        <v>389.4</v>
      </c>
      <c r="S432">
        <f t="shared" si="47"/>
        <v>0.79999999999995453</v>
      </c>
    </row>
    <row r="433" spans="1:19" x14ac:dyDescent="0.25">
      <c r="A433" s="2">
        <v>44871</v>
      </c>
      <c r="B433" s="3">
        <v>310</v>
      </c>
      <c r="C433" s="3">
        <v>2100</v>
      </c>
      <c r="D433">
        <v>390.58019999999999</v>
      </c>
      <c r="E433">
        <v>4.9000000000000002E-2</v>
      </c>
      <c r="F433">
        <v>384.92140000000001</v>
      </c>
      <c r="G433">
        <v>391.84109999999998</v>
      </c>
      <c r="H433">
        <v>394.9778</v>
      </c>
      <c r="I433">
        <v>5.0999999999999997E-2</v>
      </c>
      <c r="J433">
        <v>4.8000000000000001E-2</v>
      </c>
      <c r="K433">
        <v>4.8000000000000001E-2</v>
      </c>
      <c r="L433">
        <v>2175.8000000000002</v>
      </c>
      <c r="M433">
        <v>2182.1999999999998</v>
      </c>
      <c r="N433">
        <v>2199.1999999999998</v>
      </c>
      <c r="Q433">
        <f t="shared" si="45"/>
        <v>390.6</v>
      </c>
      <c r="R433">
        <f t="shared" si="46"/>
        <v>390.6</v>
      </c>
      <c r="S433">
        <f t="shared" si="47"/>
        <v>1.2000000000000455</v>
      </c>
    </row>
    <row r="434" spans="1:19" x14ac:dyDescent="0.25">
      <c r="A434" s="2">
        <v>44871</v>
      </c>
      <c r="B434" s="3">
        <v>310</v>
      </c>
      <c r="C434" s="3">
        <v>2200</v>
      </c>
      <c r="D434">
        <v>392.29719999999998</v>
      </c>
      <c r="E434">
        <v>6.2E-2</v>
      </c>
      <c r="F434">
        <v>386.6046</v>
      </c>
      <c r="G434">
        <v>393.57670000000002</v>
      </c>
      <c r="H434">
        <v>396.71039999999999</v>
      </c>
      <c r="I434">
        <v>0.06</v>
      </c>
      <c r="J434">
        <v>6.5000000000000002E-2</v>
      </c>
      <c r="K434">
        <v>6.2E-2</v>
      </c>
      <c r="L434">
        <v>2179.4</v>
      </c>
      <c r="M434">
        <v>2185.8000000000002</v>
      </c>
      <c r="N434">
        <v>2202.8000000000002</v>
      </c>
      <c r="Q434">
        <f t="shared" si="45"/>
        <v>392.3</v>
      </c>
      <c r="R434">
        <f t="shared" si="46"/>
        <v>392.3</v>
      </c>
      <c r="S434">
        <f t="shared" si="47"/>
        <v>1.6999999999999886</v>
      </c>
    </row>
    <row r="435" spans="1:19" x14ac:dyDescent="0.25">
      <c r="A435" s="2">
        <v>44871</v>
      </c>
      <c r="B435" s="3">
        <v>310</v>
      </c>
      <c r="C435" s="3">
        <v>2300</v>
      </c>
      <c r="D435">
        <v>394.2808</v>
      </c>
      <c r="E435">
        <v>4.9000000000000002E-2</v>
      </c>
      <c r="F435">
        <v>388.55540000000002</v>
      </c>
      <c r="G435">
        <v>395.5736</v>
      </c>
      <c r="H435">
        <v>398.7133</v>
      </c>
      <c r="I435">
        <v>0.05</v>
      </c>
      <c r="J435">
        <v>4.9000000000000002E-2</v>
      </c>
      <c r="K435">
        <v>4.9000000000000002E-2</v>
      </c>
      <c r="L435">
        <v>2183.4</v>
      </c>
      <c r="M435">
        <v>2189.8000000000002</v>
      </c>
      <c r="N435">
        <v>2206.8000000000002</v>
      </c>
      <c r="Q435">
        <f t="shared" si="45"/>
        <v>394.3</v>
      </c>
      <c r="R435">
        <f t="shared" si="46"/>
        <v>394.3</v>
      </c>
      <c r="S435">
        <f t="shared" si="47"/>
        <v>2</v>
      </c>
    </row>
    <row r="436" spans="1:19" x14ac:dyDescent="0.25">
      <c r="A436" s="2">
        <v>44871</v>
      </c>
      <c r="B436" s="3">
        <v>310</v>
      </c>
      <c r="C436" s="3">
        <v>2400</v>
      </c>
      <c r="D436">
        <v>396.07530000000003</v>
      </c>
      <c r="E436">
        <v>7.0999999999999994E-2</v>
      </c>
      <c r="F436">
        <v>390.3476</v>
      </c>
      <c r="G436">
        <v>397.3657</v>
      </c>
      <c r="H436">
        <v>400.51280000000003</v>
      </c>
      <c r="I436">
        <v>6.7000000000000004E-2</v>
      </c>
      <c r="J436">
        <v>7.1999999999999995E-2</v>
      </c>
      <c r="K436">
        <v>7.3999999999999996E-2</v>
      </c>
      <c r="L436">
        <v>2187</v>
      </c>
      <c r="M436">
        <v>2193.4</v>
      </c>
      <c r="N436">
        <v>2210.6</v>
      </c>
      <c r="Q436">
        <f t="shared" si="45"/>
        <v>396.1</v>
      </c>
      <c r="R436">
        <f t="shared" si="46"/>
        <v>396.1</v>
      </c>
      <c r="S436">
        <f t="shared" si="47"/>
        <v>1.8000000000000114</v>
      </c>
    </row>
    <row r="437" spans="1:19" x14ac:dyDescent="0.25">
      <c r="A437" s="2">
        <v>44872</v>
      </c>
      <c r="B437" s="3">
        <v>311</v>
      </c>
      <c r="C437" s="3">
        <v>100</v>
      </c>
      <c r="D437">
        <v>397.84739999999999</v>
      </c>
      <c r="E437">
        <v>5.8000000000000003E-2</v>
      </c>
      <c r="F437">
        <v>392.09840000000003</v>
      </c>
      <c r="G437">
        <v>399.1438</v>
      </c>
      <c r="H437">
        <v>402.3</v>
      </c>
      <c r="I437">
        <v>5.7000000000000002E-2</v>
      </c>
      <c r="J437">
        <v>6.2E-2</v>
      </c>
      <c r="K437">
        <v>5.6000000000000001E-2</v>
      </c>
      <c r="L437">
        <v>2190.6</v>
      </c>
      <c r="M437">
        <v>2197.1999999999998</v>
      </c>
      <c r="N437">
        <v>2214</v>
      </c>
      <c r="Q437">
        <f t="shared" si="45"/>
        <v>397.8</v>
      </c>
      <c r="R437">
        <f t="shared" si="46"/>
        <v>397.8</v>
      </c>
      <c r="S437">
        <f t="shared" si="47"/>
        <v>1.6999999999999886</v>
      </c>
    </row>
    <row r="438" spans="1:19" x14ac:dyDescent="0.25">
      <c r="A438" s="2">
        <v>44872</v>
      </c>
      <c r="B438" s="3">
        <v>311</v>
      </c>
      <c r="C438" s="3">
        <v>200</v>
      </c>
      <c r="D438">
        <v>400.09440000000001</v>
      </c>
      <c r="E438">
        <v>8.4000000000000005E-2</v>
      </c>
      <c r="F438">
        <v>394.33339999999998</v>
      </c>
      <c r="G438">
        <v>401.37529999999998</v>
      </c>
      <c r="H438">
        <v>404.5745</v>
      </c>
      <c r="I438">
        <v>8.3000000000000004E-2</v>
      </c>
      <c r="J438">
        <v>9.6000000000000002E-2</v>
      </c>
      <c r="K438">
        <v>7.0999999999999994E-2</v>
      </c>
      <c r="L438">
        <v>2195.4</v>
      </c>
      <c r="M438">
        <v>2201.6</v>
      </c>
      <c r="N438">
        <v>2218.8000000000002</v>
      </c>
      <c r="Q438">
        <f t="shared" si="45"/>
        <v>400.1</v>
      </c>
      <c r="R438">
        <f t="shared" si="46"/>
        <v>400.1</v>
      </c>
      <c r="S438">
        <f t="shared" si="47"/>
        <v>2.3000000000000114</v>
      </c>
    </row>
    <row r="439" spans="1:19" x14ac:dyDescent="0.25">
      <c r="A439" s="2">
        <v>44872</v>
      </c>
      <c r="B439" s="3">
        <v>311</v>
      </c>
      <c r="C439" s="3">
        <v>300</v>
      </c>
      <c r="D439">
        <v>402.11610000000002</v>
      </c>
      <c r="E439">
        <v>5.8000000000000003E-2</v>
      </c>
      <c r="F439">
        <v>396.33569999999997</v>
      </c>
      <c r="G439">
        <v>403.42959999999999</v>
      </c>
      <c r="H439">
        <v>406.5829</v>
      </c>
      <c r="I439">
        <v>5.5E-2</v>
      </c>
      <c r="J439">
        <v>5.8999999999999997E-2</v>
      </c>
      <c r="K439">
        <v>5.8999999999999997E-2</v>
      </c>
      <c r="L439">
        <v>2199.4</v>
      </c>
      <c r="M439">
        <v>2205.8000000000002</v>
      </c>
      <c r="N439">
        <v>2222.8000000000002</v>
      </c>
      <c r="Q439">
        <f t="shared" si="45"/>
        <v>402.1</v>
      </c>
      <c r="R439">
        <f t="shared" si="46"/>
        <v>402.1</v>
      </c>
      <c r="S439">
        <f t="shared" si="47"/>
        <v>2</v>
      </c>
    </row>
    <row r="440" spans="1:19" x14ac:dyDescent="0.25">
      <c r="A440" s="2">
        <v>44872</v>
      </c>
      <c r="B440" s="3">
        <v>311</v>
      </c>
      <c r="C440" s="3">
        <v>400</v>
      </c>
      <c r="D440">
        <v>403.483</v>
      </c>
      <c r="E440">
        <v>4.5999999999999999E-2</v>
      </c>
      <c r="F440">
        <v>397.6832</v>
      </c>
      <c r="G440">
        <v>404.8048</v>
      </c>
      <c r="H440">
        <v>407.96100000000001</v>
      </c>
      <c r="I440">
        <v>4.2000000000000003E-2</v>
      </c>
      <c r="J440">
        <v>5.0999999999999997E-2</v>
      </c>
      <c r="K440">
        <v>4.4999999999999998E-2</v>
      </c>
      <c r="L440">
        <v>2201.8000000000002</v>
      </c>
      <c r="M440">
        <v>2208.4</v>
      </c>
      <c r="N440">
        <v>2225.6</v>
      </c>
      <c r="Q440">
        <f t="shared" si="45"/>
        <v>403.5</v>
      </c>
      <c r="R440">
        <f t="shared" si="46"/>
        <v>403.5</v>
      </c>
      <c r="S440">
        <f t="shared" si="47"/>
        <v>1.3999999999999773</v>
      </c>
    </row>
    <row r="441" spans="1:19" x14ac:dyDescent="0.25">
      <c r="A441" s="2">
        <v>44872</v>
      </c>
      <c r="B441" s="3">
        <v>311</v>
      </c>
      <c r="C441" s="3">
        <v>500</v>
      </c>
      <c r="D441">
        <v>404.5718</v>
      </c>
      <c r="E441">
        <v>4.7E-2</v>
      </c>
      <c r="F441">
        <v>398.74419999999998</v>
      </c>
      <c r="G441">
        <v>405.89670000000001</v>
      </c>
      <c r="H441">
        <v>409.07440000000003</v>
      </c>
      <c r="I441">
        <v>4.4999999999999998E-2</v>
      </c>
      <c r="J441">
        <v>4.8000000000000001E-2</v>
      </c>
      <c r="K441">
        <v>4.8000000000000001E-2</v>
      </c>
      <c r="L441">
        <v>2204</v>
      </c>
      <c r="M441">
        <v>2210.8000000000002</v>
      </c>
      <c r="N441">
        <v>2227.8000000000002</v>
      </c>
      <c r="Q441">
        <f t="shared" si="45"/>
        <v>404.6</v>
      </c>
      <c r="R441">
        <f t="shared" si="46"/>
        <v>404.6</v>
      </c>
      <c r="S441">
        <f t="shared" si="47"/>
        <v>1.1000000000000227</v>
      </c>
    </row>
    <row r="442" spans="1:19" x14ac:dyDescent="0.25">
      <c r="A442" s="2">
        <v>44872</v>
      </c>
      <c r="B442" s="3">
        <v>311</v>
      </c>
      <c r="C442" s="3">
        <v>600</v>
      </c>
      <c r="D442">
        <v>406.68079999999998</v>
      </c>
      <c r="E442">
        <v>5.5E-2</v>
      </c>
      <c r="F442">
        <v>400.8211</v>
      </c>
      <c r="G442">
        <v>407.99680000000001</v>
      </c>
      <c r="H442">
        <v>411.22430000000003</v>
      </c>
      <c r="I442">
        <v>4.2000000000000003E-2</v>
      </c>
      <c r="J442">
        <v>6.8000000000000005E-2</v>
      </c>
      <c r="K442">
        <v>5.1999999999999998E-2</v>
      </c>
      <c r="L442">
        <v>2208.1999999999998</v>
      </c>
      <c r="M442">
        <v>2215</v>
      </c>
      <c r="N442">
        <v>2232.1999999999998</v>
      </c>
      <c r="Q442">
        <f t="shared" si="45"/>
        <v>406.7</v>
      </c>
      <c r="R442">
        <f t="shared" si="46"/>
        <v>406.7</v>
      </c>
      <c r="S442">
        <f t="shared" si="47"/>
        <v>2.0999999999999659</v>
      </c>
    </row>
    <row r="443" spans="1:19" x14ac:dyDescent="0.25">
      <c r="A443" s="2">
        <v>44872</v>
      </c>
      <c r="B443" s="3">
        <v>311</v>
      </c>
      <c r="C443" s="3">
        <v>700</v>
      </c>
      <c r="D443">
        <v>408.26760000000002</v>
      </c>
      <c r="E443">
        <v>4.9000000000000002E-2</v>
      </c>
      <c r="F443">
        <v>402.39109999999999</v>
      </c>
      <c r="G443">
        <v>409.59829999999999</v>
      </c>
      <c r="H443">
        <v>412.81349999999998</v>
      </c>
      <c r="I443">
        <v>4.4999999999999998E-2</v>
      </c>
      <c r="J443">
        <v>4.9000000000000002E-2</v>
      </c>
      <c r="K443">
        <v>5.1999999999999998E-2</v>
      </c>
      <c r="L443">
        <v>2211.6</v>
      </c>
      <c r="M443">
        <v>2218.1999999999998</v>
      </c>
      <c r="N443">
        <v>2235.4</v>
      </c>
      <c r="Q443">
        <f t="shared" si="45"/>
        <v>408.3</v>
      </c>
      <c r="R443">
        <f t="shared" si="46"/>
        <v>408.3</v>
      </c>
      <c r="S443">
        <f t="shared" si="47"/>
        <v>1.6000000000000227</v>
      </c>
    </row>
    <row r="444" spans="1:19" x14ac:dyDescent="0.25">
      <c r="A444" s="2">
        <v>44872</v>
      </c>
      <c r="B444" s="3">
        <v>311</v>
      </c>
      <c r="C444" s="3">
        <v>800</v>
      </c>
      <c r="D444">
        <v>409.56389999999999</v>
      </c>
      <c r="E444">
        <v>5.1999999999999998E-2</v>
      </c>
      <c r="F444">
        <v>403.6739</v>
      </c>
      <c r="G444">
        <v>410.90159999999997</v>
      </c>
      <c r="H444">
        <v>414.11610000000002</v>
      </c>
      <c r="I444">
        <v>5.0999999999999997E-2</v>
      </c>
      <c r="J444">
        <v>0.05</v>
      </c>
      <c r="K444">
        <v>5.5E-2</v>
      </c>
      <c r="L444">
        <v>2214.1999999999998</v>
      </c>
      <c r="M444">
        <v>2220.8000000000002</v>
      </c>
      <c r="N444">
        <v>2237.8000000000002</v>
      </c>
      <c r="Q444">
        <f t="shared" si="45"/>
        <v>409.6</v>
      </c>
      <c r="R444">
        <f t="shared" si="46"/>
        <v>409.6</v>
      </c>
      <c r="S444">
        <f t="shared" si="47"/>
        <v>1.3000000000000114</v>
      </c>
    </row>
    <row r="445" spans="1:19" x14ac:dyDescent="0.25">
      <c r="A445" s="2">
        <v>44872</v>
      </c>
      <c r="B445" s="3">
        <v>311</v>
      </c>
      <c r="C445" s="3">
        <v>900</v>
      </c>
      <c r="D445">
        <v>410.85700000000003</v>
      </c>
      <c r="E445">
        <v>4.3999999999999997E-2</v>
      </c>
      <c r="F445">
        <v>404.96530000000001</v>
      </c>
      <c r="G445">
        <v>412.21690000000001</v>
      </c>
      <c r="H445">
        <v>415.38869999999997</v>
      </c>
      <c r="I445">
        <v>3.5999999999999997E-2</v>
      </c>
      <c r="J445">
        <v>4.5999999999999999E-2</v>
      </c>
      <c r="K445">
        <v>4.8000000000000001E-2</v>
      </c>
      <c r="L445">
        <v>2216.6</v>
      </c>
      <c r="M445">
        <v>2223.4</v>
      </c>
      <c r="N445">
        <v>2240.4</v>
      </c>
      <c r="Q445">
        <f t="shared" si="45"/>
        <v>410.9</v>
      </c>
      <c r="R445">
        <f t="shared" si="46"/>
        <v>410.9</v>
      </c>
      <c r="S445">
        <f t="shared" si="47"/>
        <v>1.2999999999999545</v>
      </c>
    </row>
    <row r="446" spans="1:19" x14ac:dyDescent="0.25">
      <c r="A446" s="2">
        <v>44872</v>
      </c>
      <c r="B446" s="3">
        <v>311</v>
      </c>
      <c r="C446" s="3">
        <v>1000</v>
      </c>
      <c r="D446">
        <v>412.05329999999998</v>
      </c>
      <c r="E446">
        <v>4.2999999999999997E-2</v>
      </c>
      <c r="F446">
        <v>406.14870000000002</v>
      </c>
      <c r="G446">
        <v>413.4221</v>
      </c>
      <c r="H446">
        <v>416.58920000000001</v>
      </c>
      <c r="I446">
        <v>3.5000000000000003E-2</v>
      </c>
      <c r="J446">
        <v>4.5999999999999999E-2</v>
      </c>
      <c r="K446">
        <v>4.8000000000000001E-2</v>
      </c>
      <c r="L446">
        <v>2219</v>
      </c>
      <c r="M446">
        <v>2225.8000000000002</v>
      </c>
      <c r="N446">
        <v>2242.8000000000002</v>
      </c>
      <c r="Q446">
        <f t="shared" si="45"/>
        <v>412.1</v>
      </c>
      <c r="R446">
        <f t="shared" si="46"/>
        <v>412.1</v>
      </c>
      <c r="S446">
        <f t="shared" si="47"/>
        <v>1.2000000000000455</v>
      </c>
    </row>
    <row r="447" spans="1:19" x14ac:dyDescent="0.25">
      <c r="A447" s="2">
        <v>44872</v>
      </c>
      <c r="B447" s="3">
        <v>311</v>
      </c>
      <c r="C447" s="3">
        <v>1100</v>
      </c>
      <c r="D447">
        <v>413.28660000000002</v>
      </c>
      <c r="E447">
        <v>4.4999999999999998E-2</v>
      </c>
      <c r="F447">
        <v>407.37180000000001</v>
      </c>
      <c r="G447">
        <v>414.65820000000002</v>
      </c>
      <c r="H447">
        <v>417.8297</v>
      </c>
      <c r="I447">
        <v>4.7E-2</v>
      </c>
      <c r="J447">
        <v>4.8000000000000001E-2</v>
      </c>
      <c r="K447">
        <v>0.04</v>
      </c>
      <c r="L447">
        <v>2221.4</v>
      </c>
      <c r="M447">
        <v>2228.1999999999998</v>
      </c>
      <c r="N447">
        <v>2245.1999999999998</v>
      </c>
      <c r="Q447">
        <f t="shared" si="45"/>
        <v>413.3</v>
      </c>
      <c r="R447">
        <f t="shared" si="46"/>
        <v>413.3</v>
      </c>
      <c r="S447">
        <f t="shared" si="47"/>
        <v>1.1999999999999886</v>
      </c>
    </row>
    <row r="448" spans="1:19" x14ac:dyDescent="0.25">
      <c r="A448" s="2">
        <v>44872</v>
      </c>
      <c r="B448" s="3">
        <v>311</v>
      </c>
      <c r="C448" s="3">
        <v>1200</v>
      </c>
      <c r="D448">
        <v>413.95639999999997</v>
      </c>
      <c r="E448">
        <v>4.1000000000000002E-2</v>
      </c>
      <c r="F448">
        <v>408.03179999999998</v>
      </c>
      <c r="G448">
        <v>415.34460000000001</v>
      </c>
      <c r="H448">
        <v>418.49279999999999</v>
      </c>
      <c r="I448">
        <v>3.6999999999999998E-2</v>
      </c>
      <c r="J448">
        <v>3.7999999999999999E-2</v>
      </c>
      <c r="K448">
        <v>4.8000000000000001E-2</v>
      </c>
      <c r="L448">
        <v>2222.8000000000002</v>
      </c>
      <c r="M448">
        <v>2229.8000000000002</v>
      </c>
      <c r="N448">
        <v>2246.6</v>
      </c>
      <c r="Q448">
        <f t="shared" si="45"/>
        <v>414</v>
      </c>
      <c r="R448">
        <f t="shared" si="46"/>
        <v>414</v>
      </c>
      <c r="S448">
        <f t="shared" si="47"/>
        <v>0.69999999999998863</v>
      </c>
    </row>
    <row r="449" spans="1:19" x14ac:dyDescent="0.25">
      <c r="A449" s="2">
        <v>44872</v>
      </c>
      <c r="B449" s="3">
        <v>311</v>
      </c>
      <c r="C449" s="3">
        <v>1300</v>
      </c>
      <c r="D449">
        <v>414.53489999999999</v>
      </c>
      <c r="E449">
        <v>4.5999999999999999E-2</v>
      </c>
      <c r="F449">
        <v>408.58940000000001</v>
      </c>
      <c r="G449">
        <v>415.92759999999998</v>
      </c>
      <c r="H449">
        <v>419.08760000000001</v>
      </c>
      <c r="I449">
        <v>4.8000000000000001E-2</v>
      </c>
      <c r="J449">
        <v>3.7999999999999999E-2</v>
      </c>
      <c r="K449">
        <v>0.05</v>
      </c>
      <c r="L449">
        <v>2223.8000000000002</v>
      </c>
      <c r="M449">
        <v>2230.8000000000002</v>
      </c>
      <c r="N449">
        <v>2247.8000000000002</v>
      </c>
      <c r="Q449">
        <f t="shared" si="45"/>
        <v>414.5</v>
      </c>
      <c r="R449">
        <f t="shared" si="46"/>
        <v>414.5</v>
      </c>
      <c r="S449">
        <f t="shared" si="47"/>
        <v>0.5</v>
      </c>
    </row>
    <row r="450" spans="1:19" x14ac:dyDescent="0.25">
      <c r="A450" s="2">
        <v>44872</v>
      </c>
      <c r="B450" s="3">
        <v>311</v>
      </c>
      <c r="C450" s="3">
        <v>1400</v>
      </c>
      <c r="D450">
        <v>414.96449999999999</v>
      </c>
      <c r="E450">
        <v>4.2000000000000003E-2</v>
      </c>
      <c r="F450">
        <v>409.03919999999999</v>
      </c>
      <c r="G450">
        <v>416.35989999999998</v>
      </c>
      <c r="H450">
        <v>419.49430000000001</v>
      </c>
      <c r="I450">
        <v>3.5000000000000003E-2</v>
      </c>
      <c r="J450">
        <v>0.04</v>
      </c>
      <c r="K450">
        <v>4.9000000000000002E-2</v>
      </c>
      <c r="L450">
        <v>2224.8000000000002</v>
      </c>
      <c r="M450">
        <v>2231.6</v>
      </c>
      <c r="N450">
        <v>2248.6</v>
      </c>
      <c r="Q450">
        <f t="shared" si="45"/>
        <v>415</v>
      </c>
      <c r="R450">
        <f t="shared" si="46"/>
        <v>415</v>
      </c>
      <c r="S450">
        <f t="shared" si="47"/>
        <v>0.5</v>
      </c>
    </row>
    <row r="451" spans="1:19" x14ac:dyDescent="0.25">
      <c r="A451" s="2">
        <v>44872</v>
      </c>
      <c r="B451" s="3">
        <v>311</v>
      </c>
      <c r="C451" s="3">
        <v>1500</v>
      </c>
      <c r="D451">
        <v>415.00959999999998</v>
      </c>
      <c r="E451">
        <v>4.5999999999999999E-2</v>
      </c>
      <c r="F451">
        <v>409.06189999999998</v>
      </c>
      <c r="G451">
        <v>416.41090000000003</v>
      </c>
      <c r="H451">
        <v>419.55599999999998</v>
      </c>
      <c r="I451">
        <v>4.8000000000000001E-2</v>
      </c>
      <c r="J451">
        <v>4.8000000000000001E-2</v>
      </c>
      <c r="K451">
        <v>4.2000000000000003E-2</v>
      </c>
      <c r="L451">
        <v>2224.8000000000002</v>
      </c>
      <c r="M451">
        <v>2231.8000000000002</v>
      </c>
      <c r="N451">
        <v>2248.6</v>
      </c>
      <c r="Q451">
        <f t="shared" si="45"/>
        <v>415</v>
      </c>
      <c r="R451">
        <f t="shared" si="46"/>
        <v>415</v>
      </c>
      <c r="S451">
        <f t="shared" si="47"/>
        <v>0</v>
      </c>
    </row>
    <row r="452" spans="1:19" x14ac:dyDescent="0.25">
      <c r="A452" s="2">
        <v>44872</v>
      </c>
      <c r="B452" s="3">
        <v>311</v>
      </c>
      <c r="C452" s="3">
        <v>1600</v>
      </c>
      <c r="D452">
        <v>415.21420000000001</v>
      </c>
      <c r="E452">
        <v>0.05</v>
      </c>
      <c r="F452">
        <v>409.26409999999998</v>
      </c>
      <c r="G452">
        <v>416.60770000000002</v>
      </c>
      <c r="H452">
        <v>419.77080000000001</v>
      </c>
      <c r="I452">
        <v>4.9000000000000002E-2</v>
      </c>
      <c r="J452">
        <v>5.1999999999999998E-2</v>
      </c>
      <c r="K452">
        <v>4.8000000000000001E-2</v>
      </c>
      <c r="L452">
        <v>2225.1999999999998</v>
      </c>
      <c r="M452">
        <v>2232.1999999999998</v>
      </c>
      <c r="N452">
        <v>2249</v>
      </c>
      <c r="Q452">
        <f t="shared" si="45"/>
        <v>415.2</v>
      </c>
      <c r="R452">
        <f t="shared" si="46"/>
        <v>415.2</v>
      </c>
      <c r="S452">
        <f t="shared" si="47"/>
        <v>0.19999999999998863</v>
      </c>
    </row>
    <row r="453" spans="1:19" x14ac:dyDescent="0.25">
      <c r="A453" s="2">
        <v>44872</v>
      </c>
      <c r="B453" s="3">
        <v>311</v>
      </c>
      <c r="C453" s="3">
        <v>1700</v>
      </c>
      <c r="D453">
        <v>415.33240000000001</v>
      </c>
      <c r="E453">
        <v>4.8000000000000001E-2</v>
      </c>
      <c r="F453">
        <v>409.3897</v>
      </c>
      <c r="G453">
        <v>416.7167</v>
      </c>
      <c r="H453">
        <v>419.89060000000001</v>
      </c>
      <c r="I453">
        <v>4.7E-2</v>
      </c>
      <c r="J453">
        <v>4.5999999999999999E-2</v>
      </c>
      <c r="K453">
        <v>0.05</v>
      </c>
      <c r="L453">
        <v>2225.6</v>
      </c>
      <c r="M453">
        <v>2232.4</v>
      </c>
      <c r="N453">
        <v>2249.4</v>
      </c>
      <c r="Q453">
        <f t="shared" si="45"/>
        <v>415.3</v>
      </c>
      <c r="R453">
        <f t="shared" si="46"/>
        <v>415.3</v>
      </c>
      <c r="S453">
        <f t="shared" si="47"/>
        <v>0.10000000000002274</v>
      </c>
    </row>
    <row r="454" spans="1:19" x14ac:dyDescent="0.25">
      <c r="A454" s="2">
        <v>44872</v>
      </c>
      <c r="B454" s="3">
        <v>311</v>
      </c>
      <c r="C454" s="3">
        <v>1800</v>
      </c>
      <c r="D454">
        <v>415.35860000000002</v>
      </c>
      <c r="E454">
        <v>3.5999999999999997E-2</v>
      </c>
      <c r="F454">
        <v>409.42469999999997</v>
      </c>
      <c r="G454">
        <v>416.7448</v>
      </c>
      <c r="H454">
        <v>419.90640000000002</v>
      </c>
      <c r="I454">
        <v>1.2999999999999999E-2</v>
      </c>
      <c r="J454">
        <v>0.04</v>
      </c>
      <c r="K454">
        <v>4.4999999999999998E-2</v>
      </c>
      <c r="L454">
        <v>2225.6</v>
      </c>
      <c r="M454">
        <v>2232.4</v>
      </c>
      <c r="N454">
        <v>2249.1999999999998</v>
      </c>
      <c r="Q454">
        <f t="shared" si="45"/>
        <v>415.4</v>
      </c>
      <c r="R454">
        <f t="shared" si="46"/>
        <v>415.4</v>
      </c>
      <c r="S454">
        <f t="shared" si="47"/>
        <v>9.9999999999965894E-2</v>
      </c>
    </row>
    <row r="455" spans="1:19" x14ac:dyDescent="0.25">
      <c r="A455" s="2">
        <v>44872</v>
      </c>
      <c r="B455" s="3">
        <v>311</v>
      </c>
      <c r="C455" s="3">
        <v>1900</v>
      </c>
      <c r="D455">
        <v>415.52190000000002</v>
      </c>
      <c r="E455">
        <v>4.7E-2</v>
      </c>
      <c r="F455">
        <v>409.57990000000001</v>
      </c>
      <c r="G455">
        <v>416.91890000000001</v>
      </c>
      <c r="H455">
        <v>420.0668</v>
      </c>
      <c r="I455">
        <v>4.9000000000000002E-2</v>
      </c>
      <c r="J455">
        <v>4.4999999999999998E-2</v>
      </c>
      <c r="K455">
        <v>4.7E-2</v>
      </c>
      <c r="L455">
        <v>2226</v>
      </c>
      <c r="M455">
        <v>2232.8000000000002</v>
      </c>
      <c r="N455">
        <v>2249.8000000000002</v>
      </c>
      <c r="Q455">
        <f t="shared" si="45"/>
        <v>415.5</v>
      </c>
      <c r="R455">
        <f t="shared" si="46"/>
        <v>415.5</v>
      </c>
      <c r="S455">
        <f t="shared" si="47"/>
        <v>0.10000000000002274</v>
      </c>
    </row>
    <row r="456" spans="1:19" x14ac:dyDescent="0.25">
      <c r="A456" s="2">
        <v>44872</v>
      </c>
      <c r="B456" s="3">
        <v>311</v>
      </c>
      <c r="C456" s="3">
        <v>2000</v>
      </c>
      <c r="D456">
        <v>415.6447</v>
      </c>
      <c r="E456">
        <v>4.3999999999999997E-2</v>
      </c>
      <c r="F456">
        <v>409.6968</v>
      </c>
      <c r="G456">
        <v>417.06659999999999</v>
      </c>
      <c r="H456">
        <v>420.17079999999999</v>
      </c>
      <c r="I456">
        <v>4.2999999999999997E-2</v>
      </c>
      <c r="J456">
        <v>0.04</v>
      </c>
      <c r="K456">
        <v>4.8000000000000001E-2</v>
      </c>
      <c r="L456">
        <v>2226.1999999999998</v>
      </c>
      <c r="M456">
        <v>2233.1999999999998</v>
      </c>
      <c r="N456">
        <v>2249.8000000000002</v>
      </c>
      <c r="Q456">
        <f t="shared" si="45"/>
        <v>415.6</v>
      </c>
      <c r="R456">
        <f t="shared" si="46"/>
        <v>415.6</v>
      </c>
      <c r="S456">
        <f t="shared" si="47"/>
        <v>0.10000000000002274</v>
      </c>
    </row>
    <row r="457" spans="1:19" x14ac:dyDescent="0.25">
      <c r="A457" s="2">
        <v>44872</v>
      </c>
      <c r="B457" s="3">
        <v>311</v>
      </c>
      <c r="C457" s="3">
        <v>2100</v>
      </c>
      <c r="D457">
        <v>415.72899999999998</v>
      </c>
      <c r="E457">
        <v>4.3999999999999997E-2</v>
      </c>
      <c r="F457">
        <v>409.77179999999998</v>
      </c>
      <c r="G457">
        <v>417.15449999999998</v>
      </c>
      <c r="H457">
        <v>420.26060000000001</v>
      </c>
      <c r="I457">
        <v>0.05</v>
      </c>
      <c r="J457">
        <v>3.6999999999999998E-2</v>
      </c>
      <c r="K457">
        <v>4.2999999999999997E-2</v>
      </c>
      <c r="L457">
        <v>2226.4</v>
      </c>
      <c r="M457">
        <v>2233.1999999999998</v>
      </c>
      <c r="N457">
        <v>2250</v>
      </c>
      <c r="Q457">
        <f t="shared" si="45"/>
        <v>415.7</v>
      </c>
      <c r="R457">
        <f t="shared" si="46"/>
        <v>415.7</v>
      </c>
      <c r="S457">
        <f t="shared" si="47"/>
        <v>9.9999999999965894E-2</v>
      </c>
    </row>
    <row r="458" spans="1:19" x14ac:dyDescent="0.25">
      <c r="A458" s="2">
        <v>44872</v>
      </c>
      <c r="B458" s="3">
        <v>311</v>
      </c>
      <c r="C458" s="3">
        <v>2200</v>
      </c>
      <c r="D458">
        <v>416.49700000000001</v>
      </c>
      <c r="E458">
        <v>5.1999999999999998E-2</v>
      </c>
      <c r="F458">
        <v>410.53809999999999</v>
      </c>
      <c r="G458">
        <v>417.90769999999998</v>
      </c>
      <c r="H458">
        <v>421.04520000000002</v>
      </c>
      <c r="I458">
        <v>5.5E-2</v>
      </c>
      <c r="J458">
        <v>0.05</v>
      </c>
      <c r="K458">
        <v>5.0999999999999997E-2</v>
      </c>
      <c r="L458">
        <v>2228</v>
      </c>
      <c r="M458">
        <v>2234.8000000000002</v>
      </c>
      <c r="N458">
        <v>2251.6</v>
      </c>
      <c r="Q458">
        <f t="shared" si="45"/>
        <v>416.5</v>
      </c>
      <c r="R458">
        <f t="shared" si="46"/>
        <v>416.5</v>
      </c>
      <c r="S458">
        <f t="shared" si="47"/>
        <v>0.80000000000001137</v>
      </c>
    </row>
    <row r="459" spans="1:19" x14ac:dyDescent="0.25">
      <c r="A459" s="2">
        <v>44872</v>
      </c>
      <c r="B459" s="3">
        <v>311</v>
      </c>
      <c r="C459" s="3">
        <v>2300</v>
      </c>
      <c r="D459">
        <v>416.8202</v>
      </c>
      <c r="E459">
        <v>3.7999999999999999E-2</v>
      </c>
      <c r="F459">
        <v>410.84899999999999</v>
      </c>
      <c r="G459">
        <v>418.2491</v>
      </c>
      <c r="H459">
        <v>421.36259999999999</v>
      </c>
      <c r="I459">
        <v>4.7E-2</v>
      </c>
      <c r="J459">
        <v>2.3E-2</v>
      </c>
      <c r="K459">
        <v>4.1000000000000002E-2</v>
      </c>
      <c r="L459">
        <v>2228.6</v>
      </c>
      <c r="M459">
        <v>2235.1999999999998</v>
      </c>
      <c r="N459">
        <v>2252.1999999999998</v>
      </c>
      <c r="Q459">
        <f t="shared" si="45"/>
        <v>416.8</v>
      </c>
      <c r="R459">
        <f t="shared" si="46"/>
        <v>416.8</v>
      </c>
      <c r="S459">
        <f t="shared" si="47"/>
        <v>0.30000000000001137</v>
      </c>
    </row>
    <row r="460" spans="1:19" x14ac:dyDescent="0.25">
      <c r="A460" s="2">
        <v>44872</v>
      </c>
      <c r="B460" s="3">
        <v>311</v>
      </c>
      <c r="C460" s="3">
        <v>2400</v>
      </c>
      <c r="D460">
        <v>416.8929</v>
      </c>
      <c r="E460">
        <v>3.3000000000000002E-2</v>
      </c>
      <c r="F460">
        <v>410.92070000000001</v>
      </c>
      <c r="G460">
        <v>418.32670000000002</v>
      </c>
      <c r="H460">
        <v>421.4314</v>
      </c>
      <c r="I460">
        <v>2.1999999999999999E-2</v>
      </c>
      <c r="J460">
        <v>4.2999999999999997E-2</v>
      </c>
      <c r="K460">
        <v>3.1E-2</v>
      </c>
      <c r="L460">
        <v>2228.6</v>
      </c>
      <c r="M460">
        <v>2235.6</v>
      </c>
      <c r="N460">
        <v>2252.4</v>
      </c>
      <c r="Q460">
        <f t="shared" si="45"/>
        <v>416.9</v>
      </c>
      <c r="R460">
        <f t="shared" si="46"/>
        <v>416.9</v>
      </c>
      <c r="S460">
        <f t="shared" si="47"/>
        <v>9.9999999999965894E-2</v>
      </c>
    </row>
    <row r="461" spans="1:19" x14ac:dyDescent="0.25">
      <c r="A461" s="2">
        <v>44873</v>
      </c>
      <c r="B461" s="3">
        <v>312</v>
      </c>
      <c r="C461" s="3">
        <v>100</v>
      </c>
      <c r="D461">
        <v>417.87939999999998</v>
      </c>
      <c r="E461">
        <v>4.7E-2</v>
      </c>
      <c r="F461">
        <v>411.87310000000002</v>
      </c>
      <c r="G461">
        <v>419.2885</v>
      </c>
      <c r="H461">
        <v>422.47640000000001</v>
      </c>
      <c r="I461">
        <v>4.9000000000000002E-2</v>
      </c>
      <c r="J461">
        <v>4.7E-2</v>
      </c>
      <c r="K461">
        <v>4.4999999999999998E-2</v>
      </c>
      <c r="L461">
        <v>2230.4</v>
      </c>
      <c r="M461">
        <v>2237.6</v>
      </c>
      <c r="N461">
        <v>2254.6</v>
      </c>
      <c r="Q461">
        <f t="shared" si="45"/>
        <v>417.9</v>
      </c>
      <c r="R461">
        <f t="shared" si="46"/>
        <v>417.9</v>
      </c>
      <c r="S461">
        <f t="shared" si="47"/>
        <v>1</v>
      </c>
    </row>
    <row r="462" spans="1:19" x14ac:dyDescent="0.25">
      <c r="A462" s="2">
        <v>44873</v>
      </c>
      <c r="B462" s="3">
        <v>312</v>
      </c>
      <c r="C462" s="3">
        <v>200</v>
      </c>
      <c r="D462">
        <v>418.28100000000001</v>
      </c>
      <c r="E462">
        <v>4.2999999999999997E-2</v>
      </c>
      <c r="F462">
        <v>412.28930000000003</v>
      </c>
      <c r="G462">
        <v>419.71859999999998</v>
      </c>
      <c r="H462">
        <v>422.83499999999998</v>
      </c>
      <c r="I462">
        <v>4.1000000000000002E-2</v>
      </c>
      <c r="J462">
        <v>4.9000000000000002E-2</v>
      </c>
      <c r="K462">
        <v>3.6999999999999998E-2</v>
      </c>
      <c r="L462">
        <v>2231.4</v>
      </c>
      <c r="M462">
        <v>2238.4</v>
      </c>
      <c r="N462">
        <v>2255.1999999999998</v>
      </c>
      <c r="Q462">
        <f t="shared" si="45"/>
        <v>418.3</v>
      </c>
      <c r="R462">
        <f t="shared" si="46"/>
        <v>418.3</v>
      </c>
      <c r="S462">
        <f t="shared" si="47"/>
        <v>0.40000000000003411</v>
      </c>
    </row>
    <row r="463" spans="1:19" x14ac:dyDescent="0.25">
      <c r="A463" s="2">
        <v>44873</v>
      </c>
      <c r="B463" s="3">
        <v>312</v>
      </c>
      <c r="C463" s="3">
        <v>300</v>
      </c>
      <c r="D463">
        <v>418.28449999999998</v>
      </c>
      <c r="E463">
        <v>4.1000000000000002E-2</v>
      </c>
      <c r="F463">
        <v>412.28930000000003</v>
      </c>
      <c r="G463">
        <v>419.73270000000002</v>
      </c>
      <c r="H463">
        <v>422.83150000000001</v>
      </c>
      <c r="I463">
        <v>4.1000000000000002E-2</v>
      </c>
      <c r="J463">
        <v>4.2999999999999997E-2</v>
      </c>
      <c r="K463">
        <v>0.04</v>
      </c>
      <c r="L463">
        <v>2231.1999999999998</v>
      </c>
      <c r="M463">
        <v>2238.1999999999998</v>
      </c>
      <c r="N463">
        <v>2255.1999999999998</v>
      </c>
      <c r="Q463">
        <f t="shared" si="45"/>
        <v>418.3</v>
      </c>
      <c r="R463">
        <f t="shared" si="46"/>
        <v>418.3</v>
      </c>
      <c r="S463">
        <f t="shared" si="47"/>
        <v>0</v>
      </c>
    </row>
    <row r="464" spans="1:19" x14ac:dyDescent="0.25">
      <c r="A464" s="2">
        <v>44873</v>
      </c>
      <c r="B464" s="3">
        <v>312</v>
      </c>
      <c r="C464" s="3">
        <v>400</v>
      </c>
      <c r="D464">
        <v>418.36020000000002</v>
      </c>
      <c r="E464">
        <v>0.05</v>
      </c>
      <c r="F464">
        <v>412.3664</v>
      </c>
      <c r="G464">
        <v>419.80860000000001</v>
      </c>
      <c r="H464">
        <v>422.90559999999999</v>
      </c>
      <c r="I464">
        <v>0.05</v>
      </c>
      <c r="J464">
        <v>0.05</v>
      </c>
      <c r="K464">
        <v>0.05</v>
      </c>
      <c r="L464">
        <v>2231.4</v>
      </c>
      <c r="M464">
        <v>2238.6</v>
      </c>
      <c r="N464">
        <v>2255.1999999999998</v>
      </c>
      <c r="Q464">
        <f t="shared" si="45"/>
        <v>418.4</v>
      </c>
      <c r="R464">
        <f t="shared" si="46"/>
        <v>418.4</v>
      </c>
      <c r="S464">
        <f t="shared" si="47"/>
        <v>9.9999999999965894E-2</v>
      </c>
    </row>
    <row r="465" spans="1:19" x14ac:dyDescent="0.25">
      <c r="A465" s="2">
        <v>44873</v>
      </c>
      <c r="B465" s="3">
        <v>312</v>
      </c>
      <c r="C465" s="3">
        <v>500</v>
      </c>
      <c r="D465">
        <v>418.46820000000002</v>
      </c>
      <c r="E465">
        <v>4.9000000000000002E-2</v>
      </c>
      <c r="F465">
        <v>412.46780000000001</v>
      </c>
      <c r="G465">
        <v>419.91969999999998</v>
      </c>
      <c r="H465">
        <v>423.017</v>
      </c>
      <c r="I465">
        <v>4.9000000000000002E-2</v>
      </c>
      <c r="J465">
        <v>4.9000000000000002E-2</v>
      </c>
      <c r="K465">
        <v>4.8000000000000001E-2</v>
      </c>
      <c r="L465">
        <v>2231.8000000000002</v>
      </c>
      <c r="M465">
        <v>2238.8000000000002</v>
      </c>
      <c r="N465">
        <v>2255.6</v>
      </c>
      <c r="Q465">
        <f t="shared" si="45"/>
        <v>418.5</v>
      </c>
      <c r="R465">
        <f t="shared" si="46"/>
        <v>418.5</v>
      </c>
      <c r="S465">
        <f t="shared" si="47"/>
        <v>0.10000000000002274</v>
      </c>
    </row>
    <row r="466" spans="1:19" x14ac:dyDescent="0.25">
      <c r="A466" s="2">
        <v>44873</v>
      </c>
      <c r="B466" s="3">
        <v>312</v>
      </c>
      <c r="C466" s="3">
        <v>600</v>
      </c>
      <c r="D466">
        <v>418.63830000000002</v>
      </c>
      <c r="E466">
        <v>4.5999999999999999E-2</v>
      </c>
      <c r="F466">
        <v>412.63929999999999</v>
      </c>
      <c r="G466">
        <v>420.08539999999999</v>
      </c>
      <c r="H466">
        <v>423.1902</v>
      </c>
      <c r="I466">
        <v>4.5999999999999999E-2</v>
      </c>
      <c r="J466">
        <v>4.3999999999999997E-2</v>
      </c>
      <c r="K466">
        <v>4.9000000000000002E-2</v>
      </c>
      <c r="L466">
        <v>2232</v>
      </c>
      <c r="M466">
        <v>2239</v>
      </c>
      <c r="N466">
        <v>2255.8000000000002</v>
      </c>
      <c r="Q466">
        <f t="shared" si="45"/>
        <v>418.6</v>
      </c>
      <c r="R466">
        <f t="shared" si="46"/>
        <v>418.6</v>
      </c>
      <c r="S466">
        <f t="shared" si="47"/>
        <v>0.10000000000002274</v>
      </c>
    </row>
    <row r="467" spans="1:19" x14ac:dyDescent="0.25">
      <c r="A467" s="2">
        <v>44873</v>
      </c>
      <c r="B467" s="3">
        <v>312</v>
      </c>
      <c r="C467" s="3">
        <v>700</v>
      </c>
      <c r="D467">
        <v>418.6782</v>
      </c>
      <c r="E467">
        <v>4.5999999999999999E-2</v>
      </c>
      <c r="F467">
        <v>412.68130000000002</v>
      </c>
      <c r="G467">
        <v>420.1277</v>
      </c>
      <c r="H467">
        <v>423.22550000000001</v>
      </c>
      <c r="I467">
        <v>4.4999999999999998E-2</v>
      </c>
      <c r="J467">
        <v>4.7E-2</v>
      </c>
      <c r="K467">
        <v>4.4999999999999998E-2</v>
      </c>
      <c r="L467">
        <v>2232.1999999999998</v>
      </c>
      <c r="M467">
        <v>2239</v>
      </c>
      <c r="N467">
        <v>2255.8000000000002</v>
      </c>
      <c r="Q467">
        <f t="shared" ref="Q467:Q530" si="48">ROUND(D467,1)</f>
        <v>418.7</v>
      </c>
      <c r="R467">
        <f t="shared" si="46"/>
        <v>418.7</v>
      </c>
      <c r="S467">
        <f t="shared" si="47"/>
        <v>9.9999999999965894E-2</v>
      </c>
    </row>
    <row r="468" spans="1:19" x14ac:dyDescent="0.25">
      <c r="A468" s="2">
        <v>44873</v>
      </c>
      <c r="B468" s="3">
        <v>312</v>
      </c>
      <c r="C468" s="3">
        <v>800</v>
      </c>
      <c r="D468">
        <v>418.69229999999999</v>
      </c>
      <c r="E468">
        <v>4.4999999999999998E-2</v>
      </c>
      <c r="F468">
        <v>412.68299999999999</v>
      </c>
      <c r="G468">
        <v>420.18060000000003</v>
      </c>
      <c r="H468">
        <v>423.2131</v>
      </c>
      <c r="I468">
        <v>4.3999999999999997E-2</v>
      </c>
      <c r="J468">
        <v>4.1000000000000002E-2</v>
      </c>
      <c r="K468">
        <v>4.9000000000000002E-2</v>
      </c>
      <c r="L468">
        <v>2232.1999999999998</v>
      </c>
      <c r="M468">
        <v>2239.1999999999998</v>
      </c>
      <c r="N468">
        <v>2256</v>
      </c>
      <c r="Q468">
        <f t="shared" si="48"/>
        <v>418.7</v>
      </c>
      <c r="R468">
        <f t="shared" si="46"/>
        <v>418.7</v>
      </c>
      <c r="S468">
        <f t="shared" si="47"/>
        <v>0</v>
      </c>
    </row>
    <row r="469" spans="1:19" x14ac:dyDescent="0.25">
      <c r="A469" s="2">
        <v>44873</v>
      </c>
      <c r="B469" s="3">
        <v>312</v>
      </c>
      <c r="C469" s="3">
        <v>900</v>
      </c>
      <c r="D469">
        <v>418.71339999999998</v>
      </c>
      <c r="E469">
        <v>3.1E-2</v>
      </c>
      <c r="F469">
        <v>412.71280000000002</v>
      </c>
      <c r="G469">
        <v>420.1771</v>
      </c>
      <c r="H469">
        <v>423.25020000000001</v>
      </c>
      <c r="I469">
        <v>2.5999999999999999E-2</v>
      </c>
      <c r="J469">
        <v>3.7999999999999999E-2</v>
      </c>
      <c r="K469">
        <v>2.5999999999999999E-2</v>
      </c>
      <c r="L469">
        <v>2232.1999999999998</v>
      </c>
      <c r="M469">
        <v>2239.4</v>
      </c>
      <c r="N469">
        <v>2256.1999999999998</v>
      </c>
      <c r="Q469">
        <f t="shared" si="48"/>
        <v>418.7</v>
      </c>
      <c r="R469">
        <f t="shared" si="46"/>
        <v>418.7</v>
      </c>
      <c r="S469">
        <f t="shared" si="47"/>
        <v>0</v>
      </c>
    </row>
    <row r="470" spans="1:19" x14ac:dyDescent="0.25">
      <c r="A470" s="2">
        <v>44873</v>
      </c>
      <c r="B470" s="3">
        <v>312</v>
      </c>
      <c r="C470" s="3">
        <v>1000</v>
      </c>
      <c r="D470">
        <v>418.85469999999998</v>
      </c>
      <c r="E470">
        <v>4.1000000000000002E-2</v>
      </c>
      <c r="F470">
        <v>412.88780000000003</v>
      </c>
      <c r="G470">
        <v>420.31299999999999</v>
      </c>
      <c r="H470">
        <v>423.36329999999998</v>
      </c>
      <c r="I470">
        <v>4.1000000000000002E-2</v>
      </c>
      <c r="J470">
        <v>0.05</v>
      </c>
      <c r="K470">
        <v>2.8000000000000001E-2</v>
      </c>
      <c r="L470">
        <v>2232.6</v>
      </c>
      <c r="M470">
        <v>2239.4</v>
      </c>
      <c r="N470">
        <v>2256.1999999999998</v>
      </c>
      <c r="Q470">
        <f t="shared" si="48"/>
        <v>418.9</v>
      </c>
      <c r="R470">
        <f t="shared" si="46"/>
        <v>418.9</v>
      </c>
      <c r="S470">
        <f t="shared" si="47"/>
        <v>0.19999999999998863</v>
      </c>
    </row>
    <row r="471" spans="1:19" x14ac:dyDescent="0.25">
      <c r="A471" s="2">
        <v>44873</v>
      </c>
      <c r="B471" s="3">
        <v>312</v>
      </c>
      <c r="C471" s="3">
        <v>1100</v>
      </c>
      <c r="D471">
        <v>418.9117</v>
      </c>
      <c r="E471">
        <v>0.04</v>
      </c>
      <c r="F471">
        <v>412.94389999999999</v>
      </c>
      <c r="G471">
        <v>420.36250000000001</v>
      </c>
      <c r="H471">
        <v>423.42869999999999</v>
      </c>
      <c r="I471">
        <v>4.8000000000000001E-2</v>
      </c>
      <c r="J471">
        <v>2.3E-2</v>
      </c>
      <c r="K471">
        <v>4.3999999999999997E-2</v>
      </c>
      <c r="L471">
        <v>2232.6</v>
      </c>
      <c r="M471">
        <v>2239.6</v>
      </c>
      <c r="N471">
        <v>2256.4</v>
      </c>
      <c r="Q471">
        <f t="shared" si="48"/>
        <v>418.9</v>
      </c>
      <c r="R471">
        <f t="shared" si="46"/>
        <v>418.9</v>
      </c>
      <c r="S471">
        <f t="shared" si="47"/>
        <v>0</v>
      </c>
    </row>
    <row r="472" spans="1:19" x14ac:dyDescent="0.25">
      <c r="A472" s="2">
        <v>44873</v>
      </c>
      <c r="B472" s="3">
        <v>312</v>
      </c>
      <c r="C472" s="3">
        <v>1200</v>
      </c>
      <c r="D472">
        <v>419.0883</v>
      </c>
      <c r="E472">
        <v>3.9E-2</v>
      </c>
      <c r="F472">
        <v>413.11360000000002</v>
      </c>
      <c r="G472">
        <v>420.54770000000002</v>
      </c>
      <c r="H472">
        <v>423.60379999999998</v>
      </c>
      <c r="I472">
        <v>2.9000000000000001E-2</v>
      </c>
      <c r="J472">
        <v>3.5000000000000003E-2</v>
      </c>
      <c r="K472">
        <v>0.05</v>
      </c>
      <c r="L472">
        <v>2233</v>
      </c>
      <c r="M472">
        <v>2240</v>
      </c>
      <c r="N472">
        <v>2256.6</v>
      </c>
      <c r="Q472">
        <f t="shared" si="48"/>
        <v>419.1</v>
      </c>
      <c r="R472">
        <f t="shared" si="46"/>
        <v>419.1</v>
      </c>
      <c r="S472">
        <f t="shared" si="47"/>
        <v>0.20000000000004547</v>
      </c>
    </row>
    <row r="473" spans="1:19" x14ac:dyDescent="0.25">
      <c r="A473" s="2">
        <v>44873</v>
      </c>
      <c r="B473" s="3">
        <v>312</v>
      </c>
      <c r="C473" s="3">
        <v>1300</v>
      </c>
      <c r="D473">
        <v>419.11219999999997</v>
      </c>
      <c r="E473">
        <v>4.8000000000000001E-2</v>
      </c>
      <c r="F473">
        <v>413.23790000000002</v>
      </c>
      <c r="G473">
        <v>420.52289999999999</v>
      </c>
      <c r="H473">
        <v>423.57549999999998</v>
      </c>
      <c r="I473">
        <v>4.5999999999999999E-2</v>
      </c>
      <c r="J473">
        <v>5.6000000000000001E-2</v>
      </c>
      <c r="K473">
        <v>0.04</v>
      </c>
      <c r="L473">
        <v>2233.1999999999998</v>
      </c>
      <c r="M473">
        <v>2240</v>
      </c>
      <c r="N473">
        <v>2256.8000000000002</v>
      </c>
      <c r="Q473">
        <f t="shared" si="48"/>
        <v>419.1</v>
      </c>
      <c r="R473">
        <f t="shared" si="46"/>
        <v>419.1</v>
      </c>
      <c r="S473">
        <f t="shared" si="47"/>
        <v>0</v>
      </c>
    </row>
    <row r="474" spans="1:19" x14ac:dyDescent="0.25">
      <c r="A474" s="2">
        <v>44873</v>
      </c>
      <c r="B474" s="3">
        <v>312</v>
      </c>
      <c r="C474" s="3">
        <v>1400</v>
      </c>
      <c r="D474">
        <v>419.01769999999999</v>
      </c>
      <c r="E474">
        <v>4.8000000000000001E-2</v>
      </c>
      <c r="F474">
        <v>413.13459999999998</v>
      </c>
      <c r="G474">
        <v>420.41890000000001</v>
      </c>
      <c r="H474">
        <v>423.49950000000001</v>
      </c>
      <c r="I474">
        <v>4.3999999999999997E-2</v>
      </c>
      <c r="J474">
        <v>0.05</v>
      </c>
      <c r="K474">
        <v>0.05</v>
      </c>
      <c r="L474">
        <v>2233.1999999999998</v>
      </c>
      <c r="M474">
        <v>2239.8000000000002</v>
      </c>
      <c r="N474">
        <v>2256.6</v>
      </c>
      <c r="Q474">
        <f t="shared" si="48"/>
        <v>419</v>
      </c>
      <c r="R474">
        <f t="shared" si="46"/>
        <v>419.1</v>
      </c>
      <c r="S474">
        <f t="shared" si="47"/>
        <v>0</v>
      </c>
    </row>
    <row r="475" spans="1:19" x14ac:dyDescent="0.25">
      <c r="A475" s="2">
        <v>44873</v>
      </c>
      <c r="B475" s="3">
        <v>312</v>
      </c>
      <c r="C475" s="3">
        <v>1500</v>
      </c>
      <c r="D475">
        <v>419.00290000000001</v>
      </c>
      <c r="E475">
        <v>3.2000000000000001E-2</v>
      </c>
      <c r="F475">
        <v>413.11540000000002</v>
      </c>
      <c r="G475">
        <v>420.44889999999998</v>
      </c>
      <c r="H475">
        <v>423.44459999999998</v>
      </c>
      <c r="I475">
        <v>2.5000000000000001E-2</v>
      </c>
      <c r="J475">
        <v>3.7999999999999999E-2</v>
      </c>
      <c r="K475">
        <v>3.1E-2</v>
      </c>
      <c r="L475">
        <v>2233</v>
      </c>
      <c r="M475">
        <v>2239.8000000000002</v>
      </c>
      <c r="N475">
        <v>2256.4</v>
      </c>
      <c r="Q475">
        <f t="shared" si="48"/>
        <v>419</v>
      </c>
      <c r="R475">
        <f t="shared" si="46"/>
        <v>419.1</v>
      </c>
      <c r="S475">
        <f t="shared" si="47"/>
        <v>0</v>
      </c>
    </row>
    <row r="476" spans="1:19" x14ac:dyDescent="0.25">
      <c r="A476" s="2">
        <v>44873</v>
      </c>
      <c r="B476" s="3">
        <v>312</v>
      </c>
      <c r="C476" s="3">
        <v>1600</v>
      </c>
      <c r="D476">
        <v>418.94450000000001</v>
      </c>
      <c r="E476">
        <v>3.7999999999999999E-2</v>
      </c>
      <c r="F476">
        <v>412.99810000000002</v>
      </c>
      <c r="G476">
        <v>420.3501</v>
      </c>
      <c r="H476">
        <v>423.4853</v>
      </c>
      <c r="I476">
        <v>3.1E-2</v>
      </c>
      <c r="J476">
        <v>3.5999999999999997E-2</v>
      </c>
      <c r="K476">
        <v>4.5999999999999999E-2</v>
      </c>
      <c r="L476">
        <v>2232.8000000000002</v>
      </c>
      <c r="M476">
        <v>2239.6</v>
      </c>
      <c r="N476">
        <v>2256.4</v>
      </c>
      <c r="Q476">
        <f t="shared" si="48"/>
        <v>418.9</v>
      </c>
      <c r="R476">
        <f t="shared" si="46"/>
        <v>419.1</v>
      </c>
      <c r="S476">
        <f t="shared" si="47"/>
        <v>0</v>
      </c>
    </row>
    <row r="477" spans="1:19" x14ac:dyDescent="0.25">
      <c r="A477" s="2">
        <v>44873</v>
      </c>
      <c r="B477" s="3">
        <v>312</v>
      </c>
      <c r="C477" s="3">
        <v>1700</v>
      </c>
      <c r="D477">
        <v>419.0532</v>
      </c>
      <c r="E477">
        <v>3.5000000000000003E-2</v>
      </c>
      <c r="F477">
        <v>413.05410000000001</v>
      </c>
      <c r="G477">
        <v>420.55119999999999</v>
      </c>
      <c r="H477">
        <v>423.55430000000001</v>
      </c>
      <c r="I477">
        <v>0.05</v>
      </c>
      <c r="J477">
        <v>3.1E-2</v>
      </c>
      <c r="K477">
        <v>1.2999999999999999E-2</v>
      </c>
      <c r="L477">
        <v>2232.8000000000002</v>
      </c>
      <c r="M477">
        <v>2240</v>
      </c>
      <c r="N477">
        <v>2256.6</v>
      </c>
      <c r="Q477">
        <f t="shared" si="48"/>
        <v>419.1</v>
      </c>
      <c r="R477">
        <f t="shared" si="46"/>
        <v>419.1</v>
      </c>
      <c r="S477">
        <f t="shared" si="47"/>
        <v>0</v>
      </c>
    </row>
    <row r="478" spans="1:19" x14ac:dyDescent="0.25">
      <c r="A478" s="2">
        <v>44873</v>
      </c>
      <c r="B478" s="3">
        <v>312</v>
      </c>
      <c r="C478" s="3">
        <v>1800</v>
      </c>
      <c r="D478">
        <v>419.12670000000003</v>
      </c>
      <c r="E478">
        <v>4.1000000000000002E-2</v>
      </c>
      <c r="F478">
        <v>413.09609999999998</v>
      </c>
      <c r="G478">
        <v>420.6112</v>
      </c>
      <c r="H478">
        <v>423.67270000000002</v>
      </c>
      <c r="I478">
        <v>3.3000000000000002E-2</v>
      </c>
      <c r="J478">
        <v>0.05</v>
      </c>
      <c r="K478">
        <v>3.6999999999999998E-2</v>
      </c>
      <c r="L478">
        <v>2233</v>
      </c>
      <c r="M478">
        <v>2240.1999999999998</v>
      </c>
      <c r="N478">
        <v>2256.8000000000002</v>
      </c>
      <c r="Q478">
        <f t="shared" si="48"/>
        <v>419.1</v>
      </c>
      <c r="R478">
        <f t="shared" si="46"/>
        <v>419.1</v>
      </c>
      <c r="S478">
        <f t="shared" si="47"/>
        <v>0</v>
      </c>
    </row>
    <row r="479" spans="1:19" x14ac:dyDescent="0.25">
      <c r="A479" s="2">
        <v>44873</v>
      </c>
      <c r="B479" s="3">
        <v>312</v>
      </c>
      <c r="C479" s="3">
        <v>1900</v>
      </c>
      <c r="D479">
        <v>419.15890000000002</v>
      </c>
      <c r="E479">
        <v>4.8000000000000001E-2</v>
      </c>
      <c r="F479">
        <v>413.15910000000002</v>
      </c>
      <c r="G479">
        <v>420.59530000000001</v>
      </c>
      <c r="H479">
        <v>423.72219999999999</v>
      </c>
      <c r="I479">
        <v>0.05</v>
      </c>
      <c r="J479">
        <v>4.7E-2</v>
      </c>
      <c r="K479">
        <v>4.8000000000000001E-2</v>
      </c>
      <c r="L479">
        <v>2233.1999999999998</v>
      </c>
      <c r="M479">
        <v>2240</v>
      </c>
      <c r="N479">
        <v>2257</v>
      </c>
      <c r="Q479">
        <f t="shared" si="48"/>
        <v>419.2</v>
      </c>
      <c r="R479">
        <f t="shared" si="46"/>
        <v>419.2</v>
      </c>
      <c r="S479">
        <f t="shared" si="47"/>
        <v>9.9999999999965894E-2</v>
      </c>
    </row>
    <row r="480" spans="1:19" x14ac:dyDescent="0.25">
      <c r="A480" s="2">
        <v>44873</v>
      </c>
      <c r="B480" s="3">
        <v>312</v>
      </c>
      <c r="C480" s="3">
        <v>2000</v>
      </c>
      <c r="D480">
        <v>419.19589999999999</v>
      </c>
      <c r="E480">
        <v>3.5999999999999997E-2</v>
      </c>
      <c r="F480">
        <v>413.19060000000002</v>
      </c>
      <c r="G480">
        <v>420.65530000000001</v>
      </c>
      <c r="H480">
        <v>423.74169999999998</v>
      </c>
      <c r="I480">
        <v>3.7999999999999999E-2</v>
      </c>
      <c r="J480">
        <v>3.2000000000000001E-2</v>
      </c>
      <c r="K480">
        <v>3.6999999999999998E-2</v>
      </c>
      <c r="L480">
        <v>2233.1999999999998</v>
      </c>
      <c r="M480">
        <v>2240.1999999999998</v>
      </c>
      <c r="N480">
        <v>2257</v>
      </c>
      <c r="Q480">
        <f t="shared" si="48"/>
        <v>419.2</v>
      </c>
      <c r="R480">
        <f t="shared" si="46"/>
        <v>419.2</v>
      </c>
      <c r="S480">
        <f t="shared" si="47"/>
        <v>0</v>
      </c>
    </row>
    <row r="481" spans="1:19" x14ac:dyDescent="0.25">
      <c r="A481" s="2">
        <v>44873</v>
      </c>
      <c r="B481" s="3">
        <v>312</v>
      </c>
      <c r="C481" s="3">
        <v>2100</v>
      </c>
      <c r="D481">
        <v>419.20699999999999</v>
      </c>
      <c r="E481">
        <v>4.2000000000000003E-2</v>
      </c>
      <c r="F481">
        <v>413.18889999999999</v>
      </c>
      <c r="G481">
        <v>420.69589999999999</v>
      </c>
      <c r="H481">
        <v>423.7364</v>
      </c>
      <c r="I481">
        <v>3.9E-2</v>
      </c>
      <c r="J481">
        <v>4.7E-2</v>
      </c>
      <c r="K481">
        <v>4.1000000000000002E-2</v>
      </c>
      <c r="L481">
        <v>2233.1999999999998</v>
      </c>
      <c r="M481">
        <v>2240.1999999999998</v>
      </c>
      <c r="N481">
        <v>2257</v>
      </c>
      <c r="Q481">
        <f t="shared" si="48"/>
        <v>419.2</v>
      </c>
      <c r="R481">
        <f t="shared" si="46"/>
        <v>419.2</v>
      </c>
      <c r="S481">
        <f t="shared" si="47"/>
        <v>0</v>
      </c>
    </row>
    <row r="482" spans="1:19" x14ac:dyDescent="0.25">
      <c r="A482" s="2">
        <v>44873</v>
      </c>
      <c r="B482" s="3">
        <v>312</v>
      </c>
      <c r="C482" s="3">
        <v>2200</v>
      </c>
      <c r="D482">
        <v>419.19060000000002</v>
      </c>
      <c r="E482">
        <v>4.2999999999999997E-2</v>
      </c>
      <c r="F482">
        <v>413.1696</v>
      </c>
      <c r="G482">
        <v>420.67469999999997</v>
      </c>
      <c r="H482">
        <v>423.72750000000002</v>
      </c>
      <c r="I482">
        <v>4.9000000000000002E-2</v>
      </c>
      <c r="J482">
        <v>3.3000000000000002E-2</v>
      </c>
      <c r="K482">
        <v>4.5999999999999999E-2</v>
      </c>
      <c r="L482">
        <v>2233.1999999999998</v>
      </c>
      <c r="M482">
        <v>2240.1999999999998</v>
      </c>
      <c r="N482">
        <v>2256.8000000000002</v>
      </c>
      <c r="Q482">
        <f t="shared" si="48"/>
        <v>419.2</v>
      </c>
      <c r="R482">
        <f t="shared" ref="R482:R545" si="49">ROUND(IF(Q482&lt;R481,R481,Q482),1)</f>
        <v>419.2</v>
      </c>
      <c r="S482">
        <f t="shared" si="47"/>
        <v>0</v>
      </c>
    </row>
    <row r="483" spans="1:19" x14ac:dyDescent="0.25">
      <c r="A483" s="2">
        <v>44873</v>
      </c>
      <c r="B483" s="3">
        <v>312</v>
      </c>
      <c r="C483" s="3">
        <v>2300</v>
      </c>
      <c r="D483">
        <v>419.18009999999998</v>
      </c>
      <c r="E483">
        <v>4.2999999999999997E-2</v>
      </c>
      <c r="F483">
        <v>413.15559999999999</v>
      </c>
      <c r="G483">
        <v>420.66419999999999</v>
      </c>
      <c r="H483">
        <v>423.72039999999998</v>
      </c>
      <c r="I483">
        <v>0.05</v>
      </c>
      <c r="J483">
        <v>2.3E-2</v>
      </c>
      <c r="K483">
        <v>4.9000000000000002E-2</v>
      </c>
      <c r="L483">
        <v>2233.1999999999998</v>
      </c>
      <c r="M483">
        <v>2240.1999999999998</v>
      </c>
      <c r="N483">
        <v>2257</v>
      </c>
      <c r="Q483">
        <f t="shared" si="48"/>
        <v>419.2</v>
      </c>
      <c r="R483">
        <f t="shared" si="49"/>
        <v>419.2</v>
      </c>
      <c r="S483">
        <f t="shared" si="47"/>
        <v>0</v>
      </c>
    </row>
    <row r="484" spans="1:19" x14ac:dyDescent="0.25">
      <c r="A484" s="2">
        <v>44873</v>
      </c>
      <c r="B484" s="3">
        <v>312</v>
      </c>
      <c r="C484" s="3">
        <v>2400</v>
      </c>
      <c r="D484">
        <v>419.16950000000003</v>
      </c>
      <c r="E484">
        <v>4.4999999999999998E-2</v>
      </c>
      <c r="F484">
        <v>413.14510000000001</v>
      </c>
      <c r="G484">
        <v>420.65359999999998</v>
      </c>
      <c r="H484">
        <v>423.70979999999997</v>
      </c>
      <c r="I484">
        <v>4.8000000000000001E-2</v>
      </c>
      <c r="J484">
        <v>3.4000000000000002E-2</v>
      </c>
      <c r="K484">
        <v>0.05</v>
      </c>
      <c r="L484">
        <v>2233</v>
      </c>
      <c r="M484">
        <v>2240.1999999999998</v>
      </c>
      <c r="N484">
        <v>2256.8000000000002</v>
      </c>
      <c r="Q484">
        <f t="shared" si="48"/>
        <v>419.2</v>
      </c>
      <c r="R484">
        <f t="shared" si="49"/>
        <v>419.2</v>
      </c>
      <c r="S484">
        <f t="shared" si="47"/>
        <v>0</v>
      </c>
    </row>
    <row r="485" spans="1:19" x14ac:dyDescent="0.25">
      <c r="A485" s="2">
        <v>44874</v>
      </c>
      <c r="B485" s="3">
        <v>313</v>
      </c>
      <c r="C485" s="3">
        <v>100</v>
      </c>
      <c r="D485">
        <v>419.1583</v>
      </c>
      <c r="E485">
        <v>4.5999999999999999E-2</v>
      </c>
      <c r="F485">
        <v>413.13990000000001</v>
      </c>
      <c r="G485">
        <v>420.63940000000002</v>
      </c>
      <c r="H485">
        <v>423.69569999999999</v>
      </c>
      <c r="I485">
        <v>4.5999999999999999E-2</v>
      </c>
      <c r="J485">
        <v>4.2000000000000003E-2</v>
      </c>
      <c r="K485">
        <v>4.9000000000000002E-2</v>
      </c>
      <c r="L485">
        <v>2233.1999999999998</v>
      </c>
      <c r="M485">
        <v>2240.1999999999998</v>
      </c>
      <c r="N485">
        <v>2256.8000000000002</v>
      </c>
      <c r="Q485">
        <f t="shared" si="48"/>
        <v>419.2</v>
      </c>
      <c r="R485">
        <f t="shared" si="49"/>
        <v>419.2</v>
      </c>
      <c r="S485">
        <f t="shared" ref="S485:S548" si="50">IF(R485&gt;R484,R485-R484,0)</f>
        <v>0</v>
      </c>
    </row>
    <row r="486" spans="1:19" x14ac:dyDescent="0.25">
      <c r="A486" s="2">
        <v>44874</v>
      </c>
      <c r="B486" s="3">
        <v>313</v>
      </c>
      <c r="C486" s="3">
        <v>200</v>
      </c>
      <c r="D486">
        <v>419.15480000000002</v>
      </c>
      <c r="E486">
        <v>4.5999999999999999E-2</v>
      </c>
      <c r="F486">
        <v>413.13459999999998</v>
      </c>
      <c r="G486">
        <v>420.63589999999999</v>
      </c>
      <c r="H486">
        <v>423.69389999999999</v>
      </c>
      <c r="I486">
        <v>4.3999999999999997E-2</v>
      </c>
      <c r="J486">
        <v>4.3999999999999997E-2</v>
      </c>
      <c r="K486">
        <v>4.9000000000000002E-2</v>
      </c>
      <c r="L486">
        <v>2233.1999999999998</v>
      </c>
      <c r="M486">
        <v>2240.1999999999998</v>
      </c>
      <c r="N486">
        <v>2256.8000000000002</v>
      </c>
      <c r="Q486">
        <f t="shared" si="48"/>
        <v>419.2</v>
      </c>
      <c r="R486">
        <f t="shared" si="49"/>
        <v>419.2</v>
      </c>
      <c r="S486">
        <f t="shared" si="50"/>
        <v>0</v>
      </c>
    </row>
    <row r="487" spans="1:19" x14ac:dyDescent="0.25">
      <c r="A487" s="2">
        <v>44874</v>
      </c>
      <c r="B487" s="3">
        <v>313</v>
      </c>
      <c r="C487" s="3">
        <v>300</v>
      </c>
      <c r="D487">
        <v>419.15660000000003</v>
      </c>
      <c r="E487">
        <v>4.5999999999999999E-2</v>
      </c>
      <c r="F487">
        <v>413.13459999999998</v>
      </c>
      <c r="G487">
        <v>420.63589999999999</v>
      </c>
      <c r="H487">
        <v>423.69920000000002</v>
      </c>
      <c r="I487">
        <v>4.3999999999999997E-2</v>
      </c>
      <c r="J487">
        <v>4.3999999999999997E-2</v>
      </c>
      <c r="K487">
        <v>0.05</v>
      </c>
      <c r="L487">
        <v>2233</v>
      </c>
      <c r="M487">
        <v>2240.1999999999998</v>
      </c>
      <c r="N487">
        <v>2257</v>
      </c>
      <c r="Q487">
        <f t="shared" si="48"/>
        <v>419.2</v>
      </c>
      <c r="R487">
        <f t="shared" si="49"/>
        <v>419.2</v>
      </c>
      <c r="S487">
        <f t="shared" si="50"/>
        <v>0</v>
      </c>
    </row>
    <row r="488" spans="1:19" x14ac:dyDescent="0.25">
      <c r="A488" s="2">
        <v>44874</v>
      </c>
      <c r="B488" s="3">
        <v>313</v>
      </c>
      <c r="C488" s="3">
        <v>400</v>
      </c>
      <c r="D488">
        <v>419.15660000000003</v>
      </c>
      <c r="E488">
        <v>4.5999999999999999E-2</v>
      </c>
      <c r="F488">
        <v>413.13639999999998</v>
      </c>
      <c r="G488">
        <v>420.63589999999999</v>
      </c>
      <c r="H488">
        <v>423.69740000000002</v>
      </c>
      <c r="I488">
        <v>4.4999999999999998E-2</v>
      </c>
      <c r="J488">
        <v>4.3999999999999997E-2</v>
      </c>
      <c r="K488">
        <v>4.9000000000000002E-2</v>
      </c>
      <c r="L488">
        <v>2233</v>
      </c>
      <c r="M488">
        <v>2240.1999999999998</v>
      </c>
      <c r="N488">
        <v>2256.8000000000002</v>
      </c>
      <c r="Q488">
        <f t="shared" si="48"/>
        <v>419.2</v>
      </c>
      <c r="R488">
        <f t="shared" si="49"/>
        <v>419.2</v>
      </c>
      <c r="S488">
        <f t="shared" si="50"/>
        <v>0</v>
      </c>
    </row>
    <row r="489" spans="1:19" x14ac:dyDescent="0.25">
      <c r="A489" s="2">
        <v>44874</v>
      </c>
      <c r="B489" s="3">
        <v>313</v>
      </c>
      <c r="C489" s="3">
        <v>500</v>
      </c>
      <c r="D489">
        <v>419.15480000000002</v>
      </c>
      <c r="E489">
        <v>4.7E-2</v>
      </c>
      <c r="F489">
        <v>413.13639999999998</v>
      </c>
      <c r="G489">
        <v>420.63240000000002</v>
      </c>
      <c r="H489">
        <v>423.69569999999999</v>
      </c>
      <c r="I489">
        <v>4.4999999999999998E-2</v>
      </c>
      <c r="J489">
        <v>4.5999999999999999E-2</v>
      </c>
      <c r="K489">
        <v>4.9000000000000002E-2</v>
      </c>
      <c r="L489">
        <v>2233</v>
      </c>
      <c r="M489">
        <v>2240.1999999999998</v>
      </c>
      <c r="N489">
        <v>2256.8000000000002</v>
      </c>
      <c r="Q489">
        <f t="shared" si="48"/>
        <v>419.2</v>
      </c>
      <c r="R489">
        <f t="shared" si="49"/>
        <v>419.2</v>
      </c>
      <c r="S489">
        <f t="shared" si="50"/>
        <v>0</v>
      </c>
    </row>
    <row r="490" spans="1:19" x14ac:dyDescent="0.25">
      <c r="A490" s="2">
        <v>44874</v>
      </c>
      <c r="B490" s="3">
        <v>313</v>
      </c>
      <c r="C490" s="3">
        <v>600</v>
      </c>
      <c r="D490">
        <v>419.1678</v>
      </c>
      <c r="E490">
        <v>4.1000000000000002E-2</v>
      </c>
      <c r="F490">
        <v>413.13459999999998</v>
      </c>
      <c r="G490">
        <v>420.65879999999999</v>
      </c>
      <c r="H490">
        <v>423.70979999999997</v>
      </c>
      <c r="I490">
        <v>4.3999999999999997E-2</v>
      </c>
      <c r="J490">
        <v>2.5999999999999999E-2</v>
      </c>
      <c r="K490">
        <v>0.05</v>
      </c>
      <c r="L490">
        <v>2233</v>
      </c>
      <c r="M490">
        <v>2240.1999999999998</v>
      </c>
      <c r="N490">
        <v>2256.8000000000002</v>
      </c>
      <c r="Q490">
        <f t="shared" si="48"/>
        <v>419.2</v>
      </c>
      <c r="R490">
        <f t="shared" si="49"/>
        <v>419.2</v>
      </c>
      <c r="S490">
        <f t="shared" si="50"/>
        <v>0</v>
      </c>
    </row>
    <row r="491" spans="1:19" x14ac:dyDescent="0.25">
      <c r="A491" s="2">
        <v>44874</v>
      </c>
      <c r="B491" s="3">
        <v>313</v>
      </c>
      <c r="C491" s="3">
        <v>700</v>
      </c>
      <c r="D491">
        <v>419.17070000000001</v>
      </c>
      <c r="E491">
        <v>4.7E-2</v>
      </c>
      <c r="F491">
        <v>413.15039999999999</v>
      </c>
      <c r="G491">
        <v>420.6447</v>
      </c>
      <c r="H491">
        <v>423.71690000000001</v>
      </c>
      <c r="I491">
        <v>4.9000000000000002E-2</v>
      </c>
      <c r="J491">
        <v>4.2999999999999997E-2</v>
      </c>
      <c r="K491">
        <v>4.9000000000000002E-2</v>
      </c>
      <c r="L491">
        <v>2233.1999999999998</v>
      </c>
      <c r="M491">
        <v>2240</v>
      </c>
      <c r="N491">
        <v>2256.8000000000002</v>
      </c>
      <c r="Q491">
        <f t="shared" si="48"/>
        <v>419.2</v>
      </c>
      <c r="R491">
        <f t="shared" si="49"/>
        <v>419.2</v>
      </c>
      <c r="S491">
        <f t="shared" si="50"/>
        <v>0</v>
      </c>
    </row>
    <row r="492" spans="1:19" x14ac:dyDescent="0.25">
      <c r="A492" s="2">
        <v>44874</v>
      </c>
      <c r="B492" s="3">
        <v>313</v>
      </c>
      <c r="C492" s="3">
        <v>800</v>
      </c>
      <c r="D492">
        <v>419.15879999999999</v>
      </c>
      <c r="E492">
        <v>4.4999999999999998E-2</v>
      </c>
      <c r="F492">
        <v>413.1644</v>
      </c>
      <c r="G492">
        <v>420.63589999999999</v>
      </c>
      <c r="H492">
        <v>423.67619999999999</v>
      </c>
      <c r="I492">
        <v>0.05</v>
      </c>
      <c r="J492">
        <v>4.3999999999999997E-2</v>
      </c>
      <c r="K492">
        <v>0.04</v>
      </c>
      <c r="L492">
        <v>2233.1999999999998</v>
      </c>
      <c r="M492">
        <v>2240</v>
      </c>
      <c r="N492">
        <v>2256.8000000000002</v>
      </c>
      <c r="Q492">
        <f t="shared" si="48"/>
        <v>419.2</v>
      </c>
      <c r="R492">
        <f t="shared" si="49"/>
        <v>419.2</v>
      </c>
      <c r="S492">
        <f t="shared" si="50"/>
        <v>0</v>
      </c>
    </row>
    <row r="493" spans="1:19" x14ac:dyDescent="0.25">
      <c r="A493" s="2">
        <v>44874</v>
      </c>
      <c r="B493" s="3">
        <v>313</v>
      </c>
      <c r="C493" s="3">
        <v>900</v>
      </c>
      <c r="D493">
        <v>419.0958</v>
      </c>
      <c r="E493">
        <v>0.05</v>
      </c>
      <c r="F493">
        <v>413.15559999999999</v>
      </c>
      <c r="G493">
        <v>420.61470000000003</v>
      </c>
      <c r="H493">
        <v>423.51710000000003</v>
      </c>
      <c r="I493">
        <v>0.05</v>
      </c>
      <c r="J493">
        <v>0.05</v>
      </c>
      <c r="K493">
        <v>4.9000000000000002E-2</v>
      </c>
      <c r="L493">
        <v>2233</v>
      </c>
      <c r="M493">
        <v>2240</v>
      </c>
      <c r="N493">
        <v>2256.6</v>
      </c>
      <c r="Q493">
        <f t="shared" si="48"/>
        <v>419.1</v>
      </c>
      <c r="R493">
        <f t="shared" si="49"/>
        <v>419.2</v>
      </c>
      <c r="S493">
        <f t="shared" si="50"/>
        <v>0</v>
      </c>
    </row>
    <row r="494" spans="1:19" x14ac:dyDescent="0.25">
      <c r="A494" s="2">
        <v>44874</v>
      </c>
      <c r="B494" s="3">
        <v>313</v>
      </c>
      <c r="C494" s="3">
        <v>1000</v>
      </c>
      <c r="D494">
        <v>419.03879999999998</v>
      </c>
      <c r="E494">
        <v>3.5000000000000003E-2</v>
      </c>
      <c r="F494">
        <v>413.12060000000002</v>
      </c>
      <c r="G494">
        <v>420.56360000000001</v>
      </c>
      <c r="H494">
        <v>423.43220000000002</v>
      </c>
      <c r="I494">
        <v>3.3000000000000002E-2</v>
      </c>
      <c r="J494">
        <v>0.03</v>
      </c>
      <c r="K494">
        <v>4.2000000000000003E-2</v>
      </c>
      <c r="L494">
        <v>2233</v>
      </c>
      <c r="M494">
        <v>2240</v>
      </c>
      <c r="N494">
        <v>2256.4</v>
      </c>
      <c r="Q494">
        <f t="shared" si="48"/>
        <v>419</v>
      </c>
      <c r="R494">
        <f t="shared" si="49"/>
        <v>419.2</v>
      </c>
      <c r="S494">
        <f t="shared" si="50"/>
        <v>0</v>
      </c>
    </row>
    <row r="495" spans="1:19" x14ac:dyDescent="0.25">
      <c r="A495" s="2">
        <v>44874</v>
      </c>
      <c r="B495" s="3">
        <v>313</v>
      </c>
      <c r="C495" s="3">
        <v>1100</v>
      </c>
      <c r="D495">
        <v>419.01650000000001</v>
      </c>
      <c r="E495">
        <v>0.04</v>
      </c>
      <c r="F495">
        <v>413.09789999999998</v>
      </c>
      <c r="G495">
        <v>420.51060000000001</v>
      </c>
      <c r="H495">
        <v>423.44110000000001</v>
      </c>
      <c r="I495">
        <v>3.1E-2</v>
      </c>
      <c r="J495">
        <v>0.05</v>
      </c>
      <c r="K495">
        <v>3.5000000000000003E-2</v>
      </c>
      <c r="L495">
        <v>2233</v>
      </c>
      <c r="M495">
        <v>2240</v>
      </c>
      <c r="N495">
        <v>2256.4</v>
      </c>
      <c r="Q495">
        <f t="shared" si="48"/>
        <v>419</v>
      </c>
      <c r="R495">
        <f t="shared" si="49"/>
        <v>419.2</v>
      </c>
      <c r="S495">
        <f t="shared" si="50"/>
        <v>0</v>
      </c>
    </row>
    <row r="496" spans="1:19" x14ac:dyDescent="0.25">
      <c r="A496" s="2">
        <v>44874</v>
      </c>
      <c r="B496" s="3">
        <v>313</v>
      </c>
      <c r="C496" s="3">
        <v>1200</v>
      </c>
      <c r="D496">
        <v>419.01229999999998</v>
      </c>
      <c r="E496">
        <v>3.7999999999999999E-2</v>
      </c>
      <c r="F496">
        <v>413.1311</v>
      </c>
      <c r="G496">
        <v>420.46820000000002</v>
      </c>
      <c r="H496">
        <v>423.4375</v>
      </c>
      <c r="I496">
        <v>4.2000000000000003E-2</v>
      </c>
      <c r="J496">
        <v>3.2000000000000001E-2</v>
      </c>
      <c r="K496">
        <v>3.7999999999999999E-2</v>
      </c>
      <c r="L496">
        <v>2233</v>
      </c>
      <c r="M496">
        <v>2239.8000000000002</v>
      </c>
      <c r="N496">
        <v>2256.4</v>
      </c>
      <c r="Q496">
        <f t="shared" si="48"/>
        <v>419</v>
      </c>
      <c r="R496">
        <f t="shared" si="49"/>
        <v>419.2</v>
      </c>
      <c r="S496">
        <f t="shared" si="50"/>
        <v>0</v>
      </c>
    </row>
    <row r="497" spans="1:19" x14ac:dyDescent="0.25">
      <c r="A497" s="2">
        <v>44874</v>
      </c>
      <c r="B497" s="3">
        <v>313</v>
      </c>
      <c r="C497" s="3">
        <v>1300</v>
      </c>
      <c r="D497">
        <v>419.00639999999999</v>
      </c>
      <c r="E497">
        <v>4.2999999999999997E-2</v>
      </c>
      <c r="F497">
        <v>413.15039999999999</v>
      </c>
      <c r="G497">
        <v>420.42070000000001</v>
      </c>
      <c r="H497">
        <v>423.44810000000001</v>
      </c>
      <c r="I497">
        <v>4.9000000000000002E-2</v>
      </c>
      <c r="J497">
        <v>4.9000000000000002E-2</v>
      </c>
      <c r="K497">
        <v>2.5999999999999999E-2</v>
      </c>
      <c r="L497">
        <v>2233.1999999999998</v>
      </c>
      <c r="M497">
        <v>2239.8000000000002</v>
      </c>
      <c r="N497">
        <v>2256.4</v>
      </c>
      <c r="Q497">
        <f t="shared" si="48"/>
        <v>419</v>
      </c>
      <c r="R497">
        <f t="shared" si="49"/>
        <v>419.2</v>
      </c>
      <c r="S497">
        <f t="shared" si="50"/>
        <v>0</v>
      </c>
    </row>
    <row r="498" spans="1:19" x14ac:dyDescent="0.25">
      <c r="A498" s="2">
        <v>44874</v>
      </c>
      <c r="B498" s="3">
        <v>313</v>
      </c>
      <c r="C498" s="3">
        <v>1400</v>
      </c>
      <c r="D498">
        <v>418.99400000000003</v>
      </c>
      <c r="E498">
        <v>4.2000000000000003E-2</v>
      </c>
      <c r="F498">
        <v>413.14339999999999</v>
      </c>
      <c r="G498">
        <v>420.39249999999998</v>
      </c>
      <c r="H498">
        <v>423.44639999999998</v>
      </c>
      <c r="I498">
        <v>4.8000000000000001E-2</v>
      </c>
      <c r="J498">
        <v>4.7E-2</v>
      </c>
      <c r="K498">
        <v>2.8000000000000001E-2</v>
      </c>
      <c r="L498">
        <v>2233</v>
      </c>
      <c r="M498">
        <v>2239.8000000000002</v>
      </c>
      <c r="N498">
        <v>2256.4</v>
      </c>
      <c r="Q498">
        <f t="shared" si="48"/>
        <v>419</v>
      </c>
      <c r="R498">
        <f t="shared" si="49"/>
        <v>419.2</v>
      </c>
      <c r="S498">
        <f t="shared" si="50"/>
        <v>0</v>
      </c>
    </row>
    <row r="499" spans="1:19" x14ac:dyDescent="0.25">
      <c r="A499" s="2">
        <v>44874</v>
      </c>
      <c r="B499" s="3">
        <v>313</v>
      </c>
      <c r="C499" s="3">
        <v>1500</v>
      </c>
      <c r="D499">
        <v>418.99239999999998</v>
      </c>
      <c r="E499">
        <v>0.04</v>
      </c>
      <c r="F499">
        <v>413.11360000000002</v>
      </c>
      <c r="G499">
        <v>420.3836</v>
      </c>
      <c r="H499">
        <v>423.48</v>
      </c>
      <c r="I499">
        <v>2.9000000000000001E-2</v>
      </c>
      <c r="J499">
        <v>4.5999999999999999E-2</v>
      </c>
      <c r="K499">
        <v>4.2999999999999997E-2</v>
      </c>
      <c r="L499">
        <v>2233</v>
      </c>
      <c r="M499">
        <v>2239.6</v>
      </c>
      <c r="N499">
        <v>2256.6</v>
      </c>
      <c r="Q499">
        <f t="shared" si="48"/>
        <v>419</v>
      </c>
      <c r="R499">
        <f t="shared" si="49"/>
        <v>419.2</v>
      </c>
      <c r="S499">
        <f t="shared" si="50"/>
        <v>0</v>
      </c>
    </row>
    <row r="500" spans="1:19" x14ac:dyDescent="0.25">
      <c r="A500" s="2">
        <v>44874</v>
      </c>
      <c r="B500" s="3">
        <v>313</v>
      </c>
      <c r="C500" s="3">
        <v>1600</v>
      </c>
      <c r="D500">
        <v>419.02890000000002</v>
      </c>
      <c r="E500">
        <v>3.5000000000000003E-2</v>
      </c>
      <c r="F500">
        <v>413.10140000000001</v>
      </c>
      <c r="G500">
        <v>420.45940000000002</v>
      </c>
      <c r="H500">
        <v>423.52600000000001</v>
      </c>
      <c r="I500">
        <v>3.6999999999999998E-2</v>
      </c>
      <c r="J500">
        <v>1.2999999999999999E-2</v>
      </c>
      <c r="K500">
        <v>4.5999999999999999E-2</v>
      </c>
      <c r="L500">
        <v>2233</v>
      </c>
      <c r="M500">
        <v>2239.8000000000002</v>
      </c>
      <c r="N500">
        <v>2256.4</v>
      </c>
      <c r="Q500">
        <f t="shared" si="48"/>
        <v>419</v>
      </c>
      <c r="R500">
        <f t="shared" si="49"/>
        <v>419.2</v>
      </c>
      <c r="S500">
        <f t="shared" si="50"/>
        <v>0</v>
      </c>
    </row>
    <row r="501" spans="1:19" x14ac:dyDescent="0.25">
      <c r="A501" s="2">
        <v>44874</v>
      </c>
      <c r="B501" s="3">
        <v>313</v>
      </c>
      <c r="C501" s="3">
        <v>1700</v>
      </c>
      <c r="D501">
        <v>419.09899999999999</v>
      </c>
      <c r="E501">
        <v>4.1000000000000002E-2</v>
      </c>
      <c r="F501">
        <v>413.1189</v>
      </c>
      <c r="G501">
        <v>420.57589999999999</v>
      </c>
      <c r="H501">
        <v>423.60199999999998</v>
      </c>
      <c r="I501">
        <v>3.5999999999999997E-2</v>
      </c>
      <c r="J501">
        <v>3.5000000000000003E-2</v>
      </c>
      <c r="K501">
        <v>0.05</v>
      </c>
      <c r="L501">
        <v>2233</v>
      </c>
      <c r="M501">
        <v>2240</v>
      </c>
      <c r="N501">
        <v>2256.6</v>
      </c>
      <c r="Q501">
        <f t="shared" si="48"/>
        <v>419.1</v>
      </c>
      <c r="R501">
        <f t="shared" si="49"/>
        <v>419.2</v>
      </c>
      <c r="S501">
        <f t="shared" si="50"/>
        <v>0</v>
      </c>
    </row>
    <row r="502" spans="1:19" x14ac:dyDescent="0.25">
      <c r="A502" s="2">
        <v>44874</v>
      </c>
      <c r="B502" s="3">
        <v>313</v>
      </c>
      <c r="C502" s="3">
        <v>1800</v>
      </c>
      <c r="D502">
        <v>419.13310000000001</v>
      </c>
      <c r="E502">
        <v>3.9E-2</v>
      </c>
      <c r="F502">
        <v>413.1311</v>
      </c>
      <c r="G502">
        <v>420.6112</v>
      </c>
      <c r="H502">
        <v>423.65679999999998</v>
      </c>
      <c r="I502">
        <v>4.2000000000000003E-2</v>
      </c>
      <c r="J502">
        <v>0.05</v>
      </c>
      <c r="K502">
        <v>1.9E-2</v>
      </c>
      <c r="L502">
        <v>2233</v>
      </c>
      <c r="M502">
        <v>2240</v>
      </c>
      <c r="N502">
        <v>2256.8000000000002</v>
      </c>
      <c r="Q502">
        <f t="shared" si="48"/>
        <v>419.1</v>
      </c>
      <c r="R502">
        <f t="shared" si="49"/>
        <v>419.2</v>
      </c>
      <c r="S502">
        <f t="shared" si="50"/>
        <v>0</v>
      </c>
    </row>
    <row r="503" spans="1:19" x14ac:dyDescent="0.25">
      <c r="A503" s="2">
        <v>44874</v>
      </c>
      <c r="B503" s="3">
        <v>313</v>
      </c>
      <c r="C503" s="3">
        <v>1900</v>
      </c>
      <c r="D503">
        <v>419.15010000000001</v>
      </c>
      <c r="E503">
        <v>4.5999999999999999E-2</v>
      </c>
      <c r="F503">
        <v>413.13639999999998</v>
      </c>
      <c r="G503">
        <v>420.62880000000001</v>
      </c>
      <c r="H503">
        <v>423.68509999999998</v>
      </c>
      <c r="I503">
        <v>4.4999999999999998E-2</v>
      </c>
      <c r="J503">
        <v>4.7E-2</v>
      </c>
      <c r="K503">
        <v>4.4999999999999998E-2</v>
      </c>
      <c r="L503">
        <v>2233</v>
      </c>
      <c r="M503">
        <v>2240</v>
      </c>
      <c r="N503">
        <v>2256.8000000000002</v>
      </c>
      <c r="Q503">
        <f t="shared" si="48"/>
        <v>419.2</v>
      </c>
      <c r="R503">
        <f t="shared" si="49"/>
        <v>419.2</v>
      </c>
      <c r="S503">
        <f t="shared" si="50"/>
        <v>0</v>
      </c>
    </row>
    <row r="504" spans="1:19" x14ac:dyDescent="0.25">
      <c r="A504" s="2">
        <v>44874</v>
      </c>
      <c r="B504" s="3">
        <v>313</v>
      </c>
      <c r="C504" s="3">
        <v>2000</v>
      </c>
      <c r="D504">
        <v>419.16480000000001</v>
      </c>
      <c r="E504">
        <v>4.5999999999999999E-2</v>
      </c>
      <c r="F504">
        <v>413.13990000000001</v>
      </c>
      <c r="G504">
        <v>420.64299999999997</v>
      </c>
      <c r="H504">
        <v>423.71159999999998</v>
      </c>
      <c r="I504">
        <v>4.5999999999999999E-2</v>
      </c>
      <c r="J504">
        <v>0.04</v>
      </c>
      <c r="K504">
        <v>0.05</v>
      </c>
      <c r="L504">
        <v>2233</v>
      </c>
      <c r="M504">
        <v>2240.1999999999998</v>
      </c>
      <c r="N504">
        <v>2256.8000000000002</v>
      </c>
      <c r="Q504">
        <f t="shared" si="48"/>
        <v>419.2</v>
      </c>
      <c r="R504">
        <f t="shared" si="49"/>
        <v>419.2</v>
      </c>
      <c r="S504">
        <f t="shared" si="50"/>
        <v>0</v>
      </c>
    </row>
    <row r="505" spans="1:19" x14ac:dyDescent="0.25">
      <c r="A505" s="2">
        <v>44874</v>
      </c>
      <c r="B505" s="3">
        <v>313</v>
      </c>
      <c r="C505" s="3">
        <v>2100</v>
      </c>
      <c r="D505">
        <v>419.18599999999998</v>
      </c>
      <c r="E505">
        <v>0.04</v>
      </c>
      <c r="F505">
        <v>413.15039999999999</v>
      </c>
      <c r="G505">
        <v>420.66590000000002</v>
      </c>
      <c r="H505">
        <v>423.74169999999998</v>
      </c>
      <c r="I505">
        <v>4.9000000000000002E-2</v>
      </c>
      <c r="J505">
        <v>3.2000000000000001E-2</v>
      </c>
      <c r="K505">
        <v>3.6999999999999998E-2</v>
      </c>
      <c r="L505">
        <v>2233</v>
      </c>
      <c r="M505">
        <v>2240</v>
      </c>
      <c r="N505">
        <v>2257</v>
      </c>
      <c r="Q505">
        <f t="shared" si="48"/>
        <v>419.2</v>
      </c>
      <c r="R505">
        <f t="shared" si="49"/>
        <v>419.2</v>
      </c>
      <c r="S505">
        <f t="shared" si="50"/>
        <v>0</v>
      </c>
    </row>
    <row r="506" spans="1:19" x14ac:dyDescent="0.25">
      <c r="A506" s="2">
        <v>44874</v>
      </c>
      <c r="B506" s="3">
        <v>313</v>
      </c>
      <c r="C506" s="3">
        <v>2200</v>
      </c>
      <c r="D506">
        <v>419.21469999999999</v>
      </c>
      <c r="E506">
        <v>4.2999999999999997E-2</v>
      </c>
      <c r="F506">
        <v>413.18009999999998</v>
      </c>
      <c r="G506">
        <v>420.68529999999998</v>
      </c>
      <c r="H506">
        <v>423.77879999999999</v>
      </c>
      <c r="I506">
        <v>4.4999999999999998E-2</v>
      </c>
      <c r="J506">
        <v>4.2000000000000003E-2</v>
      </c>
      <c r="K506">
        <v>4.1000000000000002E-2</v>
      </c>
      <c r="L506">
        <v>2233.1999999999998</v>
      </c>
      <c r="M506">
        <v>2240.1999999999998</v>
      </c>
      <c r="N506">
        <v>2257</v>
      </c>
      <c r="Q506">
        <f t="shared" si="48"/>
        <v>419.2</v>
      </c>
      <c r="R506">
        <f t="shared" si="49"/>
        <v>419.2</v>
      </c>
      <c r="S506">
        <f t="shared" si="50"/>
        <v>0</v>
      </c>
    </row>
    <row r="507" spans="1:19" x14ac:dyDescent="0.25">
      <c r="A507" s="2">
        <v>44874</v>
      </c>
      <c r="B507" s="3">
        <v>313</v>
      </c>
      <c r="C507" s="3">
        <v>2300</v>
      </c>
      <c r="D507">
        <v>419.2294</v>
      </c>
      <c r="E507">
        <v>4.2999999999999997E-2</v>
      </c>
      <c r="F507">
        <v>413.19760000000002</v>
      </c>
      <c r="G507">
        <v>420.69940000000003</v>
      </c>
      <c r="H507">
        <v>423.7912</v>
      </c>
      <c r="I507">
        <v>3.1E-2</v>
      </c>
      <c r="J507">
        <v>4.9000000000000002E-2</v>
      </c>
      <c r="K507">
        <v>4.8000000000000001E-2</v>
      </c>
      <c r="L507">
        <v>2233.1999999999998</v>
      </c>
      <c r="M507">
        <v>2240.1999999999998</v>
      </c>
      <c r="N507">
        <v>2257</v>
      </c>
      <c r="Q507">
        <f t="shared" si="48"/>
        <v>419.2</v>
      </c>
      <c r="R507">
        <f t="shared" si="49"/>
        <v>419.2</v>
      </c>
      <c r="S507">
        <f t="shared" si="50"/>
        <v>0</v>
      </c>
    </row>
    <row r="508" spans="1:19" x14ac:dyDescent="0.25">
      <c r="A508" s="2">
        <v>44874</v>
      </c>
      <c r="B508" s="3">
        <v>313</v>
      </c>
      <c r="C508" s="3">
        <v>2400</v>
      </c>
      <c r="D508">
        <v>419.22469999999998</v>
      </c>
      <c r="E508">
        <v>4.1000000000000002E-2</v>
      </c>
      <c r="F508">
        <v>413.19760000000002</v>
      </c>
      <c r="G508">
        <v>420.68880000000001</v>
      </c>
      <c r="H508">
        <v>423.7876</v>
      </c>
      <c r="I508">
        <v>3.1E-2</v>
      </c>
      <c r="J508">
        <v>4.3999999999999997E-2</v>
      </c>
      <c r="K508">
        <v>4.5999999999999999E-2</v>
      </c>
      <c r="L508">
        <v>2233</v>
      </c>
      <c r="M508">
        <v>2240.1999999999998</v>
      </c>
      <c r="N508">
        <v>2257</v>
      </c>
      <c r="Q508">
        <f t="shared" si="48"/>
        <v>419.2</v>
      </c>
      <c r="R508">
        <f t="shared" si="49"/>
        <v>419.2</v>
      </c>
      <c r="S508">
        <f t="shared" si="50"/>
        <v>0</v>
      </c>
    </row>
    <row r="509" spans="1:19" x14ac:dyDescent="0.25">
      <c r="A509" s="2">
        <v>44875</v>
      </c>
      <c r="B509" s="3">
        <v>314</v>
      </c>
      <c r="C509" s="3">
        <v>100</v>
      </c>
      <c r="D509">
        <v>419.2294</v>
      </c>
      <c r="E509">
        <v>4.1000000000000002E-2</v>
      </c>
      <c r="F509">
        <v>413.2011</v>
      </c>
      <c r="G509">
        <v>420.69240000000002</v>
      </c>
      <c r="H509">
        <v>423.79469999999998</v>
      </c>
      <c r="I509">
        <v>2.5000000000000001E-2</v>
      </c>
      <c r="J509">
        <v>4.5999999999999999E-2</v>
      </c>
      <c r="K509">
        <v>4.9000000000000002E-2</v>
      </c>
      <c r="L509">
        <v>2233</v>
      </c>
      <c r="M509">
        <v>2240.1999999999998</v>
      </c>
      <c r="N509">
        <v>2257.1999999999998</v>
      </c>
      <c r="Q509">
        <f t="shared" si="48"/>
        <v>419.2</v>
      </c>
      <c r="R509">
        <f t="shared" si="49"/>
        <v>419.2</v>
      </c>
      <c r="S509">
        <f t="shared" si="50"/>
        <v>0</v>
      </c>
    </row>
    <row r="510" spans="1:19" x14ac:dyDescent="0.25">
      <c r="A510" s="2">
        <v>44875</v>
      </c>
      <c r="B510" s="3">
        <v>314</v>
      </c>
      <c r="C510" s="3">
        <v>200</v>
      </c>
      <c r="D510">
        <v>419.24169999999998</v>
      </c>
      <c r="E510">
        <v>4.2000000000000003E-2</v>
      </c>
      <c r="F510">
        <v>413.2081</v>
      </c>
      <c r="G510">
        <v>420.71179999999998</v>
      </c>
      <c r="H510">
        <v>423.80529999999999</v>
      </c>
      <c r="I510">
        <v>1.9E-2</v>
      </c>
      <c r="J510">
        <v>0.05</v>
      </c>
      <c r="K510">
        <v>0.05</v>
      </c>
      <c r="L510">
        <v>2233.1999999999998</v>
      </c>
      <c r="M510">
        <v>2240.4</v>
      </c>
      <c r="N510">
        <v>2257</v>
      </c>
      <c r="Q510">
        <f t="shared" si="48"/>
        <v>419.2</v>
      </c>
      <c r="R510">
        <f t="shared" si="49"/>
        <v>419.2</v>
      </c>
      <c r="S510">
        <f t="shared" si="50"/>
        <v>0</v>
      </c>
    </row>
    <row r="511" spans="1:19" x14ac:dyDescent="0.25">
      <c r="A511" s="2">
        <v>44875</v>
      </c>
      <c r="B511" s="3">
        <v>314</v>
      </c>
      <c r="C511" s="3">
        <v>300</v>
      </c>
      <c r="D511">
        <v>419.24880000000002</v>
      </c>
      <c r="E511">
        <v>4.4999999999999998E-2</v>
      </c>
      <c r="F511">
        <v>413.22039999999998</v>
      </c>
      <c r="G511">
        <v>420.70830000000001</v>
      </c>
      <c r="H511">
        <v>423.8177</v>
      </c>
      <c r="I511">
        <v>3.3000000000000002E-2</v>
      </c>
      <c r="J511">
        <v>0.05</v>
      </c>
      <c r="K511">
        <v>4.9000000000000002E-2</v>
      </c>
      <c r="L511">
        <v>2233.1999999999998</v>
      </c>
      <c r="M511">
        <v>2240.1999999999998</v>
      </c>
      <c r="N511">
        <v>2257.1999999999998</v>
      </c>
      <c r="Q511">
        <f t="shared" si="48"/>
        <v>419.2</v>
      </c>
      <c r="R511">
        <f t="shared" si="49"/>
        <v>419.2</v>
      </c>
      <c r="S511">
        <f t="shared" si="50"/>
        <v>0</v>
      </c>
    </row>
    <row r="512" spans="1:19" x14ac:dyDescent="0.25">
      <c r="A512" s="2">
        <v>44875</v>
      </c>
      <c r="B512" s="3">
        <v>314</v>
      </c>
      <c r="C512" s="3">
        <v>400</v>
      </c>
      <c r="D512">
        <v>419.25639999999999</v>
      </c>
      <c r="E512">
        <v>4.7E-2</v>
      </c>
      <c r="F512">
        <v>413.23090000000002</v>
      </c>
      <c r="G512">
        <v>420.72059999999999</v>
      </c>
      <c r="H512">
        <v>423.8177</v>
      </c>
      <c r="I512">
        <v>4.2000000000000003E-2</v>
      </c>
      <c r="J512">
        <v>0.05</v>
      </c>
      <c r="K512">
        <v>4.9000000000000002E-2</v>
      </c>
      <c r="L512">
        <v>2233.1999999999998</v>
      </c>
      <c r="M512">
        <v>2240.4</v>
      </c>
      <c r="N512">
        <v>2257</v>
      </c>
      <c r="Q512">
        <f t="shared" si="48"/>
        <v>419.3</v>
      </c>
      <c r="R512">
        <f t="shared" si="49"/>
        <v>419.3</v>
      </c>
      <c r="S512">
        <f t="shared" si="50"/>
        <v>0.10000000000002274</v>
      </c>
    </row>
    <row r="513" spans="1:19" x14ac:dyDescent="0.25">
      <c r="A513" s="2">
        <v>44875</v>
      </c>
      <c r="B513" s="3">
        <v>314</v>
      </c>
      <c r="C513" s="3">
        <v>500</v>
      </c>
      <c r="D513">
        <v>419.25110000000001</v>
      </c>
      <c r="E513">
        <v>4.5999999999999999E-2</v>
      </c>
      <c r="F513">
        <v>413.22739999999999</v>
      </c>
      <c r="G513">
        <v>420.70830000000001</v>
      </c>
      <c r="H513">
        <v>423.8177</v>
      </c>
      <c r="I513">
        <v>3.9E-2</v>
      </c>
      <c r="J513">
        <v>0.05</v>
      </c>
      <c r="K513">
        <v>4.9000000000000002E-2</v>
      </c>
      <c r="L513">
        <v>2233.1999999999998</v>
      </c>
      <c r="M513">
        <v>2240.4</v>
      </c>
      <c r="N513">
        <v>2257</v>
      </c>
      <c r="Q513">
        <f t="shared" si="48"/>
        <v>419.3</v>
      </c>
      <c r="R513">
        <f t="shared" si="49"/>
        <v>419.3</v>
      </c>
      <c r="S513">
        <f t="shared" si="50"/>
        <v>0</v>
      </c>
    </row>
    <row r="514" spans="1:19" x14ac:dyDescent="0.25">
      <c r="A514" s="2">
        <v>44875</v>
      </c>
      <c r="B514" s="3">
        <v>314</v>
      </c>
      <c r="C514" s="3">
        <v>600</v>
      </c>
      <c r="D514">
        <v>419.2593</v>
      </c>
      <c r="E514">
        <v>4.7E-2</v>
      </c>
      <c r="F514">
        <v>413.23259999999999</v>
      </c>
      <c r="G514">
        <v>420.72239999999999</v>
      </c>
      <c r="H514">
        <v>423.82299999999998</v>
      </c>
      <c r="I514">
        <v>4.2999999999999997E-2</v>
      </c>
      <c r="J514">
        <v>4.9000000000000002E-2</v>
      </c>
      <c r="K514">
        <v>4.8000000000000001E-2</v>
      </c>
      <c r="L514">
        <v>2233.4</v>
      </c>
      <c r="M514">
        <v>2240.4</v>
      </c>
      <c r="N514">
        <v>2257.1999999999998</v>
      </c>
      <c r="Q514">
        <f t="shared" si="48"/>
        <v>419.3</v>
      </c>
      <c r="R514">
        <f t="shared" si="49"/>
        <v>419.3</v>
      </c>
      <c r="S514">
        <f t="shared" si="50"/>
        <v>0</v>
      </c>
    </row>
    <row r="515" spans="1:19" x14ac:dyDescent="0.25">
      <c r="A515" s="2">
        <v>44875</v>
      </c>
      <c r="B515" s="3">
        <v>314</v>
      </c>
      <c r="C515" s="3">
        <v>700</v>
      </c>
      <c r="D515">
        <v>419.25459999999998</v>
      </c>
      <c r="E515">
        <v>4.7E-2</v>
      </c>
      <c r="F515">
        <v>413.23259999999999</v>
      </c>
      <c r="G515">
        <v>420.71179999999998</v>
      </c>
      <c r="H515">
        <v>423.81950000000001</v>
      </c>
      <c r="I515">
        <v>4.2999999999999997E-2</v>
      </c>
      <c r="J515">
        <v>0.05</v>
      </c>
      <c r="K515">
        <v>4.9000000000000002E-2</v>
      </c>
      <c r="L515">
        <v>2233.1999999999998</v>
      </c>
      <c r="M515">
        <v>2240.4</v>
      </c>
      <c r="N515">
        <v>2257</v>
      </c>
      <c r="Q515">
        <f t="shared" si="48"/>
        <v>419.3</v>
      </c>
      <c r="R515">
        <f t="shared" si="49"/>
        <v>419.3</v>
      </c>
      <c r="S515">
        <f t="shared" si="50"/>
        <v>0</v>
      </c>
    </row>
    <row r="516" spans="1:19" x14ac:dyDescent="0.25">
      <c r="A516" s="2">
        <v>44875</v>
      </c>
      <c r="B516" s="3">
        <v>314</v>
      </c>
      <c r="C516" s="3">
        <v>800</v>
      </c>
      <c r="D516">
        <v>419.24509999999998</v>
      </c>
      <c r="E516">
        <v>4.8000000000000001E-2</v>
      </c>
      <c r="F516">
        <v>413.2466</v>
      </c>
      <c r="G516">
        <v>420.69420000000002</v>
      </c>
      <c r="H516">
        <v>423.79469999999998</v>
      </c>
      <c r="I516">
        <v>4.9000000000000002E-2</v>
      </c>
      <c r="J516">
        <v>4.7E-2</v>
      </c>
      <c r="K516">
        <v>4.9000000000000002E-2</v>
      </c>
      <c r="L516">
        <v>2233.1999999999998</v>
      </c>
      <c r="M516">
        <v>2240.1999999999998</v>
      </c>
      <c r="N516">
        <v>2257</v>
      </c>
      <c r="Q516">
        <f t="shared" si="48"/>
        <v>419.2</v>
      </c>
      <c r="R516">
        <f t="shared" si="49"/>
        <v>419.3</v>
      </c>
      <c r="S516">
        <f t="shared" si="50"/>
        <v>0</v>
      </c>
    </row>
    <row r="517" spans="1:19" x14ac:dyDescent="0.25">
      <c r="A517" s="2">
        <v>44875</v>
      </c>
      <c r="B517" s="3">
        <v>314</v>
      </c>
      <c r="C517" s="3">
        <v>900</v>
      </c>
      <c r="D517">
        <v>419.1345</v>
      </c>
      <c r="E517">
        <v>3.9E-2</v>
      </c>
      <c r="F517">
        <v>413.22559999999999</v>
      </c>
      <c r="G517">
        <v>420.61829999999998</v>
      </c>
      <c r="H517">
        <v>423.55959999999999</v>
      </c>
      <c r="I517">
        <v>3.7999999999999999E-2</v>
      </c>
      <c r="J517">
        <v>0.05</v>
      </c>
      <c r="K517">
        <v>2.5999999999999999E-2</v>
      </c>
      <c r="L517">
        <v>2233.1999999999998</v>
      </c>
      <c r="M517">
        <v>2240.1999999999998</v>
      </c>
      <c r="N517">
        <v>2256.6</v>
      </c>
      <c r="Q517">
        <f t="shared" si="48"/>
        <v>419.1</v>
      </c>
      <c r="R517">
        <f t="shared" si="49"/>
        <v>419.3</v>
      </c>
      <c r="S517">
        <f t="shared" si="50"/>
        <v>0</v>
      </c>
    </row>
    <row r="518" spans="1:19" x14ac:dyDescent="0.25">
      <c r="A518" s="2">
        <v>44875</v>
      </c>
      <c r="B518" s="3">
        <v>314</v>
      </c>
      <c r="C518" s="3">
        <v>1000</v>
      </c>
      <c r="D518">
        <v>419.03579999999999</v>
      </c>
      <c r="E518">
        <v>4.7E-2</v>
      </c>
      <c r="F518">
        <v>413.15210000000002</v>
      </c>
      <c r="G518">
        <v>420.52120000000002</v>
      </c>
      <c r="H518">
        <v>423.43400000000003</v>
      </c>
      <c r="I518">
        <v>0.05</v>
      </c>
      <c r="J518">
        <v>4.9000000000000002E-2</v>
      </c>
      <c r="K518">
        <v>4.1000000000000002E-2</v>
      </c>
      <c r="L518">
        <v>2233.1999999999998</v>
      </c>
      <c r="M518">
        <v>2240</v>
      </c>
      <c r="N518">
        <v>2256.4</v>
      </c>
      <c r="Q518">
        <f t="shared" si="48"/>
        <v>419</v>
      </c>
      <c r="R518">
        <f t="shared" si="49"/>
        <v>419.3</v>
      </c>
      <c r="S518">
        <f t="shared" si="50"/>
        <v>0</v>
      </c>
    </row>
    <row r="519" spans="1:19" x14ac:dyDescent="0.25">
      <c r="A519" s="2">
        <v>44875</v>
      </c>
      <c r="B519" s="3">
        <v>314</v>
      </c>
      <c r="C519" s="3">
        <v>1100</v>
      </c>
      <c r="D519">
        <v>419.02089999999998</v>
      </c>
      <c r="E519">
        <v>0.04</v>
      </c>
      <c r="F519">
        <v>413.19589999999999</v>
      </c>
      <c r="G519">
        <v>420.47879999999998</v>
      </c>
      <c r="H519">
        <v>423.38810000000001</v>
      </c>
      <c r="I519">
        <v>3.3000000000000002E-2</v>
      </c>
      <c r="J519">
        <v>3.7999999999999999E-2</v>
      </c>
      <c r="K519">
        <v>4.7E-2</v>
      </c>
      <c r="L519">
        <v>2233.1999999999998</v>
      </c>
      <c r="M519">
        <v>2240</v>
      </c>
      <c r="N519">
        <v>2256.1999999999998</v>
      </c>
      <c r="Q519">
        <f t="shared" si="48"/>
        <v>419</v>
      </c>
      <c r="R519">
        <f t="shared" si="49"/>
        <v>419.3</v>
      </c>
      <c r="S519">
        <f t="shared" si="50"/>
        <v>0</v>
      </c>
    </row>
    <row r="520" spans="1:19" x14ac:dyDescent="0.25">
      <c r="A520" s="2">
        <v>44875</v>
      </c>
      <c r="B520" s="3">
        <v>314</v>
      </c>
      <c r="C520" s="3">
        <v>1200</v>
      </c>
      <c r="D520">
        <v>418.97340000000003</v>
      </c>
      <c r="E520">
        <v>4.2999999999999997E-2</v>
      </c>
      <c r="F520">
        <v>413.14159999999998</v>
      </c>
      <c r="G520">
        <v>420.4153</v>
      </c>
      <c r="H520">
        <v>423.36329999999998</v>
      </c>
      <c r="I520">
        <v>4.7E-2</v>
      </c>
      <c r="J520">
        <v>0.05</v>
      </c>
      <c r="K520">
        <v>2.8000000000000001E-2</v>
      </c>
      <c r="L520">
        <v>2233</v>
      </c>
      <c r="M520">
        <v>2239.6</v>
      </c>
      <c r="N520">
        <v>2256.1999999999998</v>
      </c>
      <c r="Q520">
        <f t="shared" si="48"/>
        <v>419</v>
      </c>
      <c r="R520">
        <f t="shared" si="49"/>
        <v>419.3</v>
      </c>
      <c r="S520">
        <f t="shared" si="50"/>
        <v>0</v>
      </c>
    </row>
    <row r="521" spans="1:19" x14ac:dyDescent="0.25">
      <c r="A521" s="2">
        <v>44875</v>
      </c>
      <c r="B521" s="3">
        <v>314</v>
      </c>
      <c r="C521" s="3">
        <v>1300</v>
      </c>
      <c r="D521">
        <v>418.9178</v>
      </c>
      <c r="E521">
        <v>3.7999999999999999E-2</v>
      </c>
      <c r="F521">
        <v>413.0419</v>
      </c>
      <c r="G521">
        <v>420.36419999999998</v>
      </c>
      <c r="H521">
        <v>423.34739999999999</v>
      </c>
      <c r="I521">
        <v>4.7E-2</v>
      </c>
      <c r="J521">
        <v>3.7999999999999999E-2</v>
      </c>
      <c r="K521">
        <v>2.5999999999999999E-2</v>
      </c>
      <c r="L521">
        <v>2232.8000000000002</v>
      </c>
      <c r="M521">
        <v>2239.6</v>
      </c>
      <c r="N521">
        <v>2256.1999999999998</v>
      </c>
      <c r="Q521">
        <f t="shared" si="48"/>
        <v>418.9</v>
      </c>
      <c r="R521">
        <f t="shared" si="49"/>
        <v>419.3</v>
      </c>
      <c r="S521">
        <f t="shared" si="50"/>
        <v>0</v>
      </c>
    </row>
    <row r="522" spans="1:19" x14ac:dyDescent="0.25">
      <c r="A522" s="2">
        <v>44875</v>
      </c>
      <c r="B522" s="3">
        <v>314</v>
      </c>
      <c r="C522" s="3">
        <v>1400</v>
      </c>
      <c r="D522">
        <v>418.90789999999998</v>
      </c>
      <c r="E522">
        <v>3.6999999999999998E-2</v>
      </c>
      <c r="F522">
        <v>413.03309999999999</v>
      </c>
      <c r="G522">
        <v>420.34480000000002</v>
      </c>
      <c r="H522">
        <v>423.34559999999999</v>
      </c>
      <c r="I522">
        <v>4.2999999999999997E-2</v>
      </c>
      <c r="J522">
        <v>3.6999999999999998E-2</v>
      </c>
      <c r="K522">
        <v>2.8000000000000001E-2</v>
      </c>
      <c r="L522">
        <v>2232.8000000000002</v>
      </c>
      <c r="M522">
        <v>2239.6</v>
      </c>
      <c r="N522">
        <v>2256.1999999999998</v>
      </c>
      <c r="Q522">
        <f t="shared" si="48"/>
        <v>418.9</v>
      </c>
      <c r="R522">
        <f t="shared" si="49"/>
        <v>419.3</v>
      </c>
      <c r="S522">
        <f t="shared" si="50"/>
        <v>0</v>
      </c>
    </row>
    <row r="523" spans="1:19" x14ac:dyDescent="0.25">
      <c r="A523" s="2">
        <v>44875</v>
      </c>
      <c r="B523" s="3">
        <v>314</v>
      </c>
      <c r="C523" s="3">
        <v>1500</v>
      </c>
      <c r="D523">
        <v>418.8974</v>
      </c>
      <c r="E523">
        <v>0.04</v>
      </c>
      <c r="F523">
        <v>412.98759999999999</v>
      </c>
      <c r="G523">
        <v>420.33600000000001</v>
      </c>
      <c r="H523">
        <v>423.36860000000001</v>
      </c>
      <c r="I523">
        <v>4.1000000000000002E-2</v>
      </c>
      <c r="J523">
        <v>4.2999999999999997E-2</v>
      </c>
      <c r="K523">
        <v>3.5000000000000003E-2</v>
      </c>
      <c r="L523">
        <v>2232.6</v>
      </c>
      <c r="M523">
        <v>2239.6</v>
      </c>
      <c r="N523">
        <v>2256.1999999999998</v>
      </c>
      <c r="Q523">
        <f t="shared" si="48"/>
        <v>418.9</v>
      </c>
      <c r="R523">
        <f t="shared" si="49"/>
        <v>419.3</v>
      </c>
      <c r="S523">
        <f t="shared" si="50"/>
        <v>0</v>
      </c>
    </row>
    <row r="524" spans="1:19" x14ac:dyDescent="0.25">
      <c r="A524" s="2">
        <v>44875</v>
      </c>
      <c r="B524" s="3">
        <v>314</v>
      </c>
      <c r="C524" s="3">
        <v>1600</v>
      </c>
      <c r="D524">
        <v>418.85359999999997</v>
      </c>
      <c r="E524">
        <v>4.8000000000000001E-2</v>
      </c>
      <c r="F524">
        <v>412.86329999999998</v>
      </c>
      <c r="G524">
        <v>420.31479999999999</v>
      </c>
      <c r="H524">
        <v>423.38279999999997</v>
      </c>
      <c r="I524">
        <v>0.05</v>
      </c>
      <c r="J524">
        <v>0.05</v>
      </c>
      <c r="K524">
        <v>4.4999999999999998E-2</v>
      </c>
      <c r="L524">
        <v>2232.6</v>
      </c>
      <c r="M524">
        <v>2239.6</v>
      </c>
      <c r="N524">
        <v>2256.1999999999998</v>
      </c>
      <c r="Q524">
        <f t="shared" si="48"/>
        <v>418.9</v>
      </c>
      <c r="R524">
        <f t="shared" si="49"/>
        <v>419.3</v>
      </c>
      <c r="S524">
        <f t="shared" si="50"/>
        <v>0</v>
      </c>
    </row>
    <row r="525" spans="1:19" x14ac:dyDescent="0.25">
      <c r="A525" s="2">
        <v>44875</v>
      </c>
      <c r="B525" s="3">
        <v>314</v>
      </c>
      <c r="C525" s="3">
        <v>1700</v>
      </c>
      <c r="D525">
        <v>419.00909999999999</v>
      </c>
      <c r="E525">
        <v>4.2999999999999997E-2</v>
      </c>
      <c r="F525">
        <v>413.02080000000001</v>
      </c>
      <c r="G525">
        <v>420.52289999999999</v>
      </c>
      <c r="H525">
        <v>423.48349999999999</v>
      </c>
      <c r="I525">
        <v>3.3000000000000002E-2</v>
      </c>
      <c r="J525">
        <v>4.9000000000000002E-2</v>
      </c>
      <c r="K525">
        <v>4.4999999999999998E-2</v>
      </c>
      <c r="L525">
        <v>2232.8000000000002</v>
      </c>
      <c r="M525">
        <v>2240</v>
      </c>
      <c r="N525">
        <v>2256.4</v>
      </c>
      <c r="Q525">
        <f t="shared" si="48"/>
        <v>419</v>
      </c>
      <c r="R525">
        <f t="shared" si="49"/>
        <v>419.3</v>
      </c>
      <c r="S525">
        <f t="shared" si="50"/>
        <v>0</v>
      </c>
    </row>
    <row r="526" spans="1:19" x14ac:dyDescent="0.25">
      <c r="A526" s="2">
        <v>44875</v>
      </c>
      <c r="B526" s="3">
        <v>314</v>
      </c>
      <c r="C526" s="3">
        <v>1800</v>
      </c>
      <c r="D526">
        <v>419.1078</v>
      </c>
      <c r="E526">
        <v>4.4999999999999998E-2</v>
      </c>
      <c r="F526">
        <v>413.09789999999998</v>
      </c>
      <c r="G526">
        <v>420.61649999999997</v>
      </c>
      <c r="H526">
        <v>423.60910000000001</v>
      </c>
      <c r="I526">
        <v>3.1E-2</v>
      </c>
      <c r="J526">
        <v>0.05</v>
      </c>
      <c r="K526">
        <v>0.05</v>
      </c>
      <c r="L526">
        <v>2233</v>
      </c>
      <c r="M526">
        <v>2240</v>
      </c>
      <c r="N526">
        <v>2256.6</v>
      </c>
      <c r="Q526">
        <f t="shared" si="48"/>
        <v>419.1</v>
      </c>
      <c r="R526">
        <f t="shared" si="49"/>
        <v>419.3</v>
      </c>
      <c r="S526">
        <f t="shared" si="50"/>
        <v>0</v>
      </c>
    </row>
    <row r="527" spans="1:19" x14ac:dyDescent="0.25">
      <c r="A527" s="2">
        <v>44875</v>
      </c>
      <c r="B527" s="3">
        <v>314</v>
      </c>
      <c r="C527" s="3">
        <v>1900</v>
      </c>
      <c r="D527">
        <v>419.13780000000003</v>
      </c>
      <c r="E527">
        <v>2.9000000000000001E-2</v>
      </c>
      <c r="F527">
        <v>413.11540000000002</v>
      </c>
      <c r="G527">
        <v>420.63940000000002</v>
      </c>
      <c r="H527">
        <v>423.65859999999998</v>
      </c>
      <c r="I527">
        <v>2.5000000000000001E-2</v>
      </c>
      <c r="J527">
        <v>4.2000000000000003E-2</v>
      </c>
      <c r="K527">
        <v>1.2999999999999999E-2</v>
      </c>
      <c r="L527">
        <v>2233</v>
      </c>
      <c r="M527">
        <v>2240</v>
      </c>
      <c r="N527">
        <v>2256.8000000000002</v>
      </c>
      <c r="Q527">
        <f t="shared" si="48"/>
        <v>419.1</v>
      </c>
      <c r="R527">
        <f t="shared" si="49"/>
        <v>419.3</v>
      </c>
      <c r="S527">
        <f t="shared" si="50"/>
        <v>0</v>
      </c>
    </row>
    <row r="528" spans="1:19" x14ac:dyDescent="0.25">
      <c r="A528" s="2">
        <v>44875</v>
      </c>
      <c r="B528" s="3">
        <v>314</v>
      </c>
      <c r="C528" s="3">
        <v>2000</v>
      </c>
      <c r="D528">
        <v>419.14780000000002</v>
      </c>
      <c r="E528">
        <v>3.6999999999999998E-2</v>
      </c>
      <c r="F528">
        <v>413.12060000000002</v>
      </c>
      <c r="G528">
        <v>420.6447</v>
      </c>
      <c r="H528">
        <v>423.678</v>
      </c>
      <c r="I528">
        <v>3.3000000000000002E-2</v>
      </c>
      <c r="J528">
        <v>3.7999999999999999E-2</v>
      </c>
      <c r="K528">
        <v>4.1000000000000002E-2</v>
      </c>
      <c r="L528">
        <v>2233</v>
      </c>
      <c r="M528">
        <v>2240.1999999999998</v>
      </c>
      <c r="N528">
        <v>2257</v>
      </c>
      <c r="Q528">
        <f t="shared" si="48"/>
        <v>419.1</v>
      </c>
      <c r="R528">
        <f t="shared" si="49"/>
        <v>419.3</v>
      </c>
      <c r="S528">
        <f t="shared" si="50"/>
        <v>0</v>
      </c>
    </row>
    <row r="529" spans="1:19" x14ac:dyDescent="0.25">
      <c r="A529" s="2">
        <v>44875</v>
      </c>
      <c r="B529" s="3">
        <v>314</v>
      </c>
      <c r="C529" s="3">
        <v>2100</v>
      </c>
      <c r="D529">
        <v>419.15780000000001</v>
      </c>
      <c r="E529">
        <v>3.9E-2</v>
      </c>
      <c r="F529">
        <v>413.12240000000003</v>
      </c>
      <c r="G529">
        <v>420.65710000000001</v>
      </c>
      <c r="H529">
        <v>423.69389999999999</v>
      </c>
      <c r="I529">
        <v>3.5000000000000003E-2</v>
      </c>
      <c r="J529">
        <v>2.9000000000000001E-2</v>
      </c>
      <c r="K529">
        <v>4.9000000000000002E-2</v>
      </c>
      <c r="L529">
        <v>2233</v>
      </c>
      <c r="M529">
        <v>2240.1999999999998</v>
      </c>
      <c r="N529">
        <v>2256.8000000000002</v>
      </c>
      <c r="Q529">
        <f t="shared" si="48"/>
        <v>419.2</v>
      </c>
      <c r="R529">
        <f t="shared" si="49"/>
        <v>419.3</v>
      </c>
      <c r="S529">
        <f t="shared" si="50"/>
        <v>0</v>
      </c>
    </row>
    <row r="530" spans="1:19" x14ac:dyDescent="0.25">
      <c r="A530" s="2">
        <v>44875</v>
      </c>
      <c r="B530" s="3">
        <v>314</v>
      </c>
      <c r="C530" s="3">
        <v>2200</v>
      </c>
      <c r="D530">
        <v>419.17129999999997</v>
      </c>
      <c r="E530">
        <v>4.3999999999999997E-2</v>
      </c>
      <c r="F530">
        <v>413.14339999999999</v>
      </c>
      <c r="G530">
        <v>420.66059999999999</v>
      </c>
      <c r="H530">
        <v>423.70979999999997</v>
      </c>
      <c r="I530">
        <v>4.8000000000000001E-2</v>
      </c>
      <c r="J530">
        <v>0.03</v>
      </c>
      <c r="K530">
        <v>0.05</v>
      </c>
      <c r="L530">
        <v>2233</v>
      </c>
      <c r="M530">
        <v>2240.1999999999998</v>
      </c>
      <c r="N530">
        <v>2256.8000000000002</v>
      </c>
      <c r="Q530">
        <f t="shared" si="48"/>
        <v>419.2</v>
      </c>
      <c r="R530">
        <f t="shared" si="49"/>
        <v>419.3</v>
      </c>
      <c r="S530">
        <f t="shared" si="50"/>
        <v>0</v>
      </c>
    </row>
    <row r="531" spans="1:19" x14ac:dyDescent="0.25">
      <c r="A531" s="2">
        <v>44875</v>
      </c>
      <c r="B531" s="3">
        <v>314</v>
      </c>
      <c r="C531" s="3">
        <v>2300</v>
      </c>
      <c r="D531">
        <v>419.1848</v>
      </c>
      <c r="E531">
        <v>4.3999999999999997E-2</v>
      </c>
      <c r="F531">
        <v>413.14339999999999</v>
      </c>
      <c r="G531">
        <v>420.68</v>
      </c>
      <c r="H531">
        <v>423.73099999999999</v>
      </c>
      <c r="I531">
        <v>4.8000000000000001E-2</v>
      </c>
      <c r="J531">
        <v>3.7999999999999999E-2</v>
      </c>
      <c r="K531">
        <v>4.3999999999999997E-2</v>
      </c>
      <c r="L531">
        <v>2233.1999999999998</v>
      </c>
      <c r="M531">
        <v>2240.1999999999998</v>
      </c>
      <c r="N531">
        <v>2257</v>
      </c>
      <c r="Q531">
        <f t="shared" ref="Q531:Q594" si="51">ROUND(D531,1)</f>
        <v>419.2</v>
      </c>
      <c r="R531">
        <f t="shared" si="49"/>
        <v>419.3</v>
      </c>
      <c r="S531">
        <f t="shared" si="50"/>
        <v>0</v>
      </c>
    </row>
    <row r="532" spans="1:19" x14ac:dyDescent="0.25">
      <c r="A532" s="2">
        <v>44875</v>
      </c>
      <c r="B532" s="3">
        <v>314</v>
      </c>
      <c r="C532" s="3">
        <v>2400</v>
      </c>
      <c r="D532">
        <v>419.19600000000003</v>
      </c>
      <c r="E532">
        <v>4.2000000000000003E-2</v>
      </c>
      <c r="F532">
        <v>413.15910000000002</v>
      </c>
      <c r="G532">
        <v>420.68360000000001</v>
      </c>
      <c r="H532">
        <v>423.74520000000001</v>
      </c>
      <c r="I532">
        <v>0.05</v>
      </c>
      <c r="J532">
        <v>4.1000000000000002E-2</v>
      </c>
      <c r="K532">
        <v>3.3000000000000002E-2</v>
      </c>
      <c r="L532">
        <v>2233.1999999999998</v>
      </c>
      <c r="M532">
        <v>2240.1999999999998</v>
      </c>
      <c r="N532">
        <v>2257</v>
      </c>
      <c r="Q532">
        <f t="shared" si="51"/>
        <v>419.2</v>
      </c>
      <c r="R532">
        <f t="shared" si="49"/>
        <v>419.3</v>
      </c>
      <c r="S532">
        <f t="shared" si="50"/>
        <v>0</v>
      </c>
    </row>
    <row r="533" spans="1:19" x14ac:dyDescent="0.25">
      <c r="A533" s="2">
        <v>44876</v>
      </c>
      <c r="B533" s="3">
        <v>315</v>
      </c>
      <c r="C533" s="3">
        <v>100</v>
      </c>
      <c r="D533">
        <v>419.19130000000001</v>
      </c>
      <c r="E533">
        <v>4.2999999999999997E-2</v>
      </c>
      <c r="F533">
        <v>413.15559999999999</v>
      </c>
      <c r="G533">
        <v>420.68</v>
      </c>
      <c r="H533">
        <v>423.73809999999997</v>
      </c>
      <c r="I533">
        <v>0.05</v>
      </c>
      <c r="J533">
        <v>3.7999999999999999E-2</v>
      </c>
      <c r="K533">
        <v>0.04</v>
      </c>
      <c r="L533">
        <v>2233</v>
      </c>
      <c r="M533">
        <v>2240.1999999999998</v>
      </c>
      <c r="N533">
        <v>2257</v>
      </c>
      <c r="Q533">
        <f t="shared" si="51"/>
        <v>419.2</v>
      </c>
      <c r="R533">
        <f t="shared" si="49"/>
        <v>419.3</v>
      </c>
      <c r="S533">
        <f t="shared" si="50"/>
        <v>0</v>
      </c>
    </row>
    <row r="534" spans="1:19" x14ac:dyDescent="0.25">
      <c r="A534" s="2">
        <v>44876</v>
      </c>
      <c r="B534" s="3">
        <v>315</v>
      </c>
      <c r="C534" s="3">
        <v>200</v>
      </c>
      <c r="D534">
        <v>419.1977</v>
      </c>
      <c r="E534">
        <v>4.2999999999999997E-2</v>
      </c>
      <c r="F534">
        <v>413.16090000000003</v>
      </c>
      <c r="G534">
        <v>420.68709999999999</v>
      </c>
      <c r="H534">
        <v>423.74520000000001</v>
      </c>
      <c r="I534">
        <v>0.05</v>
      </c>
      <c r="J534">
        <v>4.2999999999999997E-2</v>
      </c>
      <c r="K534">
        <v>3.3000000000000002E-2</v>
      </c>
      <c r="L534">
        <v>2233</v>
      </c>
      <c r="M534">
        <v>2240.4</v>
      </c>
      <c r="N534">
        <v>2257</v>
      </c>
      <c r="Q534">
        <f t="shared" si="51"/>
        <v>419.2</v>
      </c>
      <c r="R534">
        <f t="shared" si="49"/>
        <v>419.3</v>
      </c>
      <c r="S534">
        <f t="shared" si="50"/>
        <v>0</v>
      </c>
    </row>
    <row r="535" spans="1:19" x14ac:dyDescent="0.25">
      <c r="A535" s="2">
        <v>44876</v>
      </c>
      <c r="B535" s="3">
        <v>315</v>
      </c>
      <c r="C535" s="3">
        <v>300</v>
      </c>
      <c r="D535">
        <v>419.20240000000001</v>
      </c>
      <c r="E535">
        <v>4.1000000000000002E-2</v>
      </c>
      <c r="F535">
        <v>413.1644</v>
      </c>
      <c r="G535">
        <v>420.69060000000002</v>
      </c>
      <c r="H535">
        <v>423.75229999999999</v>
      </c>
      <c r="I535">
        <v>0.05</v>
      </c>
      <c r="J535">
        <v>4.4999999999999998E-2</v>
      </c>
      <c r="K535">
        <v>2.3E-2</v>
      </c>
      <c r="L535">
        <v>2233</v>
      </c>
      <c r="M535">
        <v>2240.1999999999998</v>
      </c>
      <c r="N535">
        <v>2257</v>
      </c>
      <c r="Q535">
        <f t="shared" si="51"/>
        <v>419.2</v>
      </c>
      <c r="R535">
        <f t="shared" si="49"/>
        <v>419.3</v>
      </c>
      <c r="S535">
        <f t="shared" si="50"/>
        <v>0</v>
      </c>
    </row>
    <row r="536" spans="1:19" x14ac:dyDescent="0.25">
      <c r="A536" s="2">
        <v>44876</v>
      </c>
      <c r="B536" s="3">
        <v>315</v>
      </c>
      <c r="C536" s="3">
        <v>400</v>
      </c>
      <c r="D536">
        <v>419.20060000000001</v>
      </c>
      <c r="E536">
        <v>0.04</v>
      </c>
      <c r="F536">
        <v>413.1696</v>
      </c>
      <c r="G536">
        <v>420.68</v>
      </c>
      <c r="H536">
        <v>423.75229999999999</v>
      </c>
      <c r="I536">
        <v>4.9000000000000002E-2</v>
      </c>
      <c r="J536">
        <v>3.7999999999999999E-2</v>
      </c>
      <c r="K536">
        <v>2.9000000000000001E-2</v>
      </c>
      <c r="L536">
        <v>2233.1999999999998</v>
      </c>
      <c r="M536">
        <v>2240.1999999999998</v>
      </c>
      <c r="N536">
        <v>2257</v>
      </c>
      <c r="Q536">
        <f t="shared" si="51"/>
        <v>419.2</v>
      </c>
      <c r="R536">
        <f t="shared" si="49"/>
        <v>419.3</v>
      </c>
      <c r="S536">
        <f t="shared" si="50"/>
        <v>0</v>
      </c>
    </row>
    <row r="537" spans="1:19" x14ac:dyDescent="0.25">
      <c r="A537" s="2">
        <v>44876</v>
      </c>
      <c r="B537" s="3">
        <v>315</v>
      </c>
      <c r="C537" s="3">
        <v>500</v>
      </c>
      <c r="D537">
        <v>419.2165</v>
      </c>
      <c r="E537">
        <v>4.1000000000000002E-2</v>
      </c>
      <c r="F537">
        <v>413.18540000000002</v>
      </c>
      <c r="G537">
        <v>420.69589999999999</v>
      </c>
      <c r="H537">
        <v>423.76819999999998</v>
      </c>
      <c r="I537">
        <v>4.2000000000000003E-2</v>
      </c>
      <c r="J537">
        <v>4.7E-2</v>
      </c>
      <c r="K537">
        <v>3.1E-2</v>
      </c>
      <c r="L537">
        <v>2233.1999999999998</v>
      </c>
      <c r="M537">
        <v>2240.1999999999998</v>
      </c>
      <c r="N537">
        <v>2257</v>
      </c>
      <c r="Q537">
        <f t="shared" si="51"/>
        <v>419.2</v>
      </c>
      <c r="R537">
        <f t="shared" si="49"/>
        <v>419.3</v>
      </c>
      <c r="S537">
        <f t="shared" si="50"/>
        <v>0</v>
      </c>
    </row>
    <row r="538" spans="1:19" x14ac:dyDescent="0.25">
      <c r="A538" s="2">
        <v>44876</v>
      </c>
      <c r="B538" s="3">
        <v>315</v>
      </c>
      <c r="C538" s="3">
        <v>600</v>
      </c>
      <c r="D538">
        <v>419.22879999999998</v>
      </c>
      <c r="E538">
        <v>4.2999999999999997E-2</v>
      </c>
      <c r="F538">
        <v>413.19240000000002</v>
      </c>
      <c r="G538">
        <v>420.71350000000001</v>
      </c>
      <c r="H538">
        <v>423.78050000000002</v>
      </c>
      <c r="I538">
        <v>3.5999999999999997E-2</v>
      </c>
      <c r="J538">
        <v>0.05</v>
      </c>
      <c r="K538">
        <v>4.2000000000000003E-2</v>
      </c>
      <c r="L538">
        <v>2233.1999999999998</v>
      </c>
      <c r="M538">
        <v>2240.4</v>
      </c>
      <c r="N538">
        <v>2257</v>
      </c>
      <c r="Q538">
        <f t="shared" si="51"/>
        <v>419.2</v>
      </c>
      <c r="R538">
        <f t="shared" si="49"/>
        <v>419.3</v>
      </c>
      <c r="S538">
        <f t="shared" si="50"/>
        <v>0</v>
      </c>
    </row>
    <row r="539" spans="1:19" x14ac:dyDescent="0.25">
      <c r="A539" s="2">
        <v>44876</v>
      </c>
      <c r="B539" s="3">
        <v>315</v>
      </c>
      <c r="C539" s="3">
        <v>700</v>
      </c>
      <c r="D539">
        <v>419.22710000000001</v>
      </c>
      <c r="E539">
        <v>4.2000000000000003E-2</v>
      </c>
      <c r="F539">
        <v>413.19409999999999</v>
      </c>
      <c r="G539">
        <v>420.70830000000001</v>
      </c>
      <c r="H539">
        <v>423.77879999999999</v>
      </c>
      <c r="I539">
        <v>3.5000000000000003E-2</v>
      </c>
      <c r="J539">
        <v>0.05</v>
      </c>
      <c r="K539">
        <v>4.1000000000000002E-2</v>
      </c>
      <c r="L539">
        <v>2233</v>
      </c>
      <c r="M539">
        <v>2240.1999999999998</v>
      </c>
      <c r="N539">
        <v>2257.1999999999998</v>
      </c>
      <c r="Q539">
        <f t="shared" si="51"/>
        <v>419.2</v>
      </c>
      <c r="R539">
        <f t="shared" si="49"/>
        <v>419.3</v>
      </c>
      <c r="S539">
        <f t="shared" si="50"/>
        <v>0</v>
      </c>
    </row>
    <row r="540" spans="1:19" x14ac:dyDescent="0.25">
      <c r="A540" s="2">
        <v>44876</v>
      </c>
      <c r="B540" s="3">
        <v>315</v>
      </c>
      <c r="C540" s="3">
        <v>800</v>
      </c>
      <c r="D540">
        <v>419.21530000000001</v>
      </c>
      <c r="E540">
        <v>3.9E-2</v>
      </c>
      <c r="F540">
        <v>413.18709999999999</v>
      </c>
      <c r="G540">
        <v>420.69940000000003</v>
      </c>
      <c r="H540">
        <v>423.7593</v>
      </c>
      <c r="I540">
        <v>4.1000000000000002E-2</v>
      </c>
      <c r="J540">
        <v>4.9000000000000002E-2</v>
      </c>
      <c r="K540">
        <v>2.3E-2</v>
      </c>
      <c r="L540">
        <v>2233.1999999999998</v>
      </c>
      <c r="M540">
        <v>2240.1999999999998</v>
      </c>
      <c r="N540">
        <v>2257</v>
      </c>
      <c r="Q540">
        <f t="shared" si="51"/>
        <v>419.2</v>
      </c>
      <c r="R540">
        <f t="shared" si="49"/>
        <v>419.3</v>
      </c>
      <c r="S540">
        <f t="shared" si="50"/>
        <v>0</v>
      </c>
    </row>
    <row r="541" spans="1:19" x14ac:dyDescent="0.25">
      <c r="A541" s="2">
        <v>44876</v>
      </c>
      <c r="B541" s="3">
        <v>315</v>
      </c>
      <c r="C541" s="3">
        <v>900</v>
      </c>
      <c r="D541">
        <v>419.21</v>
      </c>
      <c r="E541">
        <v>3.3000000000000002E-2</v>
      </c>
      <c r="F541">
        <v>413.19060000000002</v>
      </c>
      <c r="G541">
        <v>420.68360000000001</v>
      </c>
      <c r="H541">
        <v>423.75580000000002</v>
      </c>
      <c r="I541">
        <v>3.7999999999999999E-2</v>
      </c>
      <c r="J541">
        <v>4.1000000000000002E-2</v>
      </c>
      <c r="K541">
        <v>1.2999999999999999E-2</v>
      </c>
      <c r="L541">
        <v>2233.1999999999998</v>
      </c>
      <c r="M541">
        <v>2240.1999999999998</v>
      </c>
      <c r="N541">
        <v>2257</v>
      </c>
      <c r="Q541">
        <f t="shared" si="51"/>
        <v>419.2</v>
      </c>
      <c r="R541">
        <f t="shared" si="49"/>
        <v>419.3</v>
      </c>
      <c r="S541">
        <f t="shared" si="50"/>
        <v>0</v>
      </c>
    </row>
    <row r="542" spans="1:19" x14ac:dyDescent="0.25">
      <c r="A542" s="2">
        <v>44876</v>
      </c>
      <c r="B542" s="3">
        <v>315</v>
      </c>
      <c r="C542" s="3">
        <v>1000</v>
      </c>
      <c r="D542">
        <v>419.20119999999997</v>
      </c>
      <c r="E542">
        <v>3.7999999999999999E-2</v>
      </c>
      <c r="F542">
        <v>413.18540000000002</v>
      </c>
      <c r="G542">
        <v>420.6712</v>
      </c>
      <c r="H542">
        <v>423.74689999999998</v>
      </c>
      <c r="I542">
        <v>4.2000000000000003E-2</v>
      </c>
      <c r="J542">
        <v>3.9E-2</v>
      </c>
      <c r="K542">
        <v>3.1E-2</v>
      </c>
      <c r="L542">
        <v>2233.1999999999998</v>
      </c>
      <c r="M542">
        <v>2240.1999999999998</v>
      </c>
      <c r="N542">
        <v>2257</v>
      </c>
      <c r="Q542">
        <f t="shared" si="51"/>
        <v>419.2</v>
      </c>
      <c r="R542">
        <f t="shared" si="49"/>
        <v>419.3</v>
      </c>
      <c r="S542">
        <f t="shared" si="50"/>
        <v>0</v>
      </c>
    </row>
    <row r="543" spans="1:19" x14ac:dyDescent="0.25">
      <c r="A543" s="2">
        <v>44876</v>
      </c>
      <c r="B543" s="3">
        <v>315</v>
      </c>
      <c r="C543" s="3">
        <v>1100</v>
      </c>
      <c r="D543">
        <v>419.16890000000001</v>
      </c>
      <c r="E543">
        <v>4.9000000000000002E-2</v>
      </c>
      <c r="F543">
        <v>413.1644</v>
      </c>
      <c r="G543">
        <v>420.62880000000001</v>
      </c>
      <c r="H543">
        <v>423.71339999999998</v>
      </c>
      <c r="I543">
        <v>0.05</v>
      </c>
      <c r="J543">
        <v>4.7E-2</v>
      </c>
      <c r="K543">
        <v>0.05</v>
      </c>
      <c r="L543">
        <v>2233.1999999999998</v>
      </c>
      <c r="M543">
        <v>2240.1999999999998</v>
      </c>
      <c r="N543">
        <v>2257</v>
      </c>
      <c r="Q543">
        <f t="shared" si="51"/>
        <v>419.2</v>
      </c>
      <c r="R543">
        <f t="shared" si="49"/>
        <v>419.3</v>
      </c>
      <c r="S543">
        <f t="shared" si="50"/>
        <v>0</v>
      </c>
    </row>
    <row r="544" spans="1:19" x14ac:dyDescent="0.25">
      <c r="A544" s="2">
        <v>44876</v>
      </c>
      <c r="B544" s="3">
        <v>315</v>
      </c>
      <c r="C544" s="3">
        <v>1200</v>
      </c>
      <c r="D544">
        <v>419.1454</v>
      </c>
      <c r="E544">
        <v>4.8000000000000001E-2</v>
      </c>
      <c r="F544">
        <v>413.14339999999999</v>
      </c>
      <c r="G544">
        <v>420.60419999999999</v>
      </c>
      <c r="H544">
        <v>423.68860000000001</v>
      </c>
      <c r="I544">
        <v>4.8000000000000001E-2</v>
      </c>
      <c r="J544">
        <v>0.05</v>
      </c>
      <c r="K544">
        <v>4.7E-2</v>
      </c>
      <c r="L544">
        <v>2233</v>
      </c>
      <c r="M544">
        <v>2240</v>
      </c>
      <c r="N544">
        <v>2256.8000000000002</v>
      </c>
      <c r="Q544">
        <f t="shared" si="51"/>
        <v>419.1</v>
      </c>
      <c r="R544">
        <f t="shared" si="49"/>
        <v>419.3</v>
      </c>
      <c r="S544">
        <f t="shared" si="50"/>
        <v>0</v>
      </c>
    </row>
    <row r="545" spans="1:19" x14ac:dyDescent="0.25">
      <c r="A545" s="2">
        <v>44876</v>
      </c>
      <c r="B545" s="3">
        <v>315</v>
      </c>
      <c r="C545" s="3">
        <v>1300</v>
      </c>
      <c r="D545">
        <v>419.1377</v>
      </c>
      <c r="E545">
        <v>4.4999999999999998E-2</v>
      </c>
      <c r="F545">
        <v>413.13810000000001</v>
      </c>
      <c r="G545">
        <v>420.59710000000001</v>
      </c>
      <c r="H545">
        <v>423.678</v>
      </c>
      <c r="I545">
        <v>4.5999999999999999E-2</v>
      </c>
      <c r="J545">
        <v>4.8000000000000001E-2</v>
      </c>
      <c r="K545">
        <v>4.1000000000000002E-2</v>
      </c>
      <c r="L545">
        <v>2233</v>
      </c>
      <c r="M545">
        <v>2240.1999999999998</v>
      </c>
      <c r="N545">
        <v>2256.8000000000002</v>
      </c>
      <c r="Q545">
        <f t="shared" si="51"/>
        <v>419.1</v>
      </c>
      <c r="R545">
        <f t="shared" si="49"/>
        <v>419.3</v>
      </c>
      <c r="S545">
        <f t="shared" si="50"/>
        <v>0</v>
      </c>
    </row>
    <row r="546" spans="1:19" x14ac:dyDescent="0.25">
      <c r="A546" s="2">
        <v>44876</v>
      </c>
      <c r="B546" s="3">
        <v>315</v>
      </c>
      <c r="C546" s="3">
        <v>1400</v>
      </c>
      <c r="D546">
        <v>419.13420000000002</v>
      </c>
      <c r="E546">
        <v>4.2999999999999997E-2</v>
      </c>
      <c r="F546">
        <v>413.1241</v>
      </c>
      <c r="G546">
        <v>420.59710000000001</v>
      </c>
      <c r="H546">
        <v>423.68150000000003</v>
      </c>
      <c r="I546">
        <v>3.5999999999999997E-2</v>
      </c>
      <c r="J546">
        <v>4.8000000000000001E-2</v>
      </c>
      <c r="K546">
        <v>4.2999999999999997E-2</v>
      </c>
      <c r="L546">
        <v>2233</v>
      </c>
      <c r="M546">
        <v>2240</v>
      </c>
      <c r="N546">
        <v>2257</v>
      </c>
      <c r="Q546">
        <f t="shared" si="51"/>
        <v>419.1</v>
      </c>
      <c r="R546">
        <f t="shared" ref="R546:R609" si="52">ROUND(IF(Q546&lt;R545,R545,Q546),1)</f>
        <v>419.3</v>
      </c>
      <c r="S546">
        <f t="shared" si="50"/>
        <v>0</v>
      </c>
    </row>
    <row r="547" spans="1:19" x14ac:dyDescent="0.25">
      <c r="A547" s="2">
        <v>44876</v>
      </c>
      <c r="B547" s="3">
        <v>315</v>
      </c>
      <c r="C547" s="3">
        <v>1500</v>
      </c>
      <c r="D547">
        <v>419.13889999999998</v>
      </c>
      <c r="E547">
        <v>4.4999999999999998E-2</v>
      </c>
      <c r="F547">
        <v>413.1259</v>
      </c>
      <c r="G547">
        <v>420.60590000000002</v>
      </c>
      <c r="H547">
        <v>423.68509999999998</v>
      </c>
      <c r="I547">
        <v>3.7999999999999999E-2</v>
      </c>
      <c r="J547">
        <v>0.05</v>
      </c>
      <c r="K547">
        <v>4.4999999999999998E-2</v>
      </c>
      <c r="L547">
        <v>2233</v>
      </c>
      <c r="M547">
        <v>2240.1999999999998</v>
      </c>
      <c r="N547">
        <v>2256.8000000000002</v>
      </c>
      <c r="Q547">
        <f t="shared" si="51"/>
        <v>419.1</v>
      </c>
      <c r="R547">
        <f t="shared" si="52"/>
        <v>419.3</v>
      </c>
      <c r="S547">
        <f t="shared" si="50"/>
        <v>0</v>
      </c>
    </row>
    <row r="548" spans="1:19" x14ac:dyDescent="0.25">
      <c r="A548" s="2">
        <v>44876</v>
      </c>
      <c r="B548" s="3">
        <v>315</v>
      </c>
      <c r="C548" s="3">
        <v>1600</v>
      </c>
      <c r="D548">
        <v>419.16660000000002</v>
      </c>
      <c r="E548">
        <v>4.5999999999999999E-2</v>
      </c>
      <c r="F548">
        <v>413.13810000000001</v>
      </c>
      <c r="G548">
        <v>420.6377</v>
      </c>
      <c r="H548">
        <v>423.72399999999999</v>
      </c>
      <c r="I548">
        <v>4.5999999999999999E-2</v>
      </c>
      <c r="J548">
        <v>4.2999999999999997E-2</v>
      </c>
      <c r="K548">
        <v>4.8000000000000001E-2</v>
      </c>
      <c r="L548">
        <v>2233</v>
      </c>
      <c r="M548">
        <v>2240.1999999999998</v>
      </c>
      <c r="N548">
        <v>2257</v>
      </c>
      <c r="Q548">
        <f t="shared" si="51"/>
        <v>419.2</v>
      </c>
      <c r="R548">
        <f t="shared" si="52"/>
        <v>419.3</v>
      </c>
      <c r="S548">
        <f t="shared" si="50"/>
        <v>0</v>
      </c>
    </row>
    <row r="549" spans="1:19" x14ac:dyDescent="0.25">
      <c r="A549" s="2">
        <v>44876</v>
      </c>
      <c r="B549" s="3">
        <v>315</v>
      </c>
      <c r="C549" s="3">
        <v>1700</v>
      </c>
      <c r="D549">
        <v>419.19130000000001</v>
      </c>
      <c r="E549">
        <v>0.04</v>
      </c>
      <c r="F549">
        <v>413.14690000000002</v>
      </c>
      <c r="G549">
        <v>420.68</v>
      </c>
      <c r="H549">
        <v>423.74689999999998</v>
      </c>
      <c r="I549">
        <v>4.9000000000000002E-2</v>
      </c>
      <c r="J549">
        <v>3.7999999999999999E-2</v>
      </c>
      <c r="K549">
        <v>3.1E-2</v>
      </c>
      <c r="L549">
        <v>2233.1999999999998</v>
      </c>
      <c r="M549">
        <v>2240.1999999999998</v>
      </c>
      <c r="N549">
        <v>2257</v>
      </c>
      <c r="Q549">
        <f t="shared" si="51"/>
        <v>419.2</v>
      </c>
      <c r="R549">
        <f t="shared" si="52"/>
        <v>419.3</v>
      </c>
      <c r="S549">
        <f t="shared" ref="S549:S612" si="53">IF(R549&gt;R548,R549-R548,0)</f>
        <v>0</v>
      </c>
    </row>
    <row r="550" spans="1:19" x14ac:dyDescent="0.25">
      <c r="A550" s="2">
        <v>44876</v>
      </c>
      <c r="B550" s="3">
        <v>315</v>
      </c>
      <c r="C550" s="3">
        <v>1800</v>
      </c>
      <c r="D550">
        <v>419.17140000000001</v>
      </c>
      <c r="E550">
        <v>3.5000000000000003E-2</v>
      </c>
      <c r="F550">
        <v>413.10140000000001</v>
      </c>
      <c r="G550">
        <v>420.64830000000001</v>
      </c>
      <c r="H550">
        <v>423.76459999999997</v>
      </c>
      <c r="I550">
        <v>4.1000000000000002E-2</v>
      </c>
      <c r="J550">
        <v>3.5000000000000003E-2</v>
      </c>
      <c r="K550">
        <v>2.5999999999999999E-2</v>
      </c>
      <c r="L550">
        <v>2232.8000000000002</v>
      </c>
      <c r="M550">
        <v>2240.1999999999998</v>
      </c>
      <c r="N550">
        <v>2257</v>
      </c>
      <c r="Q550">
        <f t="shared" si="51"/>
        <v>419.2</v>
      </c>
      <c r="R550">
        <f t="shared" si="52"/>
        <v>419.3</v>
      </c>
      <c r="S550">
        <f t="shared" si="53"/>
        <v>0</v>
      </c>
    </row>
    <row r="551" spans="1:19" x14ac:dyDescent="0.25">
      <c r="A551" s="2">
        <v>44876</v>
      </c>
      <c r="B551" s="3">
        <v>315</v>
      </c>
      <c r="C551" s="3">
        <v>1900</v>
      </c>
      <c r="D551">
        <v>419.21480000000003</v>
      </c>
      <c r="E551">
        <v>4.5999999999999999E-2</v>
      </c>
      <c r="F551">
        <v>413.16789999999997</v>
      </c>
      <c r="G551">
        <v>420.70119999999997</v>
      </c>
      <c r="H551">
        <v>423.77519999999998</v>
      </c>
      <c r="I551">
        <v>4.9000000000000002E-2</v>
      </c>
      <c r="J551">
        <v>4.9000000000000002E-2</v>
      </c>
      <c r="K551">
        <v>3.7999999999999999E-2</v>
      </c>
      <c r="L551">
        <v>2233.1999999999998</v>
      </c>
      <c r="M551">
        <v>2240.1999999999998</v>
      </c>
      <c r="N551">
        <v>2257</v>
      </c>
      <c r="Q551">
        <f t="shared" si="51"/>
        <v>419.2</v>
      </c>
      <c r="R551">
        <f t="shared" si="52"/>
        <v>419.3</v>
      </c>
      <c r="S551">
        <f t="shared" si="53"/>
        <v>0</v>
      </c>
    </row>
    <row r="552" spans="1:19" x14ac:dyDescent="0.25">
      <c r="A552" s="2">
        <v>44876</v>
      </c>
      <c r="B552" s="3">
        <v>315</v>
      </c>
      <c r="C552" s="3">
        <v>2000</v>
      </c>
      <c r="D552">
        <v>419.21530000000001</v>
      </c>
      <c r="E552">
        <v>4.4999999999999998E-2</v>
      </c>
      <c r="F552">
        <v>413.1696</v>
      </c>
      <c r="G552">
        <v>420.70650000000001</v>
      </c>
      <c r="H552">
        <v>423.77</v>
      </c>
      <c r="I552">
        <v>4.9000000000000002E-2</v>
      </c>
      <c r="J552">
        <v>0.05</v>
      </c>
      <c r="K552">
        <v>3.3000000000000002E-2</v>
      </c>
      <c r="L552">
        <v>2233.1999999999998</v>
      </c>
      <c r="M552">
        <v>2240.1999999999998</v>
      </c>
      <c r="N552">
        <v>2257</v>
      </c>
      <c r="Q552">
        <f t="shared" si="51"/>
        <v>419.2</v>
      </c>
      <c r="R552">
        <f t="shared" si="52"/>
        <v>419.3</v>
      </c>
      <c r="S552">
        <f t="shared" si="53"/>
        <v>0</v>
      </c>
    </row>
    <row r="553" spans="1:19" x14ac:dyDescent="0.25">
      <c r="A553" s="2">
        <v>44876</v>
      </c>
      <c r="B553" s="3">
        <v>315</v>
      </c>
      <c r="C553" s="3">
        <v>2100</v>
      </c>
      <c r="D553">
        <v>419.25049999999999</v>
      </c>
      <c r="E553">
        <v>2.9000000000000001E-2</v>
      </c>
      <c r="F553">
        <v>413.21859999999998</v>
      </c>
      <c r="G553">
        <v>420.7647</v>
      </c>
      <c r="H553">
        <v>423.76819999999998</v>
      </c>
      <c r="I553">
        <v>3.1E-2</v>
      </c>
      <c r="J553">
        <v>2.3E-2</v>
      </c>
      <c r="K553">
        <v>3.1E-2</v>
      </c>
      <c r="L553">
        <v>2233.1999999999998</v>
      </c>
      <c r="M553">
        <v>2240.4</v>
      </c>
      <c r="N553">
        <v>2257</v>
      </c>
      <c r="Q553">
        <f t="shared" si="51"/>
        <v>419.3</v>
      </c>
      <c r="R553">
        <f t="shared" si="52"/>
        <v>419.3</v>
      </c>
      <c r="S553">
        <f t="shared" si="53"/>
        <v>0</v>
      </c>
    </row>
    <row r="554" spans="1:19" x14ac:dyDescent="0.25">
      <c r="A554" s="2">
        <v>44876</v>
      </c>
      <c r="B554" s="3">
        <v>315</v>
      </c>
      <c r="C554" s="3">
        <v>2200</v>
      </c>
      <c r="D554">
        <v>419.22230000000002</v>
      </c>
      <c r="E554">
        <v>3.9E-2</v>
      </c>
      <c r="F554">
        <v>413.19940000000003</v>
      </c>
      <c r="G554">
        <v>420.7312</v>
      </c>
      <c r="H554">
        <v>423.7364</v>
      </c>
      <c r="I554">
        <v>2.8000000000000001E-2</v>
      </c>
      <c r="J554">
        <v>4.7E-2</v>
      </c>
      <c r="K554">
        <v>4.1000000000000002E-2</v>
      </c>
      <c r="L554">
        <v>2233.1999999999998</v>
      </c>
      <c r="M554">
        <v>2240.4</v>
      </c>
      <c r="N554">
        <v>2257</v>
      </c>
      <c r="Q554">
        <f t="shared" si="51"/>
        <v>419.2</v>
      </c>
      <c r="R554">
        <f t="shared" si="52"/>
        <v>419.3</v>
      </c>
      <c r="S554">
        <f t="shared" si="53"/>
        <v>0</v>
      </c>
    </row>
    <row r="555" spans="1:19" x14ac:dyDescent="0.25">
      <c r="A555" s="2">
        <v>44876</v>
      </c>
      <c r="B555" s="3">
        <v>315</v>
      </c>
      <c r="C555" s="3">
        <v>2300</v>
      </c>
      <c r="D555">
        <v>419.1952</v>
      </c>
      <c r="E555">
        <v>4.2999999999999997E-2</v>
      </c>
      <c r="F555">
        <v>413.19589999999999</v>
      </c>
      <c r="G555">
        <v>420.69240000000002</v>
      </c>
      <c r="H555">
        <v>423.69740000000002</v>
      </c>
      <c r="I555">
        <v>3.3000000000000002E-2</v>
      </c>
      <c r="J555">
        <v>4.5999999999999999E-2</v>
      </c>
      <c r="K555">
        <v>4.9000000000000002E-2</v>
      </c>
      <c r="L555">
        <v>2233.1999999999998</v>
      </c>
      <c r="M555">
        <v>2240.4</v>
      </c>
      <c r="N555">
        <v>2257</v>
      </c>
      <c r="Q555">
        <f t="shared" si="51"/>
        <v>419.2</v>
      </c>
      <c r="R555">
        <f t="shared" si="52"/>
        <v>419.3</v>
      </c>
      <c r="S555">
        <f t="shared" si="53"/>
        <v>0</v>
      </c>
    </row>
    <row r="556" spans="1:19" x14ac:dyDescent="0.25">
      <c r="A556" s="2">
        <v>44876</v>
      </c>
      <c r="B556" s="3">
        <v>315</v>
      </c>
      <c r="C556" s="3">
        <v>2400</v>
      </c>
      <c r="D556">
        <v>419.1782</v>
      </c>
      <c r="E556">
        <v>3.9E-2</v>
      </c>
      <c r="F556">
        <v>413.19240000000002</v>
      </c>
      <c r="G556">
        <v>420.66239999999999</v>
      </c>
      <c r="H556">
        <v>423.6798</v>
      </c>
      <c r="I556">
        <v>4.1000000000000002E-2</v>
      </c>
      <c r="J556">
        <v>3.3000000000000002E-2</v>
      </c>
      <c r="K556">
        <v>4.2000000000000003E-2</v>
      </c>
      <c r="L556">
        <v>2233.1999999999998</v>
      </c>
      <c r="M556">
        <v>2240.1999999999998</v>
      </c>
      <c r="N556">
        <v>2256.8000000000002</v>
      </c>
      <c r="Q556">
        <f t="shared" si="51"/>
        <v>419.2</v>
      </c>
      <c r="R556">
        <f t="shared" si="52"/>
        <v>419.3</v>
      </c>
      <c r="S556">
        <f t="shared" si="53"/>
        <v>0</v>
      </c>
    </row>
    <row r="557" spans="1:19" x14ac:dyDescent="0.25">
      <c r="A557" s="2">
        <v>44877</v>
      </c>
      <c r="B557" s="3">
        <v>316</v>
      </c>
      <c r="C557" s="3">
        <v>100</v>
      </c>
      <c r="D557">
        <v>419.1191</v>
      </c>
      <c r="E557">
        <v>4.8000000000000001E-2</v>
      </c>
      <c r="F557">
        <v>413.07159999999999</v>
      </c>
      <c r="G557">
        <v>420.59359999999998</v>
      </c>
      <c r="H557">
        <v>423.69220000000001</v>
      </c>
      <c r="I557">
        <v>4.8000000000000001E-2</v>
      </c>
      <c r="J557">
        <v>4.7E-2</v>
      </c>
      <c r="K557">
        <v>4.8000000000000001E-2</v>
      </c>
      <c r="L557">
        <v>2233</v>
      </c>
      <c r="M557">
        <v>2240</v>
      </c>
      <c r="N557">
        <v>2256.8000000000002</v>
      </c>
      <c r="Q557">
        <f t="shared" si="51"/>
        <v>419.1</v>
      </c>
      <c r="R557">
        <f t="shared" si="52"/>
        <v>419.3</v>
      </c>
      <c r="S557">
        <f t="shared" si="53"/>
        <v>0</v>
      </c>
    </row>
    <row r="558" spans="1:19" x14ac:dyDescent="0.25">
      <c r="A558" s="2">
        <v>44877</v>
      </c>
      <c r="B558" s="3">
        <v>316</v>
      </c>
      <c r="C558" s="3">
        <v>200</v>
      </c>
      <c r="D558">
        <v>419.14080000000001</v>
      </c>
      <c r="E558">
        <v>4.4999999999999998E-2</v>
      </c>
      <c r="F558">
        <v>413.10140000000001</v>
      </c>
      <c r="G558">
        <v>420.613</v>
      </c>
      <c r="H558">
        <v>423.7081</v>
      </c>
      <c r="I558">
        <v>3.2000000000000001E-2</v>
      </c>
      <c r="J558">
        <v>0.05</v>
      </c>
      <c r="K558">
        <v>0.05</v>
      </c>
      <c r="L558">
        <v>2233</v>
      </c>
      <c r="M558">
        <v>2240</v>
      </c>
      <c r="N558">
        <v>2256.8000000000002</v>
      </c>
      <c r="Q558">
        <f t="shared" si="51"/>
        <v>419.1</v>
      </c>
      <c r="R558">
        <f t="shared" si="52"/>
        <v>419.3</v>
      </c>
      <c r="S558">
        <f t="shared" si="53"/>
        <v>0</v>
      </c>
    </row>
    <row r="559" spans="1:19" x14ac:dyDescent="0.25">
      <c r="A559" s="2">
        <v>44877</v>
      </c>
      <c r="B559" s="3">
        <v>316</v>
      </c>
      <c r="C559" s="3">
        <v>300</v>
      </c>
      <c r="D559">
        <v>419.07639999999998</v>
      </c>
      <c r="E559">
        <v>4.2999999999999997E-2</v>
      </c>
      <c r="F559">
        <v>413.00689999999997</v>
      </c>
      <c r="G559">
        <v>420.49829999999997</v>
      </c>
      <c r="H559">
        <v>423.72399999999999</v>
      </c>
      <c r="I559">
        <v>2.9000000000000001E-2</v>
      </c>
      <c r="J559">
        <v>4.9000000000000002E-2</v>
      </c>
      <c r="K559">
        <v>4.8000000000000001E-2</v>
      </c>
      <c r="L559">
        <v>2232.6</v>
      </c>
      <c r="M559">
        <v>2239.8000000000002</v>
      </c>
      <c r="N559">
        <v>2257</v>
      </c>
      <c r="Q559">
        <f t="shared" si="51"/>
        <v>419.1</v>
      </c>
      <c r="R559">
        <f t="shared" si="52"/>
        <v>419.3</v>
      </c>
      <c r="S559">
        <f t="shared" si="53"/>
        <v>0</v>
      </c>
    </row>
    <row r="560" spans="1:19" x14ac:dyDescent="0.25">
      <c r="A560" s="2">
        <v>44877</v>
      </c>
      <c r="B560" s="3">
        <v>316</v>
      </c>
      <c r="C560" s="3">
        <v>400</v>
      </c>
      <c r="D560">
        <v>419.17129999999997</v>
      </c>
      <c r="E560">
        <v>3.7999999999999999E-2</v>
      </c>
      <c r="F560">
        <v>413.12759999999997</v>
      </c>
      <c r="G560">
        <v>420.64120000000003</v>
      </c>
      <c r="H560">
        <v>423.74520000000001</v>
      </c>
      <c r="I560">
        <v>3.9E-2</v>
      </c>
      <c r="J560">
        <v>4.1000000000000002E-2</v>
      </c>
      <c r="K560">
        <v>3.3000000000000002E-2</v>
      </c>
      <c r="L560">
        <v>2233</v>
      </c>
      <c r="M560">
        <v>2240.1999999999998</v>
      </c>
      <c r="N560">
        <v>2257</v>
      </c>
      <c r="Q560">
        <f t="shared" si="51"/>
        <v>419.2</v>
      </c>
      <c r="R560">
        <f t="shared" si="52"/>
        <v>419.3</v>
      </c>
      <c r="S560">
        <f t="shared" si="53"/>
        <v>0</v>
      </c>
    </row>
    <row r="561" spans="1:19" x14ac:dyDescent="0.25">
      <c r="A561" s="2">
        <v>44877</v>
      </c>
      <c r="B561" s="3">
        <v>316</v>
      </c>
      <c r="C561" s="3">
        <v>500</v>
      </c>
      <c r="D561">
        <v>419.16550000000001</v>
      </c>
      <c r="E561">
        <v>3.1E-2</v>
      </c>
      <c r="F561">
        <v>413.09789999999998</v>
      </c>
      <c r="G561">
        <v>420.6465</v>
      </c>
      <c r="H561">
        <v>423.75229999999999</v>
      </c>
      <c r="I561">
        <v>3.1E-2</v>
      </c>
      <c r="J561">
        <v>3.6999999999999998E-2</v>
      </c>
      <c r="K561">
        <v>2.3E-2</v>
      </c>
      <c r="L561">
        <v>2232.8000000000002</v>
      </c>
      <c r="M561">
        <v>2240.1999999999998</v>
      </c>
      <c r="N561">
        <v>2256.8000000000002</v>
      </c>
      <c r="Q561">
        <f t="shared" si="51"/>
        <v>419.2</v>
      </c>
      <c r="R561">
        <f t="shared" si="52"/>
        <v>419.3</v>
      </c>
      <c r="S561">
        <f t="shared" si="53"/>
        <v>0</v>
      </c>
    </row>
    <row r="562" spans="1:19" x14ac:dyDescent="0.25">
      <c r="A562" s="2">
        <v>44877</v>
      </c>
      <c r="B562" s="3">
        <v>316</v>
      </c>
      <c r="C562" s="3">
        <v>600</v>
      </c>
      <c r="D562">
        <v>419.14920000000001</v>
      </c>
      <c r="E562">
        <v>4.2999999999999997E-2</v>
      </c>
      <c r="F562">
        <v>413.05939999999998</v>
      </c>
      <c r="G562">
        <v>420.62360000000001</v>
      </c>
      <c r="H562">
        <v>423.76459999999997</v>
      </c>
      <c r="I562">
        <v>0.05</v>
      </c>
      <c r="J562">
        <v>4.9000000000000002E-2</v>
      </c>
      <c r="K562">
        <v>2.5999999999999999E-2</v>
      </c>
      <c r="L562">
        <v>2232.8000000000002</v>
      </c>
      <c r="M562">
        <v>2240.1999999999998</v>
      </c>
      <c r="N562">
        <v>2257</v>
      </c>
      <c r="Q562">
        <f t="shared" si="51"/>
        <v>419.1</v>
      </c>
      <c r="R562">
        <f t="shared" si="52"/>
        <v>419.3</v>
      </c>
      <c r="S562">
        <f t="shared" si="53"/>
        <v>0</v>
      </c>
    </row>
    <row r="563" spans="1:19" x14ac:dyDescent="0.25">
      <c r="A563" s="2">
        <v>44877</v>
      </c>
      <c r="B563" s="3">
        <v>316</v>
      </c>
      <c r="C563" s="3">
        <v>700</v>
      </c>
      <c r="D563">
        <v>419.1463</v>
      </c>
      <c r="E563">
        <v>4.3999999999999997E-2</v>
      </c>
      <c r="F563">
        <v>413.05059999999997</v>
      </c>
      <c r="G563">
        <v>420.62</v>
      </c>
      <c r="H563">
        <v>423.76819999999998</v>
      </c>
      <c r="I563">
        <v>4.9000000000000002E-2</v>
      </c>
      <c r="J563">
        <v>0.05</v>
      </c>
      <c r="K563">
        <v>3.1E-2</v>
      </c>
      <c r="L563">
        <v>2233</v>
      </c>
      <c r="M563">
        <v>2240</v>
      </c>
      <c r="N563">
        <v>2257</v>
      </c>
      <c r="Q563">
        <f t="shared" si="51"/>
        <v>419.1</v>
      </c>
      <c r="R563">
        <f t="shared" si="52"/>
        <v>419.3</v>
      </c>
      <c r="S563">
        <f t="shared" si="53"/>
        <v>0</v>
      </c>
    </row>
    <row r="564" spans="1:19" x14ac:dyDescent="0.25">
      <c r="A564" s="2">
        <v>44877</v>
      </c>
      <c r="B564" s="3">
        <v>316</v>
      </c>
      <c r="C564" s="3">
        <v>800</v>
      </c>
      <c r="D564">
        <v>419.18439999999998</v>
      </c>
      <c r="E564">
        <v>4.1000000000000002E-2</v>
      </c>
      <c r="F564">
        <v>413.0856</v>
      </c>
      <c r="G564">
        <v>420.71530000000001</v>
      </c>
      <c r="H564">
        <v>423.75229999999999</v>
      </c>
      <c r="I564">
        <v>4.2000000000000003E-2</v>
      </c>
      <c r="J564">
        <v>0.05</v>
      </c>
      <c r="K564">
        <v>2.9000000000000001E-2</v>
      </c>
      <c r="L564">
        <v>2233</v>
      </c>
      <c r="M564">
        <v>2240.1999999999998</v>
      </c>
      <c r="N564">
        <v>2257</v>
      </c>
      <c r="Q564">
        <f t="shared" si="51"/>
        <v>419.2</v>
      </c>
      <c r="R564">
        <f t="shared" si="52"/>
        <v>419.3</v>
      </c>
      <c r="S564">
        <f t="shared" si="53"/>
        <v>0</v>
      </c>
    </row>
    <row r="565" spans="1:19" x14ac:dyDescent="0.25">
      <c r="A565" s="2">
        <v>44877</v>
      </c>
      <c r="B565" s="3">
        <v>316</v>
      </c>
      <c r="C565" s="3">
        <v>900</v>
      </c>
      <c r="D565">
        <v>419.1046</v>
      </c>
      <c r="E565">
        <v>4.7E-2</v>
      </c>
      <c r="F565">
        <v>413.18009999999998</v>
      </c>
      <c r="G565">
        <v>420.60939999999999</v>
      </c>
      <c r="H565">
        <v>423.52420000000001</v>
      </c>
      <c r="I565">
        <v>4.4999999999999998E-2</v>
      </c>
      <c r="J565">
        <v>0.05</v>
      </c>
      <c r="K565">
        <v>4.7E-2</v>
      </c>
      <c r="L565">
        <v>2233.1999999999998</v>
      </c>
      <c r="M565">
        <v>2240</v>
      </c>
      <c r="N565">
        <v>2256.6</v>
      </c>
      <c r="Q565">
        <f t="shared" si="51"/>
        <v>419.1</v>
      </c>
      <c r="R565">
        <f t="shared" si="52"/>
        <v>419.3</v>
      </c>
      <c r="S565">
        <f t="shared" si="53"/>
        <v>0</v>
      </c>
    </row>
    <row r="566" spans="1:19" x14ac:dyDescent="0.25">
      <c r="A566" s="2">
        <v>44877</v>
      </c>
      <c r="B566" s="3">
        <v>316</v>
      </c>
      <c r="C566" s="3">
        <v>1000</v>
      </c>
      <c r="D566">
        <v>419.0369</v>
      </c>
      <c r="E566">
        <v>4.5999999999999999E-2</v>
      </c>
      <c r="F566">
        <v>413.1626</v>
      </c>
      <c r="G566">
        <v>420.54419999999999</v>
      </c>
      <c r="H566">
        <v>423.404</v>
      </c>
      <c r="I566">
        <v>0.05</v>
      </c>
      <c r="J566">
        <v>3.7999999999999999E-2</v>
      </c>
      <c r="K566">
        <v>0.05</v>
      </c>
      <c r="L566">
        <v>2233</v>
      </c>
      <c r="M566">
        <v>2240</v>
      </c>
      <c r="N566">
        <v>2256.4</v>
      </c>
      <c r="Q566">
        <f t="shared" si="51"/>
        <v>419</v>
      </c>
      <c r="R566">
        <f t="shared" si="52"/>
        <v>419.3</v>
      </c>
      <c r="S566">
        <f t="shared" si="53"/>
        <v>0</v>
      </c>
    </row>
    <row r="567" spans="1:19" x14ac:dyDescent="0.25">
      <c r="A567" s="2">
        <v>44877</v>
      </c>
      <c r="B567" s="3">
        <v>316</v>
      </c>
      <c r="C567" s="3">
        <v>1100</v>
      </c>
      <c r="D567">
        <v>418.9742</v>
      </c>
      <c r="E567">
        <v>3.6999999999999998E-2</v>
      </c>
      <c r="F567">
        <v>413.08210000000003</v>
      </c>
      <c r="G567">
        <v>420.47179999999997</v>
      </c>
      <c r="H567">
        <v>423.36860000000001</v>
      </c>
      <c r="I567">
        <v>4.3999999999999997E-2</v>
      </c>
      <c r="J567">
        <v>3.1E-2</v>
      </c>
      <c r="K567">
        <v>3.5000000000000003E-2</v>
      </c>
      <c r="L567">
        <v>2233</v>
      </c>
      <c r="M567">
        <v>2239.8000000000002</v>
      </c>
      <c r="N567">
        <v>2256.1999999999998</v>
      </c>
      <c r="Q567">
        <f t="shared" si="51"/>
        <v>419</v>
      </c>
      <c r="R567">
        <f t="shared" si="52"/>
        <v>419.3</v>
      </c>
      <c r="S567">
        <f t="shared" si="53"/>
        <v>0</v>
      </c>
    </row>
    <row r="568" spans="1:19" x14ac:dyDescent="0.25">
      <c r="A568" s="2">
        <v>44877</v>
      </c>
      <c r="B568" s="3">
        <v>316</v>
      </c>
      <c r="C568" s="3">
        <v>1200</v>
      </c>
      <c r="D568">
        <v>418.90069999999997</v>
      </c>
      <c r="E568">
        <v>4.2000000000000003E-2</v>
      </c>
      <c r="F568">
        <v>413.0489</v>
      </c>
      <c r="G568">
        <v>420.36779999999999</v>
      </c>
      <c r="H568">
        <v>423.28559999999999</v>
      </c>
      <c r="I568">
        <v>4.9000000000000002E-2</v>
      </c>
      <c r="J568">
        <v>2.5999999999999999E-2</v>
      </c>
      <c r="K568">
        <v>4.7E-2</v>
      </c>
      <c r="L568">
        <v>2232.8000000000002</v>
      </c>
      <c r="M568">
        <v>2239.8000000000002</v>
      </c>
      <c r="N568">
        <v>2256</v>
      </c>
      <c r="Q568">
        <f t="shared" si="51"/>
        <v>418.9</v>
      </c>
      <c r="R568">
        <f t="shared" si="52"/>
        <v>419.3</v>
      </c>
      <c r="S568">
        <f t="shared" si="53"/>
        <v>0</v>
      </c>
    </row>
    <row r="569" spans="1:19" x14ac:dyDescent="0.25">
      <c r="A569" s="2">
        <v>44877</v>
      </c>
      <c r="B569" s="3">
        <v>316</v>
      </c>
      <c r="C569" s="3">
        <v>1300</v>
      </c>
      <c r="D569">
        <v>418.87639999999999</v>
      </c>
      <c r="E569">
        <v>4.7E-2</v>
      </c>
      <c r="F569">
        <v>412.9194</v>
      </c>
      <c r="G569">
        <v>420.39249999999998</v>
      </c>
      <c r="H569">
        <v>423.31740000000002</v>
      </c>
      <c r="I569">
        <v>4.4999999999999998E-2</v>
      </c>
      <c r="J569">
        <v>4.7E-2</v>
      </c>
      <c r="K569">
        <v>4.9000000000000002E-2</v>
      </c>
      <c r="L569">
        <v>2232.6</v>
      </c>
      <c r="M569">
        <v>2239.6</v>
      </c>
      <c r="N569">
        <v>2256.1999999999998</v>
      </c>
      <c r="Q569">
        <f t="shared" si="51"/>
        <v>418.9</v>
      </c>
      <c r="R569">
        <f t="shared" si="52"/>
        <v>419.3</v>
      </c>
      <c r="S569">
        <f t="shared" si="53"/>
        <v>0</v>
      </c>
    </row>
    <row r="570" spans="1:19" x14ac:dyDescent="0.25">
      <c r="A570" s="2">
        <v>44877</v>
      </c>
      <c r="B570" s="3">
        <v>316</v>
      </c>
      <c r="C570" s="3">
        <v>1400</v>
      </c>
      <c r="D570">
        <v>418.92399999999998</v>
      </c>
      <c r="E570">
        <v>4.2000000000000003E-2</v>
      </c>
      <c r="F570">
        <v>412.95609999999999</v>
      </c>
      <c r="G570">
        <v>420.44529999999997</v>
      </c>
      <c r="H570">
        <v>423.37040000000002</v>
      </c>
      <c r="I570">
        <v>0.05</v>
      </c>
      <c r="J570">
        <v>3.6999999999999998E-2</v>
      </c>
      <c r="K570">
        <v>3.6999999999999998E-2</v>
      </c>
      <c r="L570">
        <v>2232.8000000000002</v>
      </c>
      <c r="M570">
        <v>2239.8000000000002</v>
      </c>
      <c r="N570">
        <v>2256.1999999999998</v>
      </c>
      <c r="Q570">
        <f t="shared" si="51"/>
        <v>418.9</v>
      </c>
      <c r="R570">
        <f t="shared" si="52"/>
        <v>419.3</v>
      </c>
      <c r="S570">
        <f t="shared" si="53"/>
        <v>0</v>
      </c>
    </row>
    <row r="571" spans="1:19" x14ac:dyDescent="0.25">
      <c r="A571" s="2">
        <v>44877</v>
      </c>
      <c r="B571" s="3">
        <v>316</v>
      </c>
      <c r="C571" s="3">
        <v>1500</v>
      </c>
      <c r="D571">
        <v>418.95330000000001</v>
      </c>
      <c r="E571">
        <v>4.7E-2</v>
      </c>
      <c r="F571">
        <v>412.96839999999997</v>
      </c>
      <c r="G571">
        <v>420.48239999999998</v>
      </c>
      <c r="H571">
        <v>423.40929999999997</v>
      </c>
      <c r="I571">
        <v>4.9000000000000002E-2</v>
      </c>
      <c r="J571">
        <v>4.1000000000000002E-2</v>
      </c>
      <c r="K571">
        <v>0.05</v>
      </c>
      <c r="L571">
        <v>2232.6</v>
      </c>
      <c r="M571">
        <v>2239.8000000000002</v>
      </c>
      <c r="N571">
        <v>2256.4</v>
      </c>
      <c r="Q571">
        <f t="shared" si="51"/>
        <v>419</v>
      </c>
      <c r="R571">
        <f t="shared" si="52"/>
        <v>419.3</v>
      </c>
      <c r="S571">
        <f t="shared" si="53"/>
        <v>0</v>
      </c>
    </row>
    <row r="572" spans="1:19" x14ac:dyDescent="0.25">
      <c r="A572" s="2">
        <v>44877</v>
      </c>
      <c r="B572" s="3">
        <v>316</v>
      </c>
      <c r="C572" s="3">
        <v>1600</v>
      </c>
      <c r="D572">
        <v>418.98270000000002</v>
      </c>
      <c r="E572">
        <v>0.04</v>
      </c>
      <c r="F572">
        <v>412.98930000000001</v>
      </c>
      <c r="G572">
        <v>420.51060000000001</v>
      </c>
      <c r="H572">
        <v>423.44810000000001</v>
      </c>
      <c r="I572">
        <v>3.9E-2</v>
      </c>
      <c r="J572">
        <v>0.05</v>
      </c>
      <c r="K572">
        <v>2.5999999999999999E-2</v>
      </c>
      <c r="L572">
        <v>2232.6</v>
      </c>
      <c r="M572">
        <v>2239.8000000000002</v>
      </c>
      <c r="N572">
        <v>2256.1999999999998</v>
      </c>
      <c r="Q572">
        <f t="shared" si="51"/>
        <v>419</v>
      </c>
      <c r="R572">
        <f t="shared" si="52"/>
        <v>419.3</v>
      </c>
      <c r="S572">
        <f t="shared" si="53"/>
        <v>0</v>
      </c>
    </row>
    <row r="573" spans="1:19" x14ac:dyDescent="0.25">
      <c r="A573" s="2">
        <v>44877</v>
      </c>
      <c r="B573" s="3">
        <v>316</v>
      </c>
      <c r="C573" s="3">
        <v>1700</v>
      </c>
      <c r="D573">
        <v>419.0204</v>
      </c>
      <c r="E573">
        <v>4.2000000000000003E-2</v>
      </c>
      <c r="F573">
        <v>413.01029999999997</v>
      </c>
      <c r="G573">
        <v>420.553</v>
      </c>
      <c r="H573">
        <v>423.49770000000001</v>
      </c>
      <c r="I573">
        <v>3.5000000000000003E-2</v>
      </c>
      <c r="J573">
        <v>3.9E-2</v>
      </c>
      <c r="K573">
        <v>0.05</v>
      </c>
      <c r="L573">
        <v>2233</v>
      </c>
      <c r="M573">
        <v>2240</v>
      </c>
      <c r="N573">
        <v>2256.6</v>
      </c>
      <c r="Q573">
        <f t="shared" si="51"/>
        <v>419</v>
      </c>
      <c r="R573">
        <f t="shared" si="52"/>
        <v>419.3</v>
      </c>
      <c r="S573">
        <f t="shared" si="53"/>
        <v>0</v>
      </c>
    </row>
    <row r="574" spans="1:19" x14ac:dyDescent="0.25">
      <c r="A574" s="2">
        <v>44877</v>
      </c>
      <c r="B574" s="3">
        <v>316</v>
      </c>
      <c r="C574" s="3">
        <v>1800</v>
      </c>
      <c r="D574">
        <v>419.06200000000001</v>
      </c>
      <c r="E574">
        <v>4.4999999999999998E-2</v>
      </c>
      <c r="F574">
        <v>413.05939999999998</v>
      </c>
      <c r="G574">
        <v>420.59</v>
      </c>
      <c r="H574">
        <v>423.53660000000002</v>
      </c>
      <c r="I574">
        <v>0.05</v>
      </c>
      <c r="J574">
        <v>4.4999999999999998E-2</v>
      </c>
      <c r="K574">
        <v>0.04</v>
      </c>
      <c r="L574">
        <v>2232.8000000000002</v>
      </c>
      <c r="M574">
        <v>2240</v>
      </c>
      <c r="N574">
        <v>2256.4</v>
      </c>
      <c r="Q574">
        <f t="shared" si="51"/>
        <v>419.1</v>
      </c>
      <c r="R574">
        <f t="shared" si="52"/>
        <v>419.3</v>
      </c>
      <c r="S574">
        <f t="shared" si="53"/>
        <v>0</v>
      </c>
    </row>
    <row r="575" spans="1:19" x14ac:dyDescent="0.25">
      <c r="A575" s="2">
        <v>44877</v>
      </c>
      <c r="B575" s="3">
        <v>316</v>
      </c>
      <c r="C575" s="3">
        <v>1900</v>
      </c>
      <c r="D575">
        <v>419.07380000000001</v>
      </c>
      <c r="E575">
        <v>4.3999999999999997E-2</v>
      </c>
      <c r="F575">
        <v>413.06639999999999</v>
      </c>
      <c r="G575">
        <v>420.60770000000002</v>
      </c>
      <c r="H575">
        <v>423.54719999999998</v>
      </c>
      <c r="I575">
        <v>4.9000000000000002E-2</v>
      </c>
      <c r="J575">
        <v>0.05</v>
      </c>
      <c r="K575">
        <v>2.9000000000000001E-2</v>
      </c>
      <c r="L575">
        <v>2233</v>
      </c>
      <c r="M575">
        <v>2240</v>
      </c>
      <c r="N575">
        <v>2256.4</v>
      </c>
      <c r="Q575">
        <f t="shared" si="51"/>
        <v>419.1</v>
      </c>
      <c r="R575">
        <f t="shared" si="52"/>
        <v>419.3</v>
      </c>
      <c r="S575">
        <f t="shared" si="53"/>
        <v>0</v>
      </c>
    </row>
    <row r="576" spans="1:19" x14ac:dyDescent="0.25">
      <c r="A576" s="2">
        <v>44877</v>
      </c>
      <c r="B576" s="3">
        <v>316</v>
      </c>
      <c r="C576" s="3">
        <v>2000</v>
      </c>
      <c r="D576">
        <v>419.07380000000001</v>
      </c>
      <c r="E576">
        <v>4.2999999999999997E-2</v>
      </c>
      <c r="F576">
        <v>413.06459999999998</v>
      </c>
      <c r="G576">
        <v>420.60419999999999</v>
      </c>
      <c r="H576">
        <v>423.55250000000001</v>
      </c>
      <c r="I576">
        <v>0.05</v>
      </c>
      <c r="J576">
        <v>0.05</v>
      </c>
      <c r="K576">
        <v>2.5999999999999999E-2</v>
      </c>
      <c r="L576">
        <v>2232.8000000000002</v>
      </c>
      <c r="M576">
        <v>2240.1999999999998</v>
      </c>
      <c r="N576">
        <v>2256.6</v>
      </c>
      <c r="Q576">
        <f t="shared" si="51"/>
        <v>419.1</v>
      </c>
      <c r="R576">
        <f t="shared" si="52"/>
        <v>419.3</v>
      </c>
      <c r="S576">
        <f t="shared" si="53"/>
        <v>0</v>
      </c>
    </row>
    <row r="577" spans="1:19" x14ac:dyDescent="0.25">
      <c r="A577" s="2">
        <v>44877</v>
      </c>
      <c r="B577" s="3">
        <v>316</v>
      </c>
      <c r="C577" s="3">
        <v>2100</v>
      </c>
      <c r="D577">
        <v>419.06259999999997</v>
      </c>
      <c r="E577">
        <v>4.2999999999999997E-2</v>
      </c>
      <c r="F577">
        <v>413.05759999999998</v>
      </c>
      <c r="G577">
        <v>420.5883</v>
      </c>
      <c r="H577">
        <v>423.5419</v>
      </c>
      <c r="I577">
        <v>0.05</v>
      </c>
      <c r="J577">
        <v>4.3999999999999997E-2</v>
      </c>
      <c r="K577">
        <v>3.5000000000000003E-2</v>
      </c>
      <c r="L577">
        <v>2232.8000000000002</v>
      </c>
      <c r="M577">
        <v>2240</v>
      </c>
      <c r="N577">
        <v>2256.6</v>
      </c>
      <c r="Q577">
        <f t="shared" si="51"/>
        <v>419.1</v>
      </c>
      <c r="R577">
        <f t="shared" si="52"/>
        <v>419.3</v>
      </c>
      <c r="S577">
        <f t="shared" si="53"/>
        <v>0</v>
      </c>
    </row>
    <row r="578" spans="1:19" x14ac:dyDescent="0.25">
      <c r="A578" s="2">
        <v>44877</v>
      </c>
      <c r="B578" s="3">
        <v>316</v>
      </c>
      <c r="C578" s="3">
        <v>2200</v>
      </c>
      <c r="D578">
        <v>419.06909999999999</v>
      </c>
      <c r="E578">
        <v>4.1000000000000002E-2</v>
      </c>
      <c r="F578">
        <v>413.06110000000001</v>
      </c>
      <c r="G578">
        <v>420.59359999999998</v>
      </c>
      <c r="H578">
        <v>423.55250000000001</v>
      </c>
      <c r="I578">
        <v>0.05</v>
      </c>
      <c r="J578">
        <v>4.7E-2</v>
      </c>
      <c r="K578">
        <v>1.9E-2</v>
      </c>
      <c r="L578">
        <v>2232.8000000000002</v>
      </c>
      <c r="M578">
        <v>2240.1999999999998</v>
      </c>
      <c r="N578">
        <v>2256.6</v>
      </c>
      <c r="Q578">
        <f t="shared" si="51"/>
        <v>419.1</v>
      </c>
      <c r="R578">
        <f t="shared" si="52"/>
        <v>419.3</v>
      </c>
      <c r="S578">
        <f t="shared" si="53"/>
        <v>0</v>
      </c>
    </row>
    <row r="579" spans="1:19" x14ac:dyDescent="0.25">
      <c r="A579" s="2">
        <v>44877</v>
      </c>
      <c r="B579" s="3">
        <v>316</v>
      </c>
      <c r="C579" s="3">
        <v>2300</v>
      </c>
      <c r="D579">
        <v>419.07490000000001</v>
      </c>
      <c r="E579">
        <v>4.2999999999999997E-2</v>
      </c>
      <c r="F579">
        <v>413.06990000000002</v>
      </c>
      <c r="G579">
        <v>420.59179999999998</v>
      </c>
      <c r="H579">
        <v>423.56310000000002</v>
      </c>
      <c r="I579">
        <v>4.9000000000000002E-2</v>
      </c>
      <c r="J579">
        <v>0.05</v>
      </c>
      <c r="K579">
        <v>2.5999999999999999E-2</v>
      </c>
      <c r="L579">
        <v>2233</v>
      </c>
      <c r="M579">
        <v>2240</v>
      </c>
      <c r="N579">
        <v>2256.6</v>
      </c>
      <c r="Q579">
        <f t="shared" si="51"/>
        <v>419.1</v>
      </c>
      <c r="R579">
        <f t="shared" si="52"/>
        <v>419.3</v>
      </c>
      <c r="S579">
        <f t="shared" si="53"/>
        <v>0</v>
      </c>
    </row>
    <row r="580" spans="1:19" x14ac:dyDescent="0.25">
      <c r="A580" s="2">
        <v>44877</v>
      </c>
      <c r="B580" s="3">
        <v>316</v>
      </c>
      <c r="C580" s="3">
        <v>2400</v>
      </c>
      <c r="D580">
        <v>419.06079999999997</v>
      </c>
      <c r="E580">
        <v>0.04</v>
      </c>
      <c r="F580">
        <v>413.06110000000001</v>
      </c>
      <c r="G580">
        <v>420.57420000000002</v>
      </c>
      <c r="H580">
        <v>423.54719999999998</v>
      </c>
      <c r="I580">
        <v>0.05</v>
      </c>
      <c r="J580">
        <v>3.7999999999999999E-2</v>
      </c>
      <c r="K580">
        <v>2.9000000000000001E-2</v>
      </c>
      <c r="L580">
        <v>2232.8000000000002</v>
      </c>
      <c r="M580">
        <v>2240</v>
      </c>
      <c r="N580">
        <v>2256.6</v>
      </c>
      <c r="Q580">
        <f t="shared" si="51"/>
        <v>419.1</v>
      </c>
      <c r="R580">
        <f t="shared" si="52"/>
        <v>419.3</v>
      </c>
      <c r="S580">
        <f t="shared" si="53"/>
        <v>0</v>
      </c>
    </row>
    <row r="581" spans="1:19" x14ac:dyDescent="0.25">
      <c r="A581" s="2">
        <v>44878</v>
      </c>
      <c r="B581" s="3">
        <v>317</v>
      </c>
      <c r="C581" s="3">
        <v>100</v>
      </c>
      <c r="D581">
        <v>419.06790000000001</v>
      </c>
      <c r="E581">
        <v>0.04</v>
      </c>
      <c r="F581">
        <v>413.06290000000001</v>
      </c>
      <c r="G581">
        <v>420.57769999999999</v>
      </c>
      <c r="H581">
        <v>423.56310000000002</v>
      </c>
      <c r="I581">
        <v>0.05</v>
      </c>
      <c r="J581">
        <v>4.1000000000000002E-2</v>
      </c>
      <c r="K581">
        <v>2.5999999999999999E-2</v>
      </c>
      <c r="L581">
        <v>2233</v>
      </c>
      <c r="M581">
        <v>2240</v>
      </c>
      <c r="N581">
        <v>2256.6</v>
      </c>
      <c r="Q581">
        <f t="shared" si="51"/>
        <v>419.1</v>
      </c>
      <c r="R581">
        <f t="shared" si="52"/>
        <v>419.3</v>
      </c>
      <c r="S581">
        <f t="shared" si="53"/>
        <v>0</v>
      </c>
    </row>
    <row r="582" spans="1:19" x14ac:dyDescent="0.25">
      <c r="A582" s="2">
        <v>44878</v>
      </c>
      <c r="B582" s="3">
        <v>317</v>
      </c>
      <c r="C582" s="3">
        <v>200</v>
      </c>
      <c r="D582">
        <v>419.07139999999998</v>
      </c>
      <c r="E582">
        <v>3.9E-2</v>
      </c>
      <c r="F582">
        <v>413.07339999999999</v>
      </c>
      <c r="G582">
        <v>420.57769999999999</v>
      </c>
      <c r="H582">
        <v>423.56310000000002</v>
      </c>
      <c r="I582">
        <v>4.8000000000000001E-2</v>
      </c>
      <c r="J582">
        <v>4.1000000000000002E-2</v>
      </c>
      <c r="K582">
        <v>2.5999999999999999E-2</v>
      </c>
      <c r="L582">
        <v>2233</v>
      </c>
      <c r="M582">
        <v>2240</v>
      </c>
      <c r="N582">
        <v>2256.6</v>
      </c>
      <c r="Q582">
        <f t="shared" si="51"/>
        <v>419.1</v>
      </c>
      <c r="R582">
        <f t="shared" si="52"/>
        <v>419.3</v>
      </c>
      <c r="S582">
        <f t="shared" si="53"/>
        <v>0</v>
      </c>
    </row>
    <row r="583" spans="1:19" x14ac:dyDescent="0.25">
      <c r="A583" s="2">
        <v>44878</v>
      </c>
      <c r="B583" s="3">
        <v>317</v>
      </c>
      <c r="C583" s="3">
        <v>300</v>
      </c>
      <c r="D583">
        <v>419.06200000000001</v>
      </c>
      <c r="E583">
        <v>3.7999999999999999E-2</v>
      </c>
      <c r="F583">
        <v>413.06639999999999</v>
      </c>
      <c r="G583">
        <v>420.56529999999998</v>
      </c>
      <c r="H583">
        <v>423.55430000000001</v>
      </c>
      <c r="I583">
        <v>4.9000000000000002E-2</v>
      </c>
      <c r="J583">
        <v>3.2000000000000001E-2</v>
      </c>
      <c r="K583">
        <v>0.03</v>
      </c>
      <c r="L583">
        <v>2233</v>
      </c>
      <c r="M583">
        <v>2240.1999999999998</v>
      </c>
      <c r="N583">
        <v>2256.6</v>
      </c>
      <c r="Q583">
        <f t="shared" si="51"/>
        <v>419.1</v>
      </c>
      <c r="R583">
        <f t="shared" si="52"/>
        <v>419.3</v>
      </c>
      <c r="S583">
        <f t="shared" si="53"/>
        <v>0</v>
      </c>
    </row>
    <row r="584" spans="1:19" x14ac:dyDescent="0.25">
      <c r="A584" s="2">
        <v>44878</v>
      </c>
      <c r="B584" s="3">
        <v>317</v>
      </c>
      <c r="C584" s="3">
        <v>400</v>
      </c>
      <c r="D584">
        <v>419.06670000000003</v>
      </c>
      <c r="E584">
        <v>3.9E-2</v>
      </c>
      <c r="F584">
        <v>413.06290000000001</v>
      </c>
      <c r="G584">
        <v>420.57589999999999</v>
      </c>
      <c r="H584">
        <v>423.56139999999999</v>
      </c>
      <c r="I584">
        <v>0.05</v>
      </c>
      <c r="J584">
        <v>0.04</v>
      </c>
      <c r="K584">
        <v>2.1999999999999999E-2</v>
      </c>
      <c r="L584">
        <v>2232.8000000000002</v>
      </c>
      <c r="M584">
        <v>2240</v>
      </c>
      <c r="N584">
        <v>2256.6</v>
      </c>
      <c r="Q584">
        <f t="shared" si="51"/>
        <v>419.1</v>
      </c>
      <c r="R584">
        <f t="shared" si="52"/>
        <v>419.3</v>
      </c>
      <c r="S584">
        <f t="shared" si="53"/>
        <v>0</v>
      </c>
    </row>
    <row r="585" spans="1:19" x14ac:dyDescent="0.25">
      <c r="A585" s="2">
        <v>44878</v>
      </c>
      <c r="B585" s="3">
        <v>317</v>
      </c>
      <c r="C585" s="3">
        <v>500</v>
      </c>
      <c r="D585">
        <v>419.08199999999999</v>
      </c>
      <c r="E585">
        <v>4.5999999999999999E-2</v>
      </c>
      <c r="F585">
        <v>413.07159999999999</v>
      </c>
      <c r="G585">
        <v>420.59359999999998</v>
      </c>
      <c r="H585">
        <v>423.58080000000001</v>
      </c>
      <c r="I585">
        <v>4.8000000000000001E-2</v>
      </c>
      <c r="J585">
        <v>4.7E-2</v>
      </c>
      <c r="K585">
        <v>4.2999999999999997E-2</v>
      </c>
      <c r="L585">
        <v>2233</v>
      </c>
      <c r="M585">
        <v>2240.1999999999998</v>
      </c>
      <c r="N585">
        <v>2256.8000000000002</v>
      </c>
      <c r="Q585">
        <f t="shared" si="51"/>
        <v>419.1</v>
      </c>
      <c r="R585">
        <f t="shared" si="52"/>
        <v>419.3</v>
      </c>
      <c r="S585">
        <f t="shared" si="53"/>
        <v>0</v>
      </c>
    </row>
    <row r="586" spans="1:19" x14ac:dyDescent="0.25">
      <c r="A586" s="2">
        <v>44878</v>
      </c>
      <c r="B586" s="3">
        <v>317</v>
      </c>
      <c r="C586" s="3">
        <v>600</v>
      </c>
      <c r="D586">
        <v>419.09609999999998</v>
      </c>
      <c r="E586">
        <v>4.7E-2</v>
      </c>
      <c r="F586">
        <v>413.0856</v>
      </c>
      <c r="G586">
        <v>420.59710000000001</v>
      </c>
      <c r="H586">
        <v>423.60559999999998</v>
      </c>
      <c r="I586">
        <v>4.2000000000000003E-2</v>
      </c>
      <c r="J586">
        <v>4.8000000000000001E-2</v>
      </c>
      <c r="K586">
        <v>0.05</v>
      </c>
      <c r="L586">
        <v>2233</v>
      </c>
      <c r="M586">
        <v>2240</v>
      </c>
      <c r="N586">
        <v>2256.6</v>
      </c>
      <c r="Q586">
        <f t="shared" si="51"/>
        <v>419.1</v>
      </c>
      <c r="R586">
        <f t="shared" si="52"/>
        <v>419.3</v>
      </c>
      <c r="S586">
        <f t="shared" si="53"/>
        <v>0</v>
      </c>
    </row>
    <row r="587" spans="1:19" x14ac:dyDescent="0.25">
      <c r="A587" s="2">
        <v>44878</v>
      </c>
      <c r="B587" s="3">
        <v>317</v>
      </c>
      <c r="C587" s="3">
        <v>700</v>
      </c>
      <c r="D587">
        <v>419.1155</v>
      </c>
      <c r="E587">
        <v>4.2999999999999997E-2</v>
      </c>
      <c r="F587">
        <v>413.10140000000001</v>
      </c>
      <c r="G587">
        <v>420.61470000000003</v>
      </c>
      <c r="H587">
        <v>423.63029999999998</v>
      </c>
      <c r="I587">
        <v>3.2000000000000001E-2</v>
      </c>
      <c r="J587">
        <v>0.05</v>
      </c>
      <c r="K587">
        <v>4.3999999999999997E-2</v>
      </c>
      <c r="L587">
        <v>2233</v>
      </c>
      <c r="M587">
        <v>2240</v>
      </c>
      <c r="N587">
        <v>2256.8000000000002</v>
      </c>
      <c r="Q587">
        <f t="shared" si="51"/>
        <v>419.1</v>
      </c>
      <c r="R587">
        <f t="shared" si="52"/>
        <v>419.3</v>
      </c>
      <c r="S587">
        <f t="shared" si="53"/>
        <v>0</v>
      </c>
    </row>
    <row r="588" spans="1:19" x14ac:dyDescent="0.25">
      <c r="A588" s="2">
        <v>44878</v>
      </c>
      <c r="B588" s="3">
        <v>317</v>
      </c>
      <c r="C588" s="3">
        <v>800</v>
      </c>
      <c r="D588">
        <v>419.12310000000002</v>
      </c>
      <c r="E588">
        <v>0.04</v>
      </c>
      <c r="F588">
        <v>413.11009999999999</v>
      </c>
      <c r="G588">
        <v>420.62</v>
      </c>
      <c r="H588">
        <v>423.63909999999998</v>
      </c>
      <c r="I588">
        <v>2.9000000000000001E-2</v>
      </c>
      <c r="J588">
        <v>0.05</v>
      </c>
      <c r="K588">
        <v>3.7999999999999999E-2</v>
      </c>
      <c r="L588">
        <v>2233</v>
      </c>
      <c r="M588">
        <v>2240.1999999999998</v>
      </c>
      <c r="N588">
        <v>2256.8000000000002</v>
      </c>
      <c r="Q588">
        <f t="shared" si="51"/>
        <v>419.1</v>
      </c>
      <c r="R588">
        <f t="shared" si="52"/>
        <v>419.3</v>
      </c>
      <c r="S588">
        <f t="shared" si="53"/>
        <v>0</v>
      </c>
    </row>
    <row r="589" spans="1:19" x14ac:dyDescent="0.25">
      <c r="A589" s="2">
        <v>44878</v>
      </c>
      <c r="B589" s="3">
        <v>317</v>
      </c>
      <c r="C589" s="3">
        <v>900</v>
      </c>
      <c r="D589">
        <v>419.11349999999999</v>
      </c>
      <c r="E589">
        <v>4.3999999999999997E-2</v>
      </c>
      <c r="F589">
        <v>413.1626</v>
      </c>
      <c r="G589">
        <v>420.62880000000001</v>
      </c>
      <c r="H589">
        <v>423.54899999999998</v>
      </c>
      <c r="I589">
        <v>0.05</v>
      </c>
      <c r="J589">
        <v>4.7E-2</v>
      </c>
      <c r="K589">
        <v>3.2000000000000001E-2</v>
      </c>
      <c r="L589">
        <v>2233.1999999999998</v>
      </c>
      <c r="M589">
        <v>2240.1999999999998</v>
      </c>
      <c r="N589">
        <v>2256.6</v>
      </c>
      <c r="Q589">
        <f t="shared" si="51"/>
        <v>419.1</v>
      </c>
      <c r="R589">
        <f t="shared" si="52"/>
        <v>419.3</v>
      </c>
      <c r="S589">
        <f t="shared" si="53"/>
        <v>0</v>
      </c>
    </row>
    <row r="590" spans="1:19" x14ac:dyDescent="0.25">
      <c r="A590" s="2">
        <v>44878</v>
      </c>
      <c r="B590" s="3">
        <v>317</v>
      </c>
      <c r="C590" s="3">
        <v>1000</v>
      </c>
      <c r="D590">
        <v>419.05470000000003</v>
      </c>
      <c r="E590">
        <v>3.2000000000000001E-2</v>
      </c>
      <c r="F590">
        <v>413.13990000000001</v>
      </c>
      <c r="G590">
        <v>420.56880000000001</v>
      </c>
      <c r="H590">
        <v>423.45519999999999</v>
      </c>
      <c r="I590">
        <v>4.5999999999999999E-2</v>
      </c>
      <c r="J590">
        <v>3.2000000000000001E-2</v>
      </c>
      <c r="K590">
        <v>0</v>
      </c>
      <c r="L590">
        <v>2233</v>
      </c>
      <c r="M590">
        <v>2240</v>
      </c>
      <c r="N590">
        <v>2256.4</v>
      </c>
      <c r="Q590">
        <f t="shared" si="51"/>
        <v>419.1</v>
      </c>
      <c r="R590">
        <f t="shared" si="52"/>
        <v>419.3</v>
      </c>
      <c r="S590">
        <f t="shared" si="53"/>
        <v>0</v>
      </c>
    </row>
    <row r="591" spans="1:19" x14ac:dyDescent="0.25">
      <c r="A591" s="2">
        <v>44878</v>
      </c>
      <c r="B591" s="3">
        <v>317</v>
      </c>
      <c r="C591" s="3">
        <v>1100</v>
      </c>
      <c r="D591">
        <v>419.02530000000002</v>
      </c>
      <c r="E591">
        <v>4.1000000000000002E-2</v>
      </c>
      <c r="F591">
        <v>413.10840000000002</v>
      </c>
      <c r="G591">
        <v>420.51940000000002</v>
      </c>
      <c r="H591">
        <v>423.44810000000001</v>
      </c>
      <c r="I591">
        <v>4.2000000000000003E-2</v>
      </c>
      <c r="J591">
        <v>0.05</v>
      </c>
      <c r="K591">
        <v>2.5999999999999999E-2</v>
      </c>
      <c r="L591">
        <v>2233</v>
      </c>
      <c r="M591">
        <v>2239.8000000000002</v>
      </c>
      <c r="N591">
        <v>2256.4</v>
      </c>
      <c r="Q591">
        <f t="shared" si="51"/>
        <v>419</v>
      </c>
      <c r="R591">
        <f t="shared" si="52"/>
        <v>419.3</v>
      </c>
      <c r="S591">
        <f t="shared" si="53"/>
        <v>0</v>
      </c>
    </row>
    <row r="592" spans="1:19" x14ac:dyDescent="0.25">
      <c r="A592" s="2">
        <v>44878</v>
      </c>
      <c r="B592" s="3">
        <v>317</v>
      </c>
      <c r="C592" s="3">
        <v>1200</v>
      </c>
      <c r="D592">
        <v>418.99059999999997</v>
      </c>
      <c r="E592">
        <v>4.2999999999999997E-2</v>
      </c>
      <c r="F592">
        <v>413.0926</v>
      </c>
      <c r="G592">
        <v>420.45240000000001</v>
      </c>
      <c r="H592">
        <v>423.42689999999999</v>
      </c>
      <c r="I592">
        <v>4.1000000000000002E-2</v>
      </c>
      <c r="J592">
        <v>4.2999999999999997E-2</v>
      </c>
      <c r="K592">
        <v>4.4999999999999998E-2</v>
      </c>
      <c r="L592">
        <v>2233</v>
      </c>
      <c r="M592">
        <v>2239.8000000000002</v>
      </c>
      <c r="N592">
        <v>2256.4</v>
      </c>
      <c r="Q592">
        <f t="shared" si="51"/>
        <v>419</v>
      </c>
      <c r="R592">
        <f t="shared" si="52"/>
        <v>419.3</v>
      </c>
      <c r="S592">
        <f t="shared" si="53"/>
        <v>0</v>
      </c>
    </row>
    <row r="593" spans="1:19" x14ac:dyDescent="0.25">
      <c r="A593" s="2">
        <v>44878</v>
      </c>
      <c r="B593" s="3">
        <v>317</v>
      </c>
      <c r="C593" s="3">
        <v>1300</v>
      </c>
      <c r="D593">
        <v>418.95190000000002</v>
      </c>
      <c r="E593">
        <v>4.5999999999999999E-2</v>
      </c>
      <c r="F593">
        <v>413.07159999999999</v>
      </c>
      <c r="G593">
        <v>420.38189999999997</v>
      </c>
      <c r="H593">
        <v>423.40219999999999</v>
      </c>
      <c r="I593">
        <v>4.8000000000000001E-2</v>
      </c>
      <c r="J593">
        <v>4.1000000000000002E-2</v>
      </c>
      <c r="K593">
        <v>0.05</v>
      </c>
      <c r="L593">
        <v>2233</v>
      </c>
      <c r="M593">
        <v>2239.6</v>
      </c>
      <c r="N593">
        <v>2256.4</v>
      </c>
      <c r="Q593">
        <f t="shared" si="51"/>
        <v>419</v>
      </c>
      <c r="R593">
        <f t="shared" si="52"/>
        <v>419.3</v>
      </c>
      <c r="S593">
        <f t="shared" si="53"/>
        <v>0</v>
      </c>
    </row>
    <row r="594" spans="1:19" x14ac:dyDescent="0.25">
      <c r="A594" s="2">
        <v>44878</v>
      </c>
      <c r="B594" s="3">
        <v>317</v>
      </c>
      <c r="C594" s="3">
        <v>1400</v>
      </c>
      <c r="D594">
        <v>418.92540000000002</v>
      </c>
      <c r="E594">
        <v>4.7E-2</v>
      </c>
      <c r="F594">
        <v>413.05059999999997</v>
      </c>
      <c r="G594">
        <v>420.33949999999999</v>
      </c>
      <c r="H594">
        <v>423.38630000000001</v>
      </c>
      <c r="I594">
        <v>5.2999999999999999E-2</v>
      </c>
      <c r="J594">
        <v>4.1000000000000002E-2</v>
      </c>
      <c r="K594">
        <v>4.7E-2</v>
      </c>
      <c r="L594">
        <v>2232.8000000000002</v>
      </c>
      <c r="M594">
        <v>2239.6</v>
      </c>
      <c r="N594">
        <v>2256.1999999999998</v>
      </c>
      <c r="Q594">
        <f t="shared" si="51"/>
        <v>418.9</v>
      </c>
      <c r="R594">
        <f t="shared" si="52"/>
        <v>419.3</v>
      </c>
      <c r="S594">
        <f t="shared" si="53"/>
        <v>0</v>
      </c>
    </row>
    <row r="595" spans="1:19" x14ac:dyDescent="0.25">
      <c r="A595" s="2">
        <v>44878</v>
      </c>
      <c r="B595" s="3">
        <v>317</v>
      </c>
      <c r="C595" s="3">
        <v>1500</v>
      </c>
      <c r="D595">
        <v>418.92430000000002</v>
      </c>
      <c r="E595">
        <v>4.4999999999999998E-2</v>
      </c>
      <c r="F595">
        <v>413.02960000000002</v>
      </c>
      <c r="G595">
        <v>420.33769999999998</v>
      </c>
      <c r="H595">
        <v>423.40570000000002</v>
      </c>
      <c r="I595">
        <v>4.1000000000000002E-2</v>
      </c>
      <c r="J595">
        <v>4.2000000000000003E-2</v>
      </c>
      <c r="K595">
        <v>0.05</v>
      </c>
      <c r="L595">
        <v>2232.8000000000002</v>
      </c>
      <c r="M595">
        <v>2239.6</v>
      </c>
      <c r="N595">
        <v>2256.4</v>
      </c>
      <c r="Q595">
        <f t="shared" ref="Q595:Q658" si="54">ROUND(D595,1)</f>
        <v>418.9</v>
      </c>
      <c r="R595">
        <f t="shared" si="52"/>
        <v>419.3</v>
      </c>
      <c r="S595">
        <f t="shared" si="53"/>
        <v>0</v>
      </c>
    </row>
    <row r="596" spans="1:19" x14ac:dyDescent="0.25">
      <c r="A596" s="2">
        <v>44878</v>
      </c>
      <c r="B596" s="3">
        <v>317</v>
      </c>
      <c r="C596" s="3">
        <v>1600</v>
      </c>
      <c r="D596">
        <v>418.95030000000003</v>
      </c>
      <c r="E596">
        <v>0.04</v>
      </c>
      <c r="F596">
        <v>413.00689999999997</v>
      </c>
      <c r="G596">
        <v>420.40120000000002</v>
      </c>
      <c r="H596">
        <v>423.44279999999998</v>
      </c>
      <c r="I596">
        <v>3.5000000000000003E-2</v>
      </c>
      <c r="J596">
        <v>4.9000000000000002E-2</v>
      </c>
      <c r="K596">
        <v>3.3000000000000002E-2</v>
      </c>
      <c r="L596">
        <v>2232.8000000000002</v>
      </c>
      <c r="M596">
        <v>2239.6</v>
      </c>
      <c r="N596">
        <v>2256.4</v>
      </c>
      <c r="Q596">
        <f t="shared" si="54"/>
        <v>419</v>
      </c>
      <c r="R596">
        <f t="shared" si="52"/>
        <v>419.3</v>
      </c>
      <c r="S596">
        <f t="shared" si="53"/>
        <v>0</v>
      </c>
    </row>
    <row r="597" spans="1:19" x14ac:dyDescent="0.25">
      <c r="A597" s="2">
        <v>44878</v>
      </c>
      <c r="B597" s="3">
        <v>317</v>
      </c>
      <c r="C597" s="3">
        <v>1700</v>
      </c>
      <c r="D597">
        <v>419.01150000000001</v>
      </c>
      <c r="E597">
        <v>4.5999999999999999E-2</v>
      </c>
      <c r="F597">
        <v>413.02260000000001</v>
      </c>
      <c r="G597">
        <v>420.51060000000001</v>
      </c>
      <c r="H597">
        <v>423.50119999999998</v>
      </c>
      <c r="I597">
        <v>3.5000000000000003E-2</v>
      </c>
      <c r="J597">
        <v>0.05</v>
      </c>
      <c r="K597">
        <v>0.05</v>
      </c>
      <c r="L597">
        <v>2232.8000000000002</v>
      </c>
      <c r="M597">
        <v>2239.8000000000002</v>
      </c>
      <c r="N597">
        <v>2256.6</v>
      </c>
      <c r="Q597">
        <f t="shared" si="54"/>
        <v>419</v>
      </c>
      <c r="R597">
        <f t="shared" si="52"/>
        <v>419.3</v>
      </c>
      <c r="S597">
        <f t="shared" si="53"/>
        <v>0</v>
      </c>
    </row>
    <row r="598" spans="1:19" x14ac:dyDescent="0.25">
      <c r="A598" s="2">
        <v>44878</v>
      </c>
      <c r="B598" s="3">
        <v>317</v>
      </c>
      <c r="C598" s="3">
        <v>1800</v>
      </c>
      <c r="D598">
        <v>419.03379999999999</v>
      </c>
      <c r="E598">
        <v>4.4999999999999998E-2</v>
      </c>
      <c r="F598">
        <v>413.0401</v>
      </c>
      <c r="G598">
        <v>420.5283</v>
      </c>
      <c r="H598">
        <v>423.53309999999999</v>
      </c>
      <c r="I598">
        <v>4.5999999999999999E-2</v>
      </c>
      <c r="J598">
        <v>4.7E-2</v>
      </c>
      <c r="K598">
        <v>4.2000000000000003E-2</v>
      </c>
      <c r="L598">
        <v>2233</v>
      </c>
      <c r="M598">
        <v>2240</v>
      </c>
      <c r="N598">
        <v>2256.4</v>
      </c>
      <c r="Q598">
        <f t="shared" si="54"/>
        <v>419</v>
      </c>
      <c r="R598">
        <f t="shared" si="52"/>
        <v>419.3</v>
      </c>
      <c r="S598">
        <f t="shared" si="53"/>
        <v>0</v>
      </c>
    </row>
    <row r="599" spans="1:19" x14ac:dyDescent="0.25">
      <c r="A599" s="2">
        <v>44878</v>
      </c>
      <c r="B599" s="3">
        <v>317</v>
      </c>
      <c r="C599" s="3">
        <v>1900</v>
      </c>
      <c r="D599">
        <v>419.04849999999999</v>
      </c>
      <c r="E599">
        <v>3.9E-2</v>
      </c>
      <c r="F599">
        <v>413.05059999999997</v>
      </c>
      <c r="G599">
        <v>420.54939999999999</v>
      </c>
      <c r="H599">
        <v>423.54539999999997</v>
      </c>
      <c r="I599">
        <v>4.9000000000000002E-2</v>
      </c>
      <c r="J599">
        <v>3.3000000000000002E-2</v>
      </c>
      <c r="K599">
        <v>3.1E-2</v>
      </c>
      <c r="L599">
        <v>2233</v>
      </c>
      <c r="M599">
        <v>2240</v>
      </c>
      <c r="N599">
        <v>2256.6</v>
      </c>
      <c r="Q599">
        <f t="shared" si="54"/>
        <v>419</v>
      </c>
      <c r="R599">
        <f t="shared" si="52"/>
        <v>419.3</v>
      </c>
      <c r="S599">
        <f t="shared" si="53"/>
        <v>0</v>
      </c>
    </row>
    <row r="600" spans="1:19" x14ac:dyDescent="0.25">
      <c r="A600" s="2">
        <v>44878</v>
      </c>
      <c r="B600" s="3">
        <v>317</v>
      </c>
      <c r="C600" s="3">
        <v>2000</v>
      </c>
      <c r="D600">
        <v>419.0514</v>
      </c>
      <c r="E600">
        <v>3.7999999999999999E-2</v>
      </c>
      <c r="F600">
        <v>413.05239999999998</v>
      </c>
      <c r="G600">
        <v>420.55119999999999</v>
      </c>
      <c r="H600">
        <v>423.55079999999998</v>
      </c>
      <c r="I600">
        <v>0.05</v>
      </c>
      <c r="J600">
        <v>3.5999999999999997E-2</v>
      </c>
      <c r="K600">
        <v>2.3E-2</v>
      </c>
      <c r="L600">
        <v>2233</v>
      </c>
      <c r="M600">
        <v>2239.8000000000002</v>
      </c>
      <c r="N600">
        <v>2256.6</v>
      </c>
      <c r="Q600">
        <f t="shared" si="54"/>
        <v>419.1</v>
      </c>
      <c r="R600">
        <f t="shared" si="52"/>
        <v>419.3</v>
      </c>
      <c r="S600">
        <f t="shared" si="53"/>
        <v>0</v>
      </c>
    </row>
    <row r="601" spans="1:19" x14ac:dyDescent="0.25">
      <c r="A601" s="2">
        <v>44878</v>
      </c>
      <c r="B601" s="3">
        <v>317</v>
      </c>
      <c r="C601" s="3">
        <v>2100</v>
      </c>
      <c r="D601">
        <v>419.04149999999998</v>
      </c>
      <c r="E601">
        <v>4.1000000000000002E-2</v>
      </c>
      <c r="F601">
        <v>413.0401</v>
      </c>
      <c r="G601">
        <v>420.54239999999999</v>
      </c>
      <c r="H601">
        <v>423.5419</v>
      </c>
      <c r="I601">
        <v>4.5999999999999999E-2</v>
      </c>
      <c r="J601">
        <v>0.04</v>
      </c>
      <c r="K601">
        <v>3.5000000000000003E-2</v>
      </c>
      <c r="L601">
        <v>2232.8000000000002</v>
      </c>
      <c r="M601">
        <v>2239.8000000000002</v>
      </c>
      <c r="N601">
        <v>2256.6</v>
      </c>
      <c r="Q601">
        <f t="shared" si="54"/>
        <v>419</v>
      </c>
      <c r="R601">
        <f t="shared" si="52"/>
        <v>419.3</v>
      </c>
      <c r="S601">
        <f t="shared" si="53"/>
        <v>0</v>
      </c>
    </row>
    <row r="602" spans="1:19" x14ac:dyDescent="0.25">
      <c r="A602" s="2">
        <v>44878</v>
      </c>
      <c r="B602" s="3">
        <v>317</v>
      </c>
      <c r="C602" s="3">
        <v>2200</v>
      </c>
      <c r="D602">
        <v>419.02679999999998</v>
      </c>
      <c r="E602">
        <v>4.4999999999999998E-2</v>
      </c>
      <c r="F602">
        <v>413.02960000000002</v>
      </c>
      <c r="G602">
        <v>420.5265</v>
      </c>
      <c r="H602">
        <v>423.52420000000001</v>
      </c>
      <c r="I602">
        <v>4.1000000000000002E-2</v>
      </c>
      <c r="J602">
        <v>4.8000000000000001E-2</v>
      </c>
      <c r="K602">
        <v>4.7E-2</v>
      </c>
      <c r="L602">
        <v>2232.8000000000002</v>
      </c>
      <c r="M602">
        <v>2240</v>
      </c>
      <c r="N602">
        <v>2256.6</v>
      </c>
      <c r="Q602">
        <f t="shared" si="54"/>
        <v>419</v>
      </c>
      <c r="R602">
        <f t="shared" si="52"/>
        <v>419.3</v>
      </c>
      <c r="S602">
        <f t="shared" si="53"/>
        <v>0</v>
      </c>
    </row>
    <row r="603" spans="1:19" x14ac:dyDescent="0.25">
      <c r="A603" s="2">
        <v>44878</v>
      </c>
      <c r="B603" s="3">
        <v>317</v>
      </c>
      <c r="C603" s="3">
        <v>2300</v>
      </c>
      <c r="D603">
        <v>419.01150000000001</v>
      </c>
      <c r="E603">
        <v>4.4999999999999998E-2</v>
      </c>
      <c r="F603">
        <v>413.01740000000001</v>
      </c>
      <c r="G603">
        <v>420.50709999999998</v>
      </c>
      <c r="H603">
        <v>423.51</v>
      </c>
      <c r="I603">
        <v>3.4000000000000002E-2</v>
      </c>
      <c r="J603">
        <v>0.05</v>
      </c>
      <c r="K603">
        <v>0.05</v>
      </c>
      <c r="L603">
        <v>2232.8000000000002</v>
      </c>
      <c r="M603">
        <v>2239.8000000000002</v>
      </c>
      <c r="N603">
        <v>2256.4</v>
      </c>
      <c r="Q603">
        <f t="shared" si="54"/>
        <v>419</v>
      </c>
      <c r="R603">
        <f t="shared" si="52"/>
        <v>419.3</v>
      </c>
      <c r="S603">
        <f t="shared" si="53"/>
        <v>0</v>
      </c>
    </row>
    <row r="604" spans="1:19" x14ac:dyDescent="0.25">
      <c r="A604" s="2">
        <v>44878</v>
      </c>
      <c r="B604" s="3">
        <v>317</v>
      </c>
      <c r="C604" s="3">
        <v>2400</v>
      </c>
      <c r="D604">
        <v>419.01909999999998</v>
      </c>
      <c r="E604">
        <v>4.3999999999999997E-2</v>
      </c>
      <c r="F604">
        <v>413.02080000000001</v>
      </c>
      <c r="G604">
        <v>420.52120000000002</v>
      </c>
      <c r="H604">
        <v>423.5154</v>
      </c>
      <c r="I604">
        <v>3.3000000000000002E-2</v>
      </c>
      <c r="J604">
        <v>4.9000000000000002E-2</v>
      </c>
      <c r="K604">
        <v>4.9000000000000002E-2</v>
      </c>
      <c r="L604">
        <v>2232.8000000000002</v>
      </c>
      <c r="M604">
        <v>2240</v>
      </c>
      <c r="N604">
        <v>2256.6</v>
      </c>
      <c r="Q604">
        <f t="shared" si="54"/>
        <v>419</v>
      </c>
      <c r="R604">
        <f t="shared" si="52"/>
        <v>419.3</v>
      </c>
      <c r="S604">
        <f t="shared" si="53"/>
        <v>0</v>
      </c>
    </row>
    <row r="605" spans="1:19" x14ac:dyDescent="0.25">
      <c r="A605" s="2">
        <v>44879</v>
      </c>
      <c r="B605" s="3">
        <v>318</v>
      </c>
      <c r="C605" s="3">
        <v>100</v>
      </c>
      <c r="D605">
        <v>419.01740000000001</v>
      </c>
      <c r="E605">
        <v>4.4999999999999998E-2</v>
      </c>
      <c r="F605">
        <v>413.02080000000001</v>
      </c>
      <c r="G605">
        <v>420.51409999999998</v>
      </c>
      <c r="H605">
        <v>423.51710000000003</v>
      </c>
      <c r="I605">
        <v>3.3000000000000002E-2</v>
      </c>
      <c r="J605">
        <v>0.05</v>
      </c>
      <c r="K605">
        <v>4.9000000000000002E-2</v>
      </c>
      <c r="L605">
        <v>2232.8000000000002</v>
      </c>
      <c r="M605">
        <v>2240</v>
      </c>
      <c r="N605">
        <v>2256.6</v>
      </c>
      <c r="Q605">
        <f t="shared" si="54"/>
        <v>419</v>
      </c>
      <c r="R605">
        <f t="shared" si="52"/>
        <v>419.3</v>
      </c>
      <c r="S605">
        <f t="shared" si="53"/>
        <v>0</v>
      </c>
    </row>
    <row r="606" spans="1:19" x14ac:dyDescent="0.25">
      <c r="A606" s="2">
        <v>44879</v>
      </c>
      <c r="B606" s="3">
        <v>318</v>
      </c>
      <c r="C606" s="3">
        <v>200</v>
      </c>
      <c r="D606">
        <v>418.99680000000001</v>
      </c>
      <c r="E606">
        <v>4.3999999999999997E-2</v>
      </c>
      <c r="F606">
        <v>412.99810000000002</v>
      </c>
      <c r="G606">
        <v>420.49119999999999</v>
      </c>
      <c r="H606">
        <v>423.50119999999998</v>
      </c>
      <c r="I606">
        <v>3.5999999999999997E-2</v>
      </c>
      <c r="J606">
        <v>4.5999999999999999E-2</v>
      </c>
      <c r="K606">
        <v>0.05</v>
      </c>
      <c r="L606">
        <v>2232.8000000000002</v>
      </c>
      <c r="M606">
        <v>2239.8000000000002</v>
      </c>
      <c r="N606">
        <v>2256.6</v>
      </c>
      <c r="Q606">
        <f t="shared" si="54"/>
        <v>419</v>
      </c>
      <c r="R606">
        <f t="shared" si="52"/>
        <v>419.3</v>
      </c>
      <c r="S606">
        <f t="shared" si="53"/>
        <v>0</v>
      </c>
    </row>
    <row r="607" spans="1:19" x14ac:dyDescent="0.25">
      <c r="A607" s="2">
        <v>44879</v>
      </c>
      <c r="B607" s="3">
        <v>318</v>
      </c>
      <c r="C607" s="3">
        <v>300</v>
      </c>
      <c r="D607">
        <v>418.9957</v>
      </c>
      <c r="E607">
        <v>4.7E-2</v>
      </c>
      <c r="F607">
        <v>412.99290000000002</v>
      </c>
      <c r="G607">
        <v>420.49299999999999</v>
      </c>
      <c r="H607">
        <v>423.50119999999998</v>
      </c>
      <c r="I607">
        <v>3.5999999999999997E-2</v>
      </c>
      <c r="J607">
        <v>5.3999999999999999E-2</v>
      </c>
      <c r="K607">
        <v>0.05</v>
      </c>
      <c r="L607">
        <v>2232.8000000000002</v>
      </c>
      <c r="M607">
        <v>2240</v>
      </c>
      <c r="N607">
        <v>2256.6</v>
      </c>
      <c r="Q607">
        <f t="shared" si="54"/>
        <v>419</v>
      </c>
      <c r="R607">
        <f t="shared" si="52"/>
        <v>419.3</v>
      </c>
      <c r="S607">
        <f t="shared" si="53"/>
        <v>0</v>
      </c>
    </row>
    <row r="608" spans="1:19" x14ac:dyDescent="0.25">
      <c r="A608" s="2">
        <v>44879</v>
      </c>
      <c r="B608" s="3">
        <v>318</v>
      </c>
      <c r="C608" s="3">
        <v>400</v>
      </c>
      <c r="D608">
        <v>419.0027</v>
      </c>
      <c r="E608">
        <v>4.5999999999999999E-2</v>
      </c>
      <c r="F608">
        <v>412.99639999999999</v>
      </c>
      <c r="G608">
        <v>420.5018</v>
      </c>
      <c r="H608">
        <v>423.51</v>
      </c>
      <c r="I608">
        <v>3.7999999999999999E-2</v>
      </c>
      <c r="J608">
        <v>4.9000000000000002E-2</v>
      </c>
      <c r="K608">
        <v>0.05</v>
      </c>
      <c r="L608">
        <v>2232.6</v>
      </c>
      <c r="M608">
        <v>2239.8000000000002</v>
      </c>
      <c r="N608">
        <v>2256.6</v>
      </c>
      <c r="Q608">
        <f t="shared" si="54"/>
        <v>419</v>
      </c>
      <c r="R608">
        <f t="shared" si="52"/>
        <v>419.3</v>
      </c>
      <c r="S608">
        <f t="shared" si="53"/>
        <v>0</v>
      </c>
    </row>
    <row r="609" spans="1:19" x14ac:dyDescent="0.25">
      <c r="A609" s="2">
        <v>44879</v>
      </c>
      <c r="B609" s="3">
        <v>318</v>
      </c>
      <c r="C609" s="3">
        <v>500</v>
      </c>
      <c r="D609">
        <v>419.00389999999999</v>
      </c>
      <c r="E609">
        <v>4.4999999999999998E-2</v>
      </c>
      <c r="F609">
        <v>412.99810000000002</v>
      </c>
      <c r="G609">
        <v>420.5</v>
      </c>
      <c r="H609">
        <v>423.5136</v>
      </c>
      <c r="I609">
        <v>3.5999999999999997E-2</v>
      </c>
      <c r="J609">
        <v>4.9000000000000002E-2</v>
      </c>
      <c r="K609">
        <v>0.05</v>
      </c>
      <c r="L609">
        <v>2232.8000000000002</v>
      </c>
      <c r="M609">
        <v>2239.8000000000002</v>
      </c>
      <c r="N609">
        <v>2256.6</v>
      </c>
      <c r="Q609">
        <f t="shared" si="54"/>
        <v>419</v>
      </c>
      <c r="R609">
        <f t="shared" si="52"/>
        <v>419.3</v>
      </c>
      <c r="S609">
        <f t="shared" si="53"/>
        <v>0</v>
      </c>
    </row>
    <row r="610" spans="1:19" x14ac:dyDescent="0.25">
      <c r="A610" s="2">
        <v>44879</v>
      </c>
      <c r="B610" s="3">
        <v>318</v>
      </c>
      <c r="C610" s="3">
        <v>600</v>
      </c>
      <c r="D610">
        <v>418.99619999999999</v>
      </c>
      <c r="E610">
        <v>4.5999999999999999E-2</v>
      </c>
      <c r="F610">
        <v>412.98930000000001</v>
      </c>
      <c r="G610">
        <v>420.49299999999999</v>
      </c>
      <c r="H610">
        <v>423.50650000000002</v>
      </c>
      <c r="I610">
        <v>3.9E-2</v>
      </c>
      <c r="J610">
        <v>4.7E-2</v>
      </c>
      <c r="K610">
        <v>0.05</v>
      </c>
      <c r="L610">
        <v>2232.8000000000002</v>
      </c>
      <c r="M610">
        <v>2239.8000000000002</v>
      </c>
      <c r="N610">
        <v>2256.6</v>
      </c>
      <c r="Q610">
        <f t="shared" si="54"/>
        <v>419</v>
      </c>
      <c r="R610">
        <f t="shared" ref="R610:R673" si="55">ROUND(IF(Q610&lt;R609,R609,Q610),1)</f>
        <v>419.3</v>
      </c>
      <c r="S610">
        <f t="shared" si="53"/>
        <v>0</v>
      </c>
    </row>
    <row r="611" spans="1:19" x14ac:dyDescent="0.25">
      <c r="A611" s="2">
        <v>44879</v>
      </c>
      <c r="B611" s="3">
        <v>318</v>
      </c>
      <c r="C611" s="3">
        <v>700</v>
      </c>
      <c r="D611">
        <v>419.00630000000001</v>
      </c>
      <c r="E611">
        <v>4.4999999999999998E-2</v>
      </c>
      <c r="F611">
        <v>412.99810000000002</v>
      </c>
      <c r="G611">
        <v>420.50889999999998</v>
      </c>
      <c r="H611">
        <v>423.51179999999999</v>
      </c>
      <c r="I611">
        <v>3.1E-2</v>
      </c>
      <c r="J611">
        <v>0.05</v>
      </c>
      <c r="K611">
        <v>0.05</v>
      </c>
      <c r="L611">
        <v>2232.8000000000002</v>
      </c>
      <c r="M611">
        <v>2240</v>
      </c>
      <c r="N611">
        <v>2256.6</v>
      </c>
      <c r="Q611">
        <f t="shared" si="54"/>
        <v>419</v>
      </c>
      <c r="R611">
        <f t="shared" si="55"/>
        <v>419.3</v>
      </c>
      <c r="S611">
        <f t="shared" si="53"/>
        <v>0</v>
      </c>
    </row>
    <row r="612" spans="1:19" x14ac:dyDescent="0.25">
      <c r="A612" s="2">
        <v>44879</v>
      </c>
      <c r="B612" s="3">
        <v>318</v>
      </c>
      <c r="C612" s="3">
        <v>800</v>
      </c>
      <c r="D612">
        <v>419.00510000000003</v>
      </c>
      <c r="E612">
        <v>4.4999999999999998E-2</v>
      </c>
      <c r="F612">
        <v>412.99290000000002</v>
      </c>
      <c r="G612">
        <v>420.50709999999998</v>
      </c>
      <c r="H612">
        <v>423.5154</v>
      </c>
      <c r="I612">
        <v>3.5999999999999997E-2</v>
      </c>
      <c r="J612">
        <v>0.05</v>
      </c>
      <c r="K612">
        <v>4.9000000000000002E-2</v>
      </c>
      <c r="L612">
        <v>2232.6</v>
      </c>
      <c r="M612">
        <v>2239.8000000000002</v>
      </c>
      <c r="N612">
        <v>2256.6</v>
      </c>
      <c r="Q612">
        <f t="shared" si="54"/>
        <v>419</v>
      </c>
      <c r="R612">
        <f t="shared" si="55"/>
        <v>419.3</v>
      </c>
      <c r="S612">
        <f t="shared" si="53"/>
        <v>0</v>
      </c>
    </row>
    <row r="613" spans="1:19" x14ac:dyDescent="0.25">
      <c r="A613" s="2">
        <v>44879</v>
      </c>
      <c r="B613" s="3">
        <v>318</v>
      </c>
      <c r="C613" s="3">
        <v>900</v>
      </c>
      <c r="D613">
        <v>418.99009999999998</v>
      </c>
      <c r="E613">
        <v>0.05</v>
      </c>
      <c r="F613">
        <v>413.05059999999997</v>
      </c>
      <c r="G613">
        <v>420.51240000000001</v>
      </c>
      <c r="H613">
        <v>423.40750000000003</v>
      </c>
      <c r="I613">
        <v>4.9000000000000002E-2</v>
      </c>
      <c r="J613">
        <v>0.05</v>
      </c>
      <c r="K613">
        <v>0.05</v>
      </c>
      <c r="L613">
        <v>2232.8000000000002</v>
      </c>
      <c r="M613">
        <v>2239.8000000000002</v>
      </c>
      <c r="N613">
        <v>2256.4</v>
      </c>
      <c r="Q613">
        <f t="shared" si="54"/>
        <v>419</v>
      </c>
      <c r="R613">
        <f t="shared" si="55"/>
        <v>419.3</v>
      </c>
      <c r="S613">
        <f t="shared" ref="S613:S676" si="56">IF(R613&gt;R612,R613-R612,0)</f>
        <v>0</v>
      </c>
    </row>
    <row r="614" spans="1:19" x14ac:dyDescent="0.25">
      <c r="A614" s="2">
        <v>44879</v>
      </c>
      <c r="B614" s="3">
        <v>318</v>
      </c>
      <c r="C614" s="3">
        <v>1000</v>
      </c>
      <c r="D614">
        <v>418.93369999999999</v>
      </c>
      <c r="E614">
        <v>0.04</v>
      </c>
      <c r="F614">
        <v>413.02260000000001</v>
      </c>
      <c r="G614">
        <v>420.46820000000002</v>
      </c>
      <c r="H614">
        <v>423.31029999999998</v>
      </c>
      <c r="I614">
        <v>3.5000000000000003E-2</v>
      </c>
      <c r="J614">
        <v>3.2000000000000001E-2</v>
      </c>
      <c r="K614">
        <v>0.05</v>
      </c>
      <c r="L614">
        <v>2232.8000000000002</v>
      </c>
      <c r="M614">
        <v>2239.8000000000002</v>
      </c>
      <c r="N614">
        <v>2256.1999999999998</v>
      </c>
      <c r="Q614">
        <f t="shared" si="54"/>
        <v>418.9</v>
      </c>
      <c r="R614">
        <f t="shared" si="55"/>
        <v>419.3</v>
      </c>
      <c r="S614">
        <f t="shared" si="56"/>
        <v>0</v>
      </c>
    </row>
    <row r="615" spans="1:19" x14ac:dyDescent="0.25">
      <c r="A615" s="2">
        <v>44879</v>
      </c>
      <c r="B615" s="3">
        <v>318</v>
      </c>
      <c r="C615" s="3">
        <v>1100</v>
      </c>
      <c r="D615">
        <v>418.90030000000002</v>
      </c>
      <c r="E615">
        <v>4.4999999999999998E-2</v>
      </c>
      <c r="F615">
        <v>412.99810000000002</v>
      </c>
      <c r="G615">
        <v>420.40660000000003</v>
      </c>
      <c r="H615">
        <v>423.2962</v>
      </c>
      <c r="I615">
        <v>3.1E-2</v>
      </c>
      <c r="J615">
        <v>0.05</v>
      </c>
      <c r="K615">
        <v>0.05</v>
      </c>
      <c r="L615">
        <v>2232.8000000000002</v>
      </c>
      <c r="M615">
        <v>2239.8000000000002</v>
      </c>
      <c r="N615">
        <v>2256.1999999999998</v>
      </c>
      <c r="Q615">
        <f t="shared" si="54"/>
        <v>418.9</v>
      </c>
      <c r="R615">
        <f t="shared" si="55"/>
        <v>419.3</v>
      </c>
      <c r="S615">
        <f t="shared" si="56"/>
        <v>0</v>
      </c>
    </row>
    <row r="616" spans="1:19" x14ac:dyDescent="0.25">
      <c r="A616" s="2">
        <v>44879</v>
      </c>
      <c r="B616" s="3">
        <v>318</v>
      </c>
      <c r="C616" s="3">
        <v>1200</v>
      </c>
      <c r="D616">
        <v>418.87150000000003</v>
      </c>
      <c r="E616">
        <v>4.2999999999999997E-2</v>
      </c>
      <c r="F616">
        <v>412.97890000000001</v>
      </c>
      <c r="G616">
        <v>420.3501</v>
      </c>
      <c r="H616">
        <v>423.28559999999999</v>
      </c>
      <c r="I616">
        <v>4.5999999999999999E-2</v>
      </c>
      <c r="J616">
        <v>3.5999999999999997E-2</v>
      </c>
      <c r="K616">
        <v>4.7E-2</v>
      </c>
      <c r="L616">
        <v>2232.8000000000002</v>
      </c>
      <c r="M616">
        <v>2239.6</v>
      </c>
      <c r="N616">
        <v>2256</v>
      </c>
      <c r="Q616">
        <f t="shared" si="54"/>
        <v>418.9</v>
      </c>
      <c r="R616">
        <f t="shared" si="55"/>
        <v>419.3</v>
      </c>
      <c r="S616">
        <f t="shared" si="56"/>
        <v>0</v>
      </c>
    </row>
    <row r="617" spans="1:19" x14ac:dyDescent="0.25">
      <c r="A617" s="2">
        <v>44879</v>
      </c>
      <c r="B617" s="3">
        <v>318</v>
      </c>
      <c r="C617" s="3">
        <v>1300</v>
      </c>
      <c r="D617">
        <v>418.82929999999999</v>
      </c>
      <c r="E617">
        <v>4.4999999999999998E-2</v>
      </c>
      <c r="F617">
        <v>412.9194</v>
      </c>
      <c r="G617">
        <v>420.28120000000001</v>
      </c>
      <c r="H617">
        <v>423.28730000000002</v>
      </c>
      <c r="I617">
        <v>0.04</v>
      </c>
      <c r="J617">
        <v>4.9000000000000002E-2</v>
      </c>
      <c r="K617">
        <v>4.7E-2</v>
      </c>
      <c r="L617">
        <v>2232.6</v>
      </c>
      <c r="M617">
        <v>2239.6</v>
      </c>
      <c r="N617">
        <v>2256.1999999999998</v>
      </c>
      <c r="Q617">
        <f t="shared" si="54"/>
        <v>418.8</v>
      </c>
      <c r="R617">
        <f t="shared" si="55"/>
        <v>419.3</v>
      </c>
      <c r="S617">
        <f t="shared" si="56"/>
        <v>0</v>
      </c>
    </row>
    <row r="618" spans="1:19" x14ac:dyDescent="0.25">
      <c r="A618" s="2">
        <v>44879</v>
      </c>
      <c r="B618" s="3">
        <v>318</v>
      </c>
      <c r="C618" s="3">
        <v>1400</v>
      </c>
      <c r="D618">
        <v>418.81110000000001</v>
      </c>
      <c r="E618">
        <v>3.6999999999999998E-2</v>
      </c>
      <c r="F618">
        <v>412.90190000000001</v>
      </c>
      <c r="G618">
        <v>420.24590000000001</v>
      </c>
      <c r="H618">
        <v>423.28559999999999</v>
      </c>
      <c r="I618">
        <v>2.5999999999999999E-2</v>
      </c>
      <c r="J618">
        <v>3.5000000000000003E-2</v>
      </c>
      <c r="K618">
        <v>4.7E-2</v>
      </c>
      <c r="L618">
        <v>2232.6</v>
      </c>
      <c r="M618">
        <v>2239.4</v>
      </c>
      <c r="N618">
        <v>2256</v>
      </c>
      <c r="Q618">
        <f t="shared" si="54"/>
        <v>418.8</v>
      </c>
      <c r="R618">
        <f t="shared" si="55"/>
        <v>419.3</v>
      </c>
      <c r="S618">
        <f t="shared" si="56"/>
        <v>0</v>
      </c>
    </row>
    <row r="619" spans="1:19" x14ac:dyDescent="0.25">
      <c r="A619" s="2">
        <v>44879</v>
      </c>
      <c r="B619" s="3">
        <v>318</v>
      </c>
      <c r="C619" s="3">
        <v>1500</v>
      </c>
      <c r="D619">
        <v>418.80189999999999</v>
      </c>
      <c r="E619">
        <v>3.6999999999999998E-2</v>
      </c>
      <c r="F619">
        <v>412.81420000000003</v>
      </c>
      <c r="G619">
        <v>420.27409999999998</v>
      </c>
      <c r="H619">
        <v>423.31740000000002</v>
      </c>
      <c r="I619">
        <v>2.1999999999999999E-2</v>
      </c>
      <c r="J619">
        <v>3.5000000000000003E-2</v>
      </c>
      <c r="K619">
        <v>4.9000000000000002E-2</v>
      </c>
      <c r="L619">
        <v>2232.4</v>
      </c>
      <c r="M619">
        <v>2239.4</v>
      </c>
      <c r="N619">
        <v>2256.1999999999998</v>
      </c>
      <c r="Q619">
        <f t="shared" si="54"/>
        <v>418.8</v>
      </c>
      <c r="R619">
        <f t="shared" si="55"/>
        <v>419.3</v>
      </c>
      <c r="S619">
        <f t="shared" si="56"/>
        <v>0</v>
      </c>
    </row>
    <row r="620" spans="1:19" x14ac:dyDescent="0.25">
      <c r="A620" s="2">
        <v>44879</v>
      </c>
      <c r="B620" s="3">
        <v>318</v>
      </c>
      <c r="C620" s="3">
        <v>1600</v>
      </c>
      <c r="D620">
        <v>418.81209999999999</v>
      </c>
      <c r="E620">
        <v>4.2000000000000003E-2</v>
      </c>
      <c r="F620">
        <v>412.75650000000002</v>
      </c>
      <c r="G620">
        <v>420.33600000000001</v>
      </c>
      <c r="H620">
        <v>423.34390000000002</v>
      </c>
      <c r="I620">
        <v>0.05</v>
      </c>
      <c r="J620">
        <v>4.2999999999999997E-2</v>
      </c>
      <c r="K620">
        <v>3.1E-2</v>
      </c>
      <c r="L620">
        <v>2232.1999999999998</v>
      </c>
      <c r="M620">
        <v>2239.6</v>
      </c>
      <c r="N620">
        <v>2256.1999999999998</v>
      </c>
      <c r="Q620">
        <f t="shared" si="54"/>
        <v>418.8</v>
      </c>
      <c r="R620">
        <f t="shared" si="55"/>
        <v>419.3</v>
      </c>
      <c r="S620">
        <f t="shared" si="56"/>
        <v>0</v>
      </c>
    </row>
    <row r="621" spans="1:19" x14ac:dyDescent="0.25">
      <c r="A621" s="2">
        <v>44879</v>
      </c>
      <c r="B621" s="3">
        <v>318</v>
      </c>
      <c r="C621" s="3">
        <v>1700</v>
      </c>
      <c r="D621">
        <v>418.90620000000001</v>
      </c>
      <c r="E621">
        <v>3.2000000000000001E-2</v>
      </c>
      <c r="F621">
        <v>412.79680000000002</v>
      </c>
      <c r="G621">
        <v>420.4753</v>
      </c>
      <c r="H621">
        <v>423.44639999999998</v>
      </c>
      <c r="I621">
        <v>3.3000000000000002E-2</v>
      </c>
      <c r="J621">
        <v>3.5000000000000003E-2</v>
      </c>
      <c r="K621">
        <v>2.8000000000000001E-2</v>
      </c>
      <c r="L621">
        <v>2232.4</v>
      </c>
      <c r="M621">
        <v>2239.8000000000002</v>
      </c>
      <c r="N621">
        <v>2256.4</v>
      </c>
      <c r="Q621">
        <f t="shared" si="54"/>
        <v>418.9</v>
      </c>
      <c r="R621">
        <f t="shared" si="55"/>
        <v>419.3</v>
      </c>
      <c r="S621">
        <f t="shared" si="56"/>
        <v>0</v>
      </c>
    </row>
    <row r="622" spans="1:19" x14ac:dyDescent="0.25">
      <c r="A622" s="2">
        <v>44879</v>
      </c>
      <c r="B622" s="3">
        <v>318</v>
      </c>
      <c r="C622" s="3">
        <v>1800</v>
      </c>
      <c r="D622">
        <v>418.97309999999999</v>
      </c>
      <c r="E622">
        <v>4.5999999999999999E-2</v>
      </c>
      <c r="F622">
        <v>412.8546</v>
      </c>
      <c r="G622">
        <v>420.54239999999999</v>
      </c>
      <c r="H622">
        <v>423.5224</v>
      </c>
      <c r="I622">
        <v>0.05</v>
      </c>
      <c r="J622">
        <v>0.04</v>
      </c>
      <c r="K622">
        <v>4.8000000000000001E-2</v>
      </c>
      <c r="L622">
        <v>2232.4</v>
      </c>
      <c r="M622">
        <v>2240</v>
      </c>
      <c r="N622">
        <v>2256.4</v>
      </c>
      <c r="Q622">
        <f t="shared" si="54"/>
        <v>419</v>
      </c>
      <c r="R622">
        <f t="shared" si="55"/>
        <v>419.3</v>
      </c>
      <c r="S622">
        <f t="shared" si="56"/>
        <v>0</v>
      </c>
    </row>
    <row r="623" spans="1:19" x14ac:dyDescent="0.25">
      <c r="A623" s="2">
        <v>44879</v>
      </c>
      <c r="B623" s="3">
        <v>318</v>
      </c>
      <c r="C623" s="3">
        <v>1900</v>
      </c>
      <c r="D623">
        <v>418.99779999999998</v>
      </c>
      <c r="E623">
        <v>3.3000000000000002E-2</v>
      </c>
      <c r="F623">
        <v>412.87729999999999</v>
      </c>
      <c r="G623">
        <v>420.56709999999998</v>
      </c>
      <c r="H623">
        <v>423.54899999999998</v>
      </c>
      <c r="I623">
        <v>4.5999999999999999E-2</v>
      </c>
      <c r="J623">
        <v>2.1999999999999999E-2</v>
      </c>
      <c r="K623">
        <v>2.5999999999999999E-2</v>
      </c>
      <c r="L623">
        <v>2232.6</v>
      </c>
      <c r="M623">
        <v>2240</v>
      </c>
      <c r="N623">
        <v>2256.6</v>
      </c>
      <c r="Q623">
        <f t="shared" si="54"/>
        <v>419</v>
      </c>
      <c r="R623">
        <f t="shared" si="55"/>
        <v>419.3</v>
      </c>
      <c r="S623">
        <f t="shared" si="56"/>
        <v>0</v>
      </c>
    </row>
    <row r="624" spans="1:19" x14ac:dyDescent="0.25">
      <c r="A624" s="2">
        <v>44879</v>
      </c>
      <c r="B624" s="3">
        <v>318</v>
      </c>
      <c r="C624" s="3">
        <v>2000</v>
      </c>
      <c r="D624">
        <v>419.0231</v>
      </c>
      <c r="E624">
        <v>4.2000000000000003E-2</v>
      </c>
      <c r="F624">
        <v>412.89490000000001</v>
      </c>
      <c r="G624">
        <v>420.59710000000001</v>
      </c>
      <c r="H624">
        <v>423.57729999999998</v>
      </c>
      <c r="I624">
        <v>3.5000000000000003E-2</v>
      </c>
      <c r="J624">
        <v>4.8000000000000001E-2</v>
      </c>
      <c r="K624">
        <v>4.1000000000000002E-2</v>
      </c>
      <c r="L624">
        <v>2232.6</v>
      </c>
      <c r="M624">
        <v>2240</v>
      </c>
      <c r="N624">
        <v>2256.8000000000002</v>
      </c>
      <c r="Q624">
        <f t="shared" si="54"/>
        <v>419</v>
      </c>
      <c r="R624">
        <f t="shared" si="55"/>
        <v>419.3</v>
      </c>
      <c r="S624">
        <f t="shared" si="56"/>
        <v>0</v>
      </c>
    </row>
    <row r="625" spans="1:19" x14ac:dyDescent="0.25">
      <c r="A625" s="2">
        <v>44879</v>
      </c>
      <c r="B625" s="3">
        <v>318</v>
      </c>
      <c r="C625" s="3">
        <v>2100</v>
      </c>
      <c r="D625">
        <v>419.00830000000002</v>
      </c>
      <c r="E625">
        <v>4.3999999999999997E-2</v>
      </c>
      <c r="F625">
        <v>412.91410000000002</v>
      </c>
      <c r="G625">
        <v>420.49829999999997</v>
      </c>
      <c r="H625">
        <v>423.61259999999999</v>
      </c>
      <c r="I625">
        <v>2.9000000000000001E-2</v>
      </c>
      <c r="J625">
        <v>4.9000000000000002E-2</v>
      </c>
      <c r="K625">
        <v>0.05</v>
      </c>
      <c r="L625">
        <v>2232.6</v>
      </c>
      <c r="M625">
        <v>2239.8000000000002</v>
      </c>
      <c r="N625">
        <v>2256.8000000000002</v>
      </c>
      <c r="Q625">
        <f t="shared" si="54"/>
        <v>419</v>
      </c>
      <c r="R625">
        <f t="shared" si="55"/>
        <v>419.3</v>
      </c>
      <c r="S625">
        <f t="shared" si="56"/>
        <v>0</v>
      </c>
    </row>
    <row r="626" spans="1:19" x14ac:dyDescent="0.25">
      <c r="A626" s="2">
        <v>44879</v>
      </c>
      <c r="B626" s="3">
        <v>318</v>
      </c>
      <c r="C626" s="3">
        <v>2200</v>
      </c>
      <c r="D626">
        <v>419.06540000000001</v>
      </c>
      <c r="E626">
        <v>3.5999999999999997E-2</v>
      </c>
      <c r="F626">
        <v>412.91059999999999</v>
      </c>
      <c r="G626">
        <v>420.65530000000001</v>
      </c>
      <c r="H626">
        <v>423.63029999999998</v>
      </c>
      <c r="I626">
        <v>0.03</v>
      </c>
      <c r="J626">
        <v>3.2000000000000001E-2</v>
      </c>
      <c r="K626">
        <v>4.3999999999999997E-2</v>
      </c>
      <c r="L626">
        <v>2232.6</v>
      </c>
      <c r="M626">
        <v>2240.1999999999998</v>
      </c>
      <c r="N626">
        <v>2256.6</v>
      </c>
      <c r="Q626">
        <f t="shared" si="54"/>
        <v>419.1</v>
      </c>
      <c r="R626">
        <f t="shared" si="55"/>
        <v>419.3</v>
      </c>
      <c r="S626">
        <f t="shared" si="56"/>
        <v>0</v>
      </c>
    </row>
    <row r="627" spans="1:19" x14ac:dyDescent="0.25">
      <c r="A627" s="2">
        <v>44879</v>
      </c>
      <c r="B627" s="3">
        <v>318</v>
      </c>
      <c r="C627" s="3">
        <v>2300</v>
      </c>
      <c r="D627">
        <v>419.0718</v>
      </c>
      <c r="E627">
        <v>4.2999999999999997E-2</v>
      </c>
      <c r="F627">
        <v>412.93509999999998</v>
      </c>
      <c r="G627">
        <v>420.6447</v>
      </c>
      <c r="H627">
        <v>423.63560000000001</v>
      </c>
      <c r="I627">
        <v>4.3999999999999997E-2</v>
      </c>
      <c r="J627">
        <v>4.2999999999999997E-2</v>
      </c>
      <c r="K627">
        <v>4.1000000000000002E-2</v>
      </c>
      <c r="L627">
        <v>2232.8000000000002</v>
      </c>
      <c r="M627">
        <v>2240</v>
      </c>
      <c r="N627">
        <v>2256.8000000000002</v>
      </c>
      <c r="Q627">
        <f t="shared" si="54"/>
        <v>419.1</v>
      </c>
      <c r="R627">
        <f t="shared" si="55"/>
        <v>419.3</v>
      </c>
      <c r="S627">
        <f t="shared" si="56"/>
        <v>0</v>
      </c>
    </row>
    <row r="628" spans="1:19" x14ac:dyDescent="0.25">
      <c r="A628" s="2">
        <v>44879</v>
      </c>
      <c r="B628" s="3">
        <v>318</v>
      </c>
      <c r="C628" s="3">
        <v>2400</v>
      </c>
      <c r="D628">
        <v>419.04239999999999</v>
      </c>
      <c r="E628">
        <v>4.2999999999999997E-2</v>
      </c>
      <c r="F628">
        <v>412.91590000000002</v>
      </c>
      <c r="G628">
        <v>420.6112</v>
      </c>
      <c r="H628">
        <v>423.6003</v>
      </c>
      <c r="I628">
        <v>2.5000000000000001E-2</v>
      </c>
      <c r="J628">
        <v>0.05</v>
      </c>
      <c r="K628">
        <v>0.05</v>
      </c>
      <c r="L628">
        <v>2232.6</v>
      </c>
      <c r="M628">
        <v>2240</v>
      </c>
      <c r="N628">
        <v>2256.8000000000002</v>
      </c>
      <c r="Q628">
        <f t="shared" si="54"/>
        <v>419</v>
      </c>
      <c r="R628">
        <f t="shared" si="55"/>
        <v>419.3</v>
      </c>
      <c r="S628">
        <f t="shared" si="56"/>
        <v>0</v>
      </c>
    </row>
    <row r="629" spans="1:19" x14ac:dyDescent="0.25">
      <c r="A629" s="2">
        <v>44880</v>
      </c>
      <c r="B629" s="3">
        <v>319</v>
      </c>
      <c r="C629" s="3">
        <v>100</v>
      </c>
      <c r="D629">
        <v>419.0095</v>
      </c>
      <c r="E629">
        <v>2.9000000000000001E-2</v>
      </c>
      <c r="F629">
        <v>412.90190000000001</v>
      </c>
      <c r="G629">
        <v>420.56529999999998</v>
      </c>
      <c r="H629">
        <v>423.56139999999999</v>
      </c>
      <c r="I629">
        <v>3.2000000000000001E-2</v>
      </c>
      <c r="J629">
        <v>3.2000000000000001E-2</v>
      </c>
      <c r="K629">
        <v>2.1999999999999999E-2</v>
      </c>
      <c r="L629">
        <v>2232.6</v>
      </c>
      <c r="M629">
        <v>2240</v>
      </c>
      <c r="N629">
        <v>2256.6</v>
      </c>
      <c r="Q629">
        <f t="shared" si="54"/>
        <v>419</v>
      </c>
      <c r="R629">
        <f t="shared" si="55"/>
        <v>419.3</v>
      </c>
      <c r="S629">
        <f t="shared" si="56"/>
        <v>0</v>
      </c>
    </row>
    <row r="630" spans="1:19" x14ac:dyDescent="0.25">
      <c r="A630" s="2">
        <v>44880</v>
      </c>
      <c r="B630" s="3">
        <v>319</v>
      </c>
      <c r="C630" s="3">
        <v>200</v>
      </c>
      <c r="D630">
        <v>419.00069999999999</v>
      </c>
      <c r="E630">
        <v>3.1E-2</v>
      </c>
      <c r="F630">
        <v>412.89830000000001</v>
      </c>
      <c r="G630">
        <v>420.55829999999997</v>
      </c>
      <c r="H630">
        <v>423.54539999999997</v>
      </c>
      <c r="I630">
        <v>3.5999999999999997E-2</v>
      </c>
      <c r="J630">
        <v>2.5999999999999999E-2</v>
      </c>
      <c r="K630">
        <v>3.1E-2</v>
      </c>
      <c r="L630">
        <v>2232.6</v>
      </c>
      <c r="M630">
        <v>2240</v>
      </c>
      <c r="N630">
        <v>2256.6</v>
      </c>
      <c r="Q630">
        <f t="shared" si="54"/>
        <v>419</v>
      </c>
      <c r="R630">
        <f t="shared" si="55"/>
        <v>419.3</v>
      </c>
      <c r="S630">
        <f t="shared" si="56"/>
        <v>0</v>
      </c>
    </row>
    <row r="631" spans="1:19" x14ac:dyDescent="0.25">
      <c r="A631" s="2">
        <v>44880</v>
      </c>
      <c r="B631" s="3">
        <v>319</v>
      </c>
      <c r="C631" s="3">
        <v>300</v>
      </c>
      <c r="D631">
        <v>418.99540000000002</v>
      </c>
      <c r="E631">
        <v>3.5999999999999997E-2</v>
      </c>
      <c r="F631">
        <v>412.89490000000001</v>
      </c>
      <c r="G631">
        <v>420.55119999999999</v>
      </c>
      <c r="H631">
        <v>423.5401</v>
      </c>
      <c r="I631">
        <v>3.9E-2</v>
      </c>
      <c r="J631">
        <v>3.1E-2</v>
      </c>
      <c r="K631">
        <v>3.6999999999999998E-2</v>
      </c>
      <c r="L631">
        <v>2232.6</v>
      </c>
      <c r="M631">
        <v>2240</v>
      </c>
      <c r="N631">
        <v>2256.6</v>
      </c>
      <c r="Q631">
        <f t="shared" si="54"/>
        <v>419</v>
      </c>
      <c r="R631">
        <f t="shared" si="55"/>
        <v>419.3</v>
      </c>
      <c r="S631">
        <f t="shared" si="56"/>
        <v>0</v>
      </c>
    </row>
    <row r="632" spans="1:19" x14ac:dyDescent="0.25">
      <c r="A632" s="2">
        <v>44880</v>
      </c>
      <c r="B632" s="3">
        <v>319</v>
      </c>
      <c r="C632" s="3">
        <v>400</v>
      </c>
      <c r="D632">
        <v>418.9889</v>
      </c>
      <c r="E632">
        <v>0.04</v>
      </c>
      <c r="F632">
        <v>412.8843</v>
      </c>
      <c r="G632">
        <v>420.54590000000002</v>
      </c>
      <c r="H632">
        <v>423.53660000000002</v>
      </c>
      <c r="I632">
        <v>4.2999999999999997E-2</v>
      </c>
      <c r="J632">
        <v>3.6999999999999998E-2</v>
      </c>
      <c r="K632">
        <v>0.04</v>
      </c>
      <c r="L632">
        <v>2232.4</v>
      </c>
      <c r="M632">
        <v>2240</v>
      </c>
      <c r="N632">
        <v>2256.6</v>
      </c>
      <c r="Q632">
        <f t="shared" si="54"/>
        <v>419</v>
      </c>
      <c r="R632">
        <f t="shared" si="55"/>
        <v>419.3</v>
      </c>
      <c r="S632">
        <f t="shared" si="56"/>
        <v>0</v>
      </c>
    </row>
    <row r="633" spans="1:19" x14ac:dyDescent="0.25">
      <c r="A633" s="2">
        <v>44880</v>
      </c>
      <c r="B633" s="3">
        <v>319</v>
      </c>
      <c r="C633" s="3">
        <v>500</v>
      </c>
      <c r="D633">
        <v>418.99720000000002</v>
      </c>
      <c r="E633">
        <v>3.4000000000000002E-2</v>
      </c>
      <c r="F633">
        <v>412.8931</v>
      </c>
      <c r="G633">
        <v>420.553</v>
      </c>
      <c r="H633">
        <v>423.54539999999997</v>
      </c>
      <c r="I633">
        <v>4.1000000000000002E-2</v>
      </c>
      <c r="J633">
        <v>2.8000000000000001E-2</v>
      </c>
      <c r="K633">
        <v>3.1E-2</v>
      </c>
      <c r="L633">
        <v>2232.6</v>
      </c>
      <c r="M633">
        <v>2240</v>
      </c>
      <c r="N633">
        <v>2256.6</v>
      </c>
      <c r="Q633">
        <f t="shared" si="54"/>
        <v>419</v>
      </c>
      <c r="R633">
        <f t="shared" si="55"/>
        <v>419.3</v>
      </c>
      <c r="S633">
        <f t="shared" si="56"/>
        <v>0</v>
      </c>
    </row>
    <row r="634" spans="1:19" x14ac:dyDescent="0.25">
      <c r="A634" s="2">
        <v>44880</v>
      </c>
      <c r="B634" s="3">
        <v>319</v>
      </c>
      <c r="C634" s="3">
        <v>600</v>
      </c>
      <c r="D634">
        <v>419.0136</v>
      </c>
      <c r="E634">
        <v>3.3000000000000002E-2</v>
      </c>
      <c r="F634">
        <v>412.90190000000001</v>
      </c>
      <c r="G634">
        <v>420.57589999999999</v>
      </c>
      <c r="H634">
        <v>423.56310000000002</v>
      </c>
      <c r="I634">
        <v>3.6999999999999998E-2</v>
      </c>
      <c r="J634">
        <v>3.5000000000000003E-2</v>
      </c>
      <c r="K634">
        <v>2.5999999999999999E-2</v>
      </c>
      <c r="L634">
        <v>2232.6</v>
      </c>
      <c r="M634">
        <v>2240</v>
      </c>
      <c r="N634">
        <v>2256.6</v>
      </c>
      <c r="Q634">
        <f t="shared" si="54"/>
        <v>419</v>
      </c>
      <c r="R634">
        <f t="shared" si="55"/>
        <v>419.3</v>
      </c>
      <c r="S634">
        <f t="shared" si="56"/>
        <v>0</v>
      </c>
    </row>
    <row r="635" spans="1:19" x14ac:dyDescent="0.25">
      <c r="A635" s="2">
        <v>44880</v>
      </c>
      <c r="B635" s="3">
        <v>319</v>
      </c>
      <c r="C635" s="3">
        <v>700</v>
      </c>
      <c r="D635">
        <v>419.00009999999997</v>
      </c>
      <c r="E635">
        <v>3.5000000000000003E-2</v>
      </c>
      <c r="F635">
        <v>412.8931</v>
      </c>
      <c r="G635">
        <v>420.56180000000001</v>
      </c>
      <c r="H635">
        <v>423.54539999999997</v>
      </c>
      <c r="I635">
        <v>3.5999999999999997E-2</v>
      </c>
      <c r="J635">
        <v>3.7999999999999999E-2</v>
      </c>
      <c r="K635">
        <v>3.1E-2</v>
      </c>
      <c r="L635">
        <v>2232.6</v>
      </c>
      <c r="M635">
        <v>2240</v>
      </c>
      <c r="N635">
        <v>2256.6</v>
      </c>
      <c r="Q635">
        <f t="shared" si="54"/>
        <v>419</v>
      </c>
      <c r="R635">
        <f t="shared" si="55"/>
        <v>419.3</v>
      </c>
      <c r="S635">
        <f t="shared" si="56"/>
        <v>0</v>
      </c>
    </row>
    <row r="636" spans="1:19" x14ac:dyDescent="0.25">
      <c r="A636" s="2">
        <v>44880</v>
      </c>
      <c r="B636" s="3">
        <v>319</v>
      </c>
      <c r="C636" s="3">
        <v>800</v>
      </c>
      <c r="D636">
        <v>418.98599999999999</v>
      </c>
      <c r="E636">
        <v>4.1000000000000002E-2</v>
      </c>
      <c r="F636">
        <v>412.88080000000002</v>
      </c>
      <c r="G636">
        <v>420.55119999999999</v>
      </c>
      <c r="H636">
        <v>423.52600000000001</v>
      </c>
      <c r="I636">
        <v>4.4999999999999998E-2</v>
      </c>
      <c r="J636">
        <v>3.1E-2</v>
      </c>
      <c r="K636">
        <v>4.5999999999999999E-2</v>
      </c>
      <c r="L636">
        <v>2232.6</v>
      </c>
      <c r="M636">
        <v>2240</v>
      </c>
      <c r="N636">
        <v>2256.4</v>
      </c>
      <c r="Q636">
        <f t="shared" si="54"/>
        <v>419</v>
      </c>
      <c r="R636">
        <f t="shared" si="55"/>
        <v>419.3</v>
      </c>
      <c r="S636">
        <f t="shared" si="56"/>
        <v>0</v>
      </c>
    </row>
    <row r="637" spans="1:19" x14ac:dyDescent="0.25">
      <c r="A637" s="2">
        <v>44880</v>
      </c>
      <c r="B637" s="3">
        <v>319</v>
      </c>
      <c r="C637" s="3">
        <v>900</v>
      </c>
      <c r="D637">
        <v>418.93639999999999</v>
      </c>
      <c r="E637">
        <v>3.3000000000000002E-2</v>
      </c>
      <c r="F637">
        <v>412.8931</v>
      </c>
      <c r="G637">
        <v>420.553</v>
      </c>
      <c r="H637">
        <v>423.36329999999998</v>
      </c>
      <c r="I637">
        <v>3.5999999999999997E-2</v>
      </c>
      <c r="J637">
        <v>3.4000000000000002E-2</v>
      </c>
      <c r="K637">
        <v>2.8000000000000001E-2</v>
      </c>
      <c r="L637">
        <v>2232.6</v>
      </c>
      <c r="M637">
        <v>2240</v>
      </c>
      <c r="N637">
        <v>2256.1999999999998</v>
      </c>
      <c r="Q637">
        <f t="shared" si="54"/>
        <v>418.9</v>
      </c>
      <c r="R637">
        <f t="shared" si="55"/>
        <v>419.3</v>
      </c>
      <c r="S637">
        <f t="shared" si="56"/>
        <v>0</v>
      </c>
    </row>
    <row r="638" spans="1:19" x14ac:dyDescent="0.25">
      <c r="A638" s="2">
        <v>44880</v>
      </c>
      <c r="B638" s="3">
        <v>319</v>
      </c>
      <c r="C638" s="3">
        <v>1000</v>
      </c>
      <c r="D638">
        <v>418.84129999999999</v>
      </c>
      <c r="E638">
        <v>3.2000000000000001E-2</v>
      </c>
      <c r="F638">
        <v>412.82130000000001</v>
      </c>
      <c r="G638">
        <v>420.44529999999997</v>
      </c>
      <c r="H638">
        <v>423.25729999999999</v>
      </c>
      <c r="I638">
        <v>3.3000000000000002E-2</v>
      </c>
      <c r="J638">
        <v>3.6999999999999998E-2</v>
      </c>
      <c r="K638">
        <v>2.5999999999999999E-2</v>
      </c>
      <c r="L638">
        <v>2232.4</v>
      </c>
      <c r="M638">
        <v>2239.8000000000002</v>
      </c>
      <c r="N638">
        <v>2256</v>
      </c>
      <c r="Q638">
        <f t="shared" si="54"/>
        <v>418.8</v>
      </c>
      <c r="R638">
        <f t="shared" si="55"/>
        <v>419.3</v>
      </c>
      <c r="S638">
        <f t="shared" si="56"/>
        <v>0</v>
      </c>
    </row>
    <row r="639" spans="1:19" x14ac:dyDescent="0.25">
      <c r="A639" s="2">
        <v>44880</v>
      </c>
      <c r="B639" s="3">
        <v>319</v>
      </c>
      <c r="C639" s="3">
        <v>1100</v>
      </c>
      <c r="D639">
        <v>418.79149999999998</v>
      </c>
      <c r="E639">
        <v>3.9E-2</v>
      </c>
      <c r="F639">
        <v>412.75299999999999</v>
      </c>
      <c r="G639">
        <v>420.37479999999999</v>
      </c>
      <c r="H639">
        <v>423.24669999999998</v>
      </c>
      <c r="I639">
        <v>4.9000000000000002E-2</v>
      </c>
      <c r="J639">
        <v>0.04</v>
      </c>
      <c r="K639">
        <v>2.5999999999999999E-2</v>
      </c>
      <c r="L639">
        <v>2232.1999999999998</v>
      </c>
      <c r="M639">
        <v>2239.6</v>
      </c>
      <c r="N639">
        <v>2256</v>
      </c>
      <c r="Q639">
        <f t="shared" si="54"/>
        <v>418.8</v>
      </c>
      <c r="R639">
        <f t="shared" si="55"/>
        <v>419.3</v>
      </c>
      <c r="S639">
        <f t="shared" si="56"/>
        <v>0</v>
      </c>
    </row>
    <row r="640" spans="1:19" x14ac:dyDescent="0.25">
      <c r="A640" s="2">
        <v>44880</v>
      </c>
      <c r="B640" s="3">
        <v>319</v>
      </c>
      <c r="C640" s="3">
        <v>1200</v>
      </c>
      <c r="D640">
        <v>418.77280000000002</v>
      </c>
      <c r="E640">
        <v>3.7999999999999999E-2</v>
      </c>
      <c r="F640">
        <v>412.69529999999997</v>
      </c>
      <c r="G640">
        <v>420.37479999999999</v>
      </c>
      <c r="H640">
        <v>423.2484</v>
      </c>
      <c r="I640">
        <v>3.5000000000000003E-2</v>
      </c>
      <c r="J640">
        <v>4.8000000000000001E-2</v>
      </c>
      <c r="K640">
        <v>2.9000000000000001E-2</v>
      </c>
      <c r="L640">
        <v>2232.1999999999998</v>
      </c>
      <c r="M640">
        <v>2239.8000000000002</v>
      </c>
      <c r="N640">
        <v>2256</v>
      </c>
      <c r="Q640">
        <f t="shared" si="54"/>
        <v>418.8</v>
      </c>
      <c r="R640">
        <f t="shared" si="55"/>
        <v>419.3</v>
      </c>
      <c r="S640">
        <f t="shared" si="56"/>
        <v>0</v>
      </c>
    </row>
    <row r="641" spans="1:19" x14ac:dyDescent="0.25">
      <c r="A641" s="2">
        <v>44880</v>
      </c>
      <c r="B641" s="3">
        <v>319</v>
      </c>
      <c r="C641" s="3">
        <v>1300</v>
      </c>
      <c r="D641">
        <v>418.72030000000001</v>
      </c>
      <c r="E641">
        <v>4.5999999999999999E-2</v>
      </c>
      <c r="F641">
        <v>412.56229999999999</v>
      </c>
      <c r="G641">
        <v>420.3254</v>
      </c>
      <c r="H641">
        <v>423.27319999999997</v>
      </c>
      <c r="I641">
        <v>0.05</v>
      </c>
      <c r="J641">
        <v>4.8000000000000001E-2</v>
      </c>
      <c r="K641">
        <v>0.04</v>
      </c>
      <c r="L641">
        <v>2231.8000000000002</v>
      </c>
      <c r="M641">
        <v>2239.4</v>
      </c>
      <c r="N641">
        <v>2256</v>
      </c>
      <c r="Q641">
        <f t="shared" si="54"/>
        <v>418.7</v>
      </c>
      <c r="R641">
        <f t="shared" si="55"/>
        <v>419.3</v>
      </c>
      <c r="S641">
        <f t="shared" si="56"/>
        <v>0</v>
      </c>
    </row>
    <row r="642" spans="1:19" x14ac:dyDescent="0.25">
      <c r="A642" s="2">
        <v>44880</v>
      </c>
      <c r="B642" s="3">
        <v>319</v>
      </c>
      <c r="C642" s="3">
        <v>1400</v>
      </c>
      <c r="D642">
        <v>418.73320000000001</v>
      </c>
      <c r="E642">
        <v>4.5999999999999999E-2</v>
      </c>
      <c r="F642">
        <v>412.59730000000002</v>
      </c>
      <c r="G642">
        <v>420.30070000000001</v>
      </c>
      <c r="H642">
        <v>423.30149999999998</v>
      </c>
      <c r="I642">
        <v>3.7999999999999999E-2</v>
      </c>
      <c r="J642">
        <v>4.9000000000000002E-2</v>
      </c>
      <c r="K642">
        <v>0.05</v>
      </c>
      <c r="L642">
        <v>2232</v>
      </c>
      <c r="M642">
        <v>2239.4</v>
      </c>
      <c r="N642">
        <v>2256.1999999999998</v>
      </c>
      <c r="Q642">
        <f t="shared" si="54"/>
        <v>418.7</v>
      </c>
      <c r="R642">
        <f t="shared" si="55"/>
        <v>419.3</v>
      </c>
      <c r="S642">
        <f t="shared" si="56"/>
        <v>0</v>
      </c>
    </row>
    <row r="643" spans="1:19" x14ac:dyDescent="0.25">
      <c r="A643" s="2">
        <v>44880</v>
      </c>
      <c r="B643" s="3">
        <v>319</v>
      </c>
      <c r="C643" s="3">
        <v>1500</v>
      </c>
      <c r="D643">
        <v>418.70389999999998</v>
      </c>
      <c r="E643">
        <v>4.2999999999999997E-2</v>
      </c>
      <c r="F643">
        <v>412.51859999999999</v>
      </c>
      <c r="G643">
        <v>420.27940000000001</v>
      </c>
      <c r="H643">
        <v>423.31380000000001</v>
      </c>
      <c r="I643">
        <v>2.8000000000000001E-2</v>
      </c>
      <c r="J643">
        <v>4.8000000000000001E-2</v>
      </c>
      <c r="K643">
        <v>4.9000000000000002E-2</v>
      </c>
      <c r="L643">
        <v>2231.8000000000002</v>
      </c>
      <c r="M643">
        <v>2239.4</v>
      </c>
      <c r="N643">
        <v>2256.1999999999998</v>
      </c>
      <c r="Q643">
        <f t="shared" si="54"/>
        <v>418.7</v>
      </c>
      <c r="R643">
        <f t="shared" si="55"/>
        <v>419.3</v>
      </c>
      <c r="S643">
        <f t="shared" si="56"/>
        <v>0</v>
      </c>
    </row>
    <row r="644" spans="1:19" x14ac:dyDescent="0.25">
      <c r="A644" s="2">
        <v>44880</v>
      </c>
      <c r="B644" s="3">
        <v>319</v>
      </c>
      <c r="C644" s="3">
        <v>1600</v>
      </c>
      <c r="D644">
        <v>418.70949999999999</v>
      </c>
      <c r="E644">
        <v>4.3999999999999997E-2</v>
      </c>
      <c r="F644">
        <v>412.46080000000001</v>
      </c>
      <c r="G644">
        <v>420.3254</v>
      </c>
      <c r="H644">
        <v>423.34210000000002</v>
      </c>
      <c r="I644">
        <v>0.05</v>
      </c>
      <c r="J644">
        <v>4.8000000000000001E-2</v>
      </c>
      <c r="K644">
        <v>3.3000000000000002E-2</v>
      </c>
      <c r="L644">
        <v>2231.6</v>
      </c>
      <c r="M644">
        <v>2239.4</v>
      </c>
      <c r="N644">
        <v>2256.1999999999998</v>
      </c>
      <c r="Q644">
        <f t="shared" si="54"/>
        <v>418.7</v>
      </c>
      <c r="R644">
        <f t="shared" si="55"/>
        <v>419.3</v>
      </c>
      <c r="S644">
        <f t="shared" si="56"/>
        <v>0</v>
      </c>
    </row>
    <row r="645" spans="1:19" x14ac:dyDescent="0.25">
      <c r="A645" s="2">
        <v>44880</v>
      </c>
      <c r="B645" s="3">
        <v>319</v>
      </c>
      <c r="C645" s="3">
        <v>1700</v>
      </c>
      <c r="D645">
        <v>418.83330000000001</v>
      </c>
      <c r="E645">
        <v>4.1000000000000002E-2</v>
      </c>
      <c r="F645">
        <v>412.54480000000001</v>
      </c>
      <c r="G645">
        <v>420.50349999999997</v>
      </c>
      <c r="H645">
        <v>423.45170000000002</v>
      </c>
      <c r="I645">
        <v>4.8000000000000001E-2</v>
      </c>
      <c r="J645">
        <v>0.05</v>
      </c>
      <c r="K645">
        <v>1.9E-2</v>
      </c>
      <c r="L645">
        <v>2231.8000000000002</v>
      </c>
      <c r="M645">
        <v>2239.8000000000002</v>
      </c>
      <c r="N645">
        <v>2256.4</v>
      </c>
      <c r="Q645">
        <f t="shared" si="54"/>
        <v>418.8</v>
      </c>
      <c r="R645">
        <f t="shared" si="55"/>
        <v>419.3</v>
      </c>
      <c r="S645">
        <f t="shared" si="56"/>
        <v>0</v>
      </c>
    </row>
    <row r="646" spans="1:19" x14ac:dyDescent="0.25">
      <c r="A646" s="2">
        <v>44880</v>
      </c>
      <c r="B646" s="3">
        <v>319</v>
      </c>
      <c r="C646" s="3">
        <v>1800</v>
      </c>
      <c r="D646">
        <v>418.90379999999999</v>
      </c>
      <c r="E646">
        <v>3.6999999999999998E-2</v>
      </c>
      <c r="F646">
        <v>412.59730000000002</v>
      </c>
      <c r="G646">
        <v>420.57769999999999</v>
      </c>
      <c r="H646">
        <v>423.53660000000002</v>
      </c>
      <c r="I646">
        <v>3.3000000000000002E-2</v>
      </c>
      <c r="J646">
        <v>3.6999999999999998E-2</v>
      </c>
      <c r="K646">
        <v>0.04</v>
      </c>
      <c r="L646">
        <v>2232</v>
      </c>
      <c r="M646">
        <v>2240</v>
      </c>
      <c r="N646">
        <v>2256.6</v>
      </c>
      <c r="Q646">
        <f t="shared" si="54"/>
        <v>418.9</v>
      </c>
      <c r="R646">
        <f t="shared" si="55"/>
        <v>419.3</v>
      </c>
      <c r="S646">
        <f t="shared" si="56"/>
        <v>0</v>
      </c>
    </row>
    <row r="647" spans="1:19" x14ac:dyDescent="0.25">
      <c r="A647" s="2">
        <v>44880</v>
      </c>
      <c r="B647" s="3">
        <v>319</v>
      </c>
      <c r="C647" s="3">
        <v>1900</v>
      </c>
      <c r="D647">
        <v>418.94200000000001</v>
      </c>
      <c r="E647">
        <v>4.1000000000000002E-2</v>
      </c>
      <c r="F647">
        <v>412.61649999999997</v>
      </c>
      <c r="G647">
        <v>420.62529999999998</v>
      </c>
      <c r="H647">
        <v>423.58440000000002</v>
      </c>
      <c r="I647">
        <v>2.5000000000000001E-2</v>
      </c>
      <c r="J647">
        <v>4.9000000000000002E-2</v>
      </c>
      <c r="K647">
        <v>4.4999999999999998E-2</v>
      </c>
      <c r="L647">
        <v>2232</v>
      </c>
      <c r="M647">
        <v>2240.1999999999998</v>
      </c>
      <c r="N647">
        <v>2256.6</v>
      </c>
      <c r="Q647">
        <f t="shared" si="54"/>
        <v>418.9</v>
      </c>
      <c r="R647">
        <f t="shared" si="55"/>
        <v>419.3</v>
      </c>
      <c r="S647">
        <f t="shared" si="56"/>
        <v>0</v>
      </c>
    </row>
    <row r="648" spans="1:19" x14ac:dyDescent="0.25">
      <c r="A648" s="2">
        <v>44880</v>
      </c>
      <c r="B648" s="3">
        <v>319</v>
      </c>
      <c r="C648" s="3">
        <v>2000</v>
      </c>
      <c r="D648">
        <v>418.97430000000003</v>
      </c>
      <c r="E648">
        <v>4.5999999999999999E-2</v>
      </c>
      <c r="F648">
        <v>412.66379999999998</v>
      </c>
      <c r="G648">
        <v>420.6465</v>
      </c>
      <c r="H648">
        <v>423.61259999999999</v>
      </c>
      <c r="I648">
        <v>0.05</v>
      </c>
      <c r="J648">
        <v>3.6999999999999998E-2</v>
      </c>
      <c r="K648">
        <v>0.05</v>
      </c>
      <c r="L648">
        <v>2232</v>
      </c>
      <c r="M648">
        <v>2240.1999999999998</v>
      </c>
      <c r="N648">
        <v>2256.8000000000002</v>
      </c>
      <c r="Q648">
        <f t="shared" si="54"/>
        <v>419</v>
      </c>
      <c r="R648">
        <f t="shared" si="55"/>
        <v>419.3</v>
      </c>
      <c r="S648">
        <f t="shared" si="56"/>
        <v>0</v>
      </c>
    </row>
    <row r="649" spans="1:19" x14ac:dyDescent="0.25">
      <c r="A649" s="2">
        <v>44880</v>
      </c>
      <c r="B649" s="3">
        <v>319</v>
      </c>
      <c r="C649" s="3">
        <v>2100</v>
      </c>
      <c r="D649">
        <v>418.98129999999998</v>
      </c>
      <c r="E649">
        <v>4.2999999999999997E-2</v>
      </c>
      <c r="F649">
        <v>412.6848</v>
      </c>
      <c r="G649">
        <v>420.64830000000001</v>
      </c>
      <c r="H649">
        <v>423.61079999999998</v>
      </c>
      <c r="I649">
        <v>4.2999999999999997E-2</v>
      </c>
      <c r="J649">
        <v>3.5000000000000003E-2</v>
      </c>
      <c r="K649">
        <v>0.05</v>
      </c>
      <c r="L649">
        <v>2232.1999999999998</v>
      </c>
      <c r="M649">
        <v>2240.1999999999998</v>
      </c>
      <c r="N649">
        <v>2256.6</v>
      </c>
      <c r="Q649">
        <f t="shared" si="54"/>
        <v>419</v>
      </c>
      <c r="R649">
        <f t="shared" si="55"/>
        <v>419.3</v>
      </c>
      <c r="S649">
        <f t="shared" si="56"/>
        <v>0</v>
      </c>
    </row>
    <row r="650" spans="1:19" x14ac:dyDescent="0.25">
      <c r="A650" s="2">
        <v>44880</v>
      </c>
      <c r="B650" s="3">
        <v>319</v>
      </c>
      <c r="C650" s="3">
        <v>2200</v>
      </c>
      <c r="D650">
        <v>418.97719999999998</v>
      </c>
      <c r="E650">
        <v>4.4999999999999998E-2</v>
      </c>
      <c r="F650">
        <v>412.67779999999999</v>
      </c>
      <c r="G650">
        <v>420.65</v>
      </c>
      <c r="H650">
        <v>423.60379999999998</v>
      </c>
      <c r="I650">
        <v>4.5999999999999999E-2</v>
      </c>
      <c r="J650">
        <v>3.7999999999999999E-2</v>
      </c>
      <c r="K650">
        <v>0.05</v>
      </c>
      <c r="L650">
        <v>2232.1999999999998</v>
      </c>
      <c r="M650">
        <v>2240.1999999999998</v>
      </c>
      <c r="N650">
        <v>2256.8000000000002</v>
      </c>
      <c r="Q650">
        <f t="shared" si="54"/>
        <v>419</v>
      </c>
      <c r="R650">
        <f t="shared" si="55"/>
        <v>419.3</v>
      </c>
      <c r="S650">
        <f t="shared" si="56"/>
        <v>0</v>
      </c>
    </row>
    <row r="651" spans="1:19" x14ac:dyDescent="0.25">
      <c r="A651" s="2">
        <v>44880</v>
      </c>
      <c r="B651" s="3">
        <v>319</v>
      </c>
      <c r="C651" s="3">
        <v>2300</v>
      </c>
      <c r="D651">
        <v>418.96480000000003</v>
      </c>
      <c r="E651">
        <v>4.9000000000000002E-2</v>
      </c>
      <c r="F651">
        <v>412.67430000000002</v>
      </c>
      <c r="G651">
        <v>420.62529999999998</v>
      </c>
      <c r="H651">
        <v>423.5949</v>
      </c>
      <c r="I651">
        <v>4.8000000000000001E-2</v>
      </c>
      <c r="J651">
        <v>4.9000000000000002E-2</v>
      </c>
      <c r="K651">
        <v>4.9000000000000002E-2</v>
      </c>
      <c r="L651">
        <v>2232</v>
      </c>
      <c r="M651">
        <v>2240</v>
      </c>
      <c r="N651">
        <v>2256.6</v>
      </c>
      <c r="Q651">
        <f t="shared" si="54"/>
        <v>419</v>
      </c>
      <c r="R651">
        <f t="shared" si="55"/>
        <v>419.3</v>
      </c>
      <c r="S651">
        <f t="shared" si="56"/>
        <v>0</v>
      </c>
    </row>
    <row r="652" spans="1:19" x14ac:dyDescent="0.25">
      <c r="A652" s="2">
        <v>44880</v>
      </c>
      <c r="B652" s="3">
        <v>319</v>
      </c>
      <c r="C652" s="3">
        <v>2400</v>
      </c>
      <c r="D652">
        <v>418.96780000000001</v>
      </c>
      <c r="E652">
        <v>4.8000000000000001E-2</v>
      </c>
      <c r="F652">
        <v>412.67430000000002</v>
      </c>
      <c r="G652">
        <v>420.63060000000002</v>
      </c>
      <c r="H652">
        <v>423.5985</v>
      </c>
      <c r="I652">
        <v>4.8000000000000001E-2</v>
      </c>
      <c r="J652">
        <v>4.7E-2</v>
      </c>
      <c r="K652">
        <v>0.05</v>
      </c>
      <c r="L652">
        <v>2232</v>
      </c>
      <c r="M652">
        <v>2240</v>
      </c>
      <c r="N652">
        <v>2256.8000000000002</v>
      </c>
      <c r="Q652">
        <f t="shared" si="54"/>
        <v>419</v>
      </c>
      <c r="R652">
        <f t="shared" si="55"/>
        <v>419.3</v>
      </c>
      <c r="S652">
        <f t="shared" si="56"/>
        <v>0</v>
      </c>
    </row>
    <row r="653" spans="1:19" x14ac:dyDescent="0.25">
      <c r="A653" s="2">
        <v>44881</v>
      </c>
      <c r="B653" s="3">
        <v>320</v>
      </c>
      <c r="C653" s="3">
        <v>100</v>
      </c>
      <c r="D653">
        <v>418.97949999999997</v>
      </c>
      <c r="E653">
        <v>4.3999999999999997E-2</v>
      </c>
      <c r="F653">
        <v>412.6866</v>
      </c>
      <c r="G653">
        <v>420.64299999999997</v>
      </c>
      <c r="H653">
        <v>423.60910000000001</v>
      </c>
      <c r="I653">
        <v>4.2000000000000003E-2</v>
      </c>
      <c r="J653">
        <v>0.04</v>
      </c>
      <c r="K653">
        <v>0.05</v>
      </c>
      <c r="L653">
        <v>2232.1999999999998</v>
      </c>
      <c r="M653">
        <v>2240.1999999999998</v>
      </c>
      <c r="N653">
        <v>2256.8000000000002</v>
      </c>
      <c r="Q653">
        <f t="shared" si="54"/>
        <v>419</v>
      </c>
      <c r="R653">
        <f t="shared" si="55"/>
        <v>419.3</v>
      </c>
      <c r="S653">
        <f t="shared" si="56"/>
        <v>0</v>
      </c>
    </row>
    <row r="654" spans="1:19" x14ac:dyDescent="0.25">
      <c r="A654" s="2">
        <v>44881</v>
      </c>
      <c r="B654" s="3">
        <v>320</v>
      </c>
      <c r="C654" s="3">
        <v>200</v>
      </c>
      <c r="D654">
        <v>418.98250000000002</v>
      </c>
      <c r="E654">
        <v>4.3999999999999997E-2</v>
      </c>
      <c r="F654">
        <v>412.67250000000001</v>
      </c>
      <c r="G654">
        <v>420.6447</v>
      </c>
      <c r="H654">
        <v>423.63029999999998</v>
      </c>
      <c r="I654">
        <v>4.8000000000000001E-2</v>
      </c>
      <c r="J654">
        <v>3.7999999999999999E-2</v>
      </c>
      <c r="K654">
        <v>4.3999999999999997E-2</v>
      </c>
      <c r="L654">
        <v>2232.1999999999998</v>
      </c>
      <c r="M654">
        <v>2240.1999999999998</v>
      </c>
      <c r="N654">
        <v>2256.6</v>
      </c>
      <c r="Q654">
        <f t="shared" si="54"/>
        <v>419</v>
      </c>
      <c r="R654">
        <f t="shared" si="55"/>
        <v>419.3</v>
      </c>
      <c r="S654">
        <f t="shared" si="56"/>
        <v>0</v>
      </c>
    </row>
    <row r="655" spans="1:19" x14ac:dyDescent="0.25">
      <c r="A655" s="2">
        <v>44881</v>
      </c>
      <c r="B655" s="3">
        <v>320</v>
      </c>
      <c r="C655" s="3">
        <v>300</v>
      </c>
      <c r="D655">
        <v>419.0188</v>
      </c>
      <c r="E655">
        <v>3.2000000000000001E-2</v>
      </c>
      <c r="F655">
        <v>412.7303</v>
      </c>
      <c r="G655">
        <v>420.673</v>
      </c>
      <c r="H655">
        <v>423.6533</v>
      </c>
      <c r="I655">
        <v>4.1000000000000002E-2</v>
      </c>
      <c r="J655">
        <v>3.1E-2</v>
      </c>
      <c r="K655">
        <v>1.9E-2</v>
      </c>
      <c r="L655">
        <v>2232.4</v>
      </c>
      <c r="M655">
        <v>2240.1999999999998</v>
      </c>
      <c r="N655">
        <v>2256.8000000000002</v>
      </c>
      <c r="Q655">
        <f t="shared" si="54"/>
        <v>419</v>
      </c>
      <c r="R655">
        <f t="shared" si="55"/>
        <v>419.3</v>
      </c>
      <c r="S655">
        <f t="shared" si="56"/>
        <v>0</v>
      </c>
    </row>
    <row r="656" spans="1:19" x14ac:dyDescent="0.25">
      <c r="A656" s="2">
        <v>44881</v>
      </c>
      <c r="B656" s="3">
        <v>320</v>
      </c>
      <c r="C656" s="3">
        <v>400</v>
      </c>
      <c r="D656">
        <v>419.0188</v>
      </c>
      <c r="E656">
        <v>3.2000000000000001E-2</v>
      </c>
      <c r="F656">
        <v>412.7303</v>
      </c>
      <c r="G656">
        <v>420.673</v>
      </c>
      <c r="H656">
        <v>423.6533</v>
      </c>
      <c r="I656">
        <v>4.1000000000000002E-2</v>
      </c>
      <c r="J656">
        <v>3.1E-2</v>
      </c>
      <c r="K656">
        <v>1.9E-2</v>
      </c>
      <c r="L656">
        <v>2232.1999999999998</v>
      </c>
      <c r="M656">
        <v>2240.1999999999998</v>
      </c>
      <c r="N656">
        <v>2256.8000000000002</v>
      </c>
      <c r="Q656">
        <f t="shared" si="54"/>
        <v>419</v>
      </c>
      <c r="R656">
        <f t="shared" si="55"/>
        <v>419.3</v>
      </c>
      <c r="S656">
        <f t="shared" si="56"/>
        <v>0</v>
      </c>
    </row>
    <row r="657" spans="1:19" x14ac:dyDescent="0.25">
      <c r="A657" s="2">
        <v>44881</v>
      </c>
      <c r="B657" s="3">
        <v>320</v>
      </c>
      <c r="C657" s="3">
        <v>500</v>
      </c>
      <c r="D657">
        <v>419.0136</v>
      </c>
      <c r="E657">
        <v>2.8000000000000001E-2</v>
      </c>
      <c r="F657">
        <v>412.72329999999999</v>
      </c>
      <c r="G657">
        <v>420.66770000000002</v>
      </c>
      <c r="H657">
        <v>423.6497</v>
      </c>
      <c r="I657">
        <v>3.5000000000000003E-2</v>
      </c>
      <c r="J657">
        <v>2.1999999999999999E-2</v>
      </c>
      <c r="K657">
        <v>2.5999999999999999E-2</v>
      </c>
      <c r="L657">
        <v>2232.1999999999998</v>
      </c>
      <c r="M657">
        <v>2240.1999999999998</v>
      </c>
      <c r="N657">
        <v>2256.8000000000002</v>
      </c>
      <c r="Q657">
        <f t="shared" si="54"/>
        <v>419</v>
      </c>
      <c r="R657">
        <f t="shared" si="55"/>
        <v>419.3</v>
      </c>
      <c r="S657">
        <f t="shared" si="56"/>
        <v>0</v>
      </c>
    </row>
    <row r="658" spans="1:19" x14ac:dyDescent="0.25">
      <c r="A658" s="2">
        <v>44881</v>
      </c>
      <c r="B658" s="3">
        <v>320</v>
      </c>
      <c r="C658" s="3">
        <v>600</v>
      </c>
      <c r="D658">
        <v>419.02589999999998</v>
      </c>
      <c r="E658">
        <v>3.5000000000000003E-2</v>
      </c>
      <c r="F658">
        <v>412.74250000000001</v>
      </c>
      <c r="G658">
        <v>420.673</v>
      </c>
      <c r="H658">
        <v>423.66210000000001</v>
      </c>
      <c r="I658">
        <v>4.7E-2</v>
      </c>
      <c r="J658">
        <v>3.1E-2</v>
      </c>
      <c r="K658">
        <v>2.3E-2</v>
      </c>
      <c r="L658">
        <v>2232.1999999999998</v>
      </c>
      <c r="M658">
        <v>2240.1999999999998</v>
      </c>
      <c r="N658">
        <v>2256.8000000000002</v>
      </c>
      <c r="Q658">
        <f t="shared" si="54"/>
        <v>419</v>
      </c>
      <c r="R658">
        <f t="shared" si="55"/>
        <v>419.3</v>
      </c>
      <c r="S658">
        <f t="shared" si="56"/>
        <v>0</v>
      </c>
    </row>
    <row r="659" spans="1:19" x14ac:dyDescent="0.25">
      <c r="A659" s="2">
        <v>44881</v>
      </c>
      <c r="B659" s="3">
        <v>320</v>
      </c>
      <c r="C659" s="3">
        <v>700</v>
      </c>
      <c r="D659">
        <v>419.03359999999998</v>
      </c>
      <c r="E659">
        <v>4.2999999999999997E-2</v>
      </c>
      <c r="F659">
        <v>412.7303</v>
      </c>
      <c r="G659">
        <v>420.68709999999999</v>
      </c>
      <c r="H659">
        <v>423.68329999999997</v>
      </c>
      <c r="I659">
        <v>4.1000000000000002E-2</v>
      </c>
      <c r="J659">
        <v>4.2999999999999997E-2</v>
      </c>
      <c r="K659">
        <v>4.3999999999999997E-2</v>
      </c>
      <c r="L659">
        <v>2232.1999999999998</v>
      </c>
      <c r="M659">
        <v>2240.1999999999998</v>
      </c>
      <c r="N659">
        <v>2256.8000000000002</v>
      </c>
      <c r="Q659">
        <f t="shared" ref="Q659:Q722" si="57">ROUND(D659,1)</f>
        <v>419</v>
      </c>
      <c r="R659">
        <f t="shared" si="55"/>
        <v>419.3</v>
      </c>
      <c r="S659">
        <f t="shared" si="56"/>
        <v>0</v>
      </c>
    </row>
    <row r="660" spans="1:19" x14ac:dyDescent="0.25">
      <c r="A660" s="2">
        <v>44881</v>
      </c>
      <c r="B660" s="3">
        <v>320</v>
      </c>
      <c r="C660" s="3">
        <v>800</v>
      </c>
      <c r="D660">
        <v>419.05290000000002</v>
      </c>
      <c r="E660">
        <v>4.8000000000000001E-2</v>
      </c>
      <c r="F660">
        <v>412.77050000000003</v>
      </c>
      <c r="G660">
        <v>420.6977</v>
      </c>
      <c r="H660">
        <v>423.69040000000001</v>
      </c>
      <c r="I660">
        <v>4.9000000000000002E-2</v>
      </c>
      <c r="J660">
        <v>4.8000000000000001E-2</v>
      </c>
      <c r="K660">
        <v>4.8000000000000001E-2</v>
      </c>
      <c r="L660">
        <v>2232.1999999999998</v>
      </c>
      <c r="M660">
        <v>2240.4</v>
      </c>
      <c r="N660">
        <v>2257</v>
      </c>
      <c r="Q660">
        <f t="shared" si="57"/>
        <v>419.1</v>
      </c>
      <c r="R660">
        <f t="shared" si="55"/>
        <v>419.3</v>
      </c>
      <c r="S660">
        <f t="shared" si="56"/>
        <v>0</v>
      </c>
    </row>
    <row r="661" spans="1:19" x14ac:dyDescent="0.25">
      <c r="A661" s="2">
        <v>44881</v>
      </c>
      <c r="B661" s="3">
        <v>320</v>
      </c>
      <c r="C661" s="3">
        <v>900</v>
      </c>
      <c r="D661">
        <v>418.9633</v>
      </c>
      <c r="E661">
        <v>4.9000000000000002E-2</v>
      </c>
      <c r="F661">
        <v>412.7758</v>
      </c>
      <c r="G661">
        <v>420.613</v>
      </c>
      <c r="H661">
        <v>423.50119999999998</v>
      </c>
      <c r="I661">
        <v>4.7E-2</v>
      </c>
      <c r="J661">
        <v>0.05</v>
      </c>
      <c r="K661">
        <v>0.05</v>
      </c>
      <c r="L661">
        <v>2232.4</v>
      </c>
      <c r="M661">
        <v>2240.1999999999998</v>
      </c>
      <c r="N661">
        <v>2256.4</v>
      </c>
      <c r="Q661">
        <f t="shared" si="57"/>
        <v>419</v>
      </c>
      <c r="R661">
        <f t="shared" si="55"/>
        <v>419.3</v>
      </c>
      <c r="S661">
        <f t="shared" si="56"/>
        <v>0</v>
      </c>
    </row>
    <row r="662" spans="1:19" x14ac:dyDescent="0.25">
      <c r="A662" s="2">
        <v>44881</v>
      </c>
      <c r="B662" s="3">
        <v>320</v>
      </c>
      <c r="C662" s="3">
        <v>1000</v>
      </c>
      <c r="D662">
        <v>418.84589999999997</v>
      </c>
      <c r="E662">
        <v>4.2999999999999997E-2</v>
      </c>
      <c r="F662">
        <v>412.6551</v>
      </c>
      <c r="G662">
        <v>420.52120000000002</v>
      </c>
      <c r="H662">
        <v>423.36160000000001</v>
      </c>
      <c r="I662">
        <v>0.05</v>
      </c>
      <c r="J662">
        <v>4.9000000000000002E-2</v>
      </c>
      <c r="K662">
        <v>2.5999999999999999E-2</v>
      </c>
      <c r="L662">
        <v>2232</v>
      </c>
      <c r="M662">
        <v>2239.8000000000002</v>
      </c>
      <c r="N662">
        <v>2256.1999999999998</v>
      </c>
      <c r="Q662">
        <f t="shared" si="57"/>
        <v>418.8</v>
      </c>
      <c r="R662">
        <f t="shared" si="55"/>
        <v>419.3</v>
      </c>
      <c r="S662">
        <f t="shared" si="56"/>
        <v>0</v>
      </c>
    </row>
    <row r="663" spans="1:19" x14ac:dyDescent="0.25">
      <c r="A663" s="2">
        <v>44881</v>
      </c>
      <c r="B663" s="3">
        <v>320</v>
      </c>
      <c r="C663" s="3">
        <v>1100</v>
      </c>
      <c r="D663">
        <v>418.8109</v>
      </c>
      <c r="E663">
        <v>4.2000000000000003E-2</v>
      </c>
      <c r="F663">
        <v>412.5763</v>
      </c>
      <c r="G663">
        <v>420.4753</v>
      </c>
      <c r="H663">
        <v>423.38099999999997</v>
      </c>
      <c r="I663">
        <v>4.7E-2</v>
      </c>
      <c r="J663">
        <v>3.5000000000000003E-2</v>
      </c>
      <c r="K663">
        <v>4.3999999999999997E-2</v>
      </c>
      <c r="L663">
        <v>2232</v>
      </c>
      <c r="M663">
        <v>2239.8000000000002</v>
      </c>
      <c r="N663">
        <v>2256.1999999999998</v>
      </c>
      <c r="Q663">
        <f t="shared" si="57"/>
        <v>418.8</v>
      </c>
      <c r="R663">
        <f t="shared" si="55"/>
        <v>419.3</v>
      </c>
      <c r="S663">
        <f t="shared" si="56"/>
        <v>0</v>
      </c>
    </row>
    <row r="664" spans="1:19" x14ac:dyDescent="0.25">
      <c r="A664" s="2">
        <v>44881</v>
      </c>
      <c r="B664" s="3">
        <v>320</v>
      </c>
      <c r="C664" s="3">
        <v>1200</v>
      </c>
      <c r="D664">
        <v>418.78489999999999</v>
      </c>
      <c r="E664">
        <v>4.2999999999999997E-2</v>
      </c>
      <c r="F664">
        <v>412.62360000000001</v>
      </c>
      <c r="G664">
        <v>420.40300000000002</v>
      </c>
      <c r="H664">
        <v>423.32799999999997</v>
      </c>
      <c r="I664">
        <v>3.5000000000000003E-2</v>
      </c>
      <c r="J664">
        <v>0.05</v>
      </c>
      <c r="K664">
        <v>4.3999999999999997E-2</v>
      </c>
      <c r="L664">
        <v>2232</v>
      </c>
      <c r="M664">
        <v>2239.8000000000002</v>
      </c>
      <c r="N664">
        <v>2256.1999999999998</v>
      </c>
      <c r="Q664">
        <f t="shared" si="57"/>
        <v>418.8</v>
      </c>
      <c r="R664">
        <f t="shared" si="55"/>
        <v>419.3</v>
      </c>
      <c r="S664">
        <f t="shared" si="56"/>
        <v>0</v>
      </c>
    </row>
    <row r="665" spans="1:19" x14ac:dyDescent="0.25">
      <c r="A665" s="2">
        <v>44881</v>
      </c>
      <c r="B665" s="3">
        <v>320</v>
      </c>
      <c r="C665" s="3">
        <v>1300</v>
      </c>
      <c r="D665">
        <v>418.7593</v>
      </c>
      <c r="E665">
        <v>0.04</v>
      </c>
      <c r="F665">
        <v>412.52730000000003</v>
      </c>
      <c r="G665">
        <v>420.40120000000002</v>
      </c>
      <c r="H665">
        <v>423.3492</v>
      </c>
      <c r="I665">
        <v>3.7999999999999999E-2</v>
      </c>
      <c r="J665">
        <v>4.9000000000000002E-2</v>
      </c>
      <c r="K665">
        <v>2.9000000000000001E-2</v>
      </c>
      <c r="L665">
        <v>2232</v>
      </c>
      <c r="M665">
        <v>2239.8000000000002</v>
      </c>
      <c r="N665">
        <v>2256.1999999999998</v>
      </c>
      <c r="Q665">
        <f t="shared" si="57"/>
        <v>418.8</v>
      </c>
      <c r="R665">
        <f t="shared" si="55"/>
        <v>419.3</v>
      </c>
      <c r="S665">
        <f t="shared" si="56"/>
        <v>0</v>
      </c>
    </row>
    <row r="666" spans="1:19" x14ac:dyDescent="0.25">
      <c r="A666" s="2">
        <v>44881</v>
      </c>
      <c r="B666" s="3">
        <v>320</v>
      </c>
      <c r="C666" s="3">
        <v>1400</v>
      </c>
      <c r="D666">
        <v>418.80160000000001</v>
      </c>
      <c r="E666">
        <v>4.1000000000000002E-2</v>
      </c>
      <c r="F666">
        <v>412.5326</v>
      </c>
      <c r="G666">
        <v>420.46300000000002</v>
      </c>
      <c r="H666">
        <v>423.40929999999997</v>
      </c>
      <c r="I666">
        <v>4.2000000000000003E-2</v>
      </c>
      <c r="J666">
        <v>0.03</v>
      </c>
      <c r="K666">
        <v>0.05</v>
      </c>
      <c r="L666">
        <v>2231.8000000000002</v>
      </c>
      <c r="M666">
        <v>2239.8000000000002</v>
      </c>
      <c r="N666">
        <v>2256.1999999999998</v>
      </c>
      <c r="Q666">
        <f t="shared" si="57"/>
        <v>418.8</v>
      </c>
      <c r="R666">
        <f t="shared" si="55"/>
        <v>419.3</v>
      </c>
      <c r="S666">
        <f t="shared" si="56"/>
        <v>0</v>
      </c>
    </row>
    <row r="667" spans="1:19" x14ac:dyDescent="0.25">
      <c r="A667" s="2">
        <v>44881</v>
      </c>
      <c r="B667" s="3">
        <v>320</v>
      </c>
      <c r="C667" s="3">
        <v>1500</v>
      </c>
      <c r="D667">
        <v>418.86219999999997</v>
      </c>
      <c r="E667">
        <v>4.5999999999999999E-2</v>
      </c>
      <c r="F667">
        <v>412.57279999999997</v>
      </c>
      <c r="G667">
        <v>420.53179999999998</v>
      </c>
      <c r="H667">
        <v>423.48180000000002</v>
      </c>
      <c r="I667">
        <v>4.8000000000000001E-2</v>
      </c>
      <c r="J667">
        <v>4.5999999999999999E-2</v>
      </c>
      <c r="K667">
        <v>4.3999999999999997E-2</v>
      </c>
      <c r="L667">
        <v>2232</v>
      </c>
      <c r="M667">
        <v>2240</v>
      </c>
      <c r="N667">
        <v>2256.4</v>
      </c>
      <c r="Q667">
        <f t="shared" si="57"/>
        <v>418.9</v>
      </c>
      <c r="R667">
        <f t="shared" si="55"/>
        <v>419.3</v>
      </c>
      <c r="S667">
        <f t="shared" si="56"/>
        <v>0</v>
      </c>
    </row>
    <row r="668" spans="1:19" x14ac:dyDescent="0.25">
      <c r="A668" s="2">
        <v>44881</v>
      </c>
      <c r="B668" s="3">
        <v>320</v>
      </c>
      <c r="C668" s="3">
        <v>1600</v>
      </c>
      <c r="D668">
        <v>418.90789999999998</v>
      </c>
      <c r="E668">
        <v>3.5000000000000003E-2</v>
      </c>
      <c r="F668">
        <v>412.62180000000001</v>
      </c>
      <c r="G668">
        <v>420.56709999999998</v>
      </c>
      <c r="H668">
        <v>423.53480000000002</v>
      </c>
      <c r="I668">
        <v>3.3000000000000002E-2</v>
      </c>
      <c r="J668">
        <v>2.9000000000000001E-2</v>
      </c>
      <c r="K668">
        <v>4.1000000000000002E-2</v>
      </c>
      <c r="L668">
        <v>2232</v>
      </c>
      <c r="M668">
        <v>2240</v>
      </c>
      <c r="N668">
        <v>2256.4</v>
      </c>
      <c r="Q668">
        <f t="shared" si="57"/>
        <v>418.9</v>
      </c>
      <c r="R668">
        <f t="shared" si="55"/>
        <v>419.3</v>
      </c>
      <c r="S668">
        <f t="shared" si="56"/>
        <v>0</v>
      </c>
    </row>
    <row r="669" spans="1:19" x14ac:dyDescent="0.25">
      <c r="A669" s="2">
        <v>44881</v>
      </c>
      <c r="B669" s="3">
        <v>320</v>
      </c>
      <c r="C669" s="3">
        <v>1700</v>
      </c>
      <c r="D669">
        <v>418.94200000000001</v>
      </c>
      <c r="E669">
        <v>4.5999999999999999E-2</v>
      </c>
      <c r="F669">
        <v>412.6533</v>
      </c>
      <c r="G669">
        <v>420.59359999999998</v>
      </c>
      <c r="H669">
        <v>423.57900000000001</v>
      </c>
      <c r="I669">
        <v>4.9000000000000002E-2</v>
      </c>
      <c r="J669">
        <v>4.7E-2</v>
      </c>
      <c r="K669">
        <v>4.2000000000000003E-2</v>
      </c>
      <c r="L669">
        <v>2232</v>
      </c>
      <c r="M669">
        <v>2240</v>
      </c>
      <c r="N669">
        <v>2256.6</v>
      </c>
      <c r="Q669">
        <f t="shared" si="57"/>
        <v>418.9</v>
      </c>
      <c r="R669">
        <f t="shared" si="55"/>
        <v>419.3</v>
      </c>
      <c r="S669">
        <f t="shared" si="56"/>
        <v>0</v>
      </c>
    </row>
    <row r="670" spans="1:19" x14ac:dyDescent="0.25">
      <c r="A670" s="2">
        <v>44881</v>
      </c>
      <c r="B670" s="3">
        <v>320</v>
      </c>
      <c r="C670" s="3">
        <v>1800</v>
      </c>
      <c r="D670">
        <v>418.97070000000002</v>
      </c>
      <c r="E670">
        <v>4.9000000000000002E-2</v>
      </c>
      <c r="F670">
        <v>412.68130000000002</v>
      </c>
      <c r="G670">
        <v>420.62709999999998</v>
      </c>
      <c r="H670">
        <v>423.60379999999998</v>
      </c>
      <c r="I670">
        <v>4.9000000000000002E-2</v>
      </c>
      <c r="J670">
        <v>4.8000000000000001E-2</v>
      </c>
      <c r="K670">
        <v>0.05</v>
      </c>
      <c r="L670">
        <v>2232.1999999999998</v>
      </c>
      <c r="M670">
        <v>2240.1999999999998</v>
      </c>
      <c r="N670">
        <v>2256.6</v>
      </c>
      <c r="Q670">
        <f t="shared" si="57"/>
        <v>419</v>
      </c>
      <c r="R670">
        <f t="shared" si="55"/>
        <v>419.3</v>
      </c>
      <c r="S670">
        <f t="shared" si="56"/>
        <v>0</v>
      </c>
    </row>
    <row r="671" spans="1:19" x14ac:dyDescent="0.25">
      <c r="A671" s="2">
        <v>44881</v>
      </c>
      <c r="B671" s="3">
        <v>320</v>
      </c>
      <c r="C671" s="3">
        <v>1900</v>
      </c>
      <c r="D671">
        <v>419.04809999999998</v>
      </c>
      <c r="E671">
        <v>4.7E-2</v>
      </c>
      <c r="F671">
        <v>412.76530000000002</v>
      </c>
      <c r="G671">
        <v>420.6977</v>
      </c>
      <c r="H671">
        <v>423.68150000000003</v>
      </c>
      <c r="I671">
        <v>4.9000000000000002E-2</v>
      </c>
      <c r="J671">
        <v>4.8000000000000001E-2</v>
      </c>
      <c r="K671">
        <v>4.2999999999999997E-2</v>
      </c>
      <c r="L671">
        <v>2232.4</v>
      </c>
      <c r="M671">
        <v>2240.4</v>
      </c>
      <c r="N671">
        <v>2256.8000000000002</v>
      </c>
      <c r="Q671">
        <f t="shared" si="57"/>
        <v>419</v>
      </c>
      <c r="R671">
        <f t="shared" si="55"/>
        <v>419.3</v>
      </c>
      <c r="S671">
        <f t="shared" si="56"/>
        <v>0</v>
      </c>
    </row>
    <row r="672" spans="1:19" x14ac:dyDescent="0.25">
      <c r="A672" s="2">
        <v>44881</v>
      </c>
      <c r="B672" s="3">
        <v>320</v>
      </c>
      <c r="C672" s="3">
        <v>2000</v>
      </c>
      <c r="D672">
        <v>419.07100000000003</v>
      </c>
      <c r="E672">
        <v>4.9000000000000002E-2</v>
      </c>
      <c r="F672">
        <v>412.79500000000002</v>
      </c>
      <c r="G672">
        <v>420.71530000000001</v>
      </c>
      <c r="H672">
        <v>423.70280000000002</v>
      </c>
      <c r="I672">
        <v>4.7E-2</v>
      </c>
      <c r="J672">
        <v>0.05</v>
      </c>
      <c r="K672">
        <v>0.05</v>
      </c>
      <c r="L672">
        <v>2232.1999999999998</v>
      </c>
      <c r="M672">
        <v>2240.1999999999998</v>
      </c>
      <c r="N672">
        <v>2256.8000000000002</v>
      </c>
      <c r="Q672">
        <f t="shared" si="57"/>
        <v>419.1</v>
      </c>
      <c r="R672">
        <f t="shared" si="55"/>
        <v>419.3</v>
      </c>
      <c r="S672">
        <f t="shared" si="56"/>
        <v>0</v>
      </c>
    </row>
    <row r="673" spans="1:19" x14ac:dyDescent="0.25">
      <c r="A673" s="2">
        <v>44881</v>
      </c>
      <c r="B673" s="3">
        <v>320</v>
      </c>
      <c r="C673" s="3">
        <v>2100</v>
      </c>
      <c r="D673">
        <v>419.07979999999998</v>
      </c>
      <c r="E673">
        <v>4.3999999999999997E-2</v>
      </c>
      <c r="F673">
        <v>412.80369999999999</v>
      </c>
      <c r="G673">
        <v>420.71879999999999</v>
      </c>
      <c r="H673">
        <v>423.71690000000001</v>
      </c>
      <c r="I673">
        <v>2.9000000000000001E-2</v>
      </c>
      <c r="J673">
        <v>0.05</v>
      </c>
      <c r="K673">
        <v>4.9000000000000002E-2</v>
      </c>
      <c r="L673">
        <v>2232.4</v>
      </c>
      <c r="M673">
        <v>2240.1999999999998</v>
      </c>
      <c r="N673">
        <v>2256.8000000000002</v>
      </c>
      <c r="Q673">
        <f t="shared" si="57"/>
        <v>419.1</v>
      </c>
      <c r="R673">
        <f t="shared" si="55"/>
        <v>419.3</v>
      </c>
      <c r="S673">
        <f t="shared" si="56"/>
        <v>0</v>
      </c>
    </row>
    <row r="674" spans="1:19" x14ac:dyDescent="0.25">
      <c r="A674" s="2">
        <v>44881</v>
      </c>
      <c r="B674" s="3">
        <v>320</v>
      </c>
      <c r="C674" s="3">
        <v>2200</v>
      </c>
      <c r="D674">
        <v>419.0992</v>
      </c>
      <c r="E674">
        <v>4.2000000000000003E-2</v>
      </c>
      <c r="F674">
        <v>412.82830000000001</v>
      </c>
      <c r="G674">
        <v>420.73289999999997</v>
      </c>
      <c r="H674">
        <v>423.7364</v>
      </c>
      <c r="I674">
        <v>3.9E-2</v>
      </c>
      <c r="J674">
        <v>4.5999999999999999E-2</v>
      </c>
      <c r="K674">
        <v>4.1000000000000002E-2</v>
      </c>
      <c r="L674">
        <v>2232.4</v>
      </c>
      <c r="M674">
        <v>2240.4</v>
      </c>
      <c r="N674">
        <v>2257</v>
      </c>
      <c r="Q674">
        <f t="shared" si="57"/>
        <v>419.1</v>
      </c>
      <c r="R674">
        <f t="shared" ref="R674:R737" si="58">ROUND(IF(Q674&lt;R673,R673,Q674),1)</f>
        <v>419.3</v>
      </c>
      <c r="S674">
        <f t="shared" si="56"/>
        <v>0</v>
      </c>
    </row>
    <row r="675" spans="1:19" x14ac:dyDescent="0.25">
      <c r="A675" s="2">
        <v>44881</v>
      </c>
      <c r="B675" s="3">
        <v>320</v>
      </c>
      <c r="C675" s="3">
        <v>2300</v>
      </c>
      <c r="D675">
        <v>419.12209999999999</v>
      </c>
      <c r="E675">
        <v>3.6999999999999998E-2</v>
      </c>
      <c r="F675">
        <v>412.85629999999998</v>
      </c>
      <c r="G675">
        <v>420.74880000000002</v>
      </c>
      <c r="H675">
        <v>423.7611</v>
      </c>
      <c r="I675">
        <v>0.05</v>
      </c>
      <c r="J675">
        <v>3.5000000000000003E-2</v>
      </c>
      <c r="K675">
        <v>1.9E-2</v>
      </c>
      <c r="L675">
        <v>2232.6</v>
      </c>
      <c r="M675">
        <v>2240.4</v>
      </c>
      <c r="N675">
        <v>2257</v>
      </c>
      <c r="Q675">
        <f t="shared" si="57"/>
        <v>419.1</v>
      </c>
      <c r="R675">
        <f t="shared" si="58"/>
        <v>419.3</v>
      </c>
      <c r="S675">
        <f t="shared" si="56"/>
        <v>0</v>
      </c>
    </row>
    <row r="676" spans="1:19" x14ac:dyDescent="0.25">
      <c r="A676" s="2">
        <v>44881</v>
      </c>
      <c r="B676" s="3">
        <v>320</v>
      </c>
      <c r="C676" s="3">
        <v>2400</v>
      </c>
      <c r="D676">
        <v>419.14679999999998</v>
      </c>
      <c r="E676">
        <v>4.2999999999999997E-2</v>
      </c>
      <c r="F676">
        <v>412.87380000000002</v>
      </c>
      <c r="G676">
        <v>420.77179999999998</v>
      </c>
      <c r="H676">
        <v>423.79469999999998</v>
      </c>
      <c r="I676">
        <v>4.8000000000000001E-2</v>
      </c>
      <c r="J676">
        <v>2.8000000000000001E-2</v>
      </c>
      <c r="K676">
        <v>4.9000000000000002E-2</v>
      </c>
      <c r="L676">
        <v>2232.6</v>
      </c>
      <c r="M676">
        <v>2240.4</v>
      </c>
      <c r="N676">
        <v>2257.1999999999998</v>
      </c>
      <c r="Q676">
        <f t="shared" si="57"/>
        <v>419.1</v>
      </c>
      <c r="R676">
        <f t="shared" si="58"/>
        <v>419.3</v>
      </c>
      <c r="S676">
        <f t="shared" si="56"/>
        <v>0</v>
      </c>
    </row>
    <row r="677" spans="1:19" x14ac:dyDescent="0.25">
      <c r="A677" s="2">
        <v>44882</v>
      </c>
      <c r="B677" s="3">
        <v>321</v>
      </c>
      <c r="C677" s="3">
        <v>100</v>
      </c>
      <c r="D677">
        <v>419.16910000000001</v>
      </c>
      <c r="E677">
        <v>4.3999999999999997E-2</v>
      </c>
      <c r="F677">
        <v>412.8861</v>
      </c>
      <c r="G677">
        <v>420.7912</v>
      </c>
      <c r="H677">
        <v>423.83</v>
      </c>
      <c r="I677">
        <v>4.2000000000000003E-2</v>
      </c>
      <c r="J677">
        <v>4.4999999999999998E-2</v>
      </c>
      <c r="K677">
        <v>4.4999999999999998E-2</v>
      </c>
      <c r="L677">
        <v>2232.6</v>
      </c>
      <c r="M677">
        <v>2240.4</v>
      </c>
      <c r="N677">
        <v>2257.1999999999998</v>
      </c>
      <c r="Q677">
        <f t="shared" si="57"/>
        <v>419.2</v>
      </c>
      <c r="R677">
        <f t="shared" si="58"/>
        <v>419.3</v>
      </c>
      <c r="S677">
        <f t="shared" ref="S677:S740" si="59">IF(R677&gt;R676,R677-R676,0)</f>
        <v>0</v>
      </c>
    </row>
    <row r="678" spans="1:19" x14ac:dyDescent="0.25">
      <c r="A678" s="2">
        <v>44882</v>
      </c>
      <c r="B678" s="3">
        <v>321</v>
      </c>
      <c r="C678" s="3">
        <v>200</v>
      </c>
      <c r="D678">
        <v>419.1703</v>
      </c>
      <c r="E678">
        <v>4.3999999999999997E-2</v>
      </c>
      <c r="F678">
        <v>412.8931</v>
      </c>
      <c r="G678">
        <v>420.79300000000001</v>
      </c>
      <c r="H678">
        <v>423.82470000000001</v>
      </c>
      <c r="I678">
        <v>3.5999999999999997E-2</v>
      </c>
      <c r="J678">
        <v>4.5999999999999999E-2</v>
      </c>
      <c r="K678">
        <v>4.8000000000000001E-2</v>
      </c>
      <c r="L678">
        <v>2232.6</v>
      </c>
      <c r="M678">
        <v>2240.4</v>
      </c>
      <c r="N678">
        <v>2257.1999999999998</v>
      </c>
      <c r="Q678">
        <f t="shared" si="57"/>
        <v>419.2</v>
      </c>
      <c r="R678">
        <f t="shared" si="58"/>
        <v>419.3</v>
      </c>
      <c r="S678">
        <f t="shared" si="59"/>
        <v>0</v>
      </c>
    </row>
    <row r="679" spans="1:19" x14ac:dyDescent="0.25">
      <c r="A679" s="2">
        <v>44882</v>
      </c>
      <c r="B679" s="3">
        <v>321</v>
      </c>
      <c r="C679" s="3">
        <v>300</v>
      </c>
      <c r="D679">
        <v>419.19729999999998</v>
      </c>
      <c r="E679">
        <v>3.7999999999999999E-2</v>
      </c>
      <c r="F679">
        <v>412.92290000000003</v>
      </c>
      <c r="G679">
        <v>420.8159</v>
      </c>
      <c r="H679">
        <v>423.85300000000001</v>
      </c>
      <c r="I679">
        <v>3.5000000000000003E-2</v>
      </c>
      <c r="J679">
        <v>0.05</v>
      </c>
      <c r="K679">
        <v>2.3E-2</v>
      </c>
      <c r="L679">
        <v>2232.6</v>
      </c>
      <c r="M679">
        <v>2240.4</v>
      </c>
      <c r="N679">
        <v>2257.1999999999998</v>
      </c>
      <c r="Q679">
        <f t="shared" si="57"/>
        <v>419.2</v>
      </c>
      <c r="R679">
        <f t="shared" si="58"/>
        <v>419.3</v>
      </c>
      <c r="S679">
        <f t="shared" si="59"/>
        <v>0</v>
      </c>
    </row>
    <row r="680" spans="1:19" x14ac:dyDescent="0.25">
      <c r="A680" s="2">
        <v>44882</v>
      </c>
      <c r="B680" s="3">
        <v>321</v>
      </c>
      <c r="C680" s="3">
        <v>400</v>
      </c>
      <c r="D680">
        <v>419.17739999999998</v>
      </c>
      <c r="E680">
        <v>4.2999999999999997E-2</v>
      </c>
      <c r="F680">
        <v>412.87560000000002</v>
      </c>
      <c r="G680">
        <v>420.75409999999999</v>
      </c>
      <c r="H680">
        <v>423.90249999999997</v>
      </c>
      <c r="I680">
        <v>4.7E-2</v>
      </c>
      <c r="J680">
        <v>2.8000000000000001E-2</v>
      </c>
      <c r="K680">
        <v>0.05</v>
      </c>
      <c r="L680">
        <v>2232.4</v>
      </c>
      <c r="M680">
        <v>2240.4</v>
      </c>
      <c r="N680">
        <v>2257.1999999999998</v>
      </c>
      <c r="Q680">
        <f t="shared" si="57"/>
        <v>419.2</v>
      </c>
      <c r="R680">
        <f t="shared" si="58"/>
        <v>419.3</v>
      </c>
      <c r="S680">
        <f t="shared" si="59"/>
        <v>0</v>
      </c>
    </row>
    <row r="681" spans="1:19" x14ac:dyDescent="0.25">
      <c r="A681" s="2">
        <v>44882</v>
      </c>
      <c r="B681" s="3">
        <v>321</v>
      </c>
      <c r="C681" s="3">
        <v>500</v>
      </c>
      <c r="D681">
        <v>419.21249999999998</v>
      </c>
      <c r="E681">
        <v>4.2000000000000003E-2</v>
      </c>
      <c r="F681">
        <v>412.95440000000002</v>
      </c>
      <c r="G681">
        <v>420.75409999999999</v>
      </c>
      <c r="H681">
        <v>423.92899999999997</v>
      </c>
      <c r="I681">
        <v>0.05</v>
      </c>
      <c r="J681">
        <v>2.8000000000000001E-2</v>
      </c>
      <c r="K681">
        <v>4.5999999999999999E-2</v>
      </c>
      <c r="L681">
        <v>2232.6</v>
      </c>
      <c r="M681">
        <v>2240.4</v>
      </c>
      <c r="N681">
        <v>2257.4</v>
      </c>
      <c r="Q681">
        <f t="shared" si="57"/>
        <v>419.2</v>
      </c>
      <c r="R681">
        <f t="shared" si="58"/>
        <v>419.3</v>
      </c>
      <c r="S681">
        <f t="shared" si="59"/>
        <v>0</v>
      </c>
    </row>
    <row r="682" spans="1:19" x14ac:dyDescent="0.25">
      <c r="A682" s="2">
        <v>44882</v>
      </c>
      <c r="B682" s="3">
        <v>321</v>
      </c>
      <c r="C682" s="3">
        <v>600</v>
      </c>
      <c r="D682">
        <v>419.2636</v>
      </c>
      <c r="E682">
        <v>4.3999999999999997E-2</v>
      </c>
      <c r="F682">
        <v>412.99810000000002</v>
      </c>
      <c r="G682">
        <v>420.84949999999998</v>
      </c>
      <c r="H682">
        <v>423.94319999999999</v>
      </c>
      <c r="I682">
        <v>3.1E-2</v>
      </c>
      <c r="J682">
        <v>5.8000000000000003E-2</v>
      </c>
      <c r="K682">
        <v>3.6999999999999998E-2</v>
      </c>
      <c r="L682">
        <v>2232.8000000000002</v>
      </c>
      <c r="M682">
        <v>2240.6</v>
      </c>
      <c r="N682">
        <v>2257.4</v>
      </c>
      <c r="Q682">
        <f t="shared" si="57"/>
        <v>419.3</v>
      </c>
      <c r="R682">
        <f t="shared" si="58"/>
        <v>419.3</v>
      </c>
      <c r="S682">
        <f t="shared" si="59"/>
        <v>0</v>
      </c>
    </row>
    <row r="683" spans="1:19" x14ac:dyDescent="0.25">
      <c r="A683" s="2">
        <v>44882</v>
      </c>
      <c r="B683" s="3">
        <v>321</v>
      </c>
      <c r="C683" s="3">
        <v>700</v>
      </c>
      <c r="D683">
        <v>419.29059999999998</v>
      </c>
      <c r="E683">
        <v>4.2999999999999997E-2</v>
      </c>
      <c r="F683">
        <v>413.03309999999999</v>
      </c>
      <c r="G683">
        <v>420.8972</v>
      </c>
      <c r="H683">
        <v>423.94139999999999</v>
      </c>
      <c r="I683">
        <v>4.2999999999999997E-2</v>
      </c>
      <c r="J683">
        <v>4.7E-2</v>
      </c>
      <c r="K683">
        <v>3.7999999999999999E-2</v>
      </c>
      <c r="L683">
        <v>2232.8000000000002</v>
      </c>
      <c r="M683">
        <v>2240.6</v>
      </c>
      <c r="N683">
        <v>2257.4</v>
      </c>
      <c r="Q683">
        <f t="shared" si="57"/>
        <v>419.3</v>
      </c>
      <c r="R683">
        <f t="shared" si="58"/>
        <v>419.3</v>
      </c>
      <c r="S683">
        <f t="shared" si="59"/>
        <v>0</v>
      </c>
    </row>
    <row r="684" spans="1:19" x14ac:dyDescent="0.25">
      <c r="A684" s="2">
        <v>44882</v>
      </c>
      <c r="B684" s="3">
        <v>321</v>
      </c>
      <c r="C684" s="3">
        <v>800</v>
      </c>
      <c r="D684">
        <v>419.27</v>
      </c>
      <c r="E684">
        <v>4.3999999999999997E-2</v>
      </c>
      <c r="F684">
        <v>413.01909999999998</v>
      </c>
      <c r="G684">
        <v>420.8442</v>
      </c>
      <c r="H684">
        <v>423.94670000000002</v>
      </c>
      <c r="I684">
        <v>3.1E-2</v>
      </c>
      <c r="J684">
        <v>6.0999999999999999E-2</v>
      </c>
      <c r="K684">
        <v>3.3000000000000002E-2</v>
      </c>
      <c r="L684">
        <v>2232.8000000000002</v>
      </c>
      <c r="M684">
        <v>2240.8000000000002</v>
      </c>
      <c r="N684">
        <v>2257.4</v>
      </c>
      <c r="Q684">
        <f t="shared" si="57"/>
        <v>419.3</v>
      </c>
      <c r="R684">
        <f t="shared" si="58"/>
        <v>419.3</v>
      </c>
      <c r="S684">
        <f t="shared" si="59"/>
        <v>0</v>
      </c>
    </row>
    <row r="685" spans="1:19" x14ac:dyDescent="0.25">
      <c r="A685" s="2">
        <v>44882</v>
      </c>
      <c r="B685" s="3">
        <v>321</v>
      </c>
      <c r="C685" s="3">
        <v>900</v>
      </c>
      <c r="D685">
        <v>419.26280000000003</v>
      </c>
      <c r="E685">
        <v>3.4000000000000002E-2</v>
      </c>
      <c r="F685">
        <v>413.07159999999999</v>
      </c>
      <c r="G685">
        <v>420.86189999999999</v>
      </c>
      <c r="H685">
        <v>423.85480000000001</v>
      </c>
      <c r="I685">
        <v>4.8000000000000001E-2</v>
      </c>
      <c r="J685">
        <v>1.2999999999999999E-2</v>
      </c>
      <c r="K685">
        <v>3.3000000000000002E-2</v>
      </c>
      <c r="L685">
        <v>2233</v>
      </c>
      <c r="M685">
        <v>2240.6</v>
      </c>
      <c r="N685">
        <v>2257.1999999999998</v>
      </c>
      <c r="Q685">
        <f t="shared" si="57"/>
        <v>419.3</v>
      </c>
      <c r="R685">
        <f t="shared" si="58"/>
        <v>419.3</v>
      </c>
      <c r="S685">
        <f t="shared" si="59"/>
        <v>0</v>
      </c>
    </row>
    <row r="686" spans="1:19" x14ac:dyDescent="0.25">
      <c r="A686" s="2">
        <v>44882</v>
      </c>
      <c r="B686" s="3">
        <v>321</v>
      </c>
      <c r="C686" s="3">
        <v>1000</v>
      </c>
      <c r="D686">
        <v>419.20100000000002</v>
      </c>
      <c r="E686">
        <v>4.3999999999999997E-2</v>
      </c>
      <c r="F686">
        <v>413.0471</v>
      </c>
      <c r="G686">
        <v>420.80889999999999</v>
      </c>
      <c r="H686">
        <v>423.74689999999998</v>
      </c>
      <c r="I686">
        <v>4.9000000000000002E-2</v>
      </c>
      <c r="J686">
        <v>0.05</v>
      </c>
      <c r="K686">
        <v>3.1E-2</v>
      </c>
      <c r="L686">
        <v>2232.8000000000002</v>
      </c>
      <c r="M686">
        <v>2240.4</v>
      </c>
      <c r="N686">
        <v>2257</v>
      </c>
      <c r="Q686">
        <f t="shared" si="57"/>
        <v>419.2</v>
      </c>
      <c r="R686">
        <f t="shared" si="58"/>
        <v>419.3</v>
      </c>
      <c r="S686">
        <f t="shared" si="59"/>
        <v>0</v>
      </c>
    </row>
    <row r="687" spans="1:19" x14ac:dyDescent="0.25">
      <c r="A687" s="2">
        <v>44882</v>
      </c>
      <c r="B687" s="3">
        <v>321</v>
      </c>
      <c r="C687" s="3">
        <v>1100</v>
      </c>
      <c r="D687">
        <v>419.15640000000002</v>
      </c>
      <c r="E687">
        <v>3.9E-2</v>
      </c>
      <c r="F687">
        <v>413.0086</v>
      </c>
      <c r="G687">
        <v>420.72590000000002</v>
      </c>
      <c r="H687">
        <v>423.7346</v>
      </c>
      <c r="I687">
        <v>1.9E-2</v>
      </c>
      <c r="J687">
        <v>4.9000000000000002E-2</v>
      </c>
      <c r="K687">
        <v>4.2000000000000003E-2</v>
      </c>
      <c r="L687">
        <v>2232.8000000000002</v>
      </c>
      <c r="M687">
        <v>2240.4</v>
      </c>
      <c r="N687">
        <v>2257</v>
      </c>
      <c r="Q687">
        <f t="shared" si="57"/>
        <v>419.2</v>
      </c>
      <c r="R687">
        <f t="shared" si="58"/>
        <v>419.3</v>
      </c>
      <c r="S687">
        <f t="shared" si="59"/>
        <v>0</v>
      </c>
    </row>
    <row r="688" spans="1:19" x14ac:dyDescent="0.25">
      <c r="A688" s="2">
        <v>44882</v>
      </c>
      <c r="B688" s="3">
        <v>321</v>
      </c>
      <c r="C688" s="3">
        <v>1200</v>
      </c>
      <c r="D688">
        <v>419.13279999999997</v>
      </c>
      <c r="E688">
        <v>0.04</v>
      </c>
      <c r="F688">
        <v>412.99979999999999</v>
      </c>
      <c r="G688">
        <v>420.67649999999998</v>
      </c>
      <c r="H688">
        <v>423.72219999999999</v>
      </c>
      <c r="I688">
        <v>2.8000000000000001E-2</v>
      </c>
      <c r="J688">
        <v>0.04</v>
      </c>
      <c r="K688">
        <v>4.8000000000000001E-2</v>
      </c>
      <c r="L688">
        <v>2232.8000000000002</v>
      </c>
      <c r="M688">
        <v>2240.1999999999998</v>
      </c>
      <c r="N688">
        <v>2257</v>
      </c>
      <c r="Q688">
        <f t="shared" si="57"/>
        <v>419.1</v>
      </c>
      <c r="R688">
        <f t="shared" si="58"/>
        <v>419.3</v>
      </c>
      <c r="S688">
        <f t="shared" si="59"/>
        <v>0</v>
      </c>
    </row>
    <row r="689" spans="1:19" x14ac:dyDescent="0.25">
      <c r="A689" s="2">
        <v>44882</v>
      </c>
      <c r="B689" s="3">
        <v>321</v>
      </c>
      <c r="C689" s="3">
        <v>1300</v>
      </c>
      <c r="D689">
        <v>419.07650000000001</v>
      </c>
      <c r="E689">
        <v>4.7E-2</v>
      </c>
      <c r="F689">
        <v>412.94040000000001</v>
      </c>
      <c r="G689">
        <v>420.59710000000001</v>
      </c>
      <c r="H689">
        <v>423.69220000000001</v>
      </c>
      <c r="I689">
        <v>4.5999999999999999E-2</v>
      </c>
      <c r="J689">
        <v>4.8000000000000001E-2</v>
      </c>
      <c r="K689">
        <v>4.8000000000000001E-2</v>
      </c>
      <c r="L689">
        <v>2232.8000000000002</v>
      </c>
      <c r="M689">
        <v>2240</v>
      </c>
      <c r="N689">
        <v>2256.8000000000002</v>
      </c>
      <c r="Q689">
        <f t="shared" si="57"/>
        <v>419.1</v>
      </c>
      <c r="R689">
        <f t="shared" si="58"/>
        <v>419.3</v>
      </c>
      <c r="S689">
        <f t="shared" si="59"/>
        <v>0</v>
      </c>
    </row>
    <row r="690" spans="1:19" x14ac:dyDescent="0.25">
      <c r="A690" s="2">
        <v>44882</v>
      </c>
      <c r="B690" s="3">
        <v>321</v>
      </c>
      <c r="C690" s="3">
        <v>1400</v>
      </c>
      <c r="D690">
        <v>419.03250000000003</v>
      </c>
      <c r="E690">
        <v>3.4000000000000002E-2</v>
      </c>
      <c r="F690">
        <v>412.90710000000001</v>
      </c>
      <c r="G690">
        <v>420.53</v>
      </c>
      <c r="H690">
        <v>423.66030000000001</v>
      </c>
      <c r="I690">
        <v>0.03</v>
      </c>
      <c r="J690">
        <v>4.7E-2</v>
      </c>
      <c r="K690">
        <v>1.9E-2</v>
      </c>
      <c r="L690">
        <v>2232.6</v>
      </c>
      <c r="M690">
        <v>2240</v>
      </c>
      <c r="N690">
        <v>2256.8000000000002</v>
      </c>
      <c r="Q690">
        <f t="shared" si="57"/>
        <v>419</v>
      </c>
      <c r="R690">
        <f t="shared" si="58"/>
        <v>419.3</v>
      </c>
      <c r="S690">
        <f t="shared" si="59"/>
        <v>0</v>
      </c>
    </row>
    <row r="691" spans="1:19" x14ac:dyDescent="0.25">
      <c r="A691" s="2">
        <v>44882</v>
      </c>
      <c r="B691" s="3">
        <v>321</v>
      </c>
      <c r="C691" s="3">
        <v>1500</v>
      </c>
      <c r="D691">
        <v>419.02969999999999</v>
      </c>
      <c r="E691">
        <v>4.4999999999999998E-2</v>
      </c>
      <c r="F691">
        <v>412.86509999999998</v>
      </c>
      <c r="G691">
        <v>420.54239999999999</v>
      </c>
      <c r="H691">
        <v>423.68150000000003</v>
      </c>
      <c r="I691">
        <v>0.05</v>
      </c>
      <c r="J691">
        <v>0.04</v>
      </c>
      <c r="K691">
        <v>4.2999999999999997E-2</v>
      </c>
      <c r="L691">
        <v>2232.6</v>
      </c>
      <c r="M691">
        <v>2240</v>
      </c>
      <c r="N691">
        <v>2256.8000000000002</v>
      </c>
      <c r="Q691">
        <f t="shared" si="57"/>
        <v>419</v>
      </c>
      <c r="R691">
        <f t="shared" si="58"/>
        <v>419.3</v>
      </c>
      <c r="S691">
        <f t="shared" si="59"/>
        <v>0</v>
      </c>
    </row>
    <row r="692" spans="1:19" x14ac:dyDescent="0.25">
      <c r="A692" s="2">
        <v>44882</v>
      </c>
      <c r="B692" s="3">
        <v>321</v>
      </c>
      <c r="C692" s="3">
        <v>1600</v>
      </c>
      <c r="D692">
        <v>419.00420000000003</v>
      </c>
      <c r="E692">
        <v>4.2000000000000003E-2</v>
      </c>
      <c r="F692">
        <v>412.74430000000001</v>
      </c>
      <c r="G692">
        <v>420.56</v>
      </c>
      <c r="H692">
        <v>423.7081</v>
      </c>
      <c r="I692">
        <v>4.8000000000000001E-2</v>
      </c>
      <c r="J692">
        <v>2.3E-2</v>
      </c>
      <c r="K692">
        <v>0.05</v>
      </c>
      <c r="L692">
        <v>2232.1999999999998</v>
      </c>
      <c r="M692">
        <v>2240</v>
      </c>
      <c r="N692">
        <v>2257</v>
      </c>
      <c r="Q692">
        <f t="shared" si="57"/>
        <v>419</v>
      </c>
      <c r="R692">
        <f t="shared" si="58"/>
        <v>419.3</v>
      </c>
      <c r="S692">
        <f t="shared" si="59"/>
        <v>0</v>
      </c>
    </row>
    <row r="693" spans="1:19" x14ac:dyDescent="0.25">
      <c r="A693" s="2">
        <v>44882</v>
      </c>
      <c r="B693" s="3">
        <v>321</v>
      </c>
      <c r="C693" s="3">
        <v>1700</v>
      </c>
      <c r="D693">
        <v>419.1737</v>
      </c>
      <c r="E693">
        <v>4.1000000000000002E-2</v>
      </c>
      <c r="F693">
        <v>412.91759999999999</v>
      </c>
      <c r="G693">
        <v>420.76650000000001</v>
      </c>
      <c r="H693">
        <v>423.83710000000002</v>
      </c>
      <c r="I693">
        <v>4.2999999999999997E-2</v>
      </c>
      <c r="J693">
        <v>3.7999999999999999E-2</v>
      </c>
      <c r="K693">
        <v>4.1000000000000002E-2</v>
      </c>
      <c r="L693">
        <v>2232.6</v>
      </c>
      <c r="M693">
        <v>2240.4</v>
      </c>
      <c r="N693">
        <v>2257.1999999999998</v>
      </c>
      <c r="Q693">
        <f t="shared" si="57"/>
        <v>419.2</v>
      </c>
      <c r="R693">
        <f t="shared" si="58"/>
        <v>419.3</v>
      </c>
      <c r="S693">
        <f t="shared" si="59"/>
        <v>0</v>
      </c>
    </row>
    <row r="694" spans="1:19" x14ac:dyDescent="0.25">
      <c r="A694" s="2">
        <v>44882</v>
      </c>
      <c r="B694" s="3">
        <v>321</v>
      </c>
      <c r="C694" s="3">
        <v>1800</v>
      </c>
      <c r="D694">
        <v>419.29410000000001</v>
      </c>
      <c r="E694">
        <v>3.7999999999999999E-2</v>
      </c>
      <c r="F694">
        <v>413.0471</v>
      </c>
      <c r="G694">
        <v>420.88130000000001</v>
      </c>
      <c r="H694">
        <v>423.9538</v>
      </c>
      <c r="I694">
        <v>4.9000000000000002E-2</v>
      </c>
      <c r="J694">
        <v>3.7999999999999999E-2</v>
      </c>
      <c r="K694">
        <v>2.3E-2</v>
      </c>
      <c r="L694">
        <v>2232.8000000000002</v>
      </c>
      <c r="M694">
        <v>2240.6</v>
      </c>
      <c r="N694">
        <v>2257.4</v>
      </c>
      <c r="Q694">
        <f t="shared" si="57"/>
        <v>419.3</v>
      </c>
      <c r="R694">
        <f t="shared" si="58"/>
        <v>419.3</v>
      </c>
      <c r="S694">
        <f t="shared" si="59"/>
        <v>0</v>
      </c>
    </row>
    <row r="695" spans="1:19" x14ac:dyDescent="0.25">
      <c r="A695" s="2">
        <v>44882</v>
      </c>
      <c r="B695" s="3">
        <v>321</v>
      </c>
      <c r="C695" s="3">
        <v>1900</v>
      </c>
      <c r="D695">
        <v>419.32870000000003</v>
      </c>
      <c r="E695">
        <v>4.4999999999999998E-2</v>
      </c>
      <c r="F695">
        <v>413.09089999999998</v>
      </c>
      <c r="G695">
        <v>420.8972</v>
      </c>
      <c r="H695">
        <v>423.99810000000002</v>
      </c>
      <c r="I695">
        <v>3.7999999999999999E-2</v>
      </c>
      <c r="J695">
        <v>4.7E-2</v>
      </c>
      <c r="K695">
        <v>4.9000000000000002E-2</v>
      </c>
      <c r="L695">
        <v>2232.8000000000002</v>
      </c>
      <c r="M695">
        <v>2240.6</v>
      </c>
      <c r="N695">
        <v>2257.4</v>
      </c>
      <c r="Q695">
        <f t="shared" si="57"/>
        <v>419.3</v>
      </c>
      <c r="R695">
        <f t="shared" si="58"/>
        <v>419.3</v>
      </c>
      <c r="S695">
        <f t="shared" si="59"/>
        <v>0</v>
      </c>
    </row>
    <row r="696" spans="1:19" x14ac:dyDescent="0.25">
      <c r="A696" s="2">
        <v>44882</v>
      </c>
      <c r="B696" s="3">
        <v>321</v>
      </c>
      <c r="C696" s="3">
        <v>2000</v>
      </c>
      <c r="D696">
        <v>419.34039999999999</v>
      </c>
      <c r="E696">
        <v>4.2000000000000003E-2</v>
      </c>
      <c r="F696">
        <v>413.11189999999999</v>
      </c>
      <c r="G696">
        <v>420.91309999999999</v>
      </c>
      <c r="H696">
        <v>423.99630000000002</v>
      </c>
      <c r="I696">
        <v>1.7999999999999999E-2</v>
      </c>
      <c r="J696">
        <v>0.05</v>
      </c>
      <c r="K696">
        <v>4.9000000000000002E-2</v>
      </c>
      <c r="L696">
        <v>2233</v>
      </c>
      <c r="M696">
        <v>2240.8000000000002</v>
      </c>
      <c r="N696">
        <v>2257.4</v>
      </c>
      <c r="Q696">
        <f t="shared" si="57"/>
        <v>419.3</v>
      </c>
      <c r="R696">
        <f t="shared" si="58"/>
        <v>419.3</v>
      </c>
      <c r="S696">
        <f t="shared" si="59"/>
        <v>0</v>
      </c>
    </row>
    <row r="697" spans="1:19" x14ac:dyDescent="0.25">
      <c r="A697" s="2">
        <v>44882</v>
      </c>
      <c r="B697" s="3">
        <v>321</v>
      </c>
      <c r="C697" s="3">
        <v>2100</v>
      </c>
      <c r="D697">
        <v>419.35390000000001</v>
      </c>
      <c r="E697">
        <v>4.9000000000000002E-2</v>
      </c>
      <c r="F697">
        <v>413.13810000000001</v>
      </c>
      <c r="G697">
        <v>420.90780000000001</v>
      </c>
      <c r="H697">
        <v>424.01580000000001</v>
      </c>
      <c r="I697">
        <v>4.5999999999999999E-2</v>
      </c>
      <c r="J697">
        <v>0.05</v>
      </c>
      <c r="K697">
        <v>0.05</v>
      </c>
      <c r="L697">
        <v>2233</v>
      </c>
      <c r="M697">
        <v>2240.6</v>
      </c>
      <c r="N697">
        <v>2257.4</v>
      </c>
      <c r="Q697">
        <f t="shared" si="57"/>
        <v>419.4</v>
      </c>
      <c r="R697">
        <f t="shared" si="58"/>
        <v>419.4</v>
      </c>
      <c r="S697">
        <f t="shared" si="59"/>
        <v>9.9999999999965894E-2</v>
      </c>
    </row>
    <row r="698" spans="1:19" x14ac:dyDescent="0.25">
      <c r="A698" s="2">
        <v>44882</v>
      </c>
      <c r="B698" s="3">
        <v>321</v>
      </c>
      <c r="C698" s="3">
        <v>2200</v>
      </c>
      <c r="D698">
        <v>419.35860000000002</v>
      </c>
      <c r="E698">
        <v>4.9000000000000002E-2</v>
      </c>
      <c r="F698">
        <v>413.14510000000001</v>
      </c>
      <c r="G698">
        <v>420.91660000000002</v>
      </c>
      <c r="H698">
        <v>424.01400000000001</v>
      </c>
      <c r="I698">
        <v>4.8000000000000001E-2</v>
      </c>
      <c r="J698">
        <v>0.05</v>
      </c>
      <c r="K698">
        <v>0.05</v>
      </c>
      <c r="L698">
        <v>2233.1999999999998</v>
      </c>
      <c r="M698">
        <v>2240.8000000000002</v>
      </c>
      <c r="N698">
        <v>2257.6</v>
      </c>
      <c r="Q698">
        <f t="shared" si="57"/>
        <v>419.4</v>
      </c>
      <c r="R698">
        <f t="shared" si="58"/>
        <v>419.4</v>
      </c>
      <c r="S698">
        <f t="shared" si="59"/>
        <v>0</v>
      </c>
    </row>
    <row r="699" spans="1:19" x14ac:dyDescent="0.25">
      <c r="A699" s="2">
        <v>44882</v>
      </c>
      <c r="B699" s="3">
        <v>321</v>
      </c>
      <c r="C699" s="3">
        <v>2300</v>
      </c>
      <c r="D699">
        <v>419.36970000000002</v>
      </c>
      <c r="E699">
        <v>4.9000000000000002E-2</v>
      </c>
      <c r="F699">
        <v>413.1626</v>
      </c>
      <c r="G699">
        <v>420.91660000000002</v>
      </c>
      <c r="H699">
        <v>424.0299</v>
      </c>
      <c r="I699">
        <v>0.05</v>
      </c>
      <c r="J699">
        <v>0.05</v>
      </c>
      <c r="K699">
        <v>4.5999999999999999E-2</v>
      </c>
      <c r="L699">
        <v>2233.1999999999998</v>
      </c>
      <c r="M699">
        <v>2240.6</v>
      </c>
      <c r="N699">
        <v>2257.6</v>
      </c>
      <c r="Q699">
        <f t="shared" si="57"/>
        <v>419.4</v>
      </c>
      <c r="R699">
        <f t="shared" si="58"/>
        <v>419.4</v>
      </c>
      <c r="S699">
        <f t="shared" si="59"/>
        <v>0</v>
      </c>
    </row>
    <row r="700" spans="1:19" x14ac:dyDescent="0.25">
      <c r="A700" s="2">
        <v>44882</v>
      </c>
      <c r="B700" s="3">
        <v>321</v>
      </c>
      <c r="C700" s="3">
        <v>2400</v>
      </c>
      <c r="D700">
        <v>419.32979999999998</v>
      </c>
      <c r="E700">
        <v>4.3999999999999997E-2</v>
      </c>
      <c r="F700">
        <v>413.13459999999998</v>
      </c>
      <c r="G700">
        <v>420.81060000000002</v>
      </c>
      <c r="H700">
        <v>424.04410000000001</v>
      </c>
      <c r="I700">
        <v>4.3999999999999997E-2</v>
      </c>
      <c r="J700">
        <v>0.05</v>
      </c>
      <c r="K700">
        <v>3.6999999999999998E-2</v>
      </c>
      <c r="L700">
        <v>2233.1999999999998</v>
      </c>
      <c r="M700">
        <v>2240.6</v>
      </c>
      <c r="N700">
        <v>2257.6</v>
      </c>
      <c r="Q700">
        <f t="shared" si="57"/>
        <v>419.3</v>
      </c>
      <c r="R700">
        <f t="shared" si="58"/>
        <v>419.4</v>
      </c>
      <c r="S700">
        <f t="shared" si="59"/>
        <v>0</v>
      </c>
    </row>
    <row r="701" spans="1:19" x14ac:dyDescent="0.25">
      <c r="A701" s="2">
        <v>44883</v>
      </c>
      <c r="B701" s="3">
        <v>322</v>
      </c>
      <c r="C701" s="3">
        <v>100</v>
      </c>
      <c r="D701">
        <v>419.37490000000003</v>
      </c>
      <c r="E701">
        <v>3.2000000000000001E-2</v>
      </c>
      <c r="F701">
        <v>413.19029999999998</v>
      </c>
      <c r="G701">
        <v>420.87799999999999</v>
      </c>
      <c r="H701">
        <v>424.05650000000003</v>
      </c>
      <c r="I701">
        <v>3.7999999999999999E-2</v>
      </c>
      <c r="J701">
        <v>3.5000000000000003E-2</v>
      </c>
      <c r="K701">
        <v>1.9E-2</v>
      </c>
      <c r="L701">
        <v>2233</v>
      </c>
      <c r="M701">
        <v>2240.6</v>
      </c>
      <c r="N701">
        <v>2257.6</v>
      </c>
      <c r="Q701">
        <f t="shared" si="57"/>
        <v>419.4</v>
      </c>
      <c r="R701">
        <f t="shared" si="58"/>
        <v>419.4</v>
      </c>
      <c r="S701">
        <f t="shared" si="59"/>
        <v>0</v>
      </c>
    </row>
    <row r="702" spans="1:19" x14ac:dyDescent="0.25">
      <c r="A702" s="2">
        <v>44883</v>
      </c>
      <c r="B702" s="3">
        <v>322</v>
      </c>
      <c r="C702" s="3">
        <v>200</v>
      </c>
      <c r="D702">
        <v>419.3904</v>
      </c>
      <c r="E702">
        <v>3.2000000000000001E-2</v>
      </c>
      <c r="F702">
        <v>413.21699999999998</v>
      </c>
      <c r="G702">
        <v>420.89240000000001</v>
      </c>
      <c r="H702">
        <v>424.06189999999998</v>
      </c>
      <c r="I702">
        <v>2.8000000000000001E-2</v>
      </c>
      <c r="J702">
        <v>4.4999999999999998E-2</v>
      </c>
      <c r="K702">
        <v>1.2999999999999999E-2</v>
      </c>
      <c r="L702">
        <v>2233.1999999999998</v>
      </c>
      <c r="M702">
        <v>2240.8000000000002</v>
      </c>
      <c r="N702">
        <v>2257.6</v>
      </c>
      <c r="Q702">
        <f t="shared" si="57"/>
        <v>419.4</v>
      </c>
      <c r="R702">
        <f t="shared" si="58"/>
        <v>419.4</v>
      </c>
      <c r="S702">
        <f t="shared" si="59"/>
        <v>0</v>
      </c>
    </row>
    <row r="703" spans="1:19" x14ac:dyDescent="0.25">
      <c r="A703" s="2">
        <v>44883</v>
      </c>
      <c r="B703" s="3">
        <v>322</v>
      </c>
      <c r="C703" s="3">
        <v>300</v>
      </c>
      <c r="D703">
        <v>419.39659999999998</v>
      </c>
      <c r="E703">
        <v>3.6999999999999998E-2</v>
      </c>
      <c r="F703">
        <v>413.22559999999999</v>
      </c>
      <c r="G703">
        <v>420.90069999999997</v>
      </c>
      <c r="H703">
        <v>424.06360000000001</v>
      </c>
      <c r="I703">
        <v>3.7999999999999999E-2</v>
      </c>
      <c r="J703">
        <v>4.9000000000000002E-2</v>
      </c>
      <c r="K703">
        <v>1.9E-2</v>
      </c>
      <c r="L703">
        <v>2233.1999999999998</v>
      </c>
      <c r="M703">
        <v>2240.6</v>
      </c>
      <c r="N703">
        <v>2257.6</v>
      </c>
      <c r="Q703">
        <f t="shared" si="57"/>
        <v>419.4</v>
      </c>
      <c r="R703">
        <f t="shared" si="58"/>
        <v>419.4</v>
      </c>
      <c r="S703">
        <f t="shared" si="59"/>
        <v>0</v>
      </c>
    </row>
    <row r="704" spans="1:19" x14ac:dyDescent="0.25">
      <c r="A704" s="2">
        <v>44883</v>
      </c>
      <c r="B704" s="3">
        <v>322</v>
      </c>
      <c r="C704" s="3">
        <v>400</v>
      </c>
      <c r="D704">
        <v>419.38679999999999</v>
      </c>
      <c r="E704">
        <v>3.4000000000000002E-2</v>
      </c>
      <c r="F704">
        <v>413.23489999999998</v>
      </c>
      <c r="G704">
        <v>420.87259999999998</v>
      </c>
      <c r="H704">
        <v>424.05290000000002</v>
      </c>
      <c r="I704">
        <v>4.3999999999999997E-2</v>
      </c>
      <c r="J704">
        <v>2.9000000000000001E-2</v>
      </c>
      <c r="K704">
        <v>2.5999999999999999E-2</v>
      </c>
      <c r="L704">
        <v>2233.1999999999998</v>
      </c>
      <c r="M704">
        <v>2240.6</v>
      </c>
      <c r="N704">
        <v>2257.6</v>
      </c>
      <c r="Q704">
        <f t="shared" si="57"/>
        <v>419.4</v>
      </c>
      <c r="R704">
        <f t="shared" si="58"/>
        <v>419.4</v>
      </c>
      <c r="S704">
        <f t="shared" si="59"/>
        <v>0</v>
      </c>
    </row>
    <row r="705" spans="1:19" x14ac:dyDescent="0.25">
      <c r="A705" s="2">
        <v>44883</v>
      </c>
      <c r="B705" s="3">
        <v>322</v>
      </c>
      <c r="C705" s="3">
        <v>500</v>
      </c>
      <c r="D705">
        <v>419.38490000000002</v>
      </c>
      <c r="E705">
        <v>4.4999999999999998E-2</v>
      </c>
      <c r="F705">
        <v>413.22390000000001</v>
      </c>
      <c r="G705">
        <v>420.90780000000001</v>
      </c>
      <c r="H705">
        <v>424.02289999999999</v>
      </c>
      <c r="I705">
        <v>3.5999999999999997E-2</v>
      </c>
      <c r="J705">
        <v>0.05</v>
      </c>
      <c r="K705">
        <v>4.9000000000000002E-2</v>
      </c>
      <c r="L705">
        <v>2233.1999999999998</v>
      </c>
      <c r="M705">
        <v>2240.6</v>
      </c>
      <c r="N705">
        <v>2257.6</v>
      </c>
      <c r="Q705">
        <f t="shared" si="57"/>
        <v>419.4</v>
      </c>
      <c r="R705">
        <f t="shared" si="58"/>
        <v>419.4</v>
      </c>
      <c r="S705">
        <f t="shared" si="59"/>
        <v>0</v>
      </c>
    </row>
    <row r="706" spans="1:19" x14ac:dyDescent="0.25">
      <c r="A706" s="2">
        <v>44883</v>
      </c>
      <c r="B706" s="3">
        <v>322</v>
      </c>
      <c r="C706" s="3">
        <v>600</v>
      </c>
      <c r="D706">
        <v>419.36599999999999</v>
      </c>
      <c r="E706">
        <v>3.9E-2</v>
      </c>
      <c r="F706">
        <v>413.2099</v>
      </c>
      <c r="G706">
        <v>420.89190000000002</v>
      </c>
      <c r="H706">
        <v>423.99630000000002</v>
      </c>
      <c r="I706">
        <v>1.2999999999999999E-2</v>
      </c>
      <c r="J706">
        <v>4.4999999999999998E-2</v>
      </c>
      <c r="K706">
        <v>4.9000000000000002E-2</v>
      </c>
      <c r="L706">
        <v>2233.1999999999998</v>
      </c>
      <c r="M706">
        <v>2240.6</v>
      </c>
      <c r="N706">
        <v>2257.4</v>
      </c>
      <c r="Q706">
        <f t="shared" si="57"/>
        <v>419.4</v>
      </c>
      <c r="R706">
        <f t="shared" si="58"/>
        <v>419.4</v>
      </c>
      <c r="S706">
        <f t="shared" si="59"/>
        <v>0</v>
      </c>
    </row>
    <row r="707" spans="1:19" x14ac:dyDescent="0.25">
      <c r="A707" s="2">
        <v>44883</v>
      </c>
      <c r="B707" s="3">
        <v>322</v>
      </c>
      <c r="C707" s="3">
        <v>700</v>
      </c>
      <c r="D707">
        <v>419.35250000000002</v>
      </c>
      <c r="E707">
        <v>4.2000000000000003E-2</v>
      </c>
      <c r="F707">
        <v>413.18889999999999</v>
      </c>
      <c r="G707">
        <v>420.8689</v>
      </c>
      <c r="H707">
        <v>423.99979999999999</v>
      </c>
      <c r="I707">
        <v>3.9E-2</v>
      </c>
      <c r="J707">
        <v>3.5000000000000003E-2</v>
      </c>
      <c r="K707">
        <v>0.05</v>
      </c>
      <c r="L707">
        <v>2233.1999999999998</v>
      </c>
      <c r="M707">
        <v>2240.6</v>
      </c>
      <c r="N707">
        <v>2257.4</v>
      </c>
      <c r="Q707">
        <f t="shared" si="57"/>
        <v>419.4</v>
      </c>
      <c r="R707">
        <f t="shared" si="58"/>
        <v>419.4</v>
      </c>
      <c r="S707">
        <f t="shared" si="59"/>
        <v>0</v>
      </c>
    </row>
    <row r="708" spans="1:19" x14ac:dyDescent="0.25">
      <c r="A708" s="2">
        <v>44883</v>
      </c>
      <c r="B708" s="3">
        <v>322</v>
      </c>
      <c r="C708" s="3">
        <v>800</v>
      </c>
      <c r="D708">
        <v>419.37599999999998</v>
      </c>
      <c r="E708">
        <v>5.1999999999999998E-2</v>
      </c>
      <c r="F708">
        <v>413.23090000000002</v>
      </c>
      <c r="G708">
        <v>420.88830000000002</v>
      </c>
      <c r="H708">
        <v>424.00869999999998</v>
      </c>
      <c r="I708">
        <v>0.05</v>
      </c>
      <c r="J708">
        <v>5.7000000000000002E-2</v>
      </c>
      <c r="K708">
        <v>0.05</v>
      </c>
      <c r="L708">
        <v>2233.1999999999998</v>
      </c>
      <c r="M708">
        <v>2240.8000000000002</v>
      </c>
      <c r="N708">
        <v>2257.4</v>
      </c>
      <c r="Q708">
        <f t="shared" si="57"/>
        <v>419.4</v>
      </c>
      <c r="R708">
        <f t="shared" si="58"/>
        <v>419.4</v>
      </c>
      <c r="S708">
        <f t="shared" si="59"/>
        <v>0</v>
      </c>
    </row>
    <row r="709" spans="1:19" x14ac:dyDescent="0.25">
      <c r="A709" s="2">
        <v>44883</v>
      </c>
      <c r="B709" s="3">
        <v>322</v>
      </c>
      <c r="C709" s="3">
        <v>900</v>
      </c>
      <c r="D709">
        <v>419.27100000000002</v>
      </c>
      <c r="E709">
        <v>4.3999999999999997E-2</v>
      </c>
      <c r="F709">
        <v>413.26069999999999</v>
      </c>
      <c r="G709">
        <v>420.77359999999999</v>
      </c>
      <c r="H709">
        <v>423.77879999999999</v>
      </c>
      <c r="I709">
        <v>0.05</v>
      </c>
      <c r="J709">
        <v>4.1000000000000002E-2</v>
      </c>
      <c r="K709">
        <v>4.1000000000000002E-2</v>
      </c>
      <c r="L709">
        <v>2233.1999999999998</v>
      </c>
      <c r="M709">
        <v>2240.4</v>
      </c>
      <c r="N709">
        <v>2257</v>
      </c>
      <c r="Q709">
        <f t="shared" si="57"/>
        <v>419.3</v>
      </c>
      <c r="R709">
        <f t="shared" si="58"/>
        <v>419.4</v>
      </c>
      <c r="S709">
        <f t="shared" si="59"/>
        <v>0</v>
      </c>
    </row>
    <row r="710" spans="1:19" x14ac:dyDescent="0.25">
      <c r="A710" s="2">
        <v>44883</v>
      </c>
      <c r="B710" s="3">
        <v>322</v>
      </c>
      <c r="C710" s="3">
        <v>1000</v>
      </c>
      <c r="D710">
        <v>419.16410000000002</v>
      </c>
      <c r="E710">
        <v>4.8000000000000001E-2</v>
      </c>
      <c r="F710">
        <v>413.1696</v>
      </c>
      <c r="G710">
        <v>420.69060000000002</v>
      </c>
      <c r="H710">
        <v>423.63200000000001</v>
      </c>
      <c r="I710">
        <v>4.9000000000000002E-2</v>
      </c>
      <c r="J710">
        <v>5.1999999999999998E-2</v>
      </c>
      <c r="K710">
        <v>4.2999999999999997E-2</v>
      </c>
      <c r="L710">
        <v>2233</v>
      </c>
      <c r="M710">
        <v>2240.1999999999998</v>
      </c>
      <c r="N710">
        <v>2256.8000000000002</v>
      </c>
      <c r="Q710">
        <f t="shared" si="57"/>
        <v>419.2</v>
      </c>
      <c r="R710">
        <f t="shared" si="58"/>
        <v>419.4</v>
      </c>
      <c r="S710">
        <f t="shared" si="59"/>
        <v>0</v>
      </c>
    </row>
    <row r="711" spans="1:19" x14ac:dyDescent="0.25">
      <c r="A711" s="2">
        <v>44883</v>
      </c>
      <c r="B711" s="3">
        <v>322</v>
      </c>
      <c r="C711" s="3">
        <v>1100</v>
      </c>
      <c r="D711">
        <v>419.07679999999999</v>
      </c>
      <c r="E711">
        <v>4.5999999999999999E-2</v>
      </c>
      <c r="F711">
        <v>413.03489999999999</v>
      </c>
      <c r="G711">
        <v>420.5883</v>
      </c>
      <c r="H711">
        <v>423.60730000000001</v>
      </c>
      <c r="I711">
        <v>4.3999999999999997E-2</v>
      </c>
      <c r="J711">
        <v>4.3999999999999997E-2</v>
      </c>
      <c r="K711">
        <v>0.05</v>
      </c>
      <c r="L711">
        <v>2232.8000000000002</v>
      </c>
      <c r="M711">
        <v>2240</v>
      </c>
      <c r="N711">
        <v>2256.8000000000002</v>
      </c>
      <c r="Q711">
        <f t="shared" si="57"/>
        <v>419.1</v>
      </c>
      <c r="R711">
        <f t="shared" si="58"/>
        <v>419.4</v>
      </c>
      <c r="S711">
        <f t="shared" si="59"/>
        <v>0</v>
      </c>
    </row>
    <row r="712" spans="1:19" x14ac:dyDescent="0.25">
      <c r="A712" s="2">
        <v>44883</v>
      </c>
      <c r="B712" s="3">
        <v>322</v>
      </c>
      <c r="C712" s="3">
        <v>1200</v>
      </c>
      <c r="D712">
        <v>419.04340000000002</v>
      </c>
      <c r="E712">
        <v>3.5999999999999997E-2</v>
      </c>
      <c r="F712">
        <v>412.99290000000002</v>
      </c>
      <c r="G712">
        <v>420.55650000000003</v>
      </c>
      <c r="H712">
        <v>423.58080000000001</v>
      </c>
      <c r="I712">
        <v>3.5999999999999997E-2</v>
      </c>
      <c r="J712">
        <v>2.9000000000000001E-2</v>
      </c>
      <c r="K712">
        <v>4.2999999999999997E-2</v>
      </c>
      <c r="L712">
        <v>2232.6</v>
      </c>
      <c r="M712">
        <v>2240</v>
      </c>
      <c r="N712">
        <v>2256.6</v>
      </c>
      <c r="Q712">
        <f t="shared" si="57"/>
        <v>419</v>
      </c>
      <c r="R712">
        <f t="shared" si="58"/>
        <v>419.4</v>
      </c>
      <c r="S712">
        <f t="shared" si="59"/>
        <v>0</v>
      </c>
    </row>
    <row r="713" spans="1:19" x14ac:dyDescent="0.25">
      <c r="A713" s="2">
        <v>44883</v>
      </c>
      <c r="B713" s="3">
        <v>322</v>
      </c>
      <c r="C713" s="3">
        <v>1300</v>
      </c>
      <c r="D713">
        <v>419.00119999999998</v>
      </c>
      <c r="E713">
        <v>0.04</v>
      </c>
      <c r="F713">
        <v>412.9316</v>
      </c>
      <c r="G713">
        <v>420.51060000000001</v>
      </c>
      <c r="H713">
        <v>423.56139999999999</v>
      </c>
      <c r="I713">
        <v>4.2000000000000003E-2</v>
      </c>
      <c r="J713">
        <v>0.05</v>
      </c>
      <c r="K713">
        <v>2.1999999999999999E-2</v>
      </c>
      <c r="L713">
        <v>2232.6</v>
      </c>
      <c r="M713">
        <v>2240</v>
      </c>
      <c r="N713">
        <v>2256.6</v>
      </c>
      <c r="Q713">
        <f t="shared" si="57"/>
        <v>419</v>
      </c>
      <c r="R713">
        <f t="shared" si="58"/>
        <v>419.4</v>
      </c>
      <c r="S713">
        <f t="shared" si="59"/>
        <v>0</v>
      </c>
    </row>
    <row r="714" spans="1:19" x14ac:dyDescent="0.25">
      <c r="A714" s="2">
        <v>44883</v>
      </c>
      <c r="B714" s="3">
        <v>322</v>
      </c>
      <c r="C714" s="3">
        <v>1400</v>
      </c>
      <c r="D714">
        <v>418.96120000000002</v>
      </c>
      <c r="E714">
        <v>3.5000000000000003E-2</v>
      </c>
      <c r="F714">
        <v>412.91239999999999</v>
      </c>
      <c r="G714">
        <v>420.44889999999998</v>
      </c>
      <c r="H714">
        <v>423.5224</v>
      </c>
      <c r="I714">
        <v>1.7999999999999999E-2</v>
      </c>
      <c r="J714">
        <v>3.3000000000000002E-2</v>
      </c>
      <c r="K714">
        <v>4.8000000000000001E-2</v>
      </c>
      <c r="L714">
        <v>2232.6</v>
      </c>
      <c r="M714">
        <v>2239.6</v>
      </c>
      <c r="N714">
        <v>2256.6</v>
      </c>
      <c r="Q714">
        <f t="shared" si="57"/>
        <v>419</v>
      </c>
      <c r="R714">
        <f t="shared" si="58"/>
        <v>419.4</v>
      </c>
      <c r="S714">
        <f t="shared" si="59"/>
        <v>0</v>
      </c>
    </row>
    <row r="715" spans="1:19" x14ac:dyDescent="0.25">
      <c r="A715" s="2">
        <v>44883</v>
      </c>
      <c r="B715" s="3">
        <v>322</v>
      </c>
      <c r="C715" s="3">
        <v>1500</v>
      </c>
      <c r="D715">
        <v>418.92570000000001</v>
      </c>
      <c r="E715">
        <v>3.9E-2</v>
      </c>
      <c r="F715">
        <v>412.78449999999998</v>
      </c>
      <c r="G715">
        <v>420.45769999999999</v>
      </c>
      <c r="H715">
        <v>423.53480000000002</v>
      </c>
      <c r="I715">
        <v>4.2999999999999997E-2</v>
      </c>
      <c r="J715">
        <v>3.2000000000000001E-2</v>
      </c>
      <c r="K715">
        <v>4.1000000000000002E-2</v>
      </c>
      <c r="L715">
        <v>2232.4</v>
      </c>
      <c r="M715">
        <v>2239.8000000000002</v>
      </c>
      <c r="N715">
        <v>2256.6</v>
      </c>
      <c r="Q715">
        <f t="shared" si="57"/>
        <v>418.9</v>
      </c>
      <c r="R715">
        <f t="shared" si="58"/>
        <v>419.4</v>
      </c>
      <c r="S715">
        <f t="shared" si="59"/>
        <v>0</v>
      </c>
    </row>
    <row r="716" spans="1:19" x14ac:dyDescent="0.25">
      <c r="A716" s="2">
        <v>44883</v>
      </c>
      <c r="B716" s="3">
        <v>322</v>
      </c>
      <c r="C716" s="3">
        <v>1600</v>
      </c>
      <c r="D716">
        <v>418.93</v>
      </c>
      <c r="E716">
        <v>4.1000000000000002E-2</v>
      </c>
      <c r="F716">
        <v>412.71800000000002</v>
      </c>
      <c r="G716">
        <v>420.48770000000002</v>
      </c>
      <c r="H716">
        <v>423.58440000000002</v>
      </c>
      <c r="I716">
        <v>3.4000000000000002E-2</v>
      </c>
      <c r="J716">
        <v>4.3999999999999997E-2</v>
      </c>
      <c r="K716">
        <v>4.4999999999999998E-2</v>
      </c>
      <c r="L716">
        <v>2232.1999999999998</v>
      </c>
      <c r="M716">
        <v>2240</v>
      </c>
      <c r="N716">
        <v>2256.6</v>
      </c>
      <c r="Q716">
        <f t="shared" si="57"/>
        <v>418.9</v>
      </c>
      <c r="R716">
        <f t="shared" si="58"/>
        <v>419.4</v>
      </c>
      <c r="S716">
        <f t="shared" si="59"/>
        <v>0</v>
      </c>
    </row>
    <row r="717" spans="1:19" x14ac:dyDescent="0.25">
      <c r="A717" s="2">
        <v>44883</v>
      </c>
      <c r="B717" s="3">
        <v>322</v>
      </c>
      <c r="C717" s="3">
        <v>1700</v>
      </c>
      <c r="D717">
        <v>419.06970000000001</v>
      </c>
      <c r="E717">
        <v>4.2999999999999997E-2</v>
      </c>
      <c r="F717">
        <v>412.83879999999999</v>
      </c>
      <c r="G717">
        <v>420.673</v>
      </c>
      <c r="H717">
        <v>423.69740000000002</v>
      </c>
      <c r="I717">
        <v>4.5999999999999999E-2</v>
      </c>
      <c r="J717">
        <v>3.1E-2</v>
      </c>
      <c r="K717">
        <v>4.9000000000000002E-2</v>
      </c>
      <c r="L717">
        <v>2232.4</v>
      </c>
      <c r="M717">
        <v>2240.1999999999998</v>
      </c>
      <c r="N717">
        <v>2257</v>
      </c>
      <c r="Q717">
        <f t="shared" si="57"/>
        <v>419.1</v>
      </c>
      <c r="R717">
        <f t="shared" si="58"/>
        <v>419.4</v>
      </c>
      <c r="S717">
        <f t="shared" si="59"/>
        <v>0</v>
      </c>
    </row>
    <row r="718" spans="1:19" x14ac:dyDescent="0.25">
      <c r="A718" s="2">
        <v>44883</v>
      </c>
      <c r="B718" s="3">
        <v>322</v>
      </c>
      <c r="C718" s="3">
        <v>1800</v>
      </c>
      <c r="D718">
        <v>419.19529999999997</v>
      </c>
      <c r="E718">
        <v>4.2000000000000003E-2</v>
      </c>
      <c r="F718">
        <v>412.99110000000002</v>
      </c>
      <c r="G718">
        <v>420.78059999999999</v>
      </c>
      <c r="H718">
        <v>423.8141</v>
      </c>
      <c r="I718">
        <v>3.7999999999999999E-2</v>
      </c>
      <c r="J718">
        <v>3.7999999999999999E-2</v>
      </c>
      <c r="K718">
        <v>0.05</v>
      </c>
      <c r="L718">
        <v>2232.8000000000002</v>
      </c>
      <c r="M718">
        <v>2240.4</v>
      </c>
      <c r="N718">
        <v>2257.1999999999998</v>
      </c>
      <c r="Q718">
        <f t="shared" si="57"/>
        <v>419.2</v>
      </c>
      <c r="R718">
        <f t="shared" si="58"/>
        <v>419.4</v>
      </c>
      <c r="S718">
        <f t="shared" si="59"/>
        <v>0</v>
      </c>
    </row>
    <row r="719" spans="1:19" x14ac:dyDescent="0.25">
      <c r="A719" s="2">
        <v>44883</v>
      </c>
      <c r="B719" s="3">
        <v>322</v>
      </c>
      <c r="C719" s="3">
        <v>1900</v>
      </c>
      <c r="D719">
        <v>419.23050000000001</v>
      </c>
      <c r="E719">
        <v>3.9E-2</v>
      </c>
      <c r="F719">
        <v>413.03140000000002</v>
      </c>
      <c r="G719">
        <v>420.80529999999999</v>
      </c>
      <c r="H719">
        <v>423.85480000000001</v>
      </c>
      <c r="I719">
        <v>4.2000000000000003E-2</v>
      </c>
      <c r="J719">
        <v>0.05</v>
      </c>
      <c r="K719">
        <v>1.9E-2</v>
      </c>
      <c r="L719">
        <v>2232.8000000000002</v>
      </c>
      <c r="M719">
        <v>2240.6</v>
      </c>
      <c r="N719">
        <v>2257.1999999999998</v>
      </c>
      <c r="Q719">
        <f t="shared" si="57"/>
        <v>419.2</v>
      </c>
      <c r="R719">
        <f t="shared" si="58"/>
        <v>419.4</v>
      </c>
      <c r="S719">
        <f t="shared" si="59"/>
        <v>0</v>
      </c>
    </row>
    <row r="720" spans="1:19" x14ac:dyDescent="0.25">
      <c r="A720" s="2">
        <v>44883</v>
      </c>
      <c r="B720" s="3">
        <v>322</v>
      </c>
      <c r="C720" s="3">
        <v>2000</v>
      </c>
      <c r="D720">
        <v>419.24400000000003</v>
      </c>
      <c r="E720">
        <v>4.7E-2</v>
      </c>
      <c r="F720">
        <v>413.03660000000002</v>
      </c>
      <c r="G720">
        <v>420.80889999999999</v>
      </c>
      <c r="H720">
        <v>423.88659999999999</v>
      </c>
      <c r="I720">
        <v>4.4999999999999998E-2</v>
      </c>
      <c r="J720">
        <v>0.05</v>
      </c>
      <c r="K720">
        <v>4.4999999999999998E-2</v>
      </c>
      <c r="L720">
        <v>2232.8000000000002</v>
      </c>
      <c r="M720">
        <v>2240.4</v>
      </c>
      <c r="N720">
        <v>2257.4</v>
      </c>
      <c r="Q720">
        <f t="shared" si="57"/>
        <v>419.2</v>
      </c>
      <c r="R720">
        <f t="shared" si="58"/>
        <v>419.4</v>
      </c>
      <c r="S720">
        <f t="shared" si="59"/>
        <v>0</v>
      </c>
    </row>
    <row r="721" spans="1:19" x14ac:dyDescent="0.25">
      <c r="A721" s="2">
        <v>44883</v>
      </c>
      <c r="B721" s="3">
        <v>322</v>
      </c>
      <c r="C721" s="3">
        <v>2100</v>
      </c>
      <c r="D721">
        <v>419.27510000000001</v>
      </c>
      <c r="E721">
        <v>4.4999999999999998E-2</v>
      </c>
      <c r="F721">
        <v>413.0874</v>
      </c>
      <c r="G721">
        <v>420.83539999999999</v>
      </c>
      <c r="H721">
        <v>423.90249999999997</v>
      </c>
      <c r="I721">
        <v>4.1000000000000002E-2</v>
      </c>
      <c r="J721">
        <v>4.4999999999999998E-2</v>
      </c>
      <c r="K721">
        <v>0.05</v>
      </c>
      <c r="L721">
        <v>2233</v>
      </c>
      <c r="M721">
        <v>2240.4</v>
      </c>
      <c r="N721">
        <v>2257.1999999999998</v>
      </c>
      <c r="Q721">
        <f t="shared" si="57"/>
        <v>419.3</v>
      </c>
      <c r="R721">
        <f t="shared" si="58"/>
        <v>419.4</v>
      </c>
      <c r="S721">
        <f t="shared" si="59"/>
        <v>0</v>
      </c>
    </row>
    <row r="722" spans="1:19" x14ac:dyDescent="0.25">
      <c r="A722" s="2">
        <v>44883</v>
      </c>
      <c r="B722" s="3">
        <v>322</v>
      </c>
      <c r="C722" s="3">
        <v>2200</v>
      </c>
      <c r="D722">
        <v>419.27749999999997</v>
      </c>
      <c r="E722">
        <v>4.5999999999999999E-2</v>
      </c>
      <c r="F722">
        <v>413.0804</v>
      </c>
      <c r="G722">
        <v>420.84070000000003</v>
      </c>
      <c r="H722">
        <v>423.91140000000001</v>
      </c>
      <c r="I722">
        <v>4.4999999999999998E-2</v>
      </c>
      <c r="J722">
        <v>4.2000000000000003E-2</v>
      </c>
      <c r="K722">
        <v>0.05</v>
      </c>
      <c r="L722">
        <v>2232.8000000000002</v>
      </c>
      <c r="M722">
        <v>2240.4</v>
      </c>
      <c r="N722">
        <v>2257.1999999999998</v>
      </c>
      <c r="Q722">
        <f t="shared" si="57"/>
        <v>419.3</v>
      </c>
      <c r="R722">
        <f t="shared" si="58"/>
        <v>419.4</v>
      </c>
      <c r="S722">
        <f t="shared" si="59"/>
        <v>0</v>
      </c>
    </row>
    <row r="723" spans="1:19" x14ac:dyDescent="0.25">
      <c r="A723" s="2">
        <v>44883</v>
      </c>
      <c r="B723" s="3">
        <v>322</v>
      </c>
      <c r="C723" s="3">
        <v>2300</v>
      </c>
      <c r="D723">
        <v>419.2851</v>
      </c>
      <c r="E723">
        <v>4.2999999999999997E-2</v>
      </c>
      <c r="F723">
        <v>413.08390000000003</v>
      </c>
      <c r="G723">
        <v>420.846</v>
      </c>
      <c r="H723">
        <v>423.9255</v>
      </c>
      <c r="I723">
        <v>4.2999999999999997E-2</v>
      </c>
      <c r="J723">
        <v>3.7999999999999999E-2</v>
      </c>
      <c r="K723">
        <v>4.8000000000000001E-2</v>
      </c>
      <c r="L723">
        <v>2233</v>
      </c>
      <c r="M723">
        <v>2240.6</v>
      </c>
      <c r="N723">
        <v>2257.1999999999998</v>
      </c>
      <c r="Q723">
        <f t="shared" ref="Q723:Q786" si="60">ROUND(D723,1)</f>
        <v>419.3</v>
      </c>
      <c r="R723">
        <f t="shared" si="58"/>
        <v>419.4</v>
      </c>
      <c r="S723">
        <f t="shared" si="59"/>
        <v>0</v>
      </c>
    </row>
    <row r="724" spans="1:19" x14ac:dyDescent="0.25">
      <c r="A724" s="2">
        <v>44883</v>
      </c>
      <c r="B724" s="3">
        <v>322</v>
      </c>
      <c r="C724" s="3">
        <v>2400</v>
      </c>
      <c r="D724">
        <v>419.30500000000001</v>
      </c>
      <c r="E724">
        <v>3.6999999999999998E-2</v>
      </c>
      <c r="F724">
        <v>413.12060000000002</v>
      </c>
      <c r="G724">
        <v>420.85660000000001</v>
      </c>
      <c r="H724">
        <v>423.93790000000001</v>
      </c>
      <c r="I724">
        <v>4.2000000000000003E-2</v>
      </c>
      <c r="J724">
        <v>2.5999999999999999E-2</v>
      </c>
      <c r="K724">
        <v>4.1000000000000002E-2</v>
      </c>
      <c r="L724">
        <v>2233</v>
      </c>
      <c r="M724">
        <v>2240.6</v>
      </c>
      <c r="N724">
        <v>2257.4</v>
      </c>
      <c r="Q724">
        <f t="shared" si="60"/>
        <v>419.3</v>
      </c>
      <c r="R724">
        <f t="shared" si="58"/>
        <v>419.4</v>
      </c>
      <c r="S724">
        <f t="shared" si="59"/>
        <v>0</v>
      </c>
    </row>
    <row r="725" spans="1:19" x14ac:dyDescent="0.25">
      <c r="A725" s="2">
        <v>44884</v>
      </c>
      <c r="B725" s="3">
        <v>323</v>
      </c>
      <c r="C725" s="3">
        <v>100</v>
      </c>
      <c r="D725">
        <v>419.31270000000001</v>
      </c>
      <c r="E725">
        <v>0.04</v>
      </c>
      <c r="F725">
        <v>413.13639999999998</v>
      </c>
      <c r="G725">
        <v>420.86540000000002</v>
      </c>
      <c r="H725">
        <v>423.93610000000001</v>
      </c>
      <c r="I725">
        <v>4.4999999999999998E-2</v>
      </c>
      <c r="J725">
        <v>0.03</v>
      </c>
      <c r="K725">
        <v>4.2000000000000003E-2</v>
      </c>
      <c r="L725">
        <v>2233</v>
      </c>
      <c r="M725">
        <v>2240.6</v>
      </c>
      <c r="N725">
        <v>2257.4</v>
      </c>
      <c r="Q725">
        <f t="shared" si="60"/>
        <v>419.3</v>
      </c>
      <c r="R725">
        <f t="shared" si="58"/>
        <v>419.4</v>
      </c>
      <c r="S725">
        <f t="shared" si="59"/>
        <v>0</v>
      </c>
    </row>
    <row r="726" spans="1:19" x14ac:dyDescent="0.25">
      <c r="A726" s="2">
        <v>44884</v>
      </c>
      <c r="B726" s="3">
        <v>323</v>
      </c>
      <c r="C726" s="3">
        <v>200</v>
      </c>
      <c r="D726">
        <v>419.31259999999997</v>
      </c>
      <c r="E726">
        <v>4.1000000000000002E-2</v>
      </c>
      <c r="F726">
        <v>413.15039999999999</v>
      </c>
      <c r="G726">
        <v>420.85480000000001</v>
      </c>
      <c r="H726">
        <v>423.93259999999998</v>
      </c>
      <c r="I726">
        <v>4.9000000000000002E-2</v>
      </c>
      <c r="J726">
        <v>2.8000000000000001E-2</v>
      </c>
      <c r="K726">
        <v>4.3999999999999997E-2</v>
      </c>
      <c r="L726">
        <v>2233.1999999999998</v>
      </c>
      <c r="M726">
        <v>2240.6</v>
      </c>
      <c r="N726">
        <v>2257.4</v>
      </c>
      <c r="Q726">
        <f t="shared" si="60"/>
        <v>419.3</v>
      </c>
      <c r="R726">
        <f t="shared" si="58"/>
        <v>419.4</v>
      </c>
      <c r="S726">
        <f t="shared" si="59"/>
        <v>0</v>
      </c>
    </row>
    <row r="727" spans="1:19" x14ac:dyDescent="0.25">
      <c r="A727" s="2">
        <v>44884</v>
      </c>
      <c r="B727" s="3">
        <v>323</v>
      </c>
      <c r="C727" s="3">
        <v>300</v>
      </c>
      <c r="D727">
        <v>419.30380000000002</v>
      </c>
      <c r="E727">
        <v>3.7999999999999999E-2</v>
      </c>
      <c r="F727">
        <v>413.1259</v>
      </c>
      <c r="G727">
        <v>420.85480000000001</v>
      </c>
      <c r="H727">
        <v>423.93079999999998</v>
      </c>
      <c r="I727">
        <v>3.7999999999999999E-2</v>
      </c>
      <c r="J727">
        <v>2.8000000000000001E-2</v>
      </c>
      <c r="K727">
        <v>4.4999999999999998E-2</v>
      </c>
      <c r="L727">
        <v>2233</v>
      </c>
      <c r="M727">
        <v>2240.6</v>
      </c>
      <c r="N727">
        <v>2257.4</v>
      </c>
      <c r="Q727">
        <f t="shared" si="60"/>
        <v>419.3</v>
      </c>
      <c r="R727">
        <f t="shared" si="58"/>
        <v>419.4</v>
      </c>
      <c r="S727">
        <f t="shared" si="59"/>
        <v>0</v>
      </c>
    </row>
    <row r="728" spans="1:19" x14ac:dyDescent="0.25">
      <c r="A728" s="2">
        <v>44884</v>
      </c>
      <c r="B728" s="3">
        <v>323</v>
      </c>
      <c r="C728" s="3">
        <v>400</v>
      </c>
      <c r="D728">
        <v>419.30259999999998</v>
      </c>
      <c r="E728">
        <v>0.04</v>
      </c>
      <c r="F728">
        <v>413.12240000000003</v>
      </c>
      <c r="G728">
        <v>420.85660000000001</v>
      </c>
      <c r="H728">
        <v>423.92899999999997</v>
      </c>
      <c r="I728">
        <v>3.5000000000000003E-2</v>
      </c>
      <c r="J728">
        <v>3.6999999999999998E-2</v>
      </c>
      <c r="K728">
        <v>4.5999999999999999E-2</v>
      </c>
      <c r="L728">
        <v>2233</v>
      </c>
      <c r="M728">
        <v>2240.6</v>
      </c>
      <c r="N728">
        <v>2257.4</v>
      </c>
      <c r="Q728">
        <f t="shared" si="60"/>
        <v>419.3</v>
      </c>
      <c r="R728">
        <f t="shared" si="58"/>
        <v>419.4</v>
      </c>
      <c r="S728">
        <f t="shared" si="59"/>
        <v>0</v>
      </c>
    </row>
    <row r="729" spans="1:19" x14ac:dyDescent="0.25">
      <c r="A729" s="2">
        <v>44884</v>
      </c>
      <c r="B729" s="3">
        <v>323</v>
      </c>
      <c r="C729" s="3">
        <v>500</v>
      </c>
      <c r="D729">
        <v>419.29919999999998</v>
      </c>
      <c r="E729">
        <v>3.6999999999999998E-2</v>
      </c>
      <c r="F729">
        <v>413.1189</v>
      </c>
      <c r="G729">
        <v>420.85829999999999</v>
      </c>
      <c r="H729">
        <v>423.92020000000002</v>
      </c>
      <c r="I729">
        <v>3.1E-2</v>
      </c>
      <c r="J729">
        <v>2.9000000000000001E-2</v>
      </c>
      <c r="K729">
        <v>4.9000000000000002E-2</v>
      </c>
      <c r="L729">
        <v>2233</v>
      </c>
      <c r="M729">
        <v>2240.6</v>
      </c>
      <c r="N729">
        <v>2257.1999999999998</v>
      </c>
      <c r="Q729">
        <f t="shared" si="60"/>
        <v>419.3</v>
      </c>
      <c r="R729">
        <f t="shared" si="58"/>
        <v>419.4</v>
      </c>
      <c r="S729">
        <f t="shared" si="59"/>
        <v>0</v>
      </c>
    </row>
    <row r="730" spans="1:19" x14ac:dyDescent="0.25">
      <c r="A730" s="2">
        <v>44884</v>
      </c>
      <c r="B730" s="3">
        <v>323</v>
      </c>
      <c r="C730" s="3">
        <v>600</v>
      </c>
      <c r="D730">
        <v>419.28980000000001</v>
      </c>
      <c r="E730">
        <v>3.5999999999999997E-2</v>
      </c>
      <c r="F730">
        <v>413.10840000000002</v>
      </c>
      <c r="G730">
        <v>420.84769999999997</v>
      </c>
      <c r="H730">
        <v>423.91309999999999</v>
      </c>
      <c r="I730">
        <v>0</v>
      </c>
      <c r="J730">
        <v>3.6999999999999998E-2</v>
      </c>
      <c r="K730">
        <v>0.05</v>
      </c>
      <c r="L730">
        <v>2233</v>
      </c>
      <c r="M730">
        <v>2240.6</v>
      </c>
      <c r="N730">
        <v>2257.4</v>
      </c>
      <c r="Q730">
        <f t="shared" si="60"/>
        <v>419.3</v>
      </c>
      <c r="R730">
        <f t="shared" si="58"/>
        <v>419.4</v>
      </c>
      <c r="S730">
        <f t="shared" si="59"/>
        <v>0</v>
      </c>
    </row>
    <row r="731" spans="1:19" x14ac:dyDescent="0.25">
      <c r="A731" s="2">
        <v>44884</v>
      </c>
      <c r="B731" s="3">
        <v>323</v>
      </c>
      <c r="C731" s="3">
        <v>700</v>
      </c>
      <c r="D731">
        <v>419.27620000000002</v>
      </c>
      <c r="E731">
        <v>4.2999999999999997E-2</v>
      </c>
      <c r="F731">
        <v>413.09440000000001</v>
      </c>
      <c r="G731">
        <v>420.8372</v>
      </c>
      <c r="H731">
        <v>423.8972</v>
      </c>
      <c r="I731">
        <v>3.5000000000000003E-2</v>
      </c>
      <c r="J731">
        <v>4.3999999999999997E-2</v>
      </c>
      <c r="K731">
        <v>4.9000000000000002E-2</v>
      </c>
      <c r="L731">
        <v>2233</v>
      </c>
      <c r="M731">
        <v>2240.6</v>
      </c>
      <c r="N731">
        <v>2257.4</v>
      </c>
      <c r="Q731">
        <f t="shared" si="60"/>
        <v>419.3</v>
      </c>
      <c r="R731">
        <f t="shared" si="58"/>
        <v>419.4</v>
      </c>
      <c r="S731">
        <f t="shared" si="59"/>
        <v>0</v>
      </c>
    </row>
    <row r="732" spans="1:19" x14ac:dyDescent="0.25">
      <c r="A732" s="2">
        <v>44884</v>
      </c>
      <c r="B732" s="3">
        <v>323</v>
      </c>
      <c r="C732" s="3">
        <v>800</v>
      </c>
      <c r="D732">
        <v>419.2704</v>
      </c>
      <c r="E732">
        <v>4.4999999999999998E-2</v>
      </c>
      <c r="F732">
        <v>413.0926</v>
      </c>
      <c r="G732">
        <v>420.82650000000001</v>
      </c>
      <c r="H732">
        <v>423.89190000000002</v>
      </c>
      <c r="I732">
        <v>3.5999999999999997E-2</v>
      </c>
      <c r="J732">
        <v>4.9000000000000002E-2</v>
      </c>
      <c r="K732">
        <v>4.8000000000000001E-2</v>
      </c>
      <c r="L732">
        <v>2233</v>
      </c>
      <c r="M732">
        <v>2240.6</v>
      </c>
      <c r="N732">
        <v>2257.1999999999998</v>
      </c>
      <c r="Q732">
        <f t="shared" si="60"/>
        <v>419.3</v>
      </c>
      <c r="R732">
        <f t="shared" si="58"/>
        <v>419.4</v>
      </c>
      <c r="S732">
        <f t="shared" si="59"/>
        <v>0</v>
      </c>
    </row>
    <row r="733" spans="1:19" x14ac:dyDescent="0.25">
      <c r="A733" s="2">
        <v>44884</v>
      </c>
      <c r="B733" s="3">
        <v>323</v>
      </c>
      <c r="C733" s="3">
        <v>900</v>
      </c>
      <c r="D733">
        <v>419.17079999999999</v>
      </c>
      <c r="E733">
        <v>4.4999999999999998E-2</v>
      </c>
      <c r="F733">
        <v>413.09609999999998</v>
      </c>
      <c r="G733">
        <v>420.71879999999999</v>
      </c>
      <c r="H733">
        <v>423.69740000000002</v>
      </c>
      <c r="I733">
        <v>3.3000000000000002E-2</v>
      </c>
      <c r="J733">
        <v>0.05</v>
      </c>
      <c r="K733">
        <v>4.9000000000000002E-2</v>
      </c>
      <c r="L733">
        <v>2233</v>
      </c>
      <c r="M733">
        <v>2240.1999999999998</v>
      </c>
      <c r="N733">
        <v>2256.8000000000002</v>
      </c>
      <c r="Q733">
        <f t="shared" si="60"/>
        <v>419.2</v>
      </c>
      <c r="R733">
        <f t="shared" si="58"/>
        <v>419.4</v>
      </c>
      <c r="S733">
        <f t="shared" si="59"/>
        <v>0</v>
      </c>
    </row>
    <row r="734" spans="1:19" x14ac:dyDescent="0.25">
      <c r="A734" s="2">
        <v>44884</v>
      </c>
      <c r="B734" s="3">
        <v>323</v>
      </c>
      <c r="C734" s="3">
        <v>1000</v>
      </c>
      <c r="D734">
        <v>419.096</v>
      </c>
      <c r="E734">
        <v>0.04</v>
      </c>
      <c r="F734">
        <v>413.09089999999998</v>
      </c>
      <c r="G734">
        <v>420.65</v>
      </c>
      <c r="H734">
        <v>423.54719999999998</v>
      </c>
      <c r="I734">
        <v>3.7999999999999999E-2</v>
      </c>
      <c r="J734">
        <v>0.05</v>
      </c>
      <c r="K734">
        <v>2.9000000000000001E-2</v>
      </c>
      <c r="L734">
        <v>2233</v>
      </c>
      <c r="M734">
        <v>2240</v>
      </c>
      <c r="N734">
        <v>2256.6</v>
      </c>
      <c r="Q734">
        <f t="shared" si="60"/>
        <v>419.1</v>
      </c>
      <c r="R734">
        <f t="shared" si="58"/>
        <v>419.4</v>
      </c>
      <c r="S734">
        <f t="shared" si="59"/>
        <v>0</v>
      </c>
    </row>
    <row r="735" spans="1:19" x14ac:dyDescent="0.25">
      <c r="A735" s="2">
        <v>44884</v>
      </c>
      <c r="B735" s="3">
        <v>323</v>
      </c>
      <c r="C735" s="3">
        <v>1100</v>
      </c>
      <c r="D735">
        <v>418.9606</v>
      </c>
      <c r="E735">
        <v>3.4000000000000002E-2</v>
      </c>
      <c r="F735">
        <v>412.90190000000001</v>
      </c>
      <c r="G735">
        <v>420.53179999999998</v>
      </c>
      <c r="H735">
        <v>423.44810000000001</v>
      </c>
      <c r="I735">
        <v>2.5999999999999999E-2</v>
      </c>
      <c r="J735">
        <v>4.5999999999999999E-2</v>
      </c>
      <c r="K735">
        <v>2.5999999999999999E-2</v>
      </c>
      <c r="L735">
        <v>2232.6</v>
      </c>
      <c r="M735">
        <v>2240</v>
      </c>
      <c r="N735">
        <v>2256.4</v>
      </c>
      <c r="Q735">
        <f t="shared" si="60"/>
        <v>419</v>
      </c>
      <c r="R735">
        <f t="shared" si="58"/>
        <v>419.4</v>
      </c>
      <c r="S735">
        <f t="shared" si="59"/>
        <v>0</v>
      </c>
    </row>
    <row r="736" spans="1:19" x14ac:dyDescent="0.25">
      <c r="A736" s="2">
        <v>44884</v>
      </c>
      <c r="B736" s="3">
        <v>323</v>
      </c>
      <c r="C736" s="3">
        <v>1200</v>
      </c>
      <c r="D736">
        <v>418.90010000000001</v>
      </c>
      <c r="E736">
        <v>4.4999999999999998E-2</v>
      </c>
      <c r="F736">
        <v>412.8528</v>
      </c>
      <c r="G736">
        <v>420.44889999999998</v>
      </c>
      <c r="H736">
        <v>423.39870000000002</v>
      </c>
      <c r="I736">
        <v>0.05</v>
      </c>
      <c r="J736">
        <v>3.3000000000000002E-2</v>
      </c>
      <c r="K736">
        <v>0.05</v>
      </c>
      <c r="L736">
        <v>2232.6</v>
      </c>
      <c r="M736">
        <v>2239.8000000000002</v>
      </c>
      <c r="N736">
        <v>2256.1999999999998</v>
      </c>
      <c r="Q736">
        <f t="shared" si="60"/>
        <v>418.9</v>
      </c>
      <c r="R736">
        <f t="shared" si="58"/>
        <v>419.4</v>
      </c>
      <c r="S736">
        <f t="shared" si="59"/>
        <v>0</v>
      </c>
    </row>
    <row r="737" spans="1:19" x14ac:dyDescent="0.25">
      <c r="A737" s="2">
        <v>44884</v>
      </c>
      <c r="B737" s="3">
        <v>323</v>
      </c>
      <c r="C737" s="3">
        <v>1300</v>
      </c>
      <c r="D737">
        <v>418.87779999999998</v>
      </c>
      <c r="E737">
        <v>4.5999999999999999E-2</v>
      </c>
      <c r="F737">
        <v>412.83</v>
      </c>
      <c r="G737">
        <v>420.41359999999997</v>
      </c>
      <c r="H737">
        <v>423.38979999999998</v>
      </c>
      <c r="I737">
        <v>4.1000000000000002E-2</v>
      </c>
      <c r="J737">
        <v>0.05</v>
      </c>
      <c r="K737">
        <v>4.8000000000000001E-2</v>
      </c>
      <c r="L737">
        <v>2232.4</v>
      </c>
      <c r="M737">
        <v>2239.6</v>
      </c>
      <c r="N737">
        <v>2256.1999999999998</v>
      </c>
      <c r="Q737">
        <f t="shared" si="60"/>
        <v>418.9</v>
      </c>
      <c r="R737">
        <f t="shared" si="58"/>
        <v>419.4</v>
      </c>
      <c r="S737">
        <f t="shared" si="59"/>
        <v>0</v>
      </c>
    </row>
    <row r="738" spans="1:19" x14ac:dyDescent="0.25">
      <c r="A738" s="2">
        <v>44884</v>
      </c>
      <c r="B738" s="3">
        <v>323</v>
      </c>
      <c r="C738" s="3">
        <v>1400</v>
      </c>
      <c r="D738">
        <v>418.8415</v>
      </c>
      <c r="E738">
        <v>4.2000000000000003E-2</v>
      </c>
      <c r="F738">
        <v>412.7722</v>
      </c>
      <c r="G738">
        <v>420.3854</v>
      </c>
      <c r="H738">
        <v>423.36689999999999</v>
      </c>
      <c r="I738">
        <v>4.8000000000000001E-2</v>
      </c>
      <c r="J738">
        <v>4.2999999999999997E-2</v>
      </c>
      <c r="K738">
        <v>3.3000000000000002E-2</v>
      </c>
      <c r="L738">
        <v>2232.4</v>
      </c>
      <c r="M738">
        <v>2239.6</v>
      </c>
      <c r="N738">
        <v>2256.1999999999998</v>
      </c>
      <c r="Q738">
        <f t="shared" si="60"/>
        <v>418.8</v>
      </c>
      <c r="R738">
        <f t="shared" ref="R738:R801" si="61">ROUND(IF(Q738&lt;R737,R737,Q738),1)</f>
        <v>419.4</v>
      </c>
      <c r="S738">
        <f t="shared" si="59"/>
        <v>0</v>
      </c>
    </row>
    <row r="739" spans="1:19" x14ac:dyDescent="0.25">
      <c r="A739" s="2">
        <v>44884</v>
      </c>
      <c r="B739" s="3">
        <v>323</v>
      </c>
      <c r="C739" s="3">
        <v>1500</v>
      </c>
      <c r="D739">
        <v>418.82420000000002</v>
      </c>
      <c r="E739">
        <v>4.9000000000000002E-2</v>
      </c>
      <c r="F739">
        <v>412.64460000000003</v>
      </c>
      <c r="G739">
        <v>420.4083</v>
      </c>
      <c r="H739">
        <v>423.41989999999998</v>
      </c>
      <c r="I739">
        <v>4.8000000000000001E-2</v>
      </c>
      <c r="J739">
        <v>0.05</v>
      </c>
      <c r="K739">
        <v>4.8000000000000001E-2</v>
      </c>
      <c r="L739">
        <v>2232</v>
      </c>
      <c r="M739">
        <v>2239.6</v>
      </c>
      <c r="N739">
        <v>2256.4</v>
      </c>
      <c r="Q739">
        <f t="shared" si="60"/>
        <v>418.8</v>
      </c>
      <c r="R739">
        <f t="shared" si="61"/>
        <v>419.4</v>
      </c>
      <c r="S739">
        <f t="shared" si="59"/>
        <v>0</v>
      </c>
    </row>
    <row r="740" spans="1:19" x14ac:dyDescent="0.25">
      <c r="A740" s="2">
        <v>44884</v>
      </c>
      <c r="B740" s="3">
        <v>323</v>
      </c>
      <c r="C740" s="3">
        <v>1600</v>
      </c>
      <c r="D740">
        <v>418.84960000000001</v>
      </c>
      <c r="E740">
        <v>3.5000000000000003E-2</v>
      </c>
      <c r="F740">
        <v>412.61130000000003</v>
      </c>
      <c r="G740">
        <v>420.49299999999999</v>
      </c>
      <c r="H740">
        <v>423.44459999999998</v>
      </c>
      <c r="I740">
        <v>2.3E-2</v>
      </c>
      <c r="J740">
        <v>4.7E-2</v>
      </c>
      <c r="K740">
        <v>3.1E-2</v>
      </c>
      <c r="L740">
        <v>2232</v>
      </c>
      <c r="M740">
        <v>2240</v>
      </c>
      <c r="N740">
        <v>2256.4</v>
      </c>
      <c r="Q740">
        <f t="shared" si="60"/>
        <v>418.8</v>
      </c>
      <c r="R740">
        <f t="shared" si="61"/>
        <v>419.4</v>
      </c>
      <c r="S740">
        <f t="shared" si="59"/>
        <v>0</v>
      </c>
    </row>
    <row r="741" spans="1:19" x14ac:dyDescent="0.25">
      <c r="A741" s="2">
        <v>44884</v>
      </c>
      <c r="B741" s="3">
        <v>323</v>
      </c>
      <c r="C741" s="3">
        <v>1700</v>
      </c>
      <c r="D741">
        <v>419.00170000000003</v>
      </c>
      <c r="E741">
        <v>4.2000000000000003E-2</v>
      </c>
      <c r="F741">
        <v>412.74079999999998</v>
      </c>
      <c r="G741">
        <v>420.66590000000002</v>
      </c>
      <c r="H741">
        <v>423.5985</v>
      </c>
      <c r="I741">
        <v>4.5999999999999999E-2</v>
      </c>
      <c r="J741">
        <v>2.5999999999999999E-2</v>
      </c>
      <c r="K741">
        <v>0.05</v>
      </c>
      <c r="L741">
        <v>2232.1999999999998</v>
      </c>
      <c r="M741">
        <v>2240.1999999999998</v>
      </c>
      <c r="N741">
        <v>2256.8000000000002</v>
      </c>
      <c r="Q741">
        <f t="shared" si="60"/>
        <v>419</v>
      </c>
      <c r="R741">
        <f t="shared" si="61"/>
        <v>419.4</v>
      </c>
      <c r="S741">
        <f t="shared" ref="S741:S804" si="62">IF(R741&gt;R740,R741-R740,0)</f>
        <v>0</v>
      </c>
    </row>
    <row r="742" spans="1:19" x14ac:dyDescent="0.25">
      <c r="A742" s="2">
        <v>44884</v>
      </c>
      <c r="B742" s="3">
        <v>323</v>
      </c>
      <c r="C742" s="3">
        <v>1800</v>
      </c>
      <c r="D742">
        <v>419.09739999999999</v>
      </c>
      <c r="E742">
        <v>3.9E-2</v>
      </c>
      <c r="F742">
        <v>412.83179999999999</v>
      </c>
      <c r="G742">
        <v>420.7629</v>
      </c>
      <c r="H742">
        <v>423.69740000000002</v>
      </c>
      <c r="I742">
        <v>4.2000000000000003E-2</v>
      </c>
      <c r="J742">
        <v>1.9E-2</v>
      </c>
      <c r="K742">
        <v>4.9000000000000002E-2</v>
      </c>
      <c r="L742">
        <v>2232.4</v>
      </c>
      <c r="M742">
        <v>2240.6</v>
      </c>
      <c r="N742">
        <v>2257</v>
      </c>
      <c r="Q742">
        <f t="shared" si="60"/>
        <v>419.1</v>
      </c>
      <c r="R742">
        <f t="shared" si="61"/>
        <v>419.4</v>
      </c>
      <c r="S742">
        <f t="shared" si="62"/>
        <v>0</v>
      </c>
    </row>
    <row r="743" spans="1:19" x14ac:dyDescent="0.25">
      <c r="A743" s="2">
        <v>44884</v>
      </c>
      <c r="B743" s="3">
        <v>323</v>
      </c>
      <c r="C743" s="3">
        <v>1900</v>
      </c>
      <c r="D743">
        <v>419.14670000000001</v>
      </c>
      <c r="E743">
        <v>4.1000000000000002E-2</v>
      </c>
      <c r="F743">
        <v>412.88260000000002</v>
      </c>
      <c r="G743">
        <v>420.80529999999999</v>
      </c>
      <c r="H743">
        <v>423.75229999999999</v>
      </c>
      <c r="I743">
        <v>4.3999999999999997E-2</v>
      </c>
      <c r="J743">
        <v>0.05</v>
      </c>
      <c r="K743">
        <v>2.3E-2</v>
      </c>
      <c r="L743">
        <v>2232.6</v>
      </c>
      <c r="M743">
        <v>2240.6</v>
      </c>
      <c r="N743">
        <v>2257</v>
      </c>
      <c r="Q743">
        <f t="shared" si="60"/>
        <v>419.1</v>
      </c>
      <c r="R743">
        <f t="shared" si="61"/>
        <v>419.4</v>
      </c>
      <c r="S743">
        <f t="shared" si="62"/>
        <v>0</v>
      </c>
    </row>
    <row r="744" spans="1:19" x14ac:dyDescent="0.25">
      <c r="A744" s="2">
        <v>44884</v>
      </c>
      <c r="B744" s="3">
        <v>323</v>
      </c>
      <c r="C744" s="3">
        <v>2000</v>
      </c>
      <c r="D744">
        <v>419.15910000000002</v>
      </c>
      <c r="E744">
        <v>4.2000000000000003E-2</v>
      </c>
      <c r="F744">
        <v>412.88780000000003</v>
      </c>
      <c r="G744">
        <v>420.8177</v>
      </c>
      <c r="H744">
        <v>423.77170000000001</v>
      </c>
      <c r="I744">
        <v>4.1000000000000002E-2</v>
      </c>
      <c r="J744">
        <v>0.05</v>
      </c>
      <c r="K744">
        <v>3.5000000000000003E-2</v>
      </c>
      <c r="L744">
        <v>2232.6</v>
      </c>
      <c r="M744">
        <v>2240.4</v>
      </c>
      <c r="N744">
        <v>2257</v>
      </c>
      <c r="Q744">
        <f t="shared" si="60"/>
        <v>419.2</v>
      </c>
      <c r="R744">
        <f t="shared" si="61"/>
        <v>419.4</v>
      </c>
      <c r="S744">
        <f t="shared" si="62"/>
        <v>0</v>
      </c>
    </row>
    <row r="745" spans="1:19" x14ac:dyDescent="0.25">
      <c r="A745" s="2">
        <v>44884</v>
      </c>
      <c r="B745" s="3">
        <v>323</v>
      </c>
      <c r="C745" s="3">
        <v>2100</v>
      </c>
      <c r="D745">
        <v>419.16730000000001</v>
      </c>
      <c r="E745">
        <v>4.2000000000000003E-2</v>
      </c>
      <c r="F745">
        <v>412.90190000000001</v>
      </c>
      <c r="G745">
        <v>420.81950000000001</v>
      </c>
      <c r="H745">
        <v>423.78050000000002</v>
      </c>
      <c r="I745">
        <v>3.2000000000000001E-2</v>
      </c>
      <c r="J745">
        <v>0.05</v>
      </c>
      <c r="K745">
        <v>4.2000000000000003E-2</v>
      </c>
      <c r="L745">
        <v>2232.6</v>
      </c>
      <c r="M745">
        <v>2240.4</v>
      </c>
      <c r="N745">
        <v>2257</v>
      </c>
      <c r="Q745">
        <f t="shared" si="60"/>
        <v>419.2</v>
      </c>
      <c r="R745">
        <f t="shared" si="61"/>
        <v>419.4</v>
      </c>
      <c r="S745">
        <f t="shared" si="62"/>
        <v>0</v>
      </c>
    </row>
    <row r="746" spans="1:19" x14ac:dyDescent="0.25">
      <c r="A746" s="2">
        <v>44884</v>
      </c>
      <c r="B746" s="3">
        <v>323</v>
      </c>
      <c r="C746" s="3">
        <v>2200</v>
      </c>
      <c r="D746">
        <v>419.16609999999997</v>
      </c>
      <c r="E746">
        <v>3.7999999999999999E-2</v>
      </c>
      <c r="F746">
        <v>412.90890000000002</v>
      </c>
      <c r="G746">
        <v>420.81420000000003</v>
      </c>
      <c r="H746">
        <v>423.77519999999998</v>
      </c>
      <c r="I746">
        <v>1.9E-2</v>
      </c>
      <c r="J746">
        <v>0.05</v>
      </c>
      <c r="K746">
        <v>3.7999999999999999E-2</v>
      </c>
      <c r="L746">
        <v>2232.6</v>
      </c>
      <c r="M746">
        <v>2240.6</v>
      </c>
      <c r="N746">
        <v>2257</v>
      </c>
      <c r="Q746">
        <f t="shared" si="60"/>
        <v>419.2</v>
      </c>
      <c r="R746">
        <f t="shared" si="61"/>
        <v>419.4</v>
      </c>
      <c r="S746">
        <f t="shared" si="62"/>
        <v>0</v>
      </c>
    </row>
    <row r="747" spans="1:19" x14ac:dyDescent="0.25">
      <c r="A747" s="2">
        <v>44884</v>
      </c>
      <c r="B747" s="3">
        <v>323</v>
      </c>
      <c r="C747" s="3">
        <v>2300</v>
      </c>
      <c r="D747">
        <v>419.1626</v>
      </c>
      <c r="E747">
        <v>3.6999999999999998E-2</v>
      </c>
      <c r="F747">
        <v>412.91059999999999</v>
      </c>
      <c r="G747">
        <v>420.80180000000001</v>
      </c>
      <c r="H747">
        <v>423.77519999999998</v>
      </c>
      <c r="I747">
        <v>1.2999999999999999E-2</v>
      </c>
      <c r="J747">
        <v>4.9000000000000002E-2</v>
      </c>
      <c r="K747">
        <v>3.7999999999999999E-2</v>
      </c>
      <c r="L747">
        <v>2232.6</v>
      </c>
      <c r="M747">
        <v>2240.4</v>
      </c>
      <c r="N747">
        <v>2257</v>
      </c>
      <c r="Q747">
        <f t="shared" si="60"/>
        <v>419.2</v>
      </c>
      <c r="R747">
        <f t="shared" si="61"/>
        <v>419.4</v>
      </c>
      <c r="S747">
        <f t="shared" si="62"/>
        <v>0</v>
      </c>
    </row>
    <row r="748" spans="1:19" x14ac:dyDescent="0.25">
      <c r="A748" s="2">
        <v>44884</v>
      </c>
      <c r="B748" s="3">
        <v>323</v>
      </c>
      <c r="C748" s="3">
        <v>2400</v>
      </c>
      <c r="D748">
        <v>419.16719999999998</v>
      </c>
      <c r="E748">
        <v>4.1000000000000002E-2</v>
      </c>
      <c r="F748">
        <v>412.9194</v>
      </c>
      <c r="G748">
        <v>420.80360000000002</v>
      </c>
      <c r="H748">
        <v>423.77879999999999</v>
      </c>
      <c r="I748">
        <v>3.1E-2</v>
      </c>
      <c r="J748">
        <v>4.9000000000000002E-2</v>
      </c>
      <c r="K748">
        <v>4.1000000000000002E-2</v>
      </c>
      <c r="L748">
        <v>2232.6</v>
      </c>
      <c r="M748">
        <v>2240.4</v>
      </c>
      <c r="N748">
        <v>2257.1999999999998</v>
      </c>
      <c r="Q748">
        <f t="shared" si="60"/>
        <v>419.2</v>
      </c>
      <c r="R748">
        <f t="shared" si="61"/>
        <v>419.4</v>
      </c>
      <c r="S748">
        <f t="shared" si="62"/>
        <v>0</v>
      </c>
    </row>
    <row r="749" spans="1:19" x14ac:dyDescent="0.25">
      <c r="A749" s="2">
        <v>44885</v>
      </c>
      <c r="B749" s="3">
        <v>324</v>
      </c>
      <c r="C749" s="3">
        <v>100</v>
      </c>
      <c r="D749">
        <v>419.16489999999999</v>
      </c>
      <c r="E749">
        <v>4.1000000000000002E-2</v>
      </c>
      <c r="F749">
        <v>412.91239999999999</v>
      </c>
      <c r="G749">
        <v>420.8</v>
      </c>
      <c r="H749">
        <v>423.78230000000002</v>
      </c>
      <c r="I749">
        <v>2.5999999999999999E-2</v>
      </c>
      <c r="J749">
        <v>4.9000000000000002E-2</v>
      </c>
      <c r="K749">
        <v>4.2999999999999997E-2</v>
      </c>
      <c r="L749">
        <v>2232.6</v>
      </c>
      <c r="M749">
        <v>2240.6</v>
      </c>
      <c r="N749">
        <v>2257</v>
      </c>
      <c r="Q749">
        <f t="shared" si="60"/>
        <v>419.2</v>
      </c>
      <c r="R749">
        <f t="shared" si="61"/>
        <v>419.4</v>
      </c>
      <c r="S749">
        <f t="shared" si="62"/>
        <v>0</v>
      </c>
    </row>
    <row r="750" spans="1:19" x14ac:dyDescent="0.25">
      <c r="A750" s="2">
        <v>44885</v>
      </c>
      <c r="B750" s="3">
        <v>324</v>
      </c>
      <c r="C750" s="3">
        <v>200</v>
      </c>
      <c r="D750">
        <v>419.16430000000003</v>
      </c>
      <c r="E750">
        <v>3.9E-2</v>
      </c>
      <c r="F750">
        <v>412.91239999999999</v>
      </c>
      <c r="G750">
        <v>420.8</v>
      </c>
      <c r="H750">
        <v>423.78050000000002</v>
      </c>
      <c r="I750">
        <v>1.7999999999999999E-2</v>
      </c>
      <c r="J750">
        <v>4.9000000000000002E-2</v>
      </c>
      <c r="K750">
        <v>4.2000000000000003E-2</v>
      </c>
      <c r="L750">
        <v>2232.6</v>
      </c>
      <c r="M750">
        <v>2240.4</v>
      </c>
      <c r="N750">
        <v>2257</v>
      </c>
      <c r="Q750">
        <f t="shared" si="60"/>
        <v>419.2</v>
      </c>
      <c r="R750">
        <f t="shared" si="61"/>
        <v>419.4</v>
      </c>
      <c r="S750">
        <f t="shared" si="62"/>
        <v>0</v>
      </c>
    </row>
    <row r="751" spans="1:19" x14ac:dyDescent="0.25">
      <c r="A751" s="2">
        <v>44885</v>
      </c>
      <c r="B751" s="3">
        <v>324</v>
      </c>
      <c r="C751" s="3">
        <v>300</v>
      </c>
      <c r="D751">
        <v>419.1626</v>
      </c>
      <c r="E751">
        <v>0.04</v>
      </c>
      <c r="F751">
        <v>412.91059999999999</v>
      </c>
      <c r="G751">
        <v>420.79649999999998</v>
      </c>
      <c r="H751">
        <v>423.78050000000002</v>
      </c>
      <c r="I751">
        <v>0.03</v>
      </c>
      <c r="J751">
        <v>4.7E-2</v>
      </c>
      <c r="K751">
        <v>4.2000000000000003E-2</v>
      </c>
      <c r="L751">
        <v>2232.6</v>
      </c>
      <c r="M751">
        <v>2240.4</v>
      </c>
      <c r="N751">
        <v>2257.1999999999998</v>
      </c>
      <c r="Q751">
        <f t="shared" si="60"/>
        <v>419.2</v>
      </c>
      <c r="R751">
        <f t="shared" si="61"/>
        <v>419.4</v>
      </c>
      <c r="S751">
        <f t="shared" si="62"/>
        <v>0</v>
      </c>
    </row>
    <row r="752" spans="1:19" x14ac:dyDescent="0.25">
      <c r="A752" s="2">
        <v>44885</v>
      </c>
      <c r="B752" s="3">
        <v>324</v>
      </c>
      <c r="C752" s="3">
        <v>400</v>
      </c>
      <c r="D752">
        <v>419.1626</v>
      </c>
      <c r="E752">
        <v>4.2999999999999997E-2</v>
      </c>
      <c r="F752">
        <v>412.90010000000001</v>
      </c>
      <c r="G752">
        <v>420.79469999999998</v>
      </c>
      <c r="H752">
        <v>423.79289999999997</v>
      </c>
      <c r="I752">
        <v>3.4000000000000002E-2</v>
      </c>
      <c r="J752">
        <v>4.7E-2</v>
      </c>
      <c r="K752">
        <v>4.8000000000000001E-2</v>
      </c>
      <c r="L752">
        <v>2232.6</v>
      </c>
      <c r="M752">
        <v>2240.4</v>
      </c>
      <c r="N752">
        <v>2257</v>
      </c>
      <c r="Q752">
        <f t="shared" si="60"/>
        <v>419.2</v>
      </c>
      <c r="R752">
        <f t="shared" si="61"/>
        <v>419.4</v>
      </c>
      <c r="S752">
        <f t="shared" si="62"/>
        <v>0</v>
      </c>
    </row>
    <row r="753" spans="1:19" x14ac:dyDescent="0.25">
      <c r="A753" s="2">
        <v>44885</v>
      </c>
      <c r="B753" s="3">
        <v>324</v>
      </c>
      <c r="C753" s="3">
        <v>500</v>
      </c>
      <c r="D753">
        <v>419.16609999999997</v>
      </c>
      <c r="E753">
        <v>4.4999999999999998E-2</v>
      </c>
      <c r="F753">
        <v>412.90010000000001</v>
      </c>
      <c r="G753">
        <v>420.80360000000002</v>
      </c>
      <c r="H753">
        <v>423.79469999999998</v>
      </c>
      <c r="I753">
        <v>3.4000000000000002E-2</v>
      </c>
      <c r="J753">
        <v>4.9000000000000002E-2</v>
      </c>
      <c r="K753">
        <v>4.9000000000000002E-2</v>
      </c>
      <c r="L753">
        <v>2232.6</v>
      </c>
      <c r="M753">
        <v>2240.6</v>
      </c>
      <c r="N753">
        <v>2257</v>
      </c>
      <c r="Q753">
        <f t="shared" si="60"/>
        <v>419.2</v>
      </c>
      <c r="R753">
        <f t="shared" si="61"/>
        <v>419.4</v>
      </c>
      <c r="S753">
        <f t="shared" si="62"/>
        <v>0</v>
      </c>
    </row>
    <row r="754" spans="1:19" x14ac:dyDescent="0.25">
      <c r="A754" s="2">
        <v>44885</v>
      </c>
      <c r="B754" s="3">
        <v>324</v>
      </c>
      <c r="C754" s="3">
        <v>600</v>
      </c>
      <c r="D754">
        <v>419.18540000000002</v>
      </c>
      <c r="E754">
        <v>4.9000000000000002E-2</v>
      </c>
      <c r="F754">
        <v>412.95089999999999</v>
      </c>
      <c r="G754">
        <v>420.80889999999999</v>
      </c>
      <c r="H754">
        <v>423.79640000000001</v>
      </c>
      <c r="I754">
        <v>4.9000000000000002E-2</v>
      </c>
      <c r="J754">
        <v>0.05</v>
      </c>
      <c r="K754">
        <v>4.9000000000000002E-2</v>
      </c>
      <c r="L754">
        <v>2232.8000000000002</v>
      </c>
      <c r="M754">
        <v>2240.4</v>
      </c>
      <c r="N754">
        <v>2257</v>
      </c>
      <c r="Q754">
        <f t="shared" si="60"/>
        <v>419.2</v>
      </c>
      <c r="R754">
        <f t="shared" si="61"/>
        <v>419.4</v>
      </c>
      <c r="S754">
        <f t="shared" si="62"/>
        <v>0</v>
      </c>
    </row>
    <row r="755" spans="1:19" x14ac:dyDescent="0.25">
      <c r="A755" s="2">
        <v>44885</v>
      </c>
      <c r="B755" s="3">
        <v>324</v>
      </c>
      <c r="C755" s="3">
        <v>700</v>
      </c>
      <c r="D755">
        <v>419.24369999999999</v>
      </c>
      <c r="E755">
        <v>4.3999999999999997E-2</v>
      </c>
      <c r="F755">
        <v>413.14510000000001</v>
      </c>
      <c r="G755">
        <v>420.8177</v>
      </c>
      <c r="H755">
        <v>423.76819999999998</v>
      </c>
      <c r="I755">
        <v>4.8000000000000001E-2</v>
      </c>
      <c r="J755">
        <v>0.05</v>
      </c>
      <c r="K755">
        <v>3.1E-2</v>
      </c>
      <c r="L755">
        <v>2233.1999999999998</v>
      </c>
      <c r="M755">
        <v>2240.4</v>
      </c>
      <c r="N755">
        <v>2257</v>
      </c>
      <c r="Q755">
        <f t="shared" si="60"/>
        <v>419.2</v>
      </c>
      <c r="R755">
        <f t="shared" si="61"/>
        <v>419.4</v>
      </c>
      <c r="S755">
        <f t="shared" si="62"/>
        <v>0</v>
      </c>
    </row>
    <row r="756" spans="1:19" x14ac:dyDescent="0.25">
      <c r="A756" s="2">
        <v>44885</v>
      </c>
      <c r="B756" s="3">
        <v>324</v>
      </c>
      <c r="C756" s="3">
        <v>800</v>
      </c>
      <c r="D756">
        <v>419.16590000000002</v>
      </c>
      <c r="E756">
        <v>3.7999999999999999E-2</v>
      </c>
      <c r="F756">
        <v>412.98759999999999</v>
      </c>
      <c r="G756">
        <v>420.77179999999998</v>
      </c>
      <c r="H756">
        <v>423.73809999999997</v>
      </c>
      <c r="I756">
        <v>4.1000000000000002E-2</v>
      </c>
      <c r="J756">
        <v>3.4000000000000002E-2</v>
      </c>
      <c r="K756">
        <v>0.04</v>
      </c>
      <c r="L756">
        <v>2232.8000000000002</v>
      </c>
      <c r="M756">
        <v>2240.4</v>
      </c>
      <c r="N756">
        <v>2257</v>
      </c>
      <c r="Q756">
        <f t="shared" si="60"/>
        <v>419.2</v>
      </c>
      <c r="R756">
        <f t="shared" si="61"/>
        <v>419.4</v>
      </c>
      <c r="S756">
        <f t="shared" si="62"/>
        <v>0</v>
      </c>
    </row>
    <row r="757" spans="1:19" x14ac:dyDescent="0.25">
      <c r="A757" s="2">
        <v>44885</v>
      </c>
      <c r="B757" s="3">
        <v>324</v>
      </c>
      <c r="C757" s="3">
        <v>900</v>
      </c>
      <c r="D757">
        <v>419.15</v>
      </c>
      <c r="E757">
        <v>4.1000000000000002E-2</v>
      </c>
      <c r="F757">
        <v>412.97710000000001</v>
      </c>
      <c r="G757">
        <v>420.76819999999998</v>
      </c>
      <c r="H757">
        <v>423.7045</v>
      </c>
      <c r="I757">
        <v>4.5999999999999999E-2</v>
      </c>
      <c r="J757">
        <v>2.1999999999999999E-2</v>
      </c>
      <c r="K757">
        <v>0.05</v>
      </c>
      <c r="L757">
        <v>2232.8000000000002</v>
      </c>
      <c r="M757">
        <v>2240.4</v>
      </c>
      <c r="N757">
        <v>2256.8000000000002</v>
      </c>
      <c r="Q757">
        <f t="shared" si="60"/>
        <v>419.2</v>
      </c>
      <c r="R757">
        <f t="shared" si="61"/>
        <v>419.4</v>
      </c>
      <c r="S757">
        <f t="shared" si="62"/>
        <v>0</v>
      </c>
    </row>
    <row r="758" spans="1:19" x14ac:dyDescent="0.25">
      <c r="A758" s="2">
        <v>44885</v>
      </c>
      <c r="B758" s="3">
        <v>324</v>
      </c>
      <c r="C758" s="3">
        <v>1000</v>
      </c>
      <c r="D758">
        <v>419.0326</v>
      </c>
      <c r="E758">
        <v>4.2999999999999997E-2</v>
      </c>
      <c r="F758">
        <v>412.88260000000002</v>
      </c>
      <c r="G758">
        <v>420.63589999999999</v>
      </c>
      <c r="H758">
        <v>423.57900000000001</v>
      </c>
      <c r="I758">
        <v>4.3999999999999997E-2</v>
      </c>
      <c r="J758">
        <v>4.3999999999999997E-2</v>
      </c>
      <c r="K758">
        <v>4.2000000000000003E-2</v>
      </c>
      <c r="L758">
        <v>2232.4</v>
      </c>
      <c r="M758">
        <v>2240.1999999999998</v>
      </c>
      <c r="N758">
        <v>2256.6</v>
      </c>
      <c r="Q758">
        <f t="shared" si="60"/>
        <v>419</v>
      </c>
      <c r="R758">
        <f t="shared" si="61"/>
        <v>419.4</v>
      </c>
      <c r="S758">
        <f t="shared" si="62"/>
        <v>0</v>
      </c>
    </row>
    <row r="759" spans="1:19" x14ac:dyDescent="0.25">
      <c r="A759" s="2">
        <v>44885</v>
      </c>
      <c r="B759" s="3">
        <v>324</v>
      </c>
      <c r="C759" s="3">
        <v>1100</v>
      </c>
      <c r="D759">
        <v>418.96199999999999</v>
      </c>
      <c r="E759">
        <v>4.1000000000000002E-2</v>
      </c>
      <c r="F759">
        <v>412.8177</v>
      </c>
      <c r="G759">
        <v>420.57769999999999</v>
      </c>
      <c r="H759">
        <v>423.49059999999997</v>
      </c>
      <c r="I759">
        <v>3.4000000000000002E-2</v>
      </c>
      <c r="J759">
        <v>4.1000000000000002E-2</v>
      </c>
      <c r="K759">
        <v>4.8000000000000001E-2</v>
      </c>
      <c r="L759">
        <v>2232.4</v>
      </c>
      <c r="M759">
        <v>2240</v>
      </c>
      <c r="N759">
        <v>2256.4</v>
      </c>
      <c r="Q759">
        <f t="shared" si="60"/>
        <v>419</v>
      </c>
      <c r="R759">
        <f t="shared" si="61"/>
        <v>419.4</v>
      </c>
      <c r="S759">
        <f t="shared" si="62"/>
        <v>0</v>
      </c>
    </row>
    <row r="760" spans="1:19" x14ac:dyDescent="0.25">
      <c r="A760" s="2">
        <v>44885</v>
      </c>
      <c r="B760" s="3">
        <v>324</v>
      </c>
      <c r="C760" s="3">
        <v>1200</v>
      </c>
      <c r="D760">
        <v>418.89139999999998</v>
      </c>
      <c r="E760">
        <v>0.04</v>
      </c>
      <c r="F760">
        <v>412.64109999999999</v>
      </c>
      <c r="G760">
        <v>420.553</v>
      </c>
      <c r="H760">
        <v>423.48</v>
      </c>
      <c r="I760">
        <v>4.5999999999999999E-2</v>
      </c>
      <c r="J760">
        <v>2.8000000000000001E-2</v>
      </c>
      <c r="K760">
        <v>4.2999999999999997E-2</v>
      </c>
      <c r="L760">
        <v>2232</v>
      </c>
      <c r="M760">
        <v>2240</v>
      </c>
      <c r="N760">
        <v>2256.4</v>
      </c>
      <c r="Q760">
        <f t="shared" si="60"/>
        <v>418.9</v>
      </c>
      <c r="R760">
        <f t="shared" si="61"/>
        <v>419.4</v>
      </c>
      <c r="S760">
        <f t="shared" si="62"/>
        <v>0</v>
      </c>
    </row>
    <row r="761" spans="1:19" x14ac:dyDescent="0.25">
      <c r="A761" s="2">
        <v>44885</v>
      </c>
      <c r="B761" s="3">
        <v>324</v>
      </c>
      <c r="C761" s="3">
        <v>1300</v>
      </c>
      <c r="D761">
        <v>418.88499999999999</v>
      </c>
      <c r="E761">
        <v>4.2000000000000003E-2</v>
      </c>
      <c r="F761">
        <v>412.59210000000002</v>
      </c>
      <c r="G761">
        <v>420.56360000000001</v>
      </c>
      <c r="H761">
        <v>423.49950000000001</v>
      </c>
      <c r="I761">
        <v>3.7999999999999999E-2</v>
      </c>
      <c r="J761">
        <v>3.5000000000000003E-2</v>
      </c>
      <c r="K761">
        <v>0.05</v>
      </c>
      <c r="L761">
        <v>2232</v>
      </c>
      <c r="M761">
        <v>2240</v>
      </c>
      <c r="N761">
        <v>2256.6</v>
      </c>
      <c r="Q761">
        <f t="shared" si="60"/>
        <v>418.9</v>
      </c>
      <c r="R761">
        <f t="shared" si="61"/>
        <v>419.4</v>
      </c>
      <c r="S761">
        <f t="shared" si="62"/>
        <v>0</v>
      </c>
    </row>
    <row r="762" spans="1:19" x14ac:dyDescent="0.25">
      <c r="A762" s="2">
        <v>44885</v>
      </c>
      <c r="B762" s="3">
        <v>324</v>
      </c>
      <c r="C762" s="3">
        <v>1400</v>
      </c>
      <c r="D762">
        <v>418.91070000000002</v>
      </c>
      <c r="E762">
        <v>4.3999999999999997E-2</v>
      </c>
      <c r="F762">
        <v>412.67079999999999</v>
      </c>
      <c r="G762">
        <v>420.56529999999998</v>
      </c>
      <c r="H762">
        <v>423.49590000000001</v>
      </c>
      <c r="I762">
        <v>4.9000000000000002E-2</v>
      </c>
      <c r="J762">
        <v>3.2000000000000001E-2</v>
      </c>
      <c r="K762">
        <v>4.9000000000000002E-2</v>
      </c>
      <c r="L762">
        <v>2232</v>
      </c>
      <c r="M762">
        <v>2240</v>
      </c>
      <c r="N762">
        <v>2256.4</v>
      </c>
      <c r="Q762">
        <f t="shared" si="60"/>
        <v>418.9</v>
      </c>
      <c r="R762">
        <f t="shared" si="61"/>
        <v>419.4</v>
      </c>
      <c r="S762">
        <f t="shared" si="62"/>
        <v>0</v>
      </c>
    </row>
    <row r="763" spans="1:19" x14ac:dyDescent="0.25">
      <c r="A763" s="2">
        <v>44885</v>
      </c>
      <c r="B763" s="3">
        <v>324</v>
      </c>
      <c r="C763" s="3">
        <v>1500</v>
      </c>
      <c r="D763">
        <v>418.89729999999997</v>
      </c>
      <c r="E763">
        <v>3.6999999999999998E-2</v>
      </c>
      <c r="F763">
        <v>412.6096</v>
      </c>
      <c r="G763">
        <v>420.55650000000003</v>
      </c>
      <c r="H763">
        <v>423.52600000000001</v>
      </c>
      <c r="I763">
        <v>2.5999999999999999E-2</v>
      </c>
      <c r="J763">
        <v>3.5000000000000003E-2</v>
      </c>
      <c r="K763">
        <v>4.5999999999999999E-2</v>
      </c>
      <c r="L763">
        <v>2232</v>
      </c>
      <c r="M763">
        <v>2239.8000000000002</v>
      </c>
      <c r="N763">
        <v>2256.4</v>
      </c>
      <c r="Q763">
        <f t="shared" si="60"/>
        <v>418.9</v>
      </c>
      <c r="R763">
        <f t="shared" si="61"/>
        <v>419.4</v>
      </c>
      <c r="S763">
        <f t="shared" si="62"/>
        <v>0</v>
      </c>
    </row>
    <row r="764" spans="1:19" x14ac:dyDescent="0.25">
      <c r="A764" s="2">
        <v>44885</v>
      </c>
      <c r="B764" s="3">
        <v>324</v>
      </c>
      <c r="C764" s="3">
        <v>1600</v>
      </c>
      <c r="D764">
        <v>418.91149999999999</v>
      </c>
      <c r="E764">
        <v>3.1E-2</v>
      </c>
      <c r="F764">
        <v>412.62180000000001</v>
      </c>
      <c r="G764">
        <v>420.56529999999998</v>
      </c>
      <c r="H764">
        <v>423.54719999999998</v>
      </c>
      <c r="I764">
        <v>3.3000000000000002E-2</v>
      </c>
      <c r="J764">
        <v>3.2000000000000001E-2</v>
      </c>
      <c r="K764">
        <v>2.9000000000000001E-2</v>
      </c>
      <c r="L764">
        <v>2232</v>
      </c>
      <c r="M764">
        <v>2239.8000000000002</v>
      </c>
      <c r="N764">
        <v>2256.6</v>
      </c>
      <c r="Q764">
        <f t="shared" si="60"/>
        <v>418.9</v>
      </c>
      <c r="R764">
        <f t="shared" si="61"/>
        <v>419.4</v>
      </c>
      <c r="S764">
        <f t="shared" si="62"/>
        <v>0</v>
      </c>
    </row>
    <row r="765" spans="1:19" x14ac:dyDescent="0.25">
      <c r="A765" s="2">
        <v>44885</v>
      </c>
      <c r="B765" s="3">
        <v>324</v>
      </c>
      <c r="C765" s="3">
        <v>1700</v>
      </c>
      <c r="D765">
        <v>418.959</v>
      </c>
      <c r="E765">
        <v>4.8000000000000001E-2</v>
      </c>
      <c r="F765">
        <v>412.66730000000001</v>
      </c>
      <c r="G765">
        <v>420.62180000000001</v>
      </c>
      <c r="H765">
        <v>423.58789999999999</v>
      </c>
      <c r="I765">
        <v>4.9000000000000002E-2</v>
      </c>
      <c r="J765">
        <v>4.9000000000000002E-2</v>
      </c>
      <c r="K765">
        <v>4.7E-2</v>
      </c>
      <c r="L765">
        <v>2232</v>
      </c>
      <c r="M765">
        <v>2240.1999999999998</v>
      </c>
      <c r="N765">
        <v>2256.6</v>
      </c>
      <c r="Q765">
        <f t="shared" si="60"/>
        <v>419</v>
      </c>
      <c r="R765">
        <f t="shared" si="61"/>
        <v>419.4</v>
      </c>
      <c r="S765">
        <f t="shared" si="62"/>
        <v>0</v>
      </c>
    </row>
    <row r="766" spans="1:19" x14ac:dyDescent="0.25">
      <c r="A766" s="2">
        <v>44885</v>
      </c>
      <c r="B766" s="3">
        <v>324</v>
      </c>
      <c r="C766" s="3">
        <v>1800</v>
      </c>
      <c r="D766">
        <v>418.98719999999997</v>
      </c>
      <c r="E766">
        <v>4.2000000000000003E-2</v>
      </c>
      <c r="F766">
        <v>412.70760000000001</v>
      </c>
      <c r="G766">
        <v>420.63240000000002</v>
      </c>
      <c r="H766">
        <v>423.62150000000003</v>
      </c>
      <c r="I766">
        <v>2.9000000000000001E-2</v>
      </c>
      <c r="J766">
        <v>4.5999999999999999E-2</v>
      </c>
      <c r="K766">
        <v>4.8000000000000001E-2</v>
      </c>
      <c r="L766">
        <v>2232.1999999999998</v>
      </c>
      <c r="M766">
        <v>2240</v>
      </c>
      <c r="N766">
        <v>2256.8000000000002</v>
      </c>
      <c r="Q766">
        <f t="shared" si="60"/>
        <v>419</v>
      </c>
      <c r="R766">
        <f t="shared" si="61"/>
        <v>419.4</v>
      </c>
      <c r="S766">
        <f t="shared" si="62"/>
        <v>0</v>
      </c>
    </row>
    <row r="767" spans="1:19" x14ac:dyDescent="0.25">
      <c r="A767" s="2">
        <v>44885</v>
      </c>
      <c r="B767" s="3">
        <v>324</v>
      </c>
      <c r="C767" s="3">
        <v>1900</v>
      </c>
      <c r="D767">
        <v>419.04270000000002</v>
      </c>
      <c r="E767">
        <v>3.9E-2</v>
      </c>
      <c r="F767">
        <v>412.8073</v>
      </c>
      <c r="G767">
        <v>420.69240000000002</v>
      </c>
      <c r="H767">
        <v>423.62849999999997</v>
      </c>
      <c r="I767">
        <v>2.3E-2</v>
      </c>
      <c r="J767">
        <v>4.5999999999999999E-2</v>
      </c>
      <c r="K767">
        <v>4.4999999999999998E-2</v>
      </c>
      <c r="L767">
        <v>2232.4</v>
      </c>
      <c r="M767">
        <v>2240.4</v>
      </c>
      <c r="N767">
        <v>2256.8000000000002</v>
      </c>
      <c r="Q767">
        <f t="shared" si="60"/>
        <v>419</v>
      </c>
      <c r="R767">
        <f t="shared" si="61"/>
        <v>419.4</v>
      </c>
      <c r="S767">
        <f t="shared" si="62"/>
        <v>0</v>
      </c>
    </row>
    <row r="768" spans="1:19" x14ac:dyDescent="0.25">
      <c r="A768" s="2">
        <v>44885</v>
      </c>
      <c r="B768" s="3">
        <v>324</v>
      </c>
      <c r="C768" s="3">
        <v>2000</v>
      </c>
      <c r="D768">
        <v>419.05259999999998</v>
      </c>
      <c r="E768">
        <v>4.3999999999999997E-2</v>
      </c>
      <c r="F768">
        <v>412.82299999999998</v>
      </c>
      <c r="G768">
        <v>420.71179999999998</v>
      </c>
      <c r="H768">
        <v>423.6232</v>
      </c>
      <c r="I768">
        <v>3.5000000000000003E-2</v>
      </c>
      <c r="J768">
        <v>0.05</v>
      </c>
      <c r="K768">
        <v>4.7E-2</v>
      </c>
      <c r="L768">
        <v>2232.4</v>
      </c>
      <c r="M768">
        <v>2240.1999999999998</v>
      </c>
      <c r="N768">
        <v>2256.6</v>
      </c>
      <c r="Q768">
        <f t="shared" si="60"/>
        <v>419.1</v>
      </c>
      <c r="R768">
        <f t="shared" si="61"/>
        <v>419.4</v>
      </c>
      <c r="S768">
        <f t="shared" si="62"/>
        <v>0</v>
      </c>
    </row>
    <row r="769" spans="1:19" x14ac:dyDescent="0.25">
      <c r="A769" s="2">
        <v>44885</v>
      </c>
      <c r="B769" s="3">
        <v>324</v>
      </c>
      <c r="C769" s="3">
        <v>2100</v>
      </c>
      <c r="D769">
        <v>419.05619999999999</v>
      </c>
      <c r="E769">
        <v>4.5999999999999999E-2</v>
      </c>
      <c r="F769">
        <v>412.83179999999999</v>
      </c>
      <c r="G769">
        <v>420.71350000000001</v>
      </c>
      <c r="H769">
        <v>423.6232</v>
      </c>
      <c r="I769">
        <v>4.2000000000000003E-2</v>
      </c>
      <c r="J769">
        <v>0.05</v>
      </c>
      <c r="K769">
        <v>4.7E-2</v>
      </c>
      <c r="L769">
        <v>2232.4</v>
      </c>
      <c r="M769">
        <v>2240.4</v>
      </c>
      <c r="N769">
        <v>2256.8000000000002</v>
      </c>
      <c r="Q769">
        <f t="shared" si="60"/>
        <v>419.1</v>
      </c>
      <c r="R769">
        <f t="shared" si="61"/>
        <v>419.4</v>
      </c>
      <c r="S769">
        <f t="shared" si="62"/>
        <v>0</v>
      </c>
    </row>
    <row r="770" spans="1:19" x14ac:dyDescent="0.25">
      <c r="A770" s="2">
        <v>44885</v>
      </c>
      <c r="B770" s="3">
        <v>324</v>
      </c>
      <c r="C770" s="3">
        <v>2200</v>
      </c>
      <c r="D770">
        <v>419.02690000000001</v>
      </c>
      <c r="E770">
        <v>4.4999999999999998E-2</v>
      </c>
      <c r="F770">
        <v>412.774</v>
      </c>
      <c r="G770">
        <v>420.68180000000001</v>
      </c>
      <c r="H770">
        <v>423.625</v>
      </c>
      <c r="I770">
        <v>4.8000000000000001E-2</v>
      </c>
      <c r="J770">
        <v>0.04</v>
      </c>
      <c r="K770">
        <v>4.7E-2</v>
      </c>
      <c r="L770">
        <v>2232.4</v>
      </c>
      <c r="M770">
        <v>2240.1999999999998</v>
      </c>
      <c r="N770">
        <v>2256.8000000000002</v>
      </c>
      <c r="Q770">
        <f t="shared" si="60"/>
        <v>419</v>
      </c>
      <c r="R770">
        <f t="shared" si="61"/>
        <v>419.4</v>
      </c>
      <c r="S770">
        <f t="shared" si="62"/>
        <v>0</v>
      </c>
    </row>
    <row r="771" spans="1:19" x14ac:dyDescent="0.25">
      <c r="A771" s="2">
        <v>44885</v>
      </c>
      <c r="B771" s="3">
        <v>324</v>
      </c>
      <c r="C771" s="3">
        <v>2300</v>
      </c>
      <c r="D771">
        <v>419.02460000000002</v>
      </c>
      <c r="E771">
        <v>4.5999999999999999E-2</v>
      </c>
      <c r="F771">
        <v>412.76</v>
      </c>
      <c r="G771">
        <v>420.68529999999998</v>
      </c>
      <c r="H771">
        <v>423.62849999999997</v>
      </c>
      <c r="I771">
        <v>0.05</v>
      </c>
      <c r="J771">
        <v>4.2000000000000003E-2</v>
      </c>
      <c r="K771">
        <v>4.4999999999999998E-2</v>
      </c>
      <c r="L771">
        <v>2232.1999999999998</v>
      </c>
      <c r="M771">
        <v>2240.1999999999998</v>
      </c>
      <c r="N771">
        <v>2256.6</v>
      </c>
      <c r="Q771">
        <f t="shared" si="60"/>
        <v>419</v>
      </c>
      <c r="R771">
        <f t="shared" si="61"/>
        <v>419.4</v>
      </c>
      <c r="S771">
        <f t="shared" si="62"/>
        <v>0</v>
      </c>
    </row>
    <row r="772" spans="1:19" x14ac:dyDescent="0.25">
      <c r="A772" s="2">
        <v>44885</v>
      </c>
      <c r="B772" s="3">
        <v>324</v>
      </c>
      <c r="C772" s="3">
        <v>2400</v>
      </c>
      <c r="D772">
        <v>419.03460000000001</v>
      </c>
      <c r="E772">
        <v>4.7E-2</v>
      </c>
      <c r="F772">
        <v>412.76170000000002</v>
      </c>
      <c r="G772">
        <v>420.70830000000001</v>
      </c>
      <c r="H772">
        <v>423.63380000000001</v>
      </c>
      <c r="I772">
        <v>0.05</v>
      </c>
      <c r="J772">
        <v>0.05</v>
      </c>
      <c r="K772">
        <v>4.2000000000000003E-2</v>
      </c>
      <c r="L772">
        <v>2232.4</v>
      </c>
      <c r="M772">
        <v>2240.1999999999998</v>
      </c>
      <c r="N772">
        <v>2256.8000000000002</v>
      </c>
      <c r="Q772">
        <f t="shared" si="60"/>
        <v>419</v>
      </c>
      <c r="R772">
        <f t="shared" si="61"/>
        <v>419.4</v>
      </c>
      <c r="S772">
        <f t="shared" si="62"/>
        <v>0</v>
      </c>
    </row>
    <row r="773" spans="1:19" x14ac:dyDescent="0.25">
      <c r="A773" s="2">
        <v>44886</v>
      </c>
      <c r="B773" s="3">
        <v>325</v>
      </c>
      <c r="C773" s="3">
        <v>100</v>
      </c>
      <c r="D773">
        <v>419.31540000000001</v>
      </c>
      <c r="E773">
        <v>4.3999999999999997E-2</v>
      </c>
      <c r="F773">
        <v>412.99110000000002</v>
      </c>
      <c r="G773">
        <v>420.99599999999998</v>
      </c>
      <c r="H773">
        <v>423.95909999999998</v>
      </c>
      <c r="I773">
        <v>3.7999999999999999E-2</v>
      </c>
      <c r="J773">
        <v>4.7E-2</v>
      </c>
      <c r="K773">
        <v>4.5999999999999999E-2</v>
      </c>
      <c r="L773">
        <v>2232.8000000000002</v>
      </c>
      <c r="M773">
        <v>2241</v>
      </c>
      <c r="N773">
        <v>2257.6</v>
      </c>
      <c r="Q773">
        <f t="shared" si="60"/>
        <v>419.3</v>
      </c>
      <c r="R773">
        <f t="shared" si="61"/>
        <v>419.4</v>
      </c>
      <c r="S773">
        <f t="shared" si="62"/>
        <v>0</v>
      </c>
    </row>
    <row r="774" spans="1:19" x14ac:dyDescent="0.25">
      <c r="A774" s="2">
        <v>44886</v>
      </c>
      <c r="B774" s="3">
        <v>325</v>
      </c>
      <c r="C774" s="3">
        <v>200</v>
      </c>
      <c r="D774">
        <v>420.16250000000002</v>
      </c>
      <c r="E774">
        <v>4.3999999999999997E-2</v>
      </c>
      <c r="F774">
        <v>413.82279999999997</v>
      </c>
      <c r="G774">
        <v>421.84019999999998</v>
      </c>
      <c r="H774">
        <v>424.82429999999999</v>
      </c>
      <c r="I774">
        <v>3.5999999999999997E-2</v>
      </c>
      <c r="J774">
        <v>4.5999999999999999E-2</v>
      </c>
      <c r="K774">
        <v>0.05</v>
      </c>
      <c r="L774">
        <v>2234.4</v>
      </c>
      <c r="M774">
        <v>2242.6</v>
      </c>
      <c r="N774">
        <v>2259.1999999999998</v>
      </c>
      <c r="Q774">
        <f t="shared" si="60"/>
        <v>420.2</v>
      </c>
      <c r="R774">
        <f t="shared" si="61"/>
        <v>420.2</v>
      </c>
      <c r="S774">
        <f t="shared" si="62"/>
        <v>0.80000000000001137</v>
      </c>
    </row>
    <row r="775" spans="1:19" x14ac:dyDescent="0.25">
      <c r="A775" s="2">
        <v>44886</v>
      </c>
      <c r="B775" s="3">
        <v>325</v>
      </c>
      <c r="C775" s="3">
        <v>300</v>
      </c>
      <c r="D775">
        <v>420.47340000000003</v>
      </c>
      <c r="E775">
        <v>0.04</v>
      </c>
      <c r="F775">
        <v>414.1225</v>
      </c>
      <c r="G775">
        <v>422.15120000000002</v>
      </c>
      <c r="H775">
        <v>425.14659999999998</v>
      </c>
      <c r="I775">
        <v>3.5999999999999997E-2</v>
      </c>
      <c r="J775">
        <v>4.1000000000000002E-2</v>
      </c>
      <c r="K775">
        <v>4.2000000000000003E-2</v>
      </c>
      <c r="L775">
        <v>2235</v>
      </c>
      <c r="M775">
        <v>2243</v>
      </c>
      <c r="N775">
        <v>2259.8000000000002</v>
      </c>
      <c r="Q775">
        <f t="shared" si="60"/>
        <v>420.5</v>
      </c>
      <c r="R775">
        <f t="shared" si="61"/>
        <v>420.5</v>
      </c>
      <c r="S775">
        <f t="shared" si="62"/>
        <v>0.30000000000001137</v>
      </c>
    </row>
    <row r="776" spans="1:19" x14ac:dyDescent="0.25">
      <c r="A776" s="2">
        <v>44886</v>
      </c>
      <c r="B776" s="3">
        <v>325</v>
      </c>
      <c r="C776" s="3">
        <v>400</v>
      </c>
      <c r="D776">
        <v>420.53539999999998</v>
      </c>
      <c r="E776">
        <v>4.5999999999999999E-2</v>
      </c>
      <c r="F776">
        <v>414.26609999999999</v>
      </c>
      <c r="G776">
        <v>422.19889999999998</v>
      </c>
      <c r="H776">
        <v>425.1413</v>
      </c>
      <c r="I776">
        <v>4.9000000000000002E-2</v>
      </c>
      <c r="J776">
        <v>4.3999999999999997E-2</v>
      </c>
      <c r="K776">
        <v>4.4999999999999998E-2</v>
      </c>
      <c r="L776">
        <v>2235.4</v>
      </c>
      <c r="M776">
        <v>2243.1999999999998</v>
      </c>
      <c r="N776">
        <v>2259.8000000000002</v>
      </c>
      <c r="Q776">
        <f t="shared" si="60"/>
        <v>420.5</v>
      </c>
      <c r="R776">
        <f t="shared" si="61"/>
        <v>420.5</v>
      </c>
      <c r="S776">
        <f t="shared" si="62"/>
        <v>0</v>
      </c>
    </row>
    <row r="777" spans="1:19" x14ac:dyDescent="0.25">
      <c r="A777" s="2">
        <v>44886</v>
      </c>
      <c r="B777" s="3">
        <v>325</v>
      </c>
      <c r="C777" s="3">
        <v>500</v>
      </c>
      <c r="D777">
        <v>420.53429999999997</v>
      </c>
      <c r="E777">
        <v>4.7E-2</v>
      </c>
      <c r="F777">
        <v>414.2679</v>
      </c>
      <c r="G777">
        <v>422.19889999999998</v>
      </c>
      <c r="H777">
        <v>425.13600000000002</v>
      </c>
      <c r="I777">
        <v>4.9000000000000002E-2</v>
      </c>
      <c r="J777">
        <v>4.3999999999999997E-2</v>
      </c>
      <c r="K777">
        <v>4.8000000000000001E-2</v>
      </c>
      <c r="L777">
        <v>2235.1999999999998</v>
      </c>
      <c r="M777">
        <v>2243.1999999999998</v>
      </c>
      <c r="N777">
        <v>2259.6</v>
      </c>
      <c r="Q777">
        <f t="shared" si="60"/>
        <v>420.5</v>
      </c>
      <c r="R777">
        <f t="shared" si="61"/>
        <v>420.5</v>
      </c>
      <c r="S777">
        <f t="shared" si="62"/>
        <v>0</v>
      </c>
    </row>
    <row r="778" spans="1:19" x14ac:dyDescent="0.25">
      <c r="A778" s="2">
        <v>44886</v>
      </c>
      <c r="B778" s="3">
        <v>325</v>
      </c>
      <c r="C778" s="3">
        <v>600</v>
      </c>
      <c r="D778">
        <v>420.5324</v>
      </c>
      <c r="E778">
        <v>4.2000000000000003E-2</v>
      </c>
      <c r="F778">
        <v>414.28370000000001</v>
      </c>
      <c r="G778">
        <v>422.1848</v>
      </c>
      <c r="H778">
        <v>425.12889999999999</v>
      </c>
      <c r="I778">
        <v>4.2000000000000003E-2</v>
      </c>
      <c r="J778">
        <v>3.3000000000000002E-2</v>
      </c>
      <c r="K778">
        <v>0.05</v>
      </c>
      <c r="L778">
        <v>2235.4</v>
      </c>
      <c r="M778">
        <v>2243.1999999999998</v>
      </c>
      <c r="N778">
        <v>2259.8000000000002</v>
      </c>
      <c r="Q778">
        <f t="shared" si="60"/>
        <v>420.5</v>
      </c>
      <c r="R778">
        <f t="shared" si="61"/>
        <v>420.5</v>
      </c>
      <c r="S778">
        <f t="shared" si="62"/>
        <v>0</v>
      </c>
    </row>
    <row r="779" spans="1:19" x14ac:dyDescent="0.25">
      <c r="A779" s="2">
        <v>44886</v>
      </c>
      <c r="B779" s="3">
        <v>325</v>
      </c>
      <c r="C779" s="3">
        <v>700</v>
      </c>
      <c r="D779">
        <v>420.51069999999999</v>
      </c>
      <c r="E779">
        <v>4.5999999999999999E-2</v>
      </c>
      <c r="F779">
        <v>414.24689999999998</v>
      </c>
      <c r="G779">
        <v>422.15300000000002</v>
      </c>
      <c r="H779">
        <v>425.13240000000002</v>
      </c>
      <c r="I779">
        <v>4.9000000000000002E-2</v>
      </c>
      <c r="J779">
        <v>0.04</v>
      </c>
      <c r="K779">
        <v>4.9000000000000002E-2</v>
      </c>
      <c r="L779">
        <v>2235.1999999999998</v>
      </c>
      <c r="M779">
        <v>2243.1999999999998</v>
      </c>
      <c r="N779">
        <v>2259.8000000000002</v>
      </c>
      <c r="Q779">
        <f t="shared" si="60"/>
        <v>420.5</v>
      </c>
      <c r="R779">
        <f t="shared" si="61"/>
        <v>420.5</v>
      </c>
      <c r="S779">
        <f t="shared" si="62"/>
        <v>0</v>
      </c>
    </row>
    <row r="780" spans="1:19" x14ac:dyDescent="0.25">
      <c r="A780" s="2">
        <v>44886</v>
      </c>
      <c r="B780" s="3">
        <v>325</v>
      </c>
      <c r="C780" s="3">
        <v>800</v>
      </c>
      <c r="D780">
        <v>420.54180000000002</v>
      </c>
      <c r="E780">
        <v>4.3999999999999997E-2</v>
      </c>
      <c r="F780">
        <v>414.29070000000002</v>
      </c>
      <c r="G780">
        <v>422.20420000000001</v>
      </c>
      <c r="H780">
        <v>425.13060000000002</v>
      </c>
      <c r="I780">
        <v>3.5999999999999997E-2</v>
      </c>
      <c r="J780">
        <v>4.7E-2</v>
      </c>
      <c r="K780">
        <v>4.9000000000000002E-2</v>
      </c>
      <c r="L780">
        <v>2235.4</v>
      </c>
      <c r="M780">
        <v>2243.1999999999998</v>
      </c>
      <c r="N780">
        <v>2259.6</v>
      </c>
      <c r="Q780">
        <f t="shared" si="60"/>
        <v>420.5</v>
      </c>
      <c r="R780">
        <f t="shared" si="61"/>
        <v>420.5</v>
      </c>
      <c r="S780">
        <f t="shared" si="62"/>
        <v>0</v>
      </c>
    </row>
    <row r="781" spans="1:19" x14ac:dyDescent="0.25">
      <c r="A781" s="2">
        <v>44886</v>
      </c>
      <c r="B781" s="3">
        <v>325</v>
      </c>
      <c r="C781" s="3">
        <v>900</v>
      </c>
      <c r="D781">
        <v>420.54590000000002</v>
      </c>
      <c r="E781">
        <v>4.4999999999999998E-2</v>
      </c>
      <c r="F781">
        <v>414.33800000000002</v>
      </c>
      <c r="G781">
        <v>422.19540000000001</v>
      </c>
      <c r="H781">
        <v>425.10410000000002</v>
      </c>
      <c r="I781">
        <v>4.5999999999999999E-2</v>
      </c>
      <c r="J781">
        <v>4.2000000000000003E-2</v>
      </c>
      <c r="K781">
        <v>4.8000000000000001E-2</v>
      </c>
      <c r="L781">
        <v>2235.4</v>
      </c>
      <c r="M781">
        <v>2243.4</v>
      </c>
      <c r="N781">
        <v>2259.6</v>
      </c>
      <c r="Q781">
        <f t="shared" si="60"/>
        <v>420.5</v>
      </c>
      <c r="R781">
        <f t="shared" si="61"/>
        <v>420.5</v>
      </c>
      <c r="S781">
        <f t="shared" si="62"/>
        <v>0</v>
      </c>
    </row>
    <row r="782" spans="1:19" x14ac:dyDescent="0.25">
      <c r="A782" s="2">
        <v>44886</v>
      </c>
      <c r="B782" s="3">
        <v>325</v>
      </c>
      <c r="C782" s="3">
        <v>1000</v>
      </c>
      <c r="D782">
        <v>420.46480000000003</v>
      </c>
      <c r="E782">
        <v>3.5999999999999997E-2</v>
      </c>
      <c r="F782">
        <v>414.20830000000001</v>
      </c>
      <c r="G782">
        <v>422.12290000000002</v>
      </c>
      <c r="H782">
        <v>425.0634</v>
      </c>
      <c r="I782">
        <v>0.03</v>
      </c>
      <c r="J782">
        <v>0.05</v>
      </c>
      <c r="K782">
        <v>2.3E-2</v>
      </c>
      <c r="L782">
        <v>2235.1999999999998</v>
      </c>
      <c r="M782">
        <v>2243.1999999999998</v>
      </c>
      <c r="N782">
        <v>2259.4</v>
      </c>
      <c r="Q782">
        <f t="shared" si="60"/>
        <v>420.5</v>
      </c>
      <c r="R782">
        <f t="shared" si="61"/>
        <v>420.5</v>
      </c>
      <c r="S782">
        <f t="shared" si="62"/>
        <v>0</v>
      </c>
    </row>
    <row r="783" spans="1:19" x14ac:dyDescent="0.25">
      <c r="A783" s="2">
        <v>44886</v>
      </c>
      <c r="B783" s="3">
        <v>325</v>
      </c>
      <c r="C783" s="3">
        <v>1100</v>
      </c>
      <c r="D783">
        <v>420.45760000000001</v>
      </c>
      <c r="E783">
        <v>4.8000000000000001E-2</v>
      </c>
      <c r="F783">
        <v>414.25209999999998</v>
      </c>
      <c r="G783">
        <v>422.09640000000002</v>
      </c>
      <c r="H783">
        <v>425.02440000000001</v>
      </c>
      <c r="I783">
        <v>0.05</v>
      </c>
      <c r="J783">
        <v>4.2999999999999997E-2</v>
      </c>
      <c r="K783">
        <v>0.05</v>
      </c>
      <c r="L783">
        <v>2235.1999999999998</v>
      </c>
      <c r="M783">
        <v>2243</v>
      </c>
      <c r="N783">
        <v>2259.6</v>
      </c>
      <c r="Q783">
        <f t="shared" si="60"/>
        <v>420.5</v>
      </c>
      <c r="R783">
        <f t="shared" si="61"/>
        <v>420.5</v>
      </c>
      <c r="S783">
        <f t="shared" si="62"/>
        <v>0</v>
      </c>
    </row>
    <row r="784" spans="1:19" x14ac:dyDescent="0.25">
      <c r="A784" s="2">
        <v>44886</v>
      </c>
      <c r="B784" s="3">
        <v>325</v>
      </c>
      <c r="C784" s="3">
        <v>1200</v>
      </c>
      <c r="D784">
        <v>420.41719999999998</v>
      </c>
      <c r="E784">
        <v>4.2000000000000003E-2</v>
      </c>
      <c r="F784">
        <v>414.17500000000001</v>
      </c>
      <c r="G784">
        <v>422.08049999999997</v>
      </c>
      <c r="H784">
        <v>424.99599999999998</v>
      </c>
      <c r="I784">
        <v>4.5999999999999999E-2</v>
      </c>
      <c r="J784">
        <v>3.4000000000000002E-2</v>
      </c>
      <c r="K784">
        <v>4.4999999999999998E-2</v>
      </c>
      <c r="L784">
        <v>2235.1999999999998</v>
      </c>
      <c r="M784">
        <v>2243</v>
      </c>
      <c r="N784">
        <v>2259.4</v>
      </c>
      <c r="Q784">
        <f t="shared" si="60"/>
        <v>420.4</v>
      </c>
      <c r="R784">
        <f t="shared" si="61"/>
        <v>420.5</v>
      </c>
      <c r="S784">
        <f t="shared" si="62"/>
        <v>0</v>
      </c>
    </row>
    <row r="785" spans="1:19" x14ac:dyDescent="0.25">
      <c r="A785" s="2">
        <v>44886</v>
      </c>
      <c r="B785" s="3">
        <v>325</v>
      </c>
      <c r="C785" s="3">
        <v>1300</v>
      </c>
      <c r="D785">
        <v>420.41430000000003</v>
      </c>
      <c r="E785">
        <v>4.2000000000000003E-2</v>
      </c>
      <c r="F785">
        <v>414.16629999999998</v>
      </c>
      <c r="G785">
        <v>422.084</v>
      </c>
      <c r="H785">
        <v>424.99250000000001</v>
      </c>
      <c r="I785">
        <v>4.9000000000000002E-2</v>
      </c>
      <c r="J785">
        <v>3.3000000000000002E-2</v>
      </c>
      <c r="K785">
        <v>4.2999999999999997E-2</v>
      </c>
      <c r="L785">
        <v>2235</v>
      </c>
      <c r="M785">
        <v>2243</v>
      </c>
      <c r="N785">
        <v>2259.6</v>
      </c>
      <c r="Q785">
        <f t="shared" si="60"/>
        <v>420.4</v>
      </c>
      <c r="R785">
        <f t="shared" si="61"/>
        <v>420.5</v>
      </c>
      <c r="S785">
        <f t="shared" si="62"/>
        <v>0</v>
      </c>
    </row>
    <row r="786" spans="1:19" x14ac:dyDescent="0.25">
      <c r="A786" s="2">
        <v>44886</v>
      </c>
      <c r="B786" s="3">
        <v>325</v>
      </c>
      <c r="C786" s="3">
        <v>1400</v>
      </c>
      <c r="D786">
        <v>420.38850000000002</v>
      </c>
      <c r="E786">
        <v>3.5000000000000003E-2</v>
      </c>
      <c r="F786">
        <v>414.11900000000003</v>
      </c>
      <c r="G786">
        <v>422.05930000000001</v>
      </c>
      <c r="H786">
        <v>424.98719999999997</v>
      </c>
      <c r="I786">
        <v>3.3000000000000002E-2</v>
      </c>
      <c r="J786">
        <v>3.3000000000000002E-2</v>
      </c>
      <c r="K786">
        <v>0.04</v>
      </c>
      <c r="L786">
        <v>2235.1999999999998</v>
      </c>
      <c r="M786">
        <v>2243</v>
      </c>
      <c r="N786">
        <v>2259.6</v>
      </c>
      <c r="Q786">
        <f t="shared" si="60"/>
        <v>420.4</v>
      </c>
      <c r="R786">
        <f t="shared" si="61"/>
        <v>420.5</v>
      </c>
      <c r="S786">
        <f t="shared" si="62"/>
        <v>0</v>
      </c>
    </row>
    <row r="787" spans="1:19" x14ac:dyDescent="0.25">
      <c r="A787" s="2">
        <v>44886</v>
      </c>
      <c r="B787" s="3">
        <v>325</v>
      </c>
      <c r="C787" s="3">
        <v>1500</v>
      </c>
      <c r="D787">
        <v>420.37920000000003</v>
      </c>
      <c r="E787">
        <v>3.5999999999999997E-2</v>
      </c>
      <c r="F787">
        <v>414.08569999999997</v>
      </c>
      <c r="G787">
        <v>422.06639999999999</v>
      </c>
      <c r="H787">
        <v>424.98540000000003</v>
      </c>
      <c r="I787">
        <v>4.1000000000000002E-2</v>
      </c>
      <c r="J787">
        <v>2.9000000000000001E-2</v>
      </c>
      <c r="K787">
        <v>3.7999999999999999E-2</v>
      </c>
      <c r="L787">
        <v>2235</v>
      </c>
      <c r="M787">
        <v>2243</v>
      </c>
      <c r="N787">
        <v>2259.4</v>
      </c>
      <c r="Q787">
        <f t="shared" ref="Q787:Q850" si="63">ROUND(D787,1)</f>
        <v>420.4</v>
      </c>
      <c r="R787">
        <f t="shared" si="61"/>
        <v>420.5</v>
      </c>
      <c r="S787">
        <f t="shared" si="62"/>
        <v>0</v>
      </c>
    </row>
    <row r="788" spans="1:19" x14ac:dyDescent="0.25">
      <c r="A788" s="2">
        <v>44886</v>
      </c>
      <c r="B788" s="3">
        <v>325</v>
      </c>
      <c r="C788" s="3">
        <v>1600</v>
      </c>
      <c r="D788">
        <v>420.40620000000001</v>
      </c>
      <c r="E788">
        <v>4.1000000000000002E-2</v>
      </c>
      <c r="F788">
        <v>414.1277</v>
      </c>
      <c r="G788">
        <v>422.08229999999998</v>
      </c>
      <c r="H788">
        <v>425.00839999999999</v>
      </c>
      <c r="I788">
        <v>4.1000000000000002E-2</v>
      </c>
      <c r="J788">
        <v>3.1E-2</v>
      </c>
      <c r="K788">
        <v>0.05</v>
      </c>
      <c r="L788">
        <v>2235</v>
      </c>
      <c r="M788">
        <v>2243</v>
      </c>
      <c r="N788">
        <v>2259.4</v>
      </c>
      <c r="Q788">
        <f t="shared" si="63"/>
        <v>420.4</v>
      </c>
      <c r="R788">
        <f t="shared" si="61"/>
        <v>420.5</v>
      </c>
      <c r="S788">
        <f t="shared" si="62"/>
        <v>0</v>
      </c>
    </row>
    <row r="789" spans="1:19" x14ac:dyDescent="0.25">
      <c r="A789" s="2">
        <v>44886</v>
      </c>
      <c r="B789" s="3">
        <v>325</v>
      </c>
      <c r="C789" s="3">
        <v>1700</v>
      </c>
      <c r="D789">
        <v>420.41320000000002</v>
      </c>
      <c r="E789">
        <v>4.2000000000000003E-2</v>
      </c>
      <c r="F789">
        <v>414.1207</v>
      </c>
      <c r="G789">
        <v>422.09289999999999</v>
      </c>
      <c r="H789">
        <v>425.02620000000002</v>
      </c>
      <c r="I789">
        <v>3.5000000000000003E-2</v>
      </c>
      <c r="J789">
        <v>4.1000000000000002E-2</v>
      </c>
      <c r="K789">
        <v>0.05</v>
      </c>
      <c r="L789">
        <v>2235</v>
      </c>
      <c r="M789">
        <v>2243</v>
      </c>
      <c r="N789">
        <v>2259.6</v>
      </c>
      <c r="Q789">
        <f t="shared" si="63"/>
        <v>420.4</v>
      </c>
      <c r="R789">
        <f t="shared" si="61"/>
        <v>420.5</v>
      </c>
      <c r="S789">
        <f t="shared" si="62"/>
        <v>0</v>
      </c>
    </row>
    <row r="790" spans="1:19" x14ac:dyDescent="0.25">
      <c r="A790" s="2">
        <v>44886</v>
      </c>
      <c r="B790" s="3">
        <v>325</v>
      </c>
      <c r="C790" s="3">
        <v>1800</v>
      </c>
      <c r="D790">
        <v>420.37520000000001</v>
      </c>
      <c r="E790">
        <v>3.5999999999999997E-2</v>
      </c>
      <c r="F790">
        <v>414.02080000000001</v>
      </c>
      <c r="G790">
        <v>422.06459999999998</v>
      </c>
      <c r="H790">
        <v>425.0403</v>
      </c>
      <c r="I790">
        <v>3.5000000000000003E-2</v>
      </c>
      <c r="J790">
        <v>2.5999999999999999E-2</v>
      </c>
      <c r="K790">
        <v>4.4999999999999998E-2</v>
      </c>
      <c r="L790">
        <v>2234.8000000000002</v>
      </c>
      <c r="M790">
        <v>2243</v>
      </c>
      <c r="N790">
        <v>2259.4</v>
      </c>
      <c r="Q790">
        <f t="shared" si="63"/>
        <v>420.4</v>
      </c>
      <c r="R790">
        <f t="shared" si="61"/>
        <v>420.5</v>
      </c>
      <c r="S790">
        <f t="shared" si="62"/>
        <v>0</v>
      </c>
    </row>
    <row r="791" spans="1:19" x14ac:dyDescent="0.25">
      <c r="A791" s="2">
        <v>44886</v>
      </c>
      <c r="B791" s="3">
        <v>325</v>
      </c>
      <c r="C791" s="3">
        <v>1900</v>
      </c>
      <c r="D791">
        <v>420.44439999999997</v>
      </c>
      <c r="E791">
        <v>4.2000000000000003E-2</v>
      </c>
      <c r="F791">
        <v>414.15050000000002</v>
      </c>
      <c r="G791">
        <v>422.11059999999998</v>
      </c>
      <c r="H791">
        <v>425.07220000000001</v>
      </c>
      <c r="I791">
        <v>0.05</v>
      </c>
      <c r="J791">
        <v>4.9000000000000002E-2</v>
      </c>
      <c r="K791">
        <v>1.9E-2</v>
      </c>
      <c r="L791">
        <v>2235.1999999999998</v>
      </c>
      <c r="M791">
        <v>2243</v>
      </c>
      <c r="N791">
        <v>2259.6</v>
      </c>
      <c r="Q791">
        <f t="shared" si="63"/>
        <v>420.4</v>
      </c>
      <c r="R791">
        <f t="shared" si="61"/>
        <v>420.5</v>
      </c>
      <c r="S791">
        <f t="shared" si="62"/>
        <v>0</v>
      </c>
    </row>
    <row r="792" spans="1:19" x14ac:dyDescent="0.25">
      <c r="A792" s="2">
        <v>44886</v>
      </c>
      <c r="B792" s="3">
        <v>325</v>
      </c>
      <c r="C792" s="3">
        <v>2000</v>
      </c>
      <c r="D792">
        <v>420.44029999999998</v>
      </c>
      <c r="E792">
        <v>4.2000000000000003E-2</v>
      </c>
      <c r="F792">
        <v>414.14</v>
      </c>
      <c r="G792">
        <v>422.10169999999999</v>
      </c>
      <c r="H792">
        <v>425.07929999999999</v>
      </c>
      <c r="I792">
        <v>4.7E-2</v>
      </c>
      <c r="J792">
        <v>4.5999999999999999E-2</v>
      </c>
      <c r="K792">
        <v>3.1E-2</v>
      </c>
      <c r="L792">
        <v>2235</v>
      </c>
      <c r="M792">
        <v>2243</v>
      </c>
      <c r="N792">
        <v>2259.6</v>
      </c>
      <c r="Q792">
        <f t="shared" si="63"/>
        <v>420.4</v>
      </c>
      <c r="R792">
        <f t="shared" si="61"/>
        <v>420.5</v>
      </c>
      <c r="S792">
        <f t="shared" si="62"/>
        <v>0</v>
      </c>
    </row>
    <row r="793" spans="1:19" x14ac:dyDescent="0.25">
      <c r="A793" s="2">
        <v>44886</v>
      </c>
      <c r="B793" s="3">
        <v>325</v>
      </c>
      <c r="C793" s="3">
        <v>2100</v>
      </c>
      <c r="D793">
        <v>420.45209999999997</v>
      </c>
      <c r="E793">
        <v>4.3999999999999997E-2</v>
      </c>
      <c r="F793">
        <v>414.12599999999998</v>
      </c>
      <c r="G793">
        <v>422.13529999999997</v>
      </c>
      <c r="H793">
        <v>425.09519999999998</v>
      </c>
      <c r="I793">
        <v>3.9E-2</v>
      </c>
      <c r="J793">
        <v>4.9000000000000002E-2</v>
      </c>
      <c r="K793">
        <v>4.3999999999999997E-2</v>
      </c>
      <c r="L793">
        <v>2235</v>
      </c>
      <c r="M793">
        <v>2243.1999999999998</v>
      </c>
      <c r="N793">
        <v>2259.8000000000002</v>
      </c>
      <c r="Q793">
        <f t="shared" si="63"/>
        <v>420.5</v>
      </c>
      <c r="R793">
        <f t="shared" si="61"/>
        <v>420.5</v>
      </c>
      <c r="S793">
        <f t="shared" si="62"/>
        <v>0</v>
      </c>
    </row>
    <row r="794" spans="1:19" x14ac:dyDescent="0.25">
      <c r="A794" s="2">
        <v>44886</v>
      </c>
      <c r="B794" s="3">
        <v>325</v>
      </c>
      <c r="C794" s="3">
        <v>2200</v>
      </c>
      <c r="D794">
        <v>420.48430000000002</v>
      </c>
      <c r="E794">
        <v>0.04</v>
      </c>
      <c r="F794">
        <v>414.21530000000001</v>
      </c>
      <c r="G794">
        <v>422.14760000000001</v>
      </c>
      <c r="H794">
        <v>425.0899</v>
      </c>
      <c r="I794">
        <v>3.4000000000000002E-2</v>
      </c>
      <c r="J794">
        <v>4.2999999999999997E-2</v>
      </c>
      <c r="K794">
        <v>4.1000000000000002E-2</v>
      </c>
      <c r="L794">
        <v>2235.1999999999998</v>
      </c>
      <c r="M794">
        <v>2243.1999999999998</v>
      </c>
      <c r="N794">
        <v>2259.8000000000002</v>
      </c>
      <c r="Q794">
        <f t="shared" si="63"/>
        <v>420.5</v>
      </c>
      <c r="R794">
        <f t="shared" si="61"/>
        <v>420.5</v>
      </c>
      <c r="S794">
        <f t="shared" si="62"/>
        <v>0</v>
      </c>
    </row>
    <row r="795" spans="1:19" x14ac:dyDescent="0.25">
      <c r="A795" s="2">
        <v>44886</v>
      </c>
      <c r="B795" s="3">
        <v>325</v>
      </c>
      <c r="C795" s="3">
        <v>2300</v>
      </c>
      <c r="D795">
        <v>420.47199999999998</v>
      </c>
      <c r="E795">
        <v>4.2999999999999997E-2</v>
      </c>
      <c r="F795">
        <v>414.1891</v>
      </c>
      <c r="G795">
        <v>422.13709999999998</v>
      </c>
      <c r="H795">
        <v>425.0899</v>
      </c>
      <c r="I795">
        <v>3.7999999999999999E-2</v>
      </c>
      <c r="J795">
        <v>4.8000000000000001E-2</v>
      </c>
      <c r="K795">
        <v>4.1000000000000002E-2</v>
      </c>
      <c r="L795">
        <v>2235.1999999999998</v>
      </c>
      <c r="M795">
        <v>2243.1999999999998</v>
      </c>
      <c r="N795">
        <v>2259.6</v>
      </c>
      <c r="Q795">
        <f t="shared" si="63"/>
        <v>420.5</v>
      </c>
      <c r="R795">
        <f t="shared" si="61"/>
        <v>420.5</v>
      </c>
      <c r="S795">
        <f t="shared" si="62"/>
        <v>0</v>
      </c>
    </row>
    <row r="796" spans="1:19" x14ac:dyDescent="0.25">
      <c r="A796" s="2">
        <v>44886</v>
      </c>
      <c r="B796" s="3">
        <v>325</v>
      </c>
      <c r="C796" s="3">
        <v>2400</v>
      </c>
      <c r="D796">
        <v>420.48899999999998</v>
      </c>
      <c r="E796">
        <v>0.04</v>
      </c>
      <c r="F796">
        <v>414.21179999999998</v>
      </c>
      <c r="G796">
        <v>422.14589999999998</v>
      </c>
      <c r="H796">
        <v>425.10939999999999</v>
      </c>
      <c r="I796">
        <v>2.1999999999999999E-2</v>
      </c>
      <c r="J796">
        <v>4.3999999999999997E-2</v>
      </c>
      <c r="K796">
        <v>0.05</v>
      </c>
      <c r="L796">
        <v>2235.1999999999998</v>
      </c>
      <c r="M796">
        <v>2243</v>
      </c>
      <c r="N796">
        <v>2259.8000000000002</v>
      </c>
      <c r="Q796">
        <f t="shared" si="63"/>
        <v>420.5</v>
      </c>
      <c r="R796">
        <f t="shared" si="61"/>
        <v>420.5</v>
      </c>
      <c r="S796">
        <f t="shared" si="62"/>
        <v>0</v>
      </c>
    </row>
    <row r="797" spans="1:19" x14ac:dyDescent="0.25">
      <c r="A797" s="2">
        <v>44887</v>
      </c>
      <c r="B797" s="3">
        <v>326</v>
      </c>
      <c r="C797" s="3">
        <v>100</v>
      </c>
      <c r="D797">
        <v>420.51310000000001</v>
      </c>
      <c r="E797">
        <v>4.5999999999999999E-2</v>
      </c>
      <c r="F797">
        <v>414.24860000000001</v>
      </c>
      <c r="G797">
        <v>422.16</v>
      </c>
      <c r="H797">
        <v>425.13060000000002</v>
      </c>
      <c r="I797">
        <v>4.9000000000000002E-2</v>
      </c>
      <c r="J797">
        <v>3.7999999999999999E-2</v>
      </c>
      <c r="K797">
        <v>4.9000000000000002E-2</v>
      </c>
      <c r="L797">
        <v>2235.1999999999998</v>
      </c>
      <c r="M797">
        <v>2243.1999999999998</v>
      </c>
      <c r="N797">
        <v>2259.8000000000002</v>
      </c>
      <c r="Q797">
        <f t="shared" si="63"/>
        <v>420.5</v>
      </c>
      <c r="R797">
        <f t="shared" si="61"/>
        <v>420.5</v>
      </c>
      <c r="S797">
        <f t="shared" si="62"/>
        <v>0</v>
      </c>
    </row>
    <row r="798" spans="1:19" x14ac:dyDescent="0.25">
      <c r="A798" s="2">
        <v>44887</v>
      </c>
      <c r="B798" s="3">
        <v>326</v>
      </c>
      <c r="C798" s="3">
        <v>200</v>
      </c>
      <c r="D798">
        <v>420.51780000000002</v>
      </c>
      <c r="E798">
        <v>4.2000000000000003E-2</v>
      </c>
      <c r="F798">
        <v>414.25209999999998</v>
      </c>
      <c r="G798">
        <v>422.16890000000001</v>
      </c>
      <c r="H798">
        <v>425.13240000000002</v>
      </c>
      <c r="I798">
        <v>0.05</v>
      </c>
      <c r="J798">
        <v>1.9E-2</v>
      </c>
      <c r="K798">
        <v>4.9000000000000002E-2</v>
      </c>
      <c r="L798">
        <v>2235.4</v>
      </c>
      <c r="M798">
        <v>2243.1999999999998</v>
      </c>
      <c r="N798">
        <v>2259.8000000000002</v>
      </c>
      <c r="Q798">
        <f t="shared" si="63"/>
        <v>420.5</v>
      </c>
      <c r="R798">
        <f t="shared" si="61"/>
        <v>420.5</v>
      </c>
      <c r="S798">
        <f t="shared" si="62"/>
        <v>0</v>
      </c>
    </row>
    <row r="799" spans="1:19" x14ac:dyDescent="0.25">
      <c r="A799" s="2">
        <v>44887</v>
      </c>
      <c r="B799" s="3">
        <v>326</v>
      </c>
      <c r="C799" s="3">
        <v>300</v>
      </c>
      <c r="D799">
        <v>420.51190000000003</v>
      </c>
      <c r="E799">
        <v>4.5999999999999999E-2</v>
      </c>
      <c r="F799">
        <v>414.25209999999998</v>
      </c>
      <c r="G799">
        <v>422.1583</v>
      </c>
      <c r="H799">
        <v>425.12529999999998</v>
      </c>
      <c r="I799">
        <v>0.05</v>
      </c>
      <c r="J799">
        <v>3.5000000000000003E-2</v>
      </c>
      <c r="K799">
        <v>0.05</v>
      </c>
      <c r="L799">
        <v>2235.1999999999998</v>
      </c>
      <c r="M799">
        <v>2243.1999999999998</v>
      </c>
      <c r="N799">
        <v>2259.6</v>
      </c>
      <c r="Q799">
        <f t="shared" si="63"/>
        <v>420.5</v>
      </c>
      <c r="R799">
        <f t="shared" si="61"/>
        <v>420.5</v>
      </c>
      <c r="S799">
        <f t="shared" si="62"/>
        <v>0</v>
      </c>
    </row>
    <row r="800" spans="1:19" x14ac:dyDescent="0.25">
      <c r="A800" s="2">
        <v>44887</v>
      </c>
      <c r="B800" s="3">
        <v>326</v>
      </c>
      <c r="C800" s="3">
        <v>400</v>
      </c>
      <c r="D800">
        <v>420.51839999999999</v>
      </c>
      <c r="E800">
        <v>4.4999999999999998E-2</v>
      </c>
      <c r="F800">
        <v>414.25560000000002</v>
      </c>
      <c r="G800">
        <v>422.1653</v>
      </c>
      <c r="H800">
        <v>425.13420000000002</v>
      </c>
      <c r="I800">
        <v>0.05</v>
      </c>
      <c r="J800">
        <v>3.6999999999999998E-2</v>
      </c>
      <c r="K800">
        <v>4.8000000000000001E-2</v>
      </c>
      <c r="L800">
        <v>2235.4</v>
      </c>
      <c r="M800">
        <v>2243.1999999999998</v>
      </c>
      <c r="N800">
        <v>2259.8000000000002</v>
      </c>
      <c r="Q800">
        <f t="shared" si="63"/>
        <v>420.5</v>
      </c>
      <c r="R800">
        <f t="shared" si="61"/>
        <v>420.5</v>
      </c>
      <c r="S800">
        <f t="shared" si="62"/>
        <v>0</v>
      </c>
    </row>
    <row r="801" spans="1:19" x14ac:dyDescent="0.25">
      <c r="A801" s="2">
        <v>44887</v>
      </c>
      <c r="B801" s="3">
        <v>326</v>
      </c>
      <c r="C801" s="3">
        <v>500</v>
      </c>
      <c r="D801">
        <v>420.52600000000001</v>
      </c>
      <c r="E801">
        <v>4.1000000000000002E-2</v>
      </c>
      <c r="F801">
        <v>414.27140000000003</v>
      </c>
      <c r="G801">
        <v>422.16180000000003</v>
      </c>
      <c r="H801">
        <v>425.14479999999998</v>
      </c>
      <c r="I801">
        <v>4.8000000000000001E-2</v>
      </c>
      <c r="J801">
        <v>3.1E-2</v>
      </c>
      <c r="K801">
        <v>4.2999999999999997E-2</v>
      </c>
      <c r="L801">
        <v>2235.4</v>
      </c>
      <c r="M801">
        <v>2243.1999999999998</v>
      </c>
      <c r="N801">
        <v>2259.8000000000002</v>
      </c>
      <c r="Q801">
        <f t="shared" si="63"/>
        <v>420.5</v>
      </c>
      <c r="R801">
        <f t="shared" si="61"/>
        <v>420.5</v>
      </c>
      <c r="S801">
        <f t="shared" si="62"/>
        <v>0</v>
      </c>
    </row>
    <row r="802" spans="1:19" x14ac:dyDescent="0.25">
      <c r="A802" s="2">
        <v>44887</v>
      </c>
      <c r="B802" s="3">
        <v>326</v>
      </c>
      <c r="C802" s="3">
        <v>600</v>
      </c>
      <c r="D802">
        <v>420.54239999999999</v>
      </c>
      <c r="E802">
        <v>3.4000000000000002E-2</v>
      </c>
      <c r="F802">
        <v>414.29939999999999</v>
      </c>
      <c r="G802">
        <v>422.1653</v>
      </c>
      <c r="H802">
        <v>425.16250000000002</v>
      </c>
      <c r="I802">
        <v>3.6999999999999998E-2</v>
      </c>
      <c r="J802">
        <v>3.6999999999999998E-2</v>
      </c>
      <c r="K802">
        <v>2.5999999999999999E-2</v>
      </c>
      <c r="L802">
        <v>2235.4</v>
      </c>
      <c r="M802">
        <v>2243.1999999999998</v>
      </c>
      <c r="N802">
        <v>2259.8000000000002</v>
      </c>
      <c r="Q802">
        <f t="shared" si="63"/>
        <v>420.5</v>
      </c>
      <c r="R802">
        <f t="shared" ref="R802:R865" si="64">ROUND(IF(Q802&lt;R801,R801,Q802),1)</f>
        <v>420.5</v>
      </c>
      <c r="S802">
        <f t="shared" si="62"/>
        <v>0</v>
      </c>
    </row>
    <row r="803" spans="1:19" x14ac:dyDescent="0.25">
      <c r="A803" s="2">
        <v>44887</v>
      </c>
      <c r="B803" s="3">
        <v>326</v>
      </c>
      <c r="C803" s="3">
        <v>700</v>
      </c>
      <c r="D803">
        <v>420.58300000000003</v>
      </c>
      <c r="E803">
        <v>4.7E-2</v>
      </c>
      <c r="F803">
        <v>414.33980000000003</v>
      </c>
      <c r="G803">
        <v>422.20600000000002</v>
      </c>
      <c r="H803">
        <v>425.20319999999998</v>
      </c>
      <c r="I803">
        <v>4.7E-2</v>
      </c>
      <c r="J803">
        <v>4.7E-2</v>
      </c>
      <c r="K803">
        <v>4.8000000000000001E-2</v>
      </c>
      <c r="L803">
        <v>2235.4</v>
      </c>
      <c r="M803">
        <v>2243.1999999999998</v>
      </c>
      <c r="N803">
        <v>2259.8000000000002</v>
      </c>
      <c r="Q803">
        <f t="shared" si="63"/>
        <v>420.6</v>
      </c>
      <c r="R803">
        <f t="shared" si="64"/>
        <v>420.6</v>
      </c>
      <c r="S803">
        <f t="shared" si="62"/>
        <v>0.10000000000002274</v>
      </c>
    </row>
    <row r="804" spans="1:19" x14ac:dyDescent="0.25">
      <c r="A804" s="2">
        <v>44887</v>
      </c>
      <c r="B804" s="3">
        <v>326</v>
      </c>
      <c r="C804" s="3">
        <v>800</v>
      </c>
      <c r="D804">
        <v>420.61</v>
      </c>
      <c r="E804">
        <v>0.05</v>
      </c>
      <c r="F804">
        <v>414.36610000000002</v>
      </c>
      <c r="G804">
        <v>422.23250000000002</v>
      </c>
      <c r="H804">
        <v>425.23149999999998</v>
      </c>
      <c r="I804">
        <v>5.1999999999999998E-2</v>
      </c>
      <c r="J804">
        <v>4.9000000000000002E-2</v>
      </c>
      <c r="K804">
        <v>4.9000000000000002E-2</v>
      </c>
      <c r="L804">
        <v>2235.6</v>
      </c>
      <c r="M804">
        <v>2243.1999999999998</v>
      </c>
      <c r="N804">
        <v>2260</v>
      </c>
      <c r="Q804">
        <f t="shared" si="63"/>
        <v>420.6</v>
      </c>
      <c r="R804">
        <f t="shared" si="64"/>
        <v>420.6</v>
      </c>
      <c r="S804">
        <f t="shared" si="62"/>
        <v>0</v>
      </c>
    </row>
    <row r="805" spans="1:19" x14ac:dyDescent="0.25">
      <c r="A805" s="2">
        <v>44887</v>
      </c>
      <c r="B805" s="3">
        <v>326</v>
      </c>
      <c r="C805" s="3">
        <v>900</v>
      </c>
      <c r="D805">
        <v>420.80110000000002</v>
      </c>
      <c r="E805">
        <v>0.05</v>
      </c>
      <c r="F805">
        <v>414.55020000000002</v>
      </c>
      <c r="G805">
        <v>422.42340000000002</v>
      </c>
      <c r="H805">
        <v>425.4298</v>
      </c>
      <c r="I805">
        <v>0.05</v>
      </c>
      <c r="J805">
        <v>0.05</v>
      </c>
      <c r="K805">
        <v>0.05</v>
      </c>
      <c r="L805">
        <v>2236</v>
      </c>
      <c r="M805">
        <v>2243.6</v>
      </c>
      <c r="N805">
        <v>2260.1999999999998</v>
      </c>
      <c r="Q805">
        <f t="shared" si="63"/>
        <v>420.8</v>
      </c>
      <c r="R805">
        <f t="shared" si="64"/>
        <v>420.8</v>
      </c>
      <c r="S805">
        <f t="shared" ref="S805:S868" si="65">IF(R805&gt;R804,R805-R804,0)</f>
        <v>0.19999999999998863</v>
      </c>
    </row>
    <row r="806" spans="1:19" x14ac:dyDescent="0.25">
      <c r="A806" s="2">
        <v>44887</v>
      </c>
      <c r="B806" s="3">
        <v>326</v>
      </c>
      <c r="C806" s="3">
        <v>1000</v>
      </c>
      <c r="D806">
        <v>420.81470000000002</v>
      </c>
      <c r="E806">
        <v>4.8000000000000001E-2</v>
      </c>
      <c r="F806">
        <v>414.56420000000003</v>
      </c>
      <c r="G806">
        <v>422.43579999999997</v>
      </c>
      <c r="H806">
        <v>425.44400000000002</v>
      </c>
      <c r="I806">
        <v>4.9000000000000002E-2</v>
      </c>
      <c r="J806">
        <v>4.9000000000000002E-2</v>
      </c>
      <c r="K806">
        <v>4.4999999999999998E-2</v>
      </c>
      <c r="L806">
        <v>2236</v>
      </c>
      <c r="M806">
        <v>2243.8000000000002</v>
      </c>
      <c r="N806">
        <v>2260.4</v>
      </c>
      <c r="Q806">
        <f t="shared" si="63"/>
        <v>420.8</v>
      </c>
      <c r="R806">
        <f t="shared" si="64"/>
        <v>420.8</v>
      </c>
      <c r="S806">
        <f t="shared" si="65"/>
        <v>0</v>
      </c>
    </row>
    <row r="807" spans="1:19" x14ac:dyDescent="0.25">
      <c r="A807" s="2">
        <v>44887</v>
      </c>
      <c r="B807" s="3">
        <v>326</v>
      </c>
      <c r="C807" s="3">
        <v>1100</v>
      </c>
      <c r="D807">
        <v>421.3134</v>
      </c>
      <c r="E807">
        <v>4.9000000000000002E-2</v>
      </c>
      <c r="F807">
        <v>415.06040000000002</v>
      </c>
      <c r="G807">
        <v>422.93619999999999</v>
      </c>
      <c r="H807">
        <v>425.94349999999997</v>
      </c>
      <c r="I807">
        <v>0.05</v>
      </c>
      <c r="J807">
        <v>0.05</v>
      </c>
      <c r="K807">
        <v>4.8000000000000001E-2</v>
      </c>
      <c r="L807">
        <v>2237</v>
      </c>
      <c r="M807">
        <v>2244.8000000000002</v>
      </c>
      <c r="N807">
        <v>2261.1999999999998</v>
      </c>
      <c r="Q807">
        <f t="shared" si="63"/>
        <v>421.3</v>
      </c>
      <c r="R807">
        <f t="shared" si="64"/>
        <v>421.3</v>
      </c>
      <c r="S807">
        <f t="shared" si="65"/>
        <v>0.5</v>
      </c>
    </row>
    <row r="808" spans="1:19" x14ac:dyDescent="0.25">
      <c r="A808" s="2">
        <v>44887</v>
      </c>
      <c r="B808" s="3">
        <v>326</v>
      </c>
      <c r="C808" s="3">
        <v>1200</v>
      </c>
      <c r="D808">
        <v>421.38869999999997</v>
      </c>
      <c r="E808">
        <v>0.05</v>
      </c>
      <c r="F808">
        <v>415.13929999999999</v>
      </c>
      <c r="G808">
        <v>423.0052</v>
      </c>
      <c r="H808">
        <v>426.0215</v>
      </c>
      <c r="I808">
        <v>5.0999999999999997E-2</v>
      </c>
      <c r="J808">
        <v>4.8000000000000001E-2</v>
      </c>
      <c r="K808">
        <v>0.05</v>
      </c>
      <c r="L808">
        <v>2237.1999999999998</v>
      </c>
      <c r="M808">
        <v>2245</v>
      </c>
      <c r="N808">
        <v>2261.6</v>
      </c>
      <c r="Q808">
        <f t="shared" si="63"/>
        <v>421.4</v>
      </c>
      <c r="R808">
        <f t="shared" si="64"/>
        <v>421.4</v>
      </c>
      <c r="S808">
        <f t="shared" si="65"/>
        <v>9.9999999999965894E-2</v>
      </c>
    </row>
    <row r="809" spans="1:19" x14ac:dyDescent="0.25">
      <c r="A809" s="2">
        <v>44887</v>
      </c>
      <c r="B809" s="3">
        <v>326</v>
      </c>
      <c r="C809" s="3">
        <v>1300</v>
      </c>
      <c r="D809">
        <v>421.5299</v>
      </c>
      <c r="E809">
        <v>4.2000000000000003E-2</v>
      </c>
      <c r="F809">
        <v>415.27609999999999</v>
      </c>
      <c r="G809">
        <v>423.14490000000001</v>
      </c>
      <c r="H809">
        <v>426.16860000000003</v>
      </c>
      <c r="I809">
        <v>4.5999999999999999E-2</v>
      </c>
      <c r="J809">
        <v>4.8000000000000001E-2</v>
      </c>
      <c r="K809">
        <v>3.1E-2</v>
      </c>
      <c r="L809">
        <v>2237.4</v>
      </c>
      <c r="M809">
        <v>2245</v>
      </c>
      <c r="N809">
        <v>2261.8000000000002</v>
      </c>
      <c r="Q809">
        <f t="shared" si="63"/>
        <v>421.5</v>
      </c>
      <c r="R809">
        <f t="shared" si="64"/>
        <v>421.5</v>
      </c>
      <c r="S809">
        <f t="shared" si="65"/>
        <v>0.10000000000002274</v>
      </c>
    </row>
    <row r="810" spans="1:19" x14ac:dyDescent="0.25">
      <c r="A810" s="2">
        <v>44887</v>
      </c>
      <c r="B810" s="3">
        <v>326</v>
      </c>
      <c r="C810" s="3">
        <v>1400</v>
      </c>
      <c r="D810">
        <v>421.6422</v>
      </c>
      <c r="E810">
        <v>3.9E-2</v>
      </c>
      <c r="F810">
        <v>415.39019999999999</v>
      </c>
      <c r="G810">
        <v>423.25630000000001</v>
      </c>
      <c r="H810">
        <v>426.28030000000001</v>
      </c>
      <c r="I810">
        <v>4.9000000000000002E-2</v>
      </c>
      <c r="J810">
        <v>4.2999999999999997E-2</v>
      </c>
      <c r="K810">
        <v>1.9E-2</v>
      </c>
      <c r="L810">
        <v>2237.4</v>
      </c>
      <c r="M810">
        <v>2245.4</v>
      </c>
      <c r="N810">
        <v>2262</v>
      </c>
      <c r="Q810">
        <f t="shared" si="63"/>
        <v>421.6</v>
      </c>
      <c r="R810">
        <f t="shared" si="64"/>
        <v>421.6</v>
      </c>
      <c r="S810">
        <f t="shared" si="65"/>
        <v>0.10000000000002274</v>
      </c>
    </row>
    <row r="811" spans="1:19" x14ac:dyDescent="0.25">
      <c r="A811" s="2">
        <v>44887</v>
      </c>
      <c r="B811" s="3">
        <v>326</v>
      </c>
      <c r="C811" s="3">
        <v>1500</v>
      </c>
      <c r="D811">
        <v>422.33929999999998</v>
      </c>
      <c r="E811">
        <v>4.5999999999999999E-2</v>
      </c>
      <c r="F811">
        <v>416.07119999999998</v>
      </c>
      <c r="G811">
        <v>423.96260000000001</v>
      </c>
      <c r="H811">
        <v>426.98410000000001</v>
      </c>
      <c r="I811">
        <v>4.8000000000000001E-2</v>
      </c>
      <c r="J811">
        <v>4.7E-2</v>
      </c>
      <c r="K811">
        <v>4.2000000000000003E-2</v>
      </c>
      <c r="L811">
        <v>2239</v>
      </c>
      <c r="M811">
        <v>2246.8000000000002</v>
      </c>
      <c r="N811">
        <v>2263.4</v>
      </c>
      <c r="Q811">
        <f t="shared" si="63"/>
        <v>422.3</v>
      </c>
      <c r="R811">
        <f t="shared" si="64"/>
        <v>422.3</v>
      </c>
      <c r="S811">
        <f t="shared" si="65"/>
        <v>0.69999999999998863</v>
      </c>
    </row>
    <row r="812" spans="1:19" x14ac:dyDescent="0.25">
      <c r="A812" s="2">
        <v>44887</v>
      </c>
      <c r="B812" s="3">
        <v>326</v>
      </c>
      <c r="C812" s="3">
        <v>1600</v>
      </c>
      <c r="D812">
        <v>422.55599999999998</v>
      </c>
      <c r="E812">
        <v>3.2000000000000001E-2</v>
      </c>
      <c r="F812">
        <v>416.2801</v>
      </c>
      <c r="G812">
        <v>424.1909</v>
      </c>
      <c r="H812">
        <v>427.19709999999998</v>
      </c>
      <c r="I812">
        <v>4.3999999999999997E-2</v>
      </c>
      <c r="J812">
        <v>2.3E-2</v>
      </c>
      <c r="K812">
        <v>2.5999999999999999E-2</v>
      </c>
      <c r="L812">
        <v>2239.1999999999998</v>
      </c>
      <c r="M812">
        <v>2247.1999999999998</v>
      </c>
      <c r="N812">
        <v>2263.8000000000002</v>
      </c>
      <c r="Q812">
        <f t="shared" si="63"/>
        <v>422.6</v>
      </c>
      <c r="R812">
        <f t="shared" si="64"/>
        <v>422.6</v>
      </c>
      <c r="S812">
        <f t="shared" si="65"/>
        <v>0.30000000000001137</v>
      </c>
    </row>
    <row r="813" spans="1:19" x14ac:dyDescent="0.25">
      <c r="A813" s="2">
        <v>44887</v>
      </c>
      <c r="B813" s="3">
        <v>326</v>
      </c>
      <c r="C813" s="3">
        <v>1700</v>
      </c>
      <c r="D813">
        <v>422.81689999999998</v>
      </c>
      <c r="E813">
        <v>4.8000000000000001E-2</v>
      </c>
      <c r="F813">
        <v>416.5804</v>
      </c>
      <c r="G813">
        <v>424.43360000000001</v>
      </c>
      <c r="H813">
        <v>427.4366</v>
      </c>
      <c r="I813">
        <v>4.3999999999999997E-2</v>
      </c>
      <c r="J813">
        <v>0.05</v>
      </c>
      <c r="K813">
        <v>0.05</v>
      </c>
      <c r="L813">
        <v>2239.8000000000002</v>
      </c>
      <c r="M813">
        <v>2247.6</v>
      </c>
      <c r="N813">
        <v>2264.1999999999998</v>
      </c>
      <c r="Q813">
        <f t="shared" si="63"/>
        <v>422.8</v>
      </c>
      <c r="R813">
        <f t="shared" si="64"/>
        <v>422.8</v>
      </c>
      <c r="S813">
        <f t="shared" si="65"/>
        <v>0.19999999999998863</v>
      </c>
    </row>
    <row r="814" spans="1:19" x14ac:dyDescent="0.25">
      <c r="A814" s="2">
        <v>44887</v>
      </c>
      <c r="B814" s="3">
        <v>326</v>
      </c>
      <c r="C814" s="3">
        <v>1800</v>
      </c>
      <c r="D814">
        <v>423.02019999999999</v>
      </c>
      <c r="E814">
        <v>4.9000000000000002E-2</v>
      </c>
      <c r="F814">
        <v>416.74549999999999</v>
      </c>
      <c r="G814">
        <v>424.6585</v>
      </c>
      <c r="H814">
        <v>427.65660000000003</v>
      </c>
      <c r="I814">
        <v>4.9000000000000002E-2</v>
      </c>
      <c r="J814">
        <v>4.8000000000000001E-2</v>
      </c>
      <c r="K814">
        <v>4.9000000000000002E-2</v>
      </c>
      <c r="L814">
        <v>2240.4</v>
      </c>
      <c r="M814">
        <v>2248</v>
      </c>
      <c r="N814">
        <v>2264.8000000000002</v>
      </c>
      <c r="Q814">
        <f t="shared" si="63"/>
        <v>423</v>
      </c>
      <c r="R814">
        <f t="shared" si="64"/>
        <v>423</v>
      </c>
      <c r="S814">
        <f t="shared" si="65"/>
        <v>0.19999999999998863</v>
      </c>
    </row>
    <row r="815" spans="1:19" x14ac:dyDescent="0.25">
      <c r="A815" s="2">
        <v>44887</v>
      </c>
      <c r="B815" s="3">
        <v>326</v>
      </c>
      <c r="C815" s="3">
        <v>1900</v>
      </c>
      <c r="D815">
        <v>423.56659999999999</v>
      </c>
      <c r="E815">
        <v>3.7999999999999999E-2</v>
      </c>
      <c r="F815">
        <v>417.30079999999998</v>
      </c>
      <c r="G815">
        <v>425.19009999999997</v>
      </c>
      <c r="H815">
        <v>428.20870000000002</v>
      </c>
      <c r="I815">
        <v>4.1000000000000002E-2</v>
      </c>
      <c r="J815">
        <v>3.9E-2</v>
      </c>
      <c r="K815">
        <v>3.2000000000000001E-2</v>
      </c>
      <c r="L815">
        <v>2241.4</v>
      </c>
      <c r="M815">
        <v>2249.1999999999998</v>
      </c>
      <c r="N815">
        <v>2265.8000000000002</v>
      </c>
      <c r="Q815">
        <f t="shared" si="63"/>
        <v>423.6</v>
      </c>
      <c r="R815">
        <f t="shared" si="64"/>
        <v>423.6</v>
      </c>
      <c r="S815">
        <f t="shared" si="65"/>
        <v>0.60000000000002274</v>
      </c>
    </row>
    <row r="816" spans="1:19" x14ac:dyDescent="0.25">
      <c r="A816" s="2">
        <v>44887</v>
      </c>
      <c r="B816" s="3">
        <v>326</v>
      </c>
      <c r="C816" s="3">
        <v>2000</v>
      </c>
      <c r="D816">
        <v>424.00409999999999</v>
      </c>
      <c r="E816">
        <v>4.7E-2</v>
      </c>
      <c r="F816">
        <v>417.73860000000002</v>
      </c>
      <c r="G816">
        <v>425.62979999999999</v>
      </c>
      <c r="H816">
        <v>428.64389999999997</v>
      </c>
      <c r="I816">
        <v>4.5999999999999999E-2</v>
      </c>
      <c r="J816">
        <v>4.4999999999999998E-2</v>
      </c>
      <c r="K816">
        <v>4.9000000000000002E-2</v>
      </c>
      <c r="L816">
        <v>2242.1999999999998</v>
      </c>
      <c r="M816">
        <v>2250</v>
      </c>
      <c r="N816">
        <v>2266.6</v>
      </c>
      <c r="Q816">
        <f t="shared" si="63"/>
        <v>424</v>
      </c>
      <c r="R816">
        <f t="shared" si="64"/>
        <v>424</v>
      </c>
      <c r="S816">
        <f t="shared" si="65"/>
        <v>0.39999999999997726</v>
      </c>
    </row>
    <row r="817" spans="1:19" x14ac:dyDescent="0.25">
      <c r="A817" s="2">
        <v>44887</v>
      </c>
      <c r="B817" s="3">
        <v>326</v>
      </c>
      <c r="C817" s="3">
        <v>2100</v>
      </c>
      <c r="D817">
        <v>424.13979999999998</v>
      </c>
      <c r="E817">
        <v>4.7E-2</v>
      </c>
      <c r="F817">
        <v>417.86520000000002</v>
      </c>
      <c r="G817">
        <v>425.77699999999999</v>
      </c>
      <c r="H817">
        <v>428.77710000000002</v>
      </c>
      <c r="I817">
        <v>0.05</v>
      </c>
      <c r="J817">
        <v>4.4999999999999998E-2</v>
      </c>
      <c r="K817">
        <v>4.7E-2</v>
      </c>
      <c r="L817">
        <v>2242.6</v>
      </c>
      <c r="M817">
        <v>2250.4</v>
      </c>
      <c r="N817">
        <v>2267</v>
      </c>
      <c r="Q817">
        <f t="shared" si="63"/>
        <v>424.1</v>
      </c>
      <c r="R817">
        <f t="shared" si="64"/>
        <v>424.1</v>
      </c>
      <c r="S817">
        <f t="shared" si="65"/>
        <v>0.10000000000002274</v>
      </c>
    </row>
    <row r="818" spans="1:19" x14ac:dyDescent="0.25">
      <c r="A818" s="2">
        <v>44887</v>
      </c>
      <c r="B818" s="3">
        <v>326</v>
      </c>
      <c r="C818" s="3">
        <v>2200</v>
      </c>
      <c r="D818">
        <v>424.16160000000002</v>
      </c>
      <c r="E818">
        <v>3.4000000000000002E-2</v>
      </c>
      <c r="F818">
        <v>417.88639999999998</v>
      </c>
      <c r="G818">
        <v>425.8</v>
      </c>
      <c r="H818">
        <v>428.79840000000002</v>
      </c>
      <c r="I818">
        <v>4.2000000000000003E-2</v>
      </c>
      <c r="J818">
        <v>2.9000000000000001E-2</v>
      </c>
      <c r="K818">
        <v>3.1E-2</v>
      </c>
      <c r="L818">
        <v>2242.6</v>
      </c>
      <c r="M818">
        <v>2250.1999999999998</v>
      </c>
      <c r="N818">
        <v>2267</v>
      </c>
      <c r="Q818">
        <f t="shared" si="63"/>
        <v>424.2</v>
      </c>
      <c r="R818">
        <f t="shared" si="64"/>
        <v>424.2</v>
      </c>
      <c r="S818">
        <f t="shared" si="65"/>
        <v>9.9999999999965894E-2</v>
      </c>
    </row>
    <row r="819" spans="1:19" x14ac:dyDescent="0.25">
      <c r="A819" s="2">
        <v>44887</v>
      </c>
      <c r="B819" s="3">
        <v>326</v>
      </c>
      <c r="C819" s="3">
        <v>2300</v>
      </c>
      <c r="D819">
        <v>424.16160000000002</v>
      </c>
      <c r="E819">
        <v>3.3000000000000002E-2</v>
      </c>
      <c r="F819">
        <v>417.88990000000001</v>
      </c>
      <c r="G819">
        <v>425.79820000000001</v>
      </c>
      <c r="H819">
        <v>428.79660000000001</v>
      </c>
      <c r="I819">
        <v>0.04</v>
      </c>
      <c r="J819">
        <v>2.5999999999999999E-2</v>
      </c>
      <c r="K819">
        <v>3.3000000000000002E-2</v>
      </c>
      <c r="L819">
        <v>2242.6</v>
      </c>
      <c r="M819">
        <v>2250.1999999999998</v>
      </c>
      <c r="N819">
        <v>2267</v>
      </c>
      <c r="Q819">
        <f t="shared" si="63"/>
        <v>424.2</v>
      </c>
      <c r="R819">
        <f t="shared" si="64"/>
        <v>424.2</v>
      </c>
      <c r="S819">
        <f t="shared" si="65"/>
        <v>0</v>
      </c>
    </row>
    <row r="820" spans="1:19" x14ac:dyDescent="0.25">
      <c r="A820" s="2">
        <v>44887</v>
      </c>
      <c r="B820" s="3">
        <v>326</v>
      </c>
      <c r="C820" s="3">
        <v>2400</v>
      </c>
      <c r="D820">
        <v>424.16390000000001</v>
      </c>
      <c r="E820">
        <v>3.5000000000000003E-2</v>
      </c>
      <c r="F820">
        <v>417.89159999999998</v>
      </c>
      <c r="G820">
        <v>425.80360000000002</v>
      </c>
      <c r="H820">
        <v>428.79660000000001</v>
      </c>
      <c r="I820">
        <v>3.7999999999999999E-2</v>
      </c>
      <c r="J820">
        <v>3.5000000000000003E-2</v>
      </c>
      <c r="K820">
        <v>3.3000000000000002E-2</v>
      </c>
      <c r="L820">
        <v>2242.6</v>
      </c>
      <c r="M820">
        <v>2250.4</v>
      </c>
      <c r="N820">
        <v>2267</v>
      </c>
      <c r="Q820">
        <f t="shared" si="63"/>
        <v>424.2</v>
      </c>
      <c r="R820">
        <f t="shared" si="64"/>
        <v>424.2</v>
      </c>
      <c r="S820">
        <f t="shared" si="65"/>
        <v>0</v>
      </c>
    </row>
    <row r="821" spans="1:19" x14ac:dyDescent="0.25">
      <c r="A821" s="2">
        <v>44888</v>
      </c>
      <c r="B821" s="3">
        <v>327</v>
      </c>
      <c r="C821" s="3">
        <v>100</v>
      </c>
      <c r="D821">
        <v>424.16570000000002</v>
      </c>
      <c r="E821">
        <v>3.4000000000000002E-2</v>
      </c>
      <c r="F821">
        <v>417.88810000000001</v>
      </c>
      <c r="G821">
        <v>425.8107</v>
      </c>
      <c r="H821">
        <v>428.79840000000002</v>
      </c>
      <c r="I821">
        <v>4.1000000000000002E-2</v>
      </c>
      <c r="J821">
        <v>2.9000000000000001E-2</v>
      </c>
      <c r="K821">
        <v>3.1E-2</v>
      </c>
      <c r="L821">
        <v>2242.4</v>
      </c>
      <c r="M821">
        <v>2250.4</v>
      </c>
      <c r="N821">
        <v>2267</v>
      </c>
      <c r="Q821">
        <f t="shared" si="63"/>
        <v>424.2</v>
      </c>
      <c r="R821">
        <f t="shared" si="64"/>
        <v>424.2</v>
      </c>
      <c r="S821">
        <f t="shared" si="65"/>
        <v>0</v>
      </c>
    </row>
    <row r="822" spans="1:19" x14ac:dyDescent="0.25">
      <c r="A822" s="2">
        <v>44888</v>
      </c>
      <c r="B822" s="3">
        <v>327</v>
      </c>
      <c r="C822" s="3">
        <v>200</v>
      </c>
      <c r="D822">
        <v>424.16449999999998</v>
      </c>
      <c r="E822">
        <v>3.1E-2</v>
      </c>
      <c r="F822">
        <v>417.89519999999999</v>
      </c>
      <c r="G822">
        <v>425.80529999999999</v>
      </c>
      <c r="H822">
        <v>428.79309999999998</v>
      </c>
      <c r="I822">
        <v>3.5000000000000003E-2</v>
      </c>
      <c r="J822">
        <v>1.9E-2</v>
      </c>
      <c r="K822">
        <v>3.6999999999999998E-2</v>
      </c>
      <c r="L822">
        <v>2242.6</v>
      </c>
      <c r="M822">
        <v>2250.4</v>
      </c>
      <c r="N822">
        <v>2266.8000000000002</v>
      </c>
      <c r="Q822">
        <f t="shared" si="63"/>
        <v>424.2</v>
      </c>
      <c r="R822">
        <f t="shared" si="64"/>
        <v>424.2</v>
      </c>
      <c r="S822">
        <f t="shared" si="65"/>
        <v>0</v>
      </c>
    </row>
    <row r="823" spans="1:19" x14ac:dyDescent="0.25">
      <c r="A823" s="2">
        <v>44888</v>
      </c>
      <c r="B823" s="3">
        <v>327</v>
      </c>
      <c r="C823" s="3">
        <v>300</v>
      </c>
      <c r="D823">
        <v>424.161</v>
      </c>
      <c r="E823">
        <v>3.9E-2</v>
      </c>
      <c r="F823">
        <v>417.89159999999998</v>
      </c>
      <c r="G823">
        <v>425.80180000000001</v>
      </c>
      <c r="H823">
        <v>428.78949999999998</v>
      </c>
      <c r="I823">
        <v>3.7999999999999999E-2</v>
      </c>
      <c r="J823">
        <v>3.7999999999999999E-2</v>
      </c>
      <c r="K823">
        <v>0.04</v>
      </c>
      <c r="L823">
        <v>2242.6</v>
      </c>
      <c r="M823">
        <v>2250.4</v>
      </c>
      <c r="N823">
        <v>2267</v>
      </c>
      <c r="Q823">
        <f t="shared" si="63"/>
        <v>424.2</v>
      </c>
      <c r="R823">
        <f t="shared" si="64"/>
        <v>424.2</v>
      </c>
      <c r="S823">
        <f t="shared" si="65"/>
        <v>0</v>
      </c>
    </row>
    <row r="824" spans="1:19" x14ac:dyDescent="0.25">
      <c r="A824" s="2">
        <v>44888</v>
      </c>
      <c r="B824" s="3">
        <v>327</v>
      </c>
      <c r="C824" s="3">
        <v>400</v>
      </c>
      <c r="D824">
        <v>424.15809999999999</v>
      </c>
      <c r="E824">
        <v>3.7999999999999999E-2</v>
      </c>
      <c r="F824">
        <v>417.89339999999999</v>
      </c>
      <c r="G824">
        <v>425.79820000000001</v>
      </c>
      <c r="H824">
        <v>428.7824</v>
      </c>
      <c r="I824">
        <v>3.6999999999999998E-2</v>
      </c>
      <c r="J824">
        <v>3.2000000000000001E-2</v>
      </c>
      <c r="K824">
        <v>4.4999999999999998E-2</v>
      </c>
      <c r="L824">
        <v>2242.6</v>
      </c>
      <c r="M824">
        <v>2250.4</v>
      </c>
      <c r="N824">
        <v>2267</v>
      </c>
      <c r="Q824">
        <f t="shared" si="63"/>
        <v>424.2</v>
      </c>
      <c r="R824">
        <f t="shared" si="64"/>
        <v>424.2</v>
      </c>
      <c r="S824">
        <f t="shared" si="65"/>
        <v>0</v>
      </c>
    </row>
    <row r="825" spans="1:19" x14ac:dyDescent="0.25">
      <c r="A825" s="2">
        <v>44888</v>
      </c>
      <c r="B825" s="3">
        <v>327</v>
      </c>
      <c r="C825" s="3">
        <v>500</v>
      </c>
      <c r="D825">
        <v>424.15210000000002</v>
      </c>
      <c r="E825">
        <v>4.2000000000000003E-2</v>
      </c>
      <c r="F825">
        <v>417.89339999999999</v>
      </c>
      <c r="G825">
        <v>425.78579999999999</v>
      </c>
      <c r="H825">
        <v>428.77710000000002</v>
      </c>
      <c r="I825">
        <v>3.6999999999999998E-2</v>
      </c>
      <c r="J825">
        <v>0.04</v>
      </c>
      <c r="K825">
        <v>4.7E-2</v>
      </c>
      <c r="L825">
        <v>2242.6</v>
      </c>
      <c r="M825">
        <v>2250.4</v>
      </c>
      <c r="N825">
        <v>2267</v>
      </c>
      <c r="Q825">
        <f t="shared" si="63"/>
        <v>424.2</v>
      </c>
      <c r="R825">
        <f t="shared" si="64"/>
        <v>424.2</v>
      </c>
      <c r="S825">
        <f t="shared" si="65"/>
        <v>0</v>
      </c>
    </row>
    <row r="826" spans="1:19" x14ac:dyDescent="0.25">
      <c r="A826" s="2">
        <v>44888</v>
      </c>
      <c r="B826" s="3">
        <v>327</v>
      </c>
      <c r="C826" s="3">
        <v>600</v>
      </c>
      <c r="D826">
        <v>424.15809999999999</v>
      </c>
      <c r="E826">
        <v>3.6999999999999998E-2</v>
      </c>
      <c r="F826">
        <v>417.89339999999999</v>
      </c>
      <c r="G826">
        <v>425.79109999999997</v>
      </c>
      <c r="H826">
        <v>428.78949999999998</v>
      </c>
      <c r="I826">
        <v>3.6999999999999998E-2</v>
      </c>
      <c r="J826">
        <v>3.5000000000000003E-2</v>
      </c>
      <c r="K826">
        <v>0.04</v>
      </c>
      <c r="L826">
        <v>2242.4</v>
      </c>
      <c r="M826">
        <v>2250.4</v>
      </c>
      <c r="N826">
        <v>2267</v>
      </c>
      <c r="Q826">
        <f t="shared" si="63"/>
        <v>424.2</v>
      </c>
      <c r="R826">
        <f t="shared" si="64"/>
        <v>424.2</v>
      </c>
      <c r="S826">
        <f t="shared" si="65"/>
        <v>0</v>
      </c>
    </row>
    <row r="827" spans="1:19" x14ac:dyDescent="0.25">
      <c r="A827" s="2">
        <v>44888</v>
      </c>
      <c r="B827" s="3">
        <v>327</v>
      </c>
      <c r="C827" s="3">
        <v>700</v>
      </c>
      <c r="D827">
        <v>424.16809999999998</v>
      </c>
      <c r="E827">
        <v>3.4000000000000002E-2</v>
      </c>
      <c r="F827">
        <v>417.89870000000002</v>
      </c>
      <c r="G827">
        <v>425.8</v>
      </c>
      <c r="H827">
        <v>428.80549999999999</v>
      </c>
      <c r="I827">
        <v>3.1E-2</v>
      </c>
      <c r="J827">
        <v>2.9000000000000001E-2</v>
      </c>
      <c r="K827">
        <v>4.2000000000000003E-2</v>
      </c>
      <c r="L827">
        <v>2242.6</v>
      </c>
      <c r="M827">
        <v>2250.4</v>
      </c>
      <c r="N827">
        <v>2267</v>
      </c>
      <c r="Q827">
        <f t="shared" si="63"/>
        <v>424.2</v>
      </c>
      <c r="R827">
        <f t="shared" si="64"/>
        <v>424.2</v>
      </c>
      <c r="S827">
        <f t="shared" si="65"/>
        <v>0</v>
      </c>
    </row>
    <row r="828" spans="1:19" x14ac:dyDescent="0.25">
      <c r="A828" s="2">
        <v>44888</v>
      </c>
      <c r="B828" s="3">
        <v>327</v>
      </c>
      <c r="C828" s="3">
        <v>800</v>
      </c>
      <c r="D828">
        <v>424.17160000000001</v>
      </c>
      <c r="E828">
        <v>2.7E-2</v>
      </c>
      <c r="F828">
        <v>417.90050000000002</v>
      </c>
      <c r="G828">
        <v>425.80709999999999</v>
      </c>
      <c r="H828">
        <v>428.8073</v>
      </c>
      <c r="I828">
        <v>3.4000000000000002E-2</v>
      </c>
      <c r="J828">
        <v>2.3E-2</v>
      </c>
      <c r="K828">
        <v>2.3E-2</v>
      </c>
      <c r="L828">
        <v>2242.6</v>
      </c>
      <c r="M828">
        <v>2250.4</v>
      </c>
      <c r="N828">
        <v>2267</v>
      </c>
      <c r="Q828">
        <f t="shared" si="63"/>
        <v>424.2</v>
      </c>
      <c r="R828">
        <f t="shared" si="64"/>
        <v>424.2</v>
      </c>
      <c r="S828">
        <f t="shared" si="65"/>
        <v>0</v>
      </c>
    </row>
    <row r="829" spans="1:19" x14ac:dyDescent="0.25">
      <c r="A829" s="2">
        <v>44888</v>
      </c>
      <c r="B829" s="3">
        <v>327</v>
      </c>
      <c r="C829" s="3">
        <v>900</v>
      </c>
      <c r="D829">
        <v>424.14490000000001</v>
      </c>
      <c r="E829">
        <v>2.5000000000000001E-2</v>
      </c>
      <c r="F829">
        <v>417.91449999999998</v>
      </c>
      <c r="G829">
        <v>425.80709999999999</v>
      </c>
      <c r="H829">
        <v>428.71319999999997</v>
      </c>
      <c r="I829">
        <v>2.1999999999999999E-2</v>
      </c>
      <c r="J829">
        <v>0.03</v>
      </c>
      <c r="K829">
        <v>2.3E-2</v>
      </c>
      <c r="L829">
        <v>2242.6</v>
      </c>
      <c r="M829">
        <v>2250.4</v>
      </c>
      <c r="N829">
        <v>2266.8000000000002</v>
      </c>
      <c r="Q829">
        <f t="shared" si="63"/>
        <v>424.1</v>
      </c>
      <c r="R829">
        <f t="shared" si="64"/>
        <v>424.2</v>
      </c>
      <c r="S829">
        <f t="shared" si="65"/>
        <v>0</v>
      </c>
    </row>
    <row r="830" spans="1:19" x14ac:dyDescent="0.25">
      <c r="A830" s="2">
        <v>44888</v>
      </c>
      <c r="B830" s="3">
        <v>327</v>
      </c>
      <c r="C830" s="3">
        <v>1000</v>
      </c>
      <c r="D830">
        <v>424.0976</v>
      </c>
      <c r="E830">
        <v>3.9E-2</v>
      </c>
      <c r="F830">
        <v>417.92329999999998</v>
      </c>
      <c r="G830">
        <v>425.75389999999999</v>
      </c>
      <c r="H830">
        <v>428.6155</v>
      </c>
      <c r="I830">
        <v>3.5000000000000003E-2</v>
      </c>
      <c r="J830">
        <v>5.0999999999999997E-2</v>
      </c>
      <c r="K830">
        <v>2.9000000000000001E-2</v>
      </c>
      <c r="L830">
        <v>2242.6</v>
      </c>
      <c r="M830">
        <v>2250.1999999999998</v>
      </c>
      <c r="N830">
        <v>2266.6</v>
      </c>
      <c r="Q830">
        <f t="shared" si="63"/>
        <v>424.1</v>
      </c>
      <c r="R830">
        <f t="shared" si="64"/>
        <v>424.2</v>
      </c>
      <c r="S830">
        <f t="shared" si="65"/>
        <v>0</v>
      </c>
    </row>
    <row r="831" spans="1:19" x14ac:dyDescent="0.25">
      <c r="A831" s="2">
        <v>44888</v>
      </c>
      <c r="B831" s="3">
        <v>327</v>
      </c>
      <c r="C831" s="3">
        <v>1100</v>
      </c>
      <c r="D831">
        <v>424.04640000000001</v>
      </c>
      <c r="E831">
        <v>2.5999999999999999E-2</v>
      </c>
      <c r="F831">
        <v>417.81240000000003</v>
      </c>
      <c r="G831">
        <v>425.70609999999999</v>
      </c>
      <c r="H831">
        <v>428.62079999999997</v>
      </c>
      <c r="I831">
        <v>1.7999999999999999E-2</v>
      </c>
      <c r="J831">
        <v>2.3E-2</v>
      </c>
      <c r="K831">
        <v>3.5000000000000003E-2</v>
      </c>
      <c r="L831">
        <v>2242.4</v>
      </c>
      <c r="M831">
        <v>2250.1999999999998</v>
      </c>
      <c r="N831">
        <v>2266.6</v>
      </c>
      <c r="Q831">
        <f t="shared" si="63"/>
        <v>424</v>
      </c>
      <c r="R831">
        <f t="shared" si="64"/>
        <v>424.2</v>
      </c>
      <c r="S831">
        <f t="shared" si="65"/>
        <v>0</v>
      </c>
    </row>
    <row r="832" spans="1:19" x14ac:dyDescent="0.25">
      <c r="A832" s="2">
        <v>44888</v>
      </c>
      <c r="B832" s="3">
        <v>327</v>
      </c>
      <c r="C832" s="3">
        <v>1200</v>
      </c>
      <c r="D832">
        <v>423.98450000000003</v>
      </c>
      <c r="E832">
        <v>4.7E-2</v>
      </c>
      <c r="F832">
        <v>417.76319999999998</v>
      </c>
      <c r="G832">
        <v>425.62630000000001</v>
      </c>
      <c r="H832">
        <v>428.56389999999999</v>
      </c>
      <c r="I832">
        <v>0.05</v>
      </c>
      <c r="J832">
        <v>4.2000000000000003E-2</v>
      </c>
      <c r="K832">
        <v>0.05</v>
      </c>
      <c r="L832">
        <v>2242.1999999999998</v>
      </c>
      <c r="M832">
        <v>2250</v>
      </c>
      <c r="N832">
        <v>2266.6</v>
      </c>
      <c r="Q832">
        <f t="shared" si="63"/>
        <v>424</v>
      </c>
      <c r="R832">
        <f t="shared" si="64"/>
        <v>424.2</v>
      </c>
      <c r="S832">
        <f t="shared" si="65"/>
        <v>0</v>
      </c>
    </row>
    <row r="833" spans="1:19" x14ac:dyDescent="0.25">
      <c r="A833" s="2">
        <v>44888</v>
      </c>
      <c r="B833" s="3">
        <v>327</v>
      </c>
      <c r="C833" s="3">
        <v>1300</v>
      </c>
      <c r="D833">
        <v>423.9572</v>
      </c>
      <c r="E833">
        <v>4.9000000000000002E-2</v>
      </c>
      <c r="F833">
        <v>417.77199999999999</v>
      </c>
      <c r="G833">
        <v>425.55360000000002</v>
      </c>
      <c r="H833">
        <v>428.54610000000002</v>
      </c>
      <c r="I833">
        <v>4.8000000000000001E-2</v>
      </c>
      <c r="J833">
        <v>0.05</v>
      </c>
      <c r="K833">
        <v>0.05</v>
      </c>
      <c r="L833">
        <v>2242.4</v>
      </c>
      <c r="M833">
        <v>2249.8000000000002</v>
      </c>
      <c r="N833">
        <v>2266.4</v>
      </c>
      <c r="Q833">
        <f t="shared" si="63"/>
        <v>424</v>
      </c>
      <c r="R833">
        <f t="shared" si="64"/>
        <v>424.2</v>
      </c>
      <c r="S833">
        <f t="shared" si="65"/>
        <v>0</v>
      </c>
    </row>
    <row r="834" spans="1:19" x14ac:dyDescent="0.25">
      <c r="A834" s="2">
        <v>44888</v>
      </c>
      <c r="B834" s="3">
        <v>327</v>
      </c>
      <c r="C834" s="3">
        <v>1400</v>
      </c>
      <c r="D834">
        <v>423.95389999999998</v>
      </c>
      <c r="E834">
        <v>3.7999999999999999E-2</v>
      </c>
      <c r="F834">
        <v>417.70699999999999</v>
      </c>
      <c r="G834">
        <v>425.59789999999998</v>
      </c>
      <c r="H834">
        <v>428.55680000000001</v>
      </c>
      <c r="I834">
        <v>2.3E-2</v>
      </c>
      <c r="J834">
        <v>3.5000000000000003E-2</v>
      </c>
      <c r="K834">
        <v>5.0999999999999997E-2</v>
      </c>
      <c r="L834">
        <v>2242.1999999999998</v>
      </c>
      <c r="M834">
        <v>2250</v>
      </c>
      <c r="N834">
        <v>2266.4</v>
      </c>
      <c r="Q834">
        <f t="shared" si="63"/>
        <v>424</v>
      </c>
      <c r="R834">
        <f t="shared" si="64"/>
        <v>424.2</v>
      </c>
      <c r="S834">
        <f t="shared" si="65"/>
        <v>0</v>
      </c>
    </row>
    <row r="835" spans="1:19" x14ac:dyDescent="0.25">
      <c r="A835" s="2">
        <v>44888</v>
      </c>
      <c r="B835" s="3">
        <v>327</v>
      </c>
      <c r="C835" s="3">
        <v>1500</v>
      </c>
      <c r="D835">
        <v>423.92349999999999</v>
      </c>
      <c r="E835">
        <v>3.7999999999999999E-2</v>
      </c>
      <c r="F835">
        <v>417.59789999999998</v>
      </c>
      <c r="G835">
        <v>425.58370000000002</v>
      </c>
      <c r="H835">
        <v>428.58879999999999</v>
      </c>
      <c r="I835">
        <v>3.5999999999999997E-2</v>
      </c>
      <c r="J835">
        <v>0.04</v>
      </c>
      <c r="K835">
        <v>3.9E-2</v>
      </c>
      <c r="L835">
        <v>2242</v>
      </c>
      <c r="M835">
        <v>2250</v>
      </c>
      <c r="N835">
        <v>2266.6</v>
      </c>
      <c r="Q835">
        <f t="shared" si="63"/>
        <v>423.9</v>
      </c>
      <c r="R835">
        <f t="shared" si="64"/>
        <v>424.2</v>
      </c>
      <c r="S835">
        <f t="shared" si="65"/>
        <v>0</v>
      </c>
    </row>
    <row r="836" spans="1:19" x14ac:dyDescent="0.25">
      <c r="A836" s="2">
        <v>44888</v>
      </c>
      <c r="B836" s="3">
        <v>327</v>
      </c>
      <c r="C836" s="3">
        <v>1600</v>
      </c>
      <c r="D836">
        <v>424.036</v>
      </c>
      <c r="E836">
        <v>4.2999999999999997E-2</v>
      </c>
      <c r="F836">
        <v>417.76139999999998</v>
      </c>
      <c r="G836">
        <v>425.70249999999999</v>
      </c>
      <c r="H836">
        <v>428.64389999999997</v>
      </c>
      <c r="I836">
        <v>0.05</v>
      </c>
      <c r="J836">
        <v>2.3E-2</v>
      </c>
      <c r="K836">
        <v>4.9000000000000002E-2</v>
      </c>
      <c r="L836">
        <v>2242.4</v>
      </c>
      <c r="M836">
        <v>2250.1999999999998</v>
      </c>
      <c r="N836">
        <v>2266.6</v>
      </c>
      <c r="Q836">
        <f t="shared" si="63"/>
        <v>424</v>
      </c>
      <c r="R836">
        <f t="shared" si="64"/>
        <v>424.2</v>
      </c>
      <c r="S836">
        <f t="shared" si="65"/>
        <v>0</v>
      </c>
    </row>
    <row r="837" spans="1:19" x14ac:dyDescent="0.25">
      <c r="A837" s="2">
        <v>44888</v>
      </c>
      <c r="B837" s="3">
        <v>327</v>
      </c>
      <c r="C837" s="3">
        <v>1700</v>
      </c>
      <c r="D837">
        <v>424.05950000000001</v>
      </c>
      <c r="E837">
        <v>3.5000000000000003E-2</v>
      </c>
      <c r="F837">
        <v>417.79309999999998</v>
      </c>
      <c r="G837">
        <v>425.69900000000001</v>
      </c>
      <c r="H837">
        <v>428.68650000000002</v>
      </c>
      <c r="I837">
        <v>3.6999999999999998E-2</v>
      </c>
      <c r="J837">
        <v>2.3E-2</v>
      </c>
      <c r="K837">
        <v>4.1000000000000002E-2</v>
      </c>
      <c r="L837">
        <v>2242.1999999999998</v>
      </c>
      <c r="M837">
        <v>2250.1999999999998</v>
      </c>
      <c r="N837">
        <v>2266.8000000000002</v>
      </c>
      <c r="Q837">
        <f t="shared" si="63"/>
        <v>424.1</v>
      </c>
      <c r="R837">
        <f t="shared" si="64"/>
        <v>424.2</v>
      </c>
      <c r="S837">
        <f t="shared" si="65"/>
        <v>0</v>
      </c>
    </row>
    <row r="838" spans="1:19" x14ac:dyDescent="0.25">
      <c r="A838" s="2">
        <v>44888</v>
      </c>
      <c r="B838" s="3">
        <v>327</v>
      </c>
      <c r="C838" s="3">
        <v>1800</v>
      </c>
      <c r="D838">
        <v>424.0403</v>
      </c>
      <c r="E838">
        <v>3.4000000000000002E-2</v>
      </c>
      <c r="F838">
        <v>417.69290000000001</v>
      </c>
      <c r="G838">
        <v>425.72019999999998</v>
      </c>
      <c r="H838">
        <v>428.70780000000002</v>
      </c>
      <c r="I838">
        <v>3.6999999999999998E-2</v>
      </c>
      <c r="J838">
        <v>3.6999999999999998E-2</v>
      </c>
      <c r="K838">
        <v>2.7E-2</v>
      </c>
      <c r="L838">
        <v>2242.1999999999998</v>
      </c>
      <c r="M838">
        <v>2250.4</v>
      </c>
      <c r="N838">
        <v>2266.8000000000002</v>
      </c>
      <c r="Q838">
        <f t="shared" si="63"/>
        <v>424</v>
      </c>
      <c r="R838">
        <f t="shared" si="64"/>
        <v>424.2</v>
      </c>
      <c r="S838">
        <f t="shared" si="65"/>
        <v>0</v>
      </c>
    </row>
    <row r="839" spans="1:19" x14ac:dyDescent="0.25">
      <c r="A839" s="2">
        <v>44888</v>
      </c>
      <c r="B839" s="3">
        <v>327</v>
      </c>
      <c r="C839" s="3">
        <v>1900</v>
      </c>
      <c r="D839">
        <v>424.09550000000002</v>
      </c>
      <c r="E839">
        <v>0.04</v>
      </c>
      <c r="F839">
        <v>417.82830000000001</v>
      </c>
      <c r="G839">
        <v>425.74149999999997</v>
      </c>
      <c r="H839">
        <v>428.7167</v>
      </c>
      <c r="I839">
        <v>0.04</v>
      </c>
      <c r="J839">
        <v>4.9000000000000002E-2</v>
      </c>
      <c r="K839">
        <v>2.9000000000000001E-2</v>
      </c>
      <c r="L839">
        <v>2242.4</v>
      </c>
      <c r="M839">
        <v>2250.1999999999998</v>
      </c>
      <c r="N839">
        <v>2266.8000000000002</v>
      </c>
      <c r="Q839">
        <f t="shared" si="63"/>
        <v>424.1</v>
      </c>
      <c r="R839">
        <f t="shared" si="64"/>
        <v>424.2</v>
      </c>
      <c r="S839">
        <f t="shared" si="65"/>
        <v>0</v>
      </c>
    </row>
    <row r="840" spans="1:19" x14ac:dyDescent="0.25">
      <c r="A840" s="2">
        <v>44888</v>
      </c>
      <c r="B840" s="3">
        <v>327</v>
      </c>
      <c r="C840" s="3">
        <v>2000</v>
      </c>
      <c r="D840">
        <v>424.0872</v>
      </c>
      <c r="E840">
        <v>3.5000000000000003E-2</v>
      </c>
      <c r="F840">
        <v>417.81950000000001</v>
      </c>
      <c r="G840">
        <v>425.7362</v>
      </c>
      <c r="H840">
        <v>428.70609999999999</v>
      </c>
      <c r="I840">
        <v>3.1E-2</v>
      </c>
      <c r="J840">
        <v>4.7E-2</v>
      </c>
      <c r="K840">
        <v>2.3E-2</v>
      </c>
      <c r="L840">
        <v>2242.4</v>
      </c>
      <c r="M840">
        <v>2250.1999999999998</v>
      </c>
      <c r="N840">
        <v>2266.8000000000002</v>
      </c>
      <c r="Q840">
        <f t="shared" si="63"/>
        <v>424.1</v>
      </c>
      <c r="R840">
        <f t="shared" si="64"/>
        <v>424.2</v>
      </c>
      <c r="S840">
        <f t="shared" si="65"/>
        <v>0</v>
      </c>
    </row>
    <row r="841" spans="1:19" x14ac:dyDescent="0.25">
      <c r="A841" s="2">
        <v>44888</v>
      </c>
      <c r="B841" s="3">
        <v>327</v>
      </c>
      <c r="C841" s="3">
        <v>2100</v>
      </c>
      <c r="D841">
        <v>424.0677</v>
      </c>
      <c r="E841">
        <v>3.2000000000000001E-2</v>
      </c>
      <c r="F841">
        <v>417.8107</v>
      </c>
      <c r="G841">
        <v>425.70609999999999</v>
      </c>
      <c r="H841">
        <v>428.68650000000002</v>
      </c>
      <c r="I841">
        <v>0.03</v>
      </c>
      <c r="J841">
        <v>2.3E-2</v>
      </c>
      <c r="K841">
        <v>4.1000000000000002E-2</v>
      </c>
      <c r="L841">
        <v>2242.4</v>
      </c>
      <c r="M841">
        <v>2250</v>
      </c>
      <c r="N841">
        <v>2266.6</v>
      </c>
      <c r="Q841">
        <f t="shared" si="63"/>
        <v>424.1</v>
      </c>
      <c r="R841">
        <f t="shared" si="64"/>
        <v>424.2</v>
      </c>
      <c r="S841">
        <f t="shared" si="65"/>
        <v>0</v>
      </c>
    </row>
    <row r="842" spans="1:19" x14ac:dyDescent="0.25">
      <c r="A842" s="2">
        <v>44888</v>
      </c>
      <c r="B842" s="3">
        <v>327</v>
      </c>
      <c r="C842" s="3">
        <v>2200</v>
      </c>
      <c r="D842">
        <v>424.05829999999997</v>
      </c>
      <c r="E842">
        <v>3.5999999999999997E-2</v>
      </c>
      <c r="F842">
        <v>417.80889999999999</v>
      </c>
      <c r="G842">
        <v>425.68830000000003</v>
      </c>
      <c r="H842">
        <v>428.67759999999998</v>
      </c>
      <c r="I842">
        <v>1.9E-2</v>
      </c>
      <c r="J842">
        <v>3.6999999999999998E-2</v>
      </c>
      <c r="K842">
        <v>4.5999999999999999E-2</v>
      </c>
      <c r="L842">
        <v>2242.4</v>
      </c>
      <c r="M842">
        <v>2250</v>
      </c>
      <c r="N842">
        <v>2266.8000000000002</v>
      </c>
      <c r="Q842">
        <f t="shared" si="63"/>
        <v>424.1</v>
      </c>
      <c r="R842">
        <f t="shared" si="64"/>
        <v>424.2</v>
      </c>
      <c r="S842">
        <f t="shared" si="65"/>
        <v>0</v>
      </c>
    </row>
    <row r="843" spans="1:19" x14ac:dyDescent="0.25">
      <c r="A843" s="2">
        <v>44888</v>
      </c>
      <c r="B843" s="3">
        <v>327</v>
      </c>
      <c r="C843" s="3">
        <v>2300</v>
      </c>
      <c r="D843">
        <v>424.06709999999998</v>
      </c>
      <c r="E843">
        <v>3.3000000000000002E-2</v>
      </c>
      <c r="F843">
        <v>417.80360000000002</v>
      </c>
      <c r="G843">
        <v>425.70960000000002</v>
      </c>
      <c r="H843">
        <v>428.68830000000003</v>
      </c>
      <c r="I843">
        <v>2.9000000000000001E-2</v>
      </c>
      <c r="J843">
        <v>2.9000000000000001E-2</v>
      </c>
      <c r="K843">
        <v>0.04</v>
      </c>
      <c r="L843">
        <v>2242.4</v>
      </c>
      <c r="M843">
        <v>2250.1999999999998</v>
      </c>
      <c r="N843">
        <v>2266.6</v>
      </c>
      <c r="Q843">
        <f t="shared" si="63"/>
        <v>424.1</v>
      </c>
      <c r="R843">
        <f t="shared" si="64"/>
        <v>424.2</v>
      </c>
      <c r="S843">
        <f t="shared" si="65"/>
        <v>0</v>
      </c>
    </row>
    <row r="844" spans="1:19" x14ac:dyDescent="0.25">
      <c r="A844" s="2">
        <v>44888</v>
      </c>
      <c r="B844" s="3">
        <v>327</v>
      </c>
      <c r="C844" s="3">
        <v>2400</v>
      </c>
      <c r="D844">
        <v>424.07190000000003</v>
      </c>
      <c r="E844">
        <v>2.8000000000000001E-2</v>
      </c>
      <c r="F844">
        <v>417.81240000000003</v>
      </c>
      <c r="G844">
        <v>425.70960000000002</v>
      </c>
      <c r="H844">
        <v>428.6936</v>
      </c>
      <c r="I844">
        <v>2.5999999999999999E-2</v>
      </c>
      <c r="J844">
        <v>2.3E-2</v>
      </c>
      <c r="K844">
        <v>3.5000000000000003E-2</v>
      </c>
      <c r="L844">
        <v>2242.4</v>
      </c>
      <c r="M844">
        <v>2250.1999999999998</v>
      </c>
      <c r="N844">
        <v>2266.8000000000002</v>
      </c>
      <c r="Q844">
        <f t="shared" si="63"/>
        <v>424.1</v>
      </c>
      <c r="R844">
        <f t="shared" si="64"/>
        <v>424.2</v>
      </c>
      <c r="S844">
        <f t="shared" si="65"/>
        <v>0</v>
      </c>
    </row>
    <row r="845" spans="1:19" x14ac:dyDescent="0.25">
      <c r="A845" s="2">
        <v>44889</v>
      </c>
      <c r="B845" s="3">
        <v>328</v>
      </c>
      <c r="C845" s="3">
        <v>100</v>
      </c>
      <c r="D845">
        <v>424.0659</v>
      </c>
      <c r="E845">
        <v>3.3000000000000002E-2</v>
      </c>
      <c r="F845">
        <v>417.81240000000003</v>
      </c>
      <c r="G845">
        <v>425.69720000000001</v>
      </c>
      <c r="H845">
        <v>428.68830000000003</v>
      </c>
      <c r="I845">
        <v>2.5999999999999999E-2</v>
      </c>
      <c r="J845">
        <v>3.2000000000000001E-2</v>
      </c>
      <c r="K845">
        <v>0.04</v>
      </c>
      <c r="L845">
        <v>2242.4</v>
      </c>
      <c r="M845">
        <v>2250.1999999999998</v>
      </c>
      <c r="N845">
        <v>2266.8000000000002</v>
      </c>
      <c r="Q845">
        <f t="shared" si="63"/>
        <v>424.1</v>
      </c>
      <c r="R845">
        <f t="shared" si="64"/>
        <v>424.2</v>
      </c>
      <c r="S845">
        <f t="shared" si="65"/>
        <v>0</v>
      </c>
    </row>
    <row r="846" spans="1:19" x14ac:dyDescent="0.25">
      <c r="A846" s="2">
        <v>44889</v>
      </c>
      <c r="B846" s="3">
        <v>328</v>
      </c>
      <c r="C846" s="3">
        <v>200</v>
      </c>
      <c r="D846">
        <v>424.07839999999999</v>
      </c>
      <c r="E846">
        <v>0.03</v>
      </c>
      <c r="F846">
        <v>417.80709999999999</v>
      </c>
      <c r="G846">
        <v>425.72559999999999</v>
      </c>
      <c r="H846">
        <v>428.70249999999999</v>
      </c>
      <c r="I846">
        <v>1.2999999999999999E-2</v>
      </c>
      <c r="J846">
        <v>4.1000000000000002E-2</v>
      </c>
      <c r="K846">
        <v>0.03</v>
      </c>
      <c r="L846">
        <v>2242.4</v>
      </c>
      <c r="M846">
        <v>2250.1999999999998</v>
      </c>
      <c r="N846">
        <v>2266.8000000000002</v>
      </c>
      <c r="Q846">
        <f t="shared" si="63"/>
        <v>424.1</v>
      </c>
      <c r="R846">
        <f t="shared" si="64"/>
        <v>424.2</v>
      </c>
      <c r="S846">
        <f t="shared" si="65"/>
        <v>0</v>
      </c>
    </row>
    <row r="847" spans="1:19" x14ac:dyDescent="0.25">
      <c r="A847" s="2">
        <v>44889</v>
      </c>
      <c r="B847" s="3">
        <v>328</v>
      </c>
      <c r="C847" s="3">
        <v>300</v>
      </c>
      <c r="D847">
        <v>424.0831</v>
      </c>
      <c r="E847">
        <v>0.03</v>
      </c>
      <c r="F847">
        <v>417.80720000000002</v>
      </c>
      <c r="G847">
        <v>425.73259999999999</v>
      </c>
      <c r="H847">
        <v>428.70960000000002</v>
      </c>
      <c r="I847">
        <v>2.3E-2</v>
      </c>
      <c r="J847">
        <v>4.4999999999999998E-2</v>
      </c>
      <c r="K847">
        <v>1.2999999999999999E-2</v>
      </c>
      <c r="L847">
        <v>2242.4</v>
      </c>
      <c r="M847">
        <v>2250.1999999999998</v>
      </c>
      <c r="N847">
        <v>2266.8000000000002</v>
      </c>
      <c r="Q847">
        <f t="shared" si="63"/>
        <v>424.1</v>
      </c>
      <c r="R847">
        <f t="shared" si="64"/>
        <v>424.2</v>
      </c>
      <c r="S847">
        <f t="shared" si="65"/>
        <v>0</v>
      </c>
    </row>
    <row r="848" spans="1:19" x14ac:dyDescent="0.25">
      <c r="A848" s="2">
        <v>44889</v>
      </c>
      <c r="B848" s="3">
        <v>328</v>
      </c>
      <c r="C848" s="3">
        <v>400</v>
      </c>
      <c r="D848">
        <v>424.10079999999999</v>
      </c>
      <c r="E848">
        <v>4.2000000000000003E-2</v>
      </c>
      <c r="F848">
        <v>417.81950000000001</v>
      </c>
      <c r="G848">
        <v>425.75209999999998</v>
      </c>
      <c r="H848">
        <v>428.73090000000002</v>
      </c>
      <c r="I848">
        <v>3.1E-2</v>
      </c>
      <c r="J848">
        <v>0.05</v>
      </c>
      <c r="K848">
        <v>4.2000000000000003E-2</v>
      </c>
      <c r="L848">
        <v>2242.4</v>
      </c>
      <c r="M848">
        <v>2250.4</v>
      </c>
      <c r="N848">
        <v>2266.8000000000002</v>
      </c>
      <c r="Q848">
        <f t="shared" si="63"/>
        <v>424.1</v>
      </c>
      <c r="R848">
        <f t="shared" si="64"/>
        <v>424.2</v>
      </c>
      <c r="S848">
        <f t="shared" si="65"/>
        <v>0</v>
      </c>
    </row>
    <row r="849" spans="1:19" x14ac:dyDescent="0.25">
      <c r="A849" s="2">
        <v>44889</v>
      </c>
      <c r="B849" s="3">
        <v>328</v>
      </c>
      <c r="C849" s="3">
        <v>500</v>
      </c>
      <c r="D849">
        <v>424.10849999999999</v>
      </c>
      <c r="E849">
        <v>4.7E-2</v>
      </c>
      <c r="F849">
        <v>417.83359999999999</v>
      </c>
      <c r="G849">
        <v>425.75389999999999</v>
      </c>
      <c r="H849">
        <v>428.738</v>
      </c>
      <c r="I849">
        <v>4.2999999999999997E-2</v>
      </c>
      <c r="J849">
        <v>5.0999999999999997E-2</v>
      </c>
      <c r="K849">
        <v>4.5999999999999999E-2</v>
      </c>
      <c r="L849">
        <v>2242.4</v>
      </c>
      <c r="M849">
        <v>2250.4</v>
      </c>
      <c r="N849">
        <v>2266.8000000000002</v>
      </c>
      <c r="Q849">
        <f t="shared" si="63"/>
        <v>424.1</v>
      </c>
      <c r="R849">
        <f t="shared" si="64"/>
        <v>424.2</v>
      </c>
      <c r="S849">
        <f t="shared" si="65"/>
        <v>0</v>
      </c>
    </row>
    <row r="850" spans="1:19" x14ac:dyDescent="0.25">
      <c r="A850" s="2">
        <v>44889</v>
      </c>
      <c r="B850" s="3">
        <v>328</v>
      </c>
      <c r="C850" s="3">
        <v>600</v>
      </c>
      <c r="D850">
        <v>424.11380000000003</v>
      </c>
      <c r="E850">
        <v>4.9000000000000002E-2</v>
      </c>
      <c r="F850">
        <v>417.8494</v>
      </c>
      <c r="G850">
        <v>425.74509999999998</v>
      </c>
      <c r="H850">
        <v>428.74689999999998</v>
      </c>
      <c r="I850">
        <v>4.9000000000000002E-2</v>
      </c>
      <c r="J850">
        <v>0.05</v>
      </c>
      <c r="K850">
        <v>4.9000000000000002E-2</v>
      </c>
      <c r="L850">
        <v>2242.4</v>
      </c>
      <c r="M850">
        <v>2250.4</v>
      </c>
      <c r="N850">
        <v>2266.8000000000002</v>
      </c>
      <c r="Q850">
        <f t="shared" si="63"/>
        <v>424.1</v>
      </c>
      <c r="R850">
        <f t="shared" si="64"/>
        <v>424.2</v>
      </c>
      <c r="S850">
        <f t="shared" si="65"/>
        <v>0</v>
      </c>
    </row>
    <row r="851" spans="1:19" x14ac:dyDescent="0.25">
      <c r="A851" s="2">
        <v>44889</v>
      </c>
      <c r="B851" s="3">
        <v>328</v>
      </c>
      <c r="C851" s="3">
        <v>700</v>
      </c>
      <c r="D851">
        <v>424.12560000000002</v>
      </c>
      <c r="E851">
        <v>4.9000000000000002E-2</v>
      </c>
      <c r="F851">
        <v>417.84410000000003</v>
      </c>
      <c r="G851">
        <v>425.77159999999998</v>
      </c>
      <c r="H851">
        <v>428.7611</v>
      </c>
      <c r="I851">
        <v>4.8000000000000001E-2</v>
      </c>
      <c r="J851">
        <v>4.8000000000000001E-2</v>
      </c>
      <c r="K851">
        <v>5.0999999999999997E-2</v>
      </c>
      <c r="L851">
        <v>2242.4</v>
      </c>
      <c r="M851">
        <v>2250.4</v>
      </c>
      <c r="N851">
        <v>2266.8000000000002</v>
      </c>
      <c r="Q851">
        <f t="shared" ref="Q851:Q914" si="66">ROUND(D851,1)</f>
        <v>424.1</v>
      </c>
      <c r="R851">
        <f t="shared" si="64"/>
        <v>424.2</v>
      </c>
      <c r="S851">
        <f t="shared" si="65"/>
        <v>0</v>
      </c>
    </row>
    <row r="852" spans="1:19" x14ac:dyDescent="0.25">
      <c r="A852" s="2">
        <v>44889</v>
      </c>
      <c r="B852" s="3">
        <v>328</v>
      </c>
      <c r="C852" s="3">
        <v>800</v>
      </c>
      <c r="D852">
        <v>424.1173</v>
      </c>
      <c r="E852">
        <v>0.05</v>
      </c>
      <c r="F852">
        <v>417.84589999999997</v>
      </c>
      <c r="G852">
        <v>425.75569999999999</v>
      </c>
      <c r="H852">
        <v>428.75049999999999</v>
      </c>
      <c r="I852">
        <v>4.8000000000000001E-2</v>
      </c>
      <c r="J852">
        <v>5.0999999999999997E-2</v>
      </c>
      <c r="K852">
        <v>0.05</v>
      </c>
      <c r="L852">
        <v>2242.4</v>
      </c>
      <c r="M852">
        <v>2250.4</v>
      </c>
      <c r="N852">
        <v>2266.8000000000002</v>
      </c>
      <c r="Q852">
        <f t="shared" si="66"/>
        <v>424.1</v>
      </c>
      <c r="R852">
        <f t="shared" si="64"/>
        <v>424.2</v>
      </c>
      <c r="S852">
        <f t="shared" si="65"/>
        <v>0</v>
      </c>
    </row>
    <row r="853" spans="1:19" x14ac:dyDescent="0.25">
      <c r="A853" s="2">
        <v>44889</v>
      </c>
      <c r="B853" s="3">
        <v>328</v>
      </c>
      <c r="C853" s="3">
        <v>900</v>
      </c>
      <c r="D853">
        <v>424.03160000000003</v>
      </c>
      <c r="E853">
        <v>3.9E-2</v>
      </c>
      <c r="F853">
        <v>417.81950000000001</v>
      </c>
      <c r="G853">
        <v>425.65640000000002</v>
      </c>
      <c r="H853">
        <v>428.61900000000003</v>
      </c>
      <c r="I853">
        <v>3.1E-2</v>
      </c>
      <c r="J853">
        <v>0.05</v>
      </c>
      <c r="K853">
        <v>3.3000000000000002E-2</v>
      </c>
      <c r="L853">
        <v>2242.4</v>
      </c>
      <c r="M853">
        <v>2250</v>
      </c>
      <c r="N853">
        <v>2266.6</v>
      </c>
      <c r="Q853">
        <f t="shared" si="66"/>
        <v>424</v>
      </c>
      <c r="R853">
        <f t="shared" si="64"/>
        <v>424.2</v>
      </c>
      <c r="S853">
        <f t="shared" si="65"/>
        <v>0</v>
      </c>
    </row>
    <row r="854" spans="1:19" x14ac:dyDescent="0.25">
      <c r="A854" s="2">
        <v>44889</v>
      </c>
      <c r="B854" s="3">
        <v>328</v>
      </c>
      <c r="C854" s="3">
        <v>1000</v>
      </c>
      <c r="D854">
        <v>424.0351</v>
      </c>
      <c r="E854">
        <v>4.7E-2</v>
      </c>
      <c r="F854">
        <v>417.86</v>
      </c>
      <c r="G854">
        <v>425.65640000000002</v>
      </c>
      <c r="H854">
        <v>428.58879999999999</v>
      </c>
      <c r="I854">
        <v>0.05</v>
      </c>
      <c r="J854">
        <v>0.05</v>
      </c>
      <c r="K854">
        <v>3.9E-2</v>
      </c>
      <c r="L854">
        <v>2242.4</v>
      </c>
      <c r="M854">
        <v>2250</v>
      </c>
      <c r="N854">
        <v>2266.4</v>
      </c>
      <c r="Q854">
        <f t="shared" si="66"/>
        <v>424</v>
      </c>
      <c r="R854">
        <f t="shared" si="64"/>
        <v>424.2</v>
      </c>
      <c r="S854">
        <f t="shared" si="65"/>
        <v>0</v>
      </c>
    </row>
    <row r="855" spans="1:19" x14ac:dyDescent="0.25">
      <c r="A855" s="2">
        <v>44889</v>
      </c>
      <c r="B855" s="3">
        <v>328</v>
      </c>
      <c r="C855" s="3">
        <v>1100</v>
      </c>
      <c r="D855">
        <v>424.00439999999998</v>
      </c>
      <c r="E855">
        <v>4.4999999999999998E-2</v>
      </c>
      <c r="F855">
        <v>417.83359999999999</v>
      </c>
      <c r="G855">
        <v>425.60489999999999</v>
      </c>
      <c r="H855">
        <v>428.57459999999998</v>
      </c>
      <c r="I855">
        <v>4.2999999999999997E-2</v>
      </c>
      <c r="J855">
        <v>4.3999999999999997E-2</v>
      </c>
      <c r="K855">
        <v>4.7E-2</v>
      </c>
      <c r="L855">
        <v>2242.4</v>
      </c>
      <c r="M855">
        <v>2250</v>
      </c>
      <c r="N855">
        <v>2266.4</v>
      </c>
      <c r="Q855">
        <f t="shared" si="66"/>
        <v>424</v>
      </c>
      <c r="R855">
        <f t="shared" si="64"/>
        <v>424.2</v>
      </c>
      <c r="S855">
        <f t="shared" si="65"/>
        <v>0</v>
      </c>
    </row>
    <row r="856" spans="1:19" x14ac:dyDescent="0.25">
      <c r="A856" s="2">
        <v>44889</v>
      </c>
      <c r="B856" s="3">
        <v>328</v>
      </c>
      <c r="C856" s="3">
        <v>1200</v>
      </c>
      <c r="D856">
        <v>423.98009999999999</v>
      </c>
      <c r="E856">
        <v>4.7E-2</v>
      </c>
      <c r="F856">
        <v>417.82299999999998</v>
      </c>
      <c r="G856">
        <v>425.55709999999999</v>
      </c>
      <c r="H856">
        <v>428.56040000000002</v>
      </c>
      <c r="I856">
        <v>0.04</v>
      </c>
      <c r="J856">
        <v>0.05</v>
      </c>
      <c r="K856">
        <v>0.05</v>
      </c>
      <c r="L856">
        <v>2242.4</v>
      </c>
      <c r="M856">
        <v>2249.8000000000002</v>
      </c>
      <c r="N856">
        <v>2266.6</v>
      </c>
      <c r="Q856">
        <f t="shared" si="66"/>
        <v>424</v>
      </c>
      <c r="R856">
        <f t="shared" si="64"/>
        <v>424.2</v>
      </c>
      <c r="S856">
        <f t="shared" si="65"/>
        <v>0</v>
      </c>
    </row>
    <row r="857" spans="1:19" x14ac:dyDescent="0.25">
      <c r="A857" s="2">
        <v>44889</v>
      </c>
      <c r="B857" s="3">
        <v>328</v>
      </c>
      <c r="C857" s="3">
        <v>1300</v>
      </c>
      <c r="D857">
        <v>423.94130000000001</v>
      </c>
      <c r="E857">
        <v>0.05</v>
      </c>
      <c r="F857">
        <v>417.76319999999998</v>
      </c>
      <c r="G857">
        <v>425.50569999999999</v>
      </c>
      <c r="H857">
        <v>428.55500000000001</v>
      </c>
      <c r="I857">
        <v>5.2999999999999999E-2</v>
      </c>
      <c r="J857">
        <v>4.5999999999999999E-2</v>
      </c>
      <c r="K857">
        <v>5.0999999999999997E-2</v>
      </c>
      <c r="L857">
        <v>2242.4</v>
      </c>
      <c r="M857">
        <v>2249.6</v>
      </c>
      <c r="N857">
        <v>2266.4</v>
      </c>
      <c r="Q857">
        <f t="shared" si="66"/>
        <v>423.9</v>
      </c>
      <c r="R857">
        <f t="shared" si="64"/>
        <v>424.2</v>
      </c>
      <c r="S857">
        <f t="shared" si="65"/>
        <v>0</v>
      </c>
    </row>
    <row r="858" spans="1:19" x14ac:dyDescent="0.25">
      <c r="A858" s="2">
        <v>44889</v>
      </c>
      <c r="B858" s="3">
        <v>328</v>
      </c>
      <c r="C858" s="3">
        <v>1400</v>
      </c>
      <c r="D858">
        <v>423.9572</v>
      </c>
      <c r="E858">
        <v>4.3999999999999997E-2</v>
      </c>
      <c r="F858">
        <v>417.7808</v>
      </c>
      <c r="G858">
        <v>425.51639999999998</v>
      </c>
      <c r="H858">
        <v>428.57459999999998</v>
      </c>
      <c r="I858">
        <v>4.4999999999999998E-2</v>
      </c>
      <c r="J858">
        <v>0.04</v>
      </c>
      <c r="K858">
        <v>4.7E-2</v>
      </c>
      <c r="L858">
        <v>2242.4</v>
      </c>
      <c r="M858">
        <v>2249.8000000000002</v>
      </c>
      <c r="N858">
        <v>2266.4</v>
      </c>
      <c r="Q858">
        <f t="shared" si="66"/>
        <v>424</v>
      </c>
      <c r="R858">
        <f t="shared" si="64"/>
        <v>424.2</v>
      </c>
      <c r="S858">
        <f t="shared" si="65"/>
        <v>0</v>
      </c>
    </row>
    <row r="859" spans="1:19" x14ac:dyDescent="0.25">
      <c r="A859" s="2">
        <v>44889</v>
      </c>
      <c r="B859" s="3">
        <v>328</v>
      </c>
      <c r="C859" s="3">
        <v>1500</v>
      </c>
      <c r="D859">
        <v>423.96080000000001</v>
      </c>
      <c r="E859">
        <v>4.5999999999999999E-2</v>
      </c>
      <c r="F859">
        <v>417.76499999999999</v>
      </c>
      <c r="G859">
        <v>425.52519999999998</v>
      </c>
      <c r="H859">
        <v>428.5924</v>
      </c>
      <c r="I859">
        <v>0.05</v>
      </c>
      <c r="J859">
        <v>0.05</v>
      </c>
      <c r="K859">
        <v>3.5000000000000003E-2</v>
      </c>
      <c r="L859">
        <v>2242.1999999999998</v>
      </c>
      <c r="M859">
        <v>2249.8000000000002</v>
      </c>
      <c r="N859">
        <v>2266.6</v>
      </c>
      <c r="Q859">
        <f t="shared" si="66"/>
        <v>424</v>
      </c>
      <c r="R859">
        <f t="shared" si="64"/>
        <v>424.2</v>
      </c>
      <c r="S859">
        <f t="shared" si="65"/>
        <v>0</v>
      </c>
    </row>
    <row r="860" spans="1:19" x14ac:dyDescent="0.25">
      <c r="A860" s="2">
        <v>44889</v>
      </c>
      <c r="B860" s="3">
        <v>328</v>
      </c>
      <c r="C860" s="3">
        <v>1600</v>
      </c>
      <c r="D860">
        <v>424.00110000000001</v>
      </c>
      <c r="E860">
        <v>4.4999999999999998E-2</v>
      </c>
      <c r="F860">
        <v>417.7527</v>
      </c>
      <c r="G860">
        <v>425.62799999999999</v>
      </c>
      <c r="H860">
        <v>428.62259999999998</v>
      </c>
      <c r="I860">
        <v>0.05</v>
      </c>
      <c r="J860">
        <v>4.7E-2</v>
      </c>
      <c r="K860">
        <v>3.6999999999999998E-2</v>
      </c>
      <c r="L860">
        <v>2242.1999999999998</v>
      </c>
      <c r="M860">
        <v>2250</v>
      </c>
      <c r="N860">
        <v>2266.6</v>
      </c>
      <c r="Q860">
        <f t="shared" si="66"/>
        <v>424</v>
      </c>
      <c r="R860">
        <f t="shared" si="64"/>
        <v>424.2</v>
      </c>
      <c r="S860">
        <f t="shared" si="65"/>
        <v>0</v>
      </c>
    </row>
    <row r="861" spans="1:19" x14ac:dyDescent="0.25">
      <c r="A861" s="2">
        <v>44889</v>
      </c>
      <c r="B861" s="3">
        <v>328</v>
      </c>
      <c r="C861" s="3">
        <v>1700</v>
      </c>
      <c r="D861">
        <v>424.05130000000003</v>
      </c>
      <c r="E861">
        <v>0.04</v>
      </c>
      <c r="F861">
        <v>417.786</v>
      </c>
      <c r="G861">
        <v>425.69900000000001</v>
      </c>
      <c r="H861">
        <v>428.66879999999998</v>
      </c>
      <c r="I861">
        <v>4.2000000000000003E-2</v>
      </c>
      <c r="J861">
        <v>2.3E-2</v>
      </c>
      <c r="K861">
        <v>4.9000000000000002E-2</v>
      </c>
      <c r="L861">
        <v>2242.4</v>
      </c>
      <c r="M861">
        <v>2250.1999999999998</v>
      </c>
      <c r="N861">
        <v>2266.8000000000002</v>
      </c>
      <c r="Q861">
        <f t="shared" si="66"/>
        <v>424.1</v>
      </c>
      <c r="R861">
        <f t="shared" si="64"/>
        <v>424.2</v>
      </c>
      <c r="S861">
        <f t="shared" si="65"/>
        <v>0</v>
      </c>
    </row>
    <row r="862" spans="1:19" x14ac:dyDescent="0.25">
      <c r="A862" s="2">
        <v>44889</v>
      </c>
      <c r="B862" s="3">
        <v>328</v>
      </c>
      <c r="C862" s="3">
        <v>1800</v>
      </c>
      <c r="D862">
        <v>424.07249999999999</v>
      </c>
      <c r="E862">
        <v>3.5000000000000003E-2</v>
      </c>
      <c r="F862">
        <v>417.80540000000002</v>
      </c>
      <c r="G862">
        <v>425.72199999999998</v>
      </c>
      <c r="H862">
        <v>428.69009999999997</v>
      </c>
      <c r="I862">
        <v>2.5999999999999999E-2</v>
      </c>
      <c r="J862">
        <v>3.7999999999999999E-2</v>
      </c>
      <c r="K862">
        <v>3.9E-2</v>
      </c>
      <c r="L862">
        <v>2242.4</v>
      </c>
      <c r="M862">
        <v>2250.4</v>
      </c>
      <c r="N862">
        <v>2266.8000000000002</v>
      </c>
      <c r="Q862">
        <f t="shared" si="66"/>
        <v>424.1</v>
      </c>
      <c r="R862">
        <f t="shared" si="64"/>
        <v>424.2</v>
      </c>
      <c r="S862">
        <f t="shared" si="65"/>
        <v>0</v>
      </c>
    </row>
    <row r="863" spans="1:19" x14ac:dyDescent="0.25">
      <c r="A863" s="2">
        <v>44889</v>
      </c>
      <c r="B863" s="3">
        <v>328</v>
      </c>
      <c r="C863" s="3">
        <v>1900</v>
      </c>
      <c r="D863">
        <v>424.0772</v>
      </c>
      <c r="E863">
        <v>3.3000000000000002E-2</v>
      </c>
      <c r="F863">
        <v>417.81240000000003</v>
      </c>
      <c r="G863">
        <v>425.72379999999998</v>
      </c>
      <c r="H863">
        <v>428.69540000000001</v>
      </c>
      <c r="I863">
        <v>2.5999999999999999E-2</v>
      </c>
      <c r="J863">
        <v>0.04</v>
      </c>
      <c r="K863">
        <v>3.3000000000000002E-2</v>
      </c>
      <c r="L863">
        <v>2242.4</v>
      </c>
      <c r="M863">
        <v>2250.1999999999998</v>
      </c>
      <c r="N863">
        <v>2266.8000000000002</v>
      </c>
      <c r="Q863">
        <f t="shared" si="66"/>
        <v>424.1</v>
      </c>
      <c r="R863">
        <f t="shared" si="64"/>
        <v>424.2</v>
      </c>
      <c r="S863">
        <f t="shared" si="65"/>
        <v>0</v>
      </c>
    </row>
    <row r="864" spans="1:19" x14ac:dyDescent="0.25">
      <c r="A864" s="2">
        <v>44889</v>
      </c>
      <c r="B864" s="3">
        <v>328</v>
      </c>
      <c r="C864" s="3">
        <v>2000</v>
      </c>
      <c r="D864">
        <v>424.08359999999999</v>
      </c>
      <c r="E864">
        <v>3.2000000000000001E-2</v>
      </c>
      <c r="F864">
        <v>417.81950000000001</v>
      </c>
      <c r="G864">
        <v>425.72730000000001</v>
      </c>
      <c r="H864">
        <v>428.70429999999999</v>
      </c>
      <c r="I864">
        <v>3.1E-2</v>
      </c>
      <c r="J864">
        <v>4.2000000000000003E-2</v>
      </c>
      <c r="K864">
        <v>1.9E-2</v>
      </c>
      <c r="L864">
        <v>2242.6</v>
      </c>
      <c r="M864">
        <v>2250.1999999999998</v>
      </c>
      <c r="N864">
        <v>2266.8000000000002</v>
      </c>
      <c r="Q864">
        <f t="shared" si="66"/>
        <v>424.1</v>
      </c>
      <c r="R864">
        <f t="shared" si="64"/>
        <v>424.2</v>
      </c>
      <c r="S864">
        <f t="shared" si="65"/>
        <v>0</v>
      </c>
    </row>
    <row r="865" spans="1:19" x14ac:dyDescent="0.25">
      <c r="A865" s="2">
        <v>44889</v>
      </c>
      <c r="B865" s="3">
        <v>328</v>
      </c>
      <c r="C865" s="3">
        <v>2100</v>
      </c>
      <c r="D865">
        <v>424.0849</v>
      </c>
      <c r="E865">
        <v>3.5999999999999997E-2</v>
      </c>
      <c r="F865">
        <v>417.82299999999998</v>
      </c>
      <c r="G865">
        <v>425.72199999999998</v>
      </c>
      <c r="H865">
        <v>428.70960000000002</v>
      </c>
      <c r="I865">
        <v>4.3999999999999997E-2</v>
      </c>
      <c r="J865">
        <v>3.7999999999999999E-2</v>
      </c>
      <c r="K865">
        <v>2.3E-2</v>
      </c>
      <c r="L865">
        <v>2242.6</v>
      </c>
      <c r="M865">
        <v>2250.1999999999998</v>
      </c>
      <c r="N865">
        <v>2266.8000000000002</v>
      </c>
      <c r="Q865">
        <f t="shared" si="66"/>
        <v>424.1</v>
      </c>
      <c r="R865">
        <f t="shared" si="64"/>
        <v>424.2</v>
      </c>
      <c r="S865">
        <f t="shared" si="65"/>
        <v>0</v>
      </c>
    </row>
    <row r="866" spans="1:19" x14ac:dyDescent="0.25">
      <c r="A866" s="2">
        <v>44889</v>
      </c>
      <c r="B866" s="3">
        <v>328</v>
      </c>
      <c r="C866" s="3">
        <v>2200</v>
      </c>
      <c r="D866">
        <v>424.0949</v>
      </c>
      <c r="E866">
        <v>4.1000000000000002E-2</v>
      </c>
      <c r="F866">
        <v>417.82650000000001</v>
      </c>
      <c r="G866">
        <v>425.73439999999999</v>
      </c>
      <c r="H866">
        <v>428.72379999999998</v>
      </c>
      <c r="I866">
        <v>3.7999999999999999E-2</v>
      </c>
      <c r="J866">
        <v>4.5999999999999999E-2</v>
      </c>
      <c r="K866">
        <v>3.6999999999999998E-2</v>
      </c>
      <c r="L866">
        <v>2242.4</v>
      </c>
      <c r="M866">
        <v>2250.1999999999998</v>
      </c>
      <c r="N866">
        <v>2266.8000000000002</v>
      </c>
      <c r="Q866">
        <f t="shared" si="66"/>
        <v>424.1</v>
      </c>
      <c r="R866">
        <f t="shared" ref="R866:R929" si="67">ROUND(IF(Q866&lt;R865,R865,Q866),1)</f>
        <v>424.2</v>
      </c>
      <c r="S866">
        <f t="shared" si="65"/>
        <v>0</v>
      </c>
    </row>
    <row r="867" spans="1:19" x14ac:dyDescent="0.25">
      <c r="A867" s="2">
        <v>44889</v>
      </c>
      <c r="B867" s="3">
        <v>328</v>
      </c>
      <c r="C867" s="3">
        <v>2300</v>
      </c>
      <c r="D867">
        <v>424.0967</v>
      </c>
      <c r="E867">
        <v>3.9E-2</v>
      </c>
      <c r="F867">
        <v>417.81420000000003</v>
      </c>
      <c r="G867">
        <v>425.75040000000001</v>
      </c>
      <c r="H867">
        <v>428.72559999999999</v>
      </c>
      <c r="I867">
        <v>2.1999999999999999E-2</v>
      </c>
      <c r="J867">
        <v>0.05</v>
      </c>
      <c r="K867">
        <v>3.9E-2</v>
      </c>
      <c r="L867">
        <v>2242.4</v>
      </c>
      <c r="M867">
        <v>2250.4</v>
      </c>
      <c r="N867">
        <v>2266.8000000000002</v>
      </c>
      <c r="Q867">
        <f t="shared" si="66"/>
        <v>424.1</v>
      </c>
      <c r="R867">
        <f t="shared" si="67"/>
        <v>424.2</v>
      </c>
      <c r="S867">
        <f t="shared" si="65"/>
        <v>0</v>
      </c>
    </row>
    <row r="868" spans="1:19" x14ac:dyDescent="0.25">
      <c r="A868" s="2">
        <v>44889</v>
      </c>
      <c r="B868" s="3">
        <v>328</v>
      </c>
      <c r="C868" s="3">
        <v>2400</v>
      </c>
      <c r="D868">
        <v>424.0908</v>
      </c>
      <c r="E868">
        <v>3.7999999999999999E-2</v>
      </c>
      <c r="F868">
        <v>417.80889999999999</v>
      </c>
      <c r="G868">
        <v>425.74149999999997</v>
      </c>
      <c r="H868">
        <v>428.72199999999998</v>
      </c>
      <c r="I868">
        <v>2.7E-2</v>
      </c>
      <c r="J868">
        <v>4.9000000000000002E-2</v>
      </c>
      <c r="K868">
        <v>3.5000000000000003E-2</v>
      </c>
      <c r="L868">
        <v>2242.4</v>
      </c>
      <c r="M868">
        <v>2250.4</v>
      </c>
      <c r="N868">
        <v>2266.8000000000002</v>
      </c>
      <c r="Q868">
        <f t="shared" si="66"/>
        <v>424.1</v>
      </c>
      <c r="R868">
        <f t="shared" si="67"/>
        <v>424.2</v>
      </c>
      <c r="S868">
        <f t="shared" si="65"/>
        <v>0</v>
      </c>
    </row>
    <row r="869" spans="1:19" x14ac:dyDescent="0.25">
      <c r="A869" s="2">
        <v>44890</v>
      </c>
      <c r="B869" s="3">
        <v>329</v>
      </c>
      <c r="C869" s="3">
        <v>100</v>
      </c>
      <c r="D869">
        <v>424.08620000000002</v>
      </c>
      <c r="E869">
        <v>3.6999999999999998E-2</v>
      </c>
      <c r="F869">
        <v>417.79840000000002</v>
      </c>
      <c r="G869">
        <v>425.74509999999998</v>
      </c>
      <c r="H869">
        <v>428.7149</v>
      </c>
      <c r="I869">
        <v>3.1E-2</v>
      </c>
      <c r="J869">
        <v>0.05</v>
      </c>
      <c r="K869">
        <v>2.5999999999999999E-2</v>
      </c>
      <c r="L869">
        <v>2242.4</v>
      </c>
      <c r="M869">
        <v>2250.1999999999998</v>
      </c>
      <c r="N869">
        <v>2266.8000000000002</v>
      </c>
      <c r="Q869">
        <f t="shared" si="66"/>
        <v>424.1</v>
      </c>
      <c r="R869">
        <f t="shared" si="67"/>
        <v>424.2</v>
      </c>
      <c r="S869">
        <f t="shared" ref="S869:S932" si="68">IF(R869&gt;R868,R869-R868,0)</f>
        <v>0</v>
      </c>
    </row>
    <row r="870" spans="1:19" x14ac:dyDescent="0.25">
      <c r="A870" s="2">
        <v>44890</v>
      </c>
      <c r="B870" s="3">
        <v>329</v>
      </c>
      <c r="C870" s="3">
        <v>200</v>
      </c>
      <c r="D870">
        <v>424.07130000000001</v>
      </c>
      <c r="E870">
        <v>2.7E-2</v>
      </c>
      <c r="F870">
        <v>417.81240000000003</v>
      </c>
      <c r="G870">
        <v>425.70780000000002</v>
      </c>
      <c r="H870">
        <v>428.6936</v>
      </c>
      <c r="I870">
        <v>2.5999999999999999E-2</v>
      </c>
      <c r="J870">
        <v>1.9E-2</v>
      </c>
      <c r="K870">
        <v>3.5000000000000003E-2</v>
      </c>
      <c r="L870">
        <v>2242.4</v>
      </c>
      <c r="M870">
        <v>2250.1999999999998</v>
      </c>
      <c r="N870">
        <v>2266.8000000000002</v>
      </c>
      <c r="Q870">
        <f t="shared" si="66"/>
        <v>424.1</v>
      </c>
      <c r="R870">
        <f t="shared" si="67"/>
        <v>424.2</v>
      </c>
      <c r="S870">
        <f t="shared" si="68"/>
        <v>0</v>
      </c>
    </row>
    <row r="871" spans="1:19" x14ac:dyDescent="0.25">
      <c r="A871" s="2">
        <v>44890</v>
      </c>
      <c r="B871" s="3">
        <v>329</v>
      </c>
      <c r="C871" s="3">
        <v>300</v>
      </c>
      <c r="D871">
        <v>424.04180000000002</v>
      </c>
      <c r="E871">
        <v>4.5999999999999999E-2</v>
      </c>
      <c r="F871">
        <v>417.78250000000003</v>
      </c>
      <c r="G871">
        <v>425.67590000000001</v>
      </c>
      <c r="H871">
        <v>428.66699999999997</v>
      </c>
      <c r="I871">
        <v>4.3999999999999997E-2</v>
      </c>
      <c r="J871">
        <v>4.4999999999999998E-2</v>
      </c>
      <c r="K871">
        <v>0.05</v>
      </c>
      <c r="L871">
        <v>2242.4</v>
      </c>
      <c r="M871">
        <v>2250.1999999999998</v>
      </c>
      <c r="N871">
        <v>2266.8000000000002</v>
      </c>
      <c r="Q871">
        <f t="shared" si="66"/>
        <v>424</v>
      </c>
      <c r="R871">
        <f t="shared" si="67"/>
        <v>424.2</v>
      </c>
      <c r="S871">
        <f t="shared" si="68"/>
        <v>0</v>
      </c>
    </row>
    <row r="872" spans="1:19" x14ac:dyDescent="0.25">
      <c r="A872" s="2">
        <v>44890</v>
      </c>
      <c r="B872" s="3">
        <v>329</v>
      </c>
      <c r="C872" s="3">
        <v>400</v>
      </c>
      <c r="D872">
        <v>424.01</v>
      </c>
      <c r="E872">
        <v>4.7E-2</v>
      </c>
      <c r="F872">
        <v>417.75619999999998</v>
      </c>
      <c r="G872">
        <v>425.64580000000001</v>
      </c>
      <c r="H872">
        <v>428.62790000000001</v>
      </c>
      <c r="I872">
        <v>0.05</v>
      </c>
      <c r="J872">
        <v>0.05</v>
      </c>
      <c r="K872">
        <v>4.1000000000000002E-2</v>
      </c>
      <c r="L872">
        <v>2242.1999999999998</v>
      </c>
      <c r="M872">
        <v>2250</v>
      </c>
      <c r="N872">
        <v>2266.6</v>
      </c>
      <c r="Q872">
        <f t="shared" si="66"/>
        <v>424</v>
      </c>
      <c r="R872">
        <f t="shared" si="67"/>
        <v>424.2</v>
      </c>
      <c r="S872">
        <f t="shared" si="68"/>
        <v>0</v>
      </c>
    </row>
    <row r="873" spans="1:19" x14ac:dyDescent="0.25">
      <c r="A873" s="2">
        <v>44890</v>
      </c>
      <c r="B873" s="3">
        <v>329</v>
      </c>
      <c r="C873" s="3">
        <v>500</v>
      </c>
      <c r="D873">
        <v>423.98520000000002</v>
      </c>
      <c r="E873">
        <v>3.7999999999999999E-2</v>
      </c>
      <c r="F873">
        <v>417.73329999999999</v>
      </c>
      <c r="G873">
        <v>425.62090000000001</v>
      </c>
      <c r="H873">
        <v>428.60129999999998</v>
      </c>
      <c r="I873">
        <v>4.2999999999999997E-2</v>
      </c>
      <c r="J873">
        <v>4.2999999999999997E-2</v>
      </c>
      <c r="K873">
        <v>2.3E-2</v>
      </c>
      <c r="L873">
        <v>2242.1999999999998</v>
      </c>
      <c r="M873">
        <v>2250</v>
      </c>
      <c r="N873">
        <v>2266.6</v>
      </c>
      <c r="Q873">
        <f t="shared" si="66"/>
        <v>424</v>
      </c>
      <c r="R873">
        <f t="shared" si="67"/>
        <v>424.2</v>
      </c>
      <c r="S873">
        <f t="shared" si="68"/>
        <v>0</v>
      </c>
    </row>
    <row r="874" spans="1:19" x14ac:dyDescent="0.25">
      <c r="A874" s="2">
        <v>44890</v>
      </c>
      <c r="B874" s="3">
        <v>329</v>
      </c>
      <c r="C874" s="3">
        <v>600</v>
      </c>
      <c r="D874">
        <v>423.95510000000002</v>
      </c>
      <c r="E874">
        <v>4.2000000000000003E-2</v>
      </c>
      <c r="F874">
        <v>417.70870000000002</v>
      </c>
      <c r="G874">
        <v>425.58370000000002</v>
      </c>
      <c r="H874">
        <v>428.57279999999997</v>
      </c>
      <c r="I874">
        <v>3.7999999999999999E-2</v>
      </c>
      <c r="J874">
        <v>0.04</v>
      </c>
      <c r="K874">
        <v>4.8000000000000001E-2</v>
      </c>
      <c r="L874">
        <v>2242.1999999999998</v>
      </c>
      <c r="M874">
        <v>2250</v>
      </c>
      <c r="N874">
        <v>2266.6</v>
      </c>
      <c r="Q874">
        <f t="shared" si="66"/>
        <v>424</v>
      </c>
      <c r="R874">
        <f t="shared" si="67"/>
        <v>424.2</v>
      </c>
      <c r="S874">
        <f t="shared" si="68"/>
        <v>0</v>
      </c>
    </row>
    <row r="875" spans="1:19" x14ac:dyDescent="0.25">
      <c r="A875" s="2">
        <v>44890</v>
      </c>
      <c r="B875" s="3">
        <v>329</v>
      </c>
      <c r="C875" s="3">
        <v>700</v>
      </c>
      <c r="D875">
        <v>423.95510000000002</v>
      </c>
      <c r="E875">
        <v>0.04</v>
      </c>
      <c r="F875">
        <v>417.70519999999999</v>
      </c>
      <c r="G875">
        <v>425.5908</v>
      </c>
      <c r="H875">
        <v>428.56920000000002</v>
      </c>
      <c r="I875">
        <v>3.6999999999999998E-2</v>
      </c>
      <c r="J875">
        <v>3.3000000000000002E-2</v>
      </c>
      <c r="K875">
        <v>4.9000000000000002E-2</v>
      </c>
      <c r="L875">
        <v>2242.1999999999998</v>
      </c>
      <c r="M875">
        <v>2250</v>
      </c>
      <c r="N875">
        <v>2266.6</v>
      </c>
      <c r="Q875">
        <f t="shared" si="66"/>
        <v>424</v>
      </c>
      <c r="R875">
        <f t="shared" si="67"/>
        <v>424.2</v>
      </c>
      <c r="S875">
        <f t="shared" si="68"/>
        <v>0</v>
      </c>
    </row>
    <row r="876" spans="1:19" x14ac:dyDescent="0.25">
      <c r="A876" s="2">
        <v>44890</v>
      </c>
      <c r="B876" s="3">
        <v>329</v>
      </c>
      <c r="C876" s="3">
        <v>800</v>
      </c>
      <c r="D876">
        <v>423.97930000000002</v>
      </c>
      <c r="E876">
        <v>3.5999999999999997E-2</v>
      </c>
      <c r="F876">
        <v>417.71050000000002</v>
      </c>
      <c r="G876">
        <v>425.63510000000002</v>
      </c>
      <c r="H876">
        <v>428.5924</v>
      </c>
      <c r="I876">
        <v>2.3E-2</v>
      </c>
      <c r="J876">
        <v>4.7E-2</v>
      </c>
      <c r="K876">
        <v>3.5000000000000003E-2</v>
      </c>
      <c r="L876">
        <v>2242.1999999999998</v>
      </c>
      <c r="M876">
        <v>2250</v>
      </c>
      <c r="N876">
        <v>2266.6</v>
      </c>
      <c r="Q876">
        <f t="shared" si="66"/>
        <v>424</v>
      </c>
      <c r="R876">
        <f t="shared" si="67"/>
        <v>424.2</v>
      </c>
      <c r="S876">
        <f t="shared" si="68"/>
        <v>0</v>
      </c>
    </row>
    <row r="877" spans="1:19" x14ac:dyDescent="0.25">
      <c r="A877" s="2">
        <v>44890</v>
      </c>
      <c r="B877" s="3">
        <v>329</v>
      </c>
      <c r="C877" s="3">
        <v>900</v>
      </c>
      <c r="D877">
        <v>423.9794</v>
      </c>
      <c r="E877">
        <v>3.7999999999999999E-2</v>
      </c>
      <c r="F877">
        <v>417.70519999999999</v>
      </c>
      <c r="G877">
        <v>425.6404</v>
      </c>
      <c r="H877">
        <v>428.5924</v>
      </c>
      <c r="I877">
        <v>2.5999999999999999E-2</v>
      </c>
      <c r="J877">
        <v>4.9000000000000002E-2</v>
      </c>
      <c r="K877">
        <v>3.5000000000000003E-2</v>
      </c>
      <c r="L877">
        <v>2242.1999999999998</v>
      </c>
      <c r="M877">
        <v>2250.1999999999998</v>
      </c>
      <c r="N877">
        <v>2266.4</v>
      </c>
      <c r="Q877">
        <f t="shared" si="66"/>
        <v>424</v>
      </c>
      <c r="R877">
        <f t="shared" si="67"/>
        <v>424.2</v>
      </c>
      <c r="S877">
        <f t="shared" si="68"/>
        <v>0</v>
      </c>
    </row>
    <row r="878" spans="1:19" x14ac:dyDescent="0.25">
      <c r="A878" s="2">
        <v>44890</v>
      </c>
      <c r="B878" s="3">
        <v>329</v>
      </c>
      <c r="C878" s="3">
        <v>1000</v>
      </c>
      <c r="D878">
        <v>424.0926</v>
      </c>
      <c r="E878">
        <v>3.6999999999999998E-2</v>
      </c>
      <c r="F878">
        <v>417.79840000000002</v>
      </c>
      <c r="G878">
        <v>425.76459999999997</v>
      </c>
      <c r="H878">
        <v>428.7149</v>
      </c>
      <c r="I878">
        <v>3.1E-2</v>
      </c>
      <c r="J878">
        <v>0.05</v>
      </c>
      <c r="K878">
        <v>2.5999999999999999E-2</v>
      </c>
      <c r="L878">
        <v>2242.4</v>
      </c>
      <c r="M878">
        <v>2250.4</v>
      </c>
      <c r="N878">
        <v>2266.8000000000002</v>
      </c>
      <c r="Q878">
        <f t="shared" si="66"/>
        <v>424.1</v>
      </c>
      <c r="R878">
        <f t="shared" si="67"/>
        <v>424.2</v>
      </c>
      <c r="S878">
        <f t="shared" si="68"/>
        <v>0</v>
      </c>
    </row>
    <row r="879" spans="1:19" x14ac:dyDescent="0.25">
      <c r="A879" s="2">
        <v>44890</v>
      </c>
      <c r="B879" s="3">
        <v>329</v>
      </c>
      <c r="C879" s="3">
        <v>1100</v>
      </c>
      <c r="D879">
        <v>424.4477</v>
      </c>
      <c r="E879">
        <v>4.2000000000000003E-2</v>
      </c>
      <c r="F879">
        <v>418.16950000000003</v>
      </c>
      <c r="G879">
        <v>426.10520000000002</v>
      </c>
      <c r="H879">
        <v>429.06849999999997</v>
      </c>
      <c r="I879">
        <v>4.9000000000000002E-2</v>
      </c>
      <c r="J879">
        <v>1.9E-2</v>
      </c>
      <c r="K879">
        <v>0.05</v>
      </c>
      <c r="L879">
        <v>2243.1999999999998</v>
      </c>
      <c r="M879">
        <v>2251</v>
      </c>
      <c r="N879">
        <v>2267.4</v>
      </c>
      <c r="Q879">
        <f t="shared" si="66"/>
        <v>424.4</v>
      </c>
      <c r="R879">
        <f t="shared" si="67"/>
        <v>424.4</v>
      </c>
      <c r="S879">
        <f t="shared" si="68"/>
        <v>0.19999999999998863</v>
      </c>
    </row>
    <row r="880" spans="1:19" x14ac:dyDescent="0.25">
      <c r="A880" s="2">
        <v>44890</v>
      </c>
      <c r="B880" s="3">
        <v>329</v>
      </c>
      <c r="C880" s="3">
        <v>1200</v>
      </c>
      <c r="D880">
        <v>424.4282</v>
      </c>
      <c r="E880">
        <v>4.8000000000000001E-2</v>
      </c>
      <c r="F880">
        <v>418.15550000000002</v>
      </c>
      <c r="G880">
        <v>426.08030000000002</v>
      </c>
      <c r="H880">
        <v>429.04899999999998</v>
      </c>
      <c r="I880">
        <v>0.05</v>
      </c>
      <c r="J880">
        <v>4.4999999999999998E-2</v>
      </c>
      <c r="K880">
        <v>4.9000000000000002E-2</v>
      </c>
      <c r="L880">
        <v>2243</v>
      </c>
      <c r="M880">
        <v>2251</v>
      </c>
      <c r="N880">
        <v>2267.6</v>
      </c>
      <c r="Q880">
        <f t="shared" si="66"/>
        <v>424.4</v>
      </c>
      <c r="R880">
        <f t="shared" si="67"/>
        <v>424.4</v>
      </c>
      <c r="S880">
        <f t="shared" si="68"/>
        <v>0</v>
      </c>
    </row>
    <row r="881" spans="1:19" x14ac:dyDescent="0.25">
      <c r="A881" s="2">
        <v>44890</v>
      </c>
      <c r="B881" s="3">
        <v>329</v>
      </c>
      <c r="C881" s="3">
        <v>1300</v>
      </c>
      <c r="D881">
        <v>424.39929999999998</v>
      </c>
      <c r="E881">
        <v>4.2999999999999997E-2</v>
      </c>
      <c r="F881">
        <v>418.1309</v>
      </c>
      <c r="G881">
        <v>426.04129999999998</v>
      </c>
      <c r="H881">
        <v>429.0258</v>
      </c>
      <c r="I881">
        <v>4.4999999999999998E-2</v>
      </c>
      <c r="J881">
        <v>4.8000000000000001E-2</v>
      </c>
      <c r="K881">
        <v>3.5000000000000003E-2</v>
      </c>
      <c r="L881">
        <v>2243</v>
      </c>
      <c r="M881">
        <v>2250.8000000000002</v>
      </c>
      <c r="N881">
        <v>2267.4</v>
      </c>
      <c r="Q881">
        <f t="shared" si="66"/>
        <v>424.4</v>
      </c>
      <c r="R881">
        <f t="shared" si="67"/>
        <v>424.4</v>
      </c>
      <c r="S881">
        <f t="shared" si="68"/>
        <v>0</v>
      </c>
    </row>
    <row r="882" spans="1:19" x14ac:dyDescent="0.25">
      <c r="A882" s="2">
        <v>44890</v>
      </c>
      <c r="B882" s="3">
        <v>329</v>
      </c>
      <c r="C882" s="3">
        <v>1400</v>
      </c>
      <c r="D882">
        <v>425.09820000000002</v>
      </c>
      <c r="E882">
        <v>4.1000000000000002E-2</v>
      </c>
      <c r="F882">
        <v>418.8048</v>
      </c>
      <c r="G882">
        <v>426.75990000000002</v>
      </c>
      <c r="H882">
        <v>429.72980000000001</v>
      </c>
      <c r="I882">
        <v>3.6999999999999998E-2</v>
      </c>
      <c r="J882">
        <v>0.05</v>
      </c>
      <c r="K882">
        <v>3.4000000000000002E-2</v>
      </c>
      <c r="L882">
        <v>2244.4</v>
      </c>
      <c r="M882">
        <v>2252.4</v>
      </c>
      <c r="N882">
        <v>2269</v>
      </c>
      <c r="Q882">
        <f t="shared" si="66"/>
        <v>425.1</v>
      </c>
      <c r="R882">
        <f t="shared" si="67"/>
        <v>425.1</v>
      </c>
      <c r="S882">
        <f t="shared" si="68"/>
        <v>0.70000000000004547</v>
      </c>
    </row>
    <row r="883" spans="1:19" x14ac:dyDescent="0.25">
      <c r="A883" s="2">
        <v>44890</v>
      </c>
      <c r="B883" s="3">
        <v>329</v>
      </c>
      <c r="C883" s="3">
        <v>1500</v>
      </c>
      <c r="D883">
        <v>426.4588</v>
      </c>
      <c r="E883">
        <v>4.8000000000000001E-2</v>
      </c>
      <c r="F883">
        <v>420.14519999999999</v>
      </c>
      <c r="G883">
        <v>428.14550000000003</v>
      </c>
      <c r="H883">
        <v>431.08569999999997</v>
      </c>
      <c r="I883">
        <v>4.4999999999999998E-2</v>
      </c>
      <c r="J883">
        <v>4.7E-2</v>
      </c>
      <c r="K883">
        <v>5.0999999999999997E-2</v>
      </c>
      <c r="L883">
        <v>2247</v>
      </c>
      <c r="M883">
        <v>2255.1999999999998</v>
      </c>
      <c r="N883">
        <v>2271.6</v>
      </c>
      <c r="Q883">
        <f t="shared" si="66"/>
        <v>426.5</v>
      </c>
      <c r="R883">
        <f t="shared" si="67"/>
        <v>426.5</v>
      </c>
      <c r="S883">
        <f t="shared" si="68"/>
        <v>1.3999999999999773</v>
      </c>
    </row>
    <row r="884" spans="1:19" x14ac:dyDescent="0.25">
      <c r="A884" s="2">
        <v>44890</v>
      </c>
      <c r="B884" s="3">
        <v>329</v>
      </c>
      <c r="C884" s="3">
        <v>1600</v>
      </c>
      <c r="D884">
        <v>427.46129999999999</v>
      </c>
      <c r="E884">
        <v>0.04</v>
      </c>
      <c r="F884">
        <v>421.12920000000003</v>
      </c>
      <c r="G884">
        <v>429.15199999999999</v>
      </c>
      <c r="H884">
        <v>432.1028</v>
      </c>
      <c r="I884">
        <v>3.2000000000000001E-2</v>
      </c>
      <c r="J884">
        <v>3.5000000000000003E-2</v>
      </c>
      <c r="K884">
        <v>5.0999999999999997E-2</v>
      </c>
      <c r="L884">
        <v>2248.8000000000002</v>
      </c>
      <c r="M884">
        <v>2257.1999999999998</v>
      </c>
      <c r="N884">
        <v>2273.6</v>
      </c>
      <c r="Q884">
        <f t="shared" si="66"/>
        <v>427.5</v>
      </c>
      <c r="R884">
        <f t="shared" si="67"/>
        <v>427.5</v>
      </c>
      <c r="S884">
        <f t="shared" si="68"/>
        <v>1</v>
      </c>
    </row>
    <row r="885" spans="1:19" x14ac:dyDescent="0.25">
      <c r="A885" s="2">
        <v>44890</v>
      </c>
      <c r="B885" s="3">
        <v>329</v>
      </c>
      <c r="C885" s="3">
        <v>1700</v>
      </c>
      <c r="D885">
        <v>428.54719999999998</v>
      </c>
      <c r="E885">
        <v>4.1000000000000002E-2</v>
      </c>
      <c r="F885">
        <v>422.17939999999999</v>
      </c>
      <c r="G885">
        <v>430.25920000000002</v>
      </c>
      <c r="H885">
        <v>433.20310000000001</v>
      </c>
      <c r="I885">
        <v>0.05</v>
      </c>
      <c r="J885">
        <v>1.9E-2</v>
      </c>
      <c r="K885">
        <v>4.7E-2</v>
      </c>
      <c r="L885">
        <v>2251</v>
      </c>
      <c r="M885">
        <v>2259.1999999999998</v>
      </c>
      <c r="N885">
        <v>2275.8000000000002</v>
      </c>
      <c r="Q885">
        <f t="shared" si="66"/>
        <v>428.5</v>
      </c>
      <c r="R885">
        <f t="shared" si="67"/>
        <v>428.5</v>
      </c>
      <c r="S885">
        <f t="shared" si="68"/>
        <v>1</v>
      </c>
    </row>
    <row r="886" spans="1:19" x14ac:dyDescent="0.25">
      <c r="A886" s="2">
        <v>44890</v>
      </c>
      <c r="B886" s="3">
        <v>329</v>
      </c>
      <c r="C886" s="3">
        <v>1800</v>
      </c>
      <c r="D886">
        <v>428.786</v>
      </c>
      <c r="E886">
        <v>4.2999999999999997E-2</v>
      </c>
      <c r="F886">
        <v>422.4196</v>
      </c>
      <c r="G886">
        <v>430.49799999999999</v>
      </c>
      <c r="H886">
        <v>433.44040000000001</v>
      </c>
      <c r="I886">
        <v>3.1E-2</v>
      </c>
      <c r="J886">
        <v>4.7E-2</v>
      </c>
      <c r="K886">
        <v>4.9000000000000002E-2</v>
      </c>
      <c r="L886">
        <v>2251.6</v>
      </c>
      <c r="M886">
        <v>2259.8000000000002</v>
      </c>
      <c r="N886">
        <v>2276</v>
      </c>
      <c r="Q886">
        <f t="shared" si="66"/>
        <v>428.8</v>
      </c>
      <c r="R886">
        <f t="shared" si="67"/>
        <v>428.8</v>
      </c>
      <c r="S886">
        <f t="shared" si="68"/>
        <v>0.30000000000001137</v>
      </c>
    </row>
    <row r="887" spans="1:19" x14ac:dyDescent="0.25">
      <c r="A887" s="2">
        <v>44890</v>
      </c>
      <c r="B887" s="3">
        <v>329</v>
      </c>
      <c r="C887" s="3">
        <v>1900</v>
      </c>
      <c r="D887">
        <v>428.81270000000001</v>
      </c>
      <c r="E887">
        <v>3.5000000000000003E-2</v>
      </c>
      <c r="F887">
        <v>422.4409</v>
      </c>
      <c r="G887">
        <v>430.51760000000002</v>
      </c>
      <c r="H887">
        <v>433.4796</v>
      </c>
      <c r="I887">
        <v>3.1E-2</v>
      </c>
      <c r="J887">
        <v>5.0999999999999997E-2</v>
      </c>
      <c r="K887">
        <v>1.2999999999999999E-2</v>
      </c>
      <c r="L887">
        <v>2251.6</v>
      </c>
      <c r="M887">
        <v>2259.6</v>
      </c>
      <c r="N887">
        <v>2276.1999999999998</v>
      </c>
      <c r="Q887">
        <f t="shared" si="66"/>
        <v>428.8</v>
      </c>
      <c r="R887">
        <f t="shared" si="67"/>
        <v>428.8</v>
      </c>
      <c r="S887">
        <f t="shared" si="68"/>
        <v>0</v>
      </c>
    </row>
    <row r="888" spans="1:19" x14ac:dyDescent="0.25">
      <c r="A888" s="2">
        <v>44890</v>
      </c>
      <c r="B888" s="3">
        <v>329</v>
      </c>
      <c r="C888" s="3">
        <v>2000</v>
      </c>
      <c r="D888">
        <v>428.82279999999997</v>
      </c>
      <c r="E888">
        <v>4.4999999999999998E-2</v>
      </c>
      <c r="F888">
        <v>422.45679999999999</v>
      </c>
      <c r="G888">
        <v>430.51580000000001</v>
      </c>
      <c r="H888">
        <v>433.4957</v>
      </c>
      <c r="I888">
        <v>4.3999999999999997E-2</v>
      </c>
      <c r="J888">
        <v>5.0999999999999997E-2</v>
      </c>
      <c r="K888">
        <v>3.9E-2</v>
      </c>
      <c r="L888">
        <v>2251.8000000000002</v>
      </c>
      <c r="M888">
        <v>2259.6</v>
      </c>
      <c r="N888">
        <v>2276.1999999999998</v>
      </c>
      <c r="Q888">
        <f t="shared" si="66"/>
        <v>428.8</v>
      </c>
      <c r="R888">
        <f t="shared" si="67"/>
        <v>428.8</v>
      </c>
      <c r="S888">
        <f t="shared" si="68"/>
        <v>0</v>
      </c>
    </row>
    <row r="889" spans="1:19" x14ac:dyDescent="0.25">
      <c r="A889" s="2">
        <v>44890</v>
      </c>
      <c r="B889" s="3">
        <v>329</v>
      </c>
      <c r="C889" s="3">
        <v>2100</v>
      </c>
      <c r="D889">
        <v>428.82690000000002</v>
      </c>
      <c r="E889">
        <v>4.2999999999999997E-2</v>
      </c>
      <c r="F889">
        <v>422.45139999999998</v>
      </c>
      <c r="G889">
        <v>430.53190000000001</v>
      </c>
      <c r="H889">
        <v>433.49740000000003</v>
      </c>
      <c r="I889">
        <v>4.1000000000000002E-2</v>
      </c>
      <c r="J889">
        <v>4.8000000000000001E-2</v>
      </c>
      <c r="K889">
        <v>0.04</v>
      </c>
      <c r="L889">
        <v>2251.6</v>
      </c>
      <c r="M889">
        <v>2259.8000000000002</v>
      </c>
      <c r="N889">
        <v>2276.1999999999998</v>
      </c>
      <c r="Q889">
        <f t="shared" si="66"/>
        <v>428.8</v>
      </c>
      <c r="R889">
        <f t="shared" si="67"/>
        <v>428.8</v>
      </c>
      <c r="S889">
        <f t="shared" si="68"/>
        <v>0</v>
      </c>
    </row>
    <row r="890" spans="1:19" x14ac:dyDescent="0.25">
      <c r="A890" s="2">
        <v>44890</v>
      </c>
      <c r="B890" s="3">
        <v>329</v>
      </c>
      <c r="C890" s="3">
        <v>2200</v>
      </c>
      <c r="D890">
        <v>428.81740000000002</v>
      </c>
      <c r="E890">
        <v>4.2999999999999997E-2</v>
      </c>
      <c r="F890">
        <v>422.44619999999998</v>
      </c>
      <c r="G890">
        <v>430.50689999999997</v>
      </c>
      <c r="H890">
        <v>433.49919999999997</v>
      </c>
      <c r="I890">
        <v>3.6999999999999998E-2</v>
      </c>
      <c r="J890">
        <v>0.05</v>
      </c>
      <c r="K890">
        <v>4.1000000000000002E-2</v>
      </c>
      <c r="L890">
        <v>2251.6</v>
      </c>
      <c r="M890">
        <v>2259.6</v>
      </c>
      <c r="N890">
        <v>2276.1999999999998</v>
      </c>
      <c r="Q890">
        <f t="shared" si="66"/>
        <v>428.8</v>
      </c>
      <c r="R890">
        <f t="shared" si="67"/>
        <v>428.8</v>
      </c>
      <c r="S890">
        <f t="shared" si="68"/>
        <v>0</v>
      </c>
    </row>
    <row r="891" spans="1:19" x14ac:dyDescent="0.25">
      <c r="A891" s="2">
        <v>44890</v>
      </c>
      <c r="B891" s="3">
        <v>329</v>
      </c>
      <c r="C891" s="3">
        <v>2300</v>
      </c>
      <c r="D891">
        <v>428.81450000000001</v>
      </c>
      <c r="E891">
        <v>4.1000000000000002E-2</v>
      </c>
      <c r="F891">
        <v>422.44260000000003</v>
      </c>
      <c r="G891">
        <v>430.50510000000003</v>
      </c>
      <c r="H891">
        <v>433.4957</v>
      </c>
      <c r="I891">
        <v>3.3000000000000002E-2</v>
      </c>
      <c r="J891">
        <v>4.9000000000000002E-2</v>
      </c>
      <c r="K891">
        <v>3.9E-2</v>
      </c>
      <c r="L891">
        <v>2251.6</v>
      </c>
      <c r="M891">
        <v>2259.6</v>
      </c>
      <c r="N891">
        <v>2276.1999999999998</v>
      </c>
      <c r="Q891">
        <f t="shared" si="66"/>
        <v>428.8</v>
      </c>
      <c r="R891">
        <f t="shared" si="67"/>
        <v>428.8</v>
      </c>
      <c r="S891">
        <f t="shared" si="68"/>
        <v>0</v>
      </c>
    </row>
    <row r="892" spans="1:19" x14ac:dyDescent="0.25">
      <c r="A892" s="2">
        <v>44890</v>
      </c>
      <c r="B892" s="3">
        <v>329</v>
      </c>
      <c r="C892" s="3">
        <v>2400</v>
      </c>
      <c r="D892">
        <v>428.8186</v>
      </c>
      <c r="E892">
        <v>4.2999999999999997E-2</v>
      </c>
      <c r="F892">
        <v>422.44619999999998</v>
      </c>
      <c r="G892">
        <v>430.51049999999998</v>
      </c>
      <c r="H892">
        <v>433.49919999999997</v>
      </c>
      <c r="I892">
        <v>3.6999999999999998E-2</v>
      </c>
      <c r="J892">
        <v>0.05</v>
      </c>
      <c r="K892">
        <v>4.1000000000000002E-2</v>
      </c>
      <c r="L892">
        <v>2251.6</v>
      </c>
      <c r="M892">
        <v>2259.6</v>
      </c>
      <c r="N892">
        <v>2276.1999999999998</v>
      </c>
      <c r="Q892">
        <f t="shared" si="66"/>
        <v>428.8</v>
      </c>
      <c r="R892">
        <f t="shared" si="67"/>
        <v>428.8</v>
      </c>
      <c r="S892">
        <f t="shared" si="68"/>
        <v>0</v>
      </c>
    </row>
    <row r="893" spans="1:19" x14ac:dyDescent="0.25">
      <c r="A893" s="2">
        <v>44891</v>
      </c>
      <c r="B893" s="3">
        <v>330</v>
      </c>
      <c r="C893" s="3">
        <v>100</v>
      </c>
      <c r="D893">
        <v>428.79379999999998</v>
      </c>
      <c r="E893">
        <v>4.8000000000000001E-2</v>
      </c>
      <c r="F893">
        <v>422.41079999999999</v>
      </c>
      <c r="G893">
        <v>430.46589999999998</v>
      </c>
      <c r="H893">
        <v>433.50459999999998</v>
      </c>
      <c r="I893">
        <v>5.8000000000000003E-2</v>
      </c>
      <c r="J893">
        <v>3.7999999999999999E-2</v>
      </c>
      <c r="K893">
        <v>4.4999999999999998E-2</v>
      </c>
      <c r="L893">
        <v>2251.8000000000002</v>
      </c>
      <c r="M893">
        <v>2259.6</v>
      </c>
      <c r="N893">
        <v>2276.1999999999998</v>
      </c>
      <c r="Q893">
        <f t="shared" si="66"/>
        <v>428.8</v>
      </c>
      <c r="R893">
        <f t="shared" si="67"/>
        <v>428.8</v>
      </c>
      <c r="S893">
        <f t="shared" si="68"/>
        <v>0</v>
      </c>
    </row>
    <row r="894" spans="1:19" x14ac:dyDescent="0.25">
      <c r="A894" s="2">
        <v>44891</v>
      </c>
      <c r="B894" s="3">
        <v>330</v>
      </c>
      <c r="C894" s="3">
        <v>200</v>
      </c>
      <c r="D894">
        <v>428.82220000000001</v>
      </c>
      <c r="E894">
        <v>4.5999999999999999E-2</v>
      </c>
      <c r="F894">
        <v>422.45319999999998</v>
      </c>
      <c r="G894">
        <v>430.50510000000003</v>
      </c>
      <c r="H894">
        <v>433.50810000000001</v>
      </c>
      <c r="I894">
        <v>4.2000000000000003E-2</v>
      </c>
      <c r="J894">
        <v>4.9000000000000002E-2</v>
      </c>
      <c r="K894">
        <v>4.7E-2</v>
      </c>
      <c r="L894">
        <v>2251.6</v>
      </c>
      <c r="M894">
        <v>2259.6</v>
      </c>
      <c r="N894">
        <v>2276.4</v>
      </c>
      <c r="Q894">
        <f t="shared" si="66"/>
        <v>428.8</v>
      </c>
      <c r="R894">
        <f t="shared" si="67"/>
        <v>428.8</v>
      </c>
      <c r="S894">
        <f t="shared" si="68"/>
        <v>0</v>
      </c>
    </row>
    <row r="895" spans="1:19" x14ac:dyDescent="0.25">
      <c r="A895" s="2">
        <v>44891</v>
      </c>
      <c r="B895" s="3">
        <v>330</v>
      </c>
      <c r="C895" s="3">
        <v>300</v>
      </c>
      <c r="D895">
        <v>428.84109999999998</v>
      </c>
      <c r="E895">
        <v>4.9000000000000002E-2</v>
      </c>
      <c r="F895">
        <v>422.49200000000002</v>
      </c>
      <c r="G895">
        <v>430.5016</v>
      </c>
      <c r="H895">
        <v>433.52960000000002</v>
      </c>
      <c r="I895">
        <v>4.9000000000000002E-2</v>
      </c>
      <c r="J895">
        <v>4.8000000000000001E-2</v>
      </c>
      <c r="K895">
        <v>5.0999999999999997E-2</v>
      </c>
      <c r="L895">
        <v>2251.6</v>
      </c>
      <c r="M895">
        <v>2259.6</v>
      </c>
      <c r="N895">
        <v>2276.4</v>
      </c>
      <c r="Q895">
        <f t="shared" si="66"/>
        <v>428.8</v>
      </c>
      <c r="R895">
        <f t="shared" si="67"/>
        <v>428.8</v>
      </c>
      <c r="S895">
        <f t="shared" si="68"/>
        <v>0</v>
      </c>
    </row>
    <row r="896" spans="1:19" x14ac:dyDescent="0.25">
      <c r="A896" s="2">
        <v>44891</v>
      </c>
      <c r="B896" s="3">
        <v>330</v>
      </c>
      <c r="C896" s="3">
        <v>400</v>
      </c>
      <c r="D896">
        <v>428.84750000000003</v>
      </c>
      <c r="E896">
        <v>4.5999999999999999E-2</v>
      </c>
      <c r="F896">
        <v>422.50970000000001</v>
      </c>
      <c r="G896">
        <v>430.49799999999999</v>
      </c>
      <c r="H896">
        <v>433.53489999999999</v>
      </c>
      <c r="I896">
        <v>4.1000000000000002E-2</v>
      </c>
      <c r="J896">
        <v>4.7E-2</v>
      </c>
      <c r="K896">
        <v>0.05</v>
      </c>
      <c r="L896">
        <v>2251.6</v>
      </c>
      <c r="M896">
        <v>2259.8000000000002</v>
      </c>
      <c r="N896">
        <v>2276.1999999999998</v>
      </c>
      <c r="Q896">
        <f t="shared" si="66"/>
        <v>428.8</v>
      </c>
      <c r="R896">
        <f t="shared" si="67"/>
        <v>428.8</v>
      </c>
      <c r="S896">
        <f t="shared" si="68"/>
        <v>0</v>
      </c>
    </row>
    <row r="897" spans="1:19" x14ac:dyDescent="0.25">
      <c r="A897" s="2">
        <v>44891</v>
      </c>
      <c r="B897" s="3">
        <v>330</v>
      </c>
      <c r="C897" s="3">
        <v>500</v>
      </c>
      <c r="D897">
        <v>428.84350000000001</v>
      </c>
      <c r="E897">
        <v>5.0999999999999997E-2</v>
      </c>
      <c r="F897">
        <v>422.48320000000001</v>
      </c>
      <c r="G897">
        <v>430.51400000000001</v>
      </c>
      <c r="H897">
        <v>433.53309999999999</v>
      </c>
      <c r="I897">
        <v>0.05</v>
      </c>
      <c r="J897">
        <v>5.0999999999999997E-2</v>
      </c>
      <c r="K897">
        <v>5.0999999999999997E-2</v>
      </c>
      <c r="L897">
        <v>2251.6</v>
      </c>
      <c r="M897">
        <v>2259.8000000000002</v>
      </c>
      <c r="N897">
        <v>2276.4</v>
      </c>
      <c r="Q897">
        <f t="shared" si="66"/>
        <v>428.8</v>
      </c>
      <c r="R897">
        <f t="shared" si="67"/>
        <v>428.8</v>
      </c>
      <c r="S897">
        <f t="shared" si="68"/>
        <v>0</v>
      </c>
    </row>
    <row r="898" spans="1:19" x14ac:dyDescent="0.25">
      <c r="A898" s="2">
        <v>44891</v>
      </c>
      <c r="B898" s="3">
        <v>330</v>
      </c>
      <c r="C898" s="3">
        <v>600</v>
      </c>
      <c r="D898">
        <v>428.83569999999997</v>
      </c>
      <c r="E898">
        <v>4.5999999999999999E-2</v>
      </c>
      <c r="F898">
        <v>422.4991</v>
      </c>
      <c r="G898">
        <v>430.48379999999997</v>
      </c>
      <c r="H898">
        <v>433.52420000000001</v>
      </c>
      <c r="I898">
        <v>4.7E-2</v>
      </c>
      <c r="J898">
        <v>3.9E-2</v>
      </c>
      <c r="K898">
        <v>5.0999999999999997E-2</v>
      </c>
      <c r="L898">
        <v>2251.8000000000002</v>
      </c>
      <c r="M898">
        <v>2259.6</v>
      </c>
      <c r="N898">
        <v>2276.4</v>
      </c>
      <c r="Q898">
        <f t="shared" si="66"/>
        <v>428.8</v>
      </c>
      <c r="R898">
        <f t="shared" si="67"/>
        <v>428.8</v>
      </c>
      <c r="S898">
        <f t="shared" si="68"/>
        <v>0</v>
      </c>
    </row>
    <row r="899" spans="1:19" x14ac:dyDescent="0.25">
      <c r="A899" s="2">
        <v>44891</v>
      </c>
      <c r="B899" s="3">
        <v>330</v>
      </c>
      <c r="C899" s="3">
        <v>700</v>
      </c>
      <c r="D899">
        <v>428.8245</v>
      </c>
      <c r="E899">
        <v>4.5999999999999999E-2</v>
      </c>
      <c r="F899">
        <v>422.4744</v>
      </c>
      <c r="G899">
        <v>430.48020000000002</v>
      </c>
      <c r="H899">
        <v>433.51889999999997</v>
      </c>
      <c r="I899">
        <v>0.05</v>
      </c>
      <c r="J899">
        <v>3.5000000000000003E-2</v>
      </c>
      <c r="K899">
        <v>0.05</v>
      </c>
      <c r="L899">
        <v>2251.6</v>
      </c>
      <c r="M899">
        <v>2259.6</v>
      </c>
      <c r="N899">
        <v>2276.1999999999998</v>
      </c>
      <c r="Q899">
        <f t="shared" si="66"/>
        <v>428.8</v>
      </c>
      <c r="R899">
        <f t="shared" si="67"/>
        <v>428.8</v>
      </c>
      <c r="S899">
        <f t="shared" si="68"/>
        <v>0</v>
      </c>
    </row>
    <row r="900" spans="1:19" x14ac:dyDescent="0.25">
      <c r="A900" s="2">
        <v>44891</v>
      </c>
      <c r="B900" s="3">
        <v>330</v>
      </c>
      <c r="C900" s="3">
        <v>800</v>
      </c>
      <c r="D900">
        <v>428.8329</v>
      </c>
      <c r="E900">
        <v>4.7E-2</v>
      </c>
      <c r="F900">
        <v>422.46910000000003</v>
      </c>
      <c r="G900">
        <v>430.48910000000001</v>
      </c>
      <c r="H900">
        <v>433.5403</v>
      </c>
      <c r="I900">
        <v>4.9000000000000002E-2</v>
      </c>
      <c r="J900">
        <v>4.2999999999999997E-2</v>
      </c>
      <c r="K900">
        <v>0.05</v>
      </c>
      <c r="L900">
        <v>2251.6</v>
      </c>
      <c r="M900">
        <v>2259.6</v>
      </c>
      <c r="N900">
        <v>2276.1999999999998</v>
      </c>
      <c r="Q900">
        <f t="shared" si="66"/>
        <v>428.8</v>
      </c>
      <c r="R900">
        <f t="shared" si="67"/>
        <v>428.8</v>
      </c>
      <c r="S900">
        <f t="shared" si="68"/>
        <v>0</v>
      </c>
    </row>
    <row r="901" spans="1:19" x14ac:dyDescent="0.25">
      <c r="A901" s="2">
        <v>44891</v>
      </c>
      <c r="B901" s="3">
        <v>330</v>
      </c>
      <c r="C901" s="3">
        <v>900</v>
      </c>
      <c r="D901">
        <v>428.81720000000001</v>
      </c>
      <c r="E901">
        <v>3.5000000000000003E-2</v>
      </c>
      <c r="F901">
        <v>422.51499999999999</v>
      </c>
      <c r="G901">
        <v>430.46949999999998</v>
      </c>
      <c r="H901">
        <v>433.46710000000002</v>
      </c>
      <c r="I901">
        <v>3.6999999999999998E-2</v>
      </c>
      <c r="J901">
        <v>3.7999999999999999E-2</v>
      </c>
      <c r="K901">
        <v>3.1E-2</v>
      </c>
      <c r="L901">
        <v>2251.8000000000002</v>
      </c>
      <c r="M901">
        <v>2259.6</v>
      </c>
      <c r="N901">
        <v>2276.1999999999998</v>
      </c>
      <c r="Q901">
        <f t="shared" si="66"/>
        <v>428.8</v>
      </c>
      <c r="R901">
        <f t="shared" si="67"/>
        <v>428.8</v>
      </c>
      <c r="S901">
        <f t="shared" si="68"/>
        <v>0</v>
      </c>
    </row>
    <row r="902" spans="1:19" x14ac:dyDescent="0.25">
      <c r="A902" s="2">
        <v>44891</v>
      </c>
      <c r="B902" s="3">
        <v>330</v>
      </c>
      <c r="C902" s="3">
        <v>1000</v>
      </c>
      <c r="D902">
        <v>428.74619999999999</v>
      </c>
      <c r="E902">
        <v>4.4999999999999998E-2</v>
      </c>
      <c r="F902">
        <v>422.40910000000002</v>
      </c>
      <c r="G902">
        <v>430.42669999999998</v>
      </c>
      <c r="H902">
        <v>433.40289999999999</v>
      </c>
      <c r="I902">
        <v>4.1000000000000002E-2</v>
      </c>
      <c r="J902">
        <v>4.9000000000000002E-2</v>
      </c>
      <c r="K902">
        <v>4.4999999999999998E-2</v>
      </c>
      <c r="L902">
        <v>2251.6</v>
      </c>
      <c r="M902">
        <v>2259.4</v>
      </c>
      <c r="N902">
        <v>2276</v>
      </c>
      <c r="Q902">
        <f t="shared" si="66"/>
        <v>428.7</v>
      </c>
      <c r="R902">
        <f t="shared" si="67"/>
        <v>428.8</v>
      </c>
      <c r="S902">
        <f t="shared" si="68"/>
        <v>0</v>
      </c>
    </row>
    <row r="903" spans="1:19" x14ac:dyDescent="0.25">
      <c r="A903" s="2">
        <v>44891</v>
      </c>
      <c r="B903" s="3">
        <v>330</v>
      </c>
      <c r="C903" s="3">
        <v>1100</v>
      </c>
      <c r="D903">
        <v>428.73790000000002</v>
      </c>
      <c r="E903">
        <v>4.8000000000000001E-2</v>
      </c>
      <c r="F903">
        <v>422.40730000000002</v>
      </c>
      <c r="G903">
        <v>430.39460000000003</v>
      </c>
      <c r="H903">
        <v>433.41180000000003</v>
      </c>
      <c r="I903">
        <v>0.05</v>
      </c>
      <c r="J903">
        <v>4.5999999999999999E-2</v>
      </c>
      <c r="K903">
        <v>4.9000000000000002E-2</v>
      </c>
      <c r="L903">
        <v>2251.6</v>
      </c>
      <c r="M903">
        <v>2259.4</v>
      </c>
      <c r="N903">
        <v>2276</v>
      </c>
      <c r="Q903">
        <f t="shared" si="66"/>
        <v>428.7</v>
      </c>
      <c r="R903">
        <f t="shared" si="67"/>
        <v>428.8</v>
      </c>
      <c r="S903">
        <f t="shared" si="68"/>
        <v>0</v>
      </c>
    </row>
    <row r="904" spans="1:19" x14ac:dyDescent="0.25">
      <c r="A904" s="2">
        <v>44891</v>
      </c>
      <c r="B904" s="3">
        <v>330</v>
      </c>
      <c r="C904" s="3">
        <v>1200</v>
      </c>
      <c r="D904">
        <v>428.7373</v>
      </c>
      <c r="E904">
        <v>4.3999999999999997E-2</v>
      </c>
      <c r="F904">
        <v>422.4196</v>
      </c>
      <c r="G904">
        <v>430.37860000000001</v>
      </c>
      <c r="H904">
        <v>433.41359999999997</v>
      </c>
      <c r="I904">
        <v>4.1000000000000002E-2</v>
      </c>
      <c r="J904">
        <v>0.04</v>
      </c>
      <c r="K904">
        <v>4.9000000000000002E-2</v>
      </c>
      <c r="L904">
        <v>2251.6</v>
      </c>
      <c r="M904">
        <v>2259.1999999999998</v>
      </c>
      <c r="N904">
        <v>2276.1999999999998</v>
      </c>
      <c r="Q904">
        <f t="shared" si="66"/>
        <v>428.7</v>
      </c>
      <c r="R904">
        <f t="shared" si="67"/>
        <v>428.8</v>
      </c>
      <c r="S904">
        <f t="shared" si="68"/>
        <v>0</v>
      </c>
    </row>
    <row r="905" spans="1:19" x14ac:dyDescent="0.25">
      <c r="A905" s="2">
        <v>44891</v>
      </c>
      <c r="B905" s="3">
        <v>330</v>
      </c>
      <c r="C905" s="3">
        <v>1300</v>
      </c>
      <c r="D905">
        <v>428.70179999999999</v>
      </c>
      <c r="E905">
        <v>3.4000000000000002E-2</v>
      </c>
      <c r="F905">
        <v>422.37189999999998</v>
      </c>
      <c r="G905">
        <v>430.35539999999997</v>
      </c>
      <c r="H905">
        <v>433.37790000000001</v>
      </c>
      <c r="I905">
        <v>0.05</v>
      </c>
      <c r="J905">
        <v>2.9000000000000001E-2</v>
      </c>
      <c r="K905">
        <v>1.2999999999999999E-2</v>
      </c>
      <c r="L905">
        <v>2251.6</v>
      </c>
      <c r="M905">
        <v>2259.4</v>
      </c>
      <c r="N905">
        <v>2276</v>
      </c>
      <c r="Q905">
        <f t="shared" si="66"/>
        <v>428.7</v>
      </c>
      <c r="R905">
        <f t="shared" si="67"/>
        <v>428.8</v>
      </c>
      <c r="S905">
        <f t="shared" si="68"/>
        <v>0</v>
      </c>
    </row>
    <row r="906" spans="1:19" x14ac:dyDescent="0.25">
      <c r="A906" s="2">
        <v>44891</v>
      </c>
      <c r="B906" s="3">
        <v>330</v>
      </c>
      <c r="C906" s="3">
        <v>1400</v>
      </c>
      <c r="D906">
        <v>428.71300000000002</v>
      </c>
      <c r="E906">
        <v>0.04</v>
      </c>
      <c r="F906">
        <v>422.37009999999998</v>
      </c>
      <c r="G906">
        <v>430.3768</v>
      </c>
      <c r="H906">
        <v>433.3922</v>
      </c>
      <c r="I906">
        <v>4.9000000000000002E-2</v>
      </c>
      <c r="J906">
        <v>3.3000000000000002E-2</v>
      </c>
      <c r="K906">
        <v>3.6999999999999998E-2</v>
      </c>
      <c r="L906">
        <v>2251.6</v>
      </c>
      <c r="M906">
        <v>2259.4</v>
      </c>
      <c r="N906">
        <v>2276</v>
      </c>
      <c r="Q906">
        <f t="shared" si="66"/>
        <v>428.7</v>
      </c>
      <c r="R906">
        <f t="shared" si="67"/>
        <v>428.8</v>
      </c>
      <c r="S906">
        <f t="shared" si="68"/>
        <v>0</v>
      </c>
    </row>
    <row r="907" spans="1:19" x14ac:dyDescent="0.25">
      <c r="A907" s="2">
        <v>44891</v>
      </c>
      <c r="B907" s="3">
        <v>330</v>
      </c>
      <c r="C907" s="3">
        <v>1500</v>
      </c>
      <c r="D907">
        <v>428.72910000000002</v>
      </c>
      <c r="E907">
        <v>4.8000000000000001E-2</v>
      </c>
      <c r="F907">
        <v>422.38249999999999</v>
      </c>
      <c r="G907">
        <v>430.39640000000003</v>
      </c>
      <c r="H907">
        <v>433.4083</v>
      </c>
      <c r="I907">
        <v>0.05</v>
      </c>
      <c r="J907">
        <v>4.7E-2</v>
      </c>
      <c r="K907">
        <v>4.7E-2</v>
      </c>
      <c r="L907">
        <v>2251.4</v>
      </c>
      <c r="M907">
        <v>2259.6</v>
      </c>
      <c r="N907">
        <v>2276</v>
      </c>
      <c r="Q907">
        <f t="shared" si="66"/>
        <v>428.7</v>
      </c>
      <c r="R907">
        <f t="shared" si="67"/>
        <v>428.8</v>
      </c>
      <c r="S907">
        <f t="shared" si="68"/>
        <v>0</v>
      </c>
    </row>
    <row r="908" spans="1:19" x14ac:dyDescent="0.25">
      <c r="A908" s="2">
        <v>44891</v>
      </c>
      <c r="B908" s="3">
        <v>330</v>
      </c>
      <c r="C908" s="3">
        <v>1600</v>
      </c>
      <c r="D908">
        <v>428.73559999999998</v>
      </c>
      <c r="E908">
        <v>0.05</v>
      </c>
      <c r="F908">
        <v>422.3843</v>
      </c>
      <c r="G908">
        <v>430.40350000000001</v>
      </c>
      <c r="H908">
        <v>433.41899999999998</v>
      </c>
      <c r="I908">
        <v>0.05</v>
      </c>
      <c r="J908">
        <v>4.9000000000000002E-2</v>
      </c>
      <c r="K908">
        <v>0.05</v>
      </c>
      <c r="L908">
        <v>2251.4</v>
      </c>
      <c r="M908">
        <v>2259.4</v>
      </c>
      <c r="N908">
        <v>2276.1999999999998</v>
      </c>
      <c r="Q908">
        <f t="shared" si="66"/>
        <v>428.7</v>
      </c>
      <c r="R908">
        <f t="shared" si="67"/>
        <v>428.8</v>
      </c>
      <c r="S908">
        <f t="shared" si="68"/>
        <v>0</v>
      </c>
    </row>
    <row r="909" spans="1:19" x14ac:dyDescent="0.25">
      <c r="A909" s="2">
        <v>44891</v>
      </c>
      <c r="B909" s="3">
        <v>330</v>
      </c>
      <c r="C909" s="3">
        <v>1700</v>
      </c>
      <c r="D909">
        <v>428.745</v>
      </c>
      <c r="E909">
        <v>0.05</v>
      </c>
      <c r="F909">
        <v>422.39839999999998</v>
      </c>
      <c r="G909">
        <v>430.41070000000002</v>
      </c>
      <c r="H909">
        <v>433.42610000000002</v>
      </c>
      <c r="I909">
        <v>4.7E-2</v>
      </c>
      <c r="J909">
        <v>5.0999999999999997E-2</v>
      </c>
      <c r="K909">
        <v>5.0999999999999997E-2</v>
      </c>
      <c r="L909">
        <v>2251.4</v>
      </c>
      <c r="M909">
        <v>2259.6</v>
      </c>
      <c r="N909">
        <v>2276.1999999999998</v>
      </c>
      <c r="Q909">
        <f t="shared" si="66"/>
        <v>428.7</v>
      </c>
      <c r="R909">
        <f t="shared" si="67"/>
        <v>428.8</v>
      </c>
      <c r="S909">
        <f t="shared" si="68"/>
        <v>0</v>
      </c>
    </row>
    <row r="910" spans="1:19" x14ac:dyDescent="0.25">
      <c r="A910" s="2">
        <v>44891</v>
      </c>
      <c r="B910" s="3">
        <v>330</v>
      </c>
      <c r="C910" s="3">
        <v>1800</v>
      </c>
      <c r="D910">
        <v>428.91329999999999</v>
      </c>
      <c r="E910">
        <v>4.2000000000000003E-2</v>
      </c>
      <c r="F910">
        <v>422.56619999999998</v>
      </c>
      <c r="G910">
        <v>430.57990000000001</v>
      </c>
      <c r="H910">
        <v>433.59379999999999</v>
      </c>
      <c r="I910">
        <v>4.8000000000000001E-2</v>
      </c>
      <c r="J910">
        <v>4.2999999999999997E-2</v>
      </c>
      <c r="K910">
        <v>3.5000000000000003E-2</v>
      </c>
      <c r="L910">
        <v>2252</v>
      </c>
      <c r="M910">
        <v>2260</v>
      </c>
      <c r="N910">
        <v>2276.4</v>
      </c>
      <c r="Q910">
        <f t="shared" si="66"/>
        <v>428.9</v>
      </c>
      <c r="R910">
        <f t="shared" si="67"/>
        <v>428.9</v>
      </c>
      <c r="S910">
        <f t="shared" si="68"/>
        <v>9.9999999999965894E-2</v>
      </c>
    </row>
    <row r="911" spans="1:19" x14ac:dyDescent="0.25">
      <c r="A911" s="2">
        <v>44891</v>
      </c>
      <c r="B911" s="3">
        <v>330</v>
      </c>
      <c r="C911" s="3">
        <v>1900</v>
      </c>
      <c r="D911">
        <v>429.03949999999998</v>
      </c>
      <c r="E911">
        <v>4.7E-2</v>
      </c>
      <c r="F911">
        <v>422.70049999999998</v>
      </c>
      <c r="G911">
        <v>430.69920000000002</v>
      </c>
      <c r="H911">
        <v>433.71879999999999</v>
      </c>
      <c r="I911">
        <v>4.7E-2</v>
      </c>
      <c r="J911">
        <v>4.5999999999999999E-2</v>
      </c>
      <c r="K911">
        <v>4.9000000000000002E-2</v>
      </c>
      <c r="L911">
        <v>2252.1999999999998</v>
      </c>
      <c r="M911">
        <v>2260</v>
      </c>
      <c r="N911">
        <v>2276.6</v>
      </c>
      <c r="Q911">
        <f t="shared" si="66"/>
        <v>429</v>
      </c>
      <c r="R911">
        <f t="shared" si="67"/>
        <v>429</v>
      </c>
      <c r="S911">
        <f t="shared" si="68"/>
        <v>0.10000000000002274</v>
      </c>
    </row>
    <row r="912" spans="1:19" x14ac:dyDescent="0.25">
      <c r="A912" s="2">
        <v>44891</v>
      </c>
      <c r="B912" s="3">
        <v>330</v>
      </c>
      <c r="C912" s="3">
        <v>2000</v>
      </c>
      <c r="D912">
        <v>429.04129999999998</v>
      </c>
      <c r="E912">
        <v>4.8000000000000001E-2</v>
      </c>
      <c r="F912">
        <v>422.70049999999998</v>
      </c>
      <c r="G912">
        <v>430.70280000000002</v>
      </c>
      <c r="H912">
        <v>433.72059999999999</v>
      </c>
      <c r="I912">
        <v>4.7E-2</v>
      </c>
      <c r="J912">
        <v>4.8000000000000001E-2</v>
      </c>
      <c r="K912">
        <v>0.05</v>
      </c>
      <c r="L912">
        <v>2252.1999999999998</v>
      </c>
      <c r="M912">
        <v>2260</v>
      </c>
      <c r="N912">
        <v>2276.6</v>
      </c>
      <c r="Q912">
        <f t="shared" si="66"/>
        <v>429</v>
      </c>
      <c r="R912">
        <f t="shared" si="67"/>
        <v>429</v>
      </c>
      <c r="S912">
        <f t="shared" si="68"/>
        <v>0</v>
      </c>
    </row>
    <row r="913" spans="1:19" x14ac:dyDescent="0.25">
      <c r="A913" s="2">
        <v>44891</v>
      </c>
      <c r="B913" s="3">
        <v>330</v>
      </c>
      <c r="C913" s="3">
        <v>2100</v>
      </c>
      <c r="D913">
        <v>429.04070000000002</v>
      </c>
      <c r="E913">
        <v>4.7E-2</v>
      </c>
      <c r="F913">
        <v>422.70400000000001</v>
      </c>
      <c r="G913">
        <v>430.69569999999999</v>
      </c>
      <c r="H913">
        <v>433.72239999999999</v>
      </c>
      <c r="I913">
        <v>4.4999999999999998E-2</v>
      </c>
      <c r="J913">
        <v>4.4999999999999998E-2</v>
      </c>
      <c r="K913">
        <v>0.05</v>
      </c>
      <c r="L913">
        <v>2252.1999999999998</v>
      </c>
      <c r="M913">
        <v>2260</v>
      </c>
      <c r="N913">
        <v>2276.6</v>
      </c>
      <c r="Q913">
        <f t="shared" si="66"/>
        <v>429</v>
      </c>
      <c r="R913">
        <f t="shared" si="67"/>
        <v>429</v>
      </c>
      <c r="S913">
        <f t="shared" si="68"/>
        <v>0</v>
      </c>
    </row>
    <row r="914" spans="1:19" x14ac:dyDescent="0.25">
      <c r="A914" s="2">
        <v>44891</v>
      </c>
      <c r="B914" s="3">
        <v>330</v>
      </c>
      <c r="C914" s="3">
        <v>2200</v>
      </c>
      <c r="D914">
        <v>429.04309999999998</v>
      </c>
      <c r="E914">
        <v>4.5999999999999999E-2</v>
      </c>
      <c r="F914">
        <v>422.70929999999998</v>
      </c>
      <c r="G914">
        <v>430.69920000000002</v>
      </c>
      <c r="H914">
        <v>433.72059999999999</v>
      </c>
      <c r="I914">
        <v>4.2000000000000003E-2</v>
      </c>
      <c r="J914">
        <v>4.5999999999999999E-2</v>
      </c>
      <c r="K914">
        <v>0.05</v>
      </c>
      <c r="L914">
        <v>2252.1999999999998</v>
      </c>
      <c r="M914">
        <v>2260</v>
      </c>
      <c r="N914">
        <v>2276.6</v>
      </c>
      <c r="Q914">
        <f t="shared" si="66"/>
        <v>429</v>
      </c>
      <c r="R914">
        <f t="shared" si="67"/>
        <v>429</v>
      </c>
      <c r="S914">
        <f t="shared" si="68"/>
        <v>0</v>
      </c>
    </row>
    <row r="915" spans="1:19" x14ac:dyDescent="0.25">
      <c r="A915" s="2">
        <v>44891</v>
      </c>
      <c r="B915" s="3">
        <v>330</v>
      </c>
      <c r="C915" s="3">
        <v>2300</v>
      </c>
      <c r="D915">
        <v>429.07089999999999</v>
      </c>
      <c r="E915">
        <v>4.2999999999999997E-2</v>
      </c>
      <c r="F915">
        <v>422.73759999999999</v>
      </c>
      <c r="G915">
        <v>430.7242</v>
      </c>
      <c r="H915">
        <v>433.7509</v>
      </c>
      <c r="I915">
        <v>2.9000000000000001E-2</v>
      </c>
      <c r="J915">
        <v>5.0999999999999997E-2</v>
      </c>
      <c r="K915">
        <v>4.7E-2</v>
      </c>
      <c r="L915">
        <v>2252.1999999999998</v>
      </c>
      <c r="M915">
        <v>2260</v>
      </c>
      <c r="N915">
        <v>2276.6</v>
      </c>
      <c r="Q915">
        <f t="shared" ref="Q915:Q978" si="69">ROUND(D915,1)</f>
        <v>429.1</v>
      </c>
      <c r="R915">
        <f t="shared" si="67"/>
        <v>429.1</v>
      </c>
      <c r="S915">
        <f t="shared" si="68"/>
        <v>0.10000000000002274</v>
      </c>
    </row>
    <row r="916" spans="1:19" x14ac:dyDescent="0.25">
      <c r="A916" s="2">
        <v>44891</v>
      </c>
      <c r="B916" s="3">
        <v>330</v>
      </c>
      <c r="C916" s="3">
        <v>2400</v>
      </c>
      <c r="D916">
        <v>429.0976</v>
      </c>
      <c r="E916">
        <v>3.9E-2</v>
      </c>
      <c r="F916">
        <v>422.76049999999998</v>
      </c>
      <c r="G916">
        <v>430.7509</v>
      </c>
      <c r="H916">
        <v>433.78129999999999</v>
      </c>
      <c r="I916">
        <v>4.4999999999999998E-2</v>
      </c>
      <c r="J916">
        <v>0.04</v>
      </c>
      <c r="K916">
        <v>0.03</v>
      </c>
      <c r="L916">
        <v>2252.1999999999998</v>
      </c>
      <c r="M916">
        <v>2260.1999999999998</v>
      </c>
      <c r="N916">
        <v>2276.8000000000002</v>
      </c>
      <c r="Q916">
        <f t="shared" si="69"/>
        <v>429.1</v>
      </c>
      <c r="R916">
        <f t="shared" si="67"/>
        <v>429.1</v>
      </c>
      <c r="S916">
        <f t="shared" si="68"/>
        <v>0</v>
      </c>
    </row>
    <row r="917" spans="1:19" x14ac:dyDescent="0.25">
      <c r="A917" s="2">
        <v>44892</v>
      </c>
      <c r="B917" s="3">
        <v>331</v>
      </c>
      <c r="C917" s="3">
        <v>100</v>
      </c>
      <c r="D917">
        <v>429.1035</v>
      </c>
      <c r="E917">
        <v>3.7999999999999999E-2</v>
      </c>
      <c r="F917">
        <v>422.76580000000001</v>
      </c>
      <c r="G917">
        <v>430.75979999999998</v>
      </c>
      <c r="H917">
        <v>433.78489999999999</v>
      </c>
      <c r="I917">
        <v>4.7E-2</v>
      </c>
      <c r="J917">
        <v>4.1000000000000002E-2</v>
      </c>
      <c r="K917">
        <v>2.3E-2</v>
      </c>
      <c r="L917">
        <v>2252.1999999999998</v>
      </c>
      <c r="M917">
        <v>2260.1999999999998</v>
      </c>
      <c r="N917">
        <v>2276.8000000000002</v>
      </c>
      <c r="Q917">
        <f t="shared" si="69"/>
        <v>429.1</v>
      </c>
      <c r="R917">
        <f t="shared" si="67"/>
        <v>429.1</v>
      </c>
      <c r="S917">
        <f t="shared" si="68"/>
        <v>0</v>
      </c>
    </row>
    <row r="918" spans="1:19" x14ac:dyDescent="0.25">
      <c r="A918" s="2">
        <v>44892</v>
      </c>
      <c r="B918" s="3">
        <v>331</v>
      </c>
      <c r="C918" s="3">
        <v>200</v>
      </c>
      <c r="D918">
        <v>429.18889999999999</v>
      </c>
      <c r="E918">
        <v>0.04</v>
      </c>
      <c r="F918">
        <v>422.84530000000001</v>
      </c>
      <c r="G918">
        <v>430.85070000000002</v>
      </c>
      <c r="H918">
        <v>433.87049999999999</v>
      </c>
      <c r="I918">
        <v>3.7999999999999999E-2</v>
      </c>
      <c r="J918">
        <v>4.5999999999999999E-2</v>
      </c>
      <c r="K918">
        <v>3.5000000000000003E-2</v>
      </c>
      <c r="L918">
        <v>2252.6</v>
      </c>
      <c r="M918">
        <v>2260.4</v>
      </c>
      <c r="N918">
        <v>2277</v>
      </c>
      <c r="Q918">
        <f t="shared" si="69"/>
        <v>429.2</v>
      </c>
      <c r="R918">
        <f t="shared" si="67"/>
        <v>429.2</v>
      </c>
      <c r="S918">
        <f t="shared" si="68"/>
        <v>9.9999999999965894E-2</v>
      </c>
    </row>
    <row r="919" spans="1:19" x14ac:dyDescent="0.25">
      <c r="A919" s="2">
        <v>44892</v>
      </c>
      <c r="B919" s="3">
        <v>331</v>
      </c>
      <c r="C919" s="3">
        <v>300</v>
      </c>
      <c r="D919">
        <v>431.10809999999998</v>
      </c>
      <c r="E919">
        <v>0.10299999999999999</v>
      </c>
      <c r="F919">
        <v>424.73430000000002</v>
      </c>
      <c r="G919">
        <v>432.77879999999999</v>
      </c>
      <c r="H919">
        <v>435.81099999999998</v>
      </c>
      <c r="I919">
        <v>0.10100000000000001</v>
      </c>
      <c r="J919">
        <v>0.105</v>
      </c>
      <c r="K919">
        <v>0.10199999999999999</v>
      </c>
      <c r="L919">
        <v>2256.6</v>
      </c>
      <c r="M919">
        <v>2264.4</v>
      </c>
      <c r="N919">
        <v>2281.1999999999998</v>
      </c>
      <c r="Q919">
        <f t="shared" si="69"/>
        <v>431.1</v>
      </c>
      <c r="R919">
        <f t="shared" si="67"/>
        <v>431.1</v>
      </c>
      <c r="S919">
        <f t="shared" si="68"/>
        <v>1.9000000000000341</v>
      </c>
    </row>
    <row r="920" spans="1:19" x14ac:dyDescent="0.25">
      <c r="A920" s="2">
        <v>44892</v>
      </c>
      <c r="B920" s="3">
        <v>331</v>
      </c>
      <c r="C920" s="3">
        <v>400</v>
      </c>
      <c r="D920">
        <v>433.55970000000002</v>
      </c>
      <c r="E920">
        <v>3.5999999999999997E-2</v>
      </c>
      <c r="F920">
        <v>427.15170000000001</v>
      </c>
      <c r="G920">
        <v>435.24720000000002</v>
      </c>
      <c r="H920">
        <v>438.2801</v>
      </c>
      <c r="I920">
        <v>4.4999999999999998E-2</v>
      </c>
      <c r="J920">
        <v>0.03</v>
      </c>
      <c r="K920">
        <v>3.1E-2</v>
      </c>
      <c r="L920">
        <v>2260.8000000000002</v>
      </c>
      <c r="M920">
        <v>2269</v>
      </c>
      <c r="N920">
        <v>2285.6</v>
      </c>
      <c r="Q920">
        <f t="shared" si="69"/>
        <v>433.6</v>
      </c>
      <c r="R920">
        <f t="shared" si="67"/>
        <v>433.6</v>
      </c>
      <c r="S920">
        <f t="shared" si="68"/>
        <v>2.5</v>
      </c>
    </row>
    <row r="921" spans="1:19" x14ac:dyDescent="0.25">
      <c r="A921" s="2">
        <v>44892</v>
      </c>
      <c r="B921" s="3">
        <v>331</v>
      </c>
      <c r="C921" s="3">
        <v>500</v>
      </c>
      <c r="D921">
        <v>435.88029999999998</v>
      </c>
      <c r="E921">
        <v>0.14000000000000001</v>
      </c>
      <c r="F921">
        <v>429.4323</v>
      </c>
      <c r="G921">
        <v>437.59390000000002</v>
      </c>
      <c r="H921">
        <v>440.61470000000003</v>
      </c>
      <c r="I921">
        <v>0.14099999999999999</v>
      </c>
      <c r="J921">
        <v>0.14299999999999999</v>
      </c>
      <c r="K921">
        <v>0.13700000000000001</v>
      </c>
      <c r="L921">
        <v>2266</v>
      </c>
      <c r="M921">
        <v>2274</v>
      </c>
      <c r="N921">
        <v>2290.6</v>
      </c>
      <c r="Q921">
        <f t="shared" si="69"/>
        <v>435.9</v>
      </c>
      <c r="R921">
        <f t="shared" si="67"/>
        <v>435.9</v>
      </c>
      <c r="S921">
        <f t="shared" si="68"/>
        <v>2.2999999999999545</v>
      </c>
    </row>
    <row r="922" spans="1:19" x14ac:dyDescent="0.25">
      <c r="A922" s="2">
        <v>44892</v>
      </c>
      <c r="B922" s="3">
        <v>331</v>
      </c>
      <c r="C922" s="3">
        <v>600</v>
      </c>
      <c r="D922">
        <v>440.11720000000003</v>
      </c>
      <c r="E922">
        <v>4.2000000000000003E-2</v>
      </c>
      <c r="F922">
        <v>433.67439999999999</v>
      </c>
      <c r="G922">
        <v>441.7878</v>
      </c>
      <c r="H922">
        <v>444.88959999999997</v>
      </c>
      <c r="I922">
        <v>3.5000000000000003E-2</v>
      </c>
      <c r="J922">
        <v>0.04</v>
      </c>
      <c r="K922">
        <v>0.05</v>
      </c>
      <c r="L922">
        <v>2273.8000000000002</v>
      </c>
      <c r="M922">
        <v>2281.8000000000002</v>
      </c>
      <c r="N922">
        <v>2298.6</v>
      </c>
      <c r="Q922">
        <f t="shared" si="69"/>
        <v>440.1</v>
      </c>
      <c r="R922">
        <f t="shared" si="67"/>
        <v>440.1</v>
      </c>
      <c r="S922">
        <f t="shared" si="68"/>
        <v>4.2000000000000455</v>
      </c>
    </row>
    <row r="923" spans="1:19" x14ac:dyDescent="0.25">
      <c r="A923" s="2">
        <v>44892</v>
      </c>
      <c r="B923" s="3">
        <v>331</v>
      </c>
      <c r="C923" s="3">
        <v>700</v>
      </c>
      <c r="D923">
        <v>440.40640000000002</v>
      </c>
      <c r="E923">
        <v>0.05</v>
      </c>
      <c r="F923">
        <v>433.98149999999998</v>
      </c>
      <c r="G923">
        <v>442.06130000000002</v>
      </c>
      <c r="H923">
        <v>445.1764</v>
      </c>
      <c r="I923">
        <v>4.9000000000000002E-2</v>
      </c>
      <c r="J923">
        <v>5.0999999999999997E-2</v>
      </c>
      <c r="K923">
        <v>0.05</v>
      </c>
      <c r="L923">
        <v>2274.1999999999998</v>
      </c>
      <c r="M923">
        <v>2282.4</v>
      </c>
      <c r="N923">
        <v>2299</v>
      </c>
      <c r="Q923">
        <f t="shared" si="69"/>
        <v>440.4</v>
      </c>
      <c r="R923">
        <f t="shared" si="67"/>
        <v>440.4</v>
      </c>
      <c r="S923">
        <f t="shared" si="68"/>
        <v>0.29999999999995453</v>
      </c>
    </row>
    <row r="924" spans="1:19" x14ac:dyDescent="0.25">
      <c r="A924" s="2">
        <v>44892</v>
      </c>
      <c r="B924" s="3">
        <v>331</v>
      </c>
      <c r="C924" s="3">
        <v>800</v>
      </c>
      <c r="D924">
        <v>440.41480000000001</v>
      </c>
      <c r="E924">
        <v>4.9000000000000002E-2</v>
      </c>
      <c r="F924">
        <v>433.99939999999998</v>
      </c>
      <c r="G924">
        <v>442.05410000000001</v>
      </c>
      <c r="H924">
        <v>445.19080000000002</v>
      </c>
      <c r="I924">
        <v>4.5999999999999999E-2</v>
      </c>
      <c r="J924">
        <v>5.0999999999999997E-2</v>
      </c>
      <c r="K924">
        <v>5.0999999999999997E-2</v>
      </c>
      <c r="L924">
        <v>2274.6</v>
      </c>
      <c r="M924">
        <v>2282.4</v>
      </c>
      <c r="N924">
        <v>2299</v>
      </c>
      <c r="Q924">
        <f t="shared" si="69"/>
        <v>440.4</v>
      </c>
      <c r="R924">
        <f t="shared" si="67"/>
        <v>440.4</v>
      </c>
      <c r="S924">
        <f t="shared" si="68"/>
        <v>0</v>
      </c>
    </row>
    <row r="925" spans="1:19" x14ac:dyDescent="0.25">
      <c r="A925" s="2">
        <v>44892</v>
      </c>
      <c r="B925" s="3">
        <v>331</v>
      </c>
      <c r="C925" s="3">
        <v>900</v>
      </c>
      <c r="D925">
        <v>440.3811</v>
      </c>
      <c r="E925">
        <v>3.9E-2</v>
      </c>
      <c r="F925">
        <v>433.97609999999997</v>
      </c>
      <c r="G925">
        <v>442.0883</v>
      </c>
      <c r="H925">
        <v>445.07889999999998</v>
      </c>
      <c r="I925">
        <v>2.3E-2</v>
      </c>
      <c r="J925">
        <v>3.6999999999999998E-2</v>
      </c>
      <c r="K925">
        <v>5.0999999999999997E-2</v>
      </c>
      <c r="L925">
        <v>2274.4</v>
      </c>
      <c r="M925">
        <v>2282.4</v>
      </c>
      <c r="N925">
        <v>2298.8000000000002</v>
      </c>
      <c r="Q925">
        <f t="shared" si="69"/>
        <v>440.4</v>
      </c>
      <c r="R925">
        <f t="shared" si="67"/>
        <v>440.4</v>
      </c>
      <c r="S925">
        <f t="shared" si="68"/>
        <v>0</v>
      </c>
    </row>
    <row r="926" spans="1:19" x14ac:dyDescent="0.25">
      <c r="A926" s="2">
        <v>44892</v>
      </c>
      <c r="B926" s="3">
        <v>331</v>
      </c>
      <c r="C926" s="3">
        <v>1000</v>
      </c>
      <c r="D926">
        <v>440.40100000000001</v>
      </c>
      <c r="E926">
        <v>3.1E-2</v>
      </c>
      <c r="F926">
        <v>433.97609999999997</v>
      </c>
      <c r="G926">
        <v>442.1028</v>
      </c>
      <c r="H926">
        <v>445.12400000000002</v>
      </c>
      <c r="I926">
        <v>0.03</v>
      </c>
      <c r="J926">
        <v>0.03</v>
      </c>
      <c r="K926">
        <v>3.4000000000000002E-2</v>
      </c>
      <c r="L926">
        <v>2274.4</v>
      </c>
      <c r="M926">
        <v>2282.1999999999998</v>
      </c>
      <c r="N926">
        <v>2299</v>
      </c>
      <c r="Q926">
        <f t="shared" si="69"/>
        <v>440.4</v>
      </c>
      <c r="R926">
        <f t="shared" si="67"/>
        <v>440.4</v>
      </c>
      <c r="S926">
        <f t="shared" si="68"/>
        <v>0</v>
      </c>
    </row>
    <row r="927" spans="1:19" x14ac:dyDescent="0.25">
      <c r="A927" s="2">
        <v>44892</v>
      </c>
      <c r="B927" s="3">
        <v>331</v>
      </c>
      <c r="C927" s="3">
        <v>1100</v>
      </c>
      <c r="D927">
        <v>440.42140000000001</v>
      </c>
      <c r="E927">
        <v>3.7999999999999999E-2</v>
      </c>
      <c r="F927">
        <v>433.99939999999998</v>
      </c>
      <c r="G927">
        <v>442.10640000000001</v>
      </c>
      <c r="H927">
        <v>445.1583</v>
      </c>
      <c r="I927">
        <v>4.5999999999999999E-2</v>
      </c>
      <c r="J927">
        <v>2.3E-2</v>
      </c>
      <c r="K927">
        <v>4.2000000000000003E-2</v>
      </c>
      <c r="L927">
        <v>2274.4</v>
      </c>
      <c r="M927">
        <v>2282.4</v>
      </c>
      <c r="N927">
        <v>2299</v>
      </c>
      <c r="Q927">
        <f t="shared" si="69"/>
        <v>440.4</v>
      </c>
      <c r="R927">
        <f t="shared" si="67"/>
        <v>440.4</v>
      </c>
      <c r="S927">
        <f t="shared" si="68"/>
        <v>0</v>
      </c>
    </row>
    <row r="928" spans="1:19" x14ac:dyDescent="0.25">
      <c r="A928" s="2">
        <v>44892</v>
      </c>
      <c r="B928" s="3">
        <v>331</v>
      </c>
      <c r="C928" s="3">
        <v>1200</v>
      </c>
      <c r="D928">
        <v>440.44779999999997</v>
      </c>
      <c r="E928">
        <v>4.7E-2</v>
      </c>
      <c r="F928">
        <v>434.0136</v>
      </c>
      <c r="G928">
        <v>442.12619999999998</v>
      </c>
      <c r="H928">
        <v>445.20339999999999</v>
      </c>
      <c r="I928">
        <v>0.05</v>
      </c>
      <c r="J928">
        <v>4.2000000000000003E-2</v>
      </c>
      <c r="K928">
        <v>4.9000000000000002E-2</v>
      </c>
      <c r="L928">
        <v>2274.6</v>
      </c>
      <c r="M928">
        <v>2282.6</v>
      </c>
      <c r="N928">
        <v>2299</v>
      </c>
      <c r="Q928">
        <f t="shared" si="69"/>
        <v>440.4</v>
      </c>
      <c r="R928">
        <f t="shared" si="67"/>
        <v>440.4</v>
      </c>
      <c r="S928">
        <f t="shared" si="68"/>
        <v>0</v>
      </c>
    </row>
    <row r="929" spans="1:19" x14ac:dyDescent="0.25">
      <c r="A929" s="2">
        <v>44892</v>
      </c>
      <c r="B929" s="3">
        <v>331</v>
      </c>
      <c r="C929" s="3">
        <v>1300</v>
      </c>
      <c r="D929">
        <v>440.83420000000001</v>
      </c>
      <c r="E929">
        <v>4.1000000000000002E-2</v>
      </c>
      <c r="F929">
        <v>434.38869999999997</v>
      </c>
      <c r="G929">
        <v>442.51530000000002</v>
      </c>
      <c r="H929">
        <v>445.59859999999998</v>
      </c>
      <c r="I929">
        <v>3.6999999999999998E-2</v>
      </c>
      <c r="J929">
        <v>3.3000000000000002E-2</v>
      </c>
      <c r="K929">
        <v>5.0999999999999997E-2</v>
      </c>
      <c r="L929">
        <v>2275.4</v>
      </c>
      <c r="M929">
        <v>2283.4</v>
      </c>
      <c r="N929">
        <v>2300</v>
      </c>
      <c r="Q929">
        <f t="shared" si="69"/>
        <v>440.8</v>
      </c>
      <c r="R929">
        <f t="shared" si="67"/>
        <v>440.8</v>
      </c>
      <c r="S929">
        <f t="shared" si="68"/>
        <v>0.40000000000003411</v>
      </c>
    </row>
    <row r="930" spans="1:19" x14ac:dyDescent="0.25">
      <c r="A930" s="2">
        <v>44892</v>
      </c>
      <c r="B930" s="3">
        <v>331</v>
      </c>
      <c r="C930" s="3">
        <v>1400</v>
      </c>
      <c r="D930">
        <v>440.9402</v>
      </c>
      <c r="E930">
        <v>0.04</v>
      </c>
      <c r="F930">
        <v>434.49770000000001</v>
      </c>
      <c r="G930">
        <v>442.61799999999999</v>
      </c>
      <c r="H930">
        <v>445.70499999999998</v>
      </c>
      <c r="I930">
        <v>3.9E-2</v>
      </c>
      <c r="J930">
        <v>2.7E-2</v>
      </c>
      <c r="K930">
        <v>5.0999999999999997E-2</v>
      </c>
      <c r="L930">
        <v>2275.4</v>
      </c>
      <c r="M930">
        <v>2283.4</v>
      </c>
      <c r="N930">
        <v>2300</v>
      </c>
      <c r="Q930">
        <f t="shared" si="69"/>
        <v>440.9</v>
      </c>
      <c r="R930">
        <f t="shared" ref="R930:R993" si="70">ROUND(IF(Q930&lt;R929,R929,Q930),1)</f>
        <v>440.9</v>
      </c>
      <c r="S930">
        <f t="shared" si="68"/>
        <v>9.9999999999965894E-2</v>
      </c>
    </row>
    <row r="931" spans="1:19" x14ac:dyDescent="0.25">
      <c r="A931" s="2">
        <v>44892</v>
      </c>
      <c r="B931" s="3">
        <v>331</v>
      </c>
      <c r="C931" s="3">
        <v>1500</v>
      </c>
      <c r="D931">
        <v>440.97199999999998</v>
      </c>
      <c r="E931">
        <v>4.3999999999999997E-2</v>
      </c>
      <c r="F931">
        <v>434.52089999999998</v>
      </c>
      <c r="G931">
        <v>442.65219999999999</v>
      </c>
      <c r="H931">
        <v>445.74290000000002</v>
      </c>
      <c r="I931">
        <v>0.05</v>
      </c>
      <c r="J931">
        <v>4.8000000000000001E-2</v>
      </c>
      <c r="K931">
        <v>3.2000000000000001E-2</v>
      </c>
      <c r="L931">
        <v>2275.6</v>
      </c>
      <c r="M931">
        <v>2283.4</v>
      </c>
      <c r="N931">
        <v>2300.1999999999998</v>
      </c>
      <c r="Q931">
        <f t="shared" si="69"/>
        <v>441</v>
      </c>
      <c r="R931">
        <f t="shared" si="70"/>
        <v>441</v>
      </c>
      <c r="S931">
        <f t="shared" si="68"/>
        <v>0.10000000000002274</v>
      </c>
    </row>
    <row r="932" spans="1:19" x14ac:dyDescent="0.25">
      <c r="A932" s="2">
        <v>44892</v>
      </c>
      <c r="B932" s="3">
        <v>331</v>
      </c>
      <c r="C932" s="3">
        <v>1600</v>
      </c>
      <c r="D932">
        <v>441.35270000000003</v>
      </c>
      <c r="E932">
        <v>3.5000000000000003E-2</v>
      </c>
      <c r="F932">
        <v>434.87470000000002</v>
      </c>
      <c r="G932">
        <v>443.0127</v>
      </c>
      <c r="H932">
        <v>446.17079999999999</v>
      </c>
      <c r="I932">
        <v>3.7999999999999999E-2</v>
      </c>
      <c r="J932">
        <v>3.6999999999999998E-2</v>
      </c>
      <c r="K932">
        <v>0.03</v>
      </c>
      <c r="L932">
        <v>2276.1999999999998</v>
      </c>
      <c r="M932">
        <v>2284.1999999999998</v>
      </c>
      <c r="N932">
        <v>2301</v>
      </c>
      <c r="Q932">
        <f t="shared" si="69"/>
        <v>441.4</v>
      </c>
      <c r="R932">
        <f t="shared" si="70"/>
        <v>441.4</v>
      </c>
      <c r="S932">
        <f t="shared" si="68"/>
        <v>0.39999999999997726</v>
      </c>
    </row>
    <row r="933" spans="1:19" x14ac:dyDescent="0.25">
      <c r="A933" s="2">
        <v>44892</v>
      </c>
      <c r="B933" s="3">
        <v>331</v>
      </c>
      <c r="C933" s="3">
        <v>1700</v>
      </c>
      <c r="D933">
        <v>442.5763</v>
      </c>
      <c r="E933">
        <v>3.5999999999999997E-2</v>
      </c>
      <c r="F933">
        <v>436.10320000000002</v>
      </c>
      <c r="G933">
        <v>444.24439999999998</v>
      </c>
      <c r="H933">
        <v>447.38119999999998</v>
      </c>
      <c r="I933">
        <v>2.5999999999999999E-2</v>
      </c>
      <c r="J933">
        <v>3.9E-2</v>
      </c>
      <c r="K933">
        <v>4.1000000000000002E-2</v>
      </c>
      <c r="L933">
        <v>2278.6</v>
      </c>
      <c r="M933">
        <v>2286.6</v>
      </c>
      <c r="N933">
        <v>2303.1999999999998</v>
      </c>
      <c r="Q933">
        <f t="shared" si="69"/>
        <v>442.6</v>
      </c>
      <c r="R933">
        <f t="shared" si="70"/>
        <v>442.6</v>
      </c>
      <c r="S933">
        <f t="shared" ref="S933:S996" si="71">IF(R933&gt;R932,R933-R932,0)</f>
        <v>1.2000000000000455</v>
      </c>
    </row>
    <row r="934" spans="1:19" x14ac:dyDescent="0.25">
      <c r="A934" s="2">
        <v>44892</v>
      </c>
      <c r="B934" s="3">
        <v>331</v>
      </c>
      <c r="C934" s="3">
        <v>1800</v>
      </c>
      <c r="D934">
        <v>442.80970000000002</v>
      </c>
      <c r="E934">
        <v>0.04</v>
      </c>
      <c r="F934">
        <v>436.35199999999998</v>
      </c>
      <c r="G934">
        <v>444.4717</v>
      </c>
      <c r="H934">
        <v>447.60539999999997</v>
      </c>
      <c r="I934">
        <v>4.9000000000000002E-2</v>
      </c>
      <c r="J934">
        <v>4.2999999999999997E-2</v>
      </c>
      <c r="K934">
        <v>2.4E-2</v>
      </c>
      <c r="L934">
        <v>2279</v>
      </c>
      <c r="M934">
        <v>2287</v>
      </c>
      <c r="N934">
        <v>2303.8000000000002</v>
      </c>
      <c r="Q934">
        <f t="shared" si="69"/>
        <v>442.8</v>
      </c>
      <c r="R934">
        <f t="shared" si="70"/>
        <v>442.8</v>
      </c>
      <c r="S934">
        <f t="shared" si="71"/>
        <v>0.19999999999998863</v>
      </c>
    </row>
    <row r="935" spans="1:19" x14ac:dyDescent="0.25">
      <c r="A935" s="2">
        <v>44892</v>
      </c>
      <c r="B935" s="3">
        <v>331</v>
      </c>
      <c r="C935" s="3">
        <v>1900</v>
      </c>
      <c r="D935">
        <v>442.81209999999999</v>
      </c>
      <c r="E935">
        <v>4.2999999999999997E-2</v>
      </c>
      <c r="F935">
        <v>436.35550000000001</v>
      </c>
      <c r="G935">
        <v>444.45549999999997</v>
      </c>
      <c r="H935">
        <v>447.62529999999998</v>
      </c>
      <c r="I935">
        <v>0.05</v>
      </c>
      <c r="J935">
        <v>3.9E-2</v>
      </c>
      <c r="K935">
        <v>3.9E-2</v>
      </c>
      <c r="L935">
        <v>2279</v>
      </c>
      <c r="M935">
        <v>2286.8000000000002</v>
      </c>
      <c r="N935">
        <v>2303.8000000000002</v>
      </c>
      <c r="Q935">
        <f t="shared" si="69"/>
        <v>442.8</v>
      </c>
      <c r="R935">
        <f t="shared" si="70"/>
        <v>442.8</v>
      </c>
      <c r="S935">
        <f t="shared" si="71"/>
        <v>0</v>
      </c>
    </row>
    <row r="936" spans="1:19" x14ac:dyDescent="0.25">
      <c r="A936" s="2">
        <v>44892</v>
      </c>
      <c r="B936" s="3">
        <v>331</v>
      </c>
      <c r="C936" s="3">
        <v>2000</v>
      </c>
      <c r="D936">
        <v>442.8211</v>
      </c>
      <c r="E936">
        <v>0.04</v>
      </c>
      <c r="F936">
        <v>436.36450000000002</v>
      </c>
      <c r="G936">
        <v>444.47899999999998</v>
      </c>
      <c r="H936">
        <v>447.61989999999997</v>
      </c>
      <c r="I936">
        <v>5.0999999999999997E-2</v>
      </c>
      <c r="J936">
        <v>3.2000000000000001E-2</v>
      </c>
      <c r="K936">
        <v>3.4000000000000002E-2</v>
      </c>
      <c r="L936">
        <v>2279.1999999999998</v>
      </c>
      <c r="M936">
        <v>2287</v>
      </c>
      <c r="N936">
        <v>2303.8000000000002</v>
      </c>
      <c r="Q936">
        <f t="shared" si="69"/>
        <v>442.8</v>
      </c>
      <c r="R936">
        <f t="shared" si="70"/>
        <v>442.8</v>
      </c>
      <c r="S936">
        <f t="shared" si="71"/>
        <v>0</v>
      </c>
    </row>
    <row r="937" spans="1:19" x14ac:dyDescent="0.25">
      <c r="A937" s="2">
        <v>44892</v>
      </c>
      <c r="B937" s="3">
        <v>331</v>
      </c>
      <c r="C937" s="3">
        <v>2100</v>
      </c>
      <c r="D937">
        <v>443.21019999999999</v>
      </c>
      <c r="E937">
        <v>4.1000000000000002E-2</v>
      </c>
      <c r="F937">
        <v>436.7278</v>
      </c>
      <c r="G937">
        <v>444.90320000000003</v>
      </c>
      <c r="H937">
        <v>447.99959999999999</v>
      </c>
      <c r="I937">
        <v>3.5000000000000003E-2</v>
      </c>
      <c r="J937">
        <v>4.2999999999999997E-2</v>
      </c>
      <c r="K937">
        <v>4.4999999999999998E-2</v>
      </c>
      <c r="L937">
        <v>2279.8000000000002</v>
      </c>
      <c r="M937">
        <v>2288</v>
      </c>
      <c r="N937">
        <v>2304.6</v>
      </c>
      <c r="Q937">
        <f t="shared" si="69"/>
        <v>443.2</v>
      </c>
      <c r="R937">
        <f t="shared" si="70"/>
        <v>443.2</v>
      </c>
      <c r="S937">
        <f t="shared" si="71"/>
        <v>0.39999999999997726</v>
      </c>
    </row>
    <row r="938" spans="1:19" x14ac:dyDescent="0.25">
      <c r="A938" s="2">
        <v>44892</v>
      </c>
      <c r="B938" s="3">
        <v>331</v>
      </c>
      <c r="C938" s="3">
        <v>2200</v>
      </c>
      <c r="D938">
        <v>443.54649999999998</v>
      </c>
      <c r="E938">
        <v>4.2999999999999997E-2</v>
      </c>
      <c r="F938">
        <v>437.0806</v>
      </c>
      <c r="G938">
        <v>445.22640000000001</v>
      </c>
      <c r="H938">
        <v>448.33240000000001</v>
      </c>
      <c r="I938">
        <v>5.0999999999999997E-2</v>
      </c>
      <c r="J938">
        <v>0.05</v>
      </c>
      <c r="K938">
        <v>1.9E-2</v>
      </c>
      <c r="L938">
        <v>2280.6</v>
      </c>
      <c r="M938">
        <v>2288.6</v>
      </c>
      <c r="N938">
        <v>2305.1999999999998</v>
      </c>
      <c r="Q938">
        <f t="shared" si="69"/>
        <v>443.5</v>
      </c>
      <c r="R938">
        <f t="shared" si="70"/>
        <v>443.5</v>
      </c>
      <c r="S938">
        <f t="shared" si="71"/>
        <v>0.30000000000001137</v>
      </c>
    </row>
    <row r="939" spans="1:19" x14ac:dyDescent="0.25">
      <c r="A939" s="2">
        <v>44892</v>
      </c>
      <c r="B939" s="3">
        <v>331</v>
      </c>
      <c r="C939" s="3">
        <v>2300</v>
      </c>
      <c r="D939">
        <v>443.54829999999998</v>
      </c>
      <c r="E939">
        <v>4.7E-2</v>
      </c>
      <c r="F939">
        <v>437.06979999999999</v>
      </c>
      <c r="G939">
        <v>445.22640000000001</v>
      </c>
      <c r="H939">
        <v>448.34870000000001</v>
      </c>
      <c r="I939">
        <v>0.05</v>
      </c>
      <c r="J939">
        <v>0.05</v>
      </c>
      <c r="K939">
        <v>4.1000000000000002E-2</v>
      </c>
      <c r="L939">
        <v>2280.4</v>
      </c>
      <c r="M939">
        <v>2288.4</v>
      </c>
      <c r="N939">
        <v>2305.1999999999998</v>
      </c>
      <c r="Q939">
        <f t="shared" si="69"/>
        <v>443.5</v>
      </c>
      <c r="R939">
        <f t="shared" si="70"/>
        <v>443.5</v>
      </c>
      <c r="S939">
        <f t="shared" si="71"/>
        <v>0</v>
      </c>
    </row>
    <row r="940" spans="1:19" x14ac:dyDescent="0.25">
      <c r="A940" s="2">
        <v>44892</v>
      </c>
      <c r="B940" s="3">
        <v>331</v>
      </c>
      <c r="C940" s="3">
        <v>2400</v>
      </c>
      <c r="D940">
        <v>443.5856</v>
      </c>
      <c r="E940">
        <v>4.7E-2</v>
      </c>
      <c r="F940">
        <v>437.0949</v>
      </c>
      <c r="G940">
        <v>445.26799999999997</v>
      </c>
      <c r="H940">
        <v>448.39400000000001</v>
      </c>
      <c r="I940">
        <v>4.9000000000000002E-2</v>
      </c>
      <c r="J940">
        <v>4.2999999999999997E-2</v>
      </c>
      <c r="K940">
        <v>0.05</v>
      </c>
      <c r="L940">
        <v>2280.6</v>
      </c>
      <c r="M940">
        <v>2288.6</v>
      </c>
      <c r="N940">
        <v>2305.4</v>
      </c>
      <c r="Q940">
        <f t="shared" si="69"/>
        <v>443.6</v>
      </c>
      <c r="R940">
        <f t="shared" si="70"/>
        <v>443.6</v>
      </c>
      <c r="S940">
        <f t="shared" si="71"/>
        <v>0.10000000000002274</v>
      </c>
    </row>
    <row r="941" spans="1:19" x14ac:dyDescent="0.25">
      <c r="A941" s="2">
        <v>44893</v>
      </c>
      <c r="B941" s="3">
        <v>332</v>
      </c>
      <c r="C941" s="3">
        <v>100</v>
      </c>
      <c r="D941">
        <v>444.03199999999998</v>
      </c>
      <c r="E941">
        <v>6.0999999999999999E-2</v>
      </c>
      <c r="F941">
        <v>437.55160000000001</v>
      </c>
      <c r="G941">
        <v>445.69420000000002</v>
      </c>
      <c r="H941">
        <v>448.85</v>
      </c>
      <c r="I941">
        <v>6.0999999999999999E-2</v>
      </c>
      <c r="J941">
        <v>6.2E-2</v>
      </c>
      <c r="K941">
        <v>5.8999999999999997E-2</v>
      </c>
      <c r="L941">
        <v>2281.6</v>
      </c>
      <c r="M941">
        <v>2289.6</v>
      </c>
      <c r="N941">
        <v>2306.4</v>
      </c>
      <c r="Q941">
        <f t="shared" si="69"/>
        <v>444</v>
      </c>
      <c r="R941">
        <f t="shared" si="70"/>
        <v>444</v>
      </c>
      <c r="S941">
        <f t="shared" si="71"/>
        <v>0.39999999999997726</v>
      </c>
    </row>
    <row r="942" spans="1:19" x14ac:dyDescent="0.25">
      <c r="A942" s="2">
        <v>44893</v>
      </c>
      <c r="B942" s="3">
        <v>332</v>
      </c>
      <c r="C942" s="3">
        <v>200</v>
      </c>
      <c r="D942">
        <v>445.68090000000001</v>
      </c>
      <c r="E942">
        <v>4.9000000000000002E-2</v>
      </c>
      <c r="F942">
        <v>439.21019999999999</v>
      </c>
      <c r="G942">
        <v>447.38319999999999</v>
      </c>
      <c r="H942">
        <v>450.44940000000003</v>
      </c>
      <c r="I942">
        <v>4.9000000000000002E-2</v>
      </c>
      <c r="J942">
        <v>4.7E-2</v>
      </c>
      <c r="K942">
        <v>5.0999999999999997E-2</v>
      </c>
      <c r="L942">
        <v>2284.6</v>
      </c>
      <c r="M942">
        <v>2292.8000000000002</v>
      </c>
      <c r="N942">
        <v>2309.4</v>
      </c>
      <c r="Q942">
        <f t="shared" si="69"/>
        <v>445.7</v>
      </c>
      <c r="R942">
        <f t="shared" si="70"/>
        <v>445.7</v>
      </c>
      <c r="S942">
        <f t="shared" si="71"/>
        <v>1.6999999999999886</v>
      </c>
    </row>
    <row r="943" spans="1:19" x14ac:dyDescent="0.25">
      <c r="A943" s="2">
        <v>44893</v>
      </c>
      <c r="B943" s="3">
        <v>332</v>
      </c>
      <c r="C943" s="3">
        <v>300</v>
      </c>
      <c r="D943">
        <v>446.67680000000001</v>
      </c>
      <c r="E943">
        <v>4.3999999999999997E-2</v>
      </c>
      <c r="F943">
        <v>440.2414</v>
      </c>
      <c r="G943">
        <v>448.35120000000001</v>
      </c>
      <c r="H943">
        <v>451.43790000000001</v>
      </c>
      <c r="I943">
        <v>5.0999999999999997E-2</v>
      </c>
      <c r="J943">
        <v>4.8000000000000001E-2</v>
      </c>
      <c r="K943">
        <v>3.2000000000000001E-2</v>
      </c>
      <c r="L943">
        <v>2286.8000000000002</v>
      </c>
      <c r="M943">
        <v>2294.6</v>
      </c>
      <c r="N943">
        <v>2311.1999999999998</v>
      </c>
      <c r="Q943">
        <f t="shared" si="69"/>
        <v>446.7</v>
      </c>
      <c r="R943">
        <f t="shared" si="70"/>
        <v>446.7</v>
      </c>
      <c r="S943">
        <f t="shared" si="71"/>
        <v>1</v>
      </c>
    </row>
    <row r="944" spans="1:19" x14ac:dyDescent="0.25">
      <c r="A944" s="2">
        <v>44893</v>
      </c>
      <c r="B944" s="3">
        <v>332</v>
      </c>
      <c r="C944" s="3">
        <v>400</v>
      </c>
      <c r="D944">
        <v>446.95650000000001</v>
      </c>
      <c r="E944">
        <v>4.4999999999999998E-2</v>
      </c>
      <c r="F944">
        <v>440.51740000000001</v>
      </c>
      <c r="G944">
        <v>448.66090000000003</v>
      </c>
      <c r="H944">
        <v>451.69099999999997</v>
      </c>
      <c r="I944">
        <v>3.4000000000000002E-2</v>
      </c>
      <c r="J944">
        <v>4.8000000000000001E-2</v>
      </c>
      <c r="K944">
        <v>5.0999999999999997E-2</v>
      </c>
      <c r="L944">
        <v>2287.1999999999998</v>
      </c>
      <c r="M944">
        <v>2295</v>
      </c>
      <c r="N944">
        <v>2311.6</v>
      </c>
      <c r="Q944">
        <f t="shared" si="69"/>
        <v>447</v>
      </c>
      <c r="R944">
        <f t="shared" si="70"/>
        <v>447</v>
      </c>
      <c r="S944">
        <f t="shared" si="71"/>
        <v>0.30000000000001137</v>
      </c>
    </row>
    <row r="945" spans="1:19" x14ac:dyDescent="0.25">
      <c r="A945" s="2">
        <v>44893</v>
      </c>
      <c r="B945" s="3">
        <v>332</v>
      </c>
      <c r="C945" s="3">
        <v>500</v>
      </c>
      <c r="D945">
        <v>447.06009999999998</v>
      </c>
      <c r="E945">
        <v>4.2000000000000003E-2</v>
      </c>
      <c r="F945">
        <v>440.61799999999999</v>
      </c>
      <c r="G945">
        <v>448.77710000000002</v>
      </c>
      <c r="H945">
        <v>451.78519999999997</v>
      </c>
      <c r="I945">
        <v>3.2000000000000001E-2</v>
      </c>
      <c r="J945">
        <v>4.1000000000000002E-2</v>
      </c>
      <c r="K945">
        <v>5.1999999999999998E-2</v>
      </c>
      <c r="L945">
        <v>2287.4</v>
      </c>
      <c r="M945">
        <v>2295.4</v>
      </c>
      <c r="N945">
        <v>2311.8000000000002</v>
      </c>
      <c r="Q945">
        <f t="shared" si="69"/>
        <v>447.1</v>
      </c>
      <c r="R945">
        <f t="shared" si="70"/>
        <v>447.1</v>
      </c>
      <c r="S945">
        <f t="shared" si="71"/>
        <v>0.10000000000002274</v>
      </c>
    </row>
    <row r="946" spans="1:19" x14ac:dyDescent="0.25">
      <c r="A946" s="2">
        <v>44893</v>
      </c>
      <c r="B946" s="3">
        <v>332</v>
      </c>
      <c r="C946" s="3">
        <v>600</v>
      </c>
      <c r="D946">
        <v>447.14109999999999</v>
      </c>
      <c r="E946">
        <v>4.7E-2</v>
      </c>
      <c r="F946">
        <v>440.69670000000002</v>
      </c>
      <c r="G946">
        <v>448.8417</v>
      </c>
      <c r="H946">
        <v>451.88490000000002</v>
      </c>
      <c r="I946">
        <v>3.9E-2</v>
      </c>
      <c r="J946">
        <v>5.0999999999999997E-2</v>
      </c>
      <c r="K946">
        <v>5.0999999999999997E-2</v>
      </c>
      <c r="L946">
        <v>2287.6</v>
      </c>
      <c r="M946">
        <v>2295.4</v>
      </c>
      <c r="N946">
        <v>2312</v>
      </c>
      <c r="Q946">
        <f t="shared" si="69"/>
        <v>447.1</v>
      </c>
      <c r="R946">
        <f t="shared" si="70"/>
        <v>447.1</v>
      </c>
      <c r="S946">
        <f t="shared" si="71"/>
        <v>0</v>
      </c>
    </row>
    <row r="947" spans="1:19" x14ac:dyDescent="0.25">
      <c r="A947" s="2">
        <v>44893</v>
      </c>
      <c r="B947" s="3">
        <v>332</v>
      </c>
      <c r="C947" s="3">
        <v>700</v>
      </c>
      <c r="D947">
        <v>447.14100000000002</v>
      </c>
      <c r="E947">
        <v>4.2999999999999997E-2</v>
      </c>
      <c r="F947">
        <v>440.71870000000001</v>
      </c>
      <c r="G947">
        <v>448.81029999999998</v>
      </c>
      <c r="H947">
        <v>451.89420000000001</v>
      </c>
      <c r="I947">
        <v>0.04</v>
      </c>
      <c r="J947">
        <v>3.4000000000000002E-2</v>
      </c>
      <c r="K947">
        <v>5.1999999999999998E-2</v>
      </c>
      <c r="L947">
        <v>2287.6</v>
      </c>
      <c r="M947">
        <v>2295.4</v>
      </c>
      <c r="N947">
        <v>2312.1999999999998</v>
      </c>
      <c r="Q947">
        <f t="shared" si="69"/>
        <v>447.1</v>
      </c>
      <c r="R947">
        <f t="shared" si="70"/>
        <v>447.1</v>
      </c>
      <c r="S947">
        <f t="shared" si="71"/>
        <v>0</v>
      </c>
    </row>
    <row r="948" spans="1:19" x14ac:dyDescent="0.25">
      <c r="A948" s="2">
        <v>44893</v>
      </c>
      <c r="B948" s="3">
        <v>332</v>
      </c>
      <c r="C948" s="3">
        <v>800</v>
      </c>
      <c r="D948">
        <v>447.1386</v>
      </c>
      <c r="E948">
        <v>0.04</v>
      </c>
      <c r="F948">
        <v>440.71690000000001</v>
      </c>
      <c r="G948">
        <v>448.80290000000002</v>
      </c>
      <c r="H948">
        <v>451.89600000000002</v>
      </c>
      <c r="I948">
        <v>3.3000000000000002E-2</v>
      </c>
      <c r="J948">
        <v>0.03</v>
      </c>
      <c r="K948">
        <v>5.1999999999999998E-2</v>
      </c>
      <c r="L948">
        <v>2287.6</v>
      </c>
      <c r="M948">
        <v>2295.4</v>
      </c>
      <c r="N948">
        <v>2312.1999999999998</v>
      </c>
      <c r="Q948">
        <f t="shared" si="69"/>
        <v>447.1</v>
      </c>
      <c r="R948">
        <f t="shared" si="70"/>
        <v>447.1</v>
      </c>
      <c r="S948">
        <f t="shared" si="71"/>
        <v>0</v>
      </c>
    </row>
    <row r="949" spans="1:19" x14ac:dyDescent="0.25">
      <c r="A949" s="2">
        <v>44893</v>
      </c>
      <c r="B949" s="3">
        <v>332</v>
      </c>
      <c r="C949" s="3">
        <v>900</v>
      </c>
      <c r="D949">
        <v>447.1361</v>
      </c>
      <c r="E949">
        <v>0.04</v>
      </c>
      <c r="F949">
        <v>440.71870000000001</v>
      </c>
      <c r="G949">
        <v>448.8177</v>
      </c>
      <c r="H949">
        <v>451.87200000000001</v>
      </c>
      <c r="I949">
        <v>2.9000000000000001E-2</v>
      </c>
      <c r="J949">
        <v>4.1000000000000002E-2</v>
      </c>
      <c r="K949">
        <v>4.8000000000000001E-2</v>
      </c>
      <c r="L949">
        <v>2287.6</v>
      </c>
      <c r="M949">
        <v>2295.4</v>
      </c>
      <c r="N949">
        <v>2312</v>
      </c>
      <c r="Q949">
        <f t="shared" si="69"/>
        <v>447.1</v>
      </c>
      <c r="R949">
        <f t="shared" si="70"/>
        <v>447.1</v>
      </c>
      <c r="S949">
        <f t="shared" si="71"/>
        <v>0</v>
      </c>
    </row>
    <row r="950" spans="1:19" x14ac:dyDescent="0.25">
      <c r="A950" s="2">
        <v>44893</v>
      </c>
      <c r="B950" s="3">
        <v>332</v>
      </c>
      <c r="C950" s="3">
        <v>1000</v>
      </c>
      <c r="D950">
        <v>447.11340000000001</v>
      </c>
      <c r="E950">
        <v>3.2000000000000001E-2</v>
      </c>
      <c r="F950">
        <v>440.7004</v>
      </c>
      <c r="G950">
        <v>448.80840000000001</v>
      </c>
      <c r="H950">
        <v>451.83139999999997</v>
      </c>
      <c r="I950">
        <v>2.9000000000000001E-2</v>
      </c>
      <c r="J950">
        <v>3.2000000000000001E-2</v>
      </c>
      <c r="K950">
        <v>3.5000000000000003E-2</v>
      </c>
      <c r="L950">
        <v>2287.6</v>
      </c>
      <c r="M950">
        <v>2295.6</v>
      </c>
      <c r="N950">
        <v>2312</v>
      </c>
      <c r="Q950">
        <f t="shared" si="69"/>
        <v>447.1</v>
      </c>
      <c r="R950">
        <f t="shared" si="70"/>
        <v>447.1</v>
      </c>
      <c r="S950">
        <f t="shared" si="71"/>
        <v>0</v>
      </c>
    </row>
    <row r="951" spans="1:19" x14ac:dyDescent="0.25">
      <c r="A951" s="2">
        <v>44893</v>
      </c>
      <c r="B951" s="3">
        <v>332</v>
      </c>
      <c r="C951" s="3">
        <v>1100</v>
      </c>
      <c r="D951">
        <v>447.09230000000002</v>
      </c>
      <c r="E951">
        <v>4.3999999999999997E-2</v>
      </c>
      <c r="F951">
        <v>440.69869999999997</v>
      </c>
      <c r="G951">
        <v>448.7919</v>
      </c>
      <c r="H951">
        <v>451.78620000000001</v>
      </c>
      <c r="I951">
        <v>4.2000000000000003E-2</v>
      </c>
      <c r="J951">
        <v>3.5999999999999997E-2</v>
      </c>
      <c r="K951">
        <v>5.1999999999999998E-2</v>
      </c>
      <c r="L951">
        <v>2287.6</v>
      </c>
      <c r="M951">
        <v>2295.4</v>
      </c>
      <c r="N951">
        <v>2311.8000000000002</v>
      </c>
      <c r="Q951">
        <f t="shared" si="69"/>
        <v>447.1</v>
      </c>
      <c r="R951">
        <f t="shared" si="70"/>
        <v>447.1</v>
      </c>
      <c r="S951">
        <f t="shared" si="71"/>
        <v>0</v>
      </c>
    </row>
    <row r="952" spans="1:19" x14ac:dyDescent="0.25">
      <c r="A952" s="2">
        <v>44893</v>
      </c>
      <c r="B952" s="3">
        <v>332</v>
      </c>
      <c r="C952" s="3">
        <v>1200</v>
      </c>
      <c r="D952">
        <v>447.16410000000002</v>
      </c>
      <c r="E952">
        <v>5.0999999999999997E-2</v>
      </c>
      <c r="F952">
        <v>440.75990000000002</v>
      </c>
      <c r="G952">
        <v>448.85</v>
      </c>
      <c r="H952">
        <v>451.88229999999999</v>
      </c>
      <c r="I952">
        <v>5.0999999999999997E-2</v>
      </c>
      <c r="J952">
        <v>5.1999999999999998E-2</v>
      </c>
      <c r="K952">
        <v>5.0999999999999997E-2</v>
      </c>
      <c r="L952">
        <v>2287.6</v>
      </c>
      <c r="M952">
        <v>2295.4</v>
      </c>
      <c r="N952">
        <v>2312</v>
      </c>
      <c r="Q952">
        <f t="shared" si="69"/>
        <v>447.2</v>
      </c>
      <c r="R952">
        <f t="shared" si="70"/>
        <v>447.2</v>
      </c>
      <c r="S952">
        <f t="shared" si="71"/>
        <v>9.9999999999965894E-2</v>
      </c>
    </row>
    <row r="953" spans="1:19" x14ac:dyDescent="0.25">
      <c r="A953" s="2">
        <v>44893</v>
      </c>
      <c r="B953" s="3">
        <v>332</v>
      </c>
      <c r="C953" s="3">
        <v>1300</v>
      </c>
      <c r="D953">
        <v>447.28160000000003</v>
      </c>
      <c r="E953">
        <v>4.7E-2</v>
      </c>
      <c r="F953">
        <v>440.85149999999999</v>
      </c>
      <c r="G953">
        <v>448.96420000000001</v>
      </c>
      <c r="H953">
        <v>452.02929999999998</v>
      </c>
      <c r="I953">
        <v>0.05</v>
      </c>
      <c r="J953">
        <v>0.05</v>
      </c>
      <c r="K953">
        <v>3.9E-2</v>
      </c>
      <c r="L953">
        <v>2288</v>
      </c>
      <c r="M953">
        <v>2295.6</v>
      </c>
      <c r="N953">
        <v>2312.4</v>
      </c>
      <c r="Q953">
        <f t="shared" si="69"/>
        <v>447.3</v>
      </c>
      <c r="R953">
        <f t="shared" si="70"/>
        <v>447.3</v>
      </c>
      <c r="S953">
        <f t="shared" si="71"/>
        <v>0.10000000000002274</v>
      </c>
    </row>
    <row r="954" spans="1:19" x14ac:dyDescent="0.25">
      <c r="A954" s="2">
        <v>44893</v>
      </c>
      <c r="B954" s="3">
        <v>332</v>
      </c>
      <c r="C954" s="3">
        <v>1400</v>
      </c>
      <c r="D954">
        <v>447.5077</v>
      </c>
      <c r="E954">
        <v>3.7999999999999999E-2</v>
      </c>
      <c r="F954">
        <v>441.05630000000002</v>
      </c>
      <c r="G954">
        <v>449.20330000000001</v>
      </c>
      <c r="H954">
        <v>452.2636</v>
      </c>
      <c r="I954">
        <v>0.05</v>
      </c>
      <c r="J954">
        <v>3.3000000000000002E-2</v>
      </c>
      <c r="K954">
        <v>2.9000000000000001E-2</v>
      </c>
      <c r="L954">
        <v>2288.1999999999998</v>
      </c>
      <c r="M954">
        <v>2296.1999999999998</v>
      </c>
      <c r="N954">
        <v>2312.8000000000002</v>
      </c>
      <c r="Q954">
        <f t="shared" si="69"/>
        <v>447.5</v>
      </c>
      <c r="R954">
        <f t="shared" si="70"/>
        <v>447.5</v>
      </c>
      <c r="S954">
        <f t="shared" si="71"/>
        <v>0.19999999999998863</v>
      </c>
    </row>
    <row r="955" spans="1:19" x14ac:dyDescent="0.25">
      <c r="A955" s="2">
        <v>44893</v>
      </c>
      <c r="B955" s="3">
        <v>332</v>
      </c>
      <c r="C955" s="3">
        <v>1500</v>
      </c>
      <c r="D955">
        <v>447.59219999999999</v>
      </c>
      <c r="E955">
        <v>3.6999999999999998E-2</v>
      </c>
      <c r="F955">
        <v>441.1318</v>
      </c>
      <c r="G955">
        <v>449.2885</v>
      </c>
      <c r="H955">
        <v>452.3562</v>
      </c>
      <c r="I955">
        <v>3.4000000000000002E-2</v>
      </c>
      <c r="J955">
        <v>4.3999999999999997E-2</v>
      </c>
      <c r="K955">
        <v>3.1E-2</v>
      </c>
      <c r="L955">
        <v>2288.4</v>
      </c>
      <c r="M955">
        <v>2296.4</v>
      </c>
      <c r="N955">
        <v>2313</v>
      </c>
      <c r="Q955">
        <f t="shared" si="69"/>
        <v>447.6</v>
      </c>
      <c r="R955">
        <f t="shared" si="70"/>
        <v>447.6</v>
      </c>
      <c r="S955">
        <f t="shared" si="71"/>
        <v>0.10000000000002274</v>
      </c>
    </row>
    <row r="956" spans="1:19" x14ac:dyDescent="0.25">
      <c r="A956" s="2">
        <v>44893</v>
      </c>
      <c r="B956" s="3">
        <v>332</v>
      </c>
      <c r="C956" s="3">
        <v>1600</v>
      </c>
      <c r="D956">
        <v>447.63690000000003</v>
      </c>
      <c r="E956">
        <v>4.8000000000000001E-2</v>
      </c>
      <c r="F956">
        <v>441.17779999999999</v>
      </c>
      <c r="G956">
        <v>449.33240000000001</v>
      </c>
      <c r="H956">
        <v>452.40050000000002</v>
      </c>
      <c r="I956">
        <v>5.0999999999999997E-2</v>
      </c>
      <c r="J956">
        <v>0.04</v>
      </c>
      <c r="K956">
        <v>5.0999999999999997E-2</v>
      </c>
      <c r="L956">
        <v>2288.6</v>
      </c>
      <c r="M956">
        <v>2296.4</v>
      </c>
      <c r="N956">
        <v>2313</v>
      </c>
      <c r="Q956">
        <f t="shared" si="69"/>
        <v>447.6</v>
      </c>
      <c r="R956">
        <f t="shared" si="70"/>
        <v>447.6</v>
      </c>
      <c r="S956">
        <f t="shared" si="71"/>
        <v>0</v>
      </c>
    </row>
    <row r="957" spans="1:19" x14ac:dyDescent="0.25">
      <c r="A957" s="2">
        <v>44893</v>
      </c>
      <c r="B957" s="3">
        <v>332</v>
      </c>
      <c r="C957" s="3">
        <v>1700</v>
      </c>
      <c r="D957">
        <v>447.6934</v>
      </c>
      <c r="E957">
        <v>3.3000000000000002E-2</v>
      </c>
      <c r="F957">
        <v>441.23090000000002</v>
      </c>
      <c r="G957">
        <v>449.39330000000001</v>
      </c>
      <c r="H957">
        <v>452.45589999999999</v>
      </c>
      <c r="I957">
        <v>2.9000000000000001E-2</v>
      </c>
      <c r="J957">
        <v>4.3999999999999997E-2</v>
      </c>
      <c r="K957">
        <v>2.3E-2</v>
      </c>
      <c r="L957">
        <v>2288.6</v>
      </c>
      <c r="M957">
        <v>2296.6</v>
      </c>
      <c r="N957">
        <v>2313.1999999999998</v>
      </c>
      <c r="Q957">
        <f t="shared" si="69"/>
        <v>447.7</v>
      </c>
      <c r="R957">
        <f t="shared" si="70"/>
        <v>447.7</v>
      </c>
      <c r="S957">
        <f t="shared" si="71"/>
        <v>9.9999999999965894E-2</v>
      </c>
    </row>
    <row r="958" spans="1:19" x14ac:dyDescent="0.25">
      <c r="A958" s="2">
        <v>44893</v>
      </c>
      <c r="B958" s="3">
        <v>332</v>
      </c>
      <c r="C958" s="3">
        <v>1800</v>
      </c>
      <c r="D958">
        <v>447.70499999999998</v>
      </c>
      <c r="E958">
        <v>3.6999999999999998E-2</v>
      </c>
      <c r="F958">
        <v>441.24740000000003</v>
      </c>
      <c r="G958">
        <v>449.40440000000001</v>
      </c>
      <c r="H958">
        <v>452.4633</v>
      </c>
      <c r="I958">
        <v>4.3999999999999997E-2</v>
      </c>
      <c r="J958">
        <v>3.4000000000000002E-2</v>
      </c>
      <c r="K958">
        <v>3.1E-2</v>
      </c>
      <c r="L958">
        <v>2288.6</v>
      </c>
      <c r="M958">
        <v>2296.6</v>
      </c>
      <c r="N958">
        <v>2313.1999999999998</v>
      </c>
      <c r="Q958">
        <f t="shared" si="69"/>
        <v>447.7</v>
      </c>
      <c r="R958">
        <f t="shared" si="70"/>
        <v>447.7</v>
      </c>
      <c r="S958">
        <f t="shared" si="71"/>
        <v>0</v>
      </c>
    </row>
    <row r="959" spans="1:19" x14ac:dyDescent="0.25">
      <c r="A959" s="2">
        <v>44893</v>
      </c>
      <c r="B959" s="3">
        <v>332</v>
      </c>
      <c r="C959" s="3">
        <v>1900</v>
      </c>
      <c r="D959">
        <v>447.72469999999998</v>
      </c>
      <c r="E959">
        <v>3.9E-2</v>
      </c>
      <c r="F959">
        <v>441.27300000000002</v>
      </c>
      <c r="G959">
        <v>449.42290000000003</v>
      </c>
      <c r="H959">
        <v>452.47809999999998</v>
      </c>
      <c r="I959">
        <v>5.0999999999999997E-2</v>
      </c>
      <c r="J959">
        <v>2.3E-2</v>
      </c>
      <c r="K959">
        <v>3.7999999999999999E-2</v>
      </c>
      <c r="L959">
        <v>2288.6</v>
      </c>
      <c r="M959">
        <v>2296.6</v>
      </c>
      <c r="N959">
        <v>2313.4</v>
      </c>
      <c r="Q959">
        <f t="shared" si="69"/>
        <v>447.7</v>
      </c>
      <c r="R959">
        <f t="shared" si="70"/>
        <v>447.7</v>
      </c>
      <c r="S959">
        <f t="shared" si="71"/>
        <v>0</v>
      </c>
    </row>
    <row r="960" spans="1:19" x14ac:dyDescent="0.25">
      <c r="A960" s="2">
        <v>44893</v>
      </c>
      <c r="B960" s="3">
        <v>332</v>
      </c>
      <c r="C960" s="3">
        <v>2000</v>
      </c>
      <c r="D960">
        <v>447.73020000000002</v>
      </c>
      <c r="E960">
        <v>3.9E-2</v>
      </c>
      <c r="F960">
        <v>441.2876</v>
      </c>
      <c r="G960">
        <v>449.42469999999997</v>
      </c>
      <c r="H960">
        <v>452.47809999999998</v>
      </c>
      <c r="I960">
        <v>4.9000000000000002E-2</v>
      </c>
      <c r="J960">
        <v>2.7E-2</v>
      </c>
      <c r="K960">
        <v>3.7999999999999999E-2</v>
      </c>
      <c r="L960">
        <v>2288.8000000000002</v>
      </c>
      <c r="M960">
        <v>2296.6</v>
      </c>
      <c r="N960">
        <v>2313.1999999999998</v>
      </c>
      <c r="Q960">
        <f t="shared" si="69"/>
        <v>447.7</v>
      </c>
      <c r="R960">
        <f t="shared" si="70"/>
        <v>447.7</v>
      </c>
      <c r="S960">
        <f t="shared" si="71"/>
        <v>0</v>
      </c>
    </row>
    <row r="961" spans="1:19" x14ac:dyDescent="0.25">
      <c r="A961" s="2">
        <v>44893</v>
      </c>
      <c r="B961" s="3">
        <v>332</v>
      </c>
      <c r="C961" s="3">
        <v>2100</v>
      </c>
      <c r="D961">
        <v>447.72030000000001</v>
      </c>
      <c r="E961">
        <v>3.9E-2</v>
      </c>
      <c r="F961">
        <v>441.27850000000001</v>
      </c>
      <c r="G961">
        <v>449.41550000000001</v>
      </c>
      <c r="H961">
        <v>452.46699999999998</v>
      </c>
      <c r="I961">
        <v>5.0999999999999997E-2</v>
      </c>
      <c r="J961">
        <v>3.6999999999999998E-2</v>
      </c>
      <c r="K961">
        <v>2.3E-2</v>
      </c>
      <c r="L961">
        <v>2288.8000000000002</v>
      </c>
      <c r="M961">
        <v>2296.6</v>
      </c>
      <c r="N961">
        <v>2313.1999999999998</v>
      </c>
      <c r="Q961">
        <f t="shared" si="69"/>
        <v>447.7</v>
      </c>
      <c r="R961">
        <f t="shared" si="70"/>
        <v>447.7</v>
      </c>
      <c r="S961">
        <f t="shared" si="71"/>
        <v>0</v>
      </c>
    </row>
    <row r="962" spans="1:19" x14ac:dyDescent="0.25">
      <c r="A962" s="2">
        <v>44893</v>
      </c>
      <c r="B962" s="3">
        <v>332</v>
      </c>
      <c r="C962" s="3">
        <v>2200</v>
      </c>
      <c r="D962">
        <v>447.70679999999999</v>
      </c>
      <c r="E962">
        <v>0.04</v>
      </c>
      <c r="F962">
        <v>441.26389999999998</v>
      </c>
      <c r="G962">
        <v>449.40069999999997</v>
      </c>
      <c r="H962">
        <v>452.45589999999999</v>
      </c>
      <c r="I962">
        <v>0.05</v>
      </c>
      <c r="J962">
        <v>3.7999999999999999E-2</v>
      </c>
      <c r="K962">
        <v>0.03</v>
      </c>
      <c r="L962">
        <v>2288.6</v>
      </c>
      <c r="M962">
        <v>2296.6</v>
      </c>
      <c r="N962">
        <v>2313.1999999999998</v>
      </c>
      <c r="Q962">
        <f t="shared" si="69"/>
        <v>447.7</v>
      </c>
      <c r="R962">
        <f t="shared" si="70"/>
        <v>447.7</v>
      </c>
      <c r="S962">
        <f t="shared" si="71"/>
        <v>0</v>
      </c>
    </row>
    <row r="963" spans="1:19" x14ac:dyDescent="0.25">
      <c r="A963" s="2">
        <v>44893</v>
      </c>
      <c r="B963" s="3">
        <v>332</v>
      </c>
      <c r="C963" s="3">
        <v>2300</v>
      </c>
      <c r="D963">
        <v>447.70190000000002</v>
      </c>
      <c r="E963">
        <v>4.3999999999999997E-2</v>
      </c>
      <c r="F963">
        <v>441.26569999999998</v>
      </c>
      <c r="G963">
        <v>449.38780000000003</v>
      </c>
      <c r="H963">
        <v>452.4522</v>
      </c>
      <c r="I963">
        <v>5.0999999999999997E-2</v>
      </c>
      <c r="J963">
        <v>4.7E-2</v>
      </c>
      <c r="K963">
        <v>0.03</v>
      </c>
      <c r="L963">
        <v>2288.8000000000002</v>
      </c>
      <c r="M963">
        <v>2296.6</v>
      </c>
      <c r="N963">
        <v>2313.1999999999998</v>
      </c>
      <c r="Q963">
        <f t="shared" si="69"/>
        <v>447.7</v>
      </c>
      <c r="R963">
        <f t="shared" si="70"/>
        <v>447.7</v>
      </c>
      <c r="S963">
        <f t="shared" si="71"/>
        <v>0</v>
      </c>
    </row>
    <row r="964" spans="1:19" x14ac:dyDescent="0.25">
      <c r="A964" s="2">
        <v>44893</v>
      </c>
      <c r="B964" s="3">
        <v>332</v>
      </c>
      <c r="C964" s="3">
        <v>2400</v>
      </c>
      <c r="D964">
        <v>447.69819999999999</v>
      </c>
      <c r="E964">
        <v>4.3999999999999997E-2</v>
      </c>
      <c r="F964">
        <v>441.2602</v>
      </c>
      <c r="G964">
        <v>449.38409999999999</v>
      </c>
      <c r="H964">
        <v>452.4504</v>
      </c>
      <c r="I964">
        <v>0.05</v>
      </c>
      <c r="J964">
        <v>4.8000000000000001E-2</v>
      </c>
      <c r="K964">
        <v>3.2000000000000001E-2</v>
      </c>
      <c r="L964">
        <v>2288.6</v>
      </c>
      <c r="M964">
        <v>2296.4</v>
      </c>
      <c r="N964">
        <v>2313.1999999999998</v>
      </c>
      <c r="Q964">
        <f t="shared" si="69"/>
        <v>447.7</v>
      </c>
      <c r="R964">
        <f t="shared" si="70"/>
        <v>447.7</v>
      </c>
      <c r="S964">
        <f t="shared" si="71"/>
        <v>0</v>
      </c>
    </row>
    <row r="965" spans="1:19" x14ac:dyDescent="0.25">
      <c r="A965" s="2">
        <v>44894</v>
      </c>
      <c r="B965" s="3">
        <v>333</v>
      </c>
      <c r="C965" s="3">
        <v>100</v>
      </c>
      <c r="D965">
        <v>447.69819999999999</v>
      </c>
      <c r="E965">
        <v>0.04</v>
      </c>
      <c r="F965">
        <v>441.25290000000001</v>
      </c>
      <c r="G965">
        <v>449.38409999999999</v>
      </c>
      <c r="H965">
        <v>452.45780000000002</v>
      </c>
      <c r="I965">
        <v>4.7E-2</v>
      </c>
      <c r="J965">
        <v>4.8000000000000001E-2</v>
      </c>
      <c r="K965">
        <v>1.9E-2</v>
      </c>
      <c r="L965">
        <v>2288.6</v>
      </c>
      <c r="M965">
        <v>2296.4</v>
      </c>
      <c r="N965">
        <v>2313.1999999999998</v>
      </c>
      <c r="Q965">
        <f t="shared" si="69"/>
        <v>447.7</v>
      </c>
      <c r="R965">
        <f t="shared" si="70"/>
        <v>447.7</v>
      </c>
      <c r="S965">
        <f t="shared" si="71"/>
        <v>0</v>
      </c>
    </row>
    <row r="966" spans="1:19" x14ac:dyDescent="0.25">
      <c r="A966" s="2">
        <v>44894</v>
      </c>
      <c r="B966" s="3">
        <v>333</v>
      </c>
      <c r="C966" s="3">
        <v>200</v>
      </c>
      <c r="D966">
        <v>447.59359999999998</v>
      </c>
      <c r="E966">
        <v>4.4999999999999998E-2</v>
      </c>
      <c r="F966">
        <v>441.06439999999998</v>
      </c>
      <c r="G966">
        <v>449.2253</v>
      </c>
      <c r="H966">
        <v>452.49110000000002</v>
      </c>
      <c r="I966">
        <v>5.0999999999999997E-2</v>
      </c>
      <c r="J966">
        <v>3.5999999999999997E-2</v>
      </c>
      <c r="K966">
        <v>4.7E-2</v>
      </c>
      <c r="L966">
        <v>2288.1999999999998</v>
      </c>
      <c r="M966">
        <v>2296.1999999999998</v>
      </c>
      <c r="N966">
        <v>2313.1999999999998</v>
      </c>
      <c r="Q966">
        <f t="shared" si="69"/>
        <v>447.6</v>
      </c>
      <c r="R966">
        <f t="shared" si="70"/>
        <v>447.7</v>
      </c>
      <c r="S966">
        <f t="shared" si="71"/>
        <v>0</v>
      </c>
    </row>
    <row r="967" spans="1:19" x14ac:dyDescent="0.25">
      <c r="A967" s="2">
        <v>44894</v>
      </c>
      <c r="B967" s="3">
        <v>333</v>
      </c>
      <c r="C967" s="3">
        <v>300</v>
      </c>
      <c r="D967">
        <v>447.6173</v>
      </c>
      <c r="E967">
        <v>0.05</v>
      </c>
      <c r="F967">
        <v>441.15769999999998</v>
      </c>
      <c r="G967">
        <v>449.1737</v>
      </c>
      <c r="H967">
        <v>452.5206</v>
      </c>
      <c r="I967">
        <v>0.05</v>
      </c>
      <c r="J967">
        <v>4.9000000000000002E-2</v>
      </c>
      <c r="K967">
        <v>5.0999999999999997E-2</v>
      </c>
      <c r="L967">
        <v>2288.6</v>
      </c>
      <c r="M967">
        <v>2296</v>
      </c>
      <c r="N967">
        <v>2313.4</v>
      </c>
      <c r="Q967">
        <f t="shared" si="69"/>
        <v>447.6</v>
      </c>
      <c r="R967">
        <f t="shared" si="70"/>
        <v>447.7</v>
      </c>
      <c r="S967">
        <f t="shared" si="71"/>
        <v>0</v>
      </c>
    </row>
    <row r="968" spans="1:19" x14ac:dyDescent="0.25">
      <c r="A968" s="2">
        <v>44894</v>
      </c>
      <c r="B968" s="3">
        <v>333</v>
      </c>
      <c r="C968" s="3">
        <v>400</v>
      </c>
      <c r="D968">
        <v>447.61610000000002</v>
      </c>
      <c r="E968">
        <v>0.05</v>
      </c>
      <c r="F968">
        <v>441.1687</v>
      </c>
      <c r="G968">
        <v>449.1497</v>
      </c>
      <c r="H968">
        <v>452.52980000000002</v>
      </c>
      <c r="I968">
        <v>5.0999999999999997E-2</v>
      </c>
      <c r="J968">
        <v>5.0999999999999997E-2</v>
      </c>
      <c r="K968">
        <v>4.9000000000000002E-2</v>
      </c>
      <c r="L968">
        <v>2288.6</v>
      </c>
      <c r="M968">
        <v>2296.1999999999998</v>
      </c>
      <c r="N968">
        <v>2313.1999999999998</v>
      </c>
      <c r="Q968">
        <f t="shared" si="69"/>
        <v>447.6</v>
      </c>
      <c r="R968">
        <f t="shared" si="70"/>
        <v>447.7</v>
      </c>
      <c r="S968">
        <f t="shared" si="71"/>
        <v>0</v>
      </c>
    </row>
    <row r="969" spans="1:19" x14ac:dyDescent="0.25">
      <c r="A969" s="2">
        <v>44894</v>
      </c>
      <c r="B969" s="3">
        <v>333</v>
      </c>
      <c r="C969" s="3">
        <v>500</v>
      </c>
      <c r="D969">
        <v>447.69</v>
      </c>
      <c r="E969">
        <v>3.6999999999999998E-2</v>
      </c>
      <c r="F969">
        <v>441.32600000000002</v>
      </c>
      <c r="G969">
        <v>449.21429999999998</v>
      </c>
      <c r="H969">
        <v>452.52980000000002</v>
      </c>
      <c r="I969">
        <v>3.1E-2</v>
      </c>
      <c r="J969">
        <v>2.7E-2</v>
      </c>
      <c r="K969">
        <v>4.9000000000000002E-2</v>
      </c>
      <c r="L969">
        <v>2288.8000000000002</v>
      </c>
      <c r="M969">
        <v>2296.1999999999998</v>
      </c>
      <c r="N969">
        <v>2313.1999999999998</v>
      </c>
      <c r="Q969">
        <f t="shared" si="69"/>
        <v>447.7</v>
      </c>
      <c r="R969">
        <f t="shared" si="70"/>
        <v>447.7</v>
      </c>
      <c r="S969">
        <f t="shared" si="71"/>
        <v>0</v>
      </c>
    </row>
    <row r="970" spans="1:19" x14ac:dyDescent="0.25">
      <c r="A970" s="2">
        <v>44894</v>
      </c>
      <c r="B970" s="3">
        <v>333</v>
      </c>
      <c r="C970" s="3">
        <v>600</v>
      </c>
      <c r="D970">
        <v>447.78559999999999</v>
      </c>
      <c r="E970">
        <v>0.05</v>
      </c>
      <c r="F970">
        <v>441.46510000000001</v>
      </c>
      <c r="G970">
        <v>449.38600000000002</v>
      </c>
      <c r="H970">
        <v>452.50580000000002</v>
      </c>
      <c r="I970">
        <v>0.05</v>
      </c>
      <c r="J970">
        <v>4.8000000000000001E-2</v>
      </c>
      <c r="K970">
        <v>5.0999999999999997E-2</v>
      </c>
      <c r="L970">
        <v>2289.1999999999998</v>
      </c>
      <c r="M970">
        <v>2296.4</v>
      </c>
      <c r="N970">
        <v>2313.1999999999998</v>
      </c>
      <c r="Q970">
        <f t="shared" si="69"/>
        <v>447.8</v>
      </c>
      <c r="R970">
        <f t="shared" si="70"/>
        <v>447.8</v>
      </c>
      <c r="S970">
        <f t="shared" si="71"/>
        <v>0.10000000000002274</v>
      </c>
    </row>
    <row r="971" spans="1:19" x14ac:dyDescent="0.25">
      <c r="A971" s="2">
        <v>44894</v>
      </c>
      <c r="B971" s="3">
        <v>333</v>
      </c>
      <c r="C971" s="3">
        <v>700</v>
      </c>
      <c r="D971">
        <v>447.77780000000001</v>
      </c>
      <c r="E971">
        <v>4.1000000000000002E-2</v>
      </c>
      <c r="F971">
        <v>441.40289999999999</v>
      </c>
      <c r="G971">
        <v>449.46350000000001</v>
      </c>
      <c r="H971">
        <v>452.46699999999998</v>
      </c>
      <c r="I971">
        <v>4.2999999999999997E-2</v>
      </c>
      <c r="J971">
        <v>5.0999999999999997E-2</v>
      </c>
      <c r="K971">
        <v>2.3E-2</v>
      </c>
      <c r="L971">
        <v>2288.8000000000002</v>
      </c>
      <c r="M971">
        <v>2296.6</v>
      </c>
      <c r="N971">
        <v>2313.1999999999998</v>
      </c>
      <c r="Q971">
        <f t="shared" si="69"/>
        <v>447.8</v>
      </c>
      <c r="R971">
        <f t="shared" si="70"/>
        <v>447.8</v>
      </c>
      <c r="S971">
        <f t="shared" si="71"/>
        <v>0</v>
      </c>
    </row>
    <row r="972" spans="1:19" x14ac:dyDescent="0.25">
      <c r="A972" s="2">
        <v>44894</v>
      </c>
      <c r="B972" s="3">
        <v>333</v>
      </c>
      <c r="C972" s="3">
        <v>800</v>
      </c>
      <c r="D972">
        <v>447.69319999999999</v>
      </c>
      <c r="E972">
        <v>5.2999999999999999E-2</v>
      </c>
      <c r="F972">
        <v>441.28210000000001</v>
      </c>
      <c r="G972">
        <v>449.37670000000003</v>
      </c>
      <c r="H972">
        <v>452.42079999999999</v>
      </c>
      <c r="I972">
        <v>0.05</v>
      </c>
      <c r="J972">
        <v>5.8000000000000003E-2</v>
      </c>
      <c r="K972">
        <v>5.0999999999999997E-2</v>
      </c>
      <c r="L972">
        <v>2288.6</v>
      </c>
      <c r="M972">
        <v>2296.4</v>
      </c>
      <c r="N972">
        <v>2313</v>
      </c>
      <c r="Q972">
        <f t="shared" si="69"/>
        <v>447.7</v>
      </c>
      <c r="R972">
        <f t="shared" si="70"/>
        <v>447.8</v>
      </c>
      <c r="S972">
        <f t="shared" si="71"/>
        <v>0</v>
      </c>
    </row>
    <row r="973" spans="1:19" x14ac:dyDescent="0.25">
      <c r="A973" s="2">
        <v>44894</v>
      </c>
      <c r="B973" s="3">
        <v>333</v>
      </c>
      <c r="C973" s="3">
        <v>900</v>
      </c>
      <c r="D973">
        <v>447.62819999999999</v>
      </c>
      <c r="E973">
        <v>3.4000000000000002E-2</v>
      </c>
      <c r="F973">
        <v>441.22359999999998</v>
      </c>
      <c r="G973">
        <v>449.30099999999999</v>
      </c>
      <c r="H973">
        <v>452.35989999999998</v>
      </c>
      <c r="I973">
        <v>3.1E-2</v>
      </c>
      <c r="J973">
        <v>3.4000000000000002E-2</v>
      </c>
      <c r="K973">
        <v>3.6999999999999998E-2</v>
      </c>
      <c r="L973">
        <v>2288.6</v>
      </c>
      <c r="M973">
        <v>2296.4</v>
      </c>
      <c r="N973">
        <v>2313</v>
      </c>
      <c r="Q973">
        <f t="shared" si="69"/>
        <v>447.6</v>
      </c>
      <c r="R973">
        <f t="shared" si="70"/>
        <v>447.8</v>
      </c>
      <c r="S973">
        <f t="shared" si="71"/>
        <v>0</v>
      </c>
    </row>
    <row r="974" spans="1:19" x14ac:dyDescent="0.25">
      <c r="A974" s="2">
        <v>44894</v>
      </c>
      <c r="B974" s="3">
        <v>333</v>
      </c>
      <c r="C974" s="3">
        <v>1000</v>
      </c>
      <c r="D974">
        <v>447.57839999999999</v>
      </c>
      <c r="E974">
        <v>4.9000000000000002E-2</v>
      </c>
      <c r="F974">
        <v>441.18880000000001</v>
      </c>
      <c r="G974">
        <v>449.24009999999998</v>
      </c>
      <c r="H974">
        <v>452.30630000000002</v>
      </c>
      <c r="I974">
        <v>4.8000000000000001E-2</v>
      </c>
      <c r="J974">
        <v>4.7E-2</v>
      </c>
      <c r="K974">
        <v>5.1999999999999998E-2</v>
      </c>
      <c r="L974">
        <v>2288.6</v>
      </c>
      <c r="M974">
        <v>2296.1999999999998</v>
      </c>
      <c r="N974">
        <v>2312.8000000000002</v>
      </c>
      <c r="Q974">
        <f t="shared" si="69"/>
        <v>447.6</v>
      </c>
      <c r="R974">
        <f t="shared" si="70"/>
        <v>447.8</v>
      </c>
      <c r="S974">
        <f t="shared" si="71"/>
        <v>0</v>
      </c>
    </row>
    <row r="975" spans="1:19" x14ac:dyDescent="0.25">
      <c r="A975" s="2">
        <v>44894</v>
      </c>
      <c r="B975" s="3">
        <v>333</v>
      </c>
      <c r="C975" s="3">
        <v>1100</v>
      </c>
      <c r="D975">
        <v>447.55939999999998</v>
      </c>
      <c r="E975">
        <v>4.5999999999999999E-2</v>
      </c>
      <c r="F975">
        <v>441.1696</v>
      </c>
      <c r="G975">
        <v>449.21600000000001</v>
      </c>
      <c r="H975">
        <v>452.29270000000002</v>
      </c>
      <c r="I975">
        <v>5.0999999999999997E-2</v>
      </c>
      <c r="J975">
        <v>3.5999999999999997E-2</v>
      </c>
      <c r="K975">
        <v>0.05</v>
      </c>
      <c r="L975">
        <v>2288.6</v>
      </c>
      <c r="M975">
        <v>2296.1999999999998</v>
      </c>
      <c r="N975">
        <v>2312.8000000000002</v>
      </c>
      <c r="Q975">
        <f t="shared" si="69"/>
        <v>447.6</v>
      </c>
      <c r="R975">
        <f t="shared" si="70"/>
        <v>447.8</v>
      </c>
      <c r="S975">
        <f t="shared" si="71"/>
        <v>0</v>
      </c>
    </row>
    <row r="976" spans="1:19" x14ac:dyDescent="0.25">
      <c r="A976" s="2">
        <v>44894</v>
      </c>
      <c r="B976" s="3">
        <v>333</v>
      </c>
      <c r="C976" s="3">
        <v>1200</v>
      </c>
      <c r="D976">
        <v>447.55459999999999</v>
      </c>
      <c r="E976">
        <v>4.3999999999999997E-2</v>
      </c>
      <c r="F976">
        <v>441.16419999999999</v>
      </c>
      <c r="G976">
        <v>449.21960000000001</v>
      </c>
      <c r="H976">
        <v>452.2799</v>
      </c>
      <c r="I976">
        <v>5.0999999999999997E-2</v>
      </c>
      <c r="J976">
        <v>3.5000000000000003E-2</v>
      </c>
      <c r="K976">
        <v>4.4999999999999998E-2</v>
      </c>
      <c r="L976">
        <v>2288.4</v>
      </c>
      <c r="M976">
        <v>2296.1999999999998</v>
      </c>
      <c r="N976">
        <v>2312.8000000000002</v>
      </c>
      <c r="Q976">
        <f t="shared" si="69"/>
        <v>447.6</v>
      </c>
      <c r="R976">
        <f t="shared" si="70"/>
        <v>447.8</v>
      </c>
      <c r="S976">
        <f t="shared" si="71"/>
        <v>0</v>
      </c>
    </row>
    <row r="977" spans="1:19" x14ac:dyDescent="0.25">
      <c r="A977" s="2">
        <v>44894</v>
      </c>
      <c r="B977" s="3">
        <v>333</v>
      </c>
      <c r="C977" s="3">
        <v>1300</v>
      </c>
      <c r="D977">
        <v>447.75959999999998</v>
      </c>
      <c r="E977">
        <v>4.2000000000000003E-2</v>
      </c>
      <c r="F977">
        <v>441.37270000000001</v>
      </c>
      <c r="G977">
        <v>449.4228</v>
      </c>
      <c r="H977">
        <v>452.48329999999999</v>
      </c>
      <c r="I977">
        <v>5.0999999999999997E-2</v>
      </c>
      <c r="J977">
        <v>0.03</v>
      </c>
      <c r="K977">
        <v>4.2000000000000003E-2</v>
      </c>
      <c r="L977">
        <v>2289</v>
      </c>
      <c r="M977">
        <v>2296.6</v>
      </c>
      <c r="N977">
        <v>2313.1999999999998</v>
      </c>
      <c r="Q977">
        <f t="shared" si="69"/>
        <v>447.8</v>
      </c>
      <c r="R977">
        <f t="shared" si="70"/>
        <v>447.8</v>
      </c>
      <c r="S977">
        <f t="shared" si="71"/>
        <v>0</v>
      </c>
    </row>
    <row r="978" spans="1:19" x14ac:dyDescent="0.25">
      <c r="A978" s="2">
        <v>44894</v>
      </c>
      <c r="B978" s="3">
        <v>333</v>
      </c>
      <c r="C978" s="3">
        <v>1400</v>
      </c>
      <c r="D978">
        <v>447.97730000000001</v>
      </c>
      <c r="E978">
        <v>4.3999999999999997E-2</v>
      </c>
      <c r="F978">
        <v>441.59390000000002</v>
      </c>
      <c r="G978">
        <v>449.63490000000002</v>
      </c>
      <c r="H978">
        <v>452.70310000000001</v>
      </c>
      <c r="I978">
        <v>4.9000000000000002E-2</v>
      </c>
      <c r="J978">
        <v>3.2000000000000001E-2</v>
      </c>
      <c r="K978">
        <v>4.9000000000000002E-2</v>
      </c>
      <c r="L978">
        <v>2289.4</v>
      </c>
      <c r="M978">
        <v>2297</v>
      </c>
      <c r="N978">
        <v>2313.8000000000002</v>
      </c>
      <c r="Q978">
        <f t="shared" si="69"/>
        <v>448</v>
      </c>
      <c r="R978">
        <f t="shared" si="70"/>
        <v>448</v>
      </c>
      <c r="S978">
        <f t="shared" si="71"/>
        <v>0.19999999999998863</v>
      </c>
    </row>
    <row r="979" spans="1:19" x14ac:dyDescent="0.25">
      <c r="A979" s="2">
        <v>44894</v>
      </c>
      <c r="B979" s="3">
        <v>333</v>
      </c>
      <c r="C979" s="3">
        <v>1500</v>
      </c>
      <c r="D979">
        <v>448.07979999999998</v>
      </c>
      <c r="E979">
        <v>4.7E-2</v>
      </c>
      <c r="F979">
        <v>441.68380000000002</v>
      </c>
      <c r="G979">
        <v>449.7527</v>
      </c>
      <c r="H979">
        <v>452.80290000000002</v>
      </c>
      <c r="I979">
        <v>5.0999999999999997E-2</v>
      </c>
      <c r="J979">
        <v>4.3999999999999997E-2</v>
      </c>
      <c r="K979">
        <v>4.7E-2</v>
      </c>
      <c r="L979">
        <v>2289.6</v>
      </c>
      <c r="M979">
        <v>2297.1999999999998</v>
      </c>
      <c r="N979">
        <v>2314</v>
      </c>
      <c r="Q979">
        <f t="shared" ref="Q979:Q1042" si="72">ROUND(D979,1)</f>
        <v>448.1</v>
      </c>
      <c r="R979">
        <f t="shared" si="70"/>
        <v>448.1</v>
      </c>
      <c r="S979">
        <f t="shared" si="71"/>
        <v>0.10000000000002274</v>
      </c>
    </row>
    <row r="980" spans="1:19" x14ac:dyDescent="0.25">
      <c r="A980" s="2">
        <v>44894</v>
      </c>
      <c r="B980" s="3">
        <v>333</v>
      </c>
      <c r="C980" s="3">
        <v>1600</v>
      </c>
      <c r="D980">
        <v>448.2978</v>
      </c>
      <c r="E980">
        <v>4.7E-2</v>
      </c>
      <c r="F980">
        <v>441.91910000000001</v>
      </c>
      <c r="G980">
        <v>449.96370000000002</v>
      </c>
      <c r="H980">
        <v>453.01060000000001</v>
      </c>
      <c r="I980">
        <v>4.4999999999999998E-2</v>
      </c>
      <c r="J980">
        <v>4.7E-2</v>
      </c>
      <c r="K980">
        <v>4.8000000000000001E-2</v>
      </c>
      <c r="L980">
        <v>2290</v>
      </c>
      <c r="M980">
        <v>2297.6</v>
      </c>
      <c r="N980">
        <v>2314.1999999999998</v>
      </c>
      <c r="Q980">
        <f t="shared" si="72"/>
        <v>448.3</v>
      </c>
      <c r="R980">
        <f t="shared" si="70"/>
        <v>448.3</v>
      </c>
      <c r="S980">
        <f t="shared" si="71"/>
        <v>0.19999999999998863</v>
      </c>
    </row>
    <row r="981" spans="1:19" x14ac:dyDescent="0.25">
      <c r="A981" s="2">
        <v>44894</v>
      </c>
      <c r="B981" s="3">
        <v>333</v>
      </c>
      <c r="C981" s="3">
        <v>1700</v>
      </c>
      <c r="D981">
        <v>448.37880000000001</v>
      </c>
      <c r="E981">
        <v>3.5999999999999997E-2</v>
      </c>
      <c r="F981">
        <v>442.00150000000002</v>
      </c>
      <c r="G981">
        <v>450.04680000000002</v>
      </c>
      <c r="H981">
        <v>453.0883</v>
      </c>
      <c r="I981">
        <v>0.05</v>
      </c>
      <c r="J981">
        <v>2.9000000000000001E-2</v>
      </c>
      <c r="K981">
        <v>2.3E-2</v>
      </c>
      <c r="L981">
        <v>2290.1999999999998</v>
      </c>
      <c r="M981">
        <v>2297.8000000000002</v>
      </c>
      <c r="N981">
        <v>2314.4</v>
      </c>
      <c r="Q981">
        <f t="shared" si="72"/>
        <v>448.4</v>
      </c>
      <c r="R981">
        <f t="shared" si="70"/>
        <v>448.4</v>
      </c>
      <c r="S981">
        <f t="shared" si="71"/>
        <v>9.9999999999965894E-2</v>
      </c>
    </row>
    <row r="982" spans="1:19" x14ac:dyDescent="0.25">
      <c r="A982" s="2">
        <v>44894</v>
      </c>
      <c r="B982" s="3">
        <v>333</v>
      </c>
      <c r="C982" s="3">
        <v>1800</v>
      </c>
      <c r="D982">
        <v>448.48009999999999</v>
      </c>
      <c r="E982">
        <v>3.6999999999999998E-2</v>
      </c>
      <c r="F982">
        <v>442.10399999999998</v>
      </c>
      <c r="G982">
        <v>450.15010000000001</v>
      </c>
      <c r="H982">
        <v>453.18630000000002</v>
      </c>
      <c r="I982">
        <v>0.05</v>
      </c>
      <c r="J982">
        <v>3.5000000000000003E-2</v>
      </c>
      <c r="K982">
        <v>0.02</v>
      </c>
      <c r="L982">
        <v>2290.4</v>
      </c>
      <c r="M982">
        <v>2298.1999999999998</v>
      </c>
      <c r="N982">
        <v>2314.6</v>
      </c>
      <c r="Q982">
        <f t="shared" si="72"/>
        <v>448.5</v>
      </c>
      <c r="R982">
        <f t="shared" si="70"/>
        <v>448.5</v>
      </c>
      <c r="S982">
        <f t="shared" si="71"/>
        <v>0.10000000000002274</v>
      </c>
    </row>
    <row r="983" spans="1:19" x14ac:dyDescent="0.25">
      <c r="A983" s="2">
        <v>44894</v>
      </c>
      <c r="B983" s="3">
        <v>333</v>
      </c>
      <c r="C983" s="3">
        <v>1900</v>
      </c>
      <c r="D983">
        <v>448.8997</v>
      </c>
      <c r="E983">
        <v>4.7E-2</v>
      </c>
      <c r="F983">
        <v>442.5052</v>
      </c>
      <c r="G983">
        <v>450.57130000000001</v>
      </c>
      <c r="H983">
        <v>453.62290000000002</v>
      </c>
      <c r="I983">
        <v>5.5E-2</v>
      </c>
      <c r="J983">
        <v>4.2999999999999997E-2</v>
      </c>
      <c r="K983">
        <v>4.2999999999999997E-2</v>
      </c>
      <c r="L983">
        <v>2291.1999999999998</v>
      </c>
      <c r="M983">
        <v>2299</v>
      </c>
      <c r="N983">
        <v>2315.4</v>
      </c>
      <c r="Q983">
        <f t="shared" si="72"/>
        <v>448.9</v>
      </c>
      <c r="R983">
        <f t="shared" si="70"/>
        <v>448.9</v>
      </c>
      <c r="S983">
        <f t="shared" si="71"/>
        <v>0.39999999999997726</v>
      </c>
    </row>
    <row r="984" spans="1:19" x14ac:dyDescent="0.25">
      <c r="A984" s="2">
        <v>44894</v>
      </c>
      <c r="B984" s="3">
        <v>333</v>
      </c>
      <c r="C984" s="3">
        <v>2000</v>
      </c>
      <c r="D984">
        <v>449.80840000000001</v>
      </c>
      <c r="E984">
        <v>4.2999999999999997E-2</v>
      </c>
      <c r="F984">
        <v>443.35739999999998</v>
      </c>
      <c r="G984">
        <v>451.53230000000002</v>
      </c>
      <c r="H984">
        <v>454.53550000000001</v>
      </c>
      <c r="I984">
        <v>3.9E-2</v>
      </c>
      <c r="J984">
        <v>5.0999999999999997E-2</v>
      </c>
      <c r="K984">
        <v>3.6999999999999998E-2</v>
      </c>
      <c r="L984">
        <v>2292.8000000000002</v>
      </c>
      <c r="M984">
        <v>2300.8000000000002</v>
      </c>
      <c r="N984">
        <v>2317.1999999999998</v>
      </c>
      <c r="Q984">
        <f t="shared" si="72"/>
        <v>449.8</v>
      </c>
      <c r="R984">
        <f t="shared" si="70"/>
        <v>449.8</v>
      </c>
      <c r="S984">
        <f t="shared" si="71"/>
        <v>0.90000000000003411</v>
      </c>
    </row>
    <row r="985" spans="1:19" x14ac:dyDescent="0.25">
      <c r="A985" s="2">
        <v>44894</v>
      </c>
      <c r="B985" s="3">
        <v>333</v>
      </c>
      <c r="C985" s="3">
        <v>2100</v>
      </c>
      <c r="D985">
        <v>450.43450000000001</v>
      </c>
      <c r="E985">
        <v>3.4000000000000002E-2</v>
      </c>
      <c r="F985">
        <v>443.99189999999999</v>
      </c>
      <c r="G985">
        <v>452.15370000000001</v>
      </c>
      <c r="H985">
        <v>455.15789999999998</v>
      </c>
      <c r="I985">
        <v>2.7E-2</v>
      </c>
      <c r="J985">
        <v>5.0999999999999997E-2</v>
      </c>
      <c r="K985">
        <v>1.4E-2</v>
      </c>
      <c r="L985">
        <v>2294</v>
      </c>
      <c r="M985">
        <v>2301.8000000000002</v>
      </c>
      <c r="N985">
        <v>2318.4</v>
      </c>
      <c r="Q985">
        <f t="shared" si="72"/>
        <v>450.4</v>
      </c>
      <c r="R985">
        <f t="shared" si="70"/>
        <v>450.4</v>
      </c>
      <c r="S985">
        <f t="shared" si="71"/>
        <v>0.59999999999996589</v>
      </c>
    </row>
    <row r="986" spans="1:19" x14ac:dyDescent="0.25">
      <c r="A986" s="2">
        <v>44894</v>
      </c>
      <c r="B986" s="3">
        <v>333</v>
      </c>
      <c r="C986" s="3">
        <v>2200</v>
      </c>
      <c r="D986">
        <v>450.97230000000002</v>
      </c>
      <c r="E986">
        <v>4.3999999999999997E-2</v>
      </c>
      <c r="F986">
        <v>444.52210000000002</v>
      </c>
      <c r="G986">
        <v>452.69589999999999</v>
      </c>
      <c r="H986">
        <v>455.69900000000001</v>
      </c>
      <c r="I986">
        <v>3.7999999999999999E-2</v>
      </c>
      <c r="J986">
        <v>4.8000000000000001E-2</v>
      </c>
      <c r="K986">
        <v>4.3999999999999997E-2</v>
      </c>
      <c r="L986">
        <v>2295.1999999999998</v>
      </c>
      <c r="M986">
        <v>2302.8000000000002</v>
      </c>
      <c r="N986">
        <v>2319.6</v>
      </c>
      <c r="Q986">
        <f t="shared" si="72"/>
        <v>451</v>
      </c>
      <c r="R986">
        <f t="shared" si="70"/>
        <v>451</v>
      </c>
      <c r="S986">
        <f t="shared" si="71"/>
        <v>0.60000000000002274</v>
      </c>
    </row>
    <row r="987" spans="1:19" x14ac:dyDescent="0.25">
      <c r="A987" s="2">
        <v>44894</v>
      </c>
      <c r="B987" s="3">
        <v>333</v>
      </c>
      <c r="C987" s="3">
        <v>2300</v>
      </c>
      <c r="D987">
        <v>451.91419999999999</v>
      </c>
      <c r="E987">
        <v>0.11600000000000001</v>
      </c>
      <c r="F987">
        <v>445.57799999999997</v>
      </c>
      <c r="G987">
        <v>453.48649999999998</v>
      </c>
      <c r="H987">
        <v>456.67829999999998</v>
      </c>
      <c r="I987">
        <v>0.15</v>
      </c>
      <c r="J987">
        <v>0.125</v>
      </c>
      <c r="K987">
        <v>4.9000000000000002E-2</v>
      </c>
      <c r="L987">
        <v>2297.1999999999998</v>
      </c>
      <c r="M987">
        <v>2304.4</v>
      </c>
      <c r="N987">
        <v>2321.4</v>
      </c>
      <c r="Q987">
        <f t="shared" si="72"/>
        <v>451.9</v>
      </c>
      <c r="R987">
        <f t="shared" si="70"/>
        <v>451.9</v>
      </c>
      <c r="S987">
        <f t="shared" si="71"/>
        <v>0.89999999999997726</v>
      </c>
    </row>
    <row r="988" spans="1:19" x14ac:dyDescent="0.25">
      <c r="A988" s="2">
        <v>44894</v>
      </c>
      <c r="B988" s="3">
        <v>333</v>
      </c>
      <c r="C988" s="3">
        <v>2400</v>
      </c>
      <c r="D988">
        <v>452.31220000000002</v>
      </c>
      <c r="E988">
        <v>0.05</v>
      </c>
      <c r="F988">
        <v>445.80029999999999</v>
      </c>
      <c r="G988">
        <v>454.04790000000003</v>
      </c>
      <c r="H988">
        <v>457.08839999999998</v>
      </c>
      <c r="I988">
        <v>5.0999999999999997E-2</v>
      </c>
      <c r="J988">
        <v>4.7E-2</v>
      </c>
      <c r="K988">
        <v>5.0999999999999997E-2</v>
      </c>
      <c r="L988">
        <v>2297.6</v>
      </c>
      <c r="M988">
        <v>2305.6</v>
      </c>
      <c r="N988">
        <v>2322.1999999999998</v>
      </c>
      <c r="Q988">
        <f t="shared" si="72"/>
        <v>452.3</v>
      </c>
      <c r="R988">
        <f t="shared" si="70"/>
        <v>452.3</v>
      </c>
      <c r="S988">
        <f t="shared" si="71"/>
        <v>0.40000000000003411</v>
      </c>
    </row>
    <row r="989" spans="1:19" x14ac:dyDescent="0.25">
      <c r="A989" s="2">
        <v>44895</v>
      </c>
      <c r="B989" s="3">
        <v>334</v>
      </c>
      <c r="C989" s="3">
        <v>100</v>
      </c>
      <c r="D989">
        <v>452.37079999999997</v>
      </c>
      <c r="E989">
        <v>0.04</v>
      </c>
      <c r="F989">
        <v>445.85730000000001</v>
      </c>
      <c r="G989">
        <v>454.08679999999998</v>
      </c>
      <c r="H989">
        <v>457.16820000000001</v>
      </c>
      <c r="I989">
        <v>3.5999999999999997E-2</v>
      </c>
      <c r="J989">
        <v>0.03</v>
      </c>
      <c r="K989">
        <v>0.05</v>
      </c>
      <c r="L989">
        <v>2297.6</v>
      </c>
      <c r="M989">
        <v>2305.6</v>
      </c>
      <c r="N989">
        <v>2322.1999999999998</v>
      </c>
      <c r="Q989">
        <f t="shared" si="72"/>
        <v>452.4</v>
      </c>
      <c r="R989">
        <f t="shared" si="70"/>
        <v>452.4</v>
      </c>
      <c r="S989">
        <f t="shared" si="71"/>
        <v>9.9999999999965894E-2</v>
      </c>
    </row>
    <row r="990" spans="1:19" x14ac:dyDescent="0.25">
      <c r="A990" s="2">
        <v>44895</v>
      </c>
      <c r="B990" s="3">
        <v>334</v>
      </c>
      <c r="C990" s="3">
        <v>200</v>
      </c>
      <c r="D990">
        <v>452.51639999999998</v>
      </c>
      <c r="E990">
        <v>3.7999999999999999E-2</v>
      </c>
      <c r="F990">
        <v>445.94549999999998</v>
      </c>
      <c r="G990">
        <v>454.26839999999999</v>
      </c>
      <c r="H990">
        <v>457.33539999999999</v>
      </c>
      <c r="I990">
        <v>3.9E-2</v>
      </c>
      <c r="J990">
        <v>4.7E-2</v>
      </c>
      <c r="K990">
        <v>2.4E-2</v>
      </c>
      <c r="L990">
        <v>2297.8000000000002</v>
      </c>
      <c r="M990">
        <v>2306</v>
      </c>
      <c r="N990">
        <v>2322.6</v>
      </c>
      <c r="Q990">
        <f t="shared" si="72"/>
        <v>452.5</v>
      </c>
      <c r="R990">
        <f t="shared" si="70"/>
        <v>452.5</v>
      </c>
      <c r="S990">
        <f t="shared" si="71"/>
        <v>0.10000000000002274</v>
      </c>
    </row>
    <row r="991" spans="1:19" x14ac:dyDescent="0.25">
      <c r="A991" s="2">
        <v>44895</v>
      </c>
      <c r="B991" s="3">
        <v>334</v>
      </c>
      <c r="C991" s="3">
        <v>300</v>
      </c>
      <c r="D991">
        <v>452.80160000000001</v>
      </c>
      <c r="E991">
        <v>4.5999999999999999E-2</v>
      </c>
      <c r="F991">
        <v>446.3057</v>
      </c>
      <c r="G991">
        <v>454.45</v>
      </c>
      <c r="H991">
        <v>457.64909999999998</v>
      </c>
      <c r="I991">
        <v>5.1999999999999998E-2</v>
      </c>
      <c r="J991">
        <v>5.0999999999999997E-2</v>
      </c>
      <c r="K991">
        <v>3.4000000000000002E-2</v>
      </c>
      <c r="L991">
        <v>2298.4</v>
      </c>
      <c r="M991">
        <v>2306.4</v>
      </c>
      <c r="N991">
        <v>2323.1999999999998</v>
      </c>
      <c r="Q991">
        <f t="shared" si="72"/>
        <v>452.8</v>
      </c>
      <c r="R991">
        <f t="shared" si="70"/>
        <v>452.8</v>
      </c>
      <c r="S991">
        <f t="shared" si="71"/>
        <v>0.30000000000001137</v>
      </c>
    </row>
    <row r="992" spans="1:19" x14ac:dyDescent="0.25">
      <c r="A992" s="2">
        <v>44895</v>
      </c>
      <c r="B992" s="3">
        <v>334</v>
      </c>
      <c r="C992" s="3">
        <v>400</v>
      </c>
      <c r="D992">
        <v>453.14260000000002</v>
      </c>
      <c r="E992">
        <v>4.1000000000000002E-2</v>
      </c>
      <c r="F992">
        <v>446.64400000000001</v>
      </c>
      <c r="G992">
        <v>454.93209999999999</v>
      </c>
      <c r="H992">
        <v>457.85160000000002</v>
      </c>
      <c r="I992">
        <v>4.2000000000000003E-2</v>
      </c>
      <c r="J992">
        <v>4.3999999999999997E-2</v>
      </c>
      <c r="K992">
        <v>3.5999999999999997E-2</v>
      </c>
      <c r="L992">
        <v>2299.1999999999998</v>
      </c>
      <c r="M992">
        <v>2307.4</v>
      </c>
      <c r="N992">
        <v>2323.8000000000002</v>
      </c>
      <c r="Q992">
        <f t="shared" si="72"/>
        <v>453.1</v>
      </c>
      <c r="R992">
        <f t="shared" si="70"/>
        <v>453.1</v>
      </c>
      <c r="S992">
        <f t="shared" si="71"/>
        <v>0.30000000000001137</v>
      </c>
    </row>
    <row r="993" spans="1:19" x14ac:dyDescent="0.25">
      <c r="A993" s="2">
        <v>44895</v>
      </c>
      <c r="B993" s="3">
        <v>334</v>
      </c>
      <c r="C993" s="3">
        <v>500</v>
      </c>
      <c r="D993">
        <v>453.36579999999998</v>
      </c>
      <c r="E993">
        <v>3.7999999999999999E-2</v>
      </c>
      <c r="F993">
        <v>446.88130000000001</v>
      </c>
      <c r="G993">
        <v>455.14729999999997</v>
      </c>
      <c r="H993">
        <v>458.06889999999999</v>
      </c>
      <c r="I993">
        <v>2.9000000000000001E-2</v>
      </c>
      <c r="J993">
        <v>4.8000000000000001E-2</v>
      </c>
      <c r="K993">
        <v>3.4000000000000002E-2</v>
      </c>
      <c r="L993">
        <v>2299.6</v>
      </c>
      <c r="M993">
        <v>2307.8000000000002</v>
      </c>
      <c r="N993">
        <v>2324</v>
      </c>
      <c r="Q993">
        <f t="shared" si="72"/>
        <v>453.4</v>
      </c>
      <c r="R993">
        <f t="shared" si="70"/>
        <v>453.4</v>
      </c>
      <c r="S993">
        <f t="shared" si="71"/>
        <v>0.29999999999995453</v>
      </c>
    </row>
    <row r="994" spans="1:19" x14ac:dyDescent="0.25">
      <c r="A994" s="2">
        <v>44895</v>
      </c>
      <c r="B994" s="3">
        <v>334</v>
      </c>
      <c r="C994" s="3">
        <v>600</v>
      </c>
      <c r="D994">
        <v>453.45830000000001</v>
      </c>
      <c r="E994">
        <v>3.4000000000000002E-2</v>
      </c>
      <c r="F994">
        <v>446.98230000000001</v>
      </c>
      <c r="G994">
        <v>455.23430000000002</v>
      </c>
      <c r="H994">
        <v>458.1583</v>
      </c>
      <c r="I994">
        <v>3.3000000000000002E-2</v>
      </c>
      <c r="J994">
        <v>3.5999999999999997E-2</v>
      </c>
      <c r="K994">
        <v>3.2000000000000001E-2</v>
      </c>
      <c r="L994">
        <v>2299.8000000000002</v>
      </c>
      <c r="M994">
        <v>2308</v>
      </c>
      <c r="N994">
        <v>2324.1999999999998</v>
      </c>
      <c r="Q994">
        <f t="shared" si="72"/>
        <v>453.5</v>
      </c>
      <c r="R994">
        <f t="shared" ref="R994:R1057" si="73">ROUND(IF(Q994&lt;R993,R993,Q994),1)</f>
        <v>453.5</v>
      </c>
      <c r="S994">
        <f t="shared" si="71"/>
        <v>0.10000000000002274</v>
      </c>
    </row>
    <row r="995" spans="1:19" x14ac:dyDescent="0.25">
      <c r="A995" s="2">
        <v>44895</v>
      </c>
      <c r="B995" s="3">
        <v>334</v>
      </c>
      <c r="C995" s="3">
        <v>700</v>
      </c>
      <c r="D995">
        <v>453.47219999999999</v>
      </c>
      <c r="E995">
        <v>3.6999999999999998E-2</v>
      </c>
      <c r="F995">
        <v>447.00940000000003</v>
      </c>
      <c r="G995">
        <v>455.22699999999998</v>
      </c>
      <c r="H995">
        <v>458.18020000000001</v>
      </c>
      <c r="I995">
        <v>4.9000000000000002E-2</v>
      </c>
      <c r="J995">
        <v>2.7E-2</v>
      </c>
      <c r="K995">
        <v>3.2000000000000001E-2</v>
      </c>
      <c r="L995">
        <v>2299.8000000000002</v>
      </c>
      <c r="M995">
        <v>2308</v>
      </c>
      <c r="N995">
        <v>2324.1999999999998</v>
      </c>
      <c r="Q995">
        <f t="shared" si="72"/>
        <v>453.5</v>
      </c>
      <c r="R995">
        <f t="shared" si="73"/>
        <v>453.5</v>
      </c>
      <c r="S995">
        <f t="shared" si="71"/>
        <v>0</v>
      </c>
    </row>
    <row r="996" spans="1:19" x14ac:dyDescent="0.25">
      <c r="A996" s="2">
        <v>44895</v>
      </c>
      <c r="B996" s="3">
        <v>334</v>
      </c>
      <c r="C996" s="3">
        <v>800</v>
      </c>
      <c r="D996">
        <v>453.46730000000002</v>
      </c>
      <c r="E996">
        <v>3.9E-2</v>
      </c>
      <c r="F996">
        <v>447.01479999999998</v>
      </c>
      <c r="G996">
        <v>455.20690000000002</v>
      </c>
      <c r="H996">
        <v>458.18020000000001</v>
      </c>
      <c r="I996">
        <v>0.05</v>
      </c>
      <c r="J996">
        <v>3.4000000000000002E-2</v>
      </c>
      <c r="K996">
        <v>3.2000000000000001E-2</v>
      </c>
      <c r="L996">
        <v>2300</v>
      </c>
      <c r="M996">
        <v>2307.8000000000002</v>
      </c>
      <c r="N996">
        <v>2324.1999999999998</v>
      </c>
      <c r="Q996">
        <f t="shared" si="72"/>
        <v>453.5</v>
      </c>
      <c r="R996">
        <f t="shared" si="73"/>
        <v>453.5</v>
      </c>
      <c r="S996">
        <f t="shared" si="71"/>
        <v>0</v>
      </c>
    </row>
    <row r="997" spans="1:19" x14ac:dyDescent="0.25">
      <c r="A997" s="2">
        <v>44895</v>
      </c>
      <c r="B997" s="3">
        <v>334</v>
      </c>
      <c r="C997" s="3">
        <v>900</v>
      </c>
      <c r="D997">
        <v>453.46300000000002</v>
      </c>
      <c r="E997">
        <v>3.7999999999999999E-2</v>
      </c>
      <c r="F997">
        <v>447.00760000000002</v>
      </c>
      <c r="G997">
        <v>455.20510000000002</v>
      </c>
      <c r="H997">
        <v>458.17649999999998</v>
      </c>
      <c r="I997">
        <v>4.8000000000000001E-2</v>
      </c>
      <c r="J997">
        <v>3.5999999999999997E-2</v>
      </c>
      <c r="K997">
        <v>2.7E-2</v>
      </c>
      <c r="L997">
        <v>2299.8000000000002</v>
      </c>
      <c r="M997">
        <v>2307.8000000000002</v>
      </c>
      <c r="N997">
        <v>2324.1999999999998</v>
      </c>
      <c r="Q997">
        <f t="shared" si="72"/>
        <v>453.5</v>
      </c>
      <c r="R997">
        <f t="shared" si="73"/>
        <v>453.5</v>
      </c>
      <c r="S997">
        <f t="shared" ref="S997:S1060" si="74">IF(R997&gt;R996,R997-R996,0)</f>
        <v>0</v>
      </c>
    </row>
    <row r="998" spans="1:19" x14ac:dyDescent="0.25">
      <c r="A998" s="2">
        <v>44895</v>
      </c>
      <c r="B998" s="3">
        <v>334</v>
      </c>
      <c r="C998" s="3">
        <v>1000</v>
      </c>
      <c r="D998">
        <v>453.52429999999998</v>
      </c>
      <c r="E998">
        <v>4.4999999999999998E-2</v>
      </c>
      <c r="F998">
        <v>447.08530000000002</v>
      </c>
      <c r="G998">
        <v>455.25979999999998</v>
      </c>
      <c r="H998">
        <v>458.2276</v>
      </c>
      <c r="I998">
        <v>2.5999999999999999E-2</v>
      </c>
      <c r="J998">
        <v>5.0999999999999997E-2</v>
      </c>
      <c r="K998">
        <v>5.1999999999999998E-2</v>
      </c>
      <c r="L998">
        <v>2300</v>
      </c>
      <c r="M998">
        <v>2308</v>
      </c>
      <c r="N998">
        <v>2324.4</v>
      </c>
      <c r="Q998">
        <f t="shared" si="72"/>
        <v>453.5</v>
      </c>
      <c r="R998">
        <f t="shared" si="73"/>
        <v>453.5</v>
      </c>
      <c r="S998">
        <f t="shared" si="74"/>
        <v>0</v>
      </c>
    </row>
    <row r="999" spans="1:19" x14ac:dyDescent="0.25">
      <c r="A999" s="2">
        <v>44895</v>
      </c>
      <c r="B999" s="3">
        <v>334</v>
      </c>
      <c r="C999" s="3">
        <v>1100</v>
      </c>
      <c r="D999">
        <v>454.07420000000002</v>
      </c>
      <c r="E999">
        <v>3.4000000000000002E-2</v>
      </c>
      <c r="F999">
        <v>447.60050000000001</v>
      </c>
      <c r="G999">
        <v>455.82859999999999</v>
      </c>
      <c r="H999">
        <v>458.79360000000003</v>
      </c>
      <c r="I999">
        <v>3.7999999999999999E-2</v>
      </c>
      <c r="J999">
        <v>3.5999999999999997E-2</v>
      </c>
      <c r="K999">
        <v>2.8000000000000001E-2</v>
      </c>
      <c r="L999">
        <v>2301.1999999999998</v>
      </c>
      <c r="M999">
        <v>2309</v>
      </c>
      <c r="N999">
        <v>2325.6</v>
      </c>
      <c r="Q999">
        <f t="shared" si="72"/>
        <v>454.1</v>
      </c>
      <c r="R999">
        <f t="shared" si="73"/>
        <v>454.1</v>
      </c>
      <c r="S999">
        <f t="shared" si="74"/>
        <v>0.60000000000002274</v>
      </c>
    </row>
    <row r="1000" spans="1:19" x14ac:dyDescent="0.25">
      <c r="A1000" s="2">
        <v>44895</v>
      </c>
      <c r="B1000" s="3">
        <v>334</v>
      </c>
      <c r="C1000" s="3">
        <v>1200</v>
      </c>
      <c r="D1000">
        <v>454.10820000000001</v>
      </c>
      <c r="E1000">
        <v>4.5999999999999999E-2</v>
      </c>
      <c r="F1000">
        <v>447.63659999999999</v>
      </c>
      <c r="G1000">
        <v>455.87959999999998</v>
      </c>
      <c r="H1000">
        <v>458.80829999999997</v>
      </c>
      <c r="I1000">
        <v>5.0999999999999997E-2</v>
      </c>
      <c r="J1000">
        <v>0.05</v>
      </c>
      <c r="K1000">
        <v>3.5999999999999997E-2</v>
      </c>
      <c r="L1000">
        <v>2301</v>
      </c>
      <c r="M1000">
        <v>2309</v>
      </c>
      <c r="N1000">
        <v>2325.4</v>
      </c>
      <c r="Q1000">
        <f t="shared" si="72"/>
        <v>454.1</v>
      </c>
      <c r="R1000">
        <f t="shared" si="73"/>
        <v>454.1</v>
      </c>
      <c r="S1000">
        <f t="shared" si="74"/>
        <v>0</v>
      </c>
    </row>
    <row r="1001" spans="1:19" x14ac:dyDescent="0.25">
      <c r="A1001" s="2">
        <v>44895</v>
      </c>
      <c r="B1001" s="3">
        <v>334</v>
      </c>
      <c r="C1001" s="3">
        <v>1300</v>
      </c>
      <c r="D1001">
        <v>454.05950000000001</v>
      </c>
      <c r="E1001">
        <v>4.4999999999999998E-2</v>
      </c>
      <c r="F1001">
        <v>447.63119999999998</v>
      </c>
      <c r="G1001">
        <v>455.76839999999999</v>
      </c>
      <c r="H1001">
        <v>458.779</v>
      </c>
      <c r="I1001">
        <v>0.05</v>
      </c>
      <c r="J1001">
        <v>4.7E-2</v>
      </c>
      <c r="K1001">
        <v>3.5999999999999997E-2</v>
      </c>
      <c r="L1001">
        <v>2301.1999999999998</v>
      </c>
      <c r="M1001">
        <v>2308.8000000000002</v>
      </c>
      <c r="N1001">
        <v>2325.4</v>
      </c>
      <c r="Q1001">
        <f t="shared" si="72"/>
        <v>454.1</v>
      </c>
      <c r="R1001">
        <f t="shared" si="73"/>
        <v>454.1</v>
      </c>
      <c r="S1001">
        <f t="shared" si="74"/>
        <v>0</v>
      </c>
    </row>
    <row r="1002" spans="1:19" x14ac:dyDescent="0.25">
      <c r="A1002" s="2">
        <v>44895</v>
      </c>
      <c r="B1002" s="3">
        <v>334</v>
      </c>
      <c r="C1002" s="3">
        <v>1400</v>
      </c>
      <c r="D1002">
        <v>453.98430000000002</v>
      </c>
      <c r="E1002">
        <v>4.4999999999999998E-2</v>
      </c>
      <c r="F1002">
        <v>447.5752</v>
      </c>
      <c r="G1002">
        <v>455.66449999999998</v>
      </c>
      <c r="H1002">
        <v>458.7133</v>
      </c>
      <c r="I1002">
        <v>4.3999999999999997E-2</v>
      </c>
      <c r="J1002">
        <v>4.7E-2</v>
      </c>
      <c r="K1002">
        <v>4.3999999999999997E-2</v>
      </c>
      <c r="L1002">
        <v>2300.8000000000002</v>
      </c>
      <c r="M1002">
        <v>2308.6</v>
      </c>
      <c r="N1002">
        <v>2325.4</v>
      </c>
      <c r="Q1002">
        <f t="shared" si="72"/>
        <v>454</v>
      </c>
      <c r="R1002">
        <f t="shared" si="73"/>
        <v>454.1</v>
      </c>
      <c r="S1002">
        <f t="shared" si="74"/>
        <v>0</v>
      </c>
    </row>
    <row r="1003" spans="1:19" x14ac:dyDescent="0.25">
      <c r="A1003" s="2">
        <v>44895</v>
      </c>
      <c r="B1003" s="3">
        <v>334</v>
      </c>
      <c r="C1003" s="3">
        <v>1500</v>
      </c>
      <c r="D1003">
        <v>453.9187</v>
      </c>
      <c r="E1003">
        <v>0.04</v>
      </c>
      <c r="F1003">
        <v>447.3854</v>
      </c>
      <c r="G1003">
        <v>455.61340000000001</v>
      </c>
      <c r="H1003">
        <v>458.75709999999998</v>
      </c>
      <c r="I1003">
        <v>2.4E-2</v>
      </c>
      <c r="J1003">
        <v>4.2000000000000003E-2</v>
      </c>
      <c r="K1003">
        <v>0.05</v>
      </c>
      <c r="L1003">
        <v>2300.6</v>
      </c>
      <c r="M1003">
        <v>2308.6</v>
      </c>
      <c r="N1003">
        <v>2325.4</v>
      </c>
      <c r="Q1003">
        <f t="shared" si="72"/>
        <v>453.9</v>
      </c>
      <c r="R1003">
        <f t="shared" si="73"/>
        <v>454.1</v>
      </c>
      <c r="S1003">
        <f t="shared" si="74"/>
        <v>0</v>
      </c>
    </row>
    <row r="1004" spans="1:19" x14ac:dyDescent="0.25">
      <c r="A1004" s="2">
        <v>44895</v>
      </c>
      <c r="B1004" s="3">
        <v>334</v>
      </c>
      <c r="C1004" s="3">
        <v>1600</v>
      </c>
      <c r="D1004">
        <v>453.99270000000001</v>
      </c>
      <c r="E1004">
        <v>4.2999999999999997E-2</v>
      </c>
      <c r="F1004">
        <v>447.43239999999997</v>
      </c>
      <c r="G1004">
        <v>455.72829999999999</v>
      </c>
      <c r="H1004">
        <v>458.81740000000002</v>
      </c>
      <c r="I1004">
        <v>5.0999999999999997E-2</v>
      </c>
      <c r="J1004">
        <v>3.2000000000000001E-2</v>
      </c>
      <c r="K1004">
        <v>4.3999999999999997E-2</v>
      </c>
      <c r="L1004">
        <v>2300.6</v>
      </c>
      <c r="M1004">
        <v>2308.8000000000002</v>
      </c>
      <c r="N1004">
        <v>2325.4</v>
      </c>
      <c r="Q1004">
        <f t="shared" si="72"/>
        <v>454</v>
      </c>
      <c r="R1004">
        <f t="shared" si="73"/>
        <v>454.1</v>
      </c>
      <c r="S1004">
        <f t="shared" si="74"/>
        <v>0</v>
      </c>
    </row>
    <row r="1005" spans="1:19" x14ac:dyDescent="0.25">
      <c r="A1005" s="2">
        <v>44895</v>
      </c>
      <c r="B1005" s="3">
        <v>334</v>
      </c>
      <c r="C1005" s="3">
        <v>1700</v>
      </c>
      <c r="D1005">
        <v>454.12720000000002</v>
      </c>
      <c r="E1005">
        <v>4.1000000000000002E-2</v>
      </c>
      <c r="F1005">
        <v>447.58780000000002</v>
      </c>
      <c r="G1005">
        <v>455.88139999999999</v>
      </c>
      <c r="H1005">
        <v>458.91239999999999</v>
      </c>
      <c r="I1005">
        <v>3.5999999999999997E-2</v>
      </c>
      <c r="J1005">
        <v>0.05</v>
      </c>
      <c r="K1005">
        <v>3.5999999999999997E-2</v>
      </c>
      <c r="L1005">
        <v>2301</v>
      </c>
      <c r="M1005">
        <v>2309</v>
      </c>
      <c r="N1005">
        <v>2325.8000000000002</v>
      </c>
      <c r="Q1005">
        <f t="shared" si="72"/>
        <v>454.1</v>
      </c>
      <c r="R1005">
        <f t="shared" si="73"/>
        <v>454.1</v>
      </c>
      <c r="S1005">
        <f t="shared" si="74"/>
        <v>0</v>
      </c>
    </row>
    <row r="1006" spans="1:19" x14ac:dyDescent="0.25">
      <c r="A1006" s="2">
        <v>44895</v>
      </c>
      <c r="B1006" s="3">
        <v>334</v>
      </c>
      <c r="C1006" s="3">
        <v>1800</v>
      </c>
      <c r="D1006">
        <v>454.19450000000001</v>
      </c>
      <c r="E1006">
        <v>4.8000000000000001E-2</v>
      </c>
      <c r="F1006">
        <v>447.66559999999998</v>
      </c>
      <c r="G1006">
        <v>455.9726</v>
      </c>
      <c r="H1006">
        <v>458.94529999999997</v>
      </c>
      <c r="I1006">
        <v>4.7E-2</v>
      </c>
      <c r="J1006">
        <v>4.4999999999999998E-2</v>
      </c>
      <c r="K1006">
        <v>5.1999999999999998E-2</v>
      </c>
      <c r="L1006">
        <v>2301.1999999999998</v>
      </c>
      <c r="M1006">
        <v>2309.1999999999998</v>
      </c>
      <c r="N1006">
        <v>2325.6</v>
      </c>
      <c r="Q1006">
        <f t="shared" si="72"/>
        <v>454.2</v>
      </c>
      <c r="R1006">
        <f t="shared" si="73"/>
        <v>454.2</v>
      </c>
      <c r="S1006">
        <f t="shared" si="74"/>
        <v>9.9999999999965894E-2</v>
      </c>
    </row>
    <row r="1007" spans="1:19" x14ac:dyDescent="0.25">
      <c r="A1007" s="2">
        <v>44895</v>
      </c>
      <c r="B1007" s="3">
        <v>334</v>
      </c>
      <c r="C1007" s="3">
        <v>1900</v>
      </c>
      <c r="D1007">
        <v>454.1739</v>
      </c>
      <c r="E1007">
        <v>4.3999999999999997E-2</v>
      </c>
      <c r="F1007">
        <v>447.63479999999998</v>
      </c>
      <c r="G1007">
        <v>455.97800000000001</v>
      </c>
      <c r="H1007">
        <v>458.90879999999999</v>
      </c>
      <c r="I1007">
        <v>5.0999999999999997E-2</v>
      </c>
      <c r="J1007">
        <v>4.8000000000000001E-2</v>
      </c>
      <c r="K1007">
        <v>3.2000000000000001E-2</v>
      </c>
      <c r="L1007">
        <v>2301.1999999999998</v>
      </c>
      <c r="M1007">
        <v>2309.1999999999998</v>
      </c>
      <c r="N1007">
        <v>2325.6</v>
      </c>
      <c r="Q1007">
        <f t="shared" si="72"/>
        <v>454.2</v>
      </c>
      <c r="R1007">
        <f t="shared" si="73"/>
        <v>454.2</v>
      </c>
      <c r="S1007">
        <f t="shared" si="74"/>
        <v>0</v>
      </c>
    </row>
    <row r="1008" spans="1:19" x14ac:dyDescent="0.25">
      <c r="A1008" s="2">
        <v>44895</v>
      </c>
      <c r="B1008" s="3">
        <v>334</v>
      </c>
      <c r="C1008" s="3">
        <v>2000</v>
      </c>
      <c r="D1008">
        <v>454.15870000000001</v>
      </c>
      <c r="E1008">
        <v>3.5999999999999997E-2</v>
      </c>
      <c r="F1008">
        <v>447.63119999999998</v>
      </c>
      <c r="G1008">
        <v>455.9452</v>
      </c>
      <c r="H1008">
        <v>458.8997</v>
      </c>
      <c r="I1008">
        <v>0.05</v>
      </c>
      <c r="J1008">
        <v>3.5999999999999997E-2</v>
      </c>
      <c r="K1008">
        <v>1.4E-2</v>
      </c>
      <c r="L1008">
        <v>2301.1999999999998</v>
      </c>
      <c r="M1008">
        <v>2309.1999999999998</v>
      </c>
      <c r="N1008">
        <v>2325.6</v>
      </c>
      <c r="Q1008">
        <f t="shared" si="72"/>
        <v>454.2</v>
      </c>
      <c r="R1008">
        <f t="shared" si="73"/>
        <v>454.2</v>
      </c>
      <c r="S1008">
        <f t="shared" si="74"/>
        <v>0</v>
      </c>
    </row>
    <row r="1009" spans="1:19" x14ac:dyDescent="0.25">
      <c r="A1009" s="2">
        <v>44895</v>
      </c>
      <c r="B1009" s="3">
        <v>334</v>
      </c>
      <c r="C1009" s="3">
        <v>2100</v>
      </c>
      <c r="D1009">
        <v>454.14420000000001</v>
      </c>
      <c r="E1009">
        <v>3.4000000000000002E-2</v>
      </c>
      <c r="F1009">
        <v>447.60950000000003</v>
      </c>
      <c r="G1009">
        <v>455.93239999999997</v>
      </c>
      <c r="H1009">
        <v>458.89049999999997</v>
      </c>
      <c r="I1009">
        <v>3.7999999999999999E-2</v>
      </c>
      <c r="J1009">
        <v>3.5999999999999997E-2</v>
      </c>
      <c r="K1009">
        <v>2.7E-2</v>
      </c>
      <c r="L1009">
        <v>2301</v>
      </c>
      <c r="M1009">
        <v>2309.1999999999998</v>
      </c>
      <c r="N1009">
        <v>2325.6</v>
      </c>
      <c r="Q1009">
        <f t="shared" si="72"/>
        <v>454.1</v>
      </c>
      <c r="R1009">
        <f t="shared" si="73"/>
        <v>454.2</v>
      </c>
      <c r="S1009">
        <f t="shared" si="74"/>
        <v>0</v>
      </c>
    </row>
    <row r="1010" spans="1:19" x14ac:dyDescent="0.25">
      <c r="A1010" s="2">
        <v>44895</v>
      </c>
      <c r="B1010" s="3">
        <v>334</v>
      </c>
      <c r="C1010" s="3">
        <v>2200</v>
      </c>
      <c r="D1010">
        <v>454.14839999999998</v>
      </c>
      <c r="E1010">
        <v>3.3000000000000002E-2</v>
      </c>
      <c r="F1010">
        <v>447.61320000000001</v>
      </c>
      <c r="G1010">
        <v>455.93970000000002</v>
      </c>
      <c r="H1010">
        <v>458.89229999999998</v>
      </c>
      <c r="I1010">
        <v>4.1000000000000002E-2</v>
      </c>
      <c r="J1010">
        <v>3.3000000000000002E-2</v>
      </c>
      <c r="K1010">
        <v>2.3E-2</v>
      </c>
      <c r="L1010">
        <v>2301</v>
      </c>
      <c r="M1010">
        <v>2309.1999999999998</v>
      </c>
      <c r="N1010">
        <v>2325.6</v>
      </c>
      <c r="Q1010">
        <f t="shared" si="72"/>
        <v>454.1</v>
      </c>
      <c r="R1010">
        <f t="shared" si="73"/>
        <v>454.2</v>
      </c>
      <c r="S1010">
        <f t="shared" si="74"/>
        <v>0</v>
      </c>
    </row>
    <row r="1011" spans="1:19" x14ac:dyDescent="0.25">
      <c r="A1011" s="2">
        <v>44895</v>
      </c>
      <c r="B1011" s="3">
        <v>334</v>
      </c>
      <c r="C1011" s="3">
        <v>2300</v>
      </c>
      <c r="D1011">
        <v>454.32240000000002</v>
      </c>
      <c r="E1011">
        <v>4.2000000000000003E-2</v>
      </c>
      <c r="F1011">
        <v>447.80119999999999</v>
      </c>
      <c r="G1011">
        <v>456.08749999999998</v>
      </c>
      <c r="H1011">
        <v>459.07859999999999</v>
      </c>
      <c r="I1011">
        <v>2.4E-2</v>
      </c>
      <c r="J1011">
        <v>0.05</v>
      </c>
      <c r="K1011">
        <v>4.5999999999999999E-2</v>
      </c>
      <c r="L1011">
        <v>2301.4</v>
      </c>
      <c r="M1011">
        <v>2309.6</v>
      </c>
      <c r="N1011">
        <v>2326</v>
      </c>
      <c r="Q1011">
        <f t="shared" si="72"/>
        <v>454.3</v>
      </c>
      <c r="R1011">
        <f t="shared" si="73"/>
        <v>454.3</v>
      </c>
      <c r="S1011">
        <f t="shared" si="74"/>
        <v>0.10000000000002274</v>
      </c>
    </row>
    <row r="1012" spans="1:19" x14ac:dyDescent="0.25">
      <c r="A1012" s="2">
        <v>44895</v>
      </c>
      <c r="B1012" s="3">
        <v>334</v>
      </c>
      <c r="C1012" s="3">
        <v>2400</v>
      </c>
      <c r="D1012">
        <v>455.2697</v>
      </c>
      <c r="E1012">
        <v>6.6000000000000003E-2</v>
      </c>
      <c r="F1012">
        <v>448.75110000000001</v>
      </c>
      <c r="G1012">
        <v>457.05279999999999</v>
      </c>
      <c r="H1012">
        <v>460.0052</v>
      </c>
      <c r="I1012">
        <v>6.7000000000000004E-2</v>
      </c>
      <c r="J1012">
        <v>6.9000000000000006E-2</v>
      </c>
      <c r="K1012">
        <v>6.0999999999999999E-2</v>
      </c>
      <c r="L1012">
        <v>2303.4</v>
      </c>
      <c r="M1012">
        <v>2311.6</v>
      </c>
      <c r="N1012">
        <v>2327.8000000000002</v>
      </c>
      <c r="Q1012">
        <f t="shared" si="72"/>
        <v>455.3</v>
      </c>
      <c r="R1012">
        <f t="shared" si="73"/>
        <v>455.3</v>
      </c>
      <c r="S1012">
        <f t="shared" si="74"/>
        <v>1</v>
      </c>
    </row>
    <row r="1013" spans="1:19" x14ac:dyDescent="0.25">
      <c r="A1013" s="2">
        <v>44896</v>
      </c>
      <c r="B1013" s="3">
        <v>335</v>
      </c>
      <c r="C1013" s="3">
        <v>100</v>
      </c>
      <c r="D1013">
        <v>456.32909999999998</v>
      </c>
      <c r="E1013">
        <v>4.2999999999999997E-2</v>
      </c>
      <c r="F1013">
        <v>449.78559999999999</v>
      </c>
      <c r="G1013">
        <v>458.13959999999997</v>
      </c>
      <c r="H1013">
        <v>461.06209999999999</v>
      </c>
      <c r="I1013">
        <v>4.9000000000000002E-2</v>
      </c>
      <c r="J1013">
        <v>3.3000000000000002E-2</v>
      </c>
      <c r="K1013">
        <v>4.3999999999999997E-2</v>
      </c>
      <c r="L1013">
        <v>2305.4</v>
      </c>
      <c r="M1013">
        <v>2313.4</v>
      </c>
      <c r="N1013">
        <v>2329.8000000000002</v>
      </c>
      <c r="Q1013">
        <f t="shared" si="72"/>
        <v>456.3</v>
      </c>
      <c r="R1013">
        <f t="shared" si="73"/>
        <v>456.3</v>
      </c>
      <c r="S1013">
        <f t="shared" si="74"/>
        <v>1</v>
      </c>
    </row>
    <row r="1014" spans="1:19" x14ac:dyDescent="0.25">
      <c r="A1014" s="2">
        <v>44896</v>
      </c>
      <c r="B1014" s="3">
        <v>335</v>
      </c>
      <c r="C1014" s="3">
        <v>200</v>
      </c>
      <c r="D1014">
        <v>456.76589999999999</v>
      </c>
      <c r="E1014">
        <v>4.4999999999999998E-2</v>
      </c>
      <c r="F1014">
        <v>450.21719999999999</v>
      </c>
      <c r="G1014">
        <v>458.58240000000001</v>
      </c>
      <c r="H1014">
        <v>461.49799999999999</v>
      </c>
      <c r="I1014">
        <v>5.0999999999999997E-2</v>
      </c>
      <c r="J1014">
        <v>4.9000000000000002E-2</v>
      </c>
      <c r="K1014">
        <v>3.1E-2</v>
      </c>
      <c r="L1014">
        <v>2306.1999999999998</v>
      </c>
      <c r="M1014">
        <v>2314.4</v>
      </c>
      <c r="N1014">
        <v>2330.6</v>
      </c>
      <c r="Q1014">
        <f t="shared" si="72"/>
        <v>456.8</v>
      </c>
      <c r="R1014">
        <f t="shared" si="73"/>
        <v>456.8</v>
      </c>
      <c r="S1014">
        <f t="shared" si="74"/>
        <v>0.5</v>
      </c>
    </row>
    <row r="1015" spans="1:19" x14ac:dyDescent="0.25">
      <c r="A1015" s="2">
        <v>44896</v>
      </c>
      <c r="B1015" s="3">
        <v>335</v>
      </c>
      <c r="C1015" s="3">
        <v>300</v>
      </c>
      <c r="D1015">
        <v>457.02960000000002</v>
      </c>
      <c r="E1015">
        <v>4.7E-2</v>
      </c>
      <c r="F1015">
        <v>450.46449999999999</v>
      </c>
      <c r="G1015">
        <v>458.85610000000003</v>
      </c>
      <c r="H1015">
        <v>461.76819999999998</v>
      </c>
      <c r="I1015">
        <v>4.8000000000000001E-2</v>
      </c>
      <c r="J1015">
        <v>4.1000000000000002E-2</v>
      </c>
      <c r="K1015">
        <v>5.1999999999999998E-2</v>
      </c>
      <c r="L1015">
        <v>2306.6</v>
      </c>
      <c r="M1015">
        <v>2314.8000000000002</v>
      </c>
      <c r="N1015">
        <v>2331.1999999999998</v>
      </c>
      <c r="Q1015">
        <f t="shared" si="72"/>
        <v>457</v>
      </c>
      <c r="R1015">
        <f t="shared" si="73"/>
        <v>457</v>
      </c>
      <c r="S1015">
        <f t="shared" si="74"/>
        <v>0.19999999999998863</v>
      </c>
    </row>
    <row r="1016" spans="1:19" x14ac:dyDescent="0.25">
      <c r="A1016" s="2">
        <v>44896</v>
      </c>
      <c r="B1016" s="3">
        <v>335</v>
      </c>
      <c r="C1016" s="3">
        <v>400</v>
      </c>
      <c r="D1016">
        <v>457.24560000000002</v>
      </c>
      <c r="E1016">
        <v>4.4999999999999998E-2</v>
      </c>
      <c r="F1016">
        <v>450.66750000000002</v>
      </c>
      <c r="G1016">
        <v>459.08870000000002</v>
      </c>
      <c r="H1016">
        <v>461.98070000000001</v>
      </c>
      <c r="I1016">
        <v>4.2000000000000003E-2</v>
      </c>
      <c r="J1016">
        <v>0.04</v>
      </c>
      <c r="K1016">
        <v>5.1999999999999998E-2</v>
      </c>
      <c r="L1016">
        <v>2306.8000000000002</v>
      </c>
      <c r="M1016">
        <v>2315.4</v>
      </c>
      <c r="N1016">
        <v>2331.6</v>
      </c>
      <c r="Q1016">
        <f t="shared" si="72"/>
        <v>457.2</v>
      </c>
      <c r="R1016">
        <f t="shared" si="73"/>
        <v>457.2</v>
      </c>
      <c r="S1016">
        <f t="shared" si="74"/>
        <v>0.19999999999998863</v>
      </c>
    </row>
    <row r="1017" spans="1:19" x14ac:dyDescent="0.25">
      <c r="A1017" s="2">
        <v>44896</v>
      </c>
      <c r="B1017" s="3">
        <v>335</v>
      </c>
      <c r="C1017" s="3">
        <v>500</v>
      </c>
      <c r="D1017">
        <v>457.30329999999998</v>
      </c>
      <c r="E1017">
        <v>4.5999999999999999E-2</v>
      </c>
      <c r="F1017">
        <v>450.70069999999998</v>
      </c>
      <c r="G1017">
        <v>459.1259</v>
      </c>
      <c r="H1017">
        <v>462.08330000000001</v>
      </c>
      <c r="I1017">
        <v>3.2000000000000001E-2</v>
      </c>
      <c r="J1017">
        <v>5.1999999999999998E-2</v>
      </c>
      <c r="K1017">
        <v>5.1999999999999998E-2</v>
      </c>
      <c r="L1017">
        <v>2307</v>
      </c>
      <c r="M1017">
        <v>2315.4</v>
      </c>
      <c r="N1017">
        <v>2331.8000000000002</v>
      </c>
      <c r="Q1017">
        <f t="shared" si="72"/>
        <v>457.3</v>
      </c>
      <c r="R1017">
        <f t="shared" si="73"/>
        <v>457.3</v>
      </c>
      <c r="S1017">
        <f t="shared" si="74"/>
        <v>0.10000000000002274</v>
      </c>
    </row>
    <row r="1018" spans="1:19" x14ac:dyDescent="0.25">
      <c r="A1018" s="2">
        <v>44896</v>
      </c>
      <c r="B1018" s="3">
        <v>335</v>
      </c>
      <c r="C1018" s="3">
        <v>600</v>
      </c>
      <c r="D1018">
        <v>457.28410000000002</v>
      </c>
      <c r="E1018">
        <v>4.2999999999999997E-2</v>
      </c>
      <c r="F1018">
        <v>450.6952</v>
      </c>
      <c r="G1018">
        <v>459.09050000000002</v>
      </c>
      <c r="H1018">
        <v>462.06650000000002</v>
      </c>
      <c r="I1018">
        <v>3.5999999999999997E-2</v>
      </c>
      <c r="J1018">
        <v>4.1000000000000002E-2</v>
      </c>
      <c r="K1018">
        <v>5.0999999999999997E-2</v>
      </c>
      <c r="L1018">
        <v>2307</v>
      </c>
      <c r="M1018">
        <v>2315.1999999999998</v>
      </c>
      <c r="N1018">
        <v>2331.8000000000002</v>
      </c>
      <c r="Q1018">
        <f t="shared" si="72"/>
        <v>457.3</v>
      </c>
      <c r="R1018">
        <f t="shared" si="73"/>
        <v>457.3</v>
      </c>
      <c r="S1018">
        <f t="shared" si="74"/>
        <v>0</v>
      </c>
    </row>
    <row r="1019" spans="1:19" x14ac:dyDescent="0.25">
      <c r="A1019" s="2">
        <v>44896</v>
      </c>
      <c r="B1019" s="3">
        <v>335</v>
      </c>
      <c r="C1019" s="3">
        <v>700</v>
      </c>
      <c r="D1019">
        <v>457.26429999999999</v>
      </c>
      <c r="E1019">
        <v>0.04</v>
      </c>
      <c r="F1019">
        <v>450.673</v>
      </c>
      <c r="G1019">
        <v>459.07380000000001</v>
      </c>
      <c r="H1019">
        <v>462.04599999999999</v>
      </c>
      <c r="I1019">
        <v>4.2999999999999997E-2</v>
      </c>
      <c r="J1019">
        <v>3.4000000000000002E-2</v>
      </c>
      <c r="K1019">
        <v>4.1000000000000002E-2</v>
      </c>
      <c r="L1019">
        <v>2306.8000000000002</v>
      </c>
      <c r="M1019">
        <v>2315.1999999999998</v>
      </c>
      <c r="N1019">
        <v>2331.6</v>
      </c>
      <c r="Q1019">
        <f t="shared" si="72"/>
        <v>457.3</v>
      </c>
      <c r="R1019">
        <f t="shared" si="73"/>
        <v>457.3</v>
      </c>
      <c r="S1019">
        <f t="shared" si="74"/>
        <v>0</v>
      </c>
    </row>
    <row r="1020" spans="1:19" x14ac:dyDescent="0.25">
      <c r="A1020" s="2">
        <v>44896</v>
      </c>
      <c r="B1020" s="3">
        <v>335</v>
      </c>
      <c r="C1020" s="3">
        <v>800</v>
      </c>
      <c r="D1020">
        <v>457.2439</v>
      </c>
      <c r="E1020">
        <v>4.2000000000000003E-2</v>
      </c>
      <c r="F1020">
        <v>450.65460000000002</v>
      </c>
      <c r="G1020">
        <v>459.0421</v>
      </c>
      <c r="H1020">
        <v>462.03480000000002</v>
      </c>
      <c r="I1020">
        <v>4.9000000000000002E-2</v>
      </c>
      <c r="J1020">
        <v>4.5999999999999999E-2</v>
      </c>
      <c r="K1020">
        <v>0.03</v>
      </c>
      <c r="L1020">
        <v>2306.8000000000002</v>
      </c>
      <c r="M1020">
        <v>2315</v>
      </c>
      <c r="N1020">
        <v>2331.6</v>
      </c>
      <c r="Q1020">
        <f t="shared" si="72"/>
        <v>457.2</v>
      </c>
      <c r="R1020">
        <f t="shared" si="73"/>
        <v>457.3</v>
      </c>
      <c r="S1020">
        <f t="shared" si="74"/>
        <v>0</v>
      </c>
    </row>
    <row r="1021" spans="1:19" x14ac:dyDescent="0.25">
      <c r="A1021" s="2">
        <v>44896</v>
      </c>
      <c r="B1021" s="3">
        <v>335</v>
      </c>
      <c r="C1021" s="3">
        <v>900</v>
      </c>
      <c r="D1021">
        <v>457.22649999999999</v>
      </c>
      <c r="E1021">
        <v>4.3999999999999997E-2</v>
      </c>
      <c r="F1021">
        <v>450.63240000000002</v>
      </c>
      <c r="G1021">
        <v>459.02910000000003</v>
      </c>
      <c r="H1021">
        <v>462.01799999999997</v>
      </c>
      <c r="I1021">
        <v>5.0999999999999997E-2</v>
      </c>
      <c r="J1021">
        <v>5.0999999999999997E-2</v>
      </c>
      <c r="K1021">
        <v>2.7E-2</v>
      </c>
      <c r="L1021">
        <v>2307</v>
      </c>
      <c r="M1021">
        <v>2315</v>
      </c>
      <c r="N1021">
        <v>2331.6</v>
      </c>
      <c r="Q1021">
        <f t="shared" si="72"/>
        <v>457.2</v>
      </c>
      <c r="R1021">
        <f t="shared" si="73"/>
        <v>457.3</v>
      </c>
      <c r="S1021">
        <f t="shared" si="74"/>
        <v>0</v>
      </c>
    </row>
    <row r="1022" spans="1:19" x14ac:dyDescent="0.25">
      <c r="A1022" s="2">
        <v>44896</v>
      </c>
      <c r="B1022" s="3">
        <v>335</v>
      </c>
      <c r="C1022" s="3">
        <v>1000</v>
      </c>
      <c r="D1022">
        <v>457.18759999999997</v>
      </c>
      <c r="E1022">
        <v>4.3999999999999997E-2</v>
      </c>
      <c r="F1022">
        <v>450.59350000000001</v>
      </c>
      <c r="G1022">
        <v>458.9896</v>
      </c>
      <c r="H1022">
        <v>461.97969999999998</v>
      </c>
      <c r="I1022">
        <v>3.3000000000000002E-2</v>
      </c>
      <c r="J1022">
        <v>4.3999999999999997E-2</v>
      </c>
      <c r="K1022">
        <v>5.1999999999999998E-2</v>
      </c>
      <c r="L1022">
        <v>2306.8000000000002</v>
      </c>
      <c r="M1022">
        <v>2315</v>
      </c>
      <c r="N1022">
        <v>2331.4</v>
      </c>
      <c r="Q1022">
        <f t="shared" si="72"/>
        <v>457.2</v>
      </c>
      <c r="R1022">
        <f t="shared" si="73"/>
        <v>457.3</v>
      </c>
      <c r="S1022">
        <f t="shared" si="74"/>
        <v>0</v>
      </c>
    </row>
    <row r="1023" spans="1:19" x14ac:dyDescent="0.25">
      <c r="A1023" s="2">
        <v>44896</v>
      </c>
      <c r="B1023" s="3">
        <v>335</v>
      </c>
      <c r="C1023" s="3">
        <v>1100</v>
      </c>
      <c r="D1023">
        <v>457.24689999999998</v>
      </c>
      <c r="E1023">
        <v>4.1000000000000002E-2</v>
      </c>
      <c r="F1023">
        <v>450.74220000000003</v>
      </c>
      <c r="G1023">
        <v>459.0609</v>
      </c>
      <c r="H1023">
        <v>461.9375</v>
      </c>
      <c r="I1023">
        <v>5.1999999999999998E-2</v>
      </c>
      <c r="J1023">
        <v>2.9000000000000001E-2</v>
      </c>
      <c r="K1023">
        <v>3.7999999999999999E-2</v>
      </c>
      <c r="L1023">
        <v>2307</v>
      </c>
      <c r="M1023">
        <v>2315.1999999999998</v>
      </c>
      <c r="N1023">
        <v>2331.4</v>
      </c>
      <c r="Q1023">
        <f t="shared" si="72"/>
        <v>457.2</v>
      </c>
      <c r="R1023">
        <f t="shared" si="73"/>
        <v>457.3</v>
      </c>
      <c r="S1023">
        <f t="shared" si="74"/>
        <v>0</v>
      </c>
    </row>
    <row r="1024" spans="1:19" x14ac:dyDescent="0.25">
      <c r="A1024" s="2">
        <v>44896</v>
      </c>
      <c r="B1024" s="3">
        <v>335</v>
      </c>
      <c r="C1024" s="3">
        <v>1200</v>
      </c>
      <c r="D1024">
        <v>457.19189999999998</v>
      </c>
      <c r="E1024">
        <v>4.9000000000000002E-2</v>
      </c>
      <c r="F1024">
        <v>450.75310000000002</v>
      </c>
      <c r="G1024">
        <v>458.97859999999997</v>
      </c>
      <c r="H1024">
        <v>461.84410000000003</v>
      </c>
      <c r="I1024">
        <v>0.05</v>
      </c>
      <c r="J1024">
        <v>5.1999999999999998E-2</v>
      </c>
      <c r="K1024">
        <v>4.5999999999999999E-2</v>
      </c>
      <c r="L1024">
        <v>2307.1999999999998</v>
      </c>
      <c r="M1024">
        <v>2314.8000000000002</v>
      </c>
      <c r="N1024">
        <v>2331.1999999999998</v>
      </c>
      <c r="Q1024">
        <f t="shared" si="72"/>
        <v>457.2</v>
      </c>
      <c r="R1024">
        <f t="shared" si="73"/>
        <v>457.3</v>
      </c>
      <c r="S1024">
        <f t="shared" si="74"/>
        <v>0</v>
      </c>
    </row>
    <row r="1025" spans="1:19" x14ac:dyDescent="0.25">
      <c r="A1025" s="2">
        <v>44896</v>
      </c>
      <c r="B1025" s="3">
        <v>335</v>
      </c>
      <c r="C1025" s="3">
        <v>1300</v>
      </c>
      <c r="D1025">
        <v>457.09230000000002</v>
      </c>
      <c r="E1025">
        <v>4.9000000000000002E-2</v>
      </c>
      <c r="F1025">
        <v>450.62439999999998</v>
      </c>
      <c r="G1025">
        <v>458.88909999999998</v>
      </c>
      <c r="H1025">
        <v>461.7636</v>
      </c>
      <c r="I1025">
        <v>0.05</v>
      </c>
      <c r="J1025">
        <v>4.5999999999999999E-2</v>
      </c>
      <c r="K1025">
        <v>5.1999999999999998E-2</v>
      </c>
      <c r="L1025">
        <v>2306.8000000000002</v>
      </c>
      <c r="M1025">
        <v>2315</v>
      </c>
      <c r="N1025">
        <v>2331.1999999999998</v>
      </c>
      <c r="Q1025">
        <f t="shared" si="72"/>
        <v>457.1</v>
      </c>
      <c r="R1025">
        <f t="shared" si="73"/>
        <v>457.3</v>
      </c>
      <c r="S1025">
        <f t="shared" si="74"/>
        <v>0</v>
      </c>
    </row>
    <row r="1026" spans="1:19" x14ac:dyDescent="0.25">
      <c r="A1026" s="2">
        <v>44896</v>
      </c>
      <c r="B1026" s="3">
        <v>335</v>
      </c>
      <c r="C1026" s="3">
        <v>1400</v>
      </c>
      <c r="D1026">
        <v>456.98770000000002</v>
      </c>
      <c r="E1026">
        <v>4.7E-2</v>
      </c>
      <c r="F1026">
        <v>450.54820000000001</v>
      </c>
      <c r="G1026">
        <v>458.72269999999997</v>
      </c>
      <c r="H1026">
        <v>461.69220000000001</v>
      </c>
      <c r="I1026">
        <v>0.05</v>
      </c>
      <c r="J1026">
        <v>4.9000000000000002E-2</v>
      </c>
      <c r="K1026">
        <v>4.1000000000000002E-2</v>
      </c>
      <c r="L1026">
        <v>2306.8000000000002</v>
      </c>
      <c r="M1026">
        <v>2314.6</v>
      </c>
      <c r="N1026">
        <v>2331</v>
      </c>
      <c r="Q1026">
        <f t="shared" si="72"/>
        <v>457</v>
      </c>
      <c r="R1026">
        <f t="shared" si="73"/>
        <v>457.3</v>
      </c>
      <c r="S1026">
        <f t="shared" si="74"/>
        <v>0</v>
      </c>
    </row>
    <row r="1027" spans="1:19" x14ac:dyDescent="0.25">
      <c r="A1027" s="2">
        <v>44896</v>
      </c>
      <c r="B1027" s="3">
        <v>335</v>
      </c>
      <c r="C1027" s="3">
        <v>1500</v>
      </c>
      <c r="D1027">
        <v>456.87060000000002</v>
      </c>
      <c r="E1027">
        <v>3.9E-2</v>
      </c>
      <c r="F1027">
        <v>450.36680000000001</v>
      </c>
      <c r="G1027">
        <v>458.5197</v>
      </c>
      <c r="H1027">
        <v>461.7251</v>
      </c>
      <c r="I1027">
        <v>3.4000000000000002E-2</v>
      </c>
      <c r="J1027">
        <v>4.7E-2</v>
      </c>
      <c r="K1027">
        <v>3.4000000000000002E-2</v>
      </c>
      <c r="L1027">
        <v>2306.4</v>
      </c>
      <c r="M1027">
        <v>2314</v>
      </c>
      <c r="N1027">
        <v>2331</v>
      </c>
      <c r="Q1027">
        <f t="shared" si="72"/>
        <v>456.9</v>
      </c>
      <c r="R1027">
        <f t="shared" si="73"/>
        <v>457.3</v>
      </c>
      <c r="S1027">
        <f t="shared" si="74"/>
        <v>0</v>
      </c>
    </row>
    <row r="1028" spans="1:19" x14ac:dyDescent="0.25">
      <c r="A1028" s="2">
        <v>44896</v>
      </c>
      <c r="B1028" s="3">
        <v>335</v>
      </c>
      <c r="C1028" s="3">
        <v>1600</v>
      </c>
      <c r="D1028">
        <v>456.89510000000001</v>
      </c>
      <c r="E1028">
        <v>5.0999999999999997E-2</v>
      </c>
      <c r="F1028">
        <v>450.32150000000001</v>
      </c>
      <c r="G1028">
        <v>458.59100000000001</v>
      </c>
      <c r="H1028">
        <v>461.77269999999999</v>
      </c>
      <c r="I1028">
        <v>5.0999999999999997E-2</v>
      </c>
      <c r="J1028">
        <v>5.0999999999999997E-2</v>
      </c>
      <c r="K1028">
        <v>5.1999999999999998E-2</v>
      </c>
      <c r="L1028">
        <v>2306.4</v>
      </c>
      <c r="M1028">
        <v>2314.1999999999998</v>
      </c>
      <c r="N1028">
        <v>2331.1999999999998</v>
      </c>
      <c r="Q1028">
        <f t="shared" si="72"/>
        <v>456.9</v>
      </c>
      <c r="R1028">
        <f t="shared" si="73"/>
        <v>457.3</v>
      </c>
      <c r="S1028">
        <f t="shared" si="74"/>
        <v>0</v>
      </c>
    </row>
    <row r="1029" spans="1:19" x14ac:dyDescent="0.25">
      <c r="A1029" s="2">
        <v>44896</v>
      </c>
      <c r="B1029" s="3">
        <v>335</v>
      </c>
      <c r="C1029" s="3">
        <v>1700</v>
      </c>
      <c r="D1029">
        <v>457.01499999999999</v>
      </c>
      <c r="E1029">
        <v>4.2999999999999997E-2</v>
      </c>
      <c r="F1029">
        <v>450.37580000000003</v>
      </c>
      <c r="G1029">
        <v>458.76310000000001</v>
      </c>
      <c r="H1029">
        <v>461.90609999999998</v>
      </c>
      <c r="I1029">
        <v>4.3999999999999997E-2</v>
      </c>
      <c r="J1029">
        <v>4.5999999999999999E-2</v>
      </c>
      <c r="K1029">
        <v>3.6999999999999998E-2</v>
      </c>
      <c r="L1029">
        <v>2306.4</v>
      </c>
      <c r="M1029">
        <v>2314.6</v>
      </c>
      <c r="N1029">
        <v>2331.4</v>
      </c>
      <c r="Q1029">
        <f t="shared" si="72"/>
        <v>457</v>
      </c>
      <c r="R1029">
        <f t="shared" si="73"/>
        <v>457.3</v>
      </c>
      <c r="S1029">
        <f t="shared" si="74"/>
        <v>0</v>
      </c>
    </row>
    <row r="1030" spans="1:19" x14ac:dyDescent="0.25">
      <c r="A1030" s="2">
        <v>44896</v>
      </c>
      <c r="B1030" s="3">
        <v>335</v>
      </c>
      <c r="C1030" s="3">
        <v>1800</v>
      </c>
      <c r="D1030">
        <v>457.07940000000002</v>
      </c>
      <c r="E1030">
        <v>5.0999999999999997E-2</v>
      </c>
      <c r="F1030">
        <v>450.42939999999999</v>
      </c>
      <c r="G1030">
        <v>458.82260000000002</v>
      </c>
      <c r="H1030">
        <v>461.98630000000003</v>
      </c>
      <c r="I1030">
        <v>5.1999999999999998E-2</v>
      </c>
      <c r="J1030">
        <v>0.05</v>
      </c>
      <c r="K1030">
        <v>5.0999999999999997E-2</v>
      </c>
      <c r="L1030">
        <v>2306.6</v>
      </c>
      <c r="M1030">
        <v>2314.8000000000002</v>
      </c>
      <c r="N1030">
        <v>2331.4</v>
      </c>
      <c r="Q1030">
        <f t="shared" si="72"/>
        <v>457.1</v>
      </c>
      <c r="R1030">
        <f t="shared" si="73"/>
        <v>457.3</v>
      </c>
      <c r="S1030">
        <f t="shared" si="74"/>
        <v>0</v>
      </c>
    </row>
    <row r="1031" spans="1:19" x14ac:dyDescent="0.25">
      <c r="A1031" s="2">
        <v>44896</v>
      </c>
      <c r="B1031" s="3">
        <v>335</v>
      </c>
      <c r="C1031" s="3">
        <v>1900</v>
      </c>
      <c r="D1031">
        <v>457.0992</v>
      </c>
      <c r="E1031">
        <v>4.3999999999999997E-2</v>
      </c>
      <c r="F1031">
        <v>450.45710000000003</v>
      </c>
      <c r="G1031">
        <v>458.83929999999998</v>
      </c>
      <c r="H1031">
        <v>462.00130000000001</v>
      </c>
      <c r="I1031">
        <v>4.4999999999999998E-2</v>
      </c>
      <c r="J1031">
        <v>4.2999999999999997E-2</v>
      </c>
      <c r="K1031">
        <v>4.3999999999999997E-2</v>
      </c>
      <c r="L1031">
        <v>2306.6</v>
      </c>
      <c r="M1031">
        <v>2314.8000000000002</v>
      </c>
      <c r="N1031">
        <v>2331.6</v>
      </c>
      <c r="Q1031">
        <f t="shared" si="72"/>
        <v>457.1</v>
      </c>
      <c r="R1031">
        <f t="shared" si="73"/>
        <v>457.3</v>
      </c>
      <c r="S1031">
        <f t="shared" si="74"/>
        <v>0</v>
      </c>
    </row>
    <row r="1032" spans="1:19" x14ac:dyDescent="0.25">
      <c r="A1032" s="2">
        <v>44896</v>
      </c>
      <c r="B1032" s="3">
        <v>335</v>
      </c>
      <c r="C1032" s="3">
        <v>2000</v>
      </c>
      <c r="D1032">
        <v>457.12459999999999</v>
      </c>
      <c r="E1032">
        <v>4.3999999999999997E-2</v>
      </c>
      <c r="F1032">
        <v>450.49220000000003</v>
      </c>
      <c r="G1032">
        <v>458.8784</v>
      </c>
      <c r="H1032">
        <v>462.00310000000002</v>
      </c>
      <c r="I1032">
        <v>4.4999999999999998E-2</v>
      </c>
      <c r="J1032">
        <v>4.2999999999999997E-2</v>
      </c>
      <c r="K1032">
        <v>4.2999999999999997E-2</v>
      </c>
      <c r="L1032">
        <v>2306.6</v>
      </c>
      <c r="M1032">
        <v>2314.8000000000002</v>
      </c>
      <c r="N1032">
        <v>2331.4</v>
      </c>
      <c r="Q1032">
        <f t="shared" si="72"/>
        <v>457.1</v>
      </c>
      <c r="R1032">
        <f t="shared" si="73"/>
        <v>457.3</v>
      </c>
      <c r="S1032">
        <f t="shared" si="74"/>
        <v>0</v>
      </c>
    </row>
    <row r="1033" spans="1:19" x14ac:dyDescent="0.25">
      <c r="A1033" s="2">
        <v>44896</v>
      </c>
      <c r="B1033" s="3">
        <v>335</v>
      </c>
      <c r="C1033" s="3">
        <v>2100</v>
      </c>
      <c r="D1033">
        <v>457.12700000000001</v>
      </c>
      <c r="E1033">
        <v>4.2999999999999997E-2</v>
      </c>
      <c r="F1033">
        <v>450.50510000000003</v>
      </c>
      <c r="G1033">
        <v>458.8802</v>
      </c>
      <c r="H1033">
        <v>461.9957</v>
      </c>
      <c r="I1033">
        <v>4.2000000000000003E-2</v>
      </c>
      <c r="J1033">
        <v>0.04</v>
      </c>
      <c r="K1033">
        <v>4.7E-2</v>
      </c>
      <c r="L1033">
        <v>2306.6</v>
      </c>
      <c r="M1033">
        <v>2314.8000000000002</v>
      </c>
      <c r="N1033">
        <v>2331.4</v>
      </c>
      <c r="Q1033">
        <f t="shared" si="72"/>
        <v>457.1</v>
      </c>
      <c r="R1033">
        <f t="shared" si="73"/>
        <v>457.3</v>
      </c>
      <c r="S1033">
        <f t="shared" si="74"/>
        <v>0</v>
      </c>
    </row>
    <row r="1034" spans="1:19" x14ac:dyDescent="0.25">
      <c r="A1034" s="2">
        <v>44896</v>
      </c>
      <c r="B1034" s="3">
        <v>335</v>
      </c>
      <c r="C1034" s="3">
        <v>2200</v>
      </c>
      <c r="D1034">
        <v>457.07819999999998</v>
      </c>
      <c r="E1034">
        <v>4.7E-2</v>
      </c>
      <c r="F1034">
        <v>450.43860000000001</v>
      </c>
      <c r="G1034">
        <v>458.791</v>
      </c>
      <c r="H1034">
        <v>462.005</v>
      </c>
      <c r="I1034">
        <v>5.0999999999999997E-2</v>
      </c>
      <c r="J1034">
        <v>4.9000000000000002E-2</v>
      </c>
      <c r="K1034">
        <v>4.2000000000000003E-2</v>
      </c>
      <c r="L1034">
        <v>2306.6</v>
      </c>
      <c r="M1034">
        <v>2314.8000000000002</v>
      </c>
      <c r="N1034">
        <v>2331.6</v>
      </c>
      <c r="Q1034">
        <f t="shared" si="72"/>
        <v>457.1</v>
      </c>
      <c r="R1034">
        <f t="shared" si="73"/>
        <v>457.3</v>
      </c>
      <c r="S1034">
        <f t="shared" si="74"/>
        <v>0</v>
      </c>
    </row>
    <row r="1035" spans="1:19" x14ac:dyDescent="0.25">
      <c r="A1035" s="2">
        <v>44896</v>
      </c>
      <c r="B1035" s="3">
        <v>335</v>
      </c>
      <c r="C1035" s="3">
        <v>2300</v>
      </c>
      <c r="D1035">
        <v>457.11470000000003</v>
      </c>
      <c r="E1035">
        <v>0.03</v>
      </c>
      <c r="F1035">
        <v>450.48110000000003</v>
      </c>
      <c r="G1035">
        <v>458.85419999999999</v>
      </c>
      <c r="H1035">
        <v>462.00869999999998</v>
      </c>
      <c r="I1035">
        <v>2.4E-2</v>
      </c>
      <c r="J1035">
        <v>2.7E-2</v>
      </c>
      <c r="K1035">
        <v>3.7999999999999999E-2</v>
      </c>
      <c r="L1035">
        <v>2306.6</v>
      </c>
      <c r="M1035">
        <v>2314.8000000000002</v>
      </c>
      <c r="N1035">
        <v>2331.6</v>
      </c>
      <c r="Q1035">
        <f t="shared" si="72"/>
        <v>457.1</v>
      </c>
      <c r="R1035">
        <f t="shared" si="73"/>
        <v>457.3</v>
      </c>
      <c r="S1035">
        <f t="shared" si="74"/>
        <v>0</v>
      </c>
    </row>
    <row r="1036" spans="1:19" x14ac:dyDescent="0.25">
      <c r="A1036" s="2">
        <v>44896</v>
      </c>
      <c r="B1036" s="3">
        <v>335</v>
      </c>
      <c r="C1036" s="3">
        <v>2400</v>
      </c>
      <c r="D1036">
        <v>457.10789999999997</v>
      </c>
      <c r="E1036">
        <v>3.9E-2</v>
      </c>
      <c r="F1036">
        <v>450.47559999999999</v>
      </c>
      <c r="G1036">
        <v>458.84300000000002</v>
      </c>
      <c r="H1036">
        <v>462.005</v>
      </c>
      <c r="I1036">
        <v>3.3000000000000002E-2</v>
      </c>
      <c r="J1036">
        <v>0.04</v>
      </c>
      <c r="K1036">
        <v>4.2000000000000003E-2</v>
      </c>
      <c r="L1036">
        <v>2306.4</v>
      </c>
      <c r="M1036">
        <v>2314.8000000000002</v>
      </c>
      <c r="N1036">
        <v>2331.6</v>
      </c>
      <c r="Q1036">
        <f t="shared" si="72"/>
        <v>457.1</v>
      </c>
      <c r="R1036">
        <f t="shared" si="73"/>
        <v>457.3</v>
      </c>
      <c r="S1036">
        <f t="shared" si="74"/>
        <v>0</v>
      </c>
    </row>
    <row r="1037" spans="1:19" x14ac:dyDescent="0.25">
      <c r="A1037" s="2">
        <v>44897</v>
      </c>
      <c r="B1037" s="3">
        <v>336</v>
      </c>
      <c r="C1037" s="3">
        <v>100</v>
      </c>
      <c r="D1037">
        <v>457.13479999999998</v>
      </c>
      <c r="E1037">
        <v>4.8000000000000001E-2</v>
      </c>
      <c r="F1037">
        <v>450.59739999999999</v>
      </c>
      <c r="G1037">
        <v>458.82819999999998</v>
      </c>
      <c r="H1037">
        <v>461.97890000000001</v>
      </c>
      <c r="I1037">
        <v>3.6999999999999998E-2</v>
      </c>
      <c r="J1037">
        <v>5.1999999999999998E-2</v>
      </c>
      <c r="K1037">
        <v>5.1999999999999998E-2</v>
      </c>
      <c r="L1037">
        <v>2307</v>
      </c>
      <c r="M1037">
        <v>2314.6</v>
      </c>
      <c r="N1037">
        <v>2331.4</v>
      </c>
      <c r="Q1037">
        <f t="shared" si="72"/>
        <v>457.1</v>
      </c>
      <c r="R1037">
        <f t="shared" si="73"/>
        <v>457.3</v>
      </c>
      <c r="S1037">
        <f t="shared" si="74"/>
        <v>0</v>
      </c>
    </row>
    <row r="1038" spans="1:19" x14ac:dyDescent="0.25">
      <c r="A1038" s="2">
        <v>44897</v>
      </c>
      <c r="B1038" s="3">
        <v>336</v>
      </c>
      <c r="C1038" s="3">
        <v>200</v>
      </c>
      <c r="D1038">
        <v>457.07859999999999</v>
      </c>
      <c r="E1038">
        <v>4.2000000000000003E-2</v>
      </c>
      <c r="F1038">
        <v>450.49579999999997</v>
      </c>
      <c r="G1038">
        <v>458.80399999999997</v>
      </c>
      <c r="H1038">
        <v>461.9359</v>
      </c>
      <c r="I1038">
        <v>3.4000000000000002E-2</v>
      </c>
      <c r="J1038">
        <v>5.1999999999999998E-2</v>
      </c>
      <c r="K1038">
        <v>3.6999999999999998E-2</v>
      </c>
      <c r="L1038">
        <v>2306.6</v>
      </c>
      <c r="M1038">
        <v>2314.8000000000002</v>
      </c>
      <c r="N1038">
        <v>2331.4</v>
      </c>
      <c r="Q1038">
        <f t="shared" si="72"/>
        <v>457.1</v>
      </c>
      <c r="R1038">
        <f t="shared" si="73"/>
        <v>457.3</v>
      </c>
      <c r="S1038">
        <f t="shared" si="74"/>
        <v>0</v>
      </c>
    </row>
    <row r="1039" spans="1:19" x14ac:dyDescent="0.25">
      <c r="A1039" s="2">
        <v>44897</v>
      </c>
      <c r="B1039" s="3">
        <v>336</v>
      </c>
      <c r="C1039" s="3">
        <v>300</v>
      </c>
      <c r="D1039">
        <v>457.0804</v>
      </c>
      <c r="E1039">
        <v>4.2000000000000003E-2</v>
      </c>
      <c r="F1039">
        <v>450.49770000000001</v>
      </c>
      <c r="G1039">
        <v>458.80770000000001</v>
      </c>
      <c r="H1039">
        <v>461.9359</v>
      </c>
      <c r="I1039">
        <v>3.5999999999999997E-2</v>
      </c>
      <c r="J1039">
        <v>5.1999999999999998E-2</v>
      </c>
      <c r="K1039">
        <v>3.6999999999999998E-2</v>
      </c>
      <c r="L1039">
        <v>2306.6</v>
      </c>
      <c r="M1039">
        <v>2314.8000000000002</v>
      </c>
      <c r="N1039">
        <v>2331.4</v>
      </c>
      <c r="Q1039">
        <f t="shared" si="72"/>
        <v>457.1</v>
      </c>
      <c r="R1039">
        <f t="shared" si="73"/>
        <v>457.3</v>
      </c>
      <c r="S1039">
        <f t="shared" si="74"/>
        <v>0</v>
      </c>
    </row>
    <row r="1040" spans="1:19" x14ac:dyDescent="0.25">
      <c r="A1040" s="2">
        <v>44897</v>
      </c>
      <c r="B1040" s="3">
        <v>336</v>
      </c>
      <c r="C1040" s="3">
        <v>400</v>
      </c>
      <c r="D1040">
        <v>457.07119999999998</v>
      </c>
      <c r="E1040">
        <v>3.6999999999999998E-2</v>
      </c>
      <c r="F1040">
        <v>450.48110000000003</v>
      </c>
      <c r="G1040">
        <v>458.80399999999997</v>
      </c>
      <c r="H1040">
        <v>461.92849999999999</v>
      </c>
      <c r="I1040">
        <v>2.4E-2</v>
      </c>
      <c r="J1040">
        <v>5.1999999999999998E-2</v>
      </c>
      <c r="K1040">
        <v>2.7E-2</v>
      </c>
      <c r="L1040">
        <v>2306.6</v>
      </c>
      <c r="M1040">
        <v>2314.8000000000002</v>
      </c>
      <c r="N1040">
        <v>2331.4</v>
      </c>
      <c r="Q1040">
        <f t="shared" si="72"/>
        <v>457.1</v>
      </c>
      <c r="R1040">
        <f t="shared" si="73"/>
        <v>457.3</v>
      </c>
      <c r="S1040">
        <f t="shared" si="74"/>
        <v>0</v>
      </c>
    </row>
    <row r="1041" spans="1:19" x14ac:dyDescent="0.25">
      <c r="A1041" s="2">
        <v>44897</v>
      </c>
      <c r="B1041" s="3">
        <v>336</v>
      </c>
      <c r="C1041" s="3">
        <v>500</v>
      </c>
      <c r="D1041">
        <v>457.05759999999998</v>
      </c>
      <c r="E1041">
        <v>4.1000000000000002E-2</v>
      </c>
      <c r="F1041">
        <v>450.46820000000002</v>
      </c>
      <c r="G1041">
        <v>458.7928</v>
      </c>
      <c r="H1041">
        <v>461.9117</v>
      </c>
      <c r="I1041">
        <v>4.1000000000000002E-2</v>
      </c>
      <c r="J1041">
        <v>4.9000000000000002E-2</v>
      </c>
      <c r="K1041">
        <v>0.03</v>
      </c>
      <c r="L1041">
        <v>2306.6</v>
      </c>
      <c r="M1041">
        <v>2314.8000000000002</v>
      </c>
      <c r="N1041">
        <v>2331.4</v>
      </c>
      <c r="Q1041">
        <f t="shared" si="72"/>
        <v>457.1</v>
      </c>
      <c r="R1041">
        <f t="shared" si="73"/>
        <v>457.3</v>
      </c>
      <c r="S1041">
        <f t="shared" si="74"/>
        <v>0</v>
      </c>
    </row>
    <row r="1042" spans="1:19" x14ac:dyDescent="0.25">
      <c r="A1042" s="2">
        <v>44897</v>
      </c>
      <c r="B1042" s="3">
        <v>336</v>
      </c>
      <c r="C1042" s="3">
        <v>600</v>
      </c>
      <c r="D1042">
        <v>457.04149999999998</v>
      </c>
      <c r="E1042">
        <v>4.5999999999999999E-2</v>
      </c>
      <c r="F1042">
        <v>450.44970000000001</v>
      </c>
      <c r="G1042">
        <v>458.7817</v>
      </c>
      <c r="H1042">
        <v>461.8931</v>
      </c>
      <c r="I1042">
        <v>4.8000000000000001E-2</v>
      </c>
      <c r="J1042">
        <v>4.3999999999999997E-2</v>
      </c>
      <c r="K1042">
        <v>4.5999999999999999E-2</v>
      </c>
      <c r="L1042">
        <v>2306.6</v>
      </c>
      <c r="M1042">
        <v>2314.6</v>
      </c>
      <c r="N1042">
        <v>2331.4</v>
      </c>
      <c r="Q1042">
        <f t="shared" si="72"/>
        <v>457</v>
      </c>
      <c r="R1042">
        <f t="shared" si="73"/>
        <v>457.3</v>
      </c>
      <c r="S1042">
        <f t="shared" si="74"/>
        <v>0</v>
      </c>
    </row>
    <row r="1043" spans="1:19" x14ac:dyDescent="0.25">
      <c r="A1043" s="2">
        <v>44897</v>
      </c>
      <c r="B1043" s="3">
        <v>336</v>
      </c>
      <c r="C1043" s="3">
        <v>700</v>
      </c>
      <c r="D1043">
        <v>457.02850000000001</v>
      </c>
      <c r="E1043">
        <v>4.5999999999999999E-2</v>
      </c>
      <c r="F1043">
        <v>450.43119999999999</v>
      </c>
      <c r="G1043">
        <v>458.76679999999999</v>
      </c>
      <c r="H1043">
        <v>461.88749999999999</v>
      </c>
      <c r="I1043">
        <v>5.1999999999999998E-2</v>
      </c>
      <c r="J1043">
        <v>3.5999999999999997E-2</v>
      </c>
      <c r="K1043">
        <v>4.9000000000000002E-2</v>
      </c>
      <c r="L1043">
        <v>2306.4</v>
      </c>
      <c r="M1043">
        <v>2314.6</v>
      </c>
      <c r="N1043">
        <v>2331.4</v>
      </c>
      <c r="Q1043">
        <f t="shared" ref="Q1043:Q1106" si="75">ROUND(D1043,1)</f>
        <v>457</v>
      </c>
      <c r="R1043">
        <f t="shared" si="73"/>
        <v>457.3</v>
      </c>
      <c r="S1043">
        <f t="shared" si="74"/>
        <v>0</v>
      </c>
    </row>
    <row r="1044" spans="1:19" x14ac:dyDescent="0.25">
      <c r="A1044" s="2">
        <v>44897</v>
      </c>
      <c r="B1044" s="3">
        <v>336</v>
      </c>
      <c r="C1044" s="3">
        <v>800</v>
      </c>
      <c r="D1044">
        <v>457.00560000000002</v>
      </c>
      <c r="E1044">
        <v>4.1000000000000002E-2</v>
      </c>
      <c r="F1044">
        <v>450.3888</v>
      </c>
      <c r="G1044">
        <v>458.74439999999998</v>
      </c>
      <c r="H1044">
        <v>461.88380000000001</v>
      </c>
      <c r="I1044">
        <v>2.9000000000000001E-2</v>
      </c>
      <c r="J1044">
        <v>0.04</v>
      </c>
      <c r="K1044">
        <v>0.05</v>
      </c>
      <c r="L1044">
        <v>2306.4</v>
      </c>
      <c r="M1044">
        <v>2314.4</v>
      </c>
      <c r="N1044">
        <v>2331.4</v>
      </c>
      <c r="Q1044">
        <f t="shared" si="75"/>
        <v>457</v>
      </c>
      <c r="R1044">
        <f t="shared" si="73"/>
        <v>457.3</v>
      </c>
      <c r="S1044">
        <f t="shared" si="74"/>
        <v>0</v>
      </c>
    </row>
    <row r="1045" spans="1:19" x14ac:dyDescent="0.25">
      <c r="A1045" s="2">
        <v>44897</v>
      </c>
      <c r="B1045" s="3">
        <v>336</v>
      </c>
      <c r="C1045" s="3">
        <v>900</v>
      </c>
      <c r="D1045">
        <v>457.11930000000001</v>
      </c>
      <c r="E1045">
        <v>4.8000000000000001E-2</v>
      </c>
      <c r="F1045">
        <v>450.55680000000001</v>
      </c>
      <c r="G1045">
        <v>458.93790000000001</v>
      </c>
      <c r="H1045">
        <v>461.86329999999998</v>
      </c>
      <c r="I1045">
        <v>4.7E-2</v>
      </c>
      <c r="J1045">
        <v>4.5999999999999999E-2</v>
      </c>
      <c r="K1045">
        <v>5.1999999999999998E-2</v>
      </c>
      <c r="L1045">
        <v>2306.8000000000002</v>
      </c>
      <c r="M1045">
        <v>2315</v>
      </c>
      <c r="N1045">
        <v>2331.1999999999998</v>
      </c>
      <c r="Q1045">
        <f t="shared" si="75"/>
        <v>457.1</v>
      </c>
      <c r="R1045">
        <f t="shared" si="73"/>
        <v>457.3</v>
      </c>
      <c r="S1045">
        <f t="shared" si="74"/>
        <v>0</v>
      </c>
    </row>
    <row r="1046" spans="1:19" x14ac:dyDescent="0.25">
      <c r="A1046" s="2">
        <v>44897</v>
      </c>
      <c r="B1046" s="3">
        <v>336</v>
      </c>
      <c r="C1046" s="3">
        <v>1000</v>
      </c>
      <c r="D1046">
        <v>457.05549999999999</v>
      </c>
      <c r="E1046">
        <v>4.3999999999999997E-2</v>
      </c>
      <c r="F1046">
        <v>450.5265</v>
      </c>
      <c r="G1046">
        <v>458.84339999999997</v>
      </c>
      <c r="H1046">
        <v>461.79649999999998</v>
      </c>
      <c r="I1046">
        <v>5.0999999999999997E-2</v>
      </c>
      <c r="J1046">
        <v>0.04</v>
      </c>
      <c r="K1046">
        <v>4.1000000000000002E-2</v>
      </c>
      <c r="L1046">
        <v>2306.6</v>
      </c>
      <c r="M1046">
        <v>2314.6</v>
      </c>
      <c r="N1046">
        <v>2331</v>
      </c>
      <c r="Q1046">
        <f t="shared" si="75"/>
        <v>457.1</v>
      </c>
      <c r="R1046">
        <f t="shared" si="73"/>
        <v>457.3</v>
      </c>
      <c r="S1046">
        <f t="shared" si="74"/>
        <v>0</v>
      </c>
    </row>
    <row r="1047" spans="1:19" x14ac:dyDescent="0.25">
      <c r="A1047" s="2">
        <v>44897</v>
      </c>
      <c r="B1047" s="3">
        <v>336</v>
      </c>
      <c r="C1047" s="3">
        <v>1100</v>
      </c>
      <c r="D1047">
        <v>456.94619999999998</v>
      </c>
      <c r="E1047">
        <v>4.3999999999999997E-2</v>
      </c>
      <c r="F1047">
        <v>450.34690000000001</v>
      </c>
      <c r="G1047">
        <v>458.74650000000003</v>
      </c>
      <c r="H1047">
        <v>461.74529999999999</v>
      </c>
      <c r="I1047">
        <v>4.8000000000000001E-2</v>
      </c>
      <c r="J1047">
        <v>3.2000000000000001E-2</v>
      </c>
      <c r="K1047">
        <v>4.9000000000000002E-2</v>
      </c>
      <c r="L1047">
        <v>2306.4</v>
      </c>
      <c r="M1047">
        <v>2314.6</v>
      </c>
      <c r="N1047">
        <v>2331.1999999999998</v>
      </c>
      <c r="Q1047">
        <f t="shared" si="75"/>
        <v>456.9</v>
      </c>
      <c r="R1047">
        <f t="shared" si="73"/>
        <v>457.3</v>
      </c>
      <c r="S1047">
        <f t="shared" si="74"/>
        <v>0</v>
      </c>
    </row>
    <row r="1048" spans="1:19" x14ac:dyDescent="0.25">
      <c r="A1048" s="2">
        <v>44897</v>
      </c>
      <c r="B1048" s="3">
        <v>336</v>
      </c>
      <c r="C1048" s="3">
        <v>1200</v>
      </c>
      <c r="D1048">
        <v>456.93880000000001</v>
      </c>
      <c r="E1048">
        <v>3.5000000000000003E-2</v>
      </c>
      <c r="F1048">
        <v>450.35599999999999</v>
      </c>
      <c r="G1048">
        <v>458.74279999999999</v>
      </c>
      <c r="H1048">
        <v>461.71780000000001</v>
      </c>
      <c r="I1048">
        <v>4.2999999999999997E-2</v>
      </c>
      <c r="J1048">
        <v>3.5999999999999997E-2</v>
      </c>
      <c r="K1048">
        <v>2.3E-2</v>
      </c>
      <c r="L1048">
        <v>2306.4</v>
      </c>
      <c r="M1048">
        <v>2314.6</v>
      </c>
      <c r="N1048">
        <v>2331</v>
      </c>
      <c r="Q1048">
        <f t="shared" si="75"/>
        <v>456.9</v>
      </c>
      <c r="R1048">
        <f t="shared" si="73"/>
        <v>457.3</v>
      </c>
      <c r="S1048">
        <f t="shared" si="74"/>
        <v>0</v>
      </c>
    </row>
    <row r="1049" spans="1:19" x14ac:dyDescent="0.25">
      <c r="A1049" s="2">
        <v>44897</v>
      </c>
      <c r="B1049" s="3">
        <v>336</v>
      </c>
      <c r="C1049" s="3">
        <v>1300</v>
      </c>
      <c r="D1049">
        <v>456.98239999999998</v>
      </c>
      <c r="E1049">
        <v>3.4000000000000002E-2</v>
      </c>
      <c r="F1049">
        <v>450.49380000000002</v>
      </c>
      <c r="G1049">
        <v>458.76299999999998</v>
      </c>
      <c r="H1049">
        <v>461.69029999999998</v>
      </c>
      <c r="I1049">
        <v>3.2000000000000001E-2</v>
      </c>
      <c r="J1049">
        <v>2.3E-2</v>
      </c>
      <c r="K1049">
        <v>4.2999999999999997E-2</v>
      </c>
      <c r="L1049">
        <v>2306.6</v>
      </c>
      <c r="M1049">
        <v>2314.6</v>
      </c>
      <c r="N1049">
        <v>2330.8000000000002</v>
      </c>
      <c r="Q1049">
        <f t="shared" si="75"/>
        <v>457</v>
      </c>
      <c r="R1049">
        <f t="shared" si="73"/>
        <v>457.3</v>
      </c>
      <c r="S1049">
        <f t="shared" si="74"/>
        <v>0</v>
      </c>
    </row>
    <row r="1050" spans="1:19" x14ac:dyDescent="0.25">
      <c r="A1050" s="2">
        <v>44897</v>
      </c>
      <c r="B1050" s="3">
        <v>336</v>
      </c>
      <c r="C1050" s="3">
        <v>1400</v>
      </c>
      <c r="D1050">
        <v>456.93329999999997</v>
      </c>
      <c r="E1050">
        <v>3.7999999999999999E-2</v>
      </c>
      <c r="F1050">
        <v>450.3614</v>
      </c>
      <c r="G1050">
        <v>458.72269999999997</v>
      </c>
      <c r="H1050">
        <v>461.71600000000001</v>
      </c>
      <c r="I1050">
        <v>3.9E-2</v>
      </c>
      <c r="J1050">
        <v>4.9000000000000002E-2</v>
      </c>
      <c r="K1050">
        <v>1.9E-2</v>
      </c>
      <c r="L1050">
        <v>2306.4</v>
      </c>
      <c r="M1050">
        <v>2314.4</v>
      </c>
      <c r="N1050">
        <v>2331</v>
      </c>
      <c r="Q1050">
        <f t="shared" si="75"/>
        <v>456.9</v>
      </c>
      <c r="R1050">
        <f t="shared" si="73"/>
        <v>457.3</v>
      </c>
      <c r="S1050">
        <f t="shared" si="74"/>
        <v>0</v>
      </c>
    </row>
    <row r="1051" spans="1:19" x14ac:dyDescent="0.25">
      <c r="A1051" s="2">
        <v>44897</v>
      </c>
      <c r="B1051" s="3">
        <v>336</v>
      </c>
      <c r="C1051" s="3">
        <v>1500</v>
      </c>
      <c r="D1051">
        <v>456.97550000000001</v>
      </c>
      <c r="E1051">
        <v>4.5999999999999999E-2</v>
      </c>
      <c r="F1051">
        <v>450.35050000000001</v>
      </c>
      <c r="G1051">
        <v>458.7867</v>
      </c>
      <c r="H1051">
        <v>461.78919999999999</v>
      </c>
      <c r="I1051">
        <v>4.5999999999999999E-2</v>
      </c>
      <c r="J1051">
        <v>4.7E-2</v>
      </c>
      <c r="K1051">
        <v>4.5999999999999999E-2</v>
      </c>
      <c r="L1051">
        <v>2306.4</v>
      </c>
      <c r="M1051">
        <v>2314.6</v>
      </c>
      <c r="N1051">
        <v>2331.1999999999998</v>
      </c>
      <c r="Q1051">
        <f t="shared" si="75"/>
        <v>457</v>
      </c>
      <c r="R1051">
        <f t="shared" si="73"/>
        <v>457.3</v>
      </c>
      <c r="S1051">
        <f t="shared" si="74"/>
        <v>0</v>
      </c>
    </row>
    <row r="1052" spans="1:19" x14ac:dyDescent="0.25">
      <c r="A1052" s="2">
        <v>44897</v>
      </c>
      <c r="B1052" s="3">
        <v>336</v>
      </c>
      <c r="C1052" s="3">
        <v>1600</v>
      </c>
      <c r="D1052">
        <v>457.02730000000003</v>
      </c>
      <c r="E1052">
        <v>4.4999999999999998E-2</v>
      </c>
      <c r="F1052">
        <v>450.36320000000001</v>
      </c>
      <c r="G1052">
        <v>458.83609999999999</v>
      </c>
      <c r="H1052">
        <v>461.88260000000002</v>
      </c>
      <c r="I1052">
        <v>3.7999999999999999E-2</v>
      </c>
      <c r="J1052">
        <v>4.4999999999999998E-2</v>
      </c>
      <c r="K1052">
        <v>0.05</v>
      </c>
      <c r="L1052">
        <v>2306.1999999999998</v>
      </c>
      <c r="M1052">
        <v>2314.8000000000002</v>
      </c>
      <c r="N1052">
        <v>2331.4</v>
      </c>
      <c r="Q1052">
        <f t="shared" si="75"/>
        <v>457</v>
      </c>
      <c r="R1052">
        <f t="shared" si="73"/>
        <v>457.3</v>
      </c>
      <c r="S1052">
        <f t="shared" si="74"/>
        <v>0</v>
      </c>
    </row>
    <row r="1053" spans="1:19" x14ac:dyDescent="0.25">
      <c r="A1053" s="2">
        <v>44897</v>
      </c>
      <c r="B1053" s="3">
        <v>336</v>
      </c>
      <c r="C1053" s="3">
        <v>1700</v>
      </c>
      <c r="D1053">
        <v>457.15530000000001</v>
      </c>
      <c r="E1053">
        <v>3.5999999999999997E-2</v>
      </c>
      <c r="F1053">
        <v>450.5754</v>
      </c>
      <c r="G1053">
        <v>458.96030000000002</v>
      </c>
      <c r="H1053">
        <v>461.93020000000001</v>
      </c>
      <c r="I1053">
        <v>4.2000000000000003E-2</v>
      </c>
      <c r="J1053">
        <v>3.5999999999999997E-2</v>
      </c>
      <c r="K1053">
        <v>0.03</v>
      </c>
      <c r="L1053">
        <v>2306.6</v>
      </c>
      <c r="M1053">
        <v>2315</v>
      </c>
      <c r="N1053">
        <v>2331.4</v>
      </c>
      <c r="Q1053">
        <f t="shared" si="75"/>
        <v>457.2</v>
      </c>
      <c r="R1053">
        <f t="shared" si="73"/>
        <v>457.3</v>
      </c>
      <c r="S1053">
        <f t="shared" si="74"/>
        <v>0</v>
      </c>
    </row>
    <row r="1054" spans="1:19" x14ac:dyDescent="0.25">
      <c r="A1054" s="2">
        <v>44897</v>
      </c>
      <c r="B1054" s="3">
        <v>336</v>
      </c>
      <c r="C1054" s="3">
        <v>1800</v>
      </c>
      <c r="D1054">
        <v>457.17599999999999</v>
      </c>
      <c r="E1054">
        <v>3.9E-2</v>
      </c>
      <c r="F1054">
        <v>450.60079999999999</v>
      </c>
      <c r="G1054">
        <v>458.97680000000003</v>
      </c>
      <c r="H1054">
        <v>461.95030000000003</v>
      </c>
      <c r="I1054">
        <v>3.5999999999999997E-2</v>
      </c>
      <c r="J1054">
        <v>3.2000000000000001E-2</v>
      </c>
      <c r="K1054">
        <v>4.7E-2</v>
      </c>
      <c r="L1054">
        <v>2306.8000000000002</v>
      </c>
      <c r="M1054">
        <v>2315</v>
      </c>
      <c r="N1054">
        <v>2331.6</v>
      </c>
      <c r="Q1054">
        <f t="shared" si="75"/>
        <v>457.2</v>
      </c>
      <c r="R1054">
        <f t="shared" si="73"/>
        <v>457.3</v>
      </c>
      <c r="S1054">
        <f t="shared" si="74"/>
        <v>0</v>
      </c>
    </row>
    <row r="1055" spans="1:19" x14ac:dyDescent="0.25">
      <c r="A1055" s="2">
        <v>44897</v>
      </c>
      <c r="B1055" s="3">
        <v>336</v>
      </c>
      <c r="C1055" s="3">
        <v>1900</v>
      </c>
      <c r="D1055">
        <v>457.17970000000003</v>
      </c>
      <c r="E1055">
        <v>4.2000000000000003E-2</v>
      </c>
      <c r="F1055">
        <v>450.58629999999999</v>
      </c>
      <c r="G1055">
        <v>458.9896</v>
      </c>
      <c r="H1055">
        <v>461.96319999999997</v>
      </c>
      <c r="I1055">
        <v>2.7E-2</v>
      </c>
      <c r="J1055">
        <v>4.3999999999999997E-2</v>
      </c>
      <c r="K1055">
        <v>5.0999999999999997E-2</v>
      </c>
      <c r="L1055">
        <v>2306.6</v>
      </c>
      <c r="M1055">
        <v>2315</v>
      </c>
      <c r="N1055">
        <v>2331.4</v>
      </c>
      <c r="Q1055">
        <f t="shared" si="75"/>
        <v>457.2</v>
      </c>
      <c r="R1055">
        <f t="shared" si="73"/>
        <v>457.3</v>
      </c>
      <c r="S1055">
        <f t="shared" si="74"/>
        <v>0</v>
      </c>
    </row>
    <row r="1056" spans="1:19" x14ac:dyDescent="0.25">
      <c r="A1056" s="2">
        <v>44897</v>
      </c>
      <c r="B1056" s="3">
        <v>336</v>
      </c>
      <c r="C1056" s="3">
        <v>2000</v>
      </c>
      <c r="D1056">
        <v>457.173</v>
      </c>
      <c r="E1056">
        <v>4.4999999999999998E-2</v>
      </c>
      <c r="F1056">
        <v>450.56450000000001</v>
      </c>
      <c r="G1056">
        <v>458.98590000000002</v>
      </c>
      <c r="H1056">
        <v>461.96870000000001</v>
      </c>
      <c r="I1056">
        <v>4.2000000000000003E-2</v>
      </c>
      <c r="J1056">
        <v>4.1000000000000002E-2</v>
      </c>
      <c r="K1056">
        <v>5.1999999999999998E-2</v>
      </c>
      <c r="L1056">
        <v>2306.6</v>
      </c>
      <c r="M1056">
        <v>2315.1999999999998</v>
      </c>
      <c r="N1056">
        <v>2331.4</v>
      </c>
      <c r="Q1056">
        <f t="shared" si="75"/>
        <v>457.2</v>
      </c>
      <c r="R1056">
        <f t="shared" si="73"/>
        <v>457.3</v>
      </c>
      <c r="S1056">
        <f t="shared" si="74"/>
        <v>0</v>
      </c>
    </row>
    <row r="1057" spans="1:19" x14ac:dyDescent="0.25">
      <c r="A1057" s="2">
        <v>44897</v>
      </c>
      <c r="B1057" s="3">
        <v>336</v>
      </c>
      <c r="C1057" s="3">
        <v>2100</v>
      </c>
      <c r="D1057">
        <v>457.19670000000002</v>
      </c>
      <c r="E1057">
        <v>0.05</v>
      </c>
      <c r="F1057">
        <v>450.61399999999998</v>
      </c>
      <c r="G1057">
        <v>459.0086</v>
      </c>
      <c r="H1057">
        <v>461.96769999999998</v>
      </c>
      <c r="I1057">
        <v>4.5999999999999999E-2</v>
      </c>
      <c r="J1057">
        <v>5.0999999999999997E-2</v>
      </c>
      <c r="K1057">
        <v>5.1999999999999998E-2</v>
      </c>
      <c r="L1057">
        <v>2306.8000000000002</v>
      </c>
      <c r="M1057">
        <v>2315</v>
      </c>
      <c r="N1057">
        <v>2331.4</v>
      </c>
      <c r="Q1057">
        <f t="shared" si="75"/>
        <v>457.2</v>
      </c>
      <c r="R1057">
        <f t="shared" si="73"/>
        <v>457.3</v>
      </c>
      <c r="S1057">
        <f t="shared" si="74"/>
        <v>0</v>
      </c>
    </row>
    <row r="1058" spans="1:19" x14ac:dyDescent="0.25">
      <c r="A1058" s="2">
        <v>44897</v>
      </c>
      <c r="B1058" s="3">
        <v>336</v>
      </c>
      <c r="C1058" s="3">
        <v>2200</v>
      </c>
      <c r="D1058">
        <v>457.19909999999999</v>
      </c>
      <c r="E1058">
        <v>0.05</v>
      </c>
      <c r="F1058">
        <v>450.6189</v>
      </c>
      <c r="G1058">
        <v>459.01519999999999</v>
      </c>
      <c r="H1058">
        <v>461.96319999999997</v>
      </c>
      <c r="I1058">
        <v>4.8000000000000001E-2</v>
      </c>
      <c r="J1058">
        <v>5.1999999999999998E-2</v>
      </c>
      <c r="K1058">
        <v>5.0999999999999997E-2</v>
      </c>
      <c r="L1058">
        <v>2306.8000000000002</v>
      </c>
      <c r="M1058">
        <v>2315</v>
      </c>
      <c r="N1058">
        <v>2331.6</v>
      </c>
      <c r="Q1058">
        <f t="shared" si="75"/>
        <v>457.2</v>
      </c>
      <c r="R1058">
        <f t="shared" ref="R1058:R1121" si="76">ROUND(IF(Q1058&lt;R1057,R1057,Q1058),1)</f>
        <v>457.3</v>
      </c>
      <c r="S1058">
        <f t="shared" si="74"/>
        <v>0</v>
      </c>
    </row>
    <row r="1059" spans="1:19" x14ac:dyDescent="0.25">
      <c r="A1059" s="2">
        <v>44897</v>
      </c>
      <c r="B1059" s="3">
        <v>336</v>
      </c>
      <c r="C1059" s="3">
        <v>2300</v>
      </c>
      <c r="D1059">
        <v>457.1431</v>
      </c>
      <c r="E1059">
        <v>4.5999999999999999E-2</v>
      </c>
      <c r="F1059">
        <v>450.50319999999999</v>
      </c>
      <c r="G1059">
        <v>458.94909999999999</v>
      </c>
      <c r="H1059">
        <v>461.97699999999998</v>
      </c>
      <c r="I1059">
        <v>4.1000000000000002E-2</v>
      </c>
      <c r="J1059">
        <v>4.2999999999999997E-2</v>
      </c>
      <c r="K1059">
        <v>5.1999999999999998E-2</v>
      </c>
      <c r="L1059">
        <v>2306.8000000000002</v>
      </c>
      <c r="M1059">
        <v>2315.1999999999998</v>
      </c>
      <c r="N1059">
        <v>2331.6</v>
      </c>
      <c r="Q1059">
        <f t="shared" si="75"/>
        <v>457.1</v>
      </c>
      <c r="R1059">
        <f t="shared" si="76"/>
        <v>457.3</v>
      </c>
      <c r="S1059">
        <f t="shared" si="74"/>
        <v>0</v>
      </c>
    </row>
    <row r="1060" spans="1:19" x14ac:dyDescent="0.25">
      <c r="A1060" s="2">
        <v>44897</v>
      </c>
      <c r="B1060" s="3">
        <v>336</v>
      </c>
      <c r="C1060" s="3">
        <v>2400</v>
      </c>
      <c r="D1060">
        <v>457.2011</v>
      </c>
      <c r="E1060">
        <v>0.05</v>
      </c>
      <c r="F1060">
        <v>450.62130000000002</v>
      </c>
      <c r="G1060">
        <v>459.00119999999998</v>
      </c>
      <c r="H1060">
        <v>461.98070000000001</v>
      </c>
      <c r="I1060">
        <v>4.9000000000000002E-2</v>
      </c>
      <c r="J1060">
        <v>4.9000000000000002E-2</v>
      </c>
      <c r="K1060">
        <v>5.1999999999999998E-2</v>
      </c>
      <c r="L1060">
        <v>2307</v>
      </c>
      <c r="M1060">
        <v>2315</v>
      </c>
      <c r="N1060">
        <v>2331.6</v>
      </c>
      <c r="Q1060">
        <f t="shared" si="75"/>
        <v>457.2</v>
      </c>
      <c r="R1060">
        <f t="shared" si="76"/>
        <v>457.3</v>
      </c>
      <c r="S1060">
        <f t="shared" si="74"/>
        <v>0</v>
      </c>
    </row>
    <row r="1061" spans="1:19" x14ac:dyDescent="0.25">
      <c r="A1061" s="2">
        <v>44898</v>
      </c>
      <c r="B1061" s="3">
        <v>337</v>
      </c>
      <c r="C1061" s="3">
        <v>100</v>
      </c>
      <c r="D1061">
        <v>457.20229999999998</v>
      </c>
      <c r="E1061">
        <v>5.0999999999999997E-2</v>
      </c>
      <c r="F1061">
        <v>450.62869999999998</v>
      </c>
      <c r="G1061">
        <v>459.00119999999998</v>
      </c>
      <c r="H1061">
        <v>461.97699999999998</v>
      </c>
      <c r="I1061">
        <v>5.0999999999999997E-2</v>
      </c>
      <c r="J1061">
        <v>4.9000000000000002E-2</v>
      </c>
      <c r="K1061">
        <v>5.1999999999999998E-2</v>
      </c>
      <c r="L1061">
        <v>2307</v>
      </c>
      <c r="M1061">
        <v>2315.1999999999998</v>
      </c>
      <c r="N1061">
        <v>2331.6</v>
      </c>
      <c r="Q1061">
        <f t="shared" si="75"/>
        <v>457.2</v>
      </c>
      <c r="R1061">
        <f t="shared" si="76"/>
        <v>457.3</v>
      </c>
      <c r="S1061">
        <f t="shared" ref="S1061:S1124" si="77">IF(R1061&gt;R1060,R1061-R1060,0)</f>
        <v>0</v>
      </c>
    </row>
    <row r="1062" spans="1:19" x14ac:dyDescent="0.25">
      <c r="A1062" s="2">
        <v>44898</v>
      </c>
      <c r="B1062" s="3">
        <v>337</v>
      </c>
      <c r="C1062" s="3">
        <v>200</v>
      </c>
      <c r="D1062">
        <v>457.19299999999998</v>
      </c>
      <c r="E1062">
        <v>4.9000000000000002E-2</v>
      </c>
      <c r="F1062">
        <v>450.6225</v>
      </c>
      <c r="G1062">
        <v>458.9914</v>
      </c>
      <c r="H1062">
        <v>461.96499999999997</v>
      </c>
      <c r="I1062">
        <v>4.9000000000000002E-2</v>
      </c>
      <c r="J1062">
        <v>4.4999999999999998E-2</v>
      </c>
      <c r="K1062">
        <v>5.1999999999999998E-2</v>
      </c>
      <c r="L1062">
        <v>2306.8000000000002</v>
      </c>
      <c r="M1062">
        <v>2315</v>
      </c>
      <c r="N1062">
        <v>2331.6</v>
      </c>
      <c r="Q1062">
        <f t="shared" si="75"/>
        <v>457.2</v>
      </c>
      <c r="R1062">
        <f t="shared" si="76"/>
        <v>457.3</v>
      </c>
      <c r="S1062">
        <f t="shared" si="77"/>
        <v>0</v>
      </c>
    </row>
    <row r="1063" spans="1:19" x14ac:dyDescent="0.25">
      <c r="A1063" s="2">
        <v>44898</v>
      </c>
      <c r="B1063" s="3">
        <v>337</v>
      </c>
      <c r="C1063" s="3">
        <v>300</v>
      </c>
      <c r="D1063">
        <v>457.2063</v>
      </c>
      <c r="E1063">
        <v>4.4999999999999998E-2</v>
      </c>
      <c r="F1063">
        <v>450.66969999999998</v>
      </c>
      <c r="G1063">
        <v>458.99869999999999</v>
      </c>
      <c r="H1063">
        <v>461.95030000000003</v>
      </c>
      <c r="I1063">
        <v>4.1000000000000002E-2</v>
      </c>
      <c r="J1063">
        <v>4.8000000000000001E-2</v>
      </c>
      <c r="K1063">
        <v>4.7E-2</v>
      </c>
      <c r="L1063">
        <v>2306.8000000000002</v>
      </c>
      <c r="M1063">
        <v>2315</v>
      </c>
      <c r="N1063">
        <v>2331.4</v>
      </c>
      <c r="Q1063">
        <f t="shared" si="75"/>
        <v>457.2</v>
      </c>
      <c r="R1063">
        <f t="shared" si="76"/>
        <v>457.3</v>
      </c>
      <c r="S1063">
        <f t="shared" si="77"/>
        <v>0</v>
      </c>
    </row>
    <row r="1064" spans="1:19" x14ac:dyDescent="0.25">
      <c r="A1064" s="2">
        <v>44898</v>
      </c>
      <c r="B1064" s="3">
        <v>337</v>
      </c>
      <c r="C1064" s="3">
        <v>400</v>
      </c>
      <c r="D1064">
        <v>457.17169999999999</v>
      </c>
      <c r="E1064">
        <v>3.5999999999999997E-2</v>
      </c>
      <c r="F1064">
        <v>450.6044</v>
      </c>
      <c r="G1064">
        <v>458.96949999999998</v>
      </c>
      <c r="H1064">
        <v>461.94119999999998</v>
      </c>
      <c r="I1064">
        <v>3.9E-2</v>
      </c>
      <c r="J1064">
        <v>2.7E-2</v>
      </c>
      <c r="K1064">
        <v>4.1000000000000002E-2</v>
      </c>
      <c r="L1064">
        <v>2307</v>
      </c>
      <c r="M1064">
        <v>2315</v>
      </c>
      <c r="N1064">
        <v>2331.6</v>
      </c>
      <c r="Q1064">
        <f t="shared" si="75"/>
        <v>457.2</v>
      </c>
      <c r="R1064">
        <f t="shared" si="76"/>
        <v>457.3</v>
      </c>
      <c r="S1064">
        <f t="shared" si="77"/>
        <v>0</v>
      </c>
    </row>
    <row r="1065" spans="1:19" x14ac:dyDescent="0.25">
      <c r="A1065" s="2">
        <v>44898</v>
      </c>
      <c r="B1065" s="3">
        <v>337</v>
      </c>
      <c r="C1065" s="3">
        <v>500</v>
      </c>
      <c r="D1065">
        <v>457.1857</v>
      </c>
      <c r="E1065">
        <v>4.4999999999999998E-2</v>
      </c>
      <c r="F1065">
        <v>450.6225</v>
      </c>
      <c r="G1065">
        <v>458.98039999999997</v>
      </c>
      <c r="H1065">
        <v>461.95400000000001</v>
      </c>
      <c r="I1065">
        <v>4.9000000000000002E-2</v>
      </c>
      <c r="J1065">
        <v>3.5999999999999997E-2</v>
      </c>
      <c r="K1065">
        <v>4.9000000000000002E-2</v>
      </c>
      <c r="L1065">
        <v>2307</v>
      </c>
      <c r="M1065">
        <v>2315</v>
      </c>
      <c r="N1065">
        <v>2331.4</v>
      </c>
      <c r="Q1065">
        <f t="shared" si="75"/>
        <v>457.2</v>
      </c>
      <c r="R1065">
        <f t="shared" si="76"/>
        <v>457.3</v>
      </c>
      <c r="S1065">
        <f t="shared" si="77"/>
        <v>0</v>
      </c>
    </row>
    <row r="1066" spans="1:19" x14ac:dyDescent="0.25">
      <c r="A1066" s="2">
        <v>44898</v>
      </c>
      <c r="B1066" s="3">
        <v>337</v>
      </c>
      <c r="C1066" s="3">
        <v>600</v>
      </c>
      <c r="D1066">
        <v>457.18860000000001</v>
      </c>
      <c r="E1066">
        <v>4.8000000000000001E-2</v>
      </c>
      <c r="F1066">
        <v>450.6343</v>
      </c>
      <c r="G1066">
        <v>458.9751</v>
      </c>
      <c r="H1066">
        <v>461.95650000000001</v>
      </c>
      <c r="I1066">
        <v>5.1999999999999998E-2</v>
      </c>
      <c r="J1066">
        <v>4.1000000000000002E-2</v>
      </c>
      <c r="K1066">
        <v>4.9000000000000002E-2</v>
      </c>
      <c r="L1066">
        <v>2306.8000000000002</v>
      </c>
      <c r="M1066">
        <v>2314.8000000000002</v>
      </c>
      <c r="N1066">
        <v>2331.4</v>
      </c>
      <c r="Q1066">
        <f t="shared" si="75"/>
        <v>457.2</v>
      </c>
      <c r="R1066">
        <f t="shared" si="76"/>
        <v>457.3</v>
      </c>
      <c r="S1066">
        <f t="shared" si="77"/>
        <v>0</v>
      </c>
    </row>
    <row r="1067" spans="1:19" x14ac:dyDescent="0.25">
      <c r="A1067" s="2">
        <v>44898</v>
      </c>
      <c r="B1067" s="3">
        <v>337</v>
      </c>
      <c r="C1067" s="3">
        <v>700</v>
      </c>
      <c r="D1067">
        <v>457.16980000000001</v>
      </c>
      <c r="E1067">
        <v>3.9E-2</v>
      </c>
      <c r="F1067">
        <v>450.60980000000001</v>
      </c>
      <c r="G1067">
        <v>458.95670000000001</v>
      </c>
      <c r="H1067">
        <v>461.94299999999998</v>
      </c>
      <c r="I1067">
        <v>4.2999999999999997E-2</v>
      </c>
      <c r="J1067">
        <v>2.9000000000000001E-2</v>
      </c>
      <c r="K1067">
        <v>4.2999999999999997E-2</v>
      </c>
      <c r="L1067">
        <v>2306.8000000000002</v>
      </c>
      <c r="M1067">
        <v>2314.8000000000002</v>
      </c>
      <c r="N1067">
        <v>2331.4</v>
      </c>
      <c r="Q1067">
        <f t="shared" si="75"/>
        <v>457.2</v>
      </c>
      <c r="R1067">
        <f t="shared" si="76"/>
        <v>457.3</v>
      </c>
      <c r="S1067">
        <f t="shared" si="77"/>
        <v>0</v>
      </c>
    </row>
    <row r="1068" spans="1:19" x14ac:dyDescent="0.25">
      <c r="A1068" s="2">
        <v>44898</v>
      </c>
      <c r="B1068" s="3">
        <v>337</v>
      </c>
      <c r="C1068" s="3">
        <v>800</v>
      </c>
      <c r="D1068">
        <v>457.16919999999999</v>
      </c>
      <c r="E1068">
        <v>3.9E-2</v>
      </c>
      <c r="F1068">
        <v>450.61169999999998</v>
      </c>
      <c r="G1068">
        <v>458.95490000000001</v>
      </c>
      <c r="H1068">
        <v>461.94119999999998</v>
      </c>
      <c r="I1068">
        <v>4.3999999999999997E-2</v>
      </c>
      <c r="J1068">
        <v>3.2000000000000001E-2</v>
      </c>
      <c r="K1068">
        <v>4.1000000000000002E-2</v>
      </c>
      <c r="L1068">
        <v>2306.8000000000002</v>
      </c>
      <c r="M1068">
        <v>2315</v>
      </c>
      <c r="N1068">
        <v>2331.4</v>
      </c>
      <c r="Q1068">
        <f t="shared" si="75"/>
        <v>457.2</v>
      </c>
      <c r="R1068">
        <f t="shared" si="76"/>
        <v>457.3</v>
      </c>
      <c r="S1068">
        <f t="shared" si="77"/>
        <v>0</v>
      </c>
    </row>
    <row r="1069" spans="1:19" x14ac:dyDescent="0.25">
      <c r="A1069" s="2">
        <v>44898</v>
      </c>
      <c r="B1069" s="3">
        <v>337</v>
      </c>
      <c r="C1069" s="3">
        <v>900</v>
      </c>
      <c r="D1069">
        <v>457.1583</v>
      </c>
      <c r="E1069">
        <v>3.4000000000000002E-2</v>
      </c>
      <c r="F1069">
        <v>450.59530000000001</v>
      </c>
      <c r="G1069">
        <v>458.94749999999999</v>
      </c>
      <c r="H1069">
        <v>461.93200000000002</v>
      </c>
      <c r="I1069">
        <v>2.9000000000000001E-2</v>
      </c>
      <c r="J1069">
        <v>0.04</v>
      </c>
      <c r="K1069">
        <v>3.2000000000000001E-2</v>
      </c>
      <c r="L1069">
        <v>2306.8000000000002</v>
      </c>
      <c r="M1069">
        <v>2315</v>
      </c>
      <c r="N1069">
        <v>2331.4</v>
      </c>
      <c r="Q1069">
        <f t="shared" si="75"/>
        <v>457.2</v>
      </c>
      <c r="R1069">
        <f t="shared" si="76"/>
        <v>457.3</v>
      </c>
      <c r="S1069">
        <f t="shared" si="77"/>
        <v>0</v>
      </c>
    </row>
    <row r="1070" spans="1:19" x14ac:dyDescent="0.25">
      <c r="A1070" s="2">
        <v>44898</v>
      </c>
      <c r="B1070" s="3">
        <v>337</v>
      </c>
      <c r="C1070" s="3">
        <v>1000</v>
      </c>
      <c r="D1070">
        <v>457.15339999999998</v>
      </c>
      <c r="E1070">
        <v>0.04</v>
      </c>
      <c r="F1070">
        <v>450.60079999999999</v>
      </c>
      <c r="G1070">
        <v>458.95299999999997</v>
      </c>
      <c r="H1070">
        <v>461.90640000000002</v>
      </c>
      <c r="I1070">
        <v>4.1000000000000002E-2</v>
      </c>
      <c r="J1070">
        <v>4.3999999999999997E-2</v>
      </c>
      <c r="K1070">
        <v>3.5999999999999997E-2</v>
      </c>
      <c r="L1070">
        <v>2306.8000000000002</v>
      </c>
      <c r="M1070">
        <v>2314.8000000000002</v>
      </c>
      <c r="N1070">
        <v>2331.4</v>
      </c>
      <c r="Q1070">
        <f t="shared" si="75"/>
        <v>457.2</v>
      </c>
      <c r="R1070">
        <f t="shared" si="76"/>
        <v>457.3</v>
      </c>
      <c r="S1070">
        <f t="shared" si="77"/>
        <v>0</v>
      </c>
    </row>
    <row r="1071" spans="1:19" x14ac:dyDescent="0.25">
      <c r="A1071" s="2">
        <v>44898</v>
      </c>
      <c r="B1071" s="3">
        <v>337</v>
      </c>
      <c r="C1071" s="3">
        <v>1100</v>
      </c>
      <c r="D1071">
        <v>457.1114</v>
      </c>
      <c r="E1071">
        <v>4.4999999999999998E-2</v>
      </c>
      <c r="F1071">
        <v>450.56810000000002</v>
      </c>
      <c r="G1071">
        <v>458.8854</v>
      </c>
      <c r="H1071">
        <v>461.88069999999999</v>
      </c>
      <c r="I1071">
        <v>3.9E-2</v>
      </c>
      <c r="J1071">
        <v>4.3999999999999997E-2</v>
      </c>
      <c r="K1071">
        <v>5.0999999999999997E-2</v>
      </c>
      <c r="L1071">
        <v>2306.8000000000002</v>
      </c>
      <c r="M1071">
        <v>2314.8000000000002</v>
      </c>
      <c r="N1071">
        <v>2331.1999999999998</v>
      </c>
      <c r="Q1071">
        <f t="shared" si="75"/>
        <v>457.1</v>
      </c>
      <c r="R1071">
        <f t="shared" si="76"/>
        <v>457.3</v>
      </c>
      <c r="S1071">
        <f t="shared" si="77"/>
        <v>0</v>
      </c>
    </row>
    <row r="1072" spans="1:19" x14ac:dyDescent="0.25">
      <c r="A1072" s="2">
        <v>44898</v>
      </c>
      <c r="B1072" s="3">
        <v>337</v>
      </c>
      <c r="C1072" s="3">
        <v>1200</v>
      </c>
      <c r="D1072">
        <v>457.10109999999997</v>
      </c>
      <c r="E1072">
        <v>4.1000000000000002E-2</v>
      </c>
      <c r="F1072">
        <v>450.56630000000001</v>
      </c>
      <c r="G1072">
        <v>458.86349999999999</v>
      </c>
      <c r="H1072">
        <v>461.8734</v>
      </c>
      <c r="I1072">
        <v>4.1000000000000002E-2</v>
      </c>
      <c r="J1072">
        <v>2.4E-2</v>
      </c>
      <c r="K1072">
        <v>5.1999999999999998E-2</v>
      </c>
      <c r="L1072">
        <v>2306.8000000000002</v>
      </c>
      <c r="M1072">
        <v>2314.8000000000002</v>
      </c>
      <c r="N1072">
        <v>2331.4</v>
      </c>
      <c r="Q1072">
        <f t="shared" si="75"/>
        <v>457.1</v>
      </c>
      <c r="R1072">
        <f t="shared" si="76"/>
        <v>457.3</v>
      </c>
      <c r="S1072">
        <f t="shared" si="77"/>
        <v>0</v>
      </c>
    </row>
    <row r="1073" spans="1:19" x14ac:dyDescent="0.25">
      <c r="A1073" s="2">
        <v>44898</v>
      </c>
      <c r="B1073" s="3">
        <v>337</v>
      </c>
      <c r="C1073" s="3">
        <v>1300</v>
      </c>
      <c r="D1073">
        <v>457.11450000000002</v>
      </c>
      <c r="E1073">
        <v>4.2000000000000003E-2</v>
      </c>
      <c r="F1073">
        <v>450.5772</v>
      </c>
      <c r="G1073">
        <v>458.87990000000002</v>
      </c>
      <c r="H1073">
        <v>461.88619999999997</v>
      </c>
      <c r="I1073">
        <v>3.5000000000000003E-2</v>
      </c>
      <c r="J1073">
        <v>0.04</v>
      </c>
      <c r="K1073">
        <v>4.9000000000000002E-2</v>
      </c>
      <c r="L1073">
        <v>2307</v>
      </c>
      <c r="M1073">
        <v>2314.8000000000002</v>
      </c>
      <c r="N1073">
        <v>2331.4</v>
      </c>
      <c r="Q1073">
        <f t="shared" si="75"/>
        <v>457.1</v>
      </c>
      <c r="R1073">
        <f t="shared" si="76"/>
        <v>457.3</v>
      </c>
      <c r="S1073">
        <f t="shared" si="77"/>
        <v>0</v>
      </c>
    </row>
    <row r="1074" spans="1:19" x14ac:dyDescent="0.25">
      <c r="A1074" s="2">
        <v>44898</v>
      </c>
      <c r="B1074" s="3">
        <v>337</v>
      </c>
      <c r="C1074" s="3">
        <v>1400</v>
      </c>
      <c r="D1074">
        <v>457.1182</v>
      </c>
      <c r="E1074">
        <v>4.4999999999999998E-2</v>
      </c>
      <c r="F1074">
        <v>450.56270000000001</v>
      </c>
      <c r="G1074">
        <v>458.89460000000003</v>
      </c>
      <c r="H1074">
        <v>461.8972</v>
      </c>
      <c r="I1074">
        <v>4.2999999999999997E-2</v>
      </c>
      <c r="J1074">
        <v>4.8000000000000001E-2</v>
      </c>
      <c r="K1074">
        <v>4.3999999999999997E-2</v>
      </c>
      <c r="L1074">
        <v>2306.6</v>
      </c>
      <c r="M1074">
        <v>2314.8000000000002</v>
      </c>
      <c r="N1074">
        <v>2331.4</v>
      </c>
      <c r="Q1074">
        <f t="shared" si="75"/>
        <v>457.1</v>
      </c>
      <c r="R1074">
        <f t="shared" si="76"/>
        <v>457.3</v>
      </c>
      <c r="S1074">
        <f t="shared" si="77"/>
        <v>0</v>
      </c>
    </row>
    <row r="1075" spans="1:19" x14ac:dyDescent="0.25">
      <c r="A1075" s="2">
        <v>44898</v>
      </c>
      <c r="B1075" s="3">
        <v>337</v>
      </c>
      <c r="C1075" s="3">
        <v>1500</v>
      </c>
      <c r="D1075">
        <v>457.12729999999999</v>
      </c>
      <c r="E1075">
        <v>4.1000000000000002E-2</v>
      </c>
      <c r="F1075">
        <v>450.56450000000001</v>
      </c>
      <c r="G1075">
        <v>458.90370000000001</v>
      </c>
      <c r="H1075">
        <v>461.91370000000001</v>
      </c>
      <c r="I1075">
        <v>4.2000000000000003E-2</v>
      </c>
      <c r="J1075">
        <v>5.0999999999999997E-2</v>
      </c>
      <c r="K1075">
        <v>2.7E-2</v>
      </c>
      <c r="L1075">
        <v>2306.6</v>
      </c>
      <c r="M1075">
        <v>2314.8000000000002</v>
      </c>
      <c r="N1075">
        <v>2331.4</v>
      </c>
      <c r="Q1075">
        <f t="shared" si="75"/>
        <v>457.1</v>
      </c>
      <c r="R1075">
        <f t="shared" si="76"/>
        <v>457.3</v>
      </c>
      <c r="S1075">
        <f t="shared" si="77"/>
        <v>0</v>
      </c>
    </row>
    <row r="1076" spans="1:19" x14ac:dyDescent="0.25">
      <c r="A1076" s="2">
        <v>44898</v>
      </c>
      <c r="B1076" s="3">
        <v>337</v>
      </c>
      <c r="C1076" s="3">
        <v>1600</v>
      </c>
      <c r="D1076">
        <v>457.1146</v>
      </c>
      <c r="E1076">
        <v>0.04</v>
      </c>
      <c r="F1076">
        <v>450.541</v>
      </c>
      <c r="G1076">
        <v>458.87630000000001</v>
      </c>
      <c r="H1076">
        <v>461.92649999999998</v>
      </c>
      <c r="I1076">
        <v>5.0999999999999997E-2</v>
      </c>
      <c r="J1076">
        <v>4.1000000000000002E-2</v>
      </c>
      <c r="K1076">
        <v>2.3E-2</v>
      </c>
      <c r="L1076">
        <v>2306.6</v>
      </c>
      <c r="M1076">
        <v>2314.8000000000002</v>
      </c>
      <c r="N1076">
        <v>2331.4</v>
      </c>
      <c r="Q1076">
        <f t="shared" si="75"/>
        <v>457.1</v>
      </c>
      <c r="R1076">
        <f t="shared" si="76"/>
        <v>457.3</v>
      </c>
      <c r="S1076">
        <f t="shared" si="77"/>
        <v>0</v>
      </c>
    </row>
    <row r="1077" spans="1:19" x14ac:dyDescent="0.25">
      <c r="A1077" s="2">
        <v>44898</v>
      </c>
      <c r="B1077" s="3">
        <v>337</v>
      </c>
      <c r="C1077" s="3">
        <v>1700</v>
      </c>
      <c r="D1077">
        <v>457.1044</v>
      </c>
      <c r="E1077">
        <v>4.2000000000000003E-2</v>
      </c>
      <c r="F1077">
        <v>450.49200000000002</v>
      </c>
      <c r="G1077">
        <v>458.83789999999999</v>
      </c>
      <c r="H1077">
        <v>461.98329999999999</v>
      </c>
      <c r="I1077">
        <v>2.9000000000000001E-2</v>
      </c>
      <c r="J1077">
        <v>4.3999999999999997E-2</v>
      </c>
      <c r="K1077">
        <v>5.0999999999999997E-2</v>
      </c>
      <c r="L1077">
        <v>2306.6</v>
      </c>
      <c r="M1077">
        <v>2314.8000000000002</v>
      </c>
      <c r="N1077">
        <v>2331.6</v>
      </c>
      <c r="Q1077">
        <f t="shared" si="75"/>
        <v>457.1</v>
      </c>
      <c r="R1077">
        <f t="shared" si="76"/>
        <v>457.3</v>
      </c>
      <c r="S1077">
        <f t="shared" si="77"/>
        <v>0</v>
      </c>
    </row>
    <row r="1078" spans="1:19" x14ac:dyDescent="0.25">
      <c r="A1078" s="2">
        <v>44898</v>
      </c>
      <c r="B1078" s="3">
        <v>337</v>
      </c>
      <c r="C1078" s="3">
        <v>1800</v>
      </c>
      <c r="D1078">
        <v>457.2131</v>
      </c>
      <c r="E1078">
        <v>4.9000000000000002E-2</v>
      </c>
      <c r="F1078">
        <v>450.64249999999998</v>
      </c>
      <c r="G1078">
        <v>459.00060000000002</v>
      </c>
      <c r="H1078">
        <v>461.99619999999999</v>
      </c>
      <c r="I1078">
        <v>5.0999999999999997E-2</v>
      </c>
      <c r="J1078">
        <v>4.9000000000000002E-2</v>
      </c>
      <c r="K1078">
        <v>4.7E-2</v>
      </c>
      <c r="L1078">
        <v>2306.8000000000002</v>
      </c>
      <c r="M1078">
        <v>2315</v>
      </c>
      <c r="N1078">
        <v>2331.6</v>
      </c>
      <c r="Q1078">
        <f t="shared" si="75"/>
        <v>457.2</v>
      </c>
      <c r="R1078">
        <f t="shared" si="76"/>
        <v>457.3</v>
      </c>
      <c r="S1078">
        <f t="shared" si="77"/>
        <v>0</v>
      </c>
    </row>
    <row r="1079" spans="1:19" x14ac:dyDescent="0.25">
      <c r="A1079" s="2">
        <v>44898</v>
      </c>
      <c r="B1079" s="3">
        <v>337</v>
      </c>
      <c r="C1079" s="3">
        <v>1900</v>
      </c>
      <c r="D1079">
        <v>457.13619999999997</v>
      </c>
      <c r="E1079">
        <v>4.3999999999999997E-2</v>
      </c>
      <c r="F1079">
        <v>450.52910000000003</v>
      </c>
      <c r="G1079">
        <v>458.8766</v>
      </c>
      <c r="H1079">
        <v>462.00310000000002</v>
      </c>
      <c r="I1079">
        <v>5.0999999999999997E-2</v>
      </c>
      <c r="J1079">
        <v>3.5999999999999997E-2</v>
      </c>
      <c r="K1079">
        <v>4.2999999999999997E-2</v>
      </c>
      <c r="L1079">
        <v>2306.6</v>
      </c>
      <c r="M1079">
        <v>2314.8000000000002</v>
      </c>
      <c r="N1079">
        <v>2331.4</v>
      </c>
      <c r="Q1079">
        <f t="shared" si="75"/>
        <v>457.1</v>
      </c>
      <c r="R1079">
        <f t="shared" si="76"/>
        <v>457.3</v>
      </c>
      <c r="S1079">
        <f t="shared" si="77"/>
        <v>0</v>
      </c>
    </row>
    <row r="1080" spans="1:19" x14ac:dyDescent="0.25">
      <c r="A1080" s="2">
        <v>44898</v>
      </c>
      <c r="B1080" s="3">
        <v>337</v>
      </c>
      <c r="C1080" s="3">
        <v>2000</v>
      </c>
      <c r="D1080">
        <v>457.11360000000002</v>
      </c>
      <c r="E1080">
        <v>3.2000000000000001E-2</v>
      </c>
      <c r="F1080">
        <v>450.47750000000002</v>
      </c>
      <c r="G1080">
        <v>458.85430000000002</v>
      </c>
      <c r="H1080">
        <v>462.00900000000001</v>
      </c>
      <c r="I1080">
        <v>0.03</v>
      </c>
      <c r="J1080">
        <v>2.7E-2</v>
      </c>
      <c r="K1080">
        <v>3.7999999999999999E-2</v>
      </c>
      <c r="L1080">
        <v>2306.6</v>
      </c>
      <c r="M1080">
        <v>2314.8000000000002</v>
      </c>
      <c r="N1080">
        <v>2331.6</v>
      </c>
      <c r="Q1080">
        <f t="shared" si="75"/>
        <v>457.1</v>
      </c>
      <c r="R1080">
        <f t="shared" si="76"/>
        <v>457.3</v>
      </c>
      <c r="S1080">
        <f t="shared" si="77"/>
        <v>0</v>
      </c>
    </row>
    <row r="1081" spans="1:19" x14ac:dyDescent="0.25">
      <c r="A1081" s="2">
        <v>44898</v>
      </c>
      <c r="B1081" s="3">
        <v>337</v>
      </c>
      <c r="C1081" s="3">
        <v>2100</v>
      </c>
      <c r="D1081">
        <v>457.15550000000002</v>
      </c>
      <c r="E1081">
        <v>4.7E-2</v>
      </c>
      <c r="F1081">
        <v>450.52539999999999</v>
      </c>
      <c r="G1081">
        <v>458.93790000000001</v>
      </c>
      <c r="H1081">
        <v>462.00310000000002</v>
      </c>
      <c r="I1081">
        <v>5.0999999999999997E-2</v>
      </c>
      <c r="J1081">
        <v>4.5999999999999999E-2</v>
      </c>
      <c r="K1081">
        <v>4.2999999999999997E-2</v>
      </c>
      <c r="L1081">
        <v>2306.8000000000002</v>
      </c>
      <c r="M1081">
        <v>2314.8000000000002</v>
      </c>
      <c r="N1081">
        <v>2331.6</v>
      </c>
      <c r="Q1081">
        <f t="shared" si="75"/>
        <v>457.2</v>
      </c>
      <c r="R1081">
        <f t="shared" si="76"/>
        <v>457.3</v>
      </c>
      <c r="S1081">
        <f t="shared" si="77"/>
        <v>0</v>
      </c>
    </row>
    <row r="1082" spans="1:19" x14ac:dyDescent="0.25">
      <c r="A1082" s="2">
        <v>44898</v>
      </c>
      <c r="B1082" s="3">
        <v>337</v>
      </c>
      <c r="C1082" s="3">
        <v>2200</v>
      </c>
      <c r="D1082">
        <v>457.13440000000003</v>
      </c>
      <c r="E1082">
        <v>4.4999999999999998E-2</v>
      </c>
      <c r="F1082">
        <v>450.49579999999997</v>
      </c>
      <c r="G1082">
        <v>458.9119</v>
      </c>
      <c r="H1082">
        <v>461.9957</v>
      </c>
      <c r="I1082">
        <v>3.4000000000000002E-2</v>
      </c>
      <c r="J1082">
        <v>5.1999999999999998E-2</v>
      </c>
      <c r="K1082">
        <v>4.7E-2</v>
      </c>
      <c r="L1082">
        <v>2306.6</v>
      </c>
      <c r="M1082">
        <v>2315</v>
      </c>
      <c r="N1082">
        <v>2331.6</v>
      </c>
      <c r="Q1082">
        <f t="shared" si="75"/>
        <v>457.1</v>
      </c>
      <c r="R1082">
        <f t="shared" si="76"/>
        <v>457.3</v>
      </c>
      <c r="S1082">
        <f t="shared" si="77"/>
        <v>0</v>
      </c>
    </row>
    <row r="1083" spans="1:19" x14ac:dyDescent="0.25">
      <c r="A1083" s="2">
        <v>44898</v>
      </c>
      <c r="B1083" s="3">
        <v>337</v>
      </c>
      <c r="C1083" s="3">
        <v>2300</v>
      </c>
      <c r="D1083">
        <v>457.10300000000001</v>
      </c>
      <c r="E1083">
        <v>0.04</v>
      </c>
      <c r="F1083">
        <v>450.43860000000001</v>
      </c>
      <c r="G1083">
        <v>458.86349999999999</v>
      </c>
      <c r="H1083">
        <v>462.00689999999997</v>
      </c>
      <c r="I1083">
        <v>5.0999999999999997E-2</v>
      </c>
      <c r="J1083">
        <v>2.4E-2</v>
      </c>
      <c r="K1083">
        <v>0.04</v>
      </c>
      <c r="L1083">
        <v>2306.4</v>
      </c>
      <c r="M1083">
        <v>2314.8000000000002</v>
      </c>
      <c r="N1083">
        <v>2331.6</v>
      </c>
      <c r="Q1083">
        <f t="shared" si="75"/>
        <v>457.1</v>
      </c>
      <c r="R1083">
        <f t="shared" si="76"/>
        <v>457.3</v>
      </c>
      <c r="S1083">
        <f t="shared" si="77"/>
        <v>0</v>
      </c>
    </row>
    <row r="1084" spans="1:19" x14ac:dyDescent="0.25">
      <c r="A1084" s="2">
        <v>44898</v>
      </c>
      <c r="B1084" s="3">
        <v>337</v>
      </c>
      <c r="C1084" s="3">
        <v>2400</v>
      </c>
      <c r="D1084">
        <v>457.17770000000002</v>
      </c>
      <c r="E1084">
        <v>4.9000000000000002E-2</v>
      </c>
      <c r="F1084">
        <v>450.5401</v>
      </c>
      <c r="G1084">
        <v>458.9975</v>
      </c>
      <c r="H1084">
        <v>461.9957</v>
      </c>
      <c r="I1084">
        <v>5.0999999999999997E-2</v>
      </c>
      <c r="J1084">
        <v>4.8000000000000001E-2</v>
      </c>
      <c r="K1084">
        <v>4.7E-2</v>
      </c>
      <c r="L1084">
        <v>2306.6</v>
      </c>
      <c r="M1084">
        <v>2315</v>
      </c>
      <c r="N1084">
        <v>2331.6</v>
      </c>
      <c r="Q1084">
        <f t="shared" si="75"/>
        <v>457.2</v>
      </c>
      <c r="R1084">
        <f t="shared" si="76"/>
        <v>457.3</v>
      </c>
      <c r="S1084">
        <f t="shared" si="77"/>
        <v>0</v>
      </c>
    </row>
    <row r="1085" spans="1:19" x14ac:dyDescent="0.25">
      <c r="A1085" s="2">
        <v>44899</v>
      </c>
      <c r="B1085" s="3">
        <v>338</v>
      </c>
      <c r="C1085" s="3">
        <v>100</v>
      </c>
      <c r="D1085">
        <v>457.19979999999998</v>
      </c>
      <c r="E1085">
        <v>4.7E-2</v>
      </c>
      <c r="F1085">
        <v>450.6026</v>
      </c>
      <c r="G1085">
        <v>459.01339999999999</v>
      </c>
      <c r="H1085">
        <v>461.98329999999999</v>
      </c>
      <c r="I1085">
        <v>3.7999999999999999E-2</v>
      </c>
      <c r="J1085">
        <v>5.1999999999999998E-2</v>
      </c>
      <c r="K1085">
        <v>5.0999999999999997E-2</v>
      </c>
      <c r="L1085">
        <v>2306.8000000000002</v>
      </c>
      <c r="M1085">
        <v>2315.1999999999998</v>
      </c>
      <c r="N1085">
        <v>2331.6</v>
      </c>
      <c r="Q1085">
        <f t="shared" si="75"/>
        <v>457.2</v>
      </c>
      <c r="R1085">
        <f t="shared" si="76"/>
        <v>457.3</v>
      </c>
      <c r="S1085">
        <f t="shared" si="77"/>
        <v>0</v>
      </c>
    </row>
    <row r="1086" spans="1:19" x14ac:dyDescent="0.25">
      <c r="A1086" s="2">
        <v>44899</v>
      </c>
      <c r="B1086" s="3">
        <v>338</v>
      </c>
      <c r="C1086" s="3">
        <v>200</v>
      </c>
      <c r="D1086">
        <v>457.19490000000002</v>
      </c>
      <c r="E1086">
        <v>4.5999999999999999E-2</v>
      </c>
      <c r="F1086">
        <v>450.59899999999999</v>
      </c>
      <c r="G1086">
        <v>459.00599999999997</v>
      </c>
      <c r="H1086">
        <v>461.97969999999998</v>
      </c>
      <c r="I1086">
        <v>3.4000000000000002E-2</v>
      </c>
      <c r="J1086">
        <v>5.0999999999999997E-2</v>
      </c>
      <c r="K1086">
        <v>5.1999999999999998E-2</v>
      </c>
      <c r="L1086">
        <v>2306.8000000000002</v>
      </c>
      <c r="M1086">
        <v>2315</v>
      </c>
      <c r="N1086">
        <v>2331.6</v>
      </c>
      <c r="Q1086">
        <f t="shared" si="75"/>
        <v>457.2</v>
      </c>
      <c r="R1086">
        <f t="shared" si="76"/>
        <v>457.3</v>
      </c>
      <c r="S1086">
        <f t="shared" si="77"/>
        <v>0</v>
      </c>
    </row>
    <row r="1087" spans="1:19" x14ac:dyDescent="0.25">
      <c r="A1087" s="2">
        <v>44899</v>
      </c>
      <c r="B1087" s="3">
        <v>338</v>
      </c>
      <c r="C1087" s="3">
        <v>300</v>
      </c>
      <c r="D1087">
        <v>457.18009999999998</v>
      </c>
      <c r="E1087">
        <v>0.04</v>
      </c>
      <c r="F1087">
        <v>450.57889999999998</v>
      </c>
      <c r="G1087">
        <v>458.97699999999998</v>
      </c>
      <c r="H1087">
        <v>461.98450000000003</v>
      </c>
      <c r="I1087">
        <v>3.3000000000000002E-2</v>
      </c>
      <c r="J1087">
        <v>3.2000000000000001E-2</v>
      </c>
      <c r="K1087">
        <v>5.0999999999999997E-2</v>
      </c>
      <c r="L1087">
        <v>2306.8000000000002</v>
      </c>
      <c r="M1087">
        <v>2315</v>
      </c>
      <c r="N1087">
        <v>2331.6</v>
      </c>
      <c r="Q1087">
        <f t="shared" si="75"/>
        <v>457.2</v>
      </c>
      <c r="R1087">
        <f t="shared" si="76"/>
        <v>457.3</v>
      </c>
      <c r="S1087">
        <f t="shared" si="77"/>
        <v>0</v>
      </c>
    </row>
    <row r="1088" spans="1:19" x14ac:dyDescent="0.25">
      <c r="A1088" s="2">
        <v>44899</v>
      </c>
      <c r="B1088" s="3">
        <v>338</v>
      </c>
      <c r="C1088" s="3">
        <v>400</v>
      </c>
      <c r="D1088">
        <v>457.20519999999999</v>
      </c>
      <c r="E1088">
        <v>5.0999999999999997E-2</v>
      </c>
      <c r="F1088">
        <v>450.6207</v>
      </c>
      <c r="G1088">
        <v>459.01339999999999</v>
      </c>
      <c r="H1088">
        <v>461.98149999999998</v>
      </c>
      <c r="I1088">
        <v>4.9000000000000002E-2</v>
      </c>
      <c r="J1088">
        <v>5.1999999999999998E-2</v>
      </c>
      <c r="K1088">
        <v>5.1999999999999998E-2</v>
      </c>
      <c r="L1088">
        <v>2307</v>
      </c>
      <c r="M1088">
        <v>2315</v>
      </c>
      <c r="N1088">
        <v>2331.4</v>
      </c>
      <c r="Q1088">
        <f t="shared" si="75"/>
        <v>457.2</v>
      </c>
      <c r="R1088">
        <f t="shared" si="76"/>
        <v>457.3</v>
      </c>
      <c r="S1088">
        <f t="shared" si="77"/>
        <v>0</v>
      </c>
    </row>
    <row r="1089" spans="1:19" x14ac:dyDescent="0.25">
      <c r="A1089" s="2">
        <v>44899</v>
      </c>
      <c r="B1089" s="3">
        <v>338</v>
      </c>
      <c r="C1089" s="3">
        <v>500</v>
      </c>
      <c r="D1089">
        <v>457.22219999999999</v>
      </c>
      <c r="E1089">
        <v>0.05</v>
      </c>
      <c r="F1089">
        <v>450.65159999999997</v>
      </c>
      <c r="G1089">
        <v>459.03710000000001</v>
      </c>
      <c r="H1089">
        <v>461.9778</v>
      </c>
      <c r="I1089">
        <v>0.05</v>
      </c>
      <c r="J1089">
        <v>4.8000000000000001E-2</v>
      </c>
      <c r="K1089">
        <v>5.1999999999999998E-2</v>
      </c>
      <c r="L1089">
        <v>2307</v>
      </c>
      <c r="M1089">
        <v>2315</v>
      </c>
      <c r="N1089">
        <v>2331.4</v>
      </c>
      <c r="Q1089">
        <f t="shared" si="75"/>
        <v>457.2</v>
      </c>
      <c r="R1089">
        <f t="shared" si="76"/>
        <v>457.3</v>
      </c>
      <c r="S1089">
        <f t="shared" si="77"/>
        <v>0</v>
      </c>
    </row>
    <row r="1090" spans="1:19" x14ac:dyDescent="0.25">
      <c r="A1090" s="2">
        <v>44899</v>
      </c>
      <c r="B1090" s="3">
        <v>338</v>
      </c>
      <c r="C1090" s="3">
        <v>600</v>
      </c>
      <c r="D1090">
        <v>457.20150000000001</v>
      </c>
      <c r="E1090">
        <v>4.9000000000000002E-2</v>
      </c>
      <c r="F1090">
        <v>450.63889999999998</v>
      </c>
      <c r="G1090">
        <v>458.98779999999999</v>
      </c>
      <c r="H1090">
        <v>461.9778</v>
      </c>
      <c r="I1090">
        <v>5.1999999999999998E-2</v>
      </c>
      <c r="J1090">
        <v>4.2999999999999997E-2</v>
      </c>
      <c r="K1090">
        <v>5.1999999999999998E-2</v>
      </c>
      <c r="L1090">
        <v>2306.8000000000002</v>
      </c>
      <c r="M1090">
        <v>2315.1999999999998</v>
      </c>
      <c r="N1090">
        <v>2331.4</v>
      </c>
      <c r="Q1090">
        <f t="shared" si="75"/>
        <v>457.2</v>
      </c>
      <c r="R1090">
        <f t="shared" si="76"/>
        <v>457.3</v>
      </c>
      <c r="S1090">
        <f t="shared" si="77"/>
        <v>0</v>
      </c>
    </row>
    <row r="1091" spans="1:19" x14ac:dyDescent="0.25">
      <c r="A1091" s="2">
        <v>44899</v>
      </c>
      <c r="B1091" s="3">
        <v>338</v>
      </c>
      <c r="C1091" s="3">
        <v>700</v>
      </c>
      <c r="D1091">
        <v>457.17599999999999</v>
      </c>
      <c r="E1091">
        <v>0.04</v>
      </c>
      <c r="F1091">
        <v>450.60079999999999</v>
      </c>
      <c r="G1091">
        <v>458.95850000000002</v>
      </c>
      <c r="H1091">
        <v>461.96870000000001</v>
      </c>
      <c r="I1091">
        <v>3.5999999999999997E-2</v>
      </c>
      <c r="J1091">
        <v>2.7E-2</v>
      </c>
      <c r="K1091">
        <v>5.1999999999999998E-2</v>
      </c>
      <c r="L1091">
        <v>2306.8000000000002</v>
      </c>
      <c r="M1091">
        <v>2315</v>
      </c>
      <c r="N1091">
        <v>2331.4</v>
      </c>
      <c r="Q1091">
        <f t="shared" si="75"/>
        <v>457.2</v>
      </c>
      <c r="R1091">
        <f t="shared" si="76"/>
        <v>457.3</v>
      </c>
      <c r="S1091">
        <f t="shared" si="77"/>
        <v>0</v>
      </c>
    </row>
    <row r="1092" spans="1:19" x14ac:dyDescent="0.25">
      <c r="A1092" s="2">
        <v>44899</v>
      </c>
      <c r="B1092" s="3">
        <v>338</v>
      </c>
      <c r="C1092" s="3">
        <v>800</v>
      </c>
      <c r="D1092">
        <v>457.17899999999997</v>
      </c>
      <c r="E1092">
        <v>4.1000000000000002E-2</v>
      </c>
      <c r="F1092">
        <v>450.59719999999999</v>
      </c>
      <c r="G1092">
        <v>458.97129999999999</v>
      </c>
      <c r="H1092">
        <v>461.96870000000001</v>
      </c>
      <c r="I1092">
        <v>3.2000000000000001E-2</v>
      </c>
      <c r="J1092">
        <v>3.5999999999999997E-2</v>
      </c>
      <c r="K1092">
        <v>5.1999999999999998E-2</v>
      </c>
      <c r="L1092">
        <v>2306.8000000000002</v>
      </c>
      <c r="M1092">
        <v>2315</v>
      </c>
      <c r="N1092">
        <v>2331.6</v>
      </c>
      <c r="Q1092">
        <f t="shared" si="75"/>
        <v>457.2</v>
      </c>
      <c r="R1092">
        <f t="shared" si="76"/>
        <v>457.3</v>
      </c>
      <c r="S1092">
        <f t="shared" si="77"/>
        <v>0</v>
      </c>
    </row>
    <row r="1093" spans="1:19" x14ac:dyDescent="0.25">
      <c r="A1093" s="2">
        <v>44899</v>
      </c>
      <c r="B1093" s="3">
        <v>338</v>
      </c>
      <c r="C1093" s="3">
        <v>900</v>
      </c>
      <c r="D1093">
        <v>457.09969999999998</v>
      </c>
      <c r="E1093">
        <v>4.1000000000000002E-2</v>
      </c>
      <c r="F1093">
        <v>450.59719999999999</v>
      </c>
      <c r="G1093">
        <v>458.88720000000001</v>
      </c>
      <c r="H1093">
        <v>461.81479999999999</v>
      </c>
      <c r="I1093">
        <v>4.5999999999999999E-2</v>
      </c>
      <c r="J1093">
        <v>4.4999999999999998E-2</v>
      </c>
      <c r="K1093">
        <v>3.1E-2</v>
      </c>
      <c r="L1093">
        <v>2306.8000000000002</v>
      </c>
      <c r="M1093">
        <v>2314.8000000000002</v>
      </c>
      <c r="N1093">
        <v>2331.1999999999998</v>
      </c>
      <c r="Q1093">
        <f t="shared" si="75"/>
        <v>457.1</v>
      </c>
      <c r="R1093">
        <f t="shared" si="76"/>
        <v>457.3</v>
      </c>
      <c r="S1093">
        <f t="shared" si="77"/>
        <v>0</v>
      </c>
    </row>
    <row r="1094" spans="1:19" x14ac:dyDescent="0.25">
      <c r="A1094" s="2">
        <v>44899</v>
      </c>
      <c r="B1094" s="3">
        <v>338</v>
      </c>
      <c r="C1094" s="3">
        <v>1000</v>
      </c>
      <c r="D1094">
        <v>457.01389999999998</v>
      </c>
      <c r="E1094">
        <v>4.9000000000000002E-2</v>
      </c>
      <c r="F1094">
        <v>450.53919999999999</v>
      </c>
      <c r="G1094">
        <v>458.81779999999998</v>
      </c>
      <c r="H1094">
        <v>461.6848</v>
      </c>
      <c r="I1094">
        <v>5.0999999999999997E-2</v>
      </c>
      <c r="J1094">
        <v>5.0999999999999997E-2</v>
      </c>
      <c r="K1094">
        <v>4.5999999999999999E-2</v>
      </c>
      <c r="L1094">
        <v>2306.6</v>
      </c>
      <c r="M1094">
        <v>2314.6</v>
      </c>
      <c r="N1094">
        <v>2330.8000000000002</v>
      </c>
      <c r="Q1094">
        <f t="shared" si="75"/>
        <v>457</v>
      </c>
      <c r="R1094">
        <f t="shared" si="76"/>
        <v>457.3</v>
      </c>
      <c r="S1094">
        <f t="shared" si="77"/>
        <v>0</v>
      </c>
    </row>
    <row r="1095" spans="1:19" x14ac:dyDescent="0.25">
      <c r="A1095" s="2">
        <v>44899</v>
      </c>
      <c r="B1095" s="3">
        <v>338</v>
      </c>
      <c r="C1095" s="3">
        <v>1100</v>
      </c>
      <c r="D1095">
        <v>459.06259999999997</v>
      </c>
      <c r="E1095">
        <v>4.8000000000000001E-2</v>
      </c>
      <c r="F1095">
        <v>452.54250000000002</v>
      </c>
      <c r="G1095">
        <v>460.89499999999998</v>
      </c>
      <c r="H1095">
        <v>463.75040000000001</v>
      </c>
      <c r="I1095">
        <v>0.04</v>
      </c>
      <c r="J1095">
        <v>5.1999999999999998E-2</v>
      </c>
      <c r="K1095">
        <v>5.1999999999999998E-2</v>
      </c>
      <c r="L1095">
        <v>2310.6</v>
      </c>
      <c r="M1095">
        <v>2318.8000000000002</v>
      </c>
      <c r="N1095">
        <v>2335</v>
      </c>
      <c r="Q1095">
        <f t="shared" si="75"/>
        <v>459.1</v>
      </c>
      <c r="R1095">
        <f t="shared" si="76"/>
        <v>459.1</v>
      </c>
      <c r="S1095">
        <f t="shared" si="77"/>
        <v>1.8000000000000114</v>
      </c>
    </row>
    <row r="1096" spans="1:19" x14ac:dyDescent="0.25">
      <c r="A1096" s="2">
        <v>44899</v>
      </c>
      <c r="B1096" s="3">
        <v>338</v>
      </c>
      <c r="C1096" s="3">
        <v>1200</v>
      </c>
      <c r="D1096">
        <v>459.0394</v>
      </c>
      <c r="E1096">
        <v>3.5000000000000003E-2</v>
      </c>
      <c r="F1096">
        <v>452.55700000000002</v>
      </c>
      <c r="G1096">
        <v>460.84010000000001</v>
      </c>
      <c r="H1096">
        <v>463.721</v>
      </c>
      <c r="I1096">
        <v>2.3E-2</v>
      </c>
      <c r="J1096">
        <v>3.4000000000000002E-2</v>
      </c>
      <c r="K1096">
        <v>4.3999999999999997E-2</v>
      </c>
      <c r="L1096">
        <v>2310.6</v>
      </c>
      <c r="M1096">
        <v>2318.6</v>
      </c>
      <c r="N1096">
        <v>2334.8000000000002</v>
      </c>
      <c r="Q1096">
        <f t="shared" si="75"/>
        <v>459</v>
      </c>
      <c r="R1096">
        <f t="shared" si="76"/>
        <v>459.1</v>
      </c>
      <c r="S1096">
        <f t="shared" si="77"/>
        <v>0</v>
      </c>
    </row>
    <row r="1097" spans="1:19" x14ac:dyDescent="0.25">
      <c r="A1097" s="2">
        <v>44899</v>
      </c>
      <c r="B1097" s="3">
        <v>338</v>
      </c>
      <c r="C1097" s="3">
        <v>1300</v>
      </c>
      <c r="D1097">
        <v>458.94200000000001</v>
      </c>
      <c r="E1097">
        <v>4.5999999999999999E-2</v>
      </c>
      <c r="F1097">
        <v>452.42619999999999</v>
      </c>
      <c r="G1097">
        <v>460.74290000000002</v>
      </c>
      <c r="H1097">
        <v>463.65679999999998</v>
      </c>
      <c r="I1097">
        <v>4.2000000000000003E-2</v>
      </c>
      <c r="J1097">
        <v>4.3999999999999997E-2</v>
      </c>
      <c r="K1097">
        <v>5.0999999999999997E-2</v>
      </c>
      <c r="L1097">
        <v>2310.4</v>
      </c>
      <c r="M1097">
        <v>2318.4</v>
      </c>
      <c r="N1097">
        <v>2334.8000000000002</v>
      </c>
      <c r="Q1097">
        <f t="shared" si="75"/>
        <v>458.9</v>
      </c>
      <c r="R1097">
        <f t="shared" si="76"/>
        <v>459.1</v>
      </c>
      <c r="S1097">
        <f t="shared" si="77"/>
        <v>0</v>
      </c>
    </row>
    <row r="1098" spans="1:19" x14ac:dyDescent="0.25">
      <c r="A1098" s="2">
        <v>44899</v>
      </c>
      <c r="B1098" s="3">
        <v>338</v>
      </c>
      <c r="C1098" s="3">
        <v>1400</v>
      </c>
      <c r="D1098">
        <v>458.94060000000002</v>
      </c>
      <c r="E1098">
        <v>4.7E-2</v>
      </c>
      <c r="F1098">
        <v>452.46429999999998</v>
      </c>
      <c r="G1098">
        <v>460.68610000000001</v>
      </c>
      <c r="H1098">
        <v>463.67149999999998</v>
      </c>
      <c r="I1098">
        <v>4.2000000000000003E-2</v>
      </c>
      <c r="J1098">
        <v>5.1999999999999998E-2</v>
      </c>
      <c r="K1098">
        <v>4.4999999999999998E-2</v>
      </c>
      <c r="L1098">
        <v>2310.4</v>
      </c>
      <c r="M1098">
        <v>2318.4</v>
      </c>
      <c r="N1098">
        <v>2334.6</v>
      </c>
      <c r="Q1098">
        <f t="shared" si="75"/>
        <v>458.9</v>
      </c>
      <c r="R1098">
        <f t="shared" si="76"/>
        <v>459.1</v>
      </c>
      <c r="S1098">
        <f t="shared" si="77"/>
        <v>0</v>
      </c>
    </row>
    <row r="1099" spans="1:19" x14ac:dyDescent="0.25">
      <c r="A1099" s="2">
        <v>44899</v>
      </c>
      <c r="B1099" s="3">
        <v>338</v>
      </c>
      <c r="C1099" s="3">
        <v>1500</v>
      </c>
      <c r="D1099">
        <v>458.92250000000001</v>
      </c>
      <c r="E1099">
        <v>4.9000000000000002E-2</v>
      </c>
      <c r="F1099">
        <v>452.40989999999999</v>
      </c>
      <c r="G1099">
        <v>460.68790000000001</v>
      </c>
      <c r="H1099">
        <v>463.66969999999998</v>
      </c>
      <c r="I1099">
        <v>0.05</v>
      </c>
      <c r="J1099">
        <v>5.1999999999999998E-2</v>
      </c>
      <c r="K1099">
        <v>4.5999999999999999E-2</v>
      </c>
      <c r="L1099">
        <v>2310.4</v>
      </c>
      <c r="M1099">
        <v>2318.4</v>
      </c>
      <c r="N1099">
        <v>2334.8000000000002</v>
      </c>
      <c r="Q1099">
        <f t="shared" si="75"/>
        <v>458.9</v>
      </c>
      <c r="R1099">
        <f t="shared" si="76"/>
        <v>459.1</v>
      </c>
      <c r="S1099">
        <f t="shared" si="77"/>
        <v>0</v>
      </c>
    </row>
    <row r="1100" spans="1:19" x14ac:dyDescent="0.25">
      <c r="A1100" s="2">
        <v>44899</v>
      </c>
      <c r="B1100" s="3">
        <v>338</v>
      </c>
      <c r="C1100" s="3">
        <v>1600</v>
      </c>
      <c r="D1100">
        <v>458.97829999999999</v>
      </c>
      <c r="E1100">
        <v>4.8000000000000001E-2</v>
      </c>
      <c r="F1100">
        <v>452.36270000000002</v>
      </c>
      <c r="G1100">
        <v>460.80709999999999</v>
      </c>
      <c r="H1100">
        <v>463.76499999999999</v>
      </c>
      <c r="I1100">
        <v>4.3999999999999997E-2</v>
      </c>
      <c r="J1100">
        <v>0.05</v>
      </c>
      <c r="K1100">
        <v>0.05</v>
      </c>
      <c r="L1100">
        <v>2310</v>
      </c>
      <c r="M1100">
        <v>2318.4</v>
      </c>
      <c r="N1100">
        <v>2335</v>
      </c>
      <c r="Q1100">
        <f t="shared" si="75"/>
        <v>459</v>
      </c>
      <c r="R1100">
        <f t="shared" si="76"/>
        <v>459.1</v>
      </c>
      <c r="S1100">
        <f t="shared" si="77"/>
        <v>0</v>
      </c>
    </row>
    <row r="1101" spans="1:19" x14ac:dyDescent="0.25">
      <c r="A1101" s="2">
        <v>44899</v>
      </c>
      <c r="B1101" s="3">
        <v>338</v>
      </c>
      <c r="C1101" s="3">
        <v>1700</v>
      </c>
      <c r="D1101">
        <v>459.03019999999998</v>
      </c>
      <c r="E1101">
        <v>4.8000000000000001E-2</v>
      </c>
      <c r="F1101">
        <v>452.35719999999998</v>
      </c>
      <c r="G1101">
        <v>460.88400000000001</v>
      </c>
      <c r="H1101">
        <v>463.8494</v>
      </c>
      <c r="I1101">
        <v>3.9E-2</v>
      </c>
      <c r="J1101">
        <v>5.0999999999999997E-2</v>
      </c>
      <c r="K1101">
        <v>5.1999999999999998E-2</v>
      </c>
      <c r="L1101">
        <v>2310.1999999999998</v>
      </c>
      <c r="M1101">
        <v>2318.6</v>
      </c>
      <c r="N1101">
        <v>2335</v>
      </c>
      <c r="Q1101">
        <f t="shared" si="75"/>
        <v>459</v>
      </c>
      <c r="R1101">
        <f t="shared" si="76"/>
        <v>459.1</v>
      </c>
      <c r="S1101">
        <f t="shared" si="77"/>
        <v>0</v>
      </c>
    </row>
    <row r="1102" spans="1:19" x14ac:dyDescent="0.25">
      <c r="A1102" s="2">
        <v>44899</v>
      </c>
      <c r="B1102" s="3">
        <v>338</v>
      </c>
      <c r="C1102" s="3">
        <v>1800</v>
      </c>
      <c r="D1102">
        <v>459.10129999999998</v>
      </c>
      <c r="E1102">
        <v>3.5999999999999997E-2</v>
      </c>
      <c r="F1102">
        <v>452.46800000000002</v>
      </c>
      <c r="G1102">
        <v>460.93720000000002</v>
      </c>
      <c r="H1102">
        <v>463.89890000000003</v>
      </c>
      <c r="I1102">
        <v>4.1000000000000002E-2</v>
      </c>
      <c r="J1102">
        <v>3.2000000000000001E-2</v>
      </c>
      <c r="K1102">
        <v>3.3000000000000002E-2</v>
      </c>
      <c r="L1102">
        <v>2310.4</v>
      </c>
      <c r="M1102">
        <v>2318.8000000000002</v>
      </c>
      <c r="N1102">
        <v>2335</v>
      </c>
      <c r="Q1102">
        <f t="shared" si="75"/>
        <v>459.1</v>
      </c>
      <c r="R1102">
        <f t="shared" si="76"/>
        <v>459.1</v>
      </c>
      <c r="S1102">
        <f t="shared" si="77"/>
        <v>0</v>
      </c>
    </row>
    <row r="1103" spans="1:19" x14ac:dyDescent="0.25">
      <c r="A1103" s="2">
        <v>44899</v>
      </c>
      <c r="B1103" s="3">
        <v>338</v>
      </c>
      <c r="C1103" s="3">
        <v>1900</v>
      </c>
      <c r="D1103">
        <v>459.07580000000002</v>
      </c>
      <c r="E1103">
        <v>4.2999999999999997E-2</v>
      </c>
      <c r="F1103">
        <v>452.44619999999998</v>
      </c>
      <c r="G1103">
        <v>460.90969999999999</v>
      </c>
      <c r="H1103">
        <v>463.87139999999999</v>
      </c>
      <c r="I1103">
        <v>2.4E-2</v>
      </c>
      <c r="J1103">
        <v>0.05</v>
      </c>
      <c r="K1103">
        <v>4.9000000000000002E-2</v>
      </c>
      <c r="L1103">
        <v>2310.4</v>
      </c>
      <c r="M1103">
        <v>2318.8000000000002</v>
      </c>
      <c r="N1103">
        <v>2335.1999999999998</v>
      </c>
      <c r="Q1103">
        <f t="shared" si="75"/>
        <v>459.1</v>
      </c>
      <c r="R1103">
        <f t="shared" si="76"/>
        <v>459.1</v>
      </c>
      <c r="S1103">
        <f t="shared" si="77"/>
        <v>0</v>
      </c>
    </row>
    <row r="1104" spans="1:19" x14ac:dyDescent="0.25">
      <c r="A1104" s="2">
        <v>44899</v>
      </c>
      <c r="B1104" s="3">
        <v>338</v>
      </c>
      <c r="C1104" s="3">
        <v>2000</v>
      </c>
      <c r="D1104">
        <v>459.06979999999999</v>
      </c>
      <c r="E1104">
        <v>4.2999999999999997E-2</v>
      </c>
      <c r="F1104">
        <v>452.39170000000001</v>
      </c>
      <c r="G1104">
        <v>460.91699999999997</v>
      </c>
      <c r="H1104">
        <v>463.9008</v>
      </c>
      <c r="I1104">
        <v>5.1999999999999998E-2</v>
      </c>
      <c r="J1104">
        <v>4.8000000000000001E-2</v>
      </c>
      <c r="K1104">
        <v>2.3E-2</v>
      </c>
      <c r="L1104">
        <v>2310.1999999999998</v>
      </c>
      <c r="M1104">
        <v>2318.8000000000002</v>
      </c>
      <c r="N1104">
        <v>2335.1999999999998</v>
      </c>
      <c r="Q1104">
        <f t="shared" si="75"/>
        <v>459.1</v>
      </c>
      <c r="R1104">
        <f t="shared" si="76"/>
        <v>459.1</v>
      </c>
      <c r="S1104">
        <f t="shared" si="77"/>
        <v>0</v>
      </c>
    </row>
    <row r="1105" spans="1:19" x14ac:dyDescent="0.25">
      <c r="A1105" s="2">
        <v>44899</v>
      </c>
      <c r="B1105" s="3">
        <v>338</v>
      </c>
      <c r="C1105" s="3">
        <v>2100</v>
      </c>
      <c r="D1105">
        <v>459.12079999999997</v>
      </c>
      <c r="E1105">
        <v>0.04</v>
      </c>
      <c r="F1105">
        <v>452.47710000000001</v>
      </c>
      <c r="G1105">
        <v>460.95909999999998</v>
      </c>
      <c r="H1105">
        <v>463.9264</v>
      </c>
      <c r="I1105">
        <v>4.7E-2</v>
      </c>
      <c r="J1105">
        <v>3.2000000000000001E-2</v>
      </c>
      <c r="K1105">
        <v>4.1000000000000002E-2</v>
      </c>
      <c r="L1105">
        <v>2310.4</v>
      </c>
      <c r="M1105">
        <v>2318.8000000000002</v>
      </c>
      <c r="N1105">
        <v>2335.1999999999998</v>
      </c>
      <c r="Q1105">
        <f t="shared" si="75"/>
        <v>459.1</v>
      </c>
      <c r="R1105">
        <f t="shared" si="76"/>
        <v>459.1</v>
      </c>
      <c r="S1105">
        <f t="shared" si="77"/>
        <v>0</v>
      </c>
    </row>
    <row r="1106" spans="1:19" x14ac:dyDescent="0.25">
      <c r="A1106" s="2">
        <v>44899</v>
      </c>
      <c r="B1106" s="3">
        <v>338</v>
      </c>
      <c r="C1106" s="3">
        <v>2200</v>
      </c>
      <c r="D1106">
        <v>459.12020000000001</v>
      </c>
      <c r="E1106">
        <v>4.2999999999999997E-2</v>
      </c>
      <c r="F1106">
        <v>452.4898</v>
      </c>
      <c r="G1106">
        <v>460.94630000000001</v>
      </c>
      <c r="H1106">
        <v>463.9246</v>
      </c>
      <c r="I1106">
        <v>5.0999999999999997E-2</v>
      </c>
      <c r="J1106">
        <v>3.6999999999999998E-2</v>
      </c>
      <c r="K1106">
        <v>0.04</v>
      </c>
      <c r="L1106">
        <v>2310.4</v>
      </c>
      <c r="M1106">
        <v>2318.8000000000002</v>
      </c>
      <c r="N1106">
        <v>2335.1999999999998</v>
      </c>
      <c r="Q1106">
        <f t="shared" si="75"/>
        <v>459.1</v>
      </c>
      <c r="R1106">
        <f t="shared" si="76"/>
        <v>459.1</v>
      </c>
      <c r="S1106">
        <f t="shared" si="77"/>
        <v>0</v>
      </c>
    </row>
    <row r="1107" spans="1:19" x14ac:dyDescent="0.25">
      <c r="A1107" s="2">
        <v>44899</v>
      </c>
      <c r="B1107" s="3">
        <v>338</v>
      </c>
      <c r="C1107" s="3">
        <v>2300</v>
      </c>
      <c r="D1107">
        <v>459.13119999999998</v>
      </c>
      <c r="E1107">
        <v>4.4999999999999998E-2</v>
      </c>
      <c r="F1107">
        <v>452.49160000000001</v>
      </c>
      <c r="G1107">
        <v>460.95909999999998</v>
      </c>
      <c r="H1107">
        <v>463.94290000000001</v>
      </c>
      <c r="I1107">
        <v>5.0999999999999997E-2</v>
      </c>
      <c r="J1107">
        <v>3.2000000000000001E-2</v>
      </c>
      <c r="K1107">
        <v>0.05</v>
      </c>
      <c r="L1107">
        <v>2310.6</v>
      </c>
      <c r="M1107">
        <v>2318.8000000000002</v>
      </c>
      <c r="N1107">
        <v>2335.1999999999998</v>
      </c>
      <c r="Q1107">
        <f t="shared" ref="Q1107:Q1170" si="78">ROUND(D1107,1)</f>
        <v>459.1</v>
      </c>
      <c r="R1107">
        <f t="shared" si="76"/>
        <v>459.1</v>
      </c>
      <c r="S1107">
        <f t="shared" si="77"/>
        <v>0</v>
      </c>
    </row>
    <row r="1108" spans="1:19" x14ac:dyDescent="0.25">
      <c r="A1108" s="2">
        <v>44899</v>
      </c>
      <c r="B1108" s="3">
        <v>338</v>
      </c>
      <c r="C1108" s="3">
        <v>2400</v>
      </c>
      <c r="D1108">
        <v>459.13670000000002</v>
      </c>
      <c r="E1108">
        <v>4.8000000000000001E-2</v>
      </c>
      <c r="F1108">
        <v>452.50619999999998</v>
      </c>
      <c r="G1108">
        <v>460.96100000000001</v>
      </c>
      <c r="H1108">
        <v>463.94290000000001</v>
      </c>
      <c r="I1108">
        <v>5.0999999999999997E-2</v>
      </c>
      <c r="J1108">
        <v>4.3999999999999997E-2</v>
      </c>
      <c r="K1108">
        <v>0.05</v>
      </c>
      <c r="L1108">
        <v>2310.6</v>
      </c>
      <c r="M1108">
        <v>2318.8000000000002</v>
      </c>
      <c r="N1108">
        <v>2335.1999999999998</v>
      </c>
      <c r="Q1108">
        <f t="shared" si="78"/>
        <v>459.1</v>
      </c>
      <c r="R1108">
        <f t="shared" si="76"/>
        <v>459.1</v>
      </c>
      <c r="S1108">
        <f t="shared" si="77"/>
        <v>0</v>
      </c>
    </row>
    <row r="1109" spans="1:19" x14ac:dyDescent="0.25">
      <c r="A1109" s="2">
        <v>44900</v>
      </c>
      <c r="B1109" s="3">
        <v>339</v>
      </c>
      <c r="C1109" s="3">
        <v>100</v>
      </c>
      <c r="D1109">
        <v>459.14760000000001</v>
      </c>
      <c r="E1109">
        <v>0.04</v>
      </c>
      <c r="F1109">
        <v>452.53890000000001</v>
      </c>
      <c r="G1109">
        <v>460.96280000000002</v>
      </c>
      <c r="H1109">
        <v>463.94110000000001</v>
      </c>
      <c r="I1109">
        <v>3.4000000000000002E-2</v>
      </c>
      <c r="J1109">
        <v>3.5999999999999997E-2</v>
      </c>
      <c r="K1109">
        <v>4.9000000000000002E-2</v>
      </c>
      <c r="L1109">
        <v>2310.4</v>
      </c>
      <c r="M1109">
        <v>2318.8000000000002</v>
      </c>
      <c r="N1109">
        <v>2335.1999999999998</v>
      </c>
      <c r="Q1109">
        <f t="shared" si="78"/>
        <v>459.1</v>
      </c>
      <c r="R1109">
        <f t="shared" si="76"/>
        <v>459.1</v>
      </c>
      <c r="S1109">
        <f t="shared" si="77"/>
        <v>0</v>
      </c>
    </row>
    <row r="1110" spans="1:19" x14ac:dyDescent="0.25">
      <c r="A1110" s="2">
        <v>44900</v>
      </c>
      <c r="B1110" s="3">
        <v>339</v>
      </c>
      <c r="C1110" s="3">
        <v>200</v>
      </c>
      <c r="D1110">
        <v>459.16160000000002</v>
      </c>
      <c r="E1110">
        <v>4.5999999999999999E-2</v>
      </c>
      <c r="F1110">
        <v>452.56610000000001</v>
      </c>
      <c r="G1110">
        <v>460.9683</v>
      </c>
      <c r="H1110">
        <v>463.95030000000003</v>
      </c>
      <c r="I1110">
        <v>4.4999999999999998E-2</v>
      </c>
      <c r="J1110">
        <v>4.1000000000000002E-2</v>
      </c>
      <c r="K1110">
        <v>5.1999999999999998E-2</v>
      </c>
      <c r="L1110">
        <v>2310.6</v>
      </c>
      <c r="M1110">
        <v>2319</v>
      </c>
      <c r="N1110">
        <v>2335.1999999999998</v>
      </c>
      <c r="Q1110">
        <f t="shared" si="78"/>
        <v>459.2</v>
      </c>
      <c r="R1110">
        <f t="shared" si="76"/>
        <v>459.2</v>
      </c>
      <c r="S1110">
        <f t="shared" si="77"/>
        <v>9.9999999999965894E-2</v>
      </c>
    </row>
    <row r="1111" spans="1:19" x14ac:dyDescent="0.25">
      <c r="A1111" s="2">
        <v>44900</v>
      </c>
      <c r="B1111" s="3">
        <v>339</v>
      </c>
      <c r="C1111" s="3">
        <v>300</v>
      </c>
      <c r="D1111">
        <v>459.1567</v>
      </c>
      <c r="E1111">
        <v>4.3999999999999997E-2</v>
      </c>
      <c r="F1111">
        <v>452.54250000000002</v>
      </c>
      <c r="G1111">
        <v>460.9701</v>
      </c>
      <c r="H1111">
        <v>463.95760000000001</v>
      </c>
      <c r="I1111">
        <v>3.5000000000000003E-2</v>
      </c>
      <c r="J1111">
        <v>4.2999999999999997E-2</v>
      </c>
      <c r="K1111">
        <v>5.1999999999999998E-2</v>
      </c>
      <c r="L1111">
        <v>2310.6</v>
      </c>
      <c r="M1111">
        <v>2318.8000000000002</v>
      </c>
      <c r="N1111">
        <v>2335.4</v>
      </c>
      <c r="Q1111">
        <f t="shared" si="78"/>
        <v>459.2</v>
      </c>
      <c r="R1111">
        <f t="shared" si="76"/>
        <v>459.2</v>
      </c>
      <c r="S1111">
        <f t="shared" si="77"/>
        <v>0</v>
      </c>
    </row>
    <row r="1112" spans="1:19" x14ac:dyDescent="0.25">
      <c r="A1112" s="2">
        <v>44900</v>
      </c>
      <c r="B1112" s="3">
        <v>339</v>
      </c>
      <c r="C1112" s="3">
        <v>400</v>
      </c>
      <c r="D1112">
        <v>459.1628</v>
      </c>
      <c r="E1112">
        <v>4.8000000000000001E-2</v>
      </c>
      <c r="F1112">
        <v>452.54070000000002</v>
      </c>
      <c r="G1112">
        <v>460.98660000000001</v>
      </c>
      <c r="H1112">
        <v>463.96129999999999</v>
      </c>
      <c r="I1112">
        <v>4.2000000000000003E-2</v>
      </c>
      <c r="J1112">
        <v>0.05</v>
      </c>
      <c r="K1112">
        <v>5.1999999999999998E-2</v>
      </c>
      <c r="L1112">
        <v>2310.6</v>
      </c>
      <c r="M1112">
        <v>2318.8000000000002</v>
      </c>
      <c r="N1112">
        <v>2335.4</v>
      </c>
      <c r="Q1112">
        <f t="shared" si="78"/>
        <v>459.2</v>
      </c>
      <c r="R1112">
        <f t="shared" si="76"/>
        <v>459.2</v>
      </c>
      <c r="S1112">
        <f t="shared" si="77"/>
        <v>0</v>
      </c>
    </row>
    <row r="1113" spans="1:19" x14ac:dyDescent="0.25">
      <c r="A1113" s="2">
        <v>44900</v>
      </c>
      <c r="B1113" s="3">
        <v>339</v>
      </c>
      <c r="C1113" s="3">
        <v>500</v>
      </c>
      <c r="D1113">
        <v>459.19029999999998</v>
      </c>
      <c r="E1113">
        <v>4.2999999999999997E-2</v>
      </c>
      <c r="F1113">
        <v>452.56790000000001</v>
      </c>
      <c r="G1113">
        <v>461.0068</v>
      </c>
      <c r="H1113">
        <v>463.99610000000001</v>
      </c>
      <c r="I1113">
        <v>3.7999999999999999E-2</v>
      </c>
      <c r="J1113">
        <v>5.1999999999999998E-2</v>
      </c>
      <c r="K1113">
        <v>3.5999999999999997E-2</v>
      </c>
      <c r="L1113">
        <v>2310.6</v>
      </c>
      <c r="M1113">
        <v>2319</v>
      </c>
      <c r="N1113">
        <v>2335.4</v>
      </c>
      <c r="Q1113">
        <f t="shared" si="78"/>
        <v>459.2</v>
      </c>
      <c r="R1113">
        <f t="shared" si="76"/>
        <v>459.2</v>
      </c>
      <c r="S1113">
        <f t="shared" si="77"/>
        <v>0</v>
      </c>
    </row>
    <row r="1114" spans="1:19" x14ac:dyDescent="0.25">
      <c r="A1114" s="2">
        <v>44900</v>
      </c>
      <c r="B1114" s="3">
        <v>339</v>
      </c>
      <c r="C1114" s="3">
        <v>600</v>
      </c>
      <c r="D1114">
        <v>459.21039999999999</v>
      </c>
      <c r="E1114">
        <v>4.2000000000000003E-2</v>
      </c>
      <c r="F1114">
        <v>452.58249999999998</v>
      </c>
      <c r="G1114">
        <v>461.02690000000001</v>
      </c>
      <c r="H1114">
        <v>464.02179999999998</v>
      </c>
      <c r="I1114">
        <v>4.7E-2</v>
      </c>
      <c r="J1114">
        <v>4.4999999999999998E-2</v>
      </c>
      <c r="K1114">
        <v>3.2000000000000001E-2</v>
      </c>
      <c r="L1114">
        <v>2310.6</v>
      </c>
      <c r="M1114">
        <v>2318.8000000000002</v>
      </c>
      <c r="N1114">
        <v>2335.6</v>
      </c>
      <c r="Q1114">
        <f t="shared" si="78"/>
        <v>459.2</v>
      </c>
      <c r="R1114">
        <f t="shared" si="76"/>
        <v>459.2</v>
      </c>
      <c r="S1114">
        <f t="shared" si="77"/>
        <v>0</v>
      </c>
    </row>
    <row r="1115" spans="1:19" x14ac:dyDescent="0.25">
      <c r="A1115" s="2">
        <v>44900</v>
      </c>
      <c r="B1115" s="3">
        <v>339</v>
      </c>
      <c r="C1115" s="3">
        <v>700</v>
      </c>
      <c r="D1115">
        <v>459.21589999999998</v>
      </c>
      <c r="E1115">
        <v>4.2000000000000003E-2</v>
      </c>
      <c r="F1115">
        <v>452.58969999999999</v>
      </c>
      <c r="G1115">
        <v>461.0342</v>
      </c>
      <c r="H1115">
        <v>464.02370000000002</v>
      </c>
      <c r="I1115">
        <v>0.05</v>
      </c>
      <c r="J1115">
        <v>0.04</v>
      </c>
      <c r="K1115">
        <v>3.4000000000000002E-2</v>
      </c>
      <c r="L1115">
        <v>2310.6</v>
      </c>
      <c r="M1115">
        <v>2319</v>
      </c>
      <c r="N1115">
        <v>2335.6</v>
      </c>
      <c r="Q1115">
        <f t="shared" si="78"/>
        <v>459.2</v>
      </c>
      <c r="R1115">
        <f t="shared" si="76"/>
        <v>459.2</v>
      </c>
      <c r="S1115">
        <f t="shared" si="77"/>
        <v>0</v>
      </c>
    </row>
    <row r="1116" spans="1:19" x14ac:dyDescent="0.25">
      <c r="A1116" s="2">
        <v>44900</v>
      </c>
      <c r="B1116" s="3">
        <v>339</v>
      </c>
      <c r="C1116" s="3">
        <v>800</v>
      </c>
      <c r="D1116">
        <v>459.21949999999998</v>
      </c>
      <c r="E1116">
        <v>4.2999999999999997E-2</v>
      </c>
      <c r="F1116">
        <v>452.59519999999998</v>
      </c>
      <c r="G1116">
        <v>461.03609999999998</v>
      </c>
      <c r="H1116">
        <v>464.02730000000003</v>
      </c>
      <c r="I1116">
        <v>5.0999999999999997E-2</v>
      </c>
      <c r="J1116">
        <v>3.7999999999999999E-2</v>
      </c>
      <c r="K1116">
        <v>3.7999999999999999E-2</v>
      </c>
      <c r="L1116">
        <v>2310.8000000000002</v>
      </c>
      <c r="M1116">
        <v>2318.8000000000002</v>
      </c>
      <c r="N1116">
        <v>2335.4</v>
      </c>
      <c r="Q1116">
        <f t="shared" si="78"/>
        <v>459.2</v>
      </c>
      <c r="R1116">
        <f t="shared" si="76"/>
        <v>459.2</v>
      </c>
      <c r="S1116">
        <f t="shared" si="77"/>
        <v>0</v>
      </c>
    </row>
    <row r="1117" spans="1:19" x14ac:dyDescent="0.25">
      <c r="A1117" s="2">
        <v>44900</v>
      </c>
      <c r="B1117" s="3">
        <v>339</v>
      </c>
      <c r="C1117" s="3">
        <v>900</v>
      </c>
      <c r="D1117">
        <v>459.22500000000002</v>
      </c>
      <c r="E1117">
        <v>4.3999999999999997E-2</v>
      </c>
      <c r="F1117">
        <v>452.60610000000003</v>
      </c>
      <c r="G1117">
        <v>461.03789999999998</v>
      </c>
      <c r="H1117">
        <v>464.03100000000001</v>
      </c>
      <c r="I1117">
        <v>5.1999999999999998E-2</v>
      </c>
      <c r="J1117">
        <v>3.5999999999999997E-2</v>
      </c>
      <c r="K1117">
        <v>4.1000000000000002E-2</v>
      </c>
      <c r="L1117">
        <v>2310.6</v>
      </c>
      <c r="M1117">
        <v>2319</v>
      </c>
      <c r="N1117">
        <v>2335.4</v>
      </c>
      <c r="Q1117">
        <f t="shared" si="78"/>
        <v>459.2</v>
      </c>
      <c r="R1117">
        <f t="shared" si="76"/>
        <v>459.2</v>
      </c>
      <c r="S1117">
        <f t="shared" si="77"/>
        <v>0</v>
      </c>
    </row>
    <row r="1118" spans="1:19" x14ac:dyDescent="0.25">
      <c r="A1118" s="2">
        <v>44900</v>
      </c>
      <c r="B1118" s="3">
        <v>339</v>
      </c>
      <c r="C1118" s="3">
        <v>1000</v>
      </c>
      <c r="D1118">
        <v>459.22190000000001</v>
      </c>
      <c r="E1118">
        <v>4.2999999999999997E-2</v>
      </c>
      <c r="F1118">
        <v>452.60789999999997</v>
      </c>
      <c r="G1118">
        <v>461.0342</v>
      </c>
      <c r="H1118">
        <v>464.02370000000002</v>
      </c>
      <c r="I1118">
        <v>5.1999999999999998E-2</v>
      </c>
      <c r="J1118">
        <v>0.04</v>
      </c>
      <c r="K1118">
        <v>3.4000000000000002E-2</v>
      </c>
      <c r="L1118">
        <v>2310.8000000000002</v>
      </c>
      <c r="M1118">
        <v>2319</v>
      </c>
      <c r="N1118">
        <v>2335.4</v>
      </c>
      <c r="Q1118">
        <f t="shared" si="78"/>
        <v>459.2</v>
      </c>
      <c r="R1118">
        <f t="shared" si="76"/>
        <v>459.2</v>
      </c>
      <c r="S1118">
        <f t="shared" si="77"/>
        <v>0</v>
      </c>
    </row>
    <row r="1119" spans="1:19" x14ac:dyDescent="0.25">
      <c r="A1119" s="2">
        <v>44900</v>
      </c>
      <c r="B1119" s="3">
        <v>339</v>
      </c>
      <c r="C1119" s="3">
        <v>1100</v>
      </c>
      <c r="D1119">
        <v>459.20299999999997</v>
      </c>
      <c r="E1119">
        <v>4.8000000000000001E-2</v>
      </c>
      <c r="F1119">
        <v>452.60789999999997</v>
      </c>
      <c r="G1119">
        <v>461.0086</v>
      </c>
      <c r="H1119">
        <v>463.99250000000001</v>
      </c>
      <c r="I1119">
        <v>5.1999999999999998E-2</v>
      </c>
      <c r="J1119">
        <v>5.1999999999999998E-2</v>
      </c>
      <c r="K1119">
        <v>0.04</v>
      </c>
      <c r="L1119">
        <v>2310.6</v>
      </c>
      <c r="M1119">
        <v>2318.8000000000002</v>
      </c>
      <c r="N1119">
        <v>2335.4</v>
      </c>
      <c r="Q1119">
        <f t="shared" si="78"/>
        <v>459.2</v>
      </c>
      <c r="R1119">
        <f t="shared" si="76"/>
        <v>459.2</v>
      </c>
      <c r="S1119">
        <f t="shared" si="77"/>
        <v>0</v>
      </c>
    </row>
    <row r="1120" spans="1:19" x14ac:dyDescent="0.25">
      <c r="A1120" s="2">
        <v>44900</v>
      </c>
      <c r="B1120" s="3">
        <v>339</v>
      </c>
      <c r="C1120" s="3">
        <v>1200</v>
      </c>
      <c r="D1120">
        <v>459.1841</v>
      </c>
      <c r="E1120">
        <v>4.8000000000000001E-2</v>
      </c>
      <c r="F1120">
        <v>452.58249999999998</v>
      </c>
      <c r="G1120">
        <v>460.98840000000001</v>
      </c>
      <c r="H1120">
        <v>463.98140000000001</v>
      </c>
      <c r="I1120">
        <v>4.7E-2</v>
      </c>
      <c r="J1120">
        <v>5.0999999999999997E-2</v>
      </c>
      <c r="K1120">
        <v>4.7E-2</v>
      </c>
      <c r="L1120">
        <v>2310.8000000000002</v>
      </c>
      <c r="M1120">
        <v>2319</v>
      </c>
      <c r="N1120">
        <v>2335.4</v>
      </c>
      <c r="Q1120">
        <f t="shared" si="78"/>
        <v>459.2</v>
      </c>
      <c r="R1120">
        <f t="shared" si="76"/>
        <v>459.2</v>
      </c>
      <c r="S1120">
        <f t="shared" si="77"/>
        <v>0</v>
      </c>
    </row>
    <row r="1121" spans="1:19" x14ac:dyDescent="0.25">
      <c r="A1121" s="2">
        <v>44900</v>
      </c>
      <c r="B1121" s="3">
        <v>339</v>
      </c>
      <c r="C1121" s="3">
        <v>1300</v>
      </c>
      <c r="D1121">
        <v>459.1737</v>
      </c>
      <c r="E1121">
        <v>4.7E-2</v>
      </c>
      <c r="F1121">
        <v>452.59339999999997</v>
      </c>
      <c r="G1121">
        <v>460.96460000000002</v>
      </c>
      <c r="H1121">
        <v>463.9631</v>
      </c>
      <c r="I1121">
        <v>5.0999999999999997E-2</v>
      </c>
      <c r="J1121">
        <v>3.7999999999999999E-2</v>
      </c>
      <c r="K1121">
        <v>5.1999999999999998E-2</v>
      </c>
      <c r="L1121">
        <v>2310.6</v>
      </c>
      <c r="M1121">
        <v>2318.8000000000002</v>
      </c>
      <c r="N1121">
        <v>2335.4</v>
      </c>
      <c r="Q1121">
        <f t="shared" si="78"/>
        <v>459.2</v>
      </c>
      <c r="R1121">
        <f t="shared" si="76"/>
        <v>459.2</v>
      </c>
      <c r="S1121">
        <f t="shared" si="77"/>
        <v>0</v>
      </c>
    </row>
    <row r="1122" spans="1:19" x14ac:dyDescent="0.25">
      <c r="A1122" s="2">
        <v>44900</v>
      </c>
      <c r="B1122" s="3">
        <v>339</v>
      </c>
      <c r="C1122" s="3">
        <v>1400</v>
      </c>
      <c r="D1122">
        <v>459.14550000000003</v>
      </c>
      <c r="E1122">
        <v>4.9000000000000002E-2</v>
      </c>
      <c r="F1122">
        <v>452.62060000000002</v>
      </c>
      <c r="G1122">
        <v>460.88040000000001</v>
      </c>
      <c r="H1122">
        <v>463.93560000000002</v>
      </c>
      <c r="I1122">
        <v>4.9000000000000002E-2</v>
      </c>
      <c r="J1122">
        <v>0.05</v>
      </c>
      <c r="K1122">
        <v>4.7E-2</v>
      </c>
      <c r="L1122">
        <v>2310.6</v>
      </c>
      <c r="M1122">
        <v>2318.6</v>
      </c>
      <c r="N1122">
        <v>2335.1999999999998</v>
      </c>
      <c r="Q1122">
        <f t="shared" si="78"/>
        <v>459.1</v>
      </c>
      <c r="R1122">
        <f t="shared" ref="R1122:R1185" si="79">ROUND(IF(Q1122&lt;R1121,R1121,Q1122),1)</f>
        <v>459.2</v>
      </c>
      <c r="S1122">
        <f t="shared" si="77"/>
        <v>0</v>
      </c>
    </row>
    <row r="1123" spans="1:19" x14ac:dyDescent="0.25">
      <c r="A1123" s="2">
        <v>44900</v>
      </c>
      <c r="B1123" s="3">
        <v>339</v>
      </c>
      <c r="C1123" s="3">
        <v>1500</v>
      </c>
      <c r="D1123">
        <v>459.07060000000001</v>
      </c>
      <c r="E1123">
        <v>4.5999999999999999E-2</v>
      </c>
      <c r="F1123">
        <v>452.5643</v>
      </c>
      <c r="G1123">
        <v>460.78320000000002</v>
      </c>
      <c r="H1123">
        <v>463.86410000000001</v>
      </c>
      <c r="I1123">
        <v>3.4000000000000002E-2</v>
      </c>
      <c r="J1123">
        <v>5.1999999999999998E-2</v>
      </c>
      <c r="K1123">
        <v>5.0999999999999997E-2</v>
      </c>
      <c r="L1123">
        <v>2310.6</v>
      </c>
      <c r="M1123">
        <v>2318.6</v>
      </c>
      <c r="N1123">
        <v>2335</v>
      </c>
      <c r="Q1123">
        <f t="shared" si="78"/>
        <v>459.1</v>
      </c>
      <c r="R1123">
        <f t="shared" si="79"/>
        <v>459.2</v>
      </c>
      <c r="S1123">
        <f t="shared" si="77"/>
        <v>0</v>
      </c>
    </row>
    <row r="1124" spans="1:19" x14ac:dyDescent="0.25">
      <c r="A1124" s="2">
        <v>44900</v>
      </c>
      <c r="B1124" s="3">
        <v>339</v>
      </c>
      <c r="C1124" s="3">
        <v>1600</v>
      </c>
      <c r="D1124">
        <v>459.0616</v>
      </c>
      <c r="E1124">
        <v>4.4999999999999998E-2</v>
      </c>
      <c r="F1124">
        <v>452.49160000000001</v>
      </c>
      <c r="G1124">
        <v>460.83640000000003</v>
      </c>
      <c r="H1124">
        <v>463.85680000000002</v>
      </c>
      <c r="I1124">
        <v>5.0999999999999997E-2</v>
      </c>
      <c r="J1124">
        <v>2.7E-2</v>
      </c>
      <c r="K1124">
        <v>5.1999999999999998E-2</v>
      </c>
      <c r="L1124">
        <v>2310.6</v>
      </c>
      <c r="M1124">
        <v>2318.6</v>
      </c>
      <c r="N1124">
        <v>2335</v>
      </c>
      <c r="Q1124">
        <f t="shared" si="78"/>
        <v>459.1</v>
      </c>
      <c r="R1124">
        <f t="shared" si="79"/>
        <v>459.2</v>
      </c>
      <c r="S1124">
        <f t="shared" si="77"/>
        <v>0</v>
      </c>
    </row>
    <row r="1125" spans="1:19" x14ac:dyDescent="0.25">
      <c r="A1125" s="2">
        <v>44900</v>
      </c>
      <c r="B1125" s="3">
        <v>339</v>
      </c>
      <c r="C1125" s="3">
        <v>1700</v>
      </c>
      <c r="D1125">
        <v>459.12020000000001</v>
      </c>
      <c r="E1125">
        <v>4.2000000000000003E-2</v>
      </c>
      <c r="F1125">
        <v>452.5025</v>
      </c>
      <c r="G1125">
        <v>460.93529999999998</v>
      </c>
      <c r="H1125">
        <v>463.9228</v>
      </c>
      <c r="I1125">
        <v>5.1999999999999998E-2</v>
      </c>
      <c r="J1125">
        <v>3.4000000000000002E-2</v>
      </c>
      <c r="K1125">
        <v>3.7999999999999999E-2</v>
      </c>
      <c r="L1125">
        <v>2310.4</v>
      </c>
      <c r="M1125">
        <v>2318.8000000000002</v>
      </c>
      <c r="N1125">
        <v>2335.1999999999998</v>
      </c>
      <c r="Q1125">
        <f t="shared" si="78"/>
        <v>459.1</v>
      </c>
      <c r="R1125">
        <f t="shared" si="79"/>
        <v>459.2</v>
      </c>
      <c r="S1125">
        <f t="shared" ref="S1125:S1188" si="80">IF(R1125&gt;R1124,R1125-R1124,0)</f>
        <v>0</v>
      </c>
    </row>
    <row r="1126" spans="1:19" x14ac:dyDescent="0.25">
      <c r="A1126" s="2">
        <v>44900</v>
      </c>
      <c r="B1126" s="3">
        <v>339</v>
      </c>
      <c r="C1126" s="3">
        <v>1800</v>
      </c>
      <c r="D1126">
        <v>459.16039999999998</v>
      </c>
      <c r="E1126">
        <v>4.5999999999999999E-2</v>
      </c>
      <c r="F1126">
        <v>452.54070000000002</v>
      </c>
      <c r="G1126">
        <v>460.97930000000002</v>
      </c>
      <c r="H1126">
        <v>463.96129999999999</v>
      </c>
      <c r="I1126">
        <v>3.6999999999999998E-2</v>
      </c>
      <c r="J1126">
        <v>4.8000000000000001E-2</v>
      </c>
      <c r="K1126">
        <v>5.1999999999999998E-2</v>
      </c>
      <c r="L1126">
        <v>2310.6</v>
      </c>
      <c r="M1126">
        <v>2318.8000000000002</v>
      </c>
      <c r="N1126">
        <v>2335.1999999999998</v>
      </c>
      <c r="Q1126">
        <f t="shared" si="78"/>
        <v>459.2</v>
      </c>
      <c r="R1126">
        <f t="shared" si="79"/>
        <v>459.2</v>
      </c>
      <c r="S1126">
        <f t="shared" si="80"/>
        <v>0</v>
      </c>
    </row>
    <row r="1127" spans="1:19" x14ac:dyDescent="0.25">
      <c r="A1127" s="2">
        <v>44900</v>
      </c>
      <c r="B1127" s="3">
        <v>339</v>
      </c>
      <c r="C1127" s="3">
        <v>1900</v>
      </c>
      <c r="D1127">
        <v>459.15859999999998</v>
      </c>
      <c r="E1127">
        <v>4.4999999999999998E-2</v>
      </c>
      <c r="F1127">
        <v>452.54070000000002</v>
      </c>
      <c r="G1127">
        <v>460.9665</v>
      </c>
      <c r="H1127">
        <v>463.96859999999998</v>
      </c>
      <c r="I1127">
        <v>4.2000000000000003E-2</v>
      </c>
      <c r="J1127">
        <v>0.04</v>
      </c>
      <c r="K1127">
        <v>5.0999999999999997E-2</v>
      </c>
      <c r="L1127">
        <v>2310.4</v>
      </c>
      <c r="M1127">
        <v>2318.8000000000002</v>
      </c>
      <c r="N1127">
        <v>2335.4</v>
      </c>
      <c r="Q1127">
        <f t="shared" si="78"/>
        <v>459.2</v>
      </c>
      <c r="R1127">
        <f t="shared" si="79"/>
        <v>459.2</v>
      </c>
      <c r="S1127">
        <f t="shared" si="80"/>
        <v>0</v>
      </c>
    </row>
    <row r="1128" spans="1:19" x14ac:dyDescent="0.25">
      <c r="A1128" s="2">
        <v>44900</v>
      </c>
      <c r="B1128" s="3">
        <v>339</v>
      </c>
      <c r="C1128" s="3">
        <v>2000</v>
      </c>
      <c r="D1128">
        <v>459.15730000000002</v>
      </c>
      <c r="E1128">
        <v>0.04</v>
      </c>
      <c r="F1128">
        <v>452.55160000000001</v>
      </c>
      <c r="G1128">
        <v>460.95729999999998</v>
      </c>
      <c r="H1128">
        <v>463.9631</v>
      </c>
      <c r="I1128">
        <v>3.4000000000000002E-2</v>
      </c>
      <c r="J1128">
        <v>0.03</v>
      </c>
      <c r="K1128">
        <v>5.1999999999999998E-2</v>
      </c>
      <c r="L1128">
        <v>2310.6</v>
      </c>
      <c r="M1128">
        <v>2318.8000000000002</v>
      </c>
      <c r="N1128">
        <v>2335.4</v>
      </c>
      <c r="Q1128">
        <f t="shared" si="78"/>
        <v>459.2</v>
      </c>
      <c r="R1128">
        <f t="shared" si="79"/>
        <v>459.2</v>
      </c>
      <c r="S1128">
        <f t="shared" si="80"/>
        <v>0</v>
      </c>
    </row>
    <row r="1129" spans="1:19" x14ac:dyDescent="0.25">
      <c r="A1129" s="2">
        <v>44900</v>
      </c>
      <c r="B1129" s="3">
        <v>339</v>
      </c>
      <c r="C1129" s="3">
        <v>2100</v>
      </c>
      <c r="D1129">
        <v>459.15609999999998</v>
      </c>
      <c r="E1129">
        <v>4.2999999999999997E-2</v>
      </c>
      <c r="F1129">
        <v>452.54250000000002</v>
      </c>
      <c r="G1129">
        <v>460.97199999999998</v>
      </c>
      <c r="H1129">
        <v>463.95389999999998</v>
      </c>
      <c r="I1129">
        <v>2.9000000000000001E-2</v>
      </c>
      <c r="J1129">
        <v>4.3999999999999997E-2</v>
      </c>
      <c r="K1129">
        <v>5.1999999999999998E-2</v>
      </c>
      <c r="L1129">
        <v>2310.4</v>
      </c>
      <c r="M1129">
        <v>2318.8000000000002</v>
      </c>
      <c r="N1129">
        <v>2335.1999999999998</v>
      </c>
      <c r="Q1129">
        <f t="shared" si="78"/>
        <v>459.2</v>
      </c>
      <c r="R1129">
        <f t="shared" si="79"/>
        <v>459.2</v>
      </c>
      <c r="S1129">
        <f t="shared" si="80"/>
        <v>0</v>
      </c>
    </row>
    <row r="1130" spans="1:19" x14ac:dyDescent="0.25">
      <c r="A1130" s="2">
        <v>44900</v>
      </c>
      <c r="B1130" s="3">
        <v>339</v>
      </c>
      <c r="C1130" s="3">
        <v>2200</v>
      </c>
      <c r="D1130">
        <v>459.14400000000001</v>
      </c>
      <c r="E1130">
        <v>4.4999999999999998E-2</v>
      </c>
      <c r="F1130">
        <v>452.52620000000002</v>
      </c>
      <c r="G1130">
        <v>460.96100000000001</v>
      </c>
      <c r="H1130">
        <v>463.94479999999999</v>
      </c>
      <c r="I1130">
        <v>4.4999999999999998E-2</v>
      </c>
      <c r="J1130">
        <v>3.9E-2</v>
      </c>
      <c r="K1130">
        <v>0.05</v>
      </c>
      <c r="L1130">
        <v>2310.6</v>
      </c>
      <c r="M1130">
        <v>2318.8000000000002</v>
      </c>
      <c r="N1130">
        <v>2335.4</v>
      </c>
      <c r="Q1130">
        <f t="shared" si="78"/>
        <v>459.1</v>
      </c>
      <c r="R1130">
        <f t="shared" si="79"/>
        <v>459.2</v>
      </c>
      <c r="S1130">
        <f t="shared" si="80"/>
        <v>0</v>
      </c>
    </row>
    <row r="1131" spans="1:19" x14ac:dyDescent="0.25">
      <c r="A1131" s="2">
        <v>44900</v>
      </c>
      <c r="B1131" s="3">
        <v>339</v>
      </c>
      <c r="C1131" s="3">
        <v>2300</v>
      </c>
      <c r="D1131">
        <v>459.13240000000002</v>
      </c>
      <c r="E1131">
        <v>4.2000000000000003E-2</v>
      </c>
      <c r="F1131">
        <v>452.52069999999998</v>
      </c>
      <c r="G1131">
        <v>460.93900000000002</v>
      </c>
      <c r="H1131">
        <v>463.93740000000003</v>
      </c>
      <c r="I1131">
        <v>4.7E-2</v>
      </c>
      <c r="J1131">
        <v>0.03</v>
      </c>
      <c r="K1131">
        <v>4.8000000000000001E-2</v>
      </c>
      <c r="L1131">
        <v>2310.6</v>
      </c>
      <c r="M1131">
        <v>2318.8000000000002</v>
      </c>
      <c r="N1131">
        <v>2335.4</v>
      </c>
      <c r="Q1131">
        <f t="shared" si="78"/>
        <v>459.1</v>
      </c>
      <c r="R1131">
        <f t="shared" si="79"/>
        <v>459.2</v>
      </c>
      <c r="S1131">
        <f t="shared" si="80"/>
        <v>0</v>
      </c>
    </row>
    <row r="1132" spans="1:19" x14ac:dyDescent="0.25">
      <c r="A1132" s="2">
        <v>44900</v>
      </c>
      <c r="B1132" s="3">
        <v>339</v>
      </c>
      <c r="C1132" s="3">
        <v>2400</v>
      </c>
      <c r="D1132">
        <v>459.12810000000002</v>
      </c>
      <c r="E1132">
        <v>4.1000000000000002E-2</v>
      </c>
      <c r="F1132">
        <v>452.52800000000002</v>
      </c>
      <c r="G1132">
        <v>460.9298</v>
      </c>
      <c r="H1132">
        <v>463.9264</v>
      </c>
      <c r="I1132">
        <v>4.2999999999999997E-2</v>
      </c>
      <c r="J1132">
        <v>0.04</v>
      </c>
      <c r="K1132">
        <v>4.1000000000000002E-2</v>
      </c>
      <c r="L1132">
        <v>2310.6</v>
      </c>
      <c r="M1132">
        <v>2318.6</v>
      </c>
      <c r="N1132">
        <v>2335.1999999999998</v>
      </c>
      <c r="Q1132">
        <f t="shared" si="78"/>
        <v>459.1</v>
      </c>
      <c r="R1132">
        <f t="shared" si="79"/>
        <v>459.2</v>
      </c>
      <c r="S1132">
        <f t="shared" si="80"/>
        <v>0</v>
      </c>
    </row>
    <row r="1133" spans="1:19" x14ac:dyDescent="0.25">
      <c r="A1133" s="2">
        <v>44901</v>
      </c>
      <c r="B1133" s="3">
        <v>340</v>
      </c>
      <c r="C1133" s="3">
        <v>100</v>
      </c>
      <c r="D1133">
        <v>459.11950000000002</v>
      </c>
      <c r="E1133">
        <v>4.3999999999999997E-2</v>
      </c>
      <c r="F1133">
        <v>452.51889999999997</v>
      </c>
      <c r="G1133">
        <v>460.91890000000001</v>
      </c>
      <c r="H1133">
        <v>463.92090000000002</v>
      </c>
      <c r="I1133">
        <v>4.8000000000000001E-2</v>
      </c>
      <c r="J1133">
        <v>4.7E-2</v>
      </c>
      <c r="K1133">
        <v>3.5999999999999997E-2</v>
      </c>
      <c r="L1133">
        <v>2310.6</v>
      </c>
      <c r="M1133">
        <v>2318.8000000000002</v>
      </c>
      <c r="N1133">
        <v>2335.1999999999998</v>
      </c>
      <c r="Q1133">
        <f t="shared" si="78"/>
        <v>459.1</v>
      </c>
      <c r="R1133">
        <f t="shared" si="79"/>
        <v>459.2</v>
      </c>
      <c r="S1133">
        <f t="shared" si="80"/>
        <v>0</v>
      </c>
    </row>
    <row r="1134" spans="1:19" x14ac:dyDescent="0.25">
      <c r="A1134" s="2">
        <v>44901</v>
      </c>
      <c r="B1134" s="3">
        <v>340</v>
      </c>
      <c r="C1134" s="3">
        <v>200</v>
      </c>
      <c r="D1134">
        <v>459.12509999999997</v>
      </c>
      <c r="E1134">
        <v>4.4999999999999998E-2</v>
      </c>
      <c r="F1134">
        <v>452.50979999999998</v>
      </c>
      <c r="G1134">
        <v>460.93529999999998</v>
      </c>
      <c r="H1134">
        <v>463.93009999999998</v>
      </c>
      <c r="I1134">
        <v>5.0999999999999997E-2</v>
      </c>
      <c r="J1134">
        <v>3.9E-2</v>
      </c>
      <c r="K1134">
        <v>4.3999999999999997E-2</v>
      </c>
      <c r="L1134">
        <v>2310.4</v>
      </c>
      <c r="M1134">
        <v>2318.6</v>
      </c>
      <c r="N1134">
        <v>2335.1999999999998</v>
      </c>
      <c r="Q1134">
        <f t="shared" si="78"/>
        <v>459.1</v>
      </c>
      <c r="R1134">
        <f t="shared" si="79"/>
        <v>459.2</v>
      </c>
      <c r="S1134">
        <f t="shared" si="80"/>
        <v>0</v>
      </c>
    </row>
    <row r="1135" spans="1:19" x14ac:dyDescent="0.25">
      <c r="A1135" s="2">
        <v>44901</v>
      </c>
      <c r="B1135" s="3">
        <v>340</v>
      </c>
      <c r="C1135" s="3">
        <v>300</v>
      </c>
      <c r="D1135">
        <v>459.15429999999998</v>
      </c>
      <c r="E1135">
        <v>4.2000000000000003E-2</v>
      </c>
      <c r="F1135">
        <v>452.53160000000003</v>
      </c>
      <c r="G1135">
        <v>460.95909999999998</v>
      </c>
      <c r="H1135">
        <v>463.97230000000002</v>
      </c>
      <c r="I1135">
        <v>4.1000000000000002E-2</v>
      </c>
      <c r="J1135">
        <v>3.2000000000000001E-2</v>
      </c>
      <c r="K1135">
        <v>0.05</v>
      </c>
      <c r="L1135">
        <v>2310.4</v>
      </c>
      <c r="M1135">
        <v>2318.8000000000002</v>
      </c>
      <c r="N1135">
        <v>2335.1999999999998</v>
      </c>
      <c r="Q1135">
        <f t="shared" si="78"/>
        <v>459.2</v>
      </c>
      <c r="R1135">
        <f t="shared" si="79"/>
        <v>459.2</v>
      </c>
      <c r="S1135">
        <f t="shared" si="80"/>
        <v>0</v>
      </c>
    </row>
    <row r="1136" spans="1:19" x14ac:dyDescent="0.25">
      <c r="A1136" s="2">
        <v>44901</v>
      </c>
      <c r="B1136" s="3">
        <v>340</v>
      </c>
      <c r="C1136" s="3">
        <v>400</v>
      </c>
      <c r="D1136">
        <v>459.17140000000001</v>
      </c>
      <c r="E1136">
        <v>0.04</v>
      </c>
      <c r="F1136">
        <v>452.54610000000002</v>
      </c>
      <c r="G1136">
        <v>460.97739999999999</v>
      </c>
      <c r="H1136">
        <v>463.99059999999997</v>
      </c>
      <c r="I1136">
        <v>0.03</v>
      </c>
      <c r="J1136">
        <v>4.7E-2</v>
      </c>
      <c r="K1136">
        <v>4.1000000000000002E-2</v>
      </c>
      <c r="L1136">
        <v>2310.6</v>
      </c>
      <c r="M1136">
        <v>2318.8000000000002</v>
      </c>
      <c r="N1136">
        <v>2335.1999999999998</v>
      </c>
      <c r="Q1136">
        <f t="shared" si="78"/>
        <v>459.2</v>
      </c>
      <c r="R1136">
        <f t="shared" si="79"/>
        <v>459.2</v>
      </c>
      <c r="S1136">
        <f t="shared" si="80"/>
        <v>0</v>
      </c>
    </row>
    <row r="1137" spans="1:19" x14ac:dyDescent="0.25">
      <c r="A1137" s="2">
        <v>44901</v>
      </c>
      <c r="B1137" s="3">
        <v>340</v>
      </c>
      <c r="C1137" s="3">
        <v>500</v>
      </c>
      <c r="D1137">
        <v>459.17140000000001</v>
      </c>
      <c r="E1137">
        <v>4.3999999999999997E-2</v>
      </c>
      <c r="F1137">
        <v>452.55700000000002</v>
      </c>
      <c r="G1137">
        <v>460.97379999999998</v>
      </c>
      <c r="H1137">
        <v>463.98329999999999</v>
      </c>
      <c r="I1137">
        <v>4.1000000000000002E-2</v>
      </c>
      <c r="J1137">
        <v>4.4999999999999998E-2</v>
      </c>
      <c r="K1137">
        <v>4.5999999999999999E-2</v>
      </c>
      <c r="L1137">
        <v>2310.8000000000002</v>
      </c>
      <c r="M1137">
        <v>2318.8000000000002</v>
      </c>
      <c r="N1137">
        <v>2335.4</v>
      </c>
      <c r="Q1137">
        <f t="shared" si="78"/>
        <v>459.2</v>
      </c>
      <c r="R1137">
        <f t="shared" si="79"/>
        <v>459.2</v>
      </c>
      <c r="S1137">
        <f t="shared" si="80"/>
        <v>0</v>
      </c>
    </row>
    <row r="1138" spans="1:19" x14ac:dyDescent="0.25">
      <c r="A1138" s="2">
        <v>44901</v>
      </c>
      <c r="B1138" s="3">
        <v>340</v>
      </c>
      <c r="C1138" s="3">
        <v>600</v>
      </c>
      <c r="D1138">
        <v>459.18709999999999</v>
      </c>
      <c r="E1138">
        <v>4.9000000000000002E-2</v>
      </c>
      <c r="F1138">
        <v>452.60239999999999</v>
      </c>
      <c r="G1138">
        <v>460.97930000000002</v>
      </c>
      <c r="H1138">
        <v>463.9796</v>
      </c>
      <c r="I1138">
        <v>5.1999999999999998E-2</v>
      </c>
      <c r="J1138">
        <v>4.8000000000000001E-2</v>
      </c>
      <c r="K1138">
        <v>4.8000000000000001E-2</v>
      </c>
      <c r="L1138">
        <v>2310.8000000000002</v>
      </c>
      <c r="M1138">
        <v>2318.8000000000002</v>
      </c>
      <c r="N1138">
        <v>2335.4</v>
      </c>
      <c r="Q1138">
        <f t="shared" si="78"/>
        <v>459.2</v>
      </c>
      <c r="R1138">
        <f t="shared" si="79"/>
        <v>459.2</v>
      </c>
      <c r="S1138">
        <f t="shared" si="80"/>
        <v>0</v>
      </c>
    </row>
    <row r="1139" spans="1:19" x14ac:dyDescent="0.25">
      <c r="A1139" s="2">
        <v>44901</v>
      </c>
      <c r="B1139" s="3">
        <v>340</v>
      </c>
      <c r="C1139" s="3">
        <v>700</v>
      </c>
      <c r="D1139">
        <v>459.19560000000001</v>
      </c>
      <c r="E1139">
        <v>4.7E-2</v>
      </c>
      <c r="F1139">
        <v>452.63330000000002</v>
      </c>
      <c r="G1139">
        <v>460.97930000000002</v>
      </c>
      <c r="H1139">
        <v>463.97410000000002</v>
      </c>
      <c r="I1139">
        <v>4.2000000000000003E-2</v>
      </c>
      <c r="J1139">
        <v>4.8000000000000001E-2</v>
      </c>
      <c r="K1139">
        <v>0.05</v>
      </c>
      <c r="L1139">
        <v>2310.8000000000002</v>
      </c>
      <c r="M1139">
        <v>2319</v>
      </c>
      <c r="N1139">
        <v>2335.1999999999998</v>
      </c>
      <c r="Q1139">
        <f t="shared" si="78"/>
        <v>459.2</v>
      </c>
      <c r="R1139">
        <f t="shared" si="79"/>
        <v>459.2</v>
      </c>
      <c r="S1139">
        <f t="shared" si="80"/>
        <v>0</v>
      </c>
    </row>
    <row r="1140" spans="1:19" x14ac:dyDescent="0.25">
      <c r="A1140" s="2">
        <v>44901</v>
      </c>
      <c r="B1140" s="3">
        <v>340</v>
      </c>
      <c r="C1140" s="3">
        <v>800</v>
      </c>
      <c r="D1140">
        <v>459.15309999999999</v>
      </c>
      <c r="E1140">
        <v>3.9E-2</v>
      </c>
      <c r="F1140">
        <v>452.548</v>
      </c>
      <c r="G1140">
        <v>460.94819999999999</v>
      </c>
      <c r="H1140">
        <v>463.9631</v>
      </c>
      <c r="I1140">
        <v>1.9E-2</v>
      </c>
      <c r="J1140">
        <v>3.9E-2</v>
      </c>
      <c r="K1140">
        <v>5.1999999999999998E-2</v>
      </c>
      <c r="L1140">
        <v>2310.6</v>
      </c>
      <c r="M1140">
        <v>2318.8000000000002</v>
      </c>
      <c r="N1140">
        <v>2335.4</v>
      </c>
      <c r="Q1140">
        <f t="shared" si="78"/>
        <v>459.2</v>
      </c>
      <c r="R1140">
        <f t="shared" si="79"/>
        <v>459.2</v>
      </c>
      <c r="S1140">
        <f t="shared" si="80"/>
        <v>0</v>
      </c>
    </row>
    <row r="1141" spans="1:19" x14ac:dyDescent="0.25">
      <c r="A1141" s="2">
        <v>44901</v>
      </c>
      <c r="B1141" s="3">
        <v>340</v>
      </c>
      <c r="C1141" s="3">
        <v>900</v>
      </c>
      <c r="D1141">
        <v>459.1463</v>
      </c>
      <c r="E1141">
        <v>3.9E-2</v>
      </c>
      <c r="F1141">
        <v>452.55520000000001</v>
      </c>
      <c r="G1141">
        <v>460.93529999999998</v>
      </c>
      <c r="H1141">
        <v>463.94839999999999</v>
      </c>
      <c r="I1141">
        <v>2.7E-2</v>
      </c>
      <c r="J1141">
        <v>3.4000000000000002E-2</v>
      </c>
      <c r="K1141">
        <v>5.0999999999999997E-2</v>
      </c>
      <c r="L1141">
        <v>2310.4</v>
      </c>
      <c r="M1141">
        <v>2318.8000000000002</v>
      </c>
      <c r="N1141">
        <v>2335.4</v>
      </c>
      <c r="Q1141">
        <f t="shared" si="78"/>
        <v>459.1</v>
      </c>
      <c r="R1141">
        <f t="shared" si="79"/>
        <v>459.2</v>
      </c>
      <c r="S1141">
        <f t="shared" si="80"/>
        <v>0</v>
      </c>
    </row>
    <row r="1142" spans="1:19" x14ac:dyDescent="0.25">
      <c r="A1142" s="2">
        <v>44901</v>
      </c>
      <c r="B1142" s="3">
        <v>340</v>
      </c>
      <c r="C1142" s="3">
        <v>1000</v>
      </c>
      <c r="D1142">
        <v>459.0951</v>
      </c>
      <c r="E1142">
        <v>0.05</v>
      </c>
      <c r="F1142">
        <v>452.52429999999998</v>
      </c>
      <c r="G1142">
        <v>460.88220000000001</v>
      </c>
      <c r="H1142">
        <v>463.87880000000001</v>
      </c>
      <c r="I1142">
        <v>0.05</v>
      </c>
      <c r="J1142">
        <v>5.3999999999999999E-2</v>
      </c>
      <c r="K1142">
        <v>4.5999999999999999E-2</v>
      </c>
      <c r="L1142">
        <v>2310.6</v>
      </c>
      <c r="M1142">
        <v>2318.6</v>
      </c>
      <c r="N1142">
        <v>2335.1999999999998</v>
      </c>
      <c r="Q1142">
        <f t="shared" si="78"/>
        <v>459.1</v>
      </c>
      <c r="R1142">
        <f t="shared" si="79"/>
        <v>459.2</v>
      </c>
      <c r="S1142">
        <f t="shared" si="80"/>
        <v>0</v>
      </c>
    </row>
    <row r="1143" spans="1:19" x14ac:dyDescent="0.25">
      <c r="A1143" s="2">
        <v>44901</v>
      </c>
      <c r="B1143" s="3">
        <v>340</v>
      </c>
      <c r="C1143" s="3">
        <v>1100</v>
      </c>
      <c r="D1143">
        <v>459.05419999999998</v>
      </c>
      <c r="E1143">
        <v>0.05</v>
      </c>
      <c r="F1143">
        <v>452.49520000000001</v>
      </c>
      <c r="G1143">
        <v>460.84010000000001</v>
      </c>
      <c r="H1143">
        <v>463.82740000000001</v>
      </c>
      <c r="I1143">
        <v>5.1999999999999998E-2</v>
      </c>
      <c r="J1143">
        <v>4.8000000000000001E-2</v>
      </c>
      <c r="K1143">
        <v>4.9000000000000002E-2</v>
      </c>
      <c r="L1143">
        <v>2310.6</v>
      </c>
      <c r="M1143">
        <v>2318.6</v>
      </c>
      <c r="N1143">
        <v>2335.1999999999998</v>
      </c>
      <c r="Q1143">
        <f t="shared" si="78"/>
        <v>459.1</v>
      </c>
      <c r="R1143">
        <f t="shared" si="79"/>
        <v>459.2</v>
      </c>
      <c r="S1143">
        <f t="shared" si="80"/>
        <v>0</v>
      </c>
    </row>
    <row r="1144" spans="1:19" x14ac:dyDescent="0.25">
      <c r="A1144" s="2">
        <v>44901</v>
      </c>
      <c r="B1144" s="3">
        <v>340</v>
      </c>
      <c r="C1144" s="3">
        <v>1200</v>
      </c>
      <c r="D1144">
        <v>459.01889999999997</v>
      </c>
      <c r="E1144">
        <v>3.9E-2</v>
      </c>
      <c r="F1144">
        <v>452.4443</v>
      </c>
      <c r="G1144">
        <v>460.79969999999997</v>
      </c>
      <c r="H1144">
        <v>463.81270000000001</v>
      </c>
      <c r="I1144">
        <v>2.7E-2</v>
      </c>
      <c r="J1144">
        <v>5.1999999999999998E-2</v>
      </c>
      <c r="K1144">
        <v>3.2000000000000001E-2</v>
      </c>
      <c r="L1144">
        <v>2310.4</v>
      </c>
      <c r="M1144">
        <v>2318.4</v>
      </c>
      <c r="N1144">
        <v>2335</v>
      </c>
      <c r="Q1144">
        <f t="shared" si="78"/>
        <v>459</v>
      </c>
      <c r="R1144">
        <f t="shared" si="79"/>
        <v>459.2</v>
      </c>
      <c r="S1144">
        <f t="shared" si="80"/>
        <v>0</v>
      </c>
    </row>
    <row r="1145" spans="1:19" x14ac:dyDescent="0.25">
      <c r="A1145" s="2">
        <v>44901</v>
      </c>
      <c r="B1145" s="3">
        <v>340</v>
      </c>
      <c r="C1145" s="3">
        <v>1300</v>
      </c>
      <c r="D1145">
        <v>459.00189999999998</v>
      </c>
      <c r="E1145">
        <v>3.6999999999999998E-2</v>
      </c>
      <c r="F1145">
        <v>452.43529999999998</v>
      </c>
      <c r="G1145">
        <v>460.774</v>
      </c>
      <c r="H1145">
        <v>463.7962</v>
      </c>
      <c r="I1145">
        <v>3.4000000000000002E-2</v>
      </c>
      <c r="J1145">
        <v>4.9000000000000002E-2</v>
      </c>
      <c r="K1145">
        <v>2.3E-2</v>
      </c>
      <c r="L1145">
        <v>2310.1999999999998</v>
      </c>
      <c r="M1145">
        <v>2318.4</v>
      </c>
      <c r="N1145">
        <v>2335</v>
      </c>
      <c r="Q1145">
        <f t="shared" si="78"/>
        <v>459</v>
      </c>
      <c r="R1145">
        <f t="shared" si="79"/>
        <v>459.2</v>
      </c>
      <c r="S1145">
        <f t="shared" si="80"/>
        <v>0</v>
      </c>
    </row>
    <row r="1146" spans="1:19" x14ac:dyDescent="0.25">
      <c r="A1146" s="2">
        <v>44901</v>
      </c>
      <c r="B1146" s="3">
        <v>340</v>
      </c>
      <c r="C1146" s="3">
        <v>1400</v>
      </c>
      <c r="D1146">
        <v>458.97190000000001</v>
      </c>
      <c r="E1146">
        <v>4.2999999999999997E-2</v>
      </c>
      <c r="F1146">
        <v>452.4316</v>
      </c>
      <c r="G1146">
        <v>460.71910000000003</v>
      </c>
      <c r="H1146">
        <v>463.76499999999999</v>
      </c>
      <c r="I1146">
        <v>3.7999999999999999E-2</v>
      </c>
      <c r="J1146">
        <v>4.1000000000000002E-2</v>
      </c>
      <c r="K1146">
        <v>0.05</v>
      </c>
      <c r="L1146">
        <v>2310.4</v>
      </c>
      <c r="M1146">
        <v>2318.4</v>
      </c>
      <c r="N1146">
        <v>2334.8000000000002</v>
      </c>
      <c r="Q1146">
        <f t="shared" si="78"/>
        <v>459</v>
      </c>
      <c r="R1146">
        <f t="shared" si="79"/>
        <v>459.2</v>
      </c>
      <c r="S1146">
        <f t="shared" si="80"/>
        <v>0</v>
      </c>
    </row>
    <row r="1147" spans="1:19" x14ac:dyDescent="0.25">
      <c r="A1147" s="2">
        <v>44901</v>
      </c>
      <c r="B1147" s="3">
        <v>340</v>
      </c>
      <c r="C1147" s="3">
        <v>1500</v>
      </c>
      <c r="D1147">
        <v>458.99639999999999</v>
      </c>
      <c r="E1147">
        <v>4.3999999999999997E-2</v>
      </c>
      <c r="F1147">
        <v>452.4135</v>
      </c>
      <c r="G1147">
        <v>460.78140000000002</v>
      </c>
      <c r="H1147">
        <v>463.7944</v>
      </c>
      <c r="I1147">
        <v>4.9000000000000002E-2</v>
      </c>
      <c r="J1147">
        <v>5.0999999999999997E-2</v>
      </c>
      <c r="K1147">
        <v>2.7E-2</v>
      </c>
      <c r="L1147">
        <v>2310.4</v>
      </c>
      <c r="M1147">
        <v>2318.4</v>
      </c>
      <c r="N1147">
        <v>2335</v>
      </c>
      <c r="Q1147">
        <f t="shared" si="78"/>
        <v>459</v>
      </c>
      <c r="R1147">
        <f t="shared" si="79"/>
        <v>459.2</v>
      </c>
      <c r="S1147">
        <f t="shared" si="80"/>
        <v>0</v>
      </c>
    </row>
    <row r="1148" spans="1:19" x14ac:dyDescent="0.25">
      <c r="A1148" s="2">
        <v>44901</v>
      </c>
      <c r="B1148" s="3">
        <v>340</v>
      </c>
      <c r="C1148" s="3">
        <v>1600</v>
      </c>
      <c r="D1148">
        <v>459.03969999999998</v>
      </c>
      <c r="E1148">
        <v>4.2999999999999997E-2</v>
      </c>
      <c r="F1148">
        <v>452.45339999999999</v>
      </c>
      <c r="G1148">
        <v>460.8236</v>
      </c>
      <c r="H1148">
        <v>463.84210000000002</v>
      </c>
      <c r="I1148">
        <v>0.03</v>
      </c>
      <c r="J1148">
        <v>4.5999999999999999E-2</v>
      </c>
      <c r="K1148">
        <v>5.0999999999999997E-2</v>
      </c>
      <c r="L1148">
        <v>2310.4</v>
      </c>
      <c r="M1148">
        <v>2318.6</v>
      </c>
      <c r="N1148">
        <v>2335.1999999999998</v>
      </c>
      <c r="Q1148">
        <f t="shared" si="78"/>
        <v>459</v>
      </c>
      <c r="R1148">
        <f t="shared" si="79"/>
        <v>459.2</v>
      </c>
      <c r="S1148">
        <f t="shared" si="80"/>
        <v>0</v>
      </c>
    </row>
    <row r="1149" spans="1:19" x14ac:dyDescent="0.25">
      <c r="A1149" s="2">
        <v>44901</v>
      </c>
      <c r="B1149" s="3">
        <v>340</v>
      </c>
      <c r="C1149" s="3">
        <v>1700</v>
      </c>
      <c r="D1149">
        <v>459.0641</v>
      </c>
      <c r="E1149">
        <v>4.3999999999999997E-2</v>
      </c>
      <c r="F1149">
        <v>452.4753</v>
      </c>
      <c r="G1149">
        <v>460.85109999999997</v>
      </c>
      <c r="H1149">
        <v>463.86590000000001</v>
      </c>
      <c r="I1149">
        <v>4.5999999999999999E-2</v>
      </c>
      <c r="J1149">
        <v>3.3000000000000002E-2</v>
      </c>
      <c r="K1149">
        <v>5.0999999999999997E-2</v>
      </c>
      <c r="L1149">
        <v>2310.4</v>
      </c>
      <c r="M1149">
        <v>2318.6</v>
      </c>
      <c r="N1149">
        <v>2335.1999999999998</v>
      </c>
      <c r="Q1149">
        <f t="shared" si="78"/>
        <v>459.1</v>
      </c>
      <c r="R1149">
        <f t="shared" si="79"/>
        <v>459.2</v>
      </c>
      <c r="S1149">
        <f t="shared" si="80"/>
        <v>0</v>
      </c>
    </row>
    <row r="1150" spans="1:19" x14ac:dyDescent="0.25">
      <c r="A1150" s="2">
        <v>44901</v>
      </c>
      <c r="B1150" s="3">
        <v>340</v>
      </c>
      <c r="C1150" s="3">
        <v>1800</v>
      </c>
      <c r="D1150">
        <v>459.07440000000003</v>
      </c>
      <c r="E1150">
        <v>4.4999999999999998E-2</v>
      </c>
      <c r="F1150">
        <v>452.4898</v>
      </c>
      <c r="G1150">
        <v>460.85840000000002</v>
      </c>
      <c r="H1150">
        <v>463.87509999999997</v>
      </c>
      <c r="I1150">
        <v>5.0999999999999997E-2</v>
      </c>
      <c r="J1150">
        <v>3.5999999999999997E-2</v>
      </c>
      <c r="K1150">
        <v>4.8000000000000001E-2</v>
      </c>
      <c r="L1150">
        <v>2310.4</v>
      </c>
      <c r="M1150">
        <v>2318.6</v>
      </c>
      <c r="N1150">
        <v>2335.1999999999998</v>
      </c>
      <c r="Q1150">
        <f t="shared" si="78"/>
        <v>459.1</v>
      </c>
      <c r="R1150">
        <f t="shared" si="79"/>
        <v>459.2</v>
      </c>
      <c r="S1150">
        <f t="shared" si="80"/>
        <v>0</v>
      </c>
    </row>
    <row r="1151" spans="1:19" x14ac:dyDescent="0.25">
      <c r="A1151" s="2">
        <v>44901</v>
      </c>
      <c r="B1151" s="3">
        <v>340</v>
      </c>
      <c r="C1151" s="3">
        <v>1900</v>
      </c>
      <c r="D1151">
        <v>459.072</v>
      </c>
      <c r="E1151">
        <v>4.4999999999999998E-2</v>
      </c>
      <c r="F1151">
        <v>452.488</v>
      </c>
      <c r="G1151">
        <v>460.85109999999997</v>
      </c>
      <c r="H1151">
        <v>463.87689999999998</v>
      </c>
      <c r="I1151">
        <v>0.05</v>
      </c>
      <c r="J1151">
        <v>3.7999999999999999E-2</v>
      </c>
      <c r="K1151">
        <v>4.7E-2</v>
      </c>
      <c r="L1151">
        <v>2310.6</v>
      </c>
      <c r="M1151">
        <v>2318.4</v>
      </c>
      <c r="N1151">
        <v>2335.1999999999998</v>
      </c>
      <c r="Q1151">
        <f t="shared" si="78"/>
        <v>459.1</v>
      </c>
      <c r="R1151">
        <f t="shared" si="79"/>
        <v>459.2</v>
      </c>
      <c r="S1151">
        <f t="shared" si="80"/>
        <v>0</v>
      </c>
    </row>
    <row r="1152" spans="1:19" x14ac:dyDescent="0.25">
      <c r="A1152" s="2">
        <v>44901</v>
      </c>
      <c r="B1152" s="3">
        <v>340</v>
      </c>
      <c r="C1152" s="3">
        <v>2000</v>
      </c>
      <c r="D1152">
        <v>459.08049999999997</v>
      </c>
      <c r="E1152">
        <v>4.7E-2</v>
      </c>
      <c r="F1152">
        <v>452.4898</v>
      </c>
      <c r="G1152">
        <v>460.8657</v>
      </c>
      <c r="H1152">
        <v>463.8861</v>
      </c>
      <c r="I1152">
        <v>5.0999999999999997E-2</v>
      </c>
      <c r="J1152">
        <v>4.7E-2</v>
      </c>
      <c r="K1152">
        <v>4.1000000000000002E-2</v>
      </c>
      <c r="L1152">
        <v>2310.4</v>
      </c>
      <c r="M1152">
        <v>2318.6</v>
      </c>
      <c r="N1152">
        <v>2335.1999999999998</v>
      </c>
      <c r="Q1152">
        <f t="shared" si="78"/>
        <v>459.1</v>
      </c>
      <c r="R1152">
        <f t="shared" si="79"/>
        <v>459.2</v>
      </c>
      <c r="S1152">
        <f t="shared" si="80"/>
        <v>0</v>
      </c>
    </row>
    <row r="1153" spans="1:19" x14ac:dyDescent="0.25">
      <c r="A1153" s="2">
        <v>44901</v>
      </c>
      <c r="B1153" s="3">
        <v>340</v>
      </c>
      <c r="C1153" s="3">
        <v>2100</v>
      </c>
      <c r="D1153">
        <v>459.1019</v>
      </c>
      <c r="E1153">
        <v>4.3999999999999997E-2</v>
      </c>
      <c r="F1153">
        <v>452.49709999999999</v>
      </c>
      <c r="G1153">
        <v>460.89870000000002</v>
      </c>
      <c r="H1153">
        <v>463.90989999999999</v>
      </c>
      <c r="I1153">
        <v>5.1999999999999998E-2</v>
      </c>
      <c r="J1153">
        <v>5.1999999999999998E-2</v>
      </c>
      <c r="K1153">
        <v>1.9E-2</v>
      </c>
      <c r="L1153">
        <v>2310.4</v>
      </c>
      <c r="M1153">
        <v>2318.8000000000002</v>
      </c>
      <c r="N1153">
        <v>2335.1999999999998</v>
      </c>
      <c r="Q1153">
        <f t="shared" si="78"/>
        <v>459.1</v>
      </c>
      <c r="R1153">
        <f t="shared" si="79"/>
        <v>459.2</v>
      </c>
      <c r="S1153">
        <f t="shared" si="80"/>
        <v>0</v>
      </c>
    </row>
    <row r="1154" spans="1:19" x14ac:dyDescent="0.25">
      <c r="A1154" s="2">
        <v>44901</v>
      </c>
      <c r="B1154" s="3">
        <v>340</v>
      </c>
      <c r="C1154" s="3">
        <v>2200</v>
      </c>
      <c r="D1154">
        <v>459.11239999999998</v>
      </c>
      <c r="E1154">
        <v>4.2999999999999997E-2</v>
      </c>
      <c r="F1154">
        <v>452.45519999999999</v>
      </c>
      <c r="G1154">
        <v>460.928</v>
      </c>
      <c r="H1154">
        <v>463.95389999999998</v>
      </c>
      <c r="I1154">
        <v>3.3000000000000002E-2</v>
      </c>
      <c r="J1154">
        <v>4.1000000000000002E-2</v>
      </c>
      <c r="K1154">
        <v>5.1999999999999998E-2</v>
      </c>
      <c r="L1154">
        <v>2310.4</v>
      </c>
      <c r="M1154">
        <v>2318.8000000000002</v>
      </c>
      <c r="N1154">
        <v>2335.1999999999998</v>
      </c>
      <c r="Q1154">
        <f t="shared" si="78"/>
        <v>459.1</v>
      </c>
      <c r="R1154">
        <f t="shared" si="79"/>
        <v>459.2</v>
      </c>
      <c r="S1154">
        <f t="shared" si="80"/>
        <v>0</v>
      </c>
    </row>
    <row r="1155" spans="1:19" x14ac:dyDescent="0.25">
      <c r="A1155" s="2">
        <v>44901</v>
      </c>
      <c r="B1155" s="3">
        <v>340</v>
      </c>
      <c r="C1155" s="3">
        <v>2300</v>
      </c>
      <c r="D1155">
        <v>459.14830000000001</v>
      </c>
      <c r="E1155">
        <v>4.2000000000000003E-2</v>
      </c>
      <c r="F1155">
        <v>452.52069999999998</v>
      </c>
      <c r="G1155">
        <v>460.9427</v>
      </c>
      <c r="H1155">
        <v>463.98140000000001</v>
      </c>
      <c r="I1155">
        <v>4.7E-2</v>
      </c>
      <c r="J1155">
        <v>0.03</v>
      </c>
      <c r="K1155">
        <v>4.7E-2</v>
      </c>
      <c r="L1155">
        <v>2310.6</v>
      </c>
      <c r="M1155">
        <v>2318.8000000000002</v>
      </c>
      <c r="N1155">
        <v>2335.4</v>
      </c>
      <c r="Q1155">
        <f t="shared" si="78"/>
        <v>459.1</v>
      </c>
      <c r="R1155">
        <f t="shared" si="79"/>
        <v>459.2</v>
      </c>
      <c r="S1155">
        <f t="shared" si="80"/>
        <v>0</v>
      </c>
    </row>
    <row r="1156" spans="1:19" x14ac:dyDescent="0.25">
      <c r="A1156" s="2">
        <v>44901</v>
      </c>
      <c r="B1156" s="3">
        <v>340</v>
      </c>
      <c r="C1156" s="3">
        <v>2400</v>
      </c>
      <c r="D1156">
        <v>459.12709999999998</v>
      </c>
      <c r="E1156">
        <v>3.7999999999999999E-2</v>
      </c>
      <c r="F1156">
        <v>452.45710000000003</v>
      </c>
      <c r="G1156">
        <v>460.92619999999999</v>
      </c>
      <c r="H1156">
        <v>463.99799999999999</v>
      </c>
      <c r="I1156">
        <v>3.5000000000000003E-2</v>
      </c>
      <c r="J1156">
        <v>4.2999999999999997E-2</v>
      </c>
      <c r="K1156">
        <v>3.4000000000000002E-2</v>
      </c>
      <c r="L1156">
        <v>2310.4</v>
      </c>
      <c r="M1156">
        <v>2318.6</v>
      </c>
      <c r="N1156">
        <v>2335.1999999999998</v>
      </c>
      <c r="Q1156">
        <f t="shared" si="78"/>
        <v>459.1</v>
      </c>
      <c r="R1156">
        <f t="shared" si="79"/>
        <v>459.2</v>
      </c>
      <c r="S1156">
        <f t="shared" si="80"/>
        <v>0</v>
      </c>
    </row>
    <row r="1157" spans="1:19" x14ac:dyDescent="0.25">
      <c r="A1157" s="2">
        <v>44902</v>
      </c>
      <c r="B1157" s="3">
        <v>341</v>
      </c>
      <c r="C1157" s="3">
        <v>100</v>
      </c>
      <c r="D1157">
        <v>459.13740000000001</v>
      </c>
      <c r="E1157">
        <v>4.3999999999999997E-2</v>
      </c>
      <c r="F1157">
        <v>452.488</v>
      </c>
      <c r="G1157">
        <v>460.90600000000001</v>
      </c>
      <c r="H1157">
        <v>464.01819999999998</v>
      </c>
      <c r="I1157">
        <v>0.05</v>
      </c>
      <c r="J1157">
        <v>5.0999999999999997E-2</v>
      </c>
      <c r="K1157">
        <v>2.7E-2</v>
      </c>
      <c r="L1157">
        <v>2310.4</v>
      </c>
      <c r="M1157">
        <v>2318.6</v>
      </c>
      <c r="N1157">
        <v>2335.4</v>
      </c>
      <c r="Q1157">
        <f t="shared" si="78"/>
        <v>459.1</v>
      </c>
      <c r="R1157">
        <f t="shared" si="79"/>
        <v>459.2</v>
      </c>
      <c r="S1157">
        <f t="shared" si="80"/>
        <v>0</v>
      </c>
    </row>
    <row r="1158" spans="1:19" x14ac:dyDescent="0.25">
      <c r="A1158" s="2">
        <v>44902</v>
      </c>
      <c r="B1158" s="3">
        <v>341</v>
      </c>
      <c r="C1158" s="3">
        <v>200</v>
      </c>
      <c r="D1158">
        <v>459.19760000000002</v>
      </c>
      <c r="E1158">
        <v>4.4999999999999998E-2</v>
      </c>
      <c r="F1158">
        <v>452.57339999999999</v>
      </c>
      <c r="G1158">
        <v>460.99029999999999</v>
      </c>
      <c r="H1158">
        <v>464.0292</v>
      </c>
      <c r="I1158">
        <v>4.2000000000000003E-2</v>
      </c>
      <c r="J1158">
        <v>5.0999999999999997E-2</v>
      </c>
      <c r="K1158">
        <v>0.04</v>
      </c>
      <c r="L1158">
        <v>2310.6</v>
      </c>
      <c r="M1158">
        <v>2319</v>
      </c>
      <c r="N1158">
        <v>2335.4</v>
      </c>
      <c r="Q1158">
        <f t="shared" si="78"/>
        <v>459.2</v>
      </c>
      <c r="R1158">
        <f t="shared" si="79"/>
        <v>459.2</v>
      </c>
      <c r="S1158">
        <f t="shared" si="80"/>
        <v>0</v>
      </c>
    </row>
    <row r="1159" spans="1:19" x14ac:dyDescent="0.25">
      <c r="A1159" s="2">
        <v>44902</v>
      </c>
      <c r="B1159" s="3">
        <v>341</v>
      </c>
      <c r="C1159" s="3">
        <v>300</v>
      </c>
      <c r="D1159">
        <v>459.20740000000001</v>
      </c>
      <c r="E1159">
        <v>4.1000000000000002E-2</v>
      </c>
      <c r="F1159">
        <v>452.58429999999998</v>
      </c>
      <c r="G1159">
        <v>461.02140000000003</v>
      </c>
      <c r="H1159">
        <v>464.0163</v>
      </c>
      <c r="I1159">
        <v>4.8000000000000001E-2</v>
      </c>
      <c r="J1159">
        <v>4.8000000000000001E-2</v>
      </c>
      <c r="K1159">
        <v>2.3E-2</v>
      </c>
      <c r="L1159">
        <v>2310.6</v>
      </c>
      <c r="M1159">
        <v>2319</v>
      </c>
      <c r="N1159">
        <v>2335.4</v>
      </c>
      <c r="Q1159">
        <f t="shared" si="78"/>
        <v>459.2</v>
      </c>
      <c r="R1159">
        <f t="shared" si="79"/>
        <v>459.2</v>
      </c>
      <c r="S1159">
        <f t="shared" si="80"/>
        <v>0</v>
      </c>
    </row>
    <row r="1160" spans="1:19" x14ac:dyDescent="0.25">
      <c r="A1160" s="2">
        <v>44902</v>
      </c>
      <c r="B1160" s="3">
        <v>341</v>
      </c>
      <c r="C1160" s="3">
        <v>400</v>
      </c>
      <c r="D1160">
        <v>459.17079999999999</v>
      </c>
      <c r="E1160">
        <v>3.5000000000000003E-2</v>
      </c>
      <c r="F1160">
        <v>452.55160000000001</v>
      </c>
      <c r="G1160">
        <v>460.9665</v>
      </c>
      <c r="H1160">
        <v>463.99430000000001</v>
      </c>
      <c r="I1160">
        <v>2.7E-2</v>
      </c>
      <c r="J1160">
        <v>0.04</v>
      </c>
      <c r="K1160">
        <v>3.7999999999999999E-2</v>
      </c>
      <c r="L1160">
        <v>2310.6</v>
      </c>
      <c r="M1160">
        <v>2318.8000000000002</v>
      </c>
      <c r="N1160">
        <v>2335.1999999999998</v>
      </c>
      <c r="Q1160">
        <f t="shared" si="78"/>
        <v>459.2</v>
      </c>
      <c r="R1160">
        <f t="shared" si="79"/>
        <v>459.2</v>
      </c>
      <c r="S1160">
        <f t="shared" si="80"/>
        <v>0</v>
      </c>
    </row>
    <row r="1161" spans="1:19" x14ac:dyDescent="0.25">
      <c r="A1161" s="2">
        <v>44902</v>
      </c>
      <c r="B1161" s="3">
        <v>341</v>
      </c>
      <c r="C1161" s="3">
        <v>500</v>
      </c>
      <c r="D1161">
        <v>459.1404</v>
      </c>
      <c r="E1161">
        <v>4.2999999999999997E-2</v>
      </c>
      <c r="F1161">
        <v>452.49160000000001</v>
      </c>
      <c r="G1161">
        <v>460.93720000000002</v>
      </c>
      <c r="H1161">
        <v>463.99250000000001</v>
      </c>
      <c r="I1161">
        <v>5.0999999999999997E-2</v>
      </c>
      <c r="J1161">
        <v>3.7999999999999999E-2</v>
      </c>
      <c r="K1161">
        <v>0.04</v>
      </c>
      <c r="L1161">
        <v>2310.4</v>
      </c>
      <c r="M1161">
        <v>2318.8000000000002</v>
      </c>
      <c r="N1161">
        <v>2335.4</v>
      </c>
      <c r="Q1161">
        <f t="shared" si="78"/>
        <v>459.1</v>
      </c>
      <c r="R1161">
        <f t="shared" si="79"/>
        <v>459.2</v>
      </c>
      <c r="S1161">
        <f t="shared" si="80"/>
        <v>0</v>
      </c>
    </row>
    <row r="1162" spans="1:19" x14ac:dyDescent="0.25">
      <c r="A1162" s="2">
        <v>44902</v>
      </c>
      <c r="B1162" s="3">
        <v>341</v>
      </c>
      <c r="C1162" s="3">
        <v>600</v>
      </c>
      <c r="D1162">
        <v>459.08640000000003</v>
      </c>
      <c r="E1162">
        <v>3.9E-2</v>
      </c>
      <c r="F1162">
        <v>452.37720000000002</v>
      </c>
      <c r="G1162">
        <v>460.86939999999998</v>
      </c>
      <c r="H1162">
        <v>464.01260000000002</v>
      </c>
      <c r="I1162">
        <v>4.8000000000000001E-2</v>
      </c>
      <c r="J1162">
        <v>4.4999999999999998E-2</v>
      </c>
      <c r="K1162">
        <v>1.4E-2</v>
      </c>
      <c r="L1162">
        <v>2310.1999999999998</v>
      </c>
      <c r="M1162">
        <v>2318.6</v>
      </c>
      <c r="N1162">
        <v>2335.4</v>
      </c>
      <c r="Q1162">
        <f t="shared" si="78"/>
        <v>459.1</v>
      </c>
      <c r="R1162">
        <f t="shared" si="79"/>
        <v>459.2</v>
      </c>
      <c r="S1162">
        <f t="shared" si="80"/>
        <v>0</v>
      </c>
    </row>
    <row r="1163" spans="1:19" x14ac:dyDescent="0.25">
      <c r="A1163" s="2">
        <v>44902</v>
      </c>
      <c r="B1163" s="3">
        <v>341</v>
      </c>
      <c r="C1163" s="3">
        <v>700</v>
      </c>
      <c r="D1163">
        <v>459.0967</v>
      </c>
      <c r="E1163">
        <v>4.1000000000000002E-2</v>
      </c>
      <c r="F1163">
        <v>452.40809999999999</v>
      </c>
      <c r="G1163">
        <v>460.85660000000001</v>
      </c>
      <c r="H1163">
        <v>464.02550000000002</v>
      </c>
      <c r="I1163">
        <v>0.05</v>
      </c>
      <c r="J1163">
        <v>3.4000000000000002E-2</v>
      </c>
      <c r="K1163">
        <v>3.5999999999999997E-2</v>
      </c>
      <c r="L1163">
        <v>2310.1999999999998</v>
      </c>
      <c r="M1163">
        <v>2318.6</v>
      </c>
      <c r="N1163">
        <v>2335.4</v>
      </c>
      <c r="Q1163">
        <f t="shared" si="78"/>
        <v>459.1</v>
      </c>
      <c r="R1163">
        <f t="shared" si="79"/>
        <v>459.2</v>
      </c>
      <c r="S1163">
        <f t="shared" si="80"/>
        <v>0</v>
      </c>
    </row>
    <row r="1164" spans="1:19" x14ac:dyDescent="0.25">
      <c r="A1164" s="2">
        <v>44902</v>
      </c>
      <c r="B1164" s="3">
        <v>341</v>
      </c>
      <c r="C1164" s="3">
        <v>800</v>
      </c>
      <c r="D1164">
        <v>459.11250000000001</v>
      </c>
      <c r="E1164">
        <v>4.5999999999999999E-2</v>
      </c>
      <c r="F1164">
        <v>452.428</v>
      </c>
      <c r="G1164">
        <v>460.87670000000003</v>
      </c>
      <c r="H1164">
        <v>464.03289999999998</v>
      </c>
      <c r="I1164">
        <v>4.4999999999999998E-2</v>
      </c>
      <c r="J1164">
        <v>4.9000000000000002E-2</v>
      </c>
      <c r="K1164">
        <v>4.2999999999999997E-2</v>
      </c>
      <c r="L1164">
        <v>2310.4</v>
      </c>
      <c r="M1164">
        <v>2318.6</v>
      </c>
      <c r="N1164">
        <v>2335.4</v>
      </c>
      <c r="Q1164">
        <f t="shared" si="78"/>
        <v>459.1</v>
      </c>
      <c r="R1164">
        <f t="shared" si="79"/>
        <v>459.2</v>
      </c>
      <c r="S1164">
        <f t="shared" si="80"/>
        <v>0</v>
      </c>
    </row>
    <row r="1165" spans="1:19" x14ac:dyDescent="0.25">
      <c r="A1165" s="2">
        <v>44902</v>
      </c>
      <c r="B1165" s="3">
        <v>341</v>
      </c>
      <c r="C1165" s="3">
        <v>900</v>
      </c>
      <c r="D1165">
        <v>459.16849999999999</v>
      </c>
      <c r="E1165">
        <v>4.2999999999999997E-2</v>
      </c>
      <c r="F1165">
        <v>452.51159999999999</v>
      </c>
      <c r="G1165">
        <v>460.96460000000002</v>
      </c>
      <c r="H1165">
        <v>464.0292</v>
      </c>
      <c r="I1165">
        <v>0.05</v>
      </c>
      <c r="J1165">
        <v>3.7999999999999999E-2</v>
      </c>
      <c r="K1165">
        <v>0.04</v>
      </c>
      <c r="L1165">
        <v>2310.4</v>
      </c>
      <c r="M1165">
        <v>2318.8000000000002</v>
      </c>
      <c r="N1165">
        <v>2335.6</v>
      </c>
      <c r="Q1165">
        <f t="shared" si="78"/>
        <v>459.2</v>
      </c>
      <c r="R1165">
        <f t="shared" si="79"/>
        <v>459.2</v>
      </c>
      <c r="S1165">
        <f t="shared" si="80"/>
        <v>0</v>
      </c>
    </row>
    <row r="1166" spans="1:19" x14ac:dyDescent="0.25">
      <c r="A1166" s="2">
        <v>44902</v>
      </c>
      <c r="B1166" s="3">
        <v>341</v>
      </c>
      <c r="C1166" s="3">
        <v>1000</v>
      </c>
      <c r="D1166">
        <v>459.16250000000002</v>
      </c>
      <c r="E1166">
        <v>4.4999999999999998E-2</v>
      </c>
      <c r="F1166">
        <v>452.6388</v>
      </c>
      <c r="G1166">
        <v>460.97739999999999</v>
      </c>
      <c r="H1166">
        <v>463.87139999999999</v>
      </c>
      <c r="I1166">
        <v>3.7999999999999999E-2</v>
      </c>
      <c r="J1166">
        <v>4.7E-2</v>
      </c>
      <c r="K1166">
        <v>4.9000000000000002E-2</v>
      </c>
      <c r="L1166">
        <v>2310.8000000000002</v>
      </c>
      <c r="M1166">
        <v>2318.8000000000002</v>
      </c>
      <c r="N1166">
        <v>2335.1999999999998</v>
      </c>
      <c r="Q1166">
        <f t="shared" si="78"/>
        <v>459.2</v>
      </c>
      <c r="R1166">
        <f t="shared" si="79"/>
        <v>459.2</v>
      </c>
      <c r="S1166">
        <f t="shared" si="80"/>
        <v>0</v>
      </c>
    </row>
    <row r="1167" spans="1:19" x14ac:dyDescent="0.25">
      <c r="A1167" s="2">
        <v>44902</v>
      </c>
      <c r="B1167" s="3">
        <v>341</v>
      </c>
      <c r="C1167" s="3">
        <v>1100</v>
      </c>
      <c r="D1167">
        <v>459.05709999999999</v>
      </c>
      <c r="E1167">
        <v>3.3000000000000002E-2</v>
      </c>
      <c r="F1167">
        <v>452.55160000000001</v>
      </c>
      <c r="G1167">
        <v>460.84739999999999</v>
      </c>
      <c r="H1167">
        <v>463.7724</v>
      </c>
      <c r="I1167">
        <v>1.9E-2</v>
      </c>
      <c r="J1167">
        <v>2.7E-2</v>
      </c>
      <c r="K1167">
        <v>4.7E-2</v>
      </c>
      <c r="L1167">
        <v>2310.6</v>
      </c>
      <c r="M1167">
        <v>2318.6</v>
      </c>
      <c r="N1167">
        <v>2335</v>
      </c>
      <c r="Q1167">
        <f t="shared" si="78"/>
        <v>459.1</v>
      </c>
      <c r="R1167">
        <f t="shared" si="79"/>
        <v>459.2</v>
      </c>
      <c r="S1167">
        <f t="shared" si="80"/>
        <v>0</v>
      </c>
    </row>
    <row r="1168" spans="1:19" x14ac:dyDescent="0.25">
      <c r="A1168" s="2">
        <v>44902</v>
      </c>
      <c r="B1168" s="3">
        <v>341</v>
      </c>
      <c r="C1168" s="3">
        <v>1200</v>
      </c>
      <c r="D1168">
        <v>459.90109999999999</v>
      </c>
      <c r="E1168">
        <v>4.1000000000000002E-2</v>
      </c>
      <c r="F1168">
        <v>453.39819999999997</v>
      </c>
      <c r="G1168">
        <v>461.6866</v>
      </c>
      <c r="H1168">
        <v>464.61840000000001</v>
      </c>
      <c r="I1168">
        <v>4.3999999999999997E-2</v>
      </c>
      <c r="J1168">
        <v>3.7999999999999999E-2</v>
      </c>
      <c r="K1168">
        <v>4.1000000000000002E-2</v>
      </c>
      <c r="L1168">
        <v>2312.1999999999998</v>
      </c>
      <c r="M1168">
        <v>2320.4</v>
      </c>
      <c r="N1168">
        <v>2336.6</v>
      </c>
      <c r="Q1168">
        <f t="shared" si="78"/>
        <v>459.9</v>
      </c>
      <c r="R1168">
        <f t="shared" si="79"/>
        <v>459.9</v>
      </c>
      <c r="S1168">
        <f t="shared" si="80"/>
        <v>0.69999999999998863</v>
      </c>
    </row>
    <row r="1169" spans="1:19" x14ac:dyDescent="0.25">
      <c r="A1169" s="2">
        <v>44902</v>
      </c>
      <c r="B1169" s="3">
        <v>341</v>
      </c>
      <c r="C1169" s="3">
        <v>1300</v>
      </c>
      <c r="D1169">
        <v>459.8091</v>
      </c>
      <c r="E1169">
        <v>4.8000000000000001E-2</v>
      </c>
      <c r="F1169">
        <v>453.30369999999999</v>
      </c>
      <c r="G1169">
        <v>461.5455</v>
      </c>
      <c r="H1169">
        <v>464.5779</v>
      </c>
      <c r="I1169">
        <v>4.5999999999999999E-2</v>
      </c>
      <c r="J1169">
        <v>4.7E-2</v>
      </c>
      <c r="K1169">
        <v>5.1999999999999998E-2</v>
      </c>
      <c r="L1169">
        <v>2312</v>
      </c>
      <c r="M1169">
        <v>2320</v>
      </c>
      <c r="N1169">
        <v>2336.4</v>
      </c>
      <c r="Q1169">
        <f t="shared" si="78"/>
        <v>459.8</v>
      </c>
      <c r="R1169">
        <f t="shared" si="79"/>
        <v>459.9</v>
      </c>
      <c r="S1169">
        <f t="shared" si="80"/>
        <v>0</v>
      </c>
    </row>
    <row r="1170" spans="1:19" x14ac:dyDescent="0.25">
      <c r="A1170" s="2">
        <v>44902</v>
      </c>
      <c r="B1170" s="3">
        <v>341</v>
      </c>
      <c r="C1170" s="3">
        <v>1400</v>
      </c>
      <c r="D1170">
        <v>459.7937</v>
      </c>
      <c r="E1170">
        <v>4.8000000000000001E-2</v>
      </c>
      <c r="F1170">
        <v>453.31650000000002</v>
      </c>
      <c r="G1170">
        <v>461.50700000000001</v>
      </c>
      <c r="H1170">
        <v>464.55770000000001</v>
      </c>
      <c r="I1170">
        <v>0.05</v>
      </c>
      <c r="J1170">
        <v>0.05</v>
      </c>
      <c r="K1170">
        <v>4.3999999999999997E-2</v>
      </c>
      <c r="L1170">
        <v>2312.1999999999998</v>
      </c>
      <c r="M1170">
        <v>2320</v>
      </c>
      <c r="N1170">
        <v>2336.4</v>
      </c>
      <c r="Q1170">
        <f t="shared" si="78"/>
        <v>459.8</v>
      </c>
      <c r="R1170">
        <f t="shared" si="79"/>
        <v>459.9</v>
      </c>
      <c r="S1170">
        <f t="shared" si="80"/>
        <v>0</v>
      </c>
    </row>
    <row r="1171" spans="1:19" x14ac:dyDescent="0.25">
      <c r="A1171" s="2">
        <v>44902</v>
      </c>
      <c r="B1171" s="3">
        <v>341</v>
      </c>
      <c r="C1171" s="3">
        <v>1500</v>
      </c>
      <c r="D1171">
        <v>459.8177</v>
      </c>
      <c r="E1171">
        <v>4.2999999999999997E-2</v>
      </c>
      <c r="F1171">
        <v>453.28739999999999</v>
      </c>
      <c r="G1171">
        <v>461.57839999999999</v>
      </c>
      <c r="H1171">
        <v>464.5872</v>
      </c>
      <c r="I1171">
        <v>4.5999999999999999E-2</v>
      </c>
      <c r="J1171">
        <v>2.7E-2</v>
      </c>
      <c r="K1171">
        <v>5.1999999999999998E-2</v>
      </c>
      <c r="L1171">
        <v>2312</v>
      </c>
      <c r="M1171">
        <v>2320</v>
      </c>
      <c r="N1171">
        <v>2336.4</v>
      </c>
      <c r="Q1171">
        <f t="shared" ref="Q1171:Q1234" si="81">ROUND(D1171,1)</f>
        <v>459.8</v>
      </c>
      <c r="R1171">
        <f t="shared" si="79"/>
        <v>459.9</v>
      </c>
      <c r="S1171">
        <f t="shared" si="80"/>
        <v>0</v>
      </c>
    </row>
    <row r="1172" spans="1:19" x14ac:dyDescent="0.25">
      <c r="A1172" s="2">
        <v>44902</v>
      </c>
      <c r="B1172" s="3">
        <v>341</v>
      </c>
      <c r="C1172" s="3">
        <v>1600</v>
      </c>
      <c r="D1172">
        <v>459.89229999999998</v>
      </c>
      <c r="E1172">
        <v>4.3999999999999997E-2</v>
      </c>
      <c r="F1172">
        <v>453.2765</v>
      </c>
      <c r="G1172">
        <v>461.73790000000002</v>
      </c>
      <c r="H1172">
        <v>464.66250000000002</v>
      </c>
      <c r="I1172">
        <v>3.4000000000000002E-2</v>
      </c>
      <c r="J1172">
        <v>5.1999999999999998E-2</v>
      </c>
      <c r="K1172">
        <v>4.3999999999999997E-2</v>
      </c>
      <c r="L1172">
        <v>2312</v>
      </c>
      <c r="M1172">
        <v>2320.4</v>
      </c>
      <c r="N1172">
        <v>2336.8000000000002</v>
      </c>
      <c r="Q1172">
        <f t="shared" si="81"/>
        <v>459.9</v>
      </c>
      <c r="R1172">
        <f t="shared" si="79"/>
        <v>459.9</v>
      </c>
      <c r="S1172">
        <f t="shared" si="80"/>
        <v>0</v>
      </c>
    </row>
    <row r="1173" spans="1:19" x14ac:dyDescent="0.25">
      <c r="A1173" s="2">
        <v>44902</v>
      </c>
      <c r="B1173" s="3">
        <v>341</v>
      </c>
      <c r="C1173" s="3">
        <v>1700</v>
      </c>
      <c r="D1173">
        <v>459.95330000000001</v>
      </c>
      <c r="E1173">
        <v>4.2000000000000003E-2</v>
      </c>
      <c r="F1173">
        <v>453.31830000000002</v>
      </c>
      <c r="G1173">
        <v>461.80399999999997</v>
      </c>
      <c r="H1173">
        <v>464.73770000000002</v>
      </c>
      <c r="I1173">
        <v>5.0999999999999997E-2</v>
      </c>
      <c r="J1173">
        <v>4.5999999999999999E-2</v>
      </c>
      <c r="K1173">
        <v>2.3E-2</v>
      </c>
      <c r="L1173">
        <v>2312</v>
      </c>
      <c r="M1173">
        <v>2320.6</v>
      </c>
      <c r="N1173">
        <v>2336.8000000000002</v>
      </c>
      <c r="Q1173">
        <f t="shared" si="81"/>
        <v>460</v>
      </c>
      <c r="R1173">
        <f t="shared" si="79"/>
        <v>460</v>
      </c>
      <c r="S1173">
        <f t="shared" si="80"/>
        <v>0.10000000000002274</v>
      </c>
    </row>
    <row r="1174" spans="1:19" x14ac:dyDescent="0.25">
      <c r="A1174" s="2">
        <v>44902</v>
      </c>
      <c r="B1174" s="3">
        <v>341</v>
      </c>
      <c r="C1174" s="3">
        <v>1800</v>
      </c>
      <c r="D1174">
        <v>459.9973</v>
      </c>
      <c r="E1174">
        <v>4.9000000000000002E-2</v>
      </c>
      <c r="F1174">
        <v>453.33460000000002</v>
      </c>
      <c r="G1174">
        <v>461.86630000000002</v>
      </c>
      <c r="H1174">
        <v>464.791</v>
      </c>
      <c r="I1174">
        <v>5.0999999999999997E-2</v>
      </c>
      <c r="J1174">
        <v>4.2999999999999997E-2</v>
      </c>
      <c r="K1174">
        <v>5.1999999999999998E-2</v>
      </c>
      <c r="L1174">
        <v>2312.1999999999998</v>
      </c>
      <c r="M1174">
        <v>2320.6</v>
      </c>
      <c r="N1174">
        <v>2337</v>
      </c>
      <c r="Q1174">
        <f t="shared" si="81"/>
        <v>460</v>
      </c>
      <c r="R1174">
        <f t="shared" si="79"/>
        <v>460</v>
      </c>
      <c r="S1174">
        <f t="shared" si="80"/>
        <v>0</v>
      </c>
    </row>
    <row r="1175" spans="1:19" x14ac:dyDescent="0.25">
      <c r="A1175" s="2">
        <v>44902</v>
      </c>
      <c r="B1175" s="3">
        <v>341</v>
      </c>
      <c r="C1175" s="3">
        <v>1900</v>
      </c>
      <c r="D1175">
        <v>460.0301</v>
      </c>
      <c r="E1175">
        <v>4.2000000000000003E-2</v>
      </c>
      <c r="F1175">
        <v>453.40190000000001</v>
      </c>
      <c r="G1175">
        <v>461.87549999999999</v>
      </c>
      <c r="H1175">
        <v>464.81299999999999</v>
      </c>
      <c r="I1175">
        <v>4.2000000000000003E-2</v>
      </c>
      <c r="J1175">
        <v>3.4000000000000002E-2</v>
      </c>
      <c r="K1175">
        <v>4.9000000000000002E-2</v>
      </c>
      <c r="L1175">
        <v>2312.1999999999998</v>
      </c>
      <c r="M1175">
        <v>2320.6</v>
      </c>
      <c r="N1175">
        <v>2336.8000000000002</v>
      </c>
      <c r="Q1175">
        <f t="shared" si="81"/>
        <v>460</v>
      </c>
      <c r="R1175">
        <f t="shared" si="79"/>
        <v>460</v>
      </c>
      <c r="S1175">
        <f t="shared" si="80"/>
        <v>0</v>
      </c>
    </row>
    <row r="1176" spans="1:19" x14ac:dyDescent="0.25">
      <c r="A1176" s="2">
        <v>44902</v>
      </c>
      <c r="B1176" s="3">
        <v>341</v>
      </c>
      <c r="C1176" s="3">
        <v>2000</v>
      </c>
      <c r="D1176">
        <v>460.05700000000002</v>
      </c>
      <c r="E1176">
        <v>4.2999999999999997E-2</v>
      </c>
      <c r="F1176">
        <v>453.43090000000001</v>
      </c>
      <c r="G1176">
        <v>461.9067</v>
      </c>
      <c r="H1176">
        <v>464.83319999999998</v>
      </c>
      <c r="I1176">
        <v>5.1999999999999998E-2</v>
      </c>
      <c r="J1176">
        <v>0.04</v>
      </c>
      <c r="K1176">
        <v>3.5999999999999997E-2</v>
      </c>
      <c r="L1176">
        <v>2312.1999999999998</v>
      </c>
      <c r="M1176">
        <v>2320.6</v>
      </c>
      <c r="N1176">
        <v>2337</v>
      </c>
      <c r="Q1176">
        <f t="shared" si="81"/>
        <v>460.1</v>
      </c>
      <c r="R1176">
        <f t="shared" si="79"/>
        <v>460.1</v>
      </c>
      <c r="S1176">
        <f t="shared" si="80"/>
        <v>0.10000000000002274</v>
      </c>
    </row>
    <row r="1177" spans="1:19" x14ac:dyDescent="0.25">
      <c r="A1177" s="2">
        <v>44902</v>
      </c>
      <c r="B1177" s="3">
        <v>341</v>
      </c>
      <c r="C1177" s="3">
        <v>2100</v>
      </c>
      <c r="D1177">
        <v>460.04660000000001</v>
      </c>
      <c r="E1177">
        <v>4.3999999999999997E-2</v>
      </c>
      <c r="F1177">
        <v>453.41820000000001</v>
      </c>
      <c r="G1177">
        <v>461.90120000000002</v>
      </c>
      <c r="H1177">
        <v>464.82029999999997</v>
      </c>
      <c r="I1177">
        <v>0.05</v>
      </c>
      <c r="J1177">
        <v>3.4000000000000002E-2</v>
      </c>
      <c r="K1177">
        <v>4.5999999999999999E-2</v>
      </c>
      <c r="L1177">
        <v>2312.4</v>
      </c>
      <c r="M1177">
        <v>2320.6</v>
      </c>
      <c r="N1177">
        <v>2336.8000000000002</v>
      </c>
      <c r="Q1177">
        <f t="shared" si="81"/>
        <v>460</v>
      </c>
      <c r="R1177">
        <f t="shared" si="79"/>
        <v>460.1</v>
      </c>
      <c r="S1177">
        <f t="shared" si="80"/>
        <v>0</v>
      </c>
    </row>
    <row r="1178" spans="1:19" x14ac:dyDescent="0.25">
      <c r="A1178" s="2">
        <v>44902</v>
      </c>
      <c r="B1178" s="3">
        <v>341</v>
      </c>
      <c r="C1178" s="3">
        <v>2200</v>
      </c>
      <c r="D1178">
        <v>460.04169999999999</v>
      </c>
      <c r="E1178">
        <v>4.4999999999999998E-2</v>
      </c>
      <c r="F1178">
        <v>453.40730000000002</v>
      </c>
      <c r="G1178">
        <v>461.90120000000002</v>
      </c>
      <c r="H1178">
        <v>464.81670000000003</v>
      </c>
      <c r="I1178">
        <v>0.05</v>
      </c>
      <c r="J1178">
        <v>3.4000000000000002E-2</v>
      </c>
      <c r="K1178">
        <v>4.8000000000000001E-2</v>
      </c>
      <c r="L1178">
        <v>2312.1999999999998</v>
      </c>
      <c r="M1178">
        <v>2320.6</v>
      </c>
      <c r="N1178">
        <v>2337</v>
      </c>
      <c r="Q1178">
        <f t="shared" si="81"/>
        <v>460</v>
      </c>
      <c r="R1178">
        <f t="shared" si="79"/>
        <v>460.1</v>
      </c>
      <c r="S1178">
        <f t="shared" si="80"/>
        <v>0</v>
      </c>
    </row>
    <row r="1179" spans="1:19" x14ac:dyDescent="0.25">
      <c r="A1179" s="2">
        <v>44902</v>
      </c>
      <c r="B1179" s="3">
        <v>341</v>
      </c>
      <c r="C1179" s="3">
        <v>2300</v>
      </c>
      <c r="D1179">
        <v>460.0369</v>
      </c>
      <c r="E1179">
        <v>4.3999999999999997E-2</v>
      </c>
      <c r="F1179">
        <v>453.40550000000002</v>
      </c>
      <c r="G1179">
        <v>461.89749999999998</v>
      </c>
      <c r="H1179">
        <v>464.8075</v>
      </c>
      <c r="I1179">
        <v>4.9000000000000002E-2</v>
      </c>
      <c r="J1179">
        <v>0.03</v>
      </c>
      <c r="K1179">
        <v>5.0999999999999997E-2</v>
      </c>
      <c r="L1179">
        <v>2312.1999999999998</v>
      </c>
      <c r="M1179">
        <v>2320.6</v>
      </c>
      <c r="N1179">
        <v>2337</v>
      </c>
      <c r="Q1179">
        <f t="shared" si="81"/>
        <v>460</v>
      </c>
      <c r="R1179">
        <f t="shared" si="79"/>
        <v>460.1</v>
      </c>
      <c r="S1179">
        <f t="shared" si="80"/>
        <v>0</v>
      </c>
    </row>
    <row r="1180" spans="1:19" x14ac:dyDescent="0.25">
      <c r="A1180" s="2">
        <v>44902</v>
      </c>
      <c r="B1180" s="3">
        <v>341</v>
      </c>
      <c r="C1180" s="3">
        <v>2400</v>
      </c>
      <c r="D1180">
        <v>460.03070000000002</v>
      </c>
      <c r="E1180">
        <v>4.3999999999999997E-2</v>
      </c>
      <c r="F1180">
        <v>453.40550000000002</v>
      </c>
      <c r="G1180">
        <v>461.89019999999999</v>
      </c>
      <c r="H1180">
        <v>464.79649999999998</v>
      </c>
      <c r="I1180">
        <v>4.4999999999999998E-2</v>
      </c>
      <c r="J1180">
        <v>3.1E-2</v>
      </c>
      <c r="K1180">
        <v>5.1999999999999998E-2</v>
      </c>
      <c r="L1180">
        <v>2312.1999999999998</v>
      </c>
      <c r="M1180">
        <v>2320.6</v>
      </c>
      <c r="N1180">
        <v>2336.8000000000002</v>
      </c>
      <c r="Q1180">
        <f t="shared" si="81"/>
        <v>460</v>
      </c>
      <c r="R1180">
        <f t="shared" si="79"/>
        <v>460.1</v>
      </c>
      <c r="S1180">
        <f t="shared" si="80"/>
        <v>0</v>
      </c>
    </row>
    <row r="1181" spans="1:19" x14ac:dyDescent="0.25">
      <c r="A1181" s="2">
        <v>44903</v>
      </c>
      <c r="B1181" s="3">
        <v>342</v>
      </c>
      <c r="C1181" s="3">
        <v>100</v>
      </c>
      <c r="D1181">
        <v>460.03379999999999</v>
      </c>
      <c r="E1181">
        <v>4.3999999999999997E-2</v>
      </c>
      <c r="F1181">
        <v>453.40910000000002</v>
      </c>
      <c r="G1181">
        <v>461.89019999999999</v>
      </c>
      <c r="H1181">
        <v>464.80200000000002</v>
      </c>
      <c r="I1181">
        <v>4.7E-2</v>
      </c>
      <c r="J1181">
        <v>3.1E-2</v>
      </c>
      <c r="K1181">
        <v>5.1999999999999998E-2</v>
      </c>
      <c r="L1181">
        <v>2312.1999999999998</v>
      </c>
      <c r="M1181">
        <v>2320.6</v>
      </c>
      <c r="N1181">
        <v>2336.8000000000002</v>
      </c>
      <c r="Q1181">
        <f t="shared" si="81"/>
        <v>460</v>
      </c>
      <c r="R1181">
        <f t="shared" si="79"/>
        <v>460.1</v>
      </c>
      <c r="S1181">
        <f t="shared" si="80"/>
        <v>0</v>
      </c>
    </row>
    <row r="1182" spans="1:19" x14ac:dyDescent="0.25">
      <c r="A1182" s="2">
        <v>44903</v>
      </c>
      <c r="B1182" s="3">
        <v>342</v>
      </c>
      <c r="C1182" s="3">
        <v>200</v>
      </c>
      <c r="D1182">
        <v>460.03680000000003</v>
      </c>
      <c r="E1182">
        <v>4.1000000000000002E-2</v>
      </c>
      <c r="F1182">
        <v>453.40730000000002</v>
      </c>
      <c r="G1182">
        <v>461.892</v>
      </c>
      <c r="H1182">
        <v>464.81119999999999</v>
      </c>
      <c r="I1182">
        <v>4.5999999999999999E-2</v>
      </c>
      <c r="J1182">
        <v>1.9E-2</v>
      </c>
      <c r="K1182">
        <v>0.05</v>
      </c>
      <c r="L1182">
        <v>2312.1999999999998</v>
      </c>
      <c r="M1182">
        <v>2320.6</v>
      </c>
      <c r="N1182">
        <v>2337</v>
      </c>
      <c r="Q1182">
        <f t="shared" si="81"/>
        <v>460</v>
      </c>
      <c r="R1182">
        <f t="shared" si="79"/>
        <v>460.1</v>
      </c>
      <c r="S1182">
        <f t="shared" si="80"/>
        <v>0</v>
      </c>
    </row>
    <row r="1183" spans="1:19" x14ac:dyDescent="0.25">
      <c r="A1183" s="2">
        <v>44903</v>
      </c>
      <c r="B1183" s="3">
        <v>342</v>
      </c>
      <c r="C1183" s="3">
        <v>300</v>
      </c>
      <c r="D1183">
        <v>460.04599999999999</v>
      </c>
      <c r="E1183">
        <v>4.2999999999999997E-2</v>
      </c>
      <c r="F1183">
        <v>453.41820000000001</v>
      </c>
      <c r="G1183">
        <v>461.89940000000001</v>
      </c>
      <c r="H1183">
        <v>464.82029999999997</v>
      </c>
      <c r="I1183">
        <v>0.05</v>
      </c>
      <c r="J1183">
        <v>3.2000000000000001E-2</v>
      </c>
      <c r="K1183">
        <v>4.5999999999999999E-2</v>
      </c>
      <c r="L1183">
        <v>2312.4</v>
      </c>
      <c r="M1183">
        <v>2320.6</v>
      </c>
      <c r="N1183">
        <v>2337</v>
      </c>
      <c r="Q1183">
        <f t="shared" si="81"/>
        <v>460</v>
      </c>
      <c r="R1183">
        <f t="shared" si="79"/>
        <v>460.1</v>
      </c>
      <c r="S1183">
        <f t="shared" si="80"/>
        <v>0</v>
      </c>
    </row>
    <row r="1184" spans="1:19" x14ac:dyDescent="0.25">
      <c r="A1184" s="2">
        <v>44903</v>
      </c>
      <c r="B1184" s="3">
        <v>342</v>
      </c>
      <c r="C1184" s="3">
        <v>400</v>
      </c>
      <c r="D1184">
        <v>460.06360000000001</v>
      </c>
      <c r="E1184">
        <v>4.3999999999999997E-2</v>
      </c>
      <c r="F1184">
        <v>453.44369999999998</v>
      </c>
      <c r="G1184">
        <v>461.91399999999999</v>
      </c>
      <c r="H1184">
        <v>464.83319999999998</v>
      </c>
      <c r="I1184">
        <v>0.05</v>
      </c>
      <c r="J1184">
        <v>4.4999999999999998E-2</v>
      </c>
      <c r="K1184">
        <v>3.5999999999999997E-2</v>
      </c>
      <c r="L1184">
        <v>2312.1999999999998</v>
      </c>
      <c r="M1184">
        <v>2320.6</v>
      </c>
      <c r="N1184">
        <v>2337</v>
      </c>
      <c r="Q1184">
        <f t="shared" si="81"/>
        <v>460.1</v>
      </c>
      <c r="R1184">
        <f t="shared" si="79"/>
        <v>460.1</v>
      </c>
      <c r="S1184">
        <f t="shared" si="80"/>
        <v>0</v>
      </c>
    </row>
    <row r="1185" spans="1:19" x14ac:dyDescent="0.25">
      <c r="A1185" s="2">
        <v>44903</v>
      </c>
      <c r="B1185" s="3">
        <v>342</v>
      </c>
      <c r="C1185" s="3">
        <v>500</v>
      </c>
      <c r="D1185">
        <v>460.33620000000002</v>
      </c>
      <c r="E1185">
        <v>4.8000000000000001E-2</v>
      </c>
      <c r="F1185">
        <v>453.70370000000003</v>
      </c>
      <c r="G1185">
        <v>462.19080000000002</v>
      </c>
      <c r="H1185">
        <v>465.11419999999998</v>
      </c>
      <c r="I1185">
        <v>4.8000000000000001E-2</v>
      </c>
      <c r="J1185">
        <v>4.2000000000000003E-2</v>
      </c>
      <c r="K1185">
        <v>5.1999999999999998E-2</v>
      </c>
      <c r="L1185">
        <v>2312.8000000000002</v>
      </c>
      <c r="M1185">
        <v>2321.1999999999998</v>
      </c>
      <c r="N1185">
        <v>2337.6</v>
      </c>
      <c r="Q1185">
        <f t="shared" si="81"/>
        <v>460.3</v>
      </c>
      <c r="R1185">
        <f t="shared" si="79"/>
        <v>460.3</v>
      </c>
      <c r="S1185">
        <f t="shared" si="80"/>
        <v>0.19999999999998863</v>
      </c>
    </row>
    <row r="1186" spans="1:19" x14ac:dyDescent="0.25">
      <c r="A1186" s="2">
        <v>44903</v>
      </c>
      <c r="B1186" s="3">
        <v>342</v>
      </c>
      <c r="C1186" s="3">
        <v>600</v>
      </c>
      <c r="D1186">
        <v>460.51190000000003</v>
      </c>
      <c r="E1186">
        <v>4.8000000000000001E-2</v>
      </c>
      <c r="F1186">
        <v>453.87459999999999</v>
      </c>
      <c r="G1186">
        <v>462.36329999999998</v>
      </c>
      <c r="H1186">
        <v>465.29790000000003</v>
      </c>
      <c r="I1186">
        <v>4.2999999999999997E-2</v>
      </c>
      <c r="J1186">
        <v>5.1999999999999998E-2</v>
      </c>
      <c r="K1186">
        <v>4.8000000000000001E-2</v>
      </c>
      <c r="L1186">
        <v>2313.1999999999998</v>
      </c>
      <c r="M1186">
        <v>2321.6</v>
      </c>
      <c r="N1186">
        <v>2337.8000000000002</v>
      </c>
      <c r="Q1186">
        <f t="shared" si="81"/>
        <v>460.5</v>
      </c>
      <c r="R1186">
        <f t="shared" ref="R1186:R1249" si="82">ROUND(IF(Q1186&lt;R1185,R1185,Q1186),1)</f>
        <v>460.5</v>
      </c>
      <c r="S1186">
        <f t="shared" si="80"/>
        <v>0.19999999999998863</v>
      </c>
    </row>
    <row r="1187" spans="1:19" x14ac:dyDescent="0.25">
      <c r="A1187" s="2">
        <v>44903</v>
      </c>
      <c r="B1187" s="3">
        <v>342</v>
      </c>
      <c r="C1187" s="3">
        <v>700</v>
      </c>
      <c r="D1187">
        <v>460.51740000000001</v>
      </c>
      <c r="E1187">
        <v>4.8000000000000001E-2</v>
      </c>
      <c r="F1187">
        <v>453.87459999999999</v>
      </c>
      <c r="G1187">
        <v>462.37060000000002</v>
      </c>
      <c r="H1187">
        <v>465.30709999999999</v>
      </c>
      <c r="I1187">
        <v>4.2999999999999997E-2</v>
      </c>
      <c r="J1187">
        <v>5.0999999999999997E-2</v>
      </c>
      <c r="K1187">
        <v>5.0999999999999997E-2</v>
      </c>
      <c r="L1187">
        <v>2313.1999999999998</v>
      </c>
      <c r="M1187">
        <v>2321.6</v>
      </c>
      <c r="N1187">
        <v>2337.8000000000002</v>
      </c>
      <c r="Q1187">
        <f t="shared" si="81"/>
        <v>460.5</v>
      </c>
      <c r="R1187">
        <f t="shared" si="82"/>
        <v>460.5</v>
      </c>
      <c r="S1187">
        <f t="shared" si="80"/>
        <v>0</v>
      </c>
    </row>
    <row r="1188" spans="1:19" x14ac:dyDescent="0.25">
      <c r="A1188" s="2">
        <v>44903</v>
      </c>
      <c r="B1188" s="3">
        <v>342</v>
      </c>
      <c r="C1188" s="3">
        <v>800</v>
      </c>
      <c r="D1188">
        <v>460.52710000000002</v>
      </c>
      <c r="E1188">
        <v>4.7E-2</v>
      </c>
      <c r="F1188">
        <v>453.90010000000001</v>
      </c>
      <c r="G1188">
        <v>462.36509999999998</v>
      </c>
      <c r="H1188">
        <v>465.31630000000001</v>
      </c>
      <c r="I1188">
        <v>3.5999999999999997E-2</v>
      </c>
      <c r="J1188">
        <v>5.1999999999999998E-2</v>
      </c>
      <c r="K1188">
        <v>5.1999999999999998E-2</v>
      </c>
      <c r="L1188">
        <v>2313.1999999999998</v>
      </c>
      <c r="M1188">
        <v>2321.6</v>
      </c>
      <c r="N1188">
        <v>2337.8000000000002</v>
      </c>
      <c r="Q1188">
        <f t="shared" si="81"/>
        <v>460.5</v>
      </c>
      <c r="R1188">
        <f t="shared" si="82"/>
        <v>460.5</v>
      </c>
      <c r="S1188">
        <f t="shared" si="80"/>
        <v>0</v>
      </c>
    </row>
    <row r="1189" spans="1:19" x14ac:dyDescent="0.25">
      <c r="A1189" s="2">
        <v>44903</v>
      </c>
      <c r="B1189" s="3">
        <v>342</v>
      </c>
      <c r="C1189" s="3">
        <v>900</v>
      </c>
      <c r="D1189">
        <v>460.53379999999999</v>
      </c>
      <c r="E1189">
        <v>4.7E-2</v>
      </c>
      <c r="F1189">
        <v>453.911</v>
      </c>
      <c r="G1189">
        <v>462.36689999999999</v>
      </c>
      <c r="H1189">
        <v>465.3236</v>
      </c>
      <c r="I1189">
        <v>3.4000000000000002E-2</v>
      </c>
      <c r="J1189">
        <v>5.1999999999999998E-2</v>
      </c>
      <c r="K1189">
        <v>5.1999999999999998E-2</v>
      </c>
      <c r="L1189">
        <v>2313.1999999999998</v>
      </c>
      <c r="M1189">
        <v>2321.6</v>
      </c>
      <c r="N1189">
        <v>2338</v>
      </c>
      <c r="Q1189">
        <f t="shared" si="81"/>
        <v>460.5</v>
      </c>
      <c r="R1189">
        <f t="shared" si="82"/>
        <v>460.5</v>
      </c>
      <c r="S1189">
        <f t="shared" ref="S1189:S1252" si="83">IF(R1189&gt;R1188,R1189-R1188,0)</f>
        <v>0</v>
      </c>
    </row>
    <row r="1190" spans="1:19" x14ac:dyDescent="0.25">
      <c r="A1190" s="2">
        <v>44903</v>
      </c>
      <c r="B1190" s="3">
        <v>342</v>
      </c>
      <c r="C1190" s="3">
        <v>1000</v>
      </c>
      <c r="D1190">
        <v>460.52289999999999</v>
      </c>
      <c r="E1190">
        <v>4.4999999999999998E-2</v>
      </c>
      <c r="F1190">
        <v>453.90370000000001</v>
      </c>
      <c r="G1190">
        <v>462.3578</v>
      </c>
      <c r="H1190">
        <v>465.30709999999999</v>
      </c>
      <c r="I1190">
        <v>0.03</v>
      </c>
      <c r="J1190">
        <v>5.1999999999999998E-2</v>
      </c>
      <c r="K1190">
        <v>5.0999999999999997E-2</v>
      </c>
      <c r="L1190">
        <v>2313.1999999999998</v>
      </c>
      <c r="M1190">
        <v>2321.4</v>
      </c>
      <c r="N1190">
        <v>2337.8000000000002</v>
      </c>
      <c r="Q1190">
        <f t="shared" si="81"/>
        <v>460.5</v>
      </c>
      <c r="R1190">
        <f t="shared" si="82"/>
        <v>460.5</v>
      </c>
      <c r="S1190">
        <f t="shared" si="83"/>
        <v>0</v>
      </c>
    </row>
    <row r="1191" spans="1:19" x14ac:dyDescent="0.25">
      <c r="A1191" s="2">
        <v>44903</v>
      </c>
      <c r="B1191" s="3">
        <v>342</v>
      </c>
      <c r="C1191" s="3">
        <v>1100</v>
      </c>
      <c r="D1191">
        <v>460.50330000000002</v>
      </c>
      <c r="E1191">
        <v>4.4999999999999998E-2</v>
      </c>
      <c r="F1191">
        <v>453.87819999999999</v>
      </c>
      <c r="G1191">
        <v>462.33760000000001</v>
      </c>
      <c r="H1191">
        <v>465.29419999999999</v>
      </c>
      <c r="I1191">
        <v>4.1000000000000002E-2</v>
      </c>
      <c r="J1191">
        <v>4.8000000000000001E-2</v>
      </c>
      <c r="K1191">
        <v>4.5999999999999999E-2</v>
      </c>
      <c r="L1191">
        <v>2313.1999999999998</v>
      </c>
      <c r="M1191">
        <v>2321.4</v>
      </c>
      <c r="N1191">
        <v>2338</v>
      </c>
      <c r="Q1191">
        <f t="shared" si="81"/>
        <v>460.5</v>
      </c>
      <c r="R1191">
        <f t="shared" si="82"/>
        <v>460.5</v>
      </c>
      <c r="S1191">
        <f t="shared" si="83"/>
        <v>0</v>
      </c>
    </row>
    <row r="1192" spans="1:19" x14ac:dyDescent="0.25">
      <c r="A1192" s="2">
        <v>44903</v>
      </c>
      <c r="B1192" s="3">
        <v>342</v>
      </c>
      <c r="C1192" s="3">
        <v>1200</v>
      </c>
      <c r="D1192">
        <v>460.4948</v>
      </c>
      <c r="E1192">
        <v>4.7E-2</v>
      </c>
      <c r="F1192">
        <v>453.86</v>
      </c>
      <c r="G1192">
        <v>462.33580000000001</v>
      </c>
      <c r="H1192">
        <v>465.28870000000001</v>
      </c>
      <c r="I1192">
        <v>0.05</v>
      </c>
      <c r="J1192">
        <v>4.7E-2</v>
      </c>
      <c r="K1192">
        <v>4.2999999999999997E-2</v>
      </c>
      <c r="L1192">
        <v>2313</v>
      </c>
      <c r="M1192">
        <v>2321.4</v>
      </c>
      <c r="N1192">
        <v>2338</v>
      </c>
      <c r="Q1192">
        <f t="shared" si="81"/>
        <v>460.5</v>
      </c>
      <c r="R1192">
        <f t="shared" si="82"/>
        <v>460.5</v>
      </c>
      <c r="S1192">
        <f t="shared" si="83"/>
        <v>0</v>
      </c>
    </row>
    <row r="1193" spans="1:19" x14ac:dyDescent="0.25">
      <c r="A1193" s="2">
        <v>44903</v>
      </c>
      <c r="B1193" s="3">
        <v>342</v>
      </c>
      <c r="C1193" s="3">
        <v>1300</v>
      </c>
      <c r="D1193">
        <v>460.4973</v>
      </c>
      <c r="E1193">
        <v>4.9000000000000002E-2</v>
      </c>
      <c r="F1193">
        <v>453.85640000000001</v>
      </c>
      <c r="G1193">
        <v>462.34120000000001</v>
      </c>
      <c r="H1193">
        <v>465.29419999999999</v>
      </c>
      <c r="I1193">
        <v>5.0999999999999997E-2</v>
      </c>
      <c r="J1193">
        <v>4.9000000000000002E-2</v>
      </c>
      <c r="K1193">
        <v>4.5999999999999999E-2</v>
      </c>
      <c r="L1193">
        <v>2313.1999999999998</v>
      </c>
      <c r="M1193">
        <v>2321.4</v>
      </c>
      <c r="N1193">
        <v>2337.8000000000002</v>
      </c>
      <c r="Q1193">
        <f t="shared" si="81"/>
        <v>460.5</v>
      </c>
      <c r="R1193">
        <f t="shared" si="82"/>
        <v>460.5</v>
      </c>
      <c r="S1193">
        <f t="shared" si="83"/>
        <v>0</v>
      </c>
    </row>
    <row r="1194" spans="1:19" x14ac:dyDescent="0.25">
      <c r="A1194" s="2">
        <v>44903</v>
      </c>
      <c r="B1194" s="3">
        <v>342</v>
      </c>
      <c r="C1194" s="3">
        <v>1400</v>
      </c>
      <c r="D1194">
        <v>460.51310000000001</v>
      </c>
      <c r="E1194">
        <v>4.9000000000000002E-2</v>
      </c>
      <c r="F1194">
        <v>453.87819999999999</v>
      </c>
      <c r="G1194">
        <v>462.35039999999998</v>
      </c>
      <c r="H1194">
        <v>465.3107</v>
      </c>
      <c r="I1194">
        <v>4.1000000000000002E-2</v>
      </c>
      <c r="J1194">
        <v>5.1999999999999998E-2</v>
      </c>
      <c r="K1194">
        <v>5.1999999999999998E-2</v>
      </c>
      <c r="L1194">
        <v>2313.1999999999998</v>
      </c>
      <c r="M1194">
        <v>2321.6</v>
      </c>
      <c r="N1194">
        <v>2337.8000000000002</v>
      </c>
      <c r="Q1194">
        <f t="shared" si="81"/>
        <v>460.5</v>
      </c>
      <c r="R1194">
        <f t="shared" si="82"/>
        <v>460.5</v>
      </c>
      <c r="S1194">
        <f t="shared" si="83"/>
        <v>0</v>
      </c>
    </row>
    <row r="1195" spans="1:19" x14ac:dyDescent="0.25">
      <c r="A1195" s="2">
        <v>44903</v>
      </c>
      <c r="B1195" s="3">
        <v>342</v>
      </c>
      <c r="C1195" s="3">
        <v>1500</v>
      </c>
      <c r="D1195">
        <v>460.52780000000001</v>
      </c>
      <c r="E1195">
        <v>4.7E-2</v>
      </c>
      <c r="F1195">
        <v>453.88369999999998</v>
      </c>
      <c r="G1195">
        <v>462.36880000000002</v>
      </c>
      <c r="H1195">
        <v>465.33089999999999</v>
      </c>
      <c r="I1195">
        <v>3.5999999999999997E-2</v>
      </c>
      <c r="J1195">
        <v>5.0999999999999997E-2</v>
      </c>
      <c r="K1195">
        <v>5.0999999999999997E-2</v>
      </c>
      <c r="L1195">
        <v>2313.1999999999998</v>
      </c>
      <c r="M1195">
        <v>2321.4</v>
      </c>
      <c r="N1195">
        <v>2337.8000000000002</v>
      </c>
      <c r="Q1195">
        <f t="shared" si="81"/>
        <v>460.5</v>
      </c>
      <c r="R1195">
        <f t="shared" si="82"/>
        <v>460.5</v>
      </c>
      <c r="S1195">
        <f t="shared" si="83"/>
        <v>0</v>
      </c>
    </row>
    <row r="1196" spans="1:19" x14ac:dyDescent="0.25">
      <c r="A1196" s="2">
        <v>44903</v>
      </c>
      <c r="B1196" s="3">
        <v>342</v>
      </c>
      <c r="C1196" s="3">
        <v>1600</v>
      </c>
      <c r="D1196">
        <v>460.53949999999998</v>
      </c>
      <c r="E1196">
        <v>4.1000000000000002E-2</v>
      </c>
      <c r="F1196">
        <v>453.88549999999998</v>
      </c>
      <c r="G1196">
        <v>462.38350000000003</v>
      </c>
      <c r="H1196">
        <v>465.34930000000003</v>
      </c>
      <c r="I1196">
        <v>3.4000000000000002E-2</v>
      </c>
      <c r="J1196">
        <v>4.5999999999999999E-2</v>
      </c>
      <c r="K1196">
        <v>4.2999999999999997E-2</v>
      </c>
      <c r="L1196">
        <v>2313.1999999999998</v>
      </c>
      <c r="M1196">
        <v>2321.6</v>
      </c>
      <c r="N1196">
        <v>2338</v>
      </c>
      <c r="Q1196">
        <f t="shared" si="81"/>
        <v>460.5</v>
      </c>
      <c r="R1196">
        <f t="shared" si="82"/>
        <v>460.5</v>
      </c>
      <c r="S1196">
        <f t="shared" si="83"/>
        <v>0</v>
      </c>
    </row>
    <row r="1197" spans="1:19" x14ac:dyDescent="0.25">
      <c r="A1197" s="2">
        <v>44903</v>
      </c>
      <c r="B1197" s="3">
        <v>342</v>
      </c>
      <c r="C1197" s="3">
        <v>1700</v>
      </c>
      <c r="D1197">
        <v>460.55829999999997</v>
      </c>
      <c r="E1197">
        <v>3.1E-2</v>
      </c>
      <c r="F1197">
        <v>453.911</v>
      </c>
      <c r="G1197">
        <v>462.39819999999997</v>
      </c>
      <c r="H1197">
        <v>465.36579999999998</v>
      </c>
      <c r="I1197">
        <v>3.4000000000000002E-2</v>
      </c>
      <c r="J1197">
        <v>3.4000000000000002E-2</v>
      </c>
      <c r="K1197">
        <v>2.3E-2</v>
      </c>
      <c r="L1197">
        <v>2313.1999999999998</v>
      </c>
      <c r="M1197">
        <v>2321.4</v>
      </c>
      <c r="N1197">
        <v>2338</v>
      </c>
      <c r="Q1197">
        <f t="shared" si="81"/>
        <v>460.6</v>
      </c>
      <c r="R1197">
        <f t="shared" si="82"/>
        <v>460.6</v>
      </c>
      <c r="S1197">
        <f t="shared" si="83"/>
        <v>0.10000000000002274</v>
      </c>
    </row>
    <row r="1198" spans="1:19" x14ac:dyDescent="0.25">
      <c r="A1198" s="2">
        <v>44903</v>
      </c>
      <c r="B1198" s="3">
        <v>342</v>
      </c>
      <c r="C1198" s="3">
        <v>1800</v>
      </c>
      <c r="D1198">
        <v>460.57049999999998</v>
      </c>
      <c r="E1198">
        <v>0.03</v>
      </c>
      <c r="F1198">
        <v>453.92009999999999</v>
      </c>
      <c r="G1198">
        <v>462.411</v>
      </c>
      <c r="H1198">
        <v>465.38049999999998</v>
      </c>
      <c r="I1198">
        <v>4.2000000000000003E-2</v>
      </c>
      <c r="J1198">
        <v>0</v>
      </c>
      <c r="K1198">
        <v>0.03</v>
      </c>
      <c r="L1198">
        <v>2313.1999999999998</v>
      </c>
      <c r="M1198">
        <v>2321.6</v>
      </c>
      <c r="N1198">
        <v>2338</v>
      </c>
      <c r="Q1198">
        <f t="shared" si="81"/>
        <v>460.6</v>
      </c>
      <c r="R1198">
        <f t="shared" si="82"/>
        <v>460.6</v>
      </c>
      <c r="S1198">
        <f t="shared" si="83"/>
        <v>0</v>
      </c>
    </row>
    <row r="1199" spans="1:19" x14ac:dyDescent="0.25">
      <c r="A1199" s="2">
        <v>44903</v>
      </c>
      <c r="B1199" s="3">
        <v>342</v>
      </c>
      <c r="C1199" s="3">
        <v>1900</v>
      </c>
      <c r="D1199">
        <v>460.57850000000002</v>
      </c>
      <c r="E1199">
        <v>0.04</v>
      </c>
      <c r="F1199">
        <v>453.93279999999999</v>
      </c>
      <c r="G1199">
        <v>462.411</v>
      </c>
      <c r="H1199">
        <v>465.39150000000001</v>
      </c>
      <c r="I1199">
        <v>4.9000000000000002E-2</v>
      </c>
      <c r="J1199">
        <v>2.8000000000000001E-2</v>
      </c>
      <c r="K1199">
        <v>4.1000000000000002E-2</v>
      </c>
      <c r="L1199">
        <v>2313.1999999999998</v>
      </c>
      <c r="M1199">
        <v>2321.6</v>
      </c>
      <c r="N1199">
        <v>2338</v>
      </c>
      <c r="Q1199">
        <f t="shared" si="81"/>
        <v>460.6</v>
      </c>
      <c r="R1199">
        <f t="shared" si="82"/>
        <v>460.6</v>
      </c>
      <c r="S1199">
        <f t="shared" si="83"/>
        <v>0</v>
      </c>
    </row>
    <row r="1200" spans="1:19" x14ac:dyDescent="0.25">
      <c r="A1200" s="2">
        <v>44903</v>
      </c>
      <c r="B1200" s="3">
        <v>342</v>
      </c>
      <c r="C1200" s="3">
        <v>2000</v>
      </c>
      <c r="D1200">
        <v>460.584</v>
      </c>
      <c r="E1200">
        <v>4.2000000000000003E-2</v>
      </c>
      <c r="F1200">
        <v>453.93279999999999</v>
      </c>
      <c r="G1200">
        <v>462.42020000000002</v>
      </c>
      <c r="H1200">
        <v>465.39890000000003</v>
      </c>
      <c r="I1200">
        <v>4.9000000000000002E-2</v>
      </c>
      <c r="J1200">
        <v>0.03</v>
      </c>
      <c r="K1200">
        <v>4.5999999999999999E-2</v>
      </c>
      <c r="L1200">
        <v>2313.4</v>
      </c>
      <c r="M1200">
        <v>2321.6</v>
      </c>
      <c r="N1200">
        <v>2338</v>
      </c>
      <c r="Q1200">
        <f t="shared" si="81"/>
        <v>460.6</v>
      </c>
      <c r="R1200">
        <f t="shared" si="82"/>
        <v>460.6</v>
      </c>
      <c r="S1200">
        <f t="shared" si="83"/>
        <v>0</v>
      </c>
    </row>
    <row r="1201" spans="1:19" x14ac:dyDescent="0.25">
      <c r="A1201" s="2">
        <v>44903</v>
      </c>
      <c r="B1201" s="3">
        <v>342</v>
      </c>
      <c r="C1201" s="3">
        <v>2100</v>
      </c>
      <c r="D1201">
        <v>460.58699999999999</v>
      </c>
      <c r="E1201">
        <v>4.4999999999999998E-2</v>
      </c>
      <c r="F1201">
        <v>453.93639999999999</v>
      </c>
      <c r="G1201">
        <v>462.42020000000002</v>
      </c>
      <c r="H1201">
        <v>465.40440000000001</v>
      </c>
      <c r="I1201">
        <v>0.05</v>
      </c>
      <c r="J1201">
        <v>3.5000000000000003E-2</v>
      </c>
      <c r="K1201">
        <v>4.9000000000000002E-2</v>
      </c>
      <c r="L1201">
        <v>2313.1999999999998</v>
      </c>
      <c r="M1201">
        <v>2321.6</v>
      </c>
      <c r="N1201">
        <v>2338.1999999999998</v>
      </c>
      <c r="Q1201">
        <f t="shared" si="81"/>
        <v>460.6</v>
      </c>
      <c r="R1201">
        <f t="shared" si="82"/>
        <v>460.6</v>
      </c>
      <c r="S1201">
        <f t="shared" si="83"/>
        <v>0</v>
      </c>
    </row>
    <row r="1202" spans="1:19" x14ac:dyDescent="0.25">
      <c r="A1202" s="2">
        <v>44903</v>
      </c>
      <c r="B1202" s="3">
        <v>342</v>
      </c>
      <c r="C1202" s="3">
        <v>2200</v>
      </c>
      <c r="D1202">
        <v>460.57740000000001</v>
      </c>
      <c r="E1202">
        <v>0.04</v>
      </c>
      <c r="F1202">
        <v>453.89280000000002</v>
      </c>
      <c r="G1202">
        <v>462.42570000000001</v>
      </c>
      <c r="H1202">
        <v>465.41359999999997</v>
      </c>
      <c r="I1202">
        <v>0.03</v>
      </c>
      <c r="J1202">
        <v>3.5999999999999997E-2</v>
      </c>
      <c r="K1202">
        <v>5.0999999999999997E-2</v>
      </c>
      <c r="L1202">
        <v>2313.1999999999998</v>
      </c>
      <c r="M1202">
        <v>2321.6</v>
      </c>
      <c r="N1202">
        <v>2338.1999999999998</v>
      </c>
      <c r="Q1202">
        <f t="shared" si="81"/>
        <v>460.6</v>
      </c>
      <c r="R1202">
        <f t="shared" si="82"/>
        <v>460.6</v>
      </c>
      <c r="S1202">
        <f t="shared" si="83"/>
        <v>0</v>
      </c>
    </row>
    <row r="1203" spans="1:19" x14ac:dyDescent="0.25">
      <c r="A1203" s="2">
        <v>44903</v>
      </c>
      <c r="B1203" s="3">
        <v>342</v>
      </c>
      <c r="C1203" s="3">
        <v>2300</v>
      </c>
      <c r="D1203">
        <v>460.5061</v>
      </c>
      <c r="E1203">
        <v>3.9E-2</v>
      </c>
      <c r="F1203">
        <v>453.78</v>
      </c>
      <c r="G1203">
        <v>462.31189999999998</v>
      </c>
      <c r="H1203">
        <v>465.4264</v>
      </c>
      <c r="I1203">
        <v>3.5999999999999997E-2</v>
      </c>
      <c r="J1203">
        <v>2.3E-2</v>
      </c>
      <c r="K1203">
        <v>5.1999999999999998E-2</v>
      </c>
      <c r="L1203">
        <v>2313</v>
      </c>
      <c r="M1203">
        <v>2321.4</v>
      </c>
      <c r="N1203">
        <v>2338</v>
      </c>
      <c r="Q1203">
        <f t="shared" si="81"/>
        <v>460.5</v>
      </c>
      <c r="R1203">
        <f t="shared" si="82"/>
        <v>460.6</v>
      </c>
      <c r="S1203">
        <f t="shared" si="83"/>
        <v>0</v>
      </c>
    </row>
    <row r="1204" spans="1:19" x14ac:dyDescent="0.25">
      <c r="A1204" s="2">
        <v>44903</v>
      </c>
      <c r="B1204" s="3">
        <v>342</v>
      </c>
      <c r="C1204" s="3">
        <v>2400</v>
      </c>
      <c r="D1204">
        <v>460.45890000000003</v>
      </c>
      <c r="E1204">
        <v>4.4999999999999998E-2</v>
      </c>
      <c r="F1204">
        <v>453.63639999999998</v>
      </c>
      <c r="G1204">
        <v>462.28989999999999</v>
      </c>
      <c r="H1204">
        <v>465.45030000000003</v>
      </c>
      <c r="I1204">
        <v>5.1999999999999998E-2</v>
      </c>
      <c r="J1204">
        <v>3.7999999999999999E-2</v>
      </c>
      <c r="K1204">
        <v>4.4999999999999998E-2</v>
      </c>
      <c r="L1204">
        <v>2312.6</v>
      </c>
      <c r="M1204">
        <v>2321.4</v>
      </c>
      <c r="N1204">
        <v>2338.1999999999998</v>
      </c>
      <c r="Q1204">
        <f t="shared" si="81"/>
        <v>460.5</v>
      </c>
      <c r="R1204">
        <f t="shared" si="82"/>
        <v>460.6</v>
      </c>
      <c r="S1204">
        <f t="shared" si="83"/>
        <v>0</v>
      </c>
    </row>
    <row r="1205" spans="1:19" x14ac:dyDescent="0.25">
      <c r="A1205" s="2">
        <v>44904</v>
      </c>
      <c r="B1205" s="3">
        <v>343</v>
      </c>
      <c r="C1205" s="3">
        <v>100</v>
      </c>
      <c r="D1205">
        <v>460.60300000000001</v>
      </c>
      <c r="E1205">
        <v>4.1000000000000002E-2</v>
      </c>
      <c r="F1205">
        <v>453.9128</v>
      </c>
      <c r="G1205">
        <v>462.43849999999998</v>
      </c>
      <c r="H1205">
        <v>465.45760000000001</v>
      </c>
      <c r="I1205">
        <v>3.5999999999999997E-2</v>
      </c>
      <c r="J1205">
        <v>4.5999999999999999E-2</v>
      </c>
      <c r="K1205">
        <v>0.04</v>
      </c>
      <c r="L1205">
        <v>2313.1999999999998</v>
      </c>
      <c r="M1205">
        <v>2321.6</v>
      </c>
      <c r="N1205">
        <v>2338</v>
      </c>
      <c r="Q1205">
        <f t="shared" si="81"/>
        <v>460.6</v>
      </c>
      <c r="R1205">
        <f t="shared" si="82"/>
        <v>460.6</v>
      </c>
      <c r="S1205">
        <f t="shared" si="83"/>
        <v>0</v>
      </c>
    </row>
    <row r="1206" spans="1:19" x14ac:dyDescent="0.25">
      <c r="A1206" s="2">
        <v>44904</v>
      </c>
      <c r="B1206" s="3">
        <v>343</v>
      </c>
      <c r="C1206" s="3">
        <v>200</v>
      </c>
      <c r="D1206">
        <v>460.56279999999998</v>
      </c>
      <c r="E1206">
        <v>4.4999999999999998E-2</v>
      </c>
      <c r="F1206">
        <v>453.84550000000002</v>
      </c>
      <c r="G1206">
        <v>462.37979999999999</v>
      </c>
      <c r="H1206">
        <v>465.46319999999997</v>
      </c>
      <c r="I1206">
        <v>5.1999999999999998E-2</v>
      </c>
      <c r="J1206">
        <v>4.8000000000000001E-2</v>
      </c>
      <c r="K1206">
        <v>3.4000000000000002E-2</v>
      </c>
      <c r="L1206">
        <v>2313</v>
      </c>
      <c r="M1206">
        <v>2321.6</v>
      </c>
      <c r="N1206">
        <v>2338.1999999999998</v>
      </c>
      <c r="Q1206">
        <f t="shared" si="81"/>
        <v>460.6</v>
      </c>
      <c r="R1206">
        <f t="shared" si="82"/>
        <v>460.6</v>
      </c>
      <c r="S1206">
        <f t="shared" si="83"/>
        <v>0</v>
      </c>
    </row>
    <row r="1207" spans="1:19" x14ac:dyDescent="0.25">
      <c r="A1207" s="2">
        <v>44904</v>
      </c>
      <c r="B1207" s="3">
        <v>343</v>
      </c>
      <c r="C1207" s="3">
        <v>300</v>
      </c>
      <c r="D1207">
        <v>460.58600000000001</v>
      </c>
      <c r="E1207">
        <v>3.6999999999999998E-2</v>
      </c>
      <c r="F1207">
        <v>453.8546</v>
      </c>
      <c r="G1207">
        <v>462.42570000000001</v>
      </c>
      <c r="H1207">
        <v>465.4778</v>
      </c>
      <c r="I1207">
        <v>5.0999999999999997E-2</v>
      </c>
      <c r="J1207">
        <v>3.5999999999999997E-2</v>
      </c>
      <c r="K1207">
        <v>1.4E-2</v>
      </c>
      <c r="L1207">
        <v>2313</v>
      </c>
      <c r="M1207">
        <v>2321.6</v>
      </c>
      <c r="N1207">
        <v>2338.1999999999998</v>
      </c>
      <c r="Q1207">
        <f t="shared" si="81"/>
        <v>460.6</v>
      </c>
      <c r="R1207">
        <f t="shared" si="82"/>
        <v>460.6</v>
      </c>
      <c r="S1207">
        <f t="shared" si="83"/>
        <v>0</v>
      </c>
    </row>
    <row r="1208" spans="1:19" x14ac:dyDescent="0.25">
      <c r="A1208" s="2">
        <v>44904</v>
      </c>
      <c r="B1208" s="3">
        <v>343</v>
      </c>
      <c r="C1208" s="3">
        <v>400</v>
      </c>
      <c r="D1208">
        <v>460.56470000000002</v>
      </c>
      <c r="E1208">
        <v>4.5999999999999999E-2</v>
      </c>
      <c r="F1208">
        <v>453.84550000000002</v>
      </c>
      <c r="G1208">
        <v>462.36329999999998</v>
      </c>
      <c r="H1208">
        <v>465.48520000000002</v>
      </c>
      <c r="I1208">
        <v>5.1999999999999998E-2</v>
      </c>
      <c r="J1208">
        <v>5.1999999999999998E-2</v>
      </c>
      <c r="K1208">
        <v>0.03</v>
      </c>
      <c r="L1208">
        <v>2313.1999999999998</v>
      </c>
      <c r="M1208">
        <v>2321.4</v>
      </c>
      <c r="N1208">
        <v>2338.1999999999998</v>
      </c>
      <c r="Q1208">
        <f t="shared" si="81"/>
        <v>460.6</v>
      </c>
      <c r="R1208">
        <f t="shared" si="82"/>
        <v>460.6</v>
      </c>
      <c r="S1208">
        <f t="shared" si="83"/>
        <v>0</v>
      </c>
    </row>
    <row r="1209" spans="1:19" x14ac:dyDescent="0.25">
      <c r="A1209" s="2">
        <v>44904</v>
      </c>
      <c r="B1209" s="3">
        <v>343</v>
      </c>
      <c r="C1209" s="3">
        <v>500</v>
      </c>
      <c r="D1209">
        <v>460.5822</v>
      </c>
      <c r="E1209">
        <v>4.3999999999999997E-2</v>
      </c>
      <c r="F1209">
        <v>453.85570000000001</v>
      </c>
      <c r="G1209">
        <v>462.39420000000001</v>
      </c>
      <c r="H1209">
        <v>465.4966</v>
      </c>
      <c r="I1209">
        <v>5.0999999999999997E-2</v>
      </c>
      <c r="J1209">
        <v>3.7999999999999999E-2</v>
      </c>
      <c r="K1209">
        <v>4.2000000000000003E-2</v>
      </c>
      <c r="L1209">
        <v>2313.1999999999998</v>
      </c>
      <c r="M1209">
        <v>2321.6</v>
      </c>
      <c r="N1209">
        <v>2338.1999999999998</v>
      </c>
      <c r="Q1209">
        <f t="shared" si="81"/>
        <v>460.6</v>
      </c>
      <c r="R1209">
        <f t="shared" si="82"/>
        <v>460.6</v>
      </c>
      <c r="S1209">
        <f t="shared" si="83"/>
        <v>0</v>
      </c>
    </row>
    <row r="1210" spans="1:19" x14ac:dyDescent="0.25">
      <c r="A1210" s="2">
        <v>44904</v>
      </c>
      <c r="B1210" s="3">
        <v>343</v>
      </c>
      <c r="C1210" s="3">
        <v>600</v>
      </c>
      <c r="D1210">
        <v>460.57350000000002</v>
      </c>
      <c r="E1210">
        <v>5.1999999999999998E-2</v>
      </c>
      <c r="F1210">
        <v>453.8501</v>
      </c>
      <c r="G1210">
        <v>462.35489999999999</v>
      </c>
      <c r="H1210">
        <v>465.51530000000002</v>
      </c>
      <c r="I1210">
        <v>5.1999999999999998E-2</v>
      </c>
      <c r="J1210">
        <v>5.1999999999999998E-2</v>
      </c>
      <c r="K1210">
        <v>5.0999999999999997E-2</v>
      </c>
      <c r="L1210">
        <v>2313.1999999999998</v>
      </c>
      <c r="M1210">
        <v>2321.4</v>
      </c>
      <c r="N1210">
        <v>2338.4</v>
      </c>
      <c r="Q1210">
        <f t="shared" si="81"/>
        <v>460.6</v>
      </c>
      <c r="R1210">
        <f t="shared" si="82"/>
        <v>460.6</v>
      </c>
      <c r="S1210">
        <f t="shared" si="83"/>
        <v>0</v>
      </c>
    </row>
    <row r="1211" spans="1:19" x14ac:dyDescent="0.25">
      <c r="A1211" s="2">
        <v>44904</v>
      </c>
      <c r="B1211" s="3">
        <v>343</v>
      </c>
      <c r="C1211" s="3">
        <v>700</v>
      </c>
      <c r="D1211">
        <v>460.57650000000001</v>
      </c>
      <c r="E1211">
        <v>4.9000000000000002E-2</v>
      </c>
      <c r="F1211">
        <v>453.86489999999998</v>
      </c>
      <c r="G1211">
        <v>462.3381</v>
      </c>
      <c r="H1211">
        <v>465.5265</v>
      </c>
      <c r="I1211">
        <v>4.8000000000000001E-2</v>
      </c>
      <c r="J1211">
        <v>4.8000000000000001E-2</v>
      </c>
      <c r="K1211">
        <v>5.1999999999999998E-2</v>
      </c>
      <c r="L1211">
        <v>2313.1999999999998</v>
      </c>
      <c r="M1211">
        <v>2321.4</v>
      </c>
      <c r="N1211">
        <v>2338.1999999999998</v>
      </c>
      <c r="Q1211">
        <f t="shared" si="81"/>
        <v>460.6</v>
      </c>
      <c r="R1211">
        <f t="shared" si="82"/>
        <v>460.6</v>
      </c>
      <c r="S1211">
        <f t="shared" si="83"/>
        <v>0</v>
      </c>
    </row>
    <row r="1212" spans="1:19" x14ac:dyDescent="0.25">
      <c r="A1212" s="2">
        <v>44904</v>
      </c>
      <c r="B1212" s="3">
        <v>343</v>
      </c>
      <c r="C1212" s="3">
        <v>800</v>
      </c>
      <c r="D1212">
        <v>460.58580000000001</v>
      </c>
      <c r="E1212">
        <v>0.05</v>
      </c>
      <c r="F1212">
        <v>453.86860000000001</v>
      </c>
      <c r="G1212">
        <v>462.36059999999998</v>
      </c>
      <c r="H1212">
        <v>465.52839999999998</v>
      </c>
      <c r="I1212">
        <v>4.7E-2</v>
      </c>
      <c r="J1212">
        <v>5.1999999999999998E-2</v>
      </c>
      <c r="K1212">
        <v>5.1999999999999998E-2</v>
      </c>
      <c r="L1212">
        <v>2313.1999999999998</v>
      </c>
      <c r="M1212">
        <v>2321.4</v>
      </c>
      <c r="N1212">
        <v>2338.4</v>
      </c>
      <c r="Q1212">
        <f t="shared" si="81"/>
        <v>460.6</v>
      </c>
      <c r="R1212">
        <f t="shared" si="82"/>
        <v>460.6</v>
      </c>
      <c r="S1212">
        <f t="shared" si="83"/>
        <v>0</v>
      </c>
    </row>
    <row r="1213" spans="1:19" x14ac:dyDescent="0.25">
      <c r="A1213" s="2">
        <v>44904</v>
      </c>
      <c r="B1213" s="3">
        <v>343</v>
      </c>
      <c r="C1213" s="3">
        <v>900</v>
      </c>
      <c r="D1213">
        <v>460.6902</v>
      </c>
      <c r="E1213">
        <v>4.2000000000000003E-2</v>
      </c>
      <c r="F1213">
        <v>454.00549999999998</v>
      </c>
      <c r="G1213">
        <v>462.56139999999999</v>
      </c>
      <c r="H1213">
        <v>465.50360000000001</v>
      </c>
      <c r="I1213">
        <v>1.9E-2</v>
      </c>
      <c r="J1213">
        <v>5.1999999999999998E-2</v>
      </c>
      <c r="K1213">
        <v>4.5999999999999999E-2</v>
      </c>
      <c r="L1213">
        <v>2313.4</v>
      </c>
      <c r="M1213">
        <v>2322</v>
      </c>
      <c r="N1213">
        <v>2338.4</v>
      </c>
      <c r="Q1213">
        <f t="shared" si="81"/>
        <v>460.7</v>
      </c>
      <c r="R1213">
        <f t="shared" si="82"/>
        <v>460.7</v>
      </c>
      <c r="S1213">
        <f t="shared" si="83"/>
        <v>9.9999999999965894E-2</v>
      </c>
    </row>
    <row r="1214" spans="1:19" x14ac:dyDescent="0.25">
      <c r="A1214" s="2">
        <v>44904</v>
      </c>
      <c r="B1214" s="3">
        <v>343</v>
      </c>
      <c r="C1214" s="3">
        <v>1000</v>
      </c>
      <c r="D1214">
        <v>460.6173</v>
      </c>
      <c r="E1214">
        <v>4.3999999999999997E-2</v>
      </c>
      <c r="F1214">
        <v>454.02730000000003</v>
      </c>
      <c r="G1214">
        <v>462.46600000000001</v>
      </c>
      <c r="H1214">
        <v>465.35849999999999</v>
      </c>
      <c r="I1214">
        <v>4.4999999999999998E-2</v>
      </c>
      <c r="J1214">
        <v>5.1999999999999998E-2</v>
      </c>
      <c r="K1214">
        <v>3.4000000000000002E-2</v>
      </c>
      <c r="L1214">
        <v>2313.6</v>
      </c>
      <c r="M1214">
        <v>2321.8000000000002</v>
      </c>
      <c r="N1214">
        <v>2338</v>
      </c>
      <c r="Q1214">
        <f t="shared" si="81"/>
        <v>460.6</v>
      </c>
      <c r="R1214">
        <f t="shared" si="82"/>
        <v>460.7</v>
      </c>
      <c r="S1214">
        <f t="shared" si="83"/>
        <v>0</v>
      </c>
    </row>
    <row r="1215" spans="1:19" x14ac:dyDescent="0.25">
      <c r="A1215" s="2">
        <v>44904</v>
      </c>
      <c r="B1215" s="3">
        <v>343</v>
      </c>
      <c r="C1215" s="3">
        <v>1100</v>
      </c>
      <c r="D1215">
        <v>460.6635</v>
      </c>
      <c r="E1215">
        <v>4.9000000000000002E-2</v>
      </c>
      <c r="F1215">
        <v>454.12560000000002</v>
      </c>
      <c r="G1215">
        <v>462.4477</v>
      </c>
      <c r="H1215">
        <v>465.41719999999998</v>
      </c>
      <c r="I1215">
        <v>4.4999999999999998E-2</v>
      </c>
      <c r="J1215">
        <v>0.05</v>
      </c>
      <c r="K1215">
        <v>5.1999999999999998E-2</v>
      </c>
      <c r="L1215">
        <v>2313.6</v>
      </c>
      <c r="M1215">
        <v>2321.6</v>
      </c>
      <c r="N1215">
        <v>2338.1999999999998</v>
      </c>
      <c r="Q1215">
        <f t="shared" si="81"/>
        <v>460.7</v>
      </c>
      <c r="R1215">
        <f t="shared" si="82"/>
        <v>460.7</v>
      </c>
      <c r="S1215">
        <f t="shared" si="83"/>
        <v>0</v>
      </c>
    </row>
    <row r="1216" spans="1:19" x14ac:dyDescent="0.25">
      <c r="A1216" s="2">
        <v>44904</v>
      </c>
      <c r="B1216" s="3">
        <v>343</v>
      </c>
      <c r="C1216" s="3">
        <v>1200</v>
      </c>
      <c r="D1216">
        <v>460.7484</v>
      </c>
      <c r="E1216">
        <v>4.8000000000000001E-2</v>
      </c>
      <c r="F1216">
        <v>454.17469999999997</v>
      </c>
      <c r="G1216">
        <v>462.53570000000002</v>
      </c>
      <c r="H1216">
        <v>465.53480000000002</v>
      </c>
      <c r="I1216">
        <v>4.9000000000000002E-2</v>
      </c>
      <c r="J1216">
        <v>4.1000000000000002E-2</v>
      </c>
      <c r="K1216">
        <v>5.1999999999999998E-2</v>
      </c>
      <c r="L1216">
        <v>2313.8000000000002</v>
      </c>
      <c r="M1216">
        <v>2321.8000000000002</v>
      </c>
      <c r="N1216">
        <v>2338.4</v>
      </c>
      <c r="Q1216">
        <f t="shared" si="81"/>
        <v>460.7</v>
      </c>
      <c r="R1216">
        <f t="shared" si="82"/>
        <v>460.7</v>
      </c>
      <c r="S1216">
        <f t="shared" si="83"/>
        <v>0</v>
      </c>
    </row>
    <row r="1217" spans="1:19" x14ac:dyDescent="0.25">
      <c r="A1217" s="2">
        <v>44904</v>
      </c>
      <c r="B1217" s="3">
        <v>343</v>
      </c>
      <c r="C1217" s="3">
        <v>1300</v>
      </c>
      <c r="D1217">
        <v>460.78579999999999</v>
      </c>
      <c r="E1217">
        <v>4.2000000000000003E-2</v>
      </c>
      <c r="F1217">
        <v>454.16199999999998</v>
      </c>
      <c r="G1217">
        <v>462.60359999999997</v>
      </c>
      <c r="H1217">
        <v>465.59179999999998</v>
      </c>
      <c r="I1217">
        <v>5.1999999999999998E-2</v>
      </c>
      <c r="J1217">
        <v>3.7999999999999999E-2</v>
      </c>
      <c r="K1217">
        <v>3.2000000000000001E-2</v>
      </c>
      <c r="L1217">
        <v>2313.8000000000002</v>
      </c>
      <c r="M1217">
        <v>2321.8000000000002</v>
      </c>
      <c r="N1217">
        <v>2338.4</v>
      </c>
      <c r="Q1217">
        <f t="shared" si="81"/>
        <v>460.8</v>
      </c>
      <c r="R1217">
        <f t="shared" si="82"/>
        <v>460.8</v>
      </c>
      <c r="S1217">
        <f t="shared" si="83"/>
        <v>0.10000000000002274</v>
      </c>
    </row>
    <row r="1218" spans="1:19" x14ac:dyDescent="0.25">
      <c r="A1218" s="2">
        <v>44904</v>
      </c>
      <c r="B1218" s="3">
        <v>343</v>
      </c>
      <c r="C1218" s="3">
        <v>1400</v>
      </c>
      <c r="D1218">
        <v>460.81270000000001</v>
      </c>
      <c r="E1218">
        <v>4.5999999999999999E-2</v>
      </c>
      <c r="F1218">
        <v>454.18200000000002</v>
      </c>
      <c r="G1218">
        <v>462.63839999999999</v>
      </c>
      <c r="H1218">
        <v>465.61750000000001</v>
      </c>
      <c r="I1218">
        <v>4.5999999999999999E-2</v>
      </c>
      <c r="J1218">
        <v>0.04</v>
      </c>
      <c r="K1218">
        <v>0.05</v>
      </c>
      <c r="L1218">
        <v>2313.8000000000002</v>
      </c>
      <c r="M1218">
        <v>2322</v>
      </c>
      <c r="N1218">
        <v>2338.6</v>
      </c>
      <c r="Q1218">
        <f t="shared" si="81"/>
        <v>460.8</v>
      </c>
      <c r="R1218">
        <f t="shared" si="82"/>
        <v>460.8</v>
      </c>
      <c r="S1218">
        <f t="shared" si="83"/>
        <v>0</v>
      </c>
    </row>
    <row r="1219" spans="1:19" x14ac:dyDescent="0.25">
      <c r="A1219" s="2">
        <v>44904</v>
      </c>
      <c r="B1219" s="3">
        <v>343</v>
      </c>
      <c r="C1219" s="3">
        <v>1500</v>
      </c>
      <c r="D1219">
        <v>460.85539999999997</v>
      </c>
      <c r="E1219">
        <v>4.2999999999999997E-2</v>
      </c>
      <c r="F1219">
        <v>454.21660000000003</v>
      </c>
      <c r="G1219">
        <v>462.69900000000001</v>
      </c>
      <c r="H1219">
        <v>465.6506</v>
      </c>
      <c r="I1219">
        <v>3.3000000000000002E-2</v>
      </c>
      <c r="J1219">
        <v>4.4999999999999998E-2</v>
      </c>
      <c r="K1219">
        <v>4.9000000000000002E-2</v>
      </c>
      <c r="L1219">
        <v>2313.8000000000002</v>
      </c>
      <c r="M1219">
        <v>2322.1999999999998</v>
      </c>
      <c r="N1219">
        <v>2338.6</v>
      </c>
      <c r="Q1219">
        <f t="shared" si="81"/>
        <v>460.9</v>
      </c>
      <c r="R1219">
        <f t="shared" si="82"/>
        <v>460.9</v>
      </c>
      <c r="S1219">
        <f t="shared" si="83"/>
        <v>9.9999999999965894E-2</v>
      </c>
    </row>
    <row r="1220" spans="1:19" x14ac:dyDescent="0.25">
      <c r="A1220" s="2">
        <v>44904</v>
      </c>
      <c r="B1220" s="3">
        <v>343</v>
      </c>
      <c r="C1220" s="3">
        <v>1600</v>
      </c>
      <c r="D1220">
        <v>460.88229999999999</v>
      </c>
      <c r="E1220">
        <v>3.2000000000000001E-2</v>
      </c>
      <c r="F1220">
        <v>454.22019999999998</v>
      </c>
      <c r="G1220">
        <v>462.73570000000001</v>
      </c>
      <c r="H1220">
        <v>465.69110000000001</v>
      </c>
      <c r="I1220">
        <v>3.2000000000000001E-2</v>
      </c>
      <c r="J1220">
        <v>3.2000000000000001E-2</v>
      </c>
      <c r="K1220">
        <v>3.1E-2</v>
      </c>
      <c r="L1220">
        <v>2313.8000000000002</v>
      </c>
      <c r="M1220">
        <v>2322.1999999999998</v>
      </c>
      <c r="N1220">
        <v>2338.6</v>
      </c>
      <c r="Q1220">
        <f t="shared" si="81"/>
        <v>460.9</v>
      </c>
      <c r="R1220">
        <f t="shared" si="82"/>
        <v>460.9</v>
      </c>
      <c r="S1220">
        <f t="shared" si="83"/>
        <v>0</v>
      </c>
    </row>
    <row r="1221" spans="1:19" x14ac:dyDescent="0.25">
      <c r="A1221" s="2">
        <v>44904</v>
      </c>
      <c r="B1221" s="3">
        <v>343</v>
      </c>
      <c r="C1221" s="3">
        <v>1700</v>
      </c>
      <c r="D1221">
        <v>460.90109999999999</v>
      </c>
      <c r="E1221">
        <v>4.1000000000000002E-2</v>
      </c>
      <c r="F1221">
        <v>454.26929999999999</v>
      </c>
      <c r="G1221">
        <v>462.74119999999999</v>
      </c>
      <c r="H1221">
        <v>465.69290000000001</v>
      </c>
      <c r="I1221">
        <v>5.0999999999999997E-2</v>
      </c>
      <c r="J1221">
        <v>3.7999999999999999E-2</v>
      </c>
      <c r="K1221">
        <v>3.3000000000000002E-2</v>
      </c>
      <c r="L1221">
        <v>2314</v>
      </c>
      <c r="M1221">
        <v>2322.1999999999998</v>
      </c>
      <c r="N1221">
        <v>2338.6</v>
      </c>
      <c r="Q1221">
        <f t="shared" si="81"/>
        <v>460.9</v>
      </c>
      <c r="R1221">
        <f t="shared" si="82"/>
        <v>460.9</v>
      </c>
      <c r="S1221">
        <f t="shared" si="83"/>
        <v>0</v>
      </c>
    </row>
    <row r="1222" spans="1:19" x14ac:dyDescent="0.25">
      <c r="A1222" s="2">
        <v>44904</v>
      </c>
      <c r="B1222" s="3">
        <v>343</v>
      </c>
      <c r="C1222" s="3">
        <v>1800</v>
      </c>
      <c r="D1222">
        <v>461.13490000000002</v>
      </c>
      <c r="E1222">
        <v>4.8000000000000001E-2</v>
      </c>
      <c r="F1222">
        <v>454.49849999999998</v>
      </c>
      <c r="G1222">
        <v>462.97800000000001</v>
      </c>
      <c r="H1222">
        <v>465.92809999999997</v>
      </c>
      <c r="I1222">
        <v>4.2000000000000003E-2</v>
      </c>
      <c r="J1222">
        <v>5.1999999999999998E-2</v>
      </c>
      <c r="K1222">
        <v>4.9000000000000002E-2</v>
      </c>
      <c r="L1222">
        <v>2314.4</v>
      </c>
      <c r="M1222">
        <v>2322.8000000000002</v>
      </c>
      <c r="N1222">
        <v>2339.1999999999998</v>
      </c>
      <c r="Q1222">
        <f t="shared" si="81"/>
        <v>461.1</v>
      </c>
      <c r="R1222">
        <f t="shared" si="82"/>
        <v>461.1</v>
      </c>
      <c r="S1222">
        <f t="shared" si="83"/>
        <v>0.20000000000004547</v>
      </c>
    </row>
    <row r="1223" spans="1:19" x14ac:dyDescent="0.25">
      <c r="A1223" s="2">
        <v>44904</v>
      </c>
      <c r="B1223" s="3">
        <v>343</v>
      </c>
      <c r="C1223" s="3">
        <v>1900</v>
      </c>
      <c r="D1223">
        <v>461.5566</v>
      </c>
      <c r="E1223">
        <v>4.9000000000000002E-2</v>
      </c>
      <c r="F1223">
        <v>454.90980000000002</v>
      </c>
      <c r="G1223">
        <v>463.40559999999999</v>
      </c>
      <c r="H1223">
        <v>466.3546</v>
      </c>
      <c r="I1223">
        <v>4.4999999999999998E-2</v>
      </c>
      <c r="J1223">
        <v>5.1999999999999998E-2</v>
      </c>
      <c r="K1223">
        <v>5.0999999999999997E-2</v>
      </c>
      <c r="L1223">
        <v>2315.1999999999998</v>
      </c>
      <c r="M1223">
        <v>2323.6</v>
      </c>
      <c r="N1223">
        <v>2340</v>
      </c>
      <c r="Q1223">
        <f t="shared" si="81"/>
        <v>461.6</v>
      </c>
      <c r="R1223">
        <f t="shared" si="82"/>
        <v>461.6</v>
      </c>
      <c r="S1223">
        <f t="shared" si="83"/>
        <v>0.5</v>
      </c>
    </row>
    <row r="1224" spans="1:19" x14ac:dyDescent="0.25">
      <c r="A1224" s="2">
        <v>44904</v>
      </c>
      <c r="B1224" s="3">
        <v>343</v>
      </c>
      <c r="C1224" s="3">
        <v>2000</v>
      </c>
      <c r="D1224">
        <v>461.95909999999998</v>
      </c>
      <c r="E1224">
        <v>0.05</v>
      </c>
      <c r="F1224">
        <v>455.303</v>
      </c>
      <c r="G1224">
        <v>463.81330000000003</v>
      </c>
      <c r="H1224">
        <v>466.76100000000002</v>
      </c>
      <c r="I1224">
        <v>5.1999999999999998E-2</v>
      </c>
      <c r="J1224">
        <v>5.0999999999999997E-2</v>
      </c>
      <c r="K1224">
        <v>4.5999999999999999E-2</v>
      </c>
      <c r="L1224">
        <v>2316</v>
      </c>
      <c r="M1224">
        <v>2324.4</v>
      </c>
      <c r="N1224">
        <v>2340.6</v>
      </c>
      <c r="Q1224">
        <f t="shared" si="81"/>
        <v>462</v>
      </c>
      <c r="R1224">
        <f t="shared" si="82"/>
        <v>462</v>
      </c>
      <c r="S1224">
        <f t="shared" si="83"/>
        <v>0.39999999999997726</v>
      </c>
    </row>
    <row r="1225" spans="1:19" x14ac:dyDescent="0.25">
      <c r="A1225" s="2">
        <v>44904</v>
      </c>
      <c r="B1225" s="3">
        <v>343</v>
      </c>
      <c r="C1225" s="3">
        <v>2100</v>
      </c>
      <c r="D1225">
        <v>462.76490000000001</v>
      </c>
      <c r="E1225">
        <v>5.1999999999999998E-2</v>
      </c>
      <c r="F1225">
        <v>456.1044</v>
      </c>
      <c r="G1225">
        <v>464.62349999999998</v>
      </c>
      <c r="H1225">
        <v>467.56689999999998</v>
      </c>
      <c r="I1225">
        <v>5.2999999999999999E-2</v>
      </c>
      <c r="J1225">
        <v>5.3999999999999999E-2</v>
      </c>
      <c r="K1225">
        <v>0.05</v>
      </c>
      <c r="L1225">
        <v>2317.4</v>
      </c>
      <c r="M1225">
        <v>2326</v>
      </c>
      <c r="N1225">
        <v>2342.1999999999998</v>
      </c>
      <c r="Q1225">
        <f t="shared" si="81"/>
        <v>462.8</v>
      </c>
      <c r="R1225">
        <f t="shared" si="82"/>
        <v>462.8</v>
      </c>
      <c r="S1225">
        <f t="shared" si="83"/>
        <v>0.80000000000001137</v>
      </c>
    </row>
    <row r="1226" spans="1:19" x14ac:dyDescent="0.25">
      <c r="A1226" s="2">
        <v>44904</v>
      </c>
      <c r="B1226" s="3">
        <v>343</v>
      </c>
      <c r="C1226" s="3">
        <v>2200</v>
      </c>
      <c r="D1226">
        <v>463.54199999999997</v>
      </c>
      <c r="E1226">
        <v>4.8000000000000001E-2</v>
      </c>
      <c r="F1226">
        <v>456.90280000000001</v>
      </c>
      <c r="G1226">
        <v>465.4049</v>
      </c>
      <c r="H1226">
        <v>468.31819999999999</v>
      </c>
      <c r="I1226">
        <v>4.4999999999999998E-2</v>
      </c>
      <c r="J1226">
        <v>5.0999999999999997E-2</v>
      </c>
      <c r="K1226">
        <v>4.7E-2</v>
      </c>
      <c r="L1226">
        <v>2319</v>
      </c>
      <c r="M1226">
        <v>2327.4</v>
      </c>
      <c r="N1226">
        <v>2343.6</v>
      </c>
      <c r="Q1226">
        <f t="shared" si="81"/>
        <v>463.5</v>
      </c>
      <c r="R1226">
        <f t="shared" si="82"/>
        <v>463.5</v>
      </c>
      <c r="S1226">
        <f t="shared" si="83"/>
        <v>0.69999999999998863</v>
      </c>
    </row>
    <row r="1227" spans="1:19" x14ac:dyDescent="0.25">
      <c r="A1227" s="2">
        <v>44904</v>
      </c>
      <c r="B1227" s="3">
        <v>343</v>
      </c>
      <c r="C1227" s="3">
        <v>2300</v>
      </c>
      <c r="D1227">
        <v>463.75420000000003</v>
      </c>
      <c r="E1227">
        <v>4.5999999999999999E-2</v>
      </c>
      <c r="F1227">
        <v>457.1234</v>
      </c>
      <c r="G1227">
        <v>465.60919999999999</v>
      </c>
      <c r="H1227">
        <v>468.5299</v>
      </c>
      <c r="I1227">
        <v>5.0999999999999997E-2</v>
      </c>
      <c r="J1227">
        <v>5.1999999999999998E-2</v>
      </c>
      <c r="K1227">
        <v>3.4000000000000002E-2</v>
      </c>
      <c r="L1227">
        <v>2319.4</v>
      </c>
      <c r="M1227">
        <v>2327.6</v>
      </c>
      <c r="N1227">
        <v>2344</v>
      </c>
      <c r="Q1227">
        <f t="shared" si="81"/>
        <v>463.8</v>
      </c>
      <c r="R1227">
        <f t="shared" si="82"/>
        <v>463.8</v>
      </c>
      <c r="S1227">
        <f t="shared" si="83"/>
        <v>0.30000000000001137</v>
      </c>
    </row>
    <row r="1228" spans="1:19" x14ac:dyDescent="0.25">
      <c r="A1228" s="2">
        <v>44904</v>
      </c>
      <c r="B1228" s="3">
        <v>343</v>
      </c>
      <c r="C1228" s="3">
        <v>2400</v>
      </c>
      <c r="D1228">
        <v>463.90469999999999</v>
      </c>
      <c r="E1228">
        <v>4.8000000000000001E-2</v>
      </c>
      <c r="F1228">
        <v>457.25850000000003</v>
      </c>
      <c r="G1228">
        <v>465.77100000000002</v>
      </c>
      <c r="H1228">
        <v>468.68470000000002</v>
      </c>
      <c r="I1228">
        <v>0.05</v>
      </c>
      <c r="J1228">
        <v>4.1000000000000002E-2</v>
      </c>
      <c r="K1228">
        <v>5.1999999999999998E-2</v>
      </c>
      <c r="L1228">
        <v>2319.6</v>
      </c>
      <c r="M1228">
        <v>2328</v>
      </c>
      <c r="N1228">
        <v>2344.4</v>
      </c>
      <c r="Q1228">
        <f t="shared" si="81"/>
        <v>463.9</v>
      </c>
      <c r="R1228">
        <f t="shared" si="82"/>
        <v>463.9</v>
      </c>
      <c r="S1228">
        <f t="shared" si="83"/>
        <v>9.9999999999965894E-2</v>
      </c>
    </row>
    <row r="1229" spans="1:19" x14ac:dyDescent="0.25">
      <c r="A1229" s="2">
        <v>44905</v>
      </c>
      <c r="B1229" s="3">
        <v>344</v>
      </c>
      <c r="C1229" s="3">
        <v>100</v>
      </c>
      <c r="D1229">
        <v>463.94869999999997</v>
      </c>
      <c r="E1229">
        <v>4.2000000000000003E-2</v>
      </c>
      <c r="F1229">
        <v>457.30399999999997</v>
      </c>
      <c r="G1229">
        <v>465.81330000000003</v>
      </c>
      <c r="H1229">
        <v>468.72890000000001</v>
      </c>
      <c r="I1229">
        <v>4.4999999999999998E-2</v>
      </c>
      <c r="J1229">
        <v>5.1999999999999998E-2</v>
      </c>
      <c r="K1229">
        <v>2.4E-2</v>
      </c>
      <c r="L1229">
        <v>2319.8000000000002</v>
      </c>
      <c r="M1229">
        <v>2328</v>
      </c>
      <c r="N1229">
        <v>2344.4</v>
      </c>
      <c r="Q1229">
        <f t="shared" si="81"/>
        <v>463.9</v>
      </c>
      <c r="R1229">
        <f t="shared" si="82"/>
        <v>463.9</v>
      </c>
      <c r="S1229">
        <f t="shared" si="83"/>
        <v>0</v>
      </c>
    </row>
    <row r="1230" spans="1:19" x14ac:dyDescent="0.25">
      <c r="A1230" s="2">
        <v>44905</v>
      </c>
      <c r="B1230" s="3">
        <v>344</v>
      </c>
      <c r="C1230" s="3">
        <v>200</v>
      </c>
      <c r="D1230">
        <v>464.06560000000002</v>
      </c>
      <c r="E1230">
        <v>4.2999999999999997E-2</v>
      </c>
      <c r="F1230">
        <v>457.43169999999998</v>
      </c>
      <c r="G1230">
        <v>465.92180000000002</v>
      </c>
      <c r="H1230">
        <v>468.84320000000002</v>
      </c>
      <c r="I1230">
        <v>3.9E-2</v>
      </c>
      <c r="J1230">
        <v>5.1999999999999998E-2</v>
      </c>
      <c r="K1230">
        <v>3.7999999999999999E-2</v>
      </c>
      <c r="L1230">
        <v>2320.1999999999998</v>
      </c>
      <c r="M1230">
        <v>2328.4</v>
      </c>
      <c r="N1230">
        <v>2344.6</v>
      </c>
      <c r="Q1230">
        <f t="shared" si="81"/>
        <v>464.1</v>
      </c>
      <c r="R1230">
        <f t="shared" si="82"/>
        <v>464.1</v>
      </c>
      <c r="S1230">
        <f t="shared" si="83"/>
        <v>0.20000000000004547</v>
      </c>
    </row>
    <row r="1231" spans="1:19" x14ac:dyDescent="0.25">
      <c r="A1231" s="2">
        <v>44905</v>
      </c>
      <c r="B1231" s="3">
        <v>344</v>
      </c>
      <c r="C1231" s="3">
        <v>300</v>
      </c>
      <c r="D1231">
        <v>464.23450000000003</v>
      </c>
      <c r="E1231">
        <v>4.2000000000000003E-2</v>
      </c>
      <c r="F1231">
        <v>457.6087</v>
      </c>
      <c r="G1231">
        <v>466.08569999999997</v>
      </c>
      <c r="H1231">
        <v>469.00900000000001</v>
      </c>
      <c r="I1231">
        <v>4.5999999999999999E-2</v>
      </c>
      <c r="J1231">
        <v>0.03</v>
      </c>
      <c r="K1231">
        <v>4.9000000000000002E-2</v>
      </c>
      <c r="L1231">
        <v>2320.4</v>
      </c>
      <c r="M1231">
        <v>2328.6</v>
      </c>
      <c r="N1231">
        <v>2344.8000000000002</v>
      </c>
      <c r="Q1231">
        <f t="shared" si="81"/>
        <v>464.2</v>
      </c>
      <c r="R1231">
        <f t="shared" si="82"/>
        <v>464.2</v>
      </c>
      <c r="S1231">
        <f t="shared" si="83"/>
        <v>9.9999999999965894E-2</v>
      </c>
    </row>
    <row r="1232" spans="1:19" x14ac:dyDescent="0.25">
      <c r="A1232" s="2">
        <v>44905</v>
      </c>
      <c r="B1232" s="3">
        <v>344</v>
      </c>
      <c r="C1232" s="3">
        <v>400</v>
      </c>
      <c r="D1232">
        <v>464.31779999999998</v>
      </c>
      <c r="E1232">
        <v>4.2999999999999997E-2</v>
      </c>
      <c r="F1232">
        <v>457.66890000000001</v>
      </c>
      <c r="G1232">
        <v>466.17399999999998</v>
      </c>
      <c r="H1232">
        <v>469.11040000000003</v>
      </c>
      <c r="I1232">
        <v>4.8000000000000001E-2</v>
      </c>
      <c r="J1232">
        <v>2.7E-2</v>
      </c>
      <c r="K1232">
        <v>0.05</v>
      </c>
      <c r="L1232">
        <v>2320.4</v>
      </c>
      <c r="M1232">
        <v>2328.8000000000002</v>
      </c>
      <c r="N1232">
        <v>2345.1999999999998</v>
      </c>
      <c r="Q1232">
        <f t="shared" si="81"/>
        <v>464.3</v>
      </c>
      <c r="R1232">
        <f t="shared" si="82"/>
        <v>464.3</v>
      </c>
      <c r="S1232">
        <f t="shared" si="83"/>
        <v>0.10000000000002274</v>
      </c>
    </row>
    <row r="1233" spans="1:19" x14ac:dyDescent="0.25">
      <c r="A1233" s="2">
        <v>44905</v>
      </c>
      <c r="B1233" s="3">
        <v>344</v>
      </c>
      <c r="C1233" s="3">
        <v>500</v>
      </c>
      <c r="D1233">
        <v>464.33550000000002</v>
      </c>
      <c r="E1233">
        <v>4.2999999999999997E-2</v>
      </c>
      <c r="F1233">
        <v>457.69080000000002</v>
      </c>
      <c r="G1233">
        <v>466.18880000000001</v>
      </c>
      <c r="H1233">
        <v>469.12689999999998</v>
      </c>
      <c r="I1233">
        <v>5.1999999999999998E-2</v>
      </c>
      <c r="J1233">
        <v>3.3000000000000002E-2</v>
      </c>
      <c r="K1233">
        <v>4.1000000000000002E-2</v>
      </c>
      <c r="L1233">
        <v>2320.4</v>
      </c>
      <c r="M1233">
        <v>2328.8000000000002</v>
      </c>
      <c r="N1233">
        <v>2345.1999999999998</v>
      </c>
      <c r="Q1233">
        <f t="shared" si="81"/>
        <v>464.3</v>
      </c>
      <c r="R1233">
        <f t="shared" si="82"/>
        <v>464.3</v>
      </c>
      <c r="S1233">
        <f t="shared" si="83"/>
        <v>0</v>
      </c>
    </row>
    <row r="1234" spans="1:19" x14ac:dyDescent="0.25">
      <c r="A1234" s="2">
        <v>44905</v>
      </c>
      <c r="B1234" s="3">
        <v>344</v>
      </c>
      <c r="C1234" s="3">
        <v>600</v>
      </c>
      <c r="D1234">
        <v>464.34230000000002</v>
      </c>
      <c r="E1234">
        <v>4.2999999999999997E-2</v>
      </c>
      <c r="F1234">
        <v>457.68900000000002</v>
      </c>
      <c r="G1234">
        <v>466.19979999999998</v>
      </c>
      <c r="H1234">
        <v>469.13799999999998</v>
      </c>
      <c r="I1234">
        <v>5.1999999999999998E-2</v>
      </c>
      <c r="J1234">
        <v>0.04</v>
      </c>
      <c r="K1234">
        <v>3.5999999999999997E-2</v>
      </c>
      <c r="L1234">
        <v>2320.4</v>
      </c>
      <c r="M1234">
        <v>2328.8000000000002</v>
      </c>
      <c r="N1234">
        <v>2345.1999999999998</v>
      </c>
      <c r="Q1234">
        <f t="shared" si="81"/>
        <v>464.3</v>
      </c>
      <c r="R1234">
        <f t="shared" si="82"/>
        <v>464.3</v>
      </c>
      <c r="S1234">
        <f t="shared" si="83"/>
        <v>0</v>
      </c>
    </row>
    <row r="1235" spans="1:19" x14ac:dyDescent="0.25">
      <c r="A1235" s="2">
        <v>44905</v>
      </c>
      <c r="B1235" s="3">
        <v>344</v>
      </c>
      <c r="C1235" s="3">
        <v>700</v>
      </c>
      <c r="D1235">
        <v>464.40839999999997</v>
      </c>
      <c r="E1235">
        <v>3.5000000000000003E-2</v>
      </c>
      <c r="F1235">
        <v>457.73829999999998</v>
      </c>
      <c r="G1235">
        <v>466.2826</v>
      </c>
      <c r="H1235">
        <v>469.20429999999999</v>
      </c>
      <c r="I1235">
        <v>2.4E-2</v>
      </c>
      <c r="J1235">
        <v>1.9E-2</v>
      </c>
      <c r="K1235">
        <v>5.1999999999999998E-2</v>
      </c>
      <c r="L1235">
        <v>2320.6</v>
      </c>
      <c r="M1235">
        <v>2329</v>
      </c>
      <c r="N1235">
        <v>2345.1999999999998</v>
      </c>
      <c r="Q1235">
        <f t="shared" ref="Q1235:Q1298" si="84">ROUND(D1235,1)</f>
        <v>464.4</v>
      </c>
      <c r="R1235">
        <f t="shared" si="82"/>
        <v>464.4</v>
      </c>
      <c r="S1235">
        <f t="shared" si="83"/>
        <v>9.9999999999965894E-2</v>
      </c>
    </row>
    <row r="1236" spans="1:19" x14ac:dyDescent="0.25">
      <c r="A1236" s="2">
        <v>44905</v>
      </c>
      <c r="B1236" s="3">
        <v>344</v>
      </c>
      <c r="C1236" s="3">
        <v>800</v>
      </c>
      <c r="D1236">
        <v>464.60180000000003</v>
      </c>
      <c r="E1236">
        <v>4.4999999999999998E-2</v>
      </c>
      <c r="F1236">
        <v>457.9427</v>
      </c>
      <c r="G1236">
        <v>466.45749999999998</v>
      </c>
      <c r="H1236">
        <v>469.40530000000001</v>
      </c>
      <c r="I1236">
        <v>0.03</v>
      </c>
      <c r="J1236">
        <v>5.0999999999999997E-2</v>
      </c>
      <c r="K1236">
        <v>5.1999999999999998E-2</v>
      </c>
      <c r="L1236">
        <v>2320.8000000000002</v>
      </c>
      <c r="M1236">
        <v>2329.4</v>
      </c>
      <c r="N1236">
        <v>2345.8000000000002</v>
      </c>
      <c r="Q1236">
        <f t="shared" si="84"/>
        <v>464.6</v>
      </c>
      <c r="R1236">
        <f t="shared" si="82"/>
        <v>464.6</v>
      </c>
      <c r="S1236">
        <f t="shared" si="83"/>
        <v>0.20000000000004547</v>
      </c>
    </row>
    <row r="1237" spans="1:19" x14ac:dyDescent="0.25">
      <c r="A1237" s="2">
        <v>44905</v>
      </c>
      <c r="B1237" s="3">
        <v>344</v>
      </c>
      <c r="C1237" s="3">
        <v>900</v>
      </c>
      <c r="D1237">
        <v>464.69670000000002</v>
      </c>
      <c r="E1237">
        <v>4.9000000000000002E-2</v>
      </c>
      <c r="F1237">
        <v>458.03199999999998</v>
      </c>
      <c r="G1237">
        <v>466.5514</v>
      </c>
      <c r="H1237">
        <v>469.50670000000002</v>
      </c>
      <c r="I1237">
        <v>4.1000000000000002E-2</v>
      </c>
      <c r="J1237">
        <v>5.1999999999999998E-2</v>
      </c>
      <c r="K1237">
        <v>5.1999999999999998E-2</v>
      </c>
      <c r="L1237">
        <v>2321.1999999999998</v>
      </c>
      <c r="M1237">
        <v>2329.4</v>
      </c>
      <c r="N1237">
        <v>2345.8000000000002</v>
      </c>
      <c r="Q1237">
        <f t="shared" si="84"/>
        <v>464.7</v>
      </c>
      <c r="R1237">
        <f t="shared" si="82"/>
        <v>464.7</v>
      </c>
      <c r="S1237">
        <f t="shared" si="83"/>
        <v>9.9999999999965894E-2</v>
      </c>
    </row>
    <row r="1238" spans="1:19" x14ac:dyDescent="0.25">
      <c r="A1238" s="2">
        <v>44905</v>
      </c>
      <c r="B1238" s="3">
        <v>344</v>
      </c>
      <c r="C1238" s="3">
        <v>1000</v>
      </c>
      <c r="D1238">
        <v>464.71879999999999</v>
      </c>
      <c r="E1238">
        <v>4.2999999999999997E-2</v>
      </c>
      <c r="F1238">
        <v>458.06119999999999</v>
      </c>
      <c r="G1238">
        <v>466.57530000000003</v>
      </c>
      <c r="H1238">
        <v>469.51960000000003</v>
      </c>
      <c r="I1238">
        <v>2.9000000000000001E-2</v>
      </c>
      <c r="J1238">
        <v>4.4999999999999998E-2</v>
      </c>
      <c r="K1238">
        <v>5.1999999999999998E-2</v>
      </c>
      <c r="L1238">
        <v>2321.1999999999998</v>
      </c>
      <c r="M1238">
        <v>2329.6</v>
      </c>
      <c r="N1238">
        <v>2345.8000000000002</v>
      </c>
      <c r="Q1238">
        <f t="shared" si="84"/>
        <v>464.7</v>
      </c>
      <c r="R1238">
        <f t="shared" si="82"/>
        <v>464.7</v>
      </c>
      <c r="S1238">
        <f t="shared" si="83"/>
        <v>0</v>
      </c>
    </row>
    <row r="1239" spans="1:19" x14ac:dyDescent="0.25">
      <c r="A1239" s="2">
        <v>44905</v>
      </c>
      <c r="B1239" s="3">
        <v>344</v>
      </c>
      <c r="C1239" s="3">
        <v>1100</v>
      </c>
      <c r="D1239">
        <v>464.77629999999999</v>
      </c>
      <c r="E1239">
        <v>4.5999999999999999E-2</v>
      </c>
      <c r="F1239">
        <v>458.1123</v>
      </c>
      <c r="G1239">
        <v>466.63240000000002</v>
      </c>
      <c r="H1239">
        <v>469.58409999999998</v>
      </c>
      <c r="I1239">
        <v>5.0999999999999997E-2</v>
      </c>
      <c r="J1239">
        <v>4.8000000000000001E-2</v>
      </c>
      <c r="K1239">
        <v>3.7999999999999999E-2</v>
      </c>
      <c r="L1239">
        <v>2321.1999999999998</v>
      </c>
      <c r="M1239">
        <v>2329.6</v>
      </c>
      <c r="N1239">
        <v>2346</v>
      </c>
      <c r="Q1239">
        <f t="shared" si="84"/>
        <v>464.8</v>
      </c>
      <c r="R1239">
        <f t="shared" si="82"/>
        <v>464.8</v>
      </c>
      <c r="S1239">
        <f t="shared" si="83"/>
        <v>0.10000000000002274</v>
      </c>
    </row>
    <row r="1240" spans="1:19" x14ac:dyDescent="0.25">
      <c r="A1240" s="2">
        <v>44905</v>
      </c>
      <c r="B1240" s="3">
        <v>344</v>
      </c>
      <c r="C1240" s="3">
        <v>1200</v>
      </c>
      <c r="D1240">
        <v>464.82409999999999</v>
      </c>
      <c r="E1240">
        <v>4.3999999999999997E-2</v>
      </c>
      <c r="F1240">
        <v>458.16890000000001</v>
      </c>
      <c r="G1240">
        <v>466.68029999999999</v>
      </c>
      <c r="H1240">
        <v>469.62290000000002</v>
      </c>
      <c r="I1240">
        <v>3.4000000000000002E-2</v>
      </c>
      <c r="J1240">
        <v>4.4999999999999998E-2</v>
      </c>
      <c r="K1240">
        <v>5.1999999999999998E-2</v>
      </c>
      <c r="L1240">
        <v>2321.6</v>
      </c>
      <c r="M1240">
        <v>2329.8000000000002</v>
      </c>
      <c r="N1240">
        <v>2346</v>
      </c>
      <c r="Q1240">
        <f t="shared" si="84"/>
        <v>464.8</v>
      </c>
      <c r="R1240">
        <f t="shared" si="82"/>
        <v>464.8</v>
      </c>
      <c r="S1240">
        <f t="shared" si="83"/>
        <v>0</v>
      </c>
    </row>
    <row r="1241" spans="1:19" x14ac:dyDescent="0.25">
      <c r="A1241" s="2">
        <v>44905</v>
      </c>
      <c r="B1241" s="3">
        <v>344</v>
      </c>
      <c r="C1241" s="3">
        <v>1300</v>
      </c>
      <c r="D1241">
        <v>464.90370000000001</v>
      </c>
      <c r="E1241">
        <v>4.8000000000000001E-2</v>
      </c>
      <c r="F1241">
        <v>458.24200000000002</v>
      </c>
      <c r="G1241">
        <v>466.7595</v>
      </c>
      <c r="H1241">
        <v>469.70949999999999</v>
      </c>
      <c r="I1241">
        <v>0.04</v>
      </c>
      <c r="J1241">
        <v>5.1999999999999998E-2</v>
      </c>
      <c r="K1241">
        <v>0.05</v>
      </c>
      <c r="L1241">
        <v>2321.4</v>
      </c>
      <c r="M1241">
        <v>2329.8000000000002</v>
      </c>
      <c r="N1241">
        <v>2346.4</v>
      </c>
      <c r="Q1241">
        <f t="shared" si="84"/>
        <v>464.9</v>
      </c>
      <c r="R1241">
        <f t="shared" si="82"/>
        <v>464.9</v>
      </c>
      <c r="S1241">
        <f t="shared" si="83"/>
        <v>9.9999999999965894E-2</v>
      </c>
    </row>
    <row r="1242" spans="1:19" x14ac:dyDescent="0.25">
      <c r="A1242" s="2">
        <v>44905</v>
      </c>
      <c r="B1242" s="3">
        <v>344</v>
      </c>
      <c r="C1242" s="3">
        <v>1400</v>
      </c>
      <c r="D1242">
        <v>465.3066</v>
      </c>
      <c r="E1242">
        <v>4.8000000000000001E-2</v>
      </c>
      <c r="F1242">
        <v>458.63819999999998</v>
      </c>
      <c r="G1242">
        <v>467.16840000000002</v>
      </c>
      <c r="H1242">
        <v>470.11340000000001</v>
      </c>
      <c r="I1242">
        <v>0.05</v>
      </c>
      <c r="J1242">
        <v>5.1999999999999998E-2</v>
      </c>
      <c r="K1242">
        <v>4.2000000000000003E-2</v>
      </c>
      <c r="L1242">
        <v>2322.4</v>
      </c>
      <c r="M1242">
        <v>2330.8000000000002</v>
      </c>
      <c r="N1242">
        <v>2347.1999999999998</v>
      </c>
      <c r="Q1242">
        <f t="shared" si="84"/>
        <v>465.3</v>
      </c>
      <c r="R1242">
        <f t="shared" si="82"/>
        <v>465.3</v>
      </c>
      <c r="S1242">
        <f t="shared" si="83"/>
        <v>0.40000000000003411</v>
      </c>
    </row>
    <row r="1243" spans="1:19" x14ac:dyDescent="0.25">
      <c r="A1243" s="2">
        <v>44905</v>
      </c>
      <c r="B1243" s="3">
        <v>344</v>
      </c>
      <c r="C1243" s="3">
        <v>1500</v>
      </c>
      <c r="D1243">
        <v>465.53949999999998</v>
      </c>
      <c r="E1243">
        <v>4.7E-2</v>
      </c>
      <c r="F1243">
        <v>458.86660000000001</v>
      </c>
      <c r="G1243">
        <v>467.40780000000001</v>
      </c>
      <c r="H1243">
        <v>470.34410000000003</v>
      </c>
      <c r="I1243">
        <v>0.04</v>
      </c>
      <c r="J1243">
        <v>4.9000000000000002E-2</v>
      </c>
      <c r="K1243">
        <v>5.0999999999999997E-2</v>
      </c>
      <c r="L1243">
        <v>2322.6</v>
      </c>
      <c r="M1243">
        <v>2331</v>
      </c>
      <c r="N1243">
        <v>2347.6</v>
      </c>
      <c r="Q1243">
        <f t="shared" si="84"/>
        <v>465.5</v>
      </c>
      <c r="R1243">
        <f t="shared" si="82"/>
        <v>465.5</v>
      </c>
      <c r="S1243">
        <f t="shared" si="83"/>
        <v>0.19999999999998863</v>
      </c>
    </row>
    <row r="1244" spans="1:19" x14ac:dyDescent="0.25">
      <c r="A1244" s="2">
        <v>44905</v>
      </c>
      <c r="B1244" s="3">
        <v>344</v>
      </c>
      <c r="C1244" s="3">
        <v>1600</v>
      </c>
      <c r="D1244">
        <v>465.6259</v>
      </c>
      <c r="E1244">
        <v>4.9000000000000002E-2</v>
      </c>
      <c r="F1244">
        <v>458.95600000000002</v>
      </c>
      <c r="G1244">
        <v>467.48520000000002</v>
      </c>
      <c r="H1244">
        <v>470.43639999999999</v>
      </c>
      <c r="I1244">
        <v>4.8000000000000001E-2</v>
      </c>
      <c r="J1244">
        <v>5.1999999999999998E-2</v>
      </c>
      <c r="K1244">
        <v>4.5999999999999999E-2</v>
      </c>
      <c r="L1244">
        <v>2323</v>
      </c>
      <c r="M1244">
        <v>2331.1999999999998</v>
      </c>
      <c r="N1244">
        <v>2347.6</v>
      </c>
      <c r="Q1244">
        <f t="shared" si="84"/>
        <v>465.6</v>
      </c>
      <c r="R1244">
        <f t="shared" si="82"/>
        <v>465.6</v>
      </c>
      <c r="S1244">
        <f t="shared" si="83"/>
        <v>0.10000000000002274</v>
      </c>
    </row>
    <row r="1245" spans="1:19" x14ac:dyDescent="0.25">
      <c r="A1245" s="2">
        <v>44905</v>
      </c>
      <c r="B1245" s="3">
        <v>344</v>
      </c>
      <c r="C1245" s="3">
        <v>1700</v>
      </c>
      <c r="D1245">
        <v>466.0249</v>
      </c>
      <c r="E1245">
        <v>4.2999999999999997E-2</v>
      </c>
      <c r="F1245">
        <v>459.3288</v>
      </c>
      <c r="G1245">
        <v>467.90910000000002</v>
      </c>
      <c r="H1245">
        <v>470.83679999999998</v>
      </c>
      <c r="I1245">
        <v>4.5999999999999999E-2</v>
      </c>
      <c r="J1245">
        <v>5.1999999999999998E-2</v>
      </c>
      <c r="K1245">
        <v>2.7E-2</v>
      </c>
      <c r="L1245">
        <v>2323.6</v>
      </c>
      <c r="M1245">
        <v>2332</v>
      </c>
      <c r="N1245">
        <v>2348.4</v>
      </c>
      <c r="Q1245">
        <f t="shared" si="84"/>
        <v>466</v>
      </c>
      <c r="R1245">
        <f t="shared" si="82"/>
        <v>466</v>
      </c>
      <c r="S1245">
        <f t="shared" si="83"/>
        <v>0.39999999999997726</v>
      </c>
    </row>
    <row r="1246" spans="1:19" x14ac:dyDescent="0.25">
      <c r="A1246" s="2">
        <v>44905</v>
      </c>
      <c r="B1246" s="3">
        <v>344</v>
      </c>
      <c r="C1246" s="3">
        <v>1800</v>
      </c>
      <c r="D1246">
        <v>466.17500000000001</v>
      </c>
      <c r="E1246">
        <v>4.8000000000000001E-2</v>
      </c>
      <c r="F1246">
        <v>459.48590000000002</v>
      </c>
      <c r="G1246">
        <v>468.05470000000003</v>
      </c>
      <c r="H1246">
        <v>470.98450000000003</v>
      </c>
      <c r="I1246">
        <v>4.3999999999999997E-2</v>
      </c>
      <c r="J1246">
        <v>4.7E-2</v>
      </c>
      <c r="K1246">
        <v>5.2999999999999999E-2</v>
      </c>
      <c r="L1246">
        <v>2324</v>
      </c>
      <c r="M1246">
        <v>2332.4</v>
      </c>
      <c r="N1246">
        <v>2348.8000000000002</v>
      </c>
      <c r="Q1246">
        <f t="shared" si="84"/>
        <v>466.2</v>
      </c>
      <c r="R1246">
        <f t="shared" si="82"/>
        <v>466.2</v>
      </c>
      <c r="S1246">
        <f t="shared" si="83"/>
        <v>0.19999999999998863</v>
      </c>
    </row>
    <row r="1247" spans="1:19" x14ac:dyDescent="0.25">
      <c r="A1247" s="2">
        <v>44905</v>
      </c>
      <c r="B1247" s="3">
        <v>344</v>
      </c>
      <c r="C1247" s="3">
        <v>1900</v>
      </c>
      <c r="D1247">
        <v>466.27749999999997</v>
      </c>
      <c r="E1247">
        <v>4.7E-2</v>
      </c>
      <c r="F1247">
        <v>459.5754</v>
      </c>
      <c r="G1247">
        <v>468.17090000000002</v>
      </c>
      <c r="H1247">
        <v>471.08609999999999</v>
      </c>
      <c r="I1247">
        <v>0.05</v>
      </c>
      <c r="J1247">
        <v>3.5999999999999997E-2</v>
      </c>
      <c r="K1247">
        <v>5.1999999999999998E-2</v>
      </c>
      <c r="L1247">
        <v>2324</v>
      </c>
      <c r="M1247">
        <v>2332.6</v>
      </c>
      <c r="N1247">
        <v>2349</v>
      </c>
      <c r="Q1247">
        <f t="shared" si="84"/>
        <v>466.3</v>
      </c>
      <c r="R1247">
        <f t="shared" si="82"/>
        <v>466.3</v>
      </c>
      <c r="S1247">
        <f t="shared" si="83"/>
        <v>0.10000000000002274</v>
      </c>
    </row>
    <row r="1248" spans="1:19" x14ac:dyDescent="0.25">
      <c r="A1248" s="2">
        <v>44905</v>
      </c>
      <c r="B1248" s="3">
        <v>344</v>
      </c>
      <c r="C1248" s="3">
        <v>2000</v>
      </c>
      <c r="D1248">
        <v>467.35950000000003</v>
      </c>
      <c r="E1248">
        <v>6.2E-2</v>
      </c>
      <c r="F1248">
        <v>460.64330000000001</v>
      </c>
      <c r="G1248">
        <v>469.26479999999998</v>
      </c>
      <c r="H1248">
        <v>472.1703</v>
      </c>
      <c r="I1248">
        <v>6.5000000000000002E-2</v>
      </c>
      <c r="J1248">
        <v>6.0999999999999999E-2</v>
      </c>
      <c r="K1248">
        <v>6.0999999999999999E-2</v>
      </c>
      <c r="L1248">
        <v>2326.4</v>
      </c>
      <c r="M1248">
        <v>2334.8000000000002</v>
      </c>
      <c r="N1248">
        <v>2351</v>
      </c>
      <c r="Q1248">
        <f t="shared" si="84"/>
        <v>467.4</v>
      </c>
      <c r="R1248">
        <f t="shared" si="82"/>
        <v>467.4</v>
      </c>
      <c r="S1248">
        <f t="shared" si="83"/>
        <v>1.0999999999999659</v>
      </c>
    </row>
    <row r="1249" spans="1:19" x14ac:dyDescent="0.25">
      <c r="A1249" s="2">
        <v>44905</v>
      </c>
      <c r="B1249" s="3">
        <v>344</v>
      </c>
      <c r="C1249" s="3">
        <v>2100</v>
      </c>
      <c r="D1249">
        <v>467.73379999999997</v>
      </c>
      <c r="E1249">
        <v>4.5999999999999999E-2</v>
      </c>
      <c r="F1249">
        <v>461.03680000000003</v>
      </c>
      <c r="G1249">
        <v>469.62650000000002</v>
      </c>
      <c r="H1249">
        <v>472.53820000000002</v>
      </c>
      <c r="I1249">
        <v>0.05</v>
      </c>
      <c r="J1249">
        <v>4.2999999999999997E-2</v>
      </c>
      <c r="K1249">
        <v>4.3999999999999997E-2</v>
      </c>
      <c r="L1249">
        <v>2327</v>
      </c>
      <c r="M1249">
        <v>2335.1999999999998</v>
      </c>
      <c r="N1249">
        <v>2351.6</v>
      </c>
      <c r="Q1249">
        <f t="shared" si="84"/>
        <v>467.7</v>
      </c>
      <c r="R1249">
        <f t="shared" si="82"/>
        <v>467.7</v>
      </c>
      <c r="S1249">
        <f t="shared" si="83"/>
        <v>0.30000000000001137</v>
      </c>
    </row>
    <row r="1250" spans="1:19" x14ac:dyDescent="0.25">
      <c r="A1250" s="2">
        <v>44905</v>
      </c>
      <c r="B1250" s="3">
        <v>344</v>
      </c>
      <c r="C1250" s="3">
        <v>2200</v>
      </c>
      <c r="D1250">
        <v>467.75409999999999</v>
      </c>
      <c r="E1250">
        <v>4.3999999999999997E-2</v>
      </c>
      <c r="F1250">
        <v>461.0514</v>
      </c>
      <c r="G1250">
        <v>469.65780000000001</v>
      </c>
      <c r="H1250">
        <v>472.553</v>
      </c>
      <c r="I1250">
        <v>4.2999999999999997E-2</v>
      </c>
      <c r="J1250">
        <v>3.5999999999999997E-2</v>
      </c>
      <c r="K1250">
        <v>5.0999999999999997E-2</v>
      </c>
      <c r="L1250">
        <v>2326.8000000000002</v>
      </c>
      <c r="M1250">
        <v>2335.4</v>
      </c>
      <c r="N1250">
        <v>2351.6</v>
      </c>
      <c r="Q1250">
        <f t="shared" si="84"/>
        <v>467.8</v>
      </c>
      <c r="R1250">
        <f t="shared" ref="R1250:R1313" si="85">ROUND(IF(Q1250&lt;R1249,R1249,Q1250),1)</f>
        <v>467.8</v>
      </c>
      <c r="S1250">
        <f t="shared" si="83"/>
        <v>0.10000000000002274</v>
      </c>
    </row>
    <row r="1251" spans="1:19" x14ac:dyDescent="0.25">
      <c r="A1251" s="2">
        <v>44905</v>
      </c>
      <c r="B1251" s="3">
        <v>344</v>
      </c>
      <c r="C1251" s="3">
        <v>2300</v>
      </c>
      <c r="D1251">
        <v>467.786</v>
      </c>
      <c r="E1251">
        <v>4.2000000000000003E-2</v>
      </c>
      <c r="F1251">
        <v>461.077</v>
      </c>
      <c r="G1251">
        <v>469.68740000000003</v>
      </c>
      <c r="H1251">
        <v>472.59370000000001</v>
      </c>
      <c r="I1251">
        <v>2.7E-2</v>
      </c>
      <c r="J1251">
        <v>5.0999999999999997E-2</v>
      </c>
      <c r="K1251">
        <v>4.4999999999999998E-2</v>
      </c>
      <c r="L1251">
        <v>2327</v>
      </c>
      <c r="M1251">
        <v>2335.6</v>
      </c>
      <c r="N1251">
        <v>2351.8000000000002</v>
      </c>
      <c r="Q1251">
        <f t="shared" si="84"/>
        <v>467.8</v>
      </c>
      <c r="R1251">
        <f t="shared" si="85"/>
        <v>467.8</v>
      </c>
      <c r="S1251">
        <f t="shared" si="83"/>
        <v>0</v>
      </c>
    </row>
    <row r="1252" spans="1:19" x14ac:dyDescent="0.25">
      <c r="A1252" s="2">
        <v>44905</v>
      </c>
      <c r="B1252" s="3">
        <v>344</v>
      </c>
      <c r="C1252" s="3">
        <v>2400</v>
      </c>
      <c r="D1252">
        <v>467.7996</v>
      </c>
      <c r="E1252">
        <v>4.5999999999999999E-2</v>
      </c>
      <c r="F1252">
        <v>461.09530000000001</v>
      </c>
      <c r="G1252">
        <v>469.70400000000001</v>
      </c>
      <c r="H1252">
        <v>472.5992</v>
      </c>
      <c r="I1252">
        <v>4.2999999999999997E-2</v>
      </c>
      <c r="J1252">
        <v>5.2999999999999999E-2</v>
      </c>
      <c r="K1252">
        <v>4.2000000000000003E-2</v>
      </c>
      <c r="L1252">
        <v>2327</v>
      </c>
      <c r="M1252">
        <v>2335.4</v>
      </c>
      <c r="N1252">
        <v>2351.8000000000002</v>
      </c>
      <c r="Q1252">
        <f t="shared" si="84"/>
        <v>467.8</v>
      </c>
      <c r="R1252">
        <f t="shared" si="85"/>
        <v>467.8</v>
      </c>
      <c r="S1252">
        <f t="shared" si="83"/>
        <v>0</v>
      </c>
    </row>
    <row r="1253" spans="1:19" x14ac:dyDescent="0.25">
      <c r="A1253" s="2">
        <v>44906</v>
      </c>
      <c r="B1253" s="3">
        <v>345</v>
      </c>
      <c r="C1253" s="3">
        <v>100</v>
      </c>
      <c r="D1253">
        <v>468.41239999999999</v>
      </c>
      <c r="E1253">
        <v>4.4999999999999998E-2</v>
      </c>
      <c r="F1253">
        <v>461.69580000000002</v>
      </c>
      <c r="G1253">
        <v>470.32830000000001</v>
      </c>
      <c r="H1253">
        <v>473.2131</v>
      </c>
      <c r="I1253">
        <v>2.7E-2</v>
      </c>
      <c r="J1253">
        <v>5.1999999999999998E-2</v>
      </c>
      <c r="K1253">
        <v>5.0999999999999997E-2</v>
      </c>
      <c r="L1253">
        <v>2328.1999999999998</v>
      </c>
      <c r="M1253">
        <v>2336.8000000000002</v>
      </c>
      <c r="N1253">
        <v>2352.8000000000002</v>
      </c>
      <c r="Q1253">
        <f t="shared" si="84"/>
        <v>468.4</v>
      </c>
      <c r="R1253">
        <f t="shared" si="85"/>
        <v>468.4</v>
      </c>
      <c r="S1253">
        <f t="shared" ref="S1253:S1316" si="86">IF(R1253&gt;R1252,R1253-R1252,0)</f>
        <v>0.59999999999996589</v>
      </c>
    </row>
    <row r="1254" spans="1:19" x14ac:dyDescent="0.25">
      <c r="A1254" s="2">
        <v>44906</v>
      </c>
      <c r="B1254" s="3">
        <v>345</v>
      </c>
      <c r="C1254" s="3">
        <v>200</v>
      </c>
      <c r="D1254">
        <v>468.79700000000003</v>
      </c>
      <c r="E1254">
        <v>4.7E-2</v>
      </c>
      <c r="F1254">
        <v>462.0822</v>
      </c>
      <c r="G1254">
        <v>470.68470000000002</v>
      </c>
      <c r="H1254">
        <v>473.62389999999999</v>
      </c>
      <c r="I1254">
        <v>4.9000000000000002E-2</v>
      </c>
      <c r="J1254">
        <v>3.7999999999999999E-2</v>
      </c>
      <c r="K1254">
        <v>5.2999999999999999E-2</v>
      </c>
      <c r="L1254">
        <v>2329</v>
      </c>
      <c r="M1254">
        <v>2337.1999999999998</v>
      </c>
      <c r="N1254">
        <v>2353.6</v>
      </c>
      <c r="Q1254">
        <f t="shared" si="84"/>
        <v>468.8</v>
      </c>
      <c r="R1254">
        <f t="shared" si="85"/>
        <v>468.8</v>
      </c>
      <c r="S1254">
        <f t="shared" si="86"/>
        <v>0.40000000000003411</v>
      </c>
    </row>
    <row r="1255" spans="1:19" x14ac:dyDescent="0.25">
      <c r="A1255" s="2">
        <v>44906</v>
      </c>
      <c r="B1255" s="3">
        <v>345</v>
      </c>
      <c r="C1255" s="3">
        <v>300</v>
      </c>
      <c r="D1255">
        <v>468.86759999999998</v>
      </c>
      <c r="E1255">
        <v>4.9000000000000002E-2</v>
      </c>
      <c r="F1255">
        <v>462.14269999999999</v>
      </c>
      <c r="G1255">
        <v>470.73649999999998</v>
      </c>
      <c r="H1255">
        <v>473.72379999999998</v>
      </c>
      <c r="I1255">
        <v>4.4999999999999998E-2</v>
      </c>
      <c r="J1255">
        <v>0.05</v>
      </c>
      <c r="K1255">
        <v>5.2999999999999999E-2</v>
      </c>
      <c r="L1255">
        <v>2329.1999999999998</v>
      </c>
      <c r="M1255">
        <v>2337.4</v>
      </c>
      <c r="N1255">
        <v>2354</v>
      </c>
      <c r="Q1255">
        <f t="shared" si="84"/>
        <v>468.9</v>
      </c>
      <c r="R1255">
        <f t="shared" si="85"/>
        <v>468.9</v>
      </c>
      <c r="S1255">
        <f t="shared" si="86"/>
        <v>9.9999999999965894E-2</v>
      </c>
    </row>
    <row r="1256" spans="1:19" x14ac:dyDescent="0.25">
      <c r="A1256" s="2">
        <v>44906</v>
      </c>
      <c r="B1256" s="3">
        <v>345</v>
      </c>
      <c r="C1256" s="3">
        <v>400</v>
      </c>
      <c r="D1256">
        <v>468.88670000000002</v>
      </c>
      <c r="E1256">
        <v>5.1999999999999998E-2</v>
      </c>
      <c r="F1256">
        <v>462.161</v>
      </c>
      <c r="G1256">
        <v>470.76429999999999</v>
      </c>
      <c r="H1256">
        <v>473.73489999999998</v>
      </c>
      <c r="I1256">
        <v>5.1999999999999998E-2</v>
      </c>
      <c r="J1256">
        <v>5.1999999999999998E-2</v>
      </c>
      <c r="K1256">
        <v>5.1999999999999998E-2</v>
      </c>
      <c r="L1256">
        <v>2329</v>
      </c>
      <c r="M1256">
        <v>2337.4</v>
      </c>
      <c r="N1256">
        <v>2354</v>
      </c>
      <c r="Q1256">
        <f t="shared" si="84"/>
        <v>468.9</v>
      </c>
      <c r="R1256">
        <f t="shared" si="85"/>
        <v>468.9</v>
      </c>
      <c r="S1256">
        <f t="shared" si="86"/>
        <v>0</v>
      </c>
    </row>
    <row r="1257" spans="1:19" x14ac:dyDescent="0.25">
      <c r="A1257" s="2">
        <v>44906</v>
      </c>
      <c r="B1257" s="3">
        <v>345</v>
      </c>
      <c r="C1257" s="3">
        <v>500</v>
      </c>
      <c r="D1257">
        <v>468.89409999999998</v>
      </c>
      <c r="E1257">
        <v>0.05</v>
      </c>
      <c r="F1257">
        <v>462.16649999999998</v>
      </c>
      <c r="G1257">
        <v>470.77910000000003</v>
      </c>
      <c r="H1257">
        <v>473.73669999999998</v>
      </c>
      <c r="I1257">
        <v>5.1999999999999998E-2</v>
      </c>
      <c r="J1257">
        <v>4.5999999999999999E-2</v>
      </c>
      <c r="K1257">
        <v>5.1999999999999998E-2</v>
      </c>
      <c r="L1257">
        <v>2329</v>
      </c>
      <c r="M1257">
        <v>2337.6</v>
      </c>
      <c r="N1257">
        <v>2354</v>
      </c>
      <c r="Q1257">
        <f t="shared" si="84"/>
        <v>468.9</v>
      </c>
      <c r="R1257">
        <f t="shared" si="85"/>
        <v>468.9</v>
      </c>
      <c r="S1257">
        <f t="shared" si="86"/>
        <v>0</v>
      </c>
    </row>
    <row r="1258" spans="1:19" x14ac:dyDescent="0.25">
      <c r="A1258" s="2">
        <v>44906</v>
      </c>
      <c r="B1258" s="3">
        <v>345</v>
      </c>
      <c r="C1258" s="3">
        <v>600</v>
      </c>
      <c r="D1258">
        <v>468.8297</v>
      </c>
      <c r="E1258">
        <v>0.05</v>
      </c>
      <c r="F1258">
        <v>462.07679999999999</v>
      </c>
      <c r="G1258">
        <v>470.66629999999998</v>
      </c>
      <c r="H1258">
        <v>473.74599999999998</v>
      </c>
      <c r="I1258">
        <v>5.0999999999999997E-2</v>
      </c>
      <c r="J1258">
        <v>0.05</v>
      </c>
      <c r="K1258">
        <v>4.9000000000000002E-2</v>
      </c>
      <c r="L1258">
        <v>2328.8000000000002</v>
      </c>
      <c r="M1258">
        <v>2337.1999999999998</v>
      </c>
      <c r="N1258">
        <v>2354</v>
      </c>
      <c r="Q1258">
        <f t="shared" si="84"/>
        <v>468.8</v>
      </c>
      <c r="R1258">
        <f t="shared" si="85"/>
        <v>468.9</v>
      </c>
      <c r="S1258">
        <f t="shared" si="86"/>
        <v>0</v>
      </c>
    </row>
    <row r="1259" spans="1:19" x14ac:dyDescent="0.25">
      <c r="A1259" s="2">
        <v>44906</v>
      </c>
      <c r="B1259" s="3">
        <v>345</v>
      </c>
      <c r="C1259" s="3">
        <v>700</v>
      </c>
      <c r="D1259">
        <v>468.85559999999998</v>
      </c>
      <c r="E1259">
        <v>4.9000000000000002E-2</v>
      </c>
      <c r="F1259">
        <v>462.05290000000002</v>
      </c>
      <c r="G1259">
        <v>470.755</v>
      </c>
      <c r="H1259">
        <v>473.75889999999998</v>
      </c>
      <c r="I1259">
        <v>5.0999999999999997E-2</v>
      </c>
      <c r="J1259">
        <v>5.2999999999999999E-2</v>
      </c>
      <c r="K1259">
        <v>4.2000000000000003E-2</v>
      </c>
      <c r="L1259">
        <v>2328.8000000000002</v>
      </c>
      <c r="M1259">
        <v>2337.6</v>
      </c>
      <c r="N1259">
        <v>2354</v>
      </c>
      <c r="Q1259">
        <f t="shared" si="84"/>
        <v>468.9</v>
      </c>
      <c r="R1259">
        <f t="shared" si="85"/>
        <v>468.9</v>
      </c>
      <c r="S1259">
        <f t="shared" si="86"/>
        <v>0</v>
      </c>
    </row>
    <row r="1260" spans="1:19" x14ac:dyDescent="0.25">
      <c r="A1260" s="2">
        <v>44906</v>
      </c>
      <c r="B1260" s="3">
        <v>345</v>
      </c>
      <c r="C1260" s="3">
        <v>800</v>
      </c>
      <c r="D1260">
        <v>468.86340000000001</v>
      </c>
      <c r="E1260">
        <v>3.5999999999999997E-2</v>
      </c>
      <c r="F1260">
        <v>462.13529999999997</v>
      </c>
      <c r="G1260">
        <v>470.68099999999998</v>
      </c>
      <c r="H1260">
        <v>473.77370000000002</v>
      </c>
      <c r="I1260">
        <v>0.04</v>
      </c>
      <c r="J1260">
        <v>4.2000000000000003E-2</v>
      </c>
      <c r="K1260">
        <v>2.4E-2</v>
      </c>
      <c r="L1260">
        <v>2329</v>
      </c>
      <c r="M1260">
        <v>2337.4</v>
      </c>
      <c r="N1260">
        <v>2354</v>
      </c>
      <c r="Q1260">
        <f t="shared" si="84"/>
        <v>468.9</v>
      </c>
      <c r="R1260">
        <f t="shared" si="85"/>
        <v>468.9</v>
      </c>
      <c r="S1260">
        <f t="shared" si="86"/>
        <v>0</v>
      </c>
    </row>
    <row r="1261" spans="1:19" x14ac:dyDescent="0.25">
      <c r="A1261" s="2">
        <v>44906</v>
      </c>
      <c r="B1261" s="3">
        <v>345</v>
      </c>
      <c r="C1261" s="3">
        <v>900</v>
      </c>
      <c r="D1261">
        <v>468.94560000000001</v>
      </c>
      <c r="E1261">
        <v>3.5000000000000003E-2</v>
      </c>
      <c r="F1261">
        <v>462.25259999999997</v>
      </c>
      <c r="G1261">
        <v>470.81049999999999</v>
      </c>
      <c r="H1261">
        <v>473.77370000000002</v>
      </c>
      <c r="I1261">
        <v>4.8000000000000001E-2</v>
      </c>
      <c r="J1261">
        <v>2.8000000000000001E-2</v>
      </c>
      <c r="K1261">
        <v>2.4E-2</v>
      </c>
      <c r="L1261">
        <v>2329.4</v>
      </c>
      <c r="M1261">
        <v>2337.6</v>
      </c>
      <c r="N1261">
        <v>2354</v>
      </c>
      <c r="Q1261">
        <f t="shared" si="84"/>
        <v>468.9</v>
      </c>
      <c r="R1261">
        <f t="shared" si="85"/>
        <v>468.9</v>
      </c>
      <c r="S1261">
        <f t="shared" si="86"/>
        <v>0</v>
      </c>
    </row>
    <row r="1262" spans="1:19" x14ac:dyDescent="0.25">
      <c r="A1262" s="2">
        <v>44906</v>
      </c>
      <c r="B1262" s="3">
        <v>345</v>
      </c>
      <c r="C1262" s="3">
        <v>1000</v>
      </c>
      <c r="D1262">
        <v>468.9794</v>
      </c>
      <c r="E1262">
        <v>4.2999999999999997E-2</v>
      </c>
      <c r="F1262">
        <v>462.27820000000003</v>
      </c>
      <c r="G1262">
        <v>470.91590000000002</v>
      </c>
      <c r="H1262">
        <v>473.7441</v>
      </c>
      <c r="I1262">
        <v>5.1999999999999998E-2</v>
      </c>
      <c r="J1262">
        <v>1.9E-2</v>
      </c>
      <c r="K1262">
        <v>0.05</v>
      </c>
      <c r="L1262">
        <v>2329.1999999999998</v>
      </c>
      <c r="M1262">
        <v>2337.8000000000002</v>
      </c>
      <c r="N1262">
        <v>2354</v>
      </c>
      <c r="Q1262">
        <f t="shared" si="84"/>
        <v>469</v>
      </c>
      <c r="R1262">
        <f t="shared" si="85"/>
        <v>469</v>
      </c>
      <c r="S1262">
        <f t="shared" si="86"/>
        <v>0.10000000000002274</v>
      </c>
    </row>
    <row r="1263" spans="1:19" x14ac:dyDescent="0.25">
      <c r="A1263" s="2">
        <v>44906</v>
      </c>
      <c r="B1263" s="3">
        <v>345</v>
      </c>
      <c r="C1263" s="3">
        <v>1100</v>
      </c>
      <c r="D1263">
        <v>468.88209999999998</v>
      </c>
      <c r="E1263">
        <v>3.9E-2</v>
      </c>
      <c r="F1263">
        <v>462.24520000000001</v>
      </c>
      <c r="G1263">
        <v>470.70499999999998</v>
      </c>
      <c r="H1263">
        <v>473.69600000000003</v>
      </c>
      <c r="I1263">
        <v>4.3999999999999997E-2</v>
      </c>
      <c r="J1263">
        <v>2.8000000000000001E-2</v>
      </c>
      <c r="K1263">
        <v>4.2999999999999997E-2</v>
      </c>
      <c r="L1263">
        <v>2329.1999999999998</v>
      </c>
      <c r="M1263">
        <v>2337.4</v>
      </c>
      <c r="N1263">
        <v>2353.8000000000002</v>
      </c>
      <c r="Q1263">
        <f t="shared" si="84"/>
        <v>468.9</v>
      </c>
      <c r="R1263">
        <f t="shared" si="85"/>
        <v>469</v>
      </c>
      <c r="S1263">
        <f t="shared" si="86"/>
        <v>0</v>
      </c>
    </row>
    <row r="1264" spans="1:19" x14ac:dyDescent="0.25">
      <c r="A1264" s="2">
        <v>44906</v>
      </c>
      <c r="B1264" s="3">
        <v>345</v>
      </c>
      <c r="C1264" s="3">
        <v>1200</v>
      </c>
      <c r="D1264">
        <v>468.93450000000001</v>
      </c>
      <c r="E1264">
        <v>4.7E-2</v>
      </c>
      <c r="F1264">
        <v>462.25810000000001</v>
      </c>
      <c r="G1264">
        <v>470.85860000000002</v>
      </c>
      <c r="H1264">
        <v>473.68680000000001</v>
      </c>
      <c r="I1264">
        <v>0.05</v>
      </c>
      <c r="J1264">
        <v>5.2999999999999999E-2</v>
      </c>
      <c r="K1264">
        <v>3.5000000000000003E-2</v>
      </c>
      <c r="L1264">
        <v>2329.4</v>
      </c>
      <c r="M1264">
        <v>2337.8000000000002</v>
      </c>
      <c r="N1264">
        <v>2353.8000000000002</v>
      </c>
      <c r="Q1264">
        <f t="shared" si="84"/>
        <v>468.9</v>
      </c>
      <c r="R1264">
        <f t="shared" si="85"/>
        <v>469</v>
      </c>
      <c r="S1264">
        <f t="shared" si="86"/>
        <v>0</v>
      </c>
    </row>
    <row r="1265" spans="1:19" x14ac:dyDescent="0.25">
      <c r="A1265" s="2">
        <v>44906</v>
      </c>
      <c r="B1265" s="3">
        <v>345</v>
      </c>
      <c r="C1265" s="3">
        <v>1300</v>
      </c>
      <c r="D1265">
        <v>469.51729999999998</v>
      </c>
      <c r="E1265">
        <v>4.2999999999999997E-2</v>
      </c>
      <c r="F1265">
        <v>462.8005</v>
      </c>
      <c r="G1265">
        <v>471.42790000000002</v>
      </c>
      <c r="H1265">
        <v>474.32350000000002</v>
      </c>
      <c r="I1265">
        <v>5.1999999999999998E-2</v>
      </c>
      <c r="J1265">
        <v>3.7999999999999999E-2</v>
      </c>
      <c r="K1265">
        <v>3.7999999999999999E-2</v>
      </c>
      <c r="L1265">
        <v>2330.4</v>
      </c>
      <c r="M1265">
        <v>2338.8000000000002</v>
      </c>
      <c r="N1265">
        <v>2355</v>
      </c>
      <c r="Q1265">
        <f t="shared" si="84"/>
        <v>469.5</v>
      </c>
      <c r="R1265">
        <f t="shared" si="85"/>
        <v>469.5</v>
      </c>
      <c r="S1265">
        <f t="shared" si="86"/>
        <v>0.5</v>
      </c>
    </row>
    <row r="1266" spans="1:19" x14ac:dyDescent="0.25">
      <c r="A1266" s="2">
        <v>44906</v>
      </c>
      <c r="B1266" s="3">
        <v>345</v>
      </c>
      <c r="C1266" s="3">
        <v>1400</v>
      </c>
      <c r="D1266">
        <v>469.88549999999998</v>
      </c>
      <c r="E1266">
        <v>5.0999999999999997E-2</v>
      </c>
      <c r="F1266">
        <v>463.19470000000001</v>
      </c>
      <c r="G1266">
        <v>471.79399999999998</v>
      </c>
      <c r="H1266">
        <v>474.66800000000001</v>
      </c>
      <c r="I1266">
        <v>4.9000000000000002E-2</v>
      </c>
      <c r="J1266">
        <v>5.0999999999999997E-2</v>
      </c>
      <c r="K1266">
        <v>5.1999999999999998E-2</v>
      </c>
      <c r="L1266">
        <v>2331</v>
      </c>
      <c r="M1266">
        <v>2339.4</v>
      </c>
      <c r="N1266">
        <v>2355.6</v>
      </c>
      <c r="Q1266">
        <f t="shared" si="84"/>
        <v>469.9</v>
      </c>
      <c r="R1266">
        <f t="shared" si="85"/>
        <v>469.9</v>
      </c>
      <c r="S1266">
        <f t="shared" si="86"/>
        <v>0.39999999999997726</v>
      </c>
    </row>
    <row r="1267" spans="1:19" x14ac:dyDescent="0.25">
      <c r="A1267" s="2">
        <v>44906</v>
      </c>
      <c r="B1267" s="3">
        <v>345</v>
      </c>
      <c r="C1267" s="3">
        <v>1500</v>
      </c>
      <c r="D1267">
        <v>469.80720000000002</v>
      </c>
      <c r="E1267">
        <v>4.9000000000000002E-2</v>
      </c>
      <c r="F1267">
        <v>463.01690000000002</v>
      </c>
      <c r="G1267">
        <v>471.73289999999997</v>
      </c>
      <c r="H1267">
        <v>474.67169999999999</v>
      </c>
      <c r="I1267">
        <v>5.0999999999999997E-2</v>
      </c>
      <c r="J1267">
        <v>4.2999999999999997E-2</v>
      </c>
      <c r="K1267">
        <v>5.2999999999999999E-2</v>
      </c>
      <c r="L1267">
        <v>2330.8000000000002</v>
      </c>
      <c r="M1267">
        <v>2339.4</v>
      </c>
      <c r="N1267">
        <v>2355.6</v>
      </c>
      <c r="Q1267">
        <f t="shared" si="84"/>
        <v>469.8</v>
      </c>
      <c r="R1267">
        <f t="shared" si="85"/>
        <v>469.9</v>
      </c>
      <c r="S1267">
        <f t="shared" si="86"/>
        <v>0</v>
      </c>
    </row>
    <row r="1268" spans="1:19" x14ac:dyDescent="0.25">
      <c r="A1268" s="2">
        <v>44906</v>
      </c>
      <c r="B1268" s="3">
        <v>345</v>
      </c>
      <c r="C1268" s="3">
        <v>1600</v>
      </c>
      <c r="D1268">
        <v>469.86200000000002</v>
      </c>
      <c r="E1268">
        <v>4.4999999999999998E-2</v>
      </c>
      <c r="F1268">
        <v>463.06459999999998</v>
      </c>
      <c r="G1268">
        <v>471.81630000000001</v>
      </c>
      <c r="H1268">
        <v>474.70499999999998</v>
      </c>
      <c r="I1268">
        <v>3.7999999999999999E-2</v>
      </c>
      <c r="J1268">
        <v>5.1999999999999998E-2</v>
      </c>
      <c r="K1268">
        <v>4.3999999999999997E-2</v>
      </c>
      <c r="L1268">
        <v>2330.8000000000002</v>
      </c>
      <c r="M1268">
        <v>2339.6</v>
      </c>
      <c r="N1268">
        <v>2355.6</v>
      </c>
      <c r="Q1268">
        <f t="shared" si="84"/>
        <v>469.9</v>
      </c>
      <c r="R1268">
        <f t="shared" si="85"/>
        <v>469.9</v>
      </c>
      <c r="S1268">
        <f t="shared" si="86"/>
        <v>0</v>
      </c>
    </row>
    <row r="1269" spans="1:19" x14ac:dyDescent="0.25">
      <c r="A1269" s="2">
        <v>44906</v>
      </c>
      <c r="B1269" s="3">
        <v>345</v>
      </c>
      <c r="C1269" s="3">
        <v>1700</v>
      </c>
      <c r="D1269">
        <v>469.9264</v>
      </c>
      <c r="E1269">
        <v>2.9000000000000001E-2</v>
      </c>
      <c r="F1269">
        <v>463.16719999999998</v>
      </c>
      <c r="G1269">
        <v>471.87920000000003</v>
      </c>
      <c r="H1269">
        <v>474.7328</v>
      </c>
      <c r="I1269">
        <v>2.3E-2</v>
      </c>
      <c r="J1269">
        <v>0.04</v>
      </c>
      <c r="K1269">
        <v>1.9E-2</v>
      </c>
      <c r="L1269">
        <v>2331</v>
      </c>
      <c r="M1269">
        <v>2339.6</v>
      </c>
      <c r="N1269">
        <v>2355.8000000000002</v>
      </c>
      <c r="Q1269">
        <f t="shared" si="84"/>
        <v>469.9</v>
      </c>
      <c r="R1269">
        <f t="shared" si="85"/>
        <v>469.9</v>
      </c>
      <c r="S1269">
        <f t="shared" si="86"/>
        <v>0</v>
      </c>
    </row>
    <row r="1270" spans="1:19" x14ac:dyDescent="0.25">
      <c r="A1270" s="2">
        <v>44906</v>
      </c>
      <c r="B1270" s="3">
        <v>345</v>
      </c>
      <c r="C1270" s="3">
        <v>1800</v>
      </c>
      <c r="D1270">
        <v>469.9486</v>
      </c>
      <c r="E1270">
        <v>4.8000000000000001E-2</v>
      </c>
      <c r="F1270">
        <v>463.18369999999999</v>
      </c>
      <c r="G1270">
        <v>471.89949999999999</v>
      </c>
      <c r="H1270">
        <v>474.76240000000001</v>
      </c>
      <c r="I1270">
        <v>4.2999999999999997E-2</v>
      </c>
      <c r="J1270">
        <v>5.0999999999999997E-2</v>
      </c>
      <c r="K1270">
        <v>4.9000000000000002E-2</v>
      </c>
      <c r="L1270">
        <v>2331.1999999999998</v>
      </c>
      <c r="M1270">
        <v>2339.8000000000002</v>
      </c>
      <c r="N1270">
        <v>2355.8000000000002</v>
      </c>
      <c r="Q1270">
        <f t="shared" si="84"/>
        <v>469.9</v>
      </c>
      <c r="R1270">
        <f t="shared" si="85"/>
        <v>469.9</v>
      </c>
      <c r="S1270">
        <f t="shared" si="86"/>
        <v>0</v>
      </c>
    </row>
    <row r="1271" spans="1:19" x14ac:dyDescent="0.25">
      <c r="A1271" s="2">
        <v>44906</v>
      </c>
      <c r="B1271" s="3">
        <v>345</v>
      </c>
      <c r="C1271" s="3">
        <v>1900</v>
      </c>
      <c r="D1271">
        <v>469.9443</v>
      </c>
      <c r="E1271">
        <v>4.9000000000000002E-2</v>
      </c>
      <c r="F1271">
        <v>463.14339999999999</v>
      </c>
      <c r="G1271">
        <v>471.91430000000003</v>
      </c>
      <c r="H1271">
        <v>474.77539999999999</v>
      </c>
      <c r="I1271">
        <v>0.04</v>
      </c>
      <c r="J1271">
        <v>5.2999999999999999E-2</v>
      </c>
      <c r="K1271">
        <v>5.1999999999999998E-2</v>
      </c>
      <c r="L1271">
        <v>2331</v>
      </c>
      <c r="M1271">
        <v>2339.6</v>
      </c>
      <c r="N1271">
        <v>2355.8000000000002</v>
      </c>
      <c r="Q1271">
        <f t="shared" si="84"/>
        <v>469.9</v>
      </c>
      <c r="R1271">
        <f t="shared" si="85"/>
        <v>469.9</v>
      </c>
      <c r="S1271">
        <f t="shared" si="86"/>
        <v>0</v>
      </c>
    </row>
    <row r="1272" spans="1:19" x14ac:dyDescent="0.25">
      <c r="A1272" s="2">
        <v>44906</v>
      </c>
      <c r="B1272" s="3">
        <v>345</v>
      </c>
      <c r="C1272" s="3">
        <v>2000</v>
      </c>
      <c r="D1272">
        <v>469.95350000000002</v>
      </c>
      <c r="E1272">
        <v>4.7E-2</v>
      </c>
      <c r="F1272">
        <v>463.1782</v>
      </c>
      <c r="G1272">
        <v>471.89580000000001</v>
      </c>
      <c r="H1272">
        <v>474.78649999999999</v>
      </c>
      <c r="I1272">
        <v>3.7999999999999999E-2</v>
      </c>
      <c r="J1272">
        <v>0.05</v>
      </c>
      <c r="K1272">
        <v>5.2999999999999999E-2</v>
      </c>
      <c r="L1272">
        <v>2331</v>
      </c>
      <c r="M1272">
        <v>2339.6</v>
      </c>
      <c r="N1272">
        <v>2356</v>
      </c>
      <c r="Q1272">
        <f t="shared" si="84"/>
        <v>470</v>
      </c>
      <c r="R1272">
        <f t="shared" si="85"/>
        <v>470</v>
      </c>
      <c r="S1272">
        <f t="shared" si="86"/>
        <v>0.10000000000002274</v>
      </c>
    </row>
    <row r="1273" spans="1:19" x14ac:dyDescent="0.25">
      <c r="A1273" s="2">
        <v>44906</v>
      </c>
      <c r="B1273" s="3">
        <v>345</v>
      </c>
      <c r="C1273" s="3">
        <v>2100</v>
      </c>
      <c r="D1273">
        <v>469.97449999999998</v>
      </c>
      <c r="E1273">
        <v>0.04</v>
      </c>
      <c r="F1273">
        <v>463.18729999999999</v>
      </c>
      <c r="G1273">
        <v>471.89949999999999</v>
      </c>
      <c r="H1273">
        <v>474.8365</v>
      </c>
      <c r="I1273">
        <v>4.4999999999999998E-2</v>
      </c>
      <c r="J1273">
        <v>5.0999999999999997E-2</v>
      </c>
      <c r="K1273">
        <v>1.4E-2</v>
      </c>
      <c r="L1273">
        <v>2331.1999999999998</v>
      </c>
      <c r="M1273">
        <v>2339.6</v>
      </c>
      <c r="N1273">
        <v>2356</v>
      </c>
      <c r="Q1273">
        <f t="shared" si="84"/>
        <v>470</v>
      </c>
      <c r="R1273">
        <f t="shared" si="85"/>
        <v>470</v>
      </c>
      <c r="S1273">
        <f t="shared" si="86"/>
        <v>0</v>
      </c>
    </row>
    <row r="1274" spans="1:19" x14ac:dyDescent="0.25">
      <c r="A1274" s="2">
        <v>44906</v>
      </c>
      <c r="B1274" s="3">
        <v>345</v>
      </c>
      <c r="C1274" s="3">
        <v>2200</v>
      </c>
      <c r="D1274">
        <v>469.99970000000002</v>
      </c>
      <c r="E1274">
        <v>5.1999999999999998E-2</v>
      </c>
      <c r="F1274">
        <v>463.202</v>
      </c>
      <c r="G1274">
        <v>471.90690000000001</v>
      </c>
      <c r="H1274">
        <v>474.89019999999999</v>
      </c>
      <c r="I1274">
        <v>5.0999999999999997E-2</v>
      </c>
      <c r="J1274">
        <v>5.1999999999999998E-2</v>
      </c>
      <c r="K1274">
        <v>5.2999999999999999E-2</v>
      </c>
      <c r="L1274">
        <v>2331.1999999999998</v>
      </c>
      <c r="M1274">
        <v>2339.6</v>
      </c>
      <c r="N1274">
        <v>2356.1999999999998</v>
      </c>
      <c r="Q1274">
        <f t="shared" si="84"/>
        <v>470</v>
      </c>
      <c r="R1274">
        <f t="shared" si="85"/>
        <v>470</v>
      </c>
      <c r="S1274">
        <f t="shared" si="86"/>
        <v>0</v>
      </c>
    </row>
    <row r="1275" spans="1:19" x14ac:dyDescent="0.25">
      <c r="A1275" s="2">
        <v>44906</v>
      </c>
      <c r="B1275" s="3">
        <v>345</v>
      </c>
      <c r="C1275" s="3">
        <v>2300</v>
      </c>
      <c r="D1275">
        <v>470.00279999999998</v>
      </c>
      <c r="E1275">
        <v>4.8000000000000001E-2</v>
      </c>
      <c r="F1275">
        <v>463.19279999999998</v>
      </c>
      <c r="G1275">
        <v>471.90140000000002</v>
      </c>
      <c r="H1275">
        <v>474.91430000000003</v>
      </c>
      <c r="I1275">
        <v>4.8000000000000001E-2</v>
      </c>
      <c r="J1275">
        <v>5.0999999999999997E-2</v>
      </c>
      <c r="K1275">
        <v>4.4999999999999998E-2</v>
      </c>
      <c r="L1275">
        <v>2331</v>
      </c>
      <c r="M1275">
        <v>2339.6</v>
      </c>
      <c r="N1275">
        <v>2356</v>
      </c>
      <c r="Q1275">
        <f t="shared" si="84"/>
        <v>470</v>
      </c>
      <c r="R1275">
        <f t="shared" si="85"/>
        <v>470</v>
      </c>
      <c r="S1275">
        <f t="shared" si="86"/>
        <v>0</v>
      </c>
    </row>
    <row r="1276" spans="1:19" x14ac:dyDescent="0.25">
      <c r="A1276" s="2">
        <v>44906</v>
      </c>
      <c r="B1276" s="3">
        <v>345</v>
      </c>
      <c r="C1276" s="3">
        <v>2400</v>
      </c>
      <c r="D1276">
        <v>470.04469999999998</v>
      </c>
      <c r="E1276">
        <v>5.0999999999999997E-2</v>
      </c>
      <c r="F1276">
        <v>463.22219999999999</v>
      </c>
      <c r="G1276">
        <v>471.96980000000002</v>
      </c>
      <c r="H1276">
        <v>474.94200000000001</v>
      </c>
      <c r="I1276">
        <v>5.1999999999999998E-2</v>
      </c>
      <c r="J1276">
        <v>7.0999999999999994E-2</v>
      </c>
      <c r="K1276">
        <v>1.4E-2</v>
      </c>
      <c r="L1276">
        <v>2331</v>
      </c>
      <c r="M1276">
        <v>2339.8000000000002</v>
      </c>
      <c r="N1276">
        <v>2356.1999999999998</v>
      </c>
      <c r="Q1276">
        <f t="shared" si="84"/>
        <v>470</v>
      </c>
      <c r="R1276">
        <f t="shared" si="85"/>
        <v>470</v>
      </c>
      <c r="S1276">
        <f t="shared" si="86"/>
        <v>0</v>
      </c>
    </row>
    <row r="1277" spans="1:19" x14ac:dyDescent="0.25">
      <c r="A1277" s="2">
        <v>44907</v>
      </c>
      <c r="B1277" s="3">
        <v>346</v>
      </c>
      <c r="C1277" s="3">
        <v>100</v>
      </c>
      <c r="D1277">
        <v>470.11900000000003</v>
      </c>
      <c r="E1277">
        <v>4.3999999999999997E-2</v>
      </c>
      <c r="F1277">
        <v>463.32490000000001</v>
      </c>
      <c r="G1277">
        <v>472.06779999999998</v>
      </c>
      <c r="H1277">
        <v>474.96429999999998</v>
      </c>
      <c r="I1277">
        <v>5.1999999999999998E-2</v>
      </c>
      <c r="J1277">
        <v>3.4000000000000002E-2</v>
      </c>
      <c r="K1277">
        <v>4.3999999999999997E-2</v>
      </c>
      <c r="L1277">
        <v>2331.4</v>
      </c>
      <c r="M1277">
        <v>2340</v>
      </c>
      <c r="N1277">
        <v>2356.1999999999998</v>
      </c>
      <c r="Q1277">
        <f t="shared" si="84"/>
        <v>470.1</v>
      </c>
      <c r="R1277">
        <f t="shared" si="85"/>
        <v>470.1</v>
      </c>
      <c r="S1277">
        <f t="shared" si="86"/>
        <v>0.10000000000002274</v>
      </c>
    </row>
    <row r="1278" spans="1:19" x14ac:dyDescent="0.25">
      <c r="A1278" s="2">
        <v>44907</v>
      </c>
      <c r="B1278" s="3">
        <v>346</v>
      </c>
      <c r="C1278" s="3">
        <v>200</v>
      </c>
      <c r="D1278">
        <v>470.12270000000001</v>
      </c>
      <c r="E1278">
        <v>4.5999999999999999E-2</v>
      </c>
      <c r="F1278">
        <v>463.32670000000002</v>
      </c>
      <c r="G1278">
        <v>472.0641</v>
      </c>
      <c r="H1278">
        <v>474.97719999999998</v>
      </c>
      <c r="I1278">
        <v>5.1999999999999998E-2</v>
      </c>
      <c r="J1278">
        <v>3.3000000000000002E-2</v>
      </c>
      <c r="K1278">
        <v>0.05</v>
      </c>
      <c r="L1278">
        <v>2331.1999999999998</v>
      </c>
      <c r="M1278">
        <v>2340</v>
      </c>
      <c r="N1278">
        <v>2356.1999999999998</v>
      </c>
      <c r="Q1278">
        <f t="shared" si="84"/>
        <v>470.1</v>
      </c>
      <c r="R1278">
        <f t="shared" si="85"/>
        <v>470.1</v>
      </c>
      <c r="S1278">
        <f t="shared" si="86"/>
        <v>0</v>
      </c>
    </row>
    <row r="1279" spans="1:19" x14ac:dyDescent="0.25">
      <c r="A1279" s="2">
        <v>44907</v>
      </c>
      <c r="B1279" s="3">
        <v>346</v>
      </c>
      <c r="C1279" s="3">
        <v>300</v>
      </c>
      <c r="D1279">
        <v>470.13440000000003</v>
      </c>
      <c r="E1279">
        <v>4.3999999999999997E-2</v>
      </c>
      <c r="F1279">
        <v>463.33769999999998</v>
      </c>
      <c r="G1279">
        <v>472.07889999999998</v>
      </c>
      <c r="H1279">
        <v>474.98649999999998</v>
      </c>
      <c r="I1279">
        <v>4.9000000000000002E-2</v>
      </c>
      <c r="J1279">
        <v>2.7E-2</v>
      </c>
      <c r="K1279">
        <v>5.1999999999999998E-2</v>
      </c>
      <c r="L1279">
        <v>2331.4</v>
      </c>
      <c r="M1279">
        <v>2340</v>
      </c>
      <c r="N1279">
        <v>2356.1999999999998</v>
      </c>
      <c r="Q1279">
        <f t="shared" si="84"/>
        <v>470.1</v>
      </c>
      <c r="R1279">
        <f t="shared" si="85"/>
        <v>470.1</v>
      </c>
      <c r="S1279">
        <f t="shared" si="86"/>
        <v>0</v>
      </c>
    </row>
    <row r="1280" spans="1:19" x14ac:dyDescent="0.25">
      <c r="A1280" s="2">
        <v>44907</v>
      </c>
      <c r="B1280" s="3">
        <v>346</v>
      </c>
      <c r="C1280" s="3">
        <v>400</v>
      </c>
      <c r="D1280">
        <v>470.13990000000001</v>
      </c>
      <c r="E1280">
        <v>4.3999999999999997E-2</v>
      </c>
      <c r="F1280">
        <v>463.34870000000001</v>
      </c>
      <c r="G1280">
        <v>472.07889999999998</v>
      </c>
      <c r="H1280">
        <v>474.99209999999999</v>
      </c>
      <c r="I1280">
        <v>4.2999999999999997E-2</v>
      </c>
      <c r="J1280">
        <v>3.3000000000000002E-2</v>
      </c>
      <c r="K1280">
        <v>5.2999999999999999E-2</v>
      </c>
      <c r="L1280">
        <v>2331.4</v>
      </c>
      <c r="M1280">
        <v>2340</v>
      </c>
      <c r="N1280">
        <v>2356.1999999999998</v>
      </c>
      <c r="Q1280">
        <f t="shared" si="84"/>
        <v>470.1</v>
      </c>
      <c r="R1280">
        <f t="shared" si="85"/>
        <v>470.1</v>
      </c>
      <c r="S1280">
        <f t="shared" si="86"/>
        <v>0</v>
      </c>
    </row>
    <row r="1281" spans="1:19" x14ac:dyDescent="0.25">
      <c r="A1281" s="2">
        <v>44907</v>
      </c>
      <c r="B1281" s="3">
        <v>346</v>
      </c>
      <c r="C1281" s="3">
        <v>500</v>
      </c>
      <c r="D1281">
        <v>470.13810000000001</v>
      </c>
      <c r="E1281">
        <v>4.4999999999999998E-2</v>
      </c>
      <c r="F1281">
        <v>463.34690000000001</v>
      </c>
      <c r="G1281">
        <v>472.06599999999997</v>
      </c>
      <c r="H1281">
        <v>475.00130000000001</v>
      </c>
      <c r="I1281">
        <v>4.3999999999999997E-2</v>
      </c>
      <c r="J1281">
        <v>3.6999999999999998E-2</v>
      </c>
      <c r="K1281">
        <v>5.1999999999999998E-2</v>
      </c>
      <c r="L1281">
        <v>2331.4</v>
      </c>
      <c r="M1281">
        <v>2340</v>
      </c>
      <c r="N1281">
        <v>2356.4</v>
      </c>
      <c r="Q1281">
        <f t="shared" si="84"/>
        <v>470.1</v>
      </c>
      <c r="R1281">
        <f t="shared" si="85"/>
        <v>470.1</v>
      </c>
      <c r="S1281">
        <f t="shared" si="86"/>
        <v>0</v>
      </c>
    </row>
    <row r="1282" spans="1:19" x14ac:dyDescent="0.25">
      <c r="A1282" s="2">
        <v>44907</v>
      </c>
      <c r="B1282" s="3">
        <v>346</v>
      </c>
      <c r="C1282" s="3">
        <v>600</v>
      </c>
      <c r="D1282">
        <v>470.14490000000001</v>
      </c>
      <c r="E1282">
        <v>3.9E-2</v>
      </c>
      <c r="F1282">
        <v>463.34870000000001</v>
      </c>
      <c r="G1282">
        <v>472.07150000000001</v>
      </c>
      <c r="H1282">
        <v>475.01429999999999</v>
      </c>
      <c r="I1282">
        <v>4.2999999999999997E-2</v>
      </c>
      <c r="J1282">
        <v>0.02</v>
      </c>
      <c r="K1282">
        <v>4.8000000000000001E-2</v>
      </c>
      <c r="L1282">
        <v>2331.4</v>
      </c>
      <c r="M1282">
        <v>2340</v>
      </c>
      <c r="N1282">
        <v>2356.4</v>
      </c>
      <c r="Q1282">
        <f t="shared" si="84"/>
        <v>470.1</v>
      </c>
      <c r="R1282">
        <f t="shared" si="85"/>
        <v>470.1</v>
      </c>
      <c r="S1282">
        <f t="shared" si="86"/>
        <v>0</v>
      </c>
    </row>
    <row r="1283" spans="1:19" x14ac:dyDescent="0.25">
      <c r="A1283" s="2">
        <v>44907</v>
      </c>
      <c r="B1283" s="3">
        <v>346</v>
      </c>
      <c r="C1283" s="3">
        <v>700</v>
      </c>
      <c r="D1283">
        <v>470.15350000000001</v>
      </c>
      <c r="E1283">
        <v>0.04</v>
      </c>
      <c r="F1283">
        <v>463.34690000000001</v>
      </c>
      <c r="G1283">
        <v>472.08629999999999</v>
      </c>
      <c r="H1283">
        <v>475.02730000000003</v>
      </c>
      <c r="I1283">
        <v>4.3999999999999997E-2</v>
      </c>
      <c r="J1283">
        <v>3.6999999999999998E-2</v>
      </c>
      <c r="K1283">
        <v>0.04</v>
      </c>
      <c r="L1283">
        <v>2331.4</v>
      </c>
      <c r="M1283">
        <v>2340</v>
      </c>
      <c r="N1283">
        <v>2356.4</v>
      </c>
      <c r="Q1283">
        <f t="shared" si="84"/>
        <v>470.2</v>
      </c>
      <c r="R1283">
        <f t="shared" si="85"/>
        <v>470.2</v>
      </c>
      <c r="S1283">
        <f t="shared" si="86"/>
        <v>9.9999999999965894E-2</v>
      </c>
    </row>
    <row r="1284" spans="1:19" x14ac:dyDescent="0.25">
      <c r="A1284" s="2">
        <v>44907</v>
      </c>
      <c r="B1284" s="3">
        <v>346</v>
      </c>
      <c r="C1284" s="3">
        <v>800</v>
      </c>
      <c r="D1284">
        <v>470.19099999999997</v>
      </c>
      <c r="E1284">
        <v>4.1000000000000002E-2</v>
      </c>
      <c r="F1284">
        <v>463.38350000000003</v>
      </c>
      <c r="G1284">
        <v>472.13069999999999</v>
      </c>
      <c r="H1284">
        <v>475.05880000000002</v>
      </c>
      <c r="I1284">
        <v>3.4000000000000002E-2</v>
      </c>
      <c r="J1284">
        <v>5.1999999999999998E-2</v>
      </c>
      <c r="K1284">
        <v>3.5000000000000003E-2</v>
      </c>
      <c r="L1284">
        <v>2331.4</v>
      </c>
      <c r="M1284">
        <v>2340</v>
      </c>
      <c r="N1284">
        <v>2356.4</v>
      </c>
      <c r="Q1284">
        <f t="shared" si="84"/>
        <v>470.2</v>
      </c>
      <c r="R1284">
        <f t="shared" si="85"/>
        <v>470.2</v>
      </c>
      <c r="S1284">
        <f t="shared" si="86"/>
        <v>0</v>
      </c>
    </row>
    <row r="1285" spans="1:19" x14ac:dyDescent="0.25">
      <c r="A1285" s="2">
        <v>44907</v>
      </c>
      <c r="B1285" s="3">
        <v>346</v>
      </c>
      <c r="C1285" s="3">
        <v>900</v>
      </c>
      <c r="D1285">
        <v>470.20089999999999</v>
      </c>
      <c r="E1285">
        <v>3.5000000000000003E-2</v>
      </c>
      <c r="F1285">
        <v>463.37990000000002</v>
      </c>
      <c r="G1285">
        <v>472.16219999999998</v>
      </c>
      <c r="H1285">
        <v>475.06060000000002</v>
      </c>
      <c r="I1285">
        <v>0.03</v>
      </c>
      <c r="J1285">
        <v>3.6999999999999998E-2</v>
      </c>
      <c r="K1285">
        <v>3.6999999999999998E-2</v>
      </c>
      <c r="L1285">
        <v>2331.4</v>
      </c>
      <c r="M1285">
        <v>2340</v>
      </c>
      <c r="N1285">
        <v>2356.4</v>
      </c>
      <c r="Q1285">
        <f t="shared" si="84"/>
        <v>470.2</v>
      </c>
      <c r="R1285">
        <f t="shared" si="85"/>
        <v>470.2</v>
      </c>
      <c r="S1285">
        <f t="shared" si="86"/>
        <v>0</v>
      </c>
    </row>
    <row r="1286" spans="1:19" x14ac:dyDescent="0.25">
      <c r="A1286" s="2">
        <v>44907</v>
      </c>
      <c r="B1286" s="3">
        <v>346</v>
      </c>
      <c r="C1286" s="3">
        <v>1000</v>
      </c>
      <c r="D1286">
        <v>470.18239999999997</v>
      </c>
      <c r="E1286">
        <v>3.7999999999999999E-2</v>
      </c>
      <c r="F1286">
        <v>463.37439999999998</v>
      </c>
      <c r="G1286">
        <v>472.12329999999997</v>
      </c>
      <c r="H1286">
        <v>475.04950000000002</v>
      </c>
      <c r="I1286">
        <v>1.9E-2</v>
      </c>
      <c r="J1286">
        <v>5.2999999999999999E-2</v>
      </c>
      <c r="K1286">
        <v>3.4000000000000002E-2</v>
      </c>
      <c r="L1286">
        <v>2331.4</v>
      </c>
      <c r="M1286">
        <v>2340</v>
      </c>
      <c r="N1286">
        <v>2356.4</v>
      </c>
      <c r="Q1286">
        <f t="shared" si="84"/>
        <v>470.2</v>
      </c>
      <c r="R1286">
        <f t="shared" si="85"/>
        <v>470.2</v>
      </c>
      <c r="S1286">
        <f t="shared" si="86"/>
        <v>0</v>
      </c>
    </row>
    <row r="1287" spans="1:19" x14ac:dyDescent="0.25">
      <c r="A1287" s="2">
        <v>44907</v>
      </c>
      <c r="B1287" s="3">
        <v>346</v>
      </c>
      <c r="C1287" s="3">
        <v>1100</v>
      </c>
      <c r="D1287">
        <v>470.18360000000001</v>
      </c>
      <c r="E1287">
        <v>3.9E-2</v>
      </c>
      <c r="F1287">
        <v>463.37439999999998</v>
      </c>
      <c r="G1287">
        <v>472.12520000000001</v>
      </c>
      <c r="H1287">
        <v>475.05130000000003</v>
      </c>
      <c r="I1287">
        <v>2.7E-2</v>
      </c>
      <c r="J1287">
        <v>5.2999999999999999E-2</v>
      </c>
      <c r="K1287">
        <v>3.1E-2</v>
      </c>
      <c r="L1287">
        <v>2331.4</v>
      </c>
      <c r="M1287">
        <v>2340</v>
      </c>
      <c r="N1287">
        <v>2356.4</v>
      </c>
      <c r="Q1287">
        <f t="shared" si="84"/>
        <v>470.2</v>
      </c>
      <c r="R1287">
        <f t="shared" si="85"/>
        <v>470.2</v>
      </c>
      <c r="S1287">
        <f t="shared" si="86"/>
        <v>0</v>
      </c>
    </row>
    <row r="1288" spans="1:19" x14ac:dyDescent="0.25">
      <c r="A1288" s="2">
        <v>44907</v>
      </c>
      <c r="B1288" s="3">
        <v>346</v>
      </c>
      <c r="C1288" s="3">
        <v>1200</v>
      </c>
      <c r="D1288">
        <v>470.19589999999999</v>
      </c>
      <c r="E1288">
        <v>4.2999999999999997E-2</v>
      </c>
      <c r="F1288">
        <v>463.39089999999999</v>
      </c>
      <c r="G1288">
        <v>472.13630000000001</v>
      </c>
      <c r="H1288">
        <v>475.06060000000002</v>
      </c>
      <c r="I1288">
        <v>4.1000000000000002E-2</v>
      </c>
      <c r="J1288">
        <v>5.0999999999999997E-2</v>
      </c>
      <c r="K1288">
        <v>3.6999999999999998E-2</v>
      </c>
      <c r="L1288">
        <v>2331.4</v>
      </c>
      <c r="M1288">
        <v>2340.1999999999998</v>
      </c>
      <c r="N1288">
        <v>2356.4</v>
      </c>
      <c r="Q1288">
        <f t="shared" si="84"/>
        <v>470.2</v>
      </c>
      <c r="R1288">
        <f t="shared" si="85"/>
        <v>470.2</v>
      </c>
      <c r="S1288">
        <f t="shared" si="86"/>
        <v>0</v>
      </c>
    </row>
    <row r="1289" spans="1:19" x14ac:dyDescent="0.25">
      <c r="A1289" s="2">
        <v>44907</v>
      </c>
      <c r="B1289" s="3">
        <v>346</v>
      </c>
      <c r="C1289" s="3">
        <v>1300</v>
      </c>
      <c r="D1289">
        <v>470.2174</v>
      </c>
      <c r="E1289">
        <v>4.2999999999999997E-2</v>
      </c>
      <c r="F1289">
        <v>463.45510000000002</v>
      </c>
      <c r="G1289">
        <v>472.13810000000001</v>
      </c>
      <c r="H1289">
        <v>475.05880000000002</v>
      </c>
      <c r="I1289">
        <v>4.1000000000000002E-2</v>
      </c>
      <c r="J1289">
        <v>5.0999999999999997E-2</v>
      </c>
      <c r="K1289">
        <v>3.5000000000000003E-2</v>
      </c>
      <c r="L1289">
        <v>2331.6</v>
      </c>
      <c r="M1289">
        <v>2340.1999999999998</v>
      </c>
      <c r="N1289">
        <v>2356.4</v>
      </c>
      <c r="Q1289">
        <f t="shared" si="84"/>
        <v>470.2</v>
      </c>
      <c r="R1289">
        <f t="shared" si="85"/>
        <v>470.2</v>
      </c>
      <c r="S1289">
        <f t="shared" si="86"/>
        <v>0</v>
      </c>
    </row>
    <row r="1290" spans="1:19" x14ac:dyDescent="0.25">
      <c r="A1290" s="2">
        <v>44907</v>
      </c>
      <c r="B1290" s="3">
        <v>346</v>
      </c>
      <c r="C1290" s="3">
        <v>1400</v>
      </c>
      <c r="D1290">
        <v>470.21289999999999</v>
      </c>
      <c r="E1290">
        <v>3.7999999999999999E-2</v>
      </c>
      <c r="F1290">
        <v>463.51389999999998</v>
      </c>
      <c r="G1290">
        <v>472.0752</v>
      </c>
      <c r="H1290">
        <v>475.04950000000002</v>
      </c>
      <c r="I1290">
        <v>0.05</v>
      </c>
      <c r="J1290">
        <v>2.8000000000000001E-2</v>
      </c>
      <c r="K1290">
        <v>3.4000000000000002E-2</v>
      </c>
      <c r="L1290">
        <v>2331.8000000000002</v>
      </c>
      <c r="M1290">
        <v>2339.8000000000002</v>
      </c>
      <c r="N1290">
        <v>2356.4</v>
      </c>
      <c r="Q1290">
        <f t="shared" si="84"/>
        <v>470.2</v>
      </c>
      <c r="R1290">
        <f t="shared" si="85"/>
        <v>470.2</v>
      </c>
      <c r="S1290">
        <f t="shared" si="86"/>
        <v>0</v>
      </c>
    </row>
    <row r="1291" spans="1:19" x14ac:dyDescent="0.25">
      <c r="A1291" s="2">
        <v>44907</v>
      </c>
      <c r="B1291" s="3">
        <v>346</v>
      </c>
      <c r="C1291" s="3">
        <v>1500</v>
      </c>
      <c r="D1291">
        <v>470.15379999999999</v>
      </c>
      <c r="E1291">
        <v>5.0999999999999997E-2</v>
      </c>
      <c r="F1291">
        <v>463.44779999999997</v>
      </c>
      <c r="G1291">
        <v>472.02339999999998</v>
      </c>
      <c r="H1291">
        <v>474.99020000000002</v>
      </c>
      <c r="I1291">
        <v>4.5999999999999999E-2</v>
      </c>
      <c r="J1291">
        <v>5.2999999999999999E-2</v>
      </c>
      <c r="K1291">
        <v>5.2999999999999999E-2</v>
      </c>
      <c r="L1291">
        <v>2331.4</v>
      </c>
      <c r="M1291">
        <v>2339.8000000000002</v>
      </c>
      <c r="N1291">
        <v>2356.1999999999998</v>
      </c>
      <c r="Q1291">
        <f t="shared" si="84"/>
        <v>470.2</v>
      </c>
      <c r="R1291">
        <f t="shared" si="85"/>
        <v>470.2</v>
      </c>
      <c r="S1291">
        <f t="shared" si="86"/>
        <v>0</v>
      </c>
    </row>
    <row r="1292" spans="1:19" x14ac:dyDescent="0.25">
      <c r="A1292" s="2">
        <v>44907</v>
      </c>
      <c r="B1292" s="3">
        <v>346</v>
      </c>
      <c r="C1292" s="3">
        <v>1600</v>
      </c>
      <c r="D1292">
        <v>470.18049999999999</v>
      </c>
      <c r="E1292">
        <v>4.7E-2</v>
      </c>
      <c r="F1292">
        <v>463.38909999999998</v>
      </c>
      <c r="G1292">
        <v>472.14</v>
      </c>
      <c r="H1292">
        <v>475.01240000000001</v>
      </c>
      <c r="I1292">
        <v>0.04</v>
      </c>
      <c r="J1292">
        <v>0.05</v>
      </c>
      <c r="K1292">
        <v>4.9000000000000002E-2</v>
      </c>
      <c r="L1292">
        <v>2331.4</v>
      </c>
      <c r="M1292">
        <v>2340.1999999999998</v>
      </c>
      <c r="N1292">
        <v>2356.4</v>
      </c>
      <c r="Q1292">
        <f t="shared" si="84"/>
        <v>470.2</v>
      </c>
      <c r="R1292">
        <f t="shared" si="85"/>
        <v>470.2</v>
      </c>
      <c r="S1292">
        <f t="shared" si="86"/>
        <v>0</v>
      </c>
    </row>
    <row r="1293" spans="1:19" x14ac:dyDescent="0.25">
      <c r="A1293" s="2">
        <v>44907</v>
      </c>
      <c r="B1293" s="3">
        <v>346</v>
      </c>
      <c r="C1293" s="3">
        <v>1700</v>
      </c>
      <c r="D1293">
        <v>470.20699999999999</v>
      </c>
      <c r="E1293">
        <v>4.1000000000000002E-2</v>
      </c>
      <c r="F1293">
        <v>463.39089999999999</v>
      </c>
      <c r="G1293">
        <v>472.16399999999999</v>
      </c>
      <c r="H1293">
        <v>475.06619999999998</v>
      </c>
      <c r="I1293">
        <v>4.5999999999999999E-2</v>
      </c>
      <c r="J1293">
        <v>3.5000000000000003E-2</v>
      </c>
      <c r="K1293">
        <v>4.2000000000000003E-2</v>
      </c>
      <c r="L1293">
        <v>2331.6</v>
      </c>
      <c r="M1293">
        <v>2340.1999999999998</v>
      </c>
      <c r="N1293">
        <v>2356.6</v>
      </c>
      <c r="Q1293">
        <f t="shared" si="84"/>
        <v>470.2</v>
      </c>
      <c r="R1293">
        <f t="shared" si="85"/>
        <v>470.2</v>
      </c>
      <c r="S1293">
        <f t="shared" si="86"/>
        <v>0</v>
      </c>
    </row>
    <row r="1294" spans="1:19" x14ac:dyDescent="0.25">
      <c r="A1294" s="2">
        <v>44907</v>
      </c>
      <c r="B1294" s="3">
        <v>346</v>
      </c>
      <c r="C1294" s="3">
        <v>1800</v>
      </c>
      <c r="D1294">
        <v>470.20580000000001</v>
      </c>
      <c r="E1294">
        <v>3.6999999999999998E-2</v>
      </c>
      <c r="F1294">
        <v>463.3854</v>
      </c>
      <c r="G1294">
        <v>472.16590000000002</v>
      </c>
      <c r="H1294">
        <v>475.06619999999998</v>
      </c>
      <c r="I1294">
        <v>3.5999999999999997E-2</v>
      </c>
      <c r="J1294">
        <v>3.2000000000000001E-2</v>
      </c>
      <c r="K1294">
        <v>4.2000000000000003E-2</v>
      </c>
      <c r="L1294">
        <v>2331.4</v>
      </c>
      <c r="M1294">
        <v>2340</v>
      </c>
      <c r="N1294">
        <v>2356.4</v>
      </c>
      <c r="Q1294">
        <f t="shared" si="84"/>
        <v>470.2</v>
      </c>
      <c r="R1294">
        <f t="shared" si="85"/>
        <v>470.2</v>
      </c>
      <c r="S1294">
        <f t="shared" si="86"/>
        <v>0</v>
      </c>
    </row>
    <row r="1295" spans="1:19" x14ac:dyDescent="0.25">
      <c r="A1295" s="2">
        <v>44907</v>
      </c>
      <c r="B1295" s="3">
        <v>346</v>
      </c>
      <c r="C1295" s="3">
        <v>1900</v>
      </c>
      <c r="D1295">
        <v>470.20339999999999</v>
      </c>
      <c r="E1295">
        <v>2.9000000000000001E-2</v>
      </c>
      <c r="F1295">
        <v>463.37439999999998</v>
      </c>
      <c r="G1295">
        <v>472.17140000000001</v>
      </c>
      <c r="H1295">
        <v>475.0643</v>
      </c>
      <c r="I1295">
        <v>1.9E-2</v>
      </c>
      <c r="J1295">
        <v>2.4E-2</v>
      </c>
      <c r="K1295">
        <v>0.04</v>
      </c>
      <c r="L1295">
        <v>2331.4</v>
      </c>
      <c r="M1295">
        <v>2340.1999999999998</v>
      </c>
      <c r="N1295">
        <v>2356.4</v>
      </c>
      <c r="Q1295">
        <f t="shared" si="84"/>
        <v>470.2</v>
      </c>
      <c r="R1295">
        <f t="shared" si="85"/>
        <v>470.2</v>
      </c>
      <c r="S1295">
        <f t="shared" si="86"/>
        <v>0</v>
      </c>
    </row>
    <row r="1296" spans="1:19" x14ac:dyDescent="0.25">
      <c r="A1296" s="2">
        <v>44907</v>
      </c>
      <c r="B1296" s="3">
        <v>346</v>
      </c>
      <c r="C1296" s="3">
        <v>2000</v>
      </c>
      <c r="D1296">
        <v>470.20710000000003</v>
      </c>
      <c r="E1296">
        <v>4.1000000000000002E-2</v>
      </c>
      <c r="F1296">
        <v>463.37810000000002</v>
      </c>
      <c r="G1296">
        <v>472.16219999999998</v>
      </c>
      <c r="H1296">
        <v>475.08100000000002</v>
      </c>
      <c r="I1296">
        <v>2.7E-2</v>
      </c>
      <c r="J1296">
        <v>4.2000000000000003E-2</v>
      </c>
      <c r="K1296">
        <v>0.05</v>
      </c>
      <c r="L1296">
        <v>2331.4</v>
      </c>
      <c r="M1296">
        <v>2340.1999999999998</v>
      </c>
      <c r="N1296">
        <v>2356.6</v>
      </c>
      <c r="Q1296">
        <f t="shared" si="84"/>
        <v>470.2</v>
      </c>
      <c r="R1296">
        <f t="shared" si="85"/>
        <v>470.2</v>
      </c>
      <c r="S1296">
        <f t="shared" si="86"/>
        <v>0</v>
      </c>
    </row>
    <row r="1297" spans="1:19" x14ac:dyDescent="0.25">
      <c r="A1297" s="2">
        <v>44907</v>
      </c>
      <c r="B1297" s="3">
        <v>346</v>
      </c>
      <c r="C1297" s="3">
        <v>2100</v>
      </c>
      <c r="D1297">
        <v>470.20710000000003</v>
      </c>
      <c r="E1297">
        <v>3.9E-2</v>
      </c>
      <c r="F1297">
        <v>463.37990000000002</v>
      </c>
      <c r="G1297">
        <v>472.16590000000002</v>
      </c>
      <c r="H1297">
        <v>475.07549999999998</v>
      </c>
      <c r="I1297">
        <v>0.03</v>
      </c>
      <c r="J1297">
        <v>3.7999999999999999E-2</v>
      </c>
      <c r="K1297">
        <v>4.8000000000000001E-2</v>
      </c>
      <c r="L1297">
        <v>2331.4</v>
      </c>
      <c r="M1297">
        <v>2340.1999999999998</v>
      </c>
      <c r="N1297">
        <v>2356.6</v>
      </c>
      <c r="Q1297">
        <f t="shared" si="84"/>
        <v>470.2</v>
      </c>
      <c r="R1297">
        <f t="shared" si="85"/>
        <v>470.2</v>
      </c>
      <c r="S1297">
        <f t="shared" si="86"/>
        <v>0</v>
      </c>
    </row>
    <row r="1298" spans="1:19" x14ac:dyDescent="0.25">
      <c r="A1298" s="2">
        <v>44907</v>
      </c>
      <c r="B1298" s="3">
        <v>346</v>
      </c>
      <c r="C1298" s="3">
        <v>2200</v>
      </c>
      <c r="D1298">
        <v>470.19349999999997</v>
      </c>
      <c r="E1298">
        <v>3.2000000000000001E-2</v>
      </c>
      <c r="F1298">
        <v>463.36700000000002</v>
      </c>
      <c r="G1298">
        <v>472.15660000000003</v>
      </c>
      <c r="H1298">
        <v>475.05689999999998</v>
      </c>
      <c r="I1298">
        <v>1.9E-2</v>
      </c>
      <c r="J1298">
        <v>4.2000000000000003E-2</v>
      </c>
      <c r="K1298">
        <v>3.2000000000000001E-2</v>
      </c>
      <c r="L1298">
        <v>2331.4</v>
      </c>
      <c r="M1298">
        <v>2340.1999999999998</v>
      </c>
      <c r="N1298">
        <v>2356.4</v>
      </c>
      <c r="Q1298">
        <f t="shared" si="84"/>
        <v>470.2</v>
      </c>
      <c r="R1298">
        <f t="shared" si="85"/>
        <v>470.2</v>
      </c>
      <c r="S1298">
        <f t="shared" si="86"/>
        <v>0</v>
      </c>
    </row>
    <row r="1299" spans="1:19" x14ac:dyDescent="0.25">
      <c r="A1299" s="2">
        <v>44907</v>
      </c>
      <c r="B1299" s="3">
        <v>346</v>
      </c>
      <c r="C1299" s="3">
        <v>2300</v>
      </c>
      <c r="D1299">
        <v>470.19040000000001</v>
      </c>
      <c r="E1299">
        <v>3.1E-2</v>
      </c>
      <c r="F1299">
        <v>463.35969999999998</v>
      </c>
      <c r="G1299">
        <v>472.16590000000002</v>
      </c>
      <c r="H1299">
        <v>475.04579999999999</v>
      </c>
      <c r="I1299">
        <v>3.2000000000000001E-2</v>
      </c>
      <c r="J1299">
        <v>3.2000000000000001E-2</v>
      </c>
      <c r="K1299">
        <v>2.8000000000000001E-2</v>
      </c>
      <c r="L1299">
        <v>2331.4</v>
      </c>
      <c r="M1299">
        <v>2340.1999999999998</v>
      </c>
      <c r="N1299">
        <v>2356.4</v>
      </c>
      <c r="Q1299">
        <f t="shared" ref="Q1299:Q1362" si="87">ROUND(D1299,1)</f>
        <v>470.2</v>
      </c>
      <c r="R1299">
        <f t="shared" si="85"/>
        <v>470.2</v>
      </c>
      <c r="S1299">
        <f t="shared" si="86"/>
        <v>0</v>
      </c>
    </row>
    <row r="1300" spans="1:19" x14ac:dyDescent="0.25">
      <c r="A1300" s="2">
        <v>44907</v>
      </c>
      <c r="B1300" s="3">
        <v>346</v>
      </c>
      <c r="C1300" s="3">
        <v>2400</v>
      </c>
      <c r="D1300">
        <v>470.17140000000001</v>
      </c>
      <c r="E1300">
        <v>4.4999999999999998E-2</v>
      </c>
      <c r="F1300">
        <v>463.34320000000002</v>
      </c>
      <c r="G1300">
        <v>472.14920000000001</v>
      </c>
      <c r="H1300">
        <v>475.02170000000001</v>
      </c>
      <c r="I1300">
        <v>4.5999999999999999E-2</v>
      </c>
      <c r="J1300">
        <v>4.5999999999999999E-2</v>
      </c>
      <c r="K1300">
        <v>4.3999999999999997E-2</v>
      </c>
      <c r="L1300">
        <v>2331.4</v>
      </c>
      <c r="M1300">
        <v>2340.1999999999998</v>
      </c>
      <c r="N1300">
        <v>2356.1999999999998</v>
      </c>
      <c r="Q1300">
        <f t="shared" si="87"/>
        <v>470.2</v>
      </c>
      <c r="R1300">
        <f t="shared" si="85"/>
        <v>470.2</v>
      </c>
      <c r="S1300">
        <f t="shared" si="86"/>
        <v>0</v>
      </c>
    </row>
    <row r="1301" spans="1:19" x14ac:dyDescent="0.25">
      <c r="A1301" s="2">
        <v>44908</v>
      </c>
      <c r="B1301" s="3">
        <v>347</v>
      </c>
      <c r="C1301" s="3">
        <v>100</v>
      </c>
      <c r="D1301">
        <v>470.16210000000001</v>
      </c>
      <c r="E1301">
        <v>4.9000000000000002E-2</v>
      </c>
      <c r="F1301">
        <v>463.34870000000001</v>
      </c>
      <c r="G1301">
        <v>472.11959999999999</v>
      </c>
      <c r="H1301">
        <v>475.01799999999997</v>
      </c>
      <c r="I1301">
        <v>4.7E-2</v>
      </c>
      <c r="J1301">
        <v>5.2999999999999999E-2</v>
      </c>
      <c r="K1301">
        <v>4.5999999999999999E-2</v>
      </c>
      <c r="L1301">
        <v>2331.4</v>
      </c>
      <c r="M1301">
        <v>2340.1999999999998</v>
      </c>
      <c r="N1301">
        <v>2356.4</v>
      </c>
      <c r="Q1301">
        <f t="shared" si="87"/>
        <v>470.2</v>
      </c>
      <c r="R1301">
        <f t="shared" si="85"/>
        <v>470.2</v>
      </c>
      <c r="S1301">
        <f t="shared" si="86"/>
        <v>0</v>
      </c>
    </row>
    <row r="1302" spans="1:19" x14ac:dyDescent="0.25">
      <c r="A1302" s="2">
        <v>44908</v>
      </c>
      <c r="B1302" s="3">
        <v>347</v>
      </c>
      <c r="C1302" s="3">
        <v>200</v>
      </c>
      <c r="D1302">
        <v>470.15969999999999</v>
      </c>
      <c r="E1302">
        <v>0.05</v>
      </c>
      <c r="F1302">
        <v>463.34140000000002</v>
      </c>
      <c r="G1302">
        <v>472.12700000000001</v>
      </c>
      <c r="H1302">
        <v>475.01060000000001</v>
      </c>
      <c r="I1302">
        <v>4.7E-2</v>
      </c>
      <c r="J1302">
        <v>5.2999999999999999E-2</v>
      </c>
      <c r="K1302">
        <v>0.05</v>
      </c>
      <c r="L1302">
        <v>2331.1999999999998</v>
      </c>
      <c r="M1302">
        <v>2340.1999999999998</v>
      </c>
      <c r="N1302">
        <v>2356.4</v>
      </c>
      <c r="Q1302">
        <f t="shared" si="87"/>
        <v>470.2</v>
      </c>
      <c r="R1302">
        <f t="shared" si="85"/>
        <v>470.2</v>
      </c>
      <c r="S1302">
        <f t="shared" si="86"/>
        <v>0</v>
      </c>
    </row>
    <row r="1303" spans="1:19" x14ac:dyDescent="0.25">
      <c r="A1303" s="2">
        <v>44908</v>
      </c>
      <c r="B1303" s="3">
        <v>347</v>
      </c>
      <c r="C1303" s="3">
        <v>300</v>
      </c>
      <c r="D1303">
        <v>470.14359999999999</v>
      </c>
      <c r="E1303">
        <v>4.5999999999999999E-2</v>
      </c>
      <c r="F1303">
        <v>463.34140000000002</v>
      </c>
      <c r="G1303">
        <v>472.08449999999999</v>
      </c>
      <c r="H1303">
        <v>475.005</v>
      </c>
      <c r="I1303">
        <v>4.7E-2</v>
      </c>
      <c r="J1303">
        <v>0.04</v>
      </c>
      <c r="K1303">
        <v>5.0999999999999997E-2</v>
      </c>
      <c r="L1303">
        <v>2331.4</v>
      </c>
      <c r="M1303">
        <v>2340</v>
      </c>
      <c r="N1303">
        <v>2356.1999999999998</v>
      </c>
      <c r="Q1303">
        <f t="shared" si="87"/>
        <v>470.1</v>
      </c>
      <c r="R1303">
        <f t="shared" si="85"/>
        <v>470.2</v>
      </c>
      <c r="S1303">
        <f t="shared" si="86"/>
        <v>0</v>
      </c>
    </row>
    <row r="1304" spans="1:19" x14ac:dyDescent="0.25">
      <c r="A1304" s="2">
        <v>44908</v>
      </c>
      <c r="B1304" s="3">
        <v>347</v>
      </c>
      <c r="C1304" s="3">
        <v>400</v>
      </c>
      <c r="D1304">
        <v>470.14729999999997</v>
      </c>
      <c r="E1304">
        <v>4.8000000000000001E-2</v>
      </c>
      <c r="F1304">
        <v>463.33949999999999</v>
      </c>
      <c r="G1304">
        <v>472.09559999999999</v>
      </c>
      <c r="H1304">
        <v>475.00689999999997</v>
      </c>
      <c r="I1304">
        <v>4.8000000000000001E-2</v>
      </c>
      <c r="J1304">
        <v>4.3999999999999997E-2</v>
      </c>
      <c r="K1304">
        <v>5.0999999999999997E-2</v>
      </c>
      <c r="L1304">
        <v>2331.4</v>
      </c>
      <c r="M1304">
        <v>2340.1999999999998</v>
      </c>
      <c r="N1304">
        <v>2356.4</v>
      </c>
      <c r="Q1304">
        <f t="shared" si="87"/>
        <v>470.1</v>
      </c>
      <c r="R1304">
        <f t="shared" si="85"/>
        <v>470.2</v>
      </c>
      <c r="S1304">
        <f t="shared" si="86"/>
        <v>0</v>
      </c>
    </row>
    <row r="1305" spans="1:19" x14ac:dyDescent="0.25">
      <c r="A1305" s="2">
        <v>44908</v>
      </c>
      <c r="B1305" s="3">
        <v>347</v>
      </c>
      <c r="C1305" s="3">
        <v>500</v>
      </c>
      <c r="D1305">
        <v>470.15539999999999</v>
      </c>
      <c r="E1305">
        <v>0.05</v>
      </c>
      <c r="F1305">
        <v>463.34690000000001</v>
      </c>
      <c r="G1305">
        <v>472.11040000000003</v>
      </c>
      <c r="H1305">
        <v>475.00869999999998</v>
      </c>
      <c r="I1305">
        <v>4.8000000000000001E-2</v>
      </c>
      <c r="J1305">
        <v>5.0999999999999997E-2</v>
      </c>
      <c r="K1305">
        <v>0.05</v>
      </c>
      <c r="L1305">
        <v>2331.4</v>
      </c>
      <c r="M1305">
        <v>2340</v>
      </c>
      <c r="N1305">
        <v>2356.1999999999998</v>
      </c>
      <c r="Q1305">
        <f t="shared" si="87"/>
        <v>470.2</v>
      </c>
      <c r="R1305">
        <f t="shared" si="85"/>
        <v>470.2</v>
      </c>
      <c r="S1305">
        <f t="shared" si="86"/>
        <v>0</v>
      </c>
    </row>
    <row r="1306" spans="1:19" x14ac:dyDescent="0.25">
      <c r="A1306" s="2">
        <v>44908</v>
      </c>
      <c r="B1306" s="3">
        <v>347</v>
      </c>
      <c r="C1306" s="3">
        <v>600</v>
      </c>
      <c r="D1306">
        <v>470.14729999999997</v>
      </c>
      <c r="E1306">
        <v>0.05</v>
      </c>
      <c r="F1306">
        <v>463.3322</v>
      </c>
      <c r="G1306">
        <v>472.10480000000001</v>
      </c>
      <c r="H1306">
        <v>475.005</v>
      </c>
      <c r="I1306">
        <v>0.05</v>
      </c>
      <c r="J1306">
        <v>4.9000000000000002E-2</v>
      </c>
      <c r="K1306">
        <v>5.0999999999999997E-2</v>
      </c>
      <c r="L1306">
        <v>2331.1999999999998</v>
      </c>
      <c r="M1306">
        <v>2340</v>
      </c>
      <c r="N1306">
        <v>2356.4</v>
      </c>
      <c r="Q1306">
        <f t="shared" si="87"/>
        <v>470.1</v>
      </c>
      <c r="R1306">
        <f t="shared" si="85"/>
        <v>470.2</v>
      </c>
      <c r="S1306">
        <f t="shared" si="86"/>
        <v>0</v>
      </c>
    </row>
    <row r="1307" spans="1:19" x14ac:dyDescent="0.25">
      <c r="A1307" s="2">
        <v>44908</v>
      </c>
      <c r="B1307" s="3">
        <v>347</v>
      </c>
      <c r="C1307" s="3">
        <v>700</v>
      </c>
      <c r="D1307">
        <v>470.15780000000001</v>
      </c>
      <c r="E1307">
        <v>0.05</v>
      </c>
      <c r="F1307">
        <v>463.34140000000002</v>
      </c>
      <c r="G1307">
        <v>472.12520000000001</v>
      </c>
      <c r="H1307">
        <v>475.00689999999997</v>
      </c>
      <c r="I1307">
        <v>4.7E-2</v>
      </c>
      <c r="J1307">
        <v>5.2999999999999999E-2</v>
      </c>
      <c r="K1307">
        <v>5.0999999999999997E-2</v>
      </c>
      <c r="L1307">
        <v>2331.4</v>
      </c>
      <c r="M1307">
        <v>2340</v>
      </c>
      <c r="N1307">
        <v>2356.1999999999998</v>
      </c>
      <c r="Q1307">
        <f t="shared" si="87"/>
        <v>470.2</v>
      </c>
      <c r="R1307">
        <f t="shared" si="85"/>
        <v>470.2</v>
      </c>
      <c r="S1307">
        <f t="shared" si="86"/>
        <v>0</v>
      </c>
    </row>
    <row r="1308" spans="1:19" x14ac:dyDescent="0.25">
      <c r="A1308" s="2">
        <v>44908</v>
      </c>
      <c r="B1308" s="3">
        <v>347</v>
      </c>
      <c r="C1308" s="3">
        <v>800</v>
      </c>
      <c r="D1308">
        <v>470.15910000000002</v>
      </c>
      <c r="E1308">
        <v>5.0999999999999997E-2</v>
      </c>
      <c r="F1308">
        <v>463.3304</v>
      </c>
      <c r="G1308">
        <v>472.14179999999999</v>
      </c>
      <c r="H1308">
        <v>475.005</v>
      </c>
      <c r="I1308">
        <v>5.0999999999999997E-2</v>
      </c>
      <c r="J1308">
        <v>0.05</v>
      </c>
      <c r="K1308">
        <v>5.0999999999999997E-2</v>
      </c>
      <c r="L1308">
        <v>2331.1999999999998</v>
      </c>
      <c r="M1308">
        <v>2340</v>
      </c>
      <c r="N1308">
        <v>2356.4</v>
      </c>
      <c r="Q1308">
        <f t="shared" si="87"/>
        <v>470.2</v>
      </c>
      <c r="R1308">
        <f t="shared" si="85"/>
        <v>470.2</v>
      </c>
      <c r="S1308">
        <f t="shared" si="86"/>
        <v>0</v>
      </c>
    </row>
    <row r="1309" spans="1:19" x14ac:dyDescent="0.25">
      <c r="A1309" s="2">
        <v>44908</v>
      </c>
      <c r="B1309" s="3">
        <v>347</v>
      </c>
      <c r="C1309" s="3">
        <v>900</v>
      </c>
      <c r="D1309">
        <v>470.13440000000003</v>
      </c>
      <c r="E1309">
        <v>5.0999999999999997E-2</v>
      </c>
      <c r="F1309">
        <v>463.31020000000001</v>
      </c>
      <c r="G1309">
        <v>472.11219999999997</v>
      </c>
      <c r="H1309">
        <v>474.98090000000002</v>
      </c>
      <c r="I1309">
        <v>5.1999999999999998E-2</v>
      </c>
      <c r="J1309">
        <v>5.0999999999999997E-2</v>
      </c>
      <c r="K1309">
        <v>5.0999999999999997E-2</v>
      </c>
      <c r="L1309">
        <v>2331.1999999999998</v>
      </c>
      <c r="M1309">
        <v>2340</v>
      </c>
      <c r="N1309">
        <v>2356.4</v>
      </c>
      <c r="Q1309">
        <f t="shared" si="87"/>
        <v>470.1</v>
      </c>
      <c r="R1309">
        <f t="shared" si="85"/>
        <v>470.2</v>
      </c>
      <c r="S1309">
        <f t="shared" si="86"/>
        <v>0</v>
      </c>
    </row>
    <row r="1310" spans="1:19" x14ac:dyDescent="0.25">
      <c r="A1310" s="2">
        <v>44908</v>
      </c>
      <c r="B1310" s="3">
        <v>347</v>
      </c>
      <c r="C1310" s="3">
        <v>1000</v>
      </c>
      <c r="D1310">
        <v>470.08460000000002</v>
      </c>
      <c r="E1310">
        <v>3.7999999999999999E-2</v>
      </c>
      <c r="F1310">
        <v>463.279</v>
      </c>
      <c r="G1310">
        <v>472.04750000000001</v>
      </c>
      <c r="H1310">
        <v>474.92720000000003</v>
      </c>
      <c r="I1310">
        <v>3.4000000000000002E-2</v>
      </c>
      <c r="J1310">
        <v>4.3999999999999997E-2</v>
      </c>
      <c r="K1310">
        <v>3.5000000000000003E-2</v>
      </c>
      <c r="L1310">
        <v>2331.1999999999998</v>
      </c>
      <c r="M1310">
        <v>2340</v>
      </c>
      <c r="N1310">
        <v>2356.1999999999998</v>
      </c>
      <c r="Q1310">
        <f t="shared" si="87"/>
        <v>470.1</v>
      </c>
      <c r="R1310">
        <f t="shared" si="85"/>
        <v>470.2</v>
      </c>
      <c r="S1310">
        <f t="shared" si="86"/>
        <v>0</v>
      </c>
    </row>
    <row r="1311" spans="1:19" x14ac:dyDescent="0.25">
      <c r="A1311" s="2">
        <v>44908</v>
      </c>
      <c r="B1311" s="3">
        <v>347</v>
      </c>
      <c r="C1311" s="3">
        <v>1100</v>
      </c>
      <c r="D1311">
        <v>470.07229999999998</v>
      </c>
      <c r="E1311">
        <v>4.2000000000000003E-2</v>
      </c>
      <c r="F1311">
        <v>463.26620000000003</v>
      </c>
      <c r="G1311">
        <v>472.0419</v>
      </c>
      <c r="H1311">
        <v>474.90870000000001</v>
      </c>
      <c r="I1311">
        <v>2.8000000000000001E-2</v>
      </c>
      <c r="J1311">
        <v>4.7E-2</v>
      </c>
      <c r="K1311">
        <v>4.8000000000000001E-2</v>
      </c>
      <c r="L1311">
        <v>2331.1999999999998</v>
      </c>
      <c r="M1311">
        <v>2340</v>
      </c>
      <c r="N1311">
        <v>2356.1999999999998</v>
      </c>
      <c r="Q1311">
        <f t="shared" si="87"/>
        <v>470.1</v>
      </c>
      <c r="R1311">
        <f t="shared" si="85"/>
        <v>470.2</v>
      </c>
      <c r="S1311">
        <f t="shared" si="86"/>
        <v>0</v>
      </c>
    </row>
    <row r="1312" spans="1:19" x14ac:dyDescent="0.25">
      <c r="A1312" s="2">
        <v>44908</v>
      </c>
      <c r="B1312" s="3">
        <v>347</v>
      </c>
      <c r="C1312" s="3">
        <v>1200</v>
      </c>
      <c r="D1312">
        <v>470.05869999999999</v>
      </c>
      <c r="E1312">
        <v>4.5999999999999999E-2</v>
      </c>
      <c r="F1312">
        <v>463.2552</v>
      </c>
      <c r="G1312">
        <v>472.03269999999998</v>
      </c>
      <c r="H1312">
        <v>474.88830000000002</v>
      </c>
      <c r="I1312">
        <v>3.2000000000000001E-2</v>
      </c>
      <c r="J1312">
        <v>5.0999999999999997E-2</v>
      </c>
      <c r="K1312">
        <v>5.2999999999999999E-2</v>
      </c>
      <c r="L1312">
        <v>2331.1999999999998</v>
      </c>
      <c r="M1312">
        <v>2340</v>
      </c>
      <c r="N1312">
        <v>2356</v>
      </c>
      <c r="Q1312">
        <f t="shared" si="87"/>
        <v>470.1</v>
      </c>
      <c r="R1312">
        <f t="shared" si="85"/>
        <v>470.2</v>
      </c>
      <c r="S1312">
        <f t="shared" si="86"/>
        <v>0</v>
      </c>
    </row>
    <row r="1313" spans="1:19" x14ac:dyDescent="0.25">
      <c r="A1313" s="2">
        <v>44908</v>
      </c>
      <c r="B1313" s="3">
        <v>347</v>
      </c>
      <c r="C1313" s="3">
        <v>1300</v>
      </c>
      <c r="D1313">
        <v>470.05189999999999</v>
      </c>
      <c r="E1313">
        <v>0.05</v>
      </c>
      <c r="F1313">
        <v>463.25700000000001</v>
      </c>
      <c r="G1313">
        <v>472.0197</v>
      </c>
      <c r="H1313">
        <v>474.87909999999999</v>
      </c>
      <c r="I1313">
        <v>4.4999999999999998E-2</v>
      </c>
      <c r="J1313">
        <v>5.2999999999999999E-2</v>
      </c>
      <c r="K1313">
        <v>5.1999999999999998E-2</v>
      </c>
      <c r="L1313">
        <v>2331.1999999999998</v>
      </c>
      <c r="M1313">
        <v>2339.8000000000002</v>
      </c>
      <c r="N1313">
        <v>2356</v>
      </c>
      <c r="Q1313">
        <f t="shared" si="87"/>
        <v>470.1</v>
      </c>
      <c r="R1313">
        <f t="shared" si="85"/>
        <v>470.2</v>
      </c>
      <c r="S1313">
        <f t="shared" si="86"/>
        <v>0</v>
      </c>
    </row>
    <row r="1314" spans="1:19" x14ac:dyDescent="0.25">
      <c r="A1314" s="2">
        <v>44908</v>
      </c>
      <c r="B1314" s="3">
        <v>347</v>
      </c>
      <c r="C1314" s="3">
        <v>1400</v>
      </c>
      <c r="D1314">
        <v>470.03840000000002</v>
      </c>
      <c r="E1314">
        <v>4.8000000000000001E-2</v>
      </c>
      <c r="F1314">
        <v>463.2405</v>
      </c>
      <c r="G1314">
        <v>472.01229999999998</v>
      </c>
      <c r="H1314">
        <v>474.86239999999998</v>
      </c>
      <c r="I1314">
        <v>4.4999999999999998E-2</v>
      </c>
      <c r="J1314">
        <v>5.1999999999999998E-2</v>
      </c>
      <c r="K1314">
        <v>4.5999999999999999E-2</v>
      </c>
      <c r="L1314">
        <v>2331</v>
      </c>
      <c r="M1314">
        <v>2339.8000000000002</v>
      </c>
      <c r="N1314">
        <v>2356</v>
      </c>
      <c r="Q1314">
        <f t="shared" si="87"/>
        <v>470</v>
      </c>
      <c r="R1314">
        <f t="shared" ref="R1314:R1377" si="88">ROUND(IF(Q1314&lt;R1313,R1313,Q1314),1)</f>
        <v>470.2</v>
      </c>
      <c r="S1314">
        <f t="shared" si="86"/>
        <v>0</v>
      </c>
    </row>
    <row r="1315" spans="1:19" x14ac:dyDescent="0.25">
      <c r="A1315" s="2">
        <v>44908</v>
      </c>
      <c r="B1315" s="3">
        <v>347</v>
      </c>
      <c r="C1315" s="3">
        <v>1500</v>
      </c>
      <c r="D1315">
        <v>470.00150000000002</v>
      </c>
      <c r="E1315">
        <v>4.5999999999999999E-2</v>
      </c>
      <c r="F1315">
        <v>463.21850000000001</v>
      </c>
      <c r="G1315">
        <v>471.9384</v>
      </c>
      <c r="H1315">
        <v>474.8476</v>
      </c>
      <c r="I1315">
        <v>5.1999999999999998E-2</v>
      </c>
      <c r="J1315">
        <v>0.05</v>
      </c>
      <c r="K1315">
        <v>3.5000000000000003E-2</v>
      </c>
      <c r="L1315">
        <v>2331</v>
      </c>
      <c r="M1315">
        <v>2339.8000000000002</v>
      </c>
      <c r="N1315">
        <v>2356</v>
      </c>
      <c r="Q1315">
        <f t="shared" si="87"/>
        <v>470</v>
      </c>
      <c r="R1315">
        <f t="shared" si="88"/>
        <v>470.2</v>
      </c>
      <c r="S1315">
        <f t="shared" si="86"/>
        <v>0</v>
      </c>
    </row>
    <row r="1316" spans="1:19" x14ac:dyDescent="0.25">
      <c r="A1316" s="2">
        <v>44908</v>
      </c>
      <c r="B1316" s="3">
        <v>347</v>
      </c>
      <c r="C1316" s="3">
        <v>1600</v>
      </c>
      <c r="D1316">
        <v>470.01139999999998</v>
      </c>
      <c r="E1316">
        <v>0.04</v>
      </c>
      <c r="F1316">
        <v>463.21120000000002</v>
      </c>
      <c r="G1316">
        <v>471.98090000000002</v>
      </c>
      <c r="H1316">
        <v>474.84210000000002</v>
      </c>
      <c r="I1316">
        <v>5.1999999999999998E-2</v>
      </c>
      <c r="J1316">
        <v>3.6999999999999998E-2</v>
      </c>
      <c r="K1316">
        <v>2.7E-2</v>
      </c>
      <c r="L1316">
        <v>2331</v>
      </c>
      <c r="M1316">
        <v>2339.8000000000002</v>
      </c>
      <c r="N1316">
        <v>2356.1999999999998</v>
      </c>
      <c r="Q1316">
        <f t="shared" si="87"/>
        <v>470</v>
      </c>
      <c r="R1316">
        <f t="shared" si="88"/>
        <v>470.2</v>
      </c>
      <c r="S1316">
        <f t="shared" si="86"/>
        <v>0</v>
      </c>
    </row>
    <row r="1317" spans="1:19" x14ac:dyDescent="0.25">
      <c r="A1317" s="2">
        <v>44908</v>
      </c>
      <c r="B1317" s="3">
        <v>347</v>
      </c>
      <c r="C1317" s="3">
        <v>1700</v>
      </c>
      <c r="D1317">
        <v>470.11349999999999</v>
      </c>
      <c r="E1317">
        <v>3.7999999999999999E-2</v>
      </c>
      <c r="F1317">
        <v>463.31020000000001</v>
      </c>
      <c r="G1317">
        <v>472.08819999999997</v>
      </c>
      <c r="H1317">
        <v>474.94200000000001</v>
      </c>
      <c r="I1317">
        <v>5.1999999999999998E-2</v>
      </c>
      <c r="J1317">
        <v>3.7999999999999999E-2</v>
      </c>
      <c r="K1317">
        <v>1.4E-2</v>
      </c>
      <c r="L1317">
        <v>2331.1999999999998</v>
      </c>
      <c r="M1317">
        <v>2340</v>
      </c>
      <c r="N1317">
        <v>2356.1999999999998</v>
      </c>
      <c r="Q1317">
        <f t="shared" si="87"/>
        <v>470.1</v>
      </c>
      <c r="R1317">
        <f t="shared" si="88"/>
        <v>470.2</v>
      </c>
      <c r="S1317">
        <f t="shared" ref="S1317:S1380" si="89">IF(R1317&gt;R1316,R1317-R1316,0)</f>
        <v>0</v>
      </c>
    </row>
    <row r="1318" spans="1:19" x14ac:dyDescent="0.25">
      <c r="A1318" s="2">
        <v>44908</v>
      </c>
      <c r="B1318" s="3">
        <v>347</v>
      </c>
      <c r="C1318" s="3">
        <v>1800</v>
      </c>
      <c r="D1318">
        <v>470.13499999999999</v>
      </c>
      <c r="E1318">
        <v>4.8000000000000001E-2</v>
      </c>
      <c r="F1318">
        <v>463.32119999999998</v>
      </c>
      <c r="G1318">
        <v>472.12889999999999</v>
      </c>
      <c r="H1318">
        <v>474.95499999999998</v>
      </c>
      <c r="I1318">
        <v>5.1999999999999998E-2</v>
      </c>
      <c r="J1318">
        <v>5.2999999999999999E-2</v>
      </c>
      <c r="K1318">
        <v>3.6999999999999998E-2</v>
      </c>
      <c r="L1318">
        <v>2331.1999999999998</v>
      </c>
      <c r="M1318">
        <v>2340</v>
      </c>
      <c r="N1318">
        <v>2356.1999999999998</v>
      </c>
      <c r="Q1318">
        <f t="shared" si="87"/>
        <v>470.1</v>
      </c>
      <c r="R1318">
        <f t="shared" si="88"/>
        <v>470.2</v>
      </c>
      <c r="S1318">
        <f t="shared" si="89"/>
        <v>0</v>
      </c>
    </row>
    <row r="1319" spans="1:19" x14ac:dyDescent="0.25">
      <c r="A1319" s="2">
        <v>44908</v>
      </c>
      <c r="B1319" s="3">
        <v>347</v>
      </c>
      <c r="C1319" s="3">
        <v>1900</v>
      </c>
      <c r="D1319">
        <v>470.15159999999997</v>
      </c>
      <c r="E1319">
        <v>0.05</v>
      </c>
      <c r="F1319">
        <v>463.34870000000001</v>
      </c>
      <c r="G1319">
        <v>472.12329999999997</v>
      </c>
      <c r="H1319">
        <v>474.9828</v>
      </c>
      <c r="I1319">
        <v>4.2999999999999997E-2</v>
      </c>
      <c r="J1319">
        <v>5.2999999999999999E-2</v>
      </c>
      <c r="K1319">
        <v>5.1999999999999998E-2</v>
      </c>
      <c r="L1319">
        <v>2331.4</v>
      </c>
      <c r="M1319">
        <v>2340.1999999999998</v>
      </c>
      <c r="N1319">
        <v>2356.1999999999998</v>
      </c>
      <c r="Q1319">
        <f t="shared" si="87"/>
        <v>470.2</v>
      </c>
      <c r="R1319">
        <f t="shared" si="88"/>
        <v>470.2</v>
      </c>
      <c r="S1319">
        <f t="shared" si="89"/>
        <v>0</v>
      </c>
    </row>
    <row r="1320" spans="1:19" x14ac:dyDescent="0.25">
      <c r="A1320" s="2">
        <v>44908</v>
      </c>
      <c r="B1320" s="3">
        <v>347</v>
      </c>
      <c r="C1320" s="3">
        <v>2000</v>
      </c>
      <c r="D1320">
        <v>470.42419999999998</v>
      </c>
      <c r="E1320">
        <v>4.4999999999999998E-2</v>
      </c>
      <c r="F1320">
        <v>463.61649999999997</v>
      </c>
      <c r="G1320">
        <v>472.3954</v>
      </c>
      <c r="H1320">
        <v>475.26080000000002</v>
      </c>
      <c r="I1320">
        <v>0.05</v>
      </c>
      <c r="J1320">
        <v>4.8000000000000001E-2</v>
      </c>
      <c r="K1320">
        <v>3.4000000000000002E-2</v>
      </c>
      <c r="L1320">
        <v>2331.8000000000002</v>
      </c>
      <c r="M1320">
        <v>2340.6</v>
      </c>
      <c r="N1320">
        <v>2356.8000000000002</v>
      </c>
      <c r="Q1320">
        <f t="shared" si="87"/>
        <v>470.4</v>
      </c>
      <c r="R1320">
        <f t="shared" si="88"/>
        <v>470.4</v>
      </c>
      <c r="S1320">
        <f t="shared" si="89"/>
        <v>0.19999999999998863</v>
      </c>
    </row>
    <row r="1321" spans="1:19" x14ac:dyDescent="0.25">
      <c r="A1321" s="2">
        <v>44908</v>
      </c>
      <c r="B1321" s="3">
        <v>347</v>
      </c>
      <c r="C1321" s="3">
        <v>2100</v>
      </c>
      <c r="D1321">
        <v>471.0736</v>
      </c>
      <c r="E1321">
        <v>4.8000000000000001E-2</v>
      </c>
      <c r="F1321">
        <v>464.24950000000001</v>
      </c>
      <c r="G1321">
        <v>473.05059999999997</v>
      </c>
      <c r="H1321">
        <v>475.92059999999998</v>
      </c>
      <c r="I1321">
        <v>5.0999999999999997E-2</v>
      </c>
      <c r="J1321">
        <v>4.7E-2</v>
      </c>
      <c r="K1321">
        <v>4.7E-2</v>
      </c>
      <c r="L1321">
        <v>2333</v>
      </c>
      <c r="M1321">
        <v>2341.8000000000002</v>
      </c>
      <c r="N1321">
        <v>2358</v>
      </c>
      <c r="Q1321">
        <f t="shared" si="87"/>
        <v>471.1</v>
      </c>
      <c r="R1321">
        <f t="shared" si="88"/>
        <v>471.1</v>
      </c>
      <c r="S1321">
        <f t="shared" si="89"/>
        <v>0.70000000000004547</v>
      </c>
    </row>
    <row r="1322" spans="1:19" x14ac:dyDescent="0.25">
      <c r="A1322" s="2">
        <v>44908</v>
      </c>
      <c r="B1322" s="3">
        <v>347</v>
      </c>
      <c r="C1322" s="3">
        <v>2200</v>
      </c>
      <c r="D1322">
        <v>471.71039999999999</v>
      </c>
      <c r="E1322">
        <v>4.5999999999999999E-2</v>
      </c>
      <c r="F1322">
        <v>464.88650000000001</v>
      </c>
      <c r="G1322">
        <v>473.66370000000001</v>
      </c>
      <c r="H1322">
        <v>476.58080000000001</v>
      </c>
      <c r="I1322">
        <v>5.1999999999999998E-2</v>
      </c>
      <c r="J1322">
        <v>0.03</v>
      </c>
      <c r="K1322">
        <v>5.2999999999999999E-2</v>
      </c>
      <c r="L1322">
        <v>2334.4</v>
      </c>
      <c r="M1322">
        <v>2343</v>
      </c>
      <c r="N1322">
        <v>2359.4</v>
      </c>
      <c r="Q1322">
        <f t="shared" si="87"/>
        <v>471.7</v>
      </c>
      <c r="R1322">
        <f t="shared" si="88"/>
        <v>471.7</v>
      </c>
      <c r="S1322">
        <f t="shared" si="89"/>
        <v>0.59999999999996589</v>
      </c>
    </row>
    <row r="1323" spans="1:19" x14ac:dyDescent="0.25">
      <c r="A1323" s="2">
        <v>44908</v>
      </c>
      <c r="B1323" s="3">
        <v>347</v>
      </c>
      <c r="C1323" s="3">
        <v>2300</v>
      </c>
      <c r="D1323">
        <v>472.07029999999997</v>
      </c>
      <c r="E1323">
        <v>4.2999999999999997E-2</v>
      </c>
      <c r="F1323">
        <v>465.22449999999998</v>
      </c>
      <c r="G1323">
        <v>474.06209999999999</v>
      </c>
      <c r="H1323">
        <v>476.92419999999998</v>
      </c>
      <c r="I1323">
        <v>4.7E-2</v>
      </c>
      <c r="J1323">
        <v>3.6999999999999998E-2</v>
      </c>
      <c r="K1323">
        <v>4.3999999999999997E-2</v>
      </c>
      <c r="L1323">
        <v>2334.8000000000002</v>
      </c>
      <c r="M1323">
        <v>2343.8000000000002</v>
      </c>
      <c r="N1323">
        <v>2360</v>
      </c>
      <c r="Q1323">
        <f t="shared" si="87"/>
        <v>472.1</v>
      </c>
      <c r="R1323">
        <f t="shared" si="88"/>
        <v>472.1</v>
      </c>
      <c r="S1323">
        <f t="shared" si="89"/>
        <v>0.40000000000003411</v>
      </c>
    </row>
    <row r="1324" spans="1:19" x14ac:dyDescent="0.25">
      <c r="A1324" s="2">
        <v>44908</v>
      </c>
      <c r="B1324" s="3">
        <v>347</v>
      </c>
      <c r="C1324" s="3">
        <v>2400</v>
      </c>
      <c r="D1324">
        <v>472.35989999999998</v>
      </c>
      <c r="E1324">
        <v>4.9000000000000002E-2</v>
      </c>
      <c r="F1324">
        <v>465.5147</v>
      </c>
      <c r="G1324">
        <v>474.36790000000002</v>
      </c>
      <c r="H1324">
        <v>477.197</v>
      </c>
      <c r="I1324">
        <v>5.1999999999999998E-2</v>
      </c>
      <c r="J1324">
        <v>4.4999999999999998E-2</v>
      </c>
      <c r="K1324">
        <v>5.0999999999999997E-2</v>
      </c>
      <c r="L1324">
        <v>2335.4</v>
      </c>
      <c r="M1324">
        <v>2344.4</v>
      </c>
      <c r="N1324">
        <v>2360.4</v>
      </c>
      <c r="Q1324">
        <f t="shared" si="87"/>
        <v>472.4</v>
      </c>
      <c r="R1324">
        <f t="shared" si="88"/>
        <v>472.4</v>
      </c>
      <c r="S1324">
        <f t="shared" si="89"/>
        <v>0.29999999999995453</v>
      </c>
    </row>
    <row r="1325" spans="1:19" x14ac:dyDescent="0.25">
      <c r="A1325" s="2">
        <v>44909</v>
      </c>
      <c r="B1325" s="3">
        <v>348</v>
      </c>
      <c r="C1325" s="3">
        <v>100</v>
      </c>
      <c r="D1325">
        <v>472.56880000000001</v>
      </c>
      <c r="E1325">
        <v>4.7E-2</v>
      </c>
      <c r="F1325">
        <v>465.72430000000003</v>
      </c>
      <c r="G1325">
        <v>474.58300000000003</v>
      </c>
      <c r="H1325">
        <v>477.39929999999998</v>
      </c>
      <c r="I1325">
        <v>5.1999999999999998E-2</v>
      </c>
      <c r="J1325">
        <v>4.2999999999999997E-2</v>
      </c>
      <c r="K1325">
        <v>4.7E-2</v>
      </c>
      <c r="L1325">
        <v>2335.8000000000002</v>
      </c>
      <c r="M1325">
        <v>2344.8000000000002</v>
      </c>
      <c r="N1325">
        <v>2360.8000000000002</v>
      </c>
      <c r="Q1325">
        <f t="shared" si="87"/>
        <v>472.6</v>
      </c>
      <c r="R1325">
        <f t="shared" si="88"/>
        <v>472.6</v>
      </c>
      <c r="S1325">
        <f t="shared" si="89"/>
        <v>0.20000000000004547</v>
      </c>
    </row>
    <row r="1326" spans="1:19" x14ac:dyDescent="0.25">
      <c r="A1326" s="2">
        <v>44909</v>
      </c>
      <c r="B1326" s="3">
        <v>348</v>
      </c>
      <c r="C1326" s="3">
        <v>200</v>
      </c>
      <c r="D1326">
        <v>472.63170000000002</v>
      </c>
      <c r="E1326">
        <v>4.4999999999999998E-2</v>
      </c>
      <c r="F1326">
        <v>465.79039999999998</v>
      </c>
      <c r="G1326">
        <v>474.64789999999999</v>
      </c>
      <c r="H1326">
        <v>477.45690000000002</v>
      </c>
      <c r="I1326">
        <v>0.04</v>
      </c>
      <c r="J1326">
        <v>5.1999999999999998E-2</v>
      </c>
      <c r="K1326">
        <v>4.2000000000000003E-2</v>
      </c>
      <c r="L1326">
        <v>2336</v>
      </c>
      <c r="M1326">
        <v>2344.8000000000002</v>
      </c>
      <c r="N1326">
        <v>2361</v>
      </c>
      <c r="Q1326">
        <f t="shared" si="87"/>
        <v>472.6</v>
      </c>
      <c r="R1326">
        <f t="shared" si="88"/>
        <v>472.6</v>
      </c>
      <c r="S1326">
        <f t="shared" si="89"/>
        <v>0</v>
      </c>
    </row>
    <row r="1327" spans="1:19" x14ac:dyDescent="0.25">
      <c r="A1327" s="2">
        <v>44909</v>
      </c>
      <c r="B1327" s="3">
        <v>348</v>
      </c>
      <c r="C1327" s="3">
        <v>300</v>
      </c>
      <c r="D1327">
        <v>472.63549999999998</v>
      </c>
      <c r="E1327">
        <v>3.7999999999999999E-2</v>
      </c>
      <c r="F1327">
        <v>465.77940000000001</v>
      </c>
      <c r="G1327">
        <v>474.65530000000001</v>
      </c>
      <c r="H1327">
        <v>477.4717</v>
      </c>
      <c r="I1327">
        <v>3.1E-2</v>
      </c>
      <c r="J1327">
        <v>5.2999999999999999E-2</v>
      </c>
      <c r="K1327">
        <v>2.4E-2</v>
      </c>
      <c r="L1327">
        <v>2336</v>
      </c>
      <c r="M1327">
        <v>2344.8000000000002</v>
      </c>
      <c r="N1327">
        <v>2361</v>
      </c>
      <c r="Q1327">
        <f t="shared" si="87"/>
        <v>472.6</v>
      </c>
      <c r="R1327">
        <f t="shared" si="88"/>
        <v>472.6</v>
      </c>
      <c r="S1327">
        <f t="shared" si="89"/>
        <v>0</v>
      </c>
    </row>
    <row r="1328" spans="1:19" x14ac:dyDescent="0.25">
      <c r="A1328" s="2">
        <v>44909</v>
      </c>
      <c r="B1328" s="3">
        <v>348</v>
      </c>
      <c r="C1328" s="3">
        <v>400</v>
      </c>
      <c r="D1328">
        <v>472.63049999999998</v>
      </c>
      <c r="E1328">
        <v>3.5999999999999997E-2</v>
      </c>
      <c r="F1328">
        <v>465.77569999999997</v>
      </c>
      <c r="G1328">
        <v>474.63679999999999</v>
      </c>
      <c r="H1328">
        <v>477.47919999999999</v>
      </c>
      <c r="I1328">
        <v>1.4E-2</v>
      </c>
      <c r="J1328">
        <v>4.8000000000000001E-2</v>
      </c>
      <c r="K1328">
        <v>3.6999999999999998E-2</v>
      </c>
      <c r="L1328">
        <v>2336</v>
      </c>
      <c r="M1328">
        <v>2344.8000000000002</v>
      </c>
      <c r="N1328">
        <v>2361</v>
      </c>
      <c r="Q1328">
        <f t="shared" si="87"/>
        <v>472.6</v>
      </c>
      <c r="R1328">
        <f t="shared" si="88"/>
        <v>472.6</v>
      </c>
      <c r="S1328">
        <f t="shared" si="89"/>
        <v>0</v>
      </c>
    </row>
    <row r="1329" spans="1:19" x14ac:dyDescent="0.25">
      <c r="A1329" s="2">
        <v>44909</v>
      </c>
      <c r="B1329" s="3">
        <v>348</v>
      </c>
      <c r="C1329" s="3">
        <v>500</v>
      </c>
      <c r="D1329">
        <v>472.64839999999998</v>
      </c>
      <c r="E1329">
        <v>4.5999999999999999E-2</v>
      </c>
      <c r="F1329">
        <v>465.78859999999997</v>
      </c>
      <c r="G1329">
        <v>474.64789999999999</v>
      </c>
      <c r="H1329">
        <v>477.50889999999998</v>
      </c>
      <c r="I1329">
        <v>3.7999999999999999E-2</v>
      </c>
      <c r="J1329">
        <v>5.1999999999999998E-2</v>
      </c>
      <c r="K1329">
        <v>4.8000000000000001E-2</v>
      </c>
      <c r="L1329">
        <v>2336</v>
      </c>
      <c r="M1329">
        <v>2344.8000000000002</v>
      </c>
      <c r="N1329">
        <v>2361</v>
      </c>
      <c r="Q1329">
        <f t="shared" si="87"/>
        <v>472.6</v>
      </c>
      <c r="R1329">
        <f t="shared" si="88"/>
        <v>472.6</v>
      </c>
      <c r="S1329">
        <f t="shared" si="89"/>
        <v>0</v>
      </c>
    </row>
    <row r="1330" spans="1:19" x14ac:dyDescent="0.25">
      <c r="A1330" s="2">
        <v>44909</v>
      </c>
      <c r="B1330" s="3">
        <v>348</v>
      </c>
      <c r="C1330" s="3">
        <v>600</v>
      </c>
      <c r="D1330">
        <v>472.67559999999997</v>
      </c>
      <c r="E1330">
        <v>4.9000000000000002E-2</v>
      </c>
      <c r="F1330">
        <v>465.80509999999998</v>
      </c>
      <c r="G1330">
        <v>474.69060000000002</v>
      </c>
      <c r="H1330">
        <v>477.53109999999998</v>
      </c>
      <c r="I1330">
        <v>0.05</v>
      </c>
      <c r="J1330">
        <v>4.2000000000000003E-2</v>
      </c>
      <c r="K1330">
        <v>5.2999999999999999E-2</v>
      </c>
      <c r="L1330">
        <v>2336</v>
      </c>
      <c r="M1330">
        <v>2345</v>
      </c>
      <c r="N1330">
        <v>2361</v>
      </c>
      <c r="Q1330">
        <f t="shared" si="87"/>
        <v>472.7</v>
      </c>
      <c r="R1330">
        <f t="shared" si="88"/>
        <v>472.7</v>
      </c>
      <c r="S1330">
        <f t="shared" si="89"/>
        <v>9.9999999999965894E-2</v>
      </c>
    </row>
    <row r="1331" spans="1:19" x14ac:dyDescent="0.25">
      <c r="A1331" s="2">
        <v>44909</v>
      </c>
      <c r="B1331" s="3">
        <v>348</v>
      </c>
      <c r="C1331" s="3">
        <v>700</v>
      </c>
      <c r="D1331">
        <v>472.69470000000001</v>
      </c>
      <c r="E1331">
        <v>4.5999999999999999E-2</v>
      </c>
      <c r="F1331">
        <v>465.83449999999999</v>
      </c>
      <c r="G1331">
        <v>474.69240000000002</v>
      </c>
      <c r="H1331">
        <v>477.55709999999999</v>
      </c>
      <c r="I1331">
        <v>5.1999999999999998E-2</v>
      </c>
      <c r="J1331">
        <v>0.04</v>
      </c>
      <c r="K1331">
        <v>4.5999999999999999E-2</v>
      </c>
      <c r="L1331">
        <v>2336</v>
      </c>
      <c r="M1331">
        <v>2345</v>
      </c>
      <c r="N1331">
        <v>2361</v>
      </c>
      <c r="Q1331">
        <f t="shared" si="87"/>
        <v>472.7</v>
      </c>
      <c r="R1331">
        <f t="shared" si="88"/>
        <v>472.7</v>
      </c>
      <c r="S1331">
        <f t="shared" si="89"/>
        <v>0</v>
      </c>
    </row>
    <row r="1332" spans="1:19" x14ac:dyDescent="0.25">
      <c r="A1332" s="2">
        <v>44909</v>
      </c>
      <c r="B1332" s="3">
        <v>348</v>
      </c>
      <c r="C1332" s="3">
        <v>800</v>
      </c>
      <c r="D1332">
        <v>472.71929999999998</v>
      </c>
      <c r="E1332">
        <v>3.9E-2</v>
      </c>
      <c r="F1332">
        <v>465.85840000000002</v>
      </c>
      <c r="G1332">
        <v>474.7276</v>
      </c>
      <c r="H1332">
        <v>477.57190000000003</v>
      </c>
      <c r="I1332">
        <v>4.3999999999999997E-2</v>
      </c>
      <c r="J1332">
        <v>3.9E-2</v>
      </c>
      <c r="K1332">
        <v>3.2000000000000001E-2</v>
      </c>
      <c r="L1332">
        <v>2336.1999999999998</v>
      </c>
      <c r="M1332">
        <v>2345</v>
      </c>
      <c r="N1332">
        <v>2361.1999999999998</v>
      </c>
      <c r="Q1332">
        <f t="shared" si="87"/>
        <v>472.7</v>
      </c>
      <c r="R1332">
        <f t="shared" si="88"/>
        <v>472.7</v>
      </c>
      <c r="S1332">
        <f t="shared" si="89"/>
        <v>0</v>
      </c>
    </row>
    <row r="1333" spans="1:19" x14ac:dyDescent="0.25">
      <c r="A1333" s="2">
        <v>44909</v>
      </c>
      <c r="B1333" s="3">
        <v>348</v>
      </c>
      <c r="C1333" s="3">
        <v>900</v>
      </c>
      <c r="D1333">
        <v>472.70249999999999</v>
      </c>
      <c r="E1333">
        <v>3.6999999999999998E-2</v>
      </c>
      <c r="F1333">
        <v>465.89139999999998</v>
      </c>
      <c r="G1333">
        <v>474.71460000000002</v>
      </c>
      <c r="H1333">
        <v>477.50139999999999</v>
      </c>
      <c r="I1333">
        <v>3.5999999999999997E-2</v>
      </c>
      <c r="J1333">
        <v>2.8000000000000001E-2</v>
      </c>
      <c r="K1333">
        <v>4.3999999999999997E-2</v>
      </c>
      <c r="L1333">
        <v>2336.1999999999998</v>
      </c>
      <c r="M1333">
        <v>2345</v>
      </c>
      <c r="N1333">
        <v>2361</v>
      </c>
      <c r="Q1333">
        <f t="shared" si="87"/>
        <v>472.7</v>
      </c>
      <c r="R1333">
        <f t="shared" si="88"/>
        <v>472.7</v>
      </c>
      <c r="S1333">
        <f t="shared" si="89"/>
        <v>0</v>
      </c>
    </row>
    <row r="1334" spans="1:19" x14ac:dyDescent="0.25">
      <c r="A1334" s="2">
        <v>44909</v>
      </c>
      <c r="B1334" s="3">
        <v>348</v>
      </c>
      <c r="C1334" s="3">
        <v>1000</v>
      </c>
      <c r="D1334">
        <v>472.67340000000002</v>
      </c>
      <c r="E1334">
        <v>4.1000000000000002E-2</v>
      </c>
      <c r="F1334">
        <v>465.90429999999998</v>
      </c>
      <c r="G1334">
        <v>474.7054</v>
      </c>
      <c r="H1334">
        <v>477.41050000000001</v>
      </c>
      <c r="I1334">
        <v>4.2999999999999997E-2</v>
      </c>
      <c r="J1334">
        <v>2.4E-2</v>
      </c>
      <c r="K1334">
        <v>5.0999999999999997E-2</v>
      </c>
      <c r="L1334">
        <v>2336.1999999999998</v>
      </c>
      <c r="M1334">
        <v>2345</v>
      </c>
      <c r="N1334">
        <v>2360.8000000000002</v>
      </c>
      <c r="Q1334">
        <f t="shared" si="87"/>
        <v>472.7</v>
      </c>
      <c r="R1334">
        <f t="shared" si="88"/>
        <v>472.7</v>
      </c>
      <c r="S1334">
        <f t="shared" si="89"/>
        <v>0</v>
      </c>
    </row>
    <row r="1335" spans="1:19" x14ac:dyDescent="0.25">
      <c r="A1335" s="2">
        <v>44909</v>
      </c>
      <c r="B1335" s="3">
        <v>348</v>
      </c>
      <c r="C1335" s="3">
        <v>1100</v>
      </c>
      <c r="D1335">
        <v>472.6574</v>
      </c>
      <c r="E1335">
        <v>5.0999999999999997E-2</v>
      </c>
      <c r="F1335">
        <v>465.89330000000001</v>
      </c>
      <c r="G1335">
        <v>474.65159999999997</v>
      </c>
      <c r="H1335">
        <v>477.42720000000003</v>
      </c>
      <c r="I1335">
        <v>4.7E-2</v>
      </c>
      <c r="J1335">
        <v>5.1999999999999998E-2</v>
      </c>
      <c r="K1335">
        <v>5.2999999999999999E-2</v>
      </c>
      <c r="L1335">
        <v>2336.4</v>
      </c>
      <c r="M1335">
        <v>2344.8000000000002</v>
      </c>
      <c r="N1335">
        <v>2361</v>
      </c>
      <c r="Q1335">
        <f t="shared" si="87"/>
        <v>472.7</v>
      </c>
      <c r="R1335">
        <f t="shared" si="88"/>
        <v>472.7</v>
      </c>
      <c r="S1335">
        <f t="shared" si="89"/>
        <v>0</v>
      </c>
    </row>
    <row r="1336" spans="1:19" x14ac:dyDescent="0.25">
      <c r="A1336" s="2">
        <v>44909</v>
      </c>
      <c r="B1336" s="3">
        <v>348</v>
      </c>
      <c r="C1336" s="3">
        <v>1200</v>
      </c>
      <c r="D1336">
        <v>472.64120000000003</v>
      </c>
      <c r="E1336">
        <v>4.2000000000000003E-2</v>
      </c>
      <c r="F1336">
        <v>465.90800000000002</v>
      </c>
      <c r="G1336">
        <v>474.6182</v>
      </c>
      <c r="H1336">
        <v>477.39749999999998</v>
      </c>
      <c r="I1336">
        <v>4.4999999999999998E-2</v>
      </c>
      <c r="J1336">
        <v>3.5000000000000003E-2</v>
      </c>
      <c r="K1336">
        <v>4.5999999999999999E-2</v>
      </c>
      <c r="L1336">
        <v>2336.1999999999998</v>
      </c>
      <c r="M1336">
        <v>2344.8000000000002</v>
      </c>
      <c r="N1336">
        <v>2360.8000000000002</v>
      </c>
      <c r="Q1336">
        <f t="shared" si="87"/>
        <v>472.6</v>
      </c>
      <c r="R1336">
        <f t="shared" si="88"/>
        <v>472.7</v>
      </c>
      <c r="S1336">
        <f t="shared" si="89"/>
        <v>0</v>
      </c>
    </row>
    <row r="1337" spans="1:19" x14ac:dyDescent="0.25">
      <c r="A1337" s="2">
        <v>44909</v>
      </c>
      <c r="B1337" s="3">
        <v>348</v>
      </c>
      <c r="C1337" s="3">
        <v>1300</v>
      </c>
      <c r="D1337">
        <v>472.5976</v>
      </c>
      <c r="E1337">
        <v>0.05</v>
      </c>
      <c r="F1337">
        <v>465.84550000000002</v>
      </c>
      <c r="G1337">
        <v>474.55520000000001</v>
      </c>
      <c r="H1337">
        <v>477.39190000000002</v>
      </c>
      <c r="I1337">
        <v>5.3999999999999999E-2</v>
      </c>
      <c r="J1337">
        <v>5.2999999999999999E-2</v>
      </c>
      <c r="K1337">
        <v>4.2000000000000003E-2</v>
      </c>
      <c r="L1337">
        <v>2336</v>
      </c>
      <c r="M1337">
        <v>2344.8000000000002</v>
      </c>
      <c r="N1337">
        <v>2360.8000000000002</v>
      </c>
      <c r="Q1337">
        <f t="shared" si="87"/>
        <v>472.6</v>
      </c>
      <c r="R1337">
        <f t="shared" si="88"/>
        <v>472.7</v>
      </c>
      <c r="S1337">
        <f t="shared" si="89"/>
        <v>0</v>
      </c>
    </row>
    <row r="1338" spans="1:19" x14ac:dyDescent="0.25">
      <c r="A1338" s="2">
        <v>44909</v>
      </c>
      <c r="B1338" s="3">
        <v>348</v>
      </c>
      <c r="C1338" s="3">
        <v>1400</v>
      </c>
      <c r="D1338">
        <v>472.55919999999998</v>
      </c>
      <c r="E1338">
        <v>4.4999999999999998E-2</v>
      </c>
      <c r="F1338">
        <v>465.84370000000001</v>
      </c>
      <c r="G1338">
        <v>474.4699</v>
      </c>
      <c r="H1338">
        <v>477.36410000000001</v>
      </c>
      <c r="I1338">
        <v>5.0999999999999997E-2</v>
      </c>
      <c r="J1338">
        <v>4.8000000000000001E-2</v>
      </c>
      <c r="K1338">
        <v>3.4000000000000002E-2</v>
      </c>
      <c r="L1338">
        <v>2336.1999999999998</v>
      </c>
      <c r="M1338">
        <v>2344.6</v>
      </c>
      <c r="N1338">
        <v>2360.8000000000002</v>
      </c>
      <c r="Q1338">
        <f t="shared" si="87"/>
        <v>472.6</v>
      </c>
      <c r="R1338">
        <f t="shared" si="88"/>
        <v>472.7</v>
      </c>
      <c r="S1338">
        <f t="shared" si="89"/>
        <v>0</v>
      </c>
    </row>
    <row r="1339" spans="1:19" x14ac:dyDescent="0.25">
      <c r="A1339" s="2">
        <v>44909</v>
      </c>
      <c r="B1339" s="3">
        <v>348</v>
      </c>
      <c r="C1339" s="3">
        <v>1500</v>
      </c>
      <c r="D1339">
        <v>472.56670000000003</v>
      </c>
      <c r="E1339">
        <v>4.3999999999999997E-2</v>
      </c>
      <c r="F1339">
        <v>465.81799999999998</v>
      </c>
      <c r="G1339">
        <v>474.48660000000001</v>
      </c>
      <c r="H1339">
        <v>477.3956</v>
      </c>
      <c r="I1339">
        <v>5.0999999999999997E-2</v>
      </c>
      <c r="J1339">
        <v>3.5000000000000003E-2</v>
      </c>
      <c r="K1339">
        <v>4.3999999999999997E-2</v>
      </c>
      <c r="L1339">
        <v>2336.1999999999998</v>
      </c>
      <c r="M1339">
        <v>2344.6</v>
      </c>
      <c r="N1339">
        <v>2360.8000000000002</v>
      </c>
      <c r="Q1339">
        <f t="shared" si="87"/>
        <v>472.6</v>
      </c>
      <c r="R1339">
        <f t="shared" si="88"/>
        <v>472.7</v>
      </c>
      <c r="S1339">
        <f t="shared" si="89"/>
        <v>0</v>
      </c>
    </row>
    <row r="1340" spans="1:19" x14ac:dyDescent="0.25">
      <c r="A1340" s="2">
        <v>44909</v>
      </c>
      <c r="B1340" s="3">
        <v>348</v>
      </c>
      <c r="C1340" s="3">
        <v>1600</v>
      </c>
      <c r="D1340">
        <v>472.60700000000003</v>
      </c>
      <c r="E1340">
        <v>4.1000000000000002E-2</v>
      </c>
      <c r="F1340">
        <v>465.78489999999999</v>
      </c>
      <c r="G1340">
        <v>474.59230000000002</v>
      </c>
      <c r="H1340">
        <v>477.44389999999999</v>
      </c>
      <c r="I1340">
        <v>3.3000000000000002E-2</v>
      </c>
      <c r="J1340">
        <v>0.04</v>
      </c>
      <c r="K1340">
        <v>4.9000000000000002E-2</v>
      </c>
      <c r="L1340">
        <v>2336</v>
      </c>
      <c r="M1340">
        <v>2345</v>
      </c>
      <c r="N1340">
        <v>2361</v>
      </c>
      <c r="Q1340">
        <f t="shared" si="87"/>
        <v>472.6</v>
      </c>
      <c r="R1340">
        <f t="shared" si="88"/>
        <v>472.7</v>
      </c>
      <c r="S1340">
        <f t="shared" si="89"/>
        <v>0</v>
      </c>
    </row>
    <row r="1341" spans="1:19" x14ac:dyDescent="0.25">
      <c r="A1341" s="2">
        <v>44909</v>
      </c>
      <c r="B1341" s="3">
        <v>348</v>
      </c>
      <c r="C1341" s="3">
        <v>1700</v>
      </c>
      <c r="D1341">
        <v>472.67129999999997</v>
      </c>
      <c r="E1341">
        <v>5.0999999999999997E-2</v>
      </c>
      <c r="F1341">
        <v>465.80880000000002</v>
      </c>
      <c r="G1341">
        <v>474.66090000000003</v>
      </c>
      <c r="H1341">
        <v>477.54410000000001</v>
      </c>
      <c r="I1341">
        <v>4.8000000000000001E-2</v>
      </c>
      <c r="J1341">
        <v>5.2999999999999999E-2</v>
      </c>
      <c r="K1341">
        <v>5.0999999999999997E-2</v>
      </c>
      <c r="L1341">
        <v>2336.1999999999998</v>
      </c>
      <c r="M1341">
        <v>2345</v>
      </c>
      <c r="N1341">
        <v>2361.1999999999998</v>
      </c>
      <c r="Q1341">
        <f t="shared" si="87"/>
        <v>472.7</v>
      </c>
      <c r="R1341">
        <f t="shared" si="88"/>
        <v>472.7</v>
      </c>
      <c r="S1341">
        <f t="shared" si="89"/>
        <v>0</v>
      </c>
    </row>
    <row r="1342" spans="1:19" x14ac:dyDescent="0.25">
      <c r="A1342" s="2">
        <v>44909</v>
      </c>
      <c r="B1342" s="3">
        <v>348</v>
      </c>
      <c r="C1342" s="3">
        <v>1800</v>
      </c>
      <c r="D1342">
        <v>472.69779999999997</v>
      </c>
      <c r="E1342">
        <v>4.3999999999999997E-2</v>
      </c>
      <c r="F1342">
        <v>465.83819999999997</v>
      </c>
      <c r="G1342">
        <v>474.6739</v>
      </c>
      <c r="H1342">
        <v>477.58120000000002</v>
      </c>
      <c r="I1342">
        <v>5.1999999999999998E-2</v>
      </c>
      <c r="J1342">
        <v>0.05</v>
      </c>
      <c r="K1342">
        <v>2.4E-2</v>
      </c>
      <c r="L1342">
        <v>2336</v>
      </c>
      <c r="M1342">
        <v>2345</v>
      </c>
      <c r="N1342">
        <v>2361.1999999999998</v>
      </c>
      <c r="Q1342">
        <f t="shared" si="87"/>
        <v>472.7</v>
      </c>
      <c r="R1342">
        <f t="shared" si="88"/>
        <v>472.7</v>
      </c>
      <c r="S1342">
        <f t="shared" si="89"/>
        <v>0</v>
      </c>
    </row>
    <row r="1343" spans="1:19" x14ac:dyDescent="0.25">
      <c r="A1343" s="2">
        <v>44909</v>
      </c>
      <c r="B1343" s="3">
        <v>348</v>
      </c>
      <c r="C1343" s="3">
        <v>1900</v>
      </c>
      <c r="D1343">
        <v>472.71379999999999</v>
      </c>
      <c r="E1343">
        <v>4.1000000000000002E-2</v>
      </c>
      <c r="F1343">
        <v>465.84739999999999</v>
      </c>
      <c r="G1343">
        <v>474.70170000000002</v>
      </c>
      <c r="H1343">
        <v>477.59230000000002</v>
      </c>
      <c r="I1343">
        <v>4.9000000000000002E-2</v>
      </c>
      <c r="J1343">
        <v>4.1000000000000002E-2</v>
      </c>
      <c r="K1343">
        <v>0.03</v>
      </c>
      <c r="L1343">
        <v>2336.1999999999998</v>
      </c>
      <c r="M1343">
        <v>2345</v>
      </c>
      <c r="N1343">
        <v>2361.1999999999998</v>
      </c>
      <c r="Q1343">
        <f t="shared" si="87"/>
        <v>472.7</v>
      </c>
      <c r="R1343">
        <f t="shared" si="88"/>
        <v>472.7</v>
      </c>
      <c r="S1343">
        <f t="shared" si="89"/>
        <v>0</v>
      </c>
    </row>
    <row r="1344" spans="1:19" x14ac:dyDescent="0.25">
      <c r="A1344" s="2">
        <v>44909</v>
      </c>
      <c r="B1344" s="3">
        <v>348</v>
      </c>
      <c r="C1344" s="3">
        <v>2000</v>
      </c>
      <c r="D1344">
        <v>472.72859999999997</v>
      </c>
      <c r="E1344">
        <v>4.3999999999999997E-2</v>
      </c>
      <c r="F1344">
        <v>465.85289999999998</v>
      </c>
      <c r="G1344">
        <v>474.72199999999998</v>
      </c>
      <c r="H1344">
        <v>477.61090000000002</v>
      </c>
      <c r="I1344">
        <v>4.7E-2</v>
      </c>
      <c r="J1344">
        <v>3.7999999999999999E-2</v>
      </c>
      <c r="K1344">
        <v>4.7E-2</v>
      </c>
      <c r="L1344">
        <v>2336.1999999999998</v>
      </c>
      <c r="M1344">
        <v>2345</v>
      </c>
      <c r="N1344">
        <v>2361.1999999999998</v>
      </c>
      <c r="Q1344">
        <f t="shared" si="87"/>
        <v>472.7</v>
      </c>
      <c r="R1344">
        <f t="shared" si="88"/>
        <v>472.7</v>
      </c>
      <c r="S1344">
        <f t="shared" si="89"/>
        <v>0</v>
      </c>
    </row>
    <row r="1345" spans="1:19" x14ac:dyDescent="0.25">
      <c r="A1345" s="2">
        <v>44909</v>
      </c>
      <c r="B1345" s="3">
        <v>348</v>
      </c>
      <c r="C1345" s="3">
        <v>2100</v>
      </c>
      <c r="D1345">
        <v>472.72930000000002</v>
      </c>
      <c r="E1345">
        <v>4.8000000000000001E-2</v>
      </c>
      <c r="F1345">
        <v>465.84</v>
      </c>
      <c r="G1345">
        <v>474.72579999999999</v>
      </c>
      <c r="H1345">
        <v>477.62209999999999</v>
      </c>
      <c r="I1345">
        <v>5.0999999999999997E-2</v>
      </c>
      <c r="J1345">
        <v>4.2000000000000003E-2</v>
      </c>
      <c r="K1345">
        <v>5.0999999999999997E-2</v>
      </c>
      <c r="L1345">
        <v>2336</v>
      </c>
      <c r="M1345">
        <v>2345</v>
      </c>
      <c r="N1345">
        <v>2361.1999999999998</v>
      </c>
      <c r="Q1345">
        <f t="shared" si="87"/>
        <v>472.7</v>
      </c>
      <c r="R1345">
        <f t="shared" si="88"/>
        <v>472.7</v>
      </c>
      <c r="S1345">
        <f t="shared" si="89"/>
        <v>0</v>
      </c>
    </row>
    <row r="1346" spans="1:19" x14ac:dyDescent="0.25">
      <c r="A1346" s="2">
        <v>44909</v>
      </c>
      <c r="B1346" s="3">
        <v>348</v>
      </c>
      <c r="C1346" s="3">
        <v>2200</v>
      </c>
      <c r="D1346">
        <v>472.73050000000001</v>
      </c>
      <c r="E1346">
        <v>4.2999999999999997E-2</v>
      </c>
      <c r="F1346">
        <v>465.851</v>
      </c>
      <c r="G1346">
        <v>474.71280000000002</v>
      </c>
      <c r="H1346">
        <v>477.62759999999997</v>
      </c>
      <c r="I1346">
        <v>4.8000000000000001E-2</v>
      </c>
      <c r="J1346">
        <v>2.4E-2</v>
      </c>
      <c r="K1346">
        <v>5.1999999999999998E-2</v>
      </c>
      <c r="L1346">
        <v>2336.1999999999998</v>
      </c>
      <c r="M1346">
        <v>2345</v>
      </c>
      <c r="N1346">
        <v>2361.4</v>
      </c>
      <c r="Q1346">
        <f t="shared" si="87"/>
        <v>472.7</v>
      </c>
      <c r="R1346">
        <f t="shared" si="88"/>
        <v>472.7</v>
      </c>
      <c r="S1346">
        <f t="shared" si="89"/>
        <v>0</v>
      </c>
    </row>
    <row r="1347" spans="1:19" x14ac:dyDescent="0.25">
      <c r="A1347" s="2">
        <v>44909</v>
      </c>
      <c r="B1347" s="3">
        <v>348</v>
      </c>
      <c r="C1347" s="3">
        <v>2300</v>
      </c>
      <c r="D1347">
        <v>472.72800000000001</v>
      </c>
      <c r="E1347">
        <v>4.4999999999999998E-2</v>
      </c>
      <c r="F1347">
        <v>465.84550000000002</v>
      </c>
      <c r="G1347">
        <v>474.7165</v>
      </c>
      <c r="H1347">
        <v>477.62209999999999</v>
      </c>
      <c r="I1347">
        <v>0.05</v>
      </c>
      <c r="J1347">
        <v>3.1E-2</v>
      </c>
      <c r="K1347">
        <v>5.0999999999999997E-2</v>
      </c>
      <c r="L1347">
        <v>2336</v>
      </c>
      <c r="M1347">
        <v>2345</v>
      </c>
      <c r="N1347">
        <v>2361.1999999999998</v>
      </c>
      <c r="Q1347">
        <f t="shared" si="87"/>
        <v>472.7</v>
      </c>
      <c r="R1347">
        <f t="shared" si="88"/>
        <v>472.7</v>
      </c>
      <c r="S1347">
        <f t="shared" si="89"/>
        <v>0</v>
      </c>
    </row>
    <row r="1348" spans="1:19" x14ac:dyDescent="0.25">
      <c r="A1348" s="2">
        <v>44909</v>
      </c>
      <c r="B1348" s="3">
        <v>348</v>
      </c>
      <c r="C1348" s="3">
        <v>2400</v>
      </c>
      <c r="D1348">
        <v>472.71440000000001</v>
      </c>
      <c r="E1348">
        <v>4.1000000000000002E-2</v>
      </c>
      <c r="F1348">
        <v>465.84</v>
      </c>
      <c r="G1348">
        <v>474.7054</v>
      </c>
      <c r="H1348">
        <v>477.59789999999998</v>
      </c>
      <c r="I1348">
        <v>5.0999999999999997E-2</v>
      </c>
      <c r="J1348">
        <v>3.1E-2</v>
      </c>
      <c r="K1348">
        <v>3.6999999999999998E-2</v>
      </c>
      <c r="L1348">
        <v>2336.1999999999998</v>
      </c>
      <c r="M1348">
        <v>2345</v>
      </c>
      <c r="N1348">
        <v>2361.1999999999998</v>
      </c>
      <c r="Q1348">
        <f t="shared" si="87"/>
        <v>472.7</v>
      </c>
      <c r="R1348">
        <f t="shared" si="88"/>
        <v>472.7</v>
      </c>
      <c r="S1348">
        <f t="shared" si="89"/>
        <v>0</v>
      </c>
    </row>
    <row r="1349" spans="1:19" x14ac:dyDescent="0.25">
      <c r="A1349" s="2">
        <v>44910</v>
      </c>
      <c r="B1349" s="3">
        <v>349</v>
      </c>
      <c r="C1349" s="3">
        <v>100</v>
      </c>
      <c r="D1349">
        <v>472.70650000000001</v>
      </c>
      <c r="E1349">
        <v>3.5000000000000003E-2</v>
      </c>
      <c r="F1349">
        <v>465.82709999999997</v>
      </c>
      <c r="G1349">
        <v>474.7054</v>
      </c>
      <c r="H1349">
        <v>477.58679999999998</v>
      </c>
      <c r="I1349">
        <v>5.1999999999999998E-2</v>
      </c>
      <c r="J1349">
        <v>2.4E-2</v>
      </c>
      <c r="K1349">
        <v>1.9E-2</v>
      </c>
      <c r="L1349">
        <v>2336.1999999999998</v>
      </c>
      <c r="M1349">
        <v>2345</v>
      </c>
      <c r="N1349">
        <v>2361.1999999999998</v>
      </c>
      <c r="Q1349">
        <f t="shared" si="87"/>
        <v>472.7</v>
      </c>
      <c r="R1349">
        <f t="shared" si="88"/>
        <v>472.7</v>
      </c>
      <c r="S1349">
        <f t="shared" si="89"/>
        <v>0</v>
      </c>
    </row>
    <row r="1350" spans="1:19" x14ac:dyDescent="0.25">
      <c r="A1350" s="2">
        <v>44910</v>
      </c>
      <c r="B1350" s="3">
        <v>349</v>
      </c>
      <c r="C1350" s="3">
        <v>200</v>
      </c>
      <c r="D1350">
        <v>472.69170000000003</v>
      </c>
      <c r="E1350">
        <v>4.2000000000000003E-2</v>
      </c>
      <c r="F1350">
        <v>465.8125</v>
      </c>
      <c r="G1350">
        <v>474.6961</v>
      </c>
      <c r="H1350">
        <v>477.56639999999999</v>
      </c>
      <c r="I1350">
        <v>4.9000000000000002E-2</v>
      </c>
      <c r="J1350">
        <v>3.6999999999999998E-2</v>
      </c>
      <c r="K1350">
        <v>3.9E-2</v>
      </c>
      <c r="L1350">
        <v>2336</v>
      </c>
      <c r="M1350">
        <v>2345</v>
      </c>
      <c r="N1350">
        <v>2361.1999999999998</v>
      </c>
      <c r="Q1350">
        <f t="shared" si="87"/>
        <v>472.7</v>
      </c>
      <c r="R1350">
        <f t="shared" si="88"/>
        <v>472.7</v>
      </c>
      <c r="S1350">
        <f t="shared" si="89"/>
        <v>0</v>
      </c>
    </row>
    <row r="1351" spans="1:19" x14ac:dyDescent="0.25">
      <c r="A1351" s="2">
        <v>44910</v>
      </c>
      <c r="B1351" s="3">
        <v>349</v>
      </c>
      <c r="C1351" s="3">
        <v>300</v>
      </c>
      <c r="D1351">
        <v>472.66879999999998</v>
      </c>
      <c r="E1351">
        <v>4.8000000000000001E-2</v>
      </c>
      <c r="F1351">
        <v>465.79590000000002</v>
      </c>
      <c r="G1351">
        <v>474.67200000000003</v>
      </c>
      <c r="H1351">
        <v>477.5385</v>
      </c>
      <c r="I1351">
        <v>0.04</v>
      </c>
      <c r="J1351">
        <v>5.0999999999999997E-2</v>
      </c>
      <c r="K1351">
        <v>5.1999999999999998E-2</v>
      </c>
      <c r="L1351">
        <v>2336</v>
      </c>
      <c r="M1351">
        <v>2344.8000000000002</v>
      </c>
      <c r="N1351">
        <v>2361.1999999999998</v>
      </c>
      <c r="Q1351">
        <f t="shared" si="87"/>
        <v>472.7</v>
      </c>
      <c r="R1351">
        <f t="shared" si="88"/>
        <v>472.7</v>
      </c>
      <c r="S1351">
        <f t="shared" si="89"/>
        <v>0</v>
      </c>
    </row>
    <row r="1352" spans="1:19" x14ac:dyDescent="0.25">
      <c r="A1352" s="2">
        <v>44910</v>
      </c>
      <c r="B1352" s="3">
        <v>349</v>
      </c>
      <c r="C1352" s="3">
        <v>400</v>
      </c>
      <c r="D1352">
        <v>472.66640000000001</v>
      </c>
      <c r="E1352">
        <v>4.5999999999999999E-2</v>
      </c>
      <c r="F1352">
        <v>465.79039999999998</v>
      </c>
      <c r="G1352">
        <v>474.6739</v>
      </c>
      <c r="H1352">
        <v>477.53480000000002</v>
      </c>
      <c r="I1352">
        <v>3.4000000000000002E-2</v>
      </c>
      <c r="J1352">
        <v>0.05</v>
      </c>
      <c r="K1352">
        <v>5.2999999999999999E-2</v>
      </c>
      <c r="L1352">
        <v>2336</v>
      </c>
      <c r="M1352">
        <v>2345</v>
      </c>
      <c r="N1352">
        <v>2361.1999999999998</v>
      </c>
      <c r="Q1352">
        <f t="shared" si="87"/>
        <v>472.7</v>
      </c>
      <c r="R1352">
        <f t="shared" si="88"/>
        <v>472.7</v>
      </c>
      <c r="S1352">
        <f t="shared" si="89"/>
        <v>0</v>
      </c>
    </row>
    <row r="1353" spans="1:19" x14ac:dyDescent="0.25">
      <c r="A1353" s="2">
        <v>44910</v>
      </c>
      <c r="B1353" s="3">
        <v>349</v>
      </c>
      <c r="C1353" s="3">
        <v>500</v>
      </c>
      <c r="D1353">
        <v>472.66699999999997</v>
      </c>
      <c r="E1353">
        <v>4.3999999999999997E-2</v>
      </c>
      <c r="F1353">
        <v>465.78489999999999</v>
      </c>
      <c r="G1353">
        <v>474.67939999999999</v>
      </c>
      <c r="H1353">
        <v>477.5367</v>
      </c>
      <c r="I1353">
        <v>2.7E-2</v>
      </c>
      <c r="J1353">
        <v>4.8000000000000001E-2</v>
      </c>
      <c r="K1353">
        <v>5.1999999999999998E-2</v>
      </c>
      <c r="L1353">
        <v>2336</v>
      </c>
      <c r="M1353">
        <v>2345</v>
      </c>
      <c r="N1353">
        <v>2361</v>
      </c>
      <c r="Q1353">
        <f t="shared" si="87"/>
        <v>472.7</v>
      </c>
      <c r="R1353">
        <f t="shared" si="88"/>
        <v>472.7</v>
      </c>
      <c r="S1353">
        <f t="shared" si="89"/>
        <v>0</v>
      </c>
    </row>
    <row r="1354" spans="1:19" x14ac:dyDescent="0.25">
      <c r="A1354" s="2">
        <v>44910</v>
      </c>
      <c r="B1354" s="3">
        <v>349</v>
      </c>
      <c r="C1354" s="3">
        <v>600</v>
      </c>
      <c r="D1354">
        <v>472.6694</v>
      </c>
      <c r="E1354">
        <v>4.5999999999999999E-2</v>
      </c>
      <c r="F1354">
        <v>465.79230000000001</v>
      </c>
      <c r="G1354">
        <v>474.67939999999999</v>
      </c>
      <c r="H1354">
        <v>477.5367</v>
      </c>
      <c r="I1354">
        <v>3.5999999999999997E-2</v>
      </c>
      <c r="J1354">
        <v>4.8000000000000001E-2</v>
      </c>
      <c r="K1354">
        <v>5.1999999999999998E-2</v>
      </c>
      <c r="L1354">
        <v>2336</v>
      </c>
      <c r="M1354">
        <v>2344.8000000000002</v>
      </c>
      <c r="N1354">
        <v>2361.1999999999998</v>
      </c>
      <c r="Q1354">
        <f t="shared" si="87"/>
        <v>472.7</v>
      </c>
      <c r="R1354">
        <f t="shared" si="88"/>
        <v>472.7</v>
      </c>
      <c r="S1354">
        <f t="shared" si="89"/>
        <v>0</v>
      </c>
    </row>
    <row r="1355" spans="1:19" x14ac:dyDescent="0.25">
      <c r="A1355" s="2">
        <v>44910</v>
      </c>
      <c r="B1355" s="3">
        <v>349</v>
      </c>
      <c r="C1355" s="3">
        <v>700</v>
      </c>
      <c r="D1355">
        <v>472.65960000000001</v>
      </c>
      <c r="E1355">
        <v>4.2999999999999997E-2</v>
      </c>
      <c r="F1355">
        <v>465.77940000000001</v>
      </c>
      <c r="G1355">
        <v>474.67200000000003</v>
      </c>
      <c r="H1355">
        <v>477.5274</v>
      </c>
      <c r="I1355">
        <v>1.4E-2</v>
      </c>
      <c r="J1355">
        <v>5.0999999999999997E-2</v>
      </c>
      <c r="K1355">
        <v>5.2999999999999999E-2</v>
      </c>
      <c r="L1355">
        <v>2336</v>
      </c>
      <c r="M1355">
        <v>2345</v>
      </c>
      <c r="N1355">
        <v>2361</v>
      </c>
      <c r="Q1355">
        <f t="shared" si="87"/>
        <v>472.7</v>
      </c>
      <c r="R1355">
        <f t="shared" si="88"/>
        <v>472.7</v>
      </c>
      <c r="S1355">
        <f t="shared" si="89"/>
        <v>0</v>
      </c>
    </row>
    <row r="1356" spans="1:19" x14ac:dyDescent="0.25">
      <c r="A1356" s="2">
        <v>44910</v>
      </c>
      <c r="B1356" s="3">
        <v>349</v>
      </c>
      <c r="C1356" s="3">
        <v>800</v>
      </c>
      <c r="D1356">
        <v>472.65960000000001</v>
      </c>
      <c r="E1356">
        <v>4.3999999999999997E-2</v>
      </c>
      <c r="F1356">
        <v>465.78309999999999</v>
      </c>
      <c r="G1356">
        <v>474.67570000000001</v>
      </c>
      <c r="H1356">
        <v>477.52</v>
      </c>
      <c r="I1356">
        <v>2.3E-2</v>
      </c>
      <c r="J1356">
        <v>0.05</v>
      </c>
      <c r="K1356">
        <v>5.1999999999999998E-2</v>
      </c>
      <c r="L1356">
        <v>2336</v>
      </c>
      <c r="M1356">
        <v>2345</v>
      </c>
      <c r="N1356">
        <v>2361</v>
      </c>
      <c r="Q1356">
        <f t="shared" si="87"/>
        <v>472.7</v>
      </c>
      <c r="R1356">
        <f t="shared" si="88"/>
        <v>472.7</v>
      </c>
      <c r="S1356">
        <f t="shared" si="89"/>
        <v>0</v>
      </c>
    </row>
    <row r="1357" spans="1:19" x14ac:dyDescent="0.25">
      <c r="A1357" s="2">
        <v>44910</v>
      </c>
      <c r="B1357" s="3">
        <v>349</v>
      </c>
      <c r="C1357" s="3">
        <v>900</v>
      </c>
      <c r="D1357">
        <v>472.6472</v>
      </c>
      <c r="E1357">
        <v>4.4999999999999998E-2</v>
      </c>
      <c r="F1357">
        <v>465.76839999999999</v>
      </c>
      <c r="G1357">
        <v>474.66269999999997</v>
      </c>
      <c r="H1357">
        <v>477.51069999999999</v>
      </c>
      <c r="I1357">
        <v>0.03</v>
      </c>
      <c r="J1357">
        <v>5.2999999999999999E-2</v>
      </c>
      <c r="K1357">
        <v>4.9000000000000002E-2</v>
      </c>
      <c r="L1357">
        <v>2336</v>
      </c>
      <c r="M1357">
        <v>2344.8000000000002</v>
      </c>
      <c r="N1357">
        <v>2361</v>
      </c>
      <c r="Q1357">
        <f t="shared" si="87"/>
        <v>472.6</v>
      </c>
      <c r="R1357">
        <f t="shared" si="88"/>
        <v>472.7</v>
      </c>
      <c r="S1357">
        <f t="shared" si="89"/>
        <v>0</v>
      </c>
    </row>
    <row r="1358" spans="1:19" x14ac:dyDescent="0.25">
      <c r="A1358" s="2">
        <v>44910</v>
      </c>
      <c r="B1358" s="3">
        <v>349</v>
      </c>
      <c r="C1358" s="3">
        <v>1000</v>
      </c>
      <c r="D1358">
        <v>472.63</v>
      </c>
      <c r="E1358">
        <v>3.9E-2</v>
      </c>
      <c r="F1358">
        <v>465.76280000000003</v>
      </c>
      <c r="G1358">
        <v>474.64420000000001</v>
      </c>
      <c r="H1358">
        <v>477.4828</v>
      </c>
      <c r="I1358">
        <v>3.5999999999999997E-2</v>
      </c>
      <c r="J1358">
        <v>5.0999999999999997E-2</v>
      </c>
      <c r="K1358">
        <v>2.4E-2</v>
      </c>
      <c r="L1358">
        <v>2336</v>
      </c>
      <c r="M1358">
        <v>2345</v>
      </c>
      <c r="N1358">
        <v>2361</v>
      </c>
      <c r="Q1358">
        <f t="shared" si="87"/>
        <v>472.6</v>
      </c>
      <c r="R1358">
        <f t="shared" si="88"/>
        <v>472.7</v>
      </c>
      <c r="S1358">
        <f t="shared" si="89"/>
        <v>0</v>
      </c>
    </row>
    <row r="1359" spans="1:19" x14ac:dyDescent="0.25">
      <c r="A1359" s="2">
        <v>44910</v>
      </c>
      <c r="B1359" s="3">
        <v>349</v>
      </c>
      <c r="C1359" s="3">
        <v>1100</v>
      </c>
      <c r="D1359">
        <v>472.5874</v>
      </c>
      <c r="E1359">
        <v>4.5999999999999999E-2</v>
      </c>
      <c r="F1359">
        <v>465.74259999999998</v>
      </c>
      <c r="G1359">
        <v>474.59230000000002</v>
      </c>
      <c r="H1359">
        <v>477.42720000000003</v>
      </c>
      <c r="I1359">
        <v>4.9000000000000002E-2</v>
      </c>
      <c r="J1359">
        <v>3.5000000000000003E-2</v>
      </c>
      <c r="K1359">
        <v>5.2999999999999999E-2</v>
      </c>
      <c r="L1359">
        <v>2336</v>
      </c>
      <c r="M1359">
        <v>2344.8000000000002</v>
      </c>
      <c r="N1359">
        <v>2360.8000000000002</v>
      </c>
      <c r="Q1359">
        <f t="shared" si="87"/>
        <v>472.6</v>
      </c>
      <c r="R1359">
        <f t="shared" si="88"/>
        <v>472.7</v>
      </c>
      <c r="S1359">
        <f t="shared" si="89"/>
        <v>0</v>
      </c>
    </row>
    <row r="1360" spans="1:19" x14ac:dyDescent="0.25">
      <c r="A1360" s="2">
        <v>44910</v>
      </c>
      <c r="B1360" s="3">
        <v>349</v>
      </c>
      <c r="C1360" s="3">
        <v>1200</v>
      </c>
      <c r="D1360">
        <v>472.54219999999998</v>
      </c>
      <c r="E1360">
        <v>4.3999999999999997E-2</v>
      </c>
      <c r="F1360">
        <v>465.75</v>
      </c>
      <c r="G1360">
        <v>474.52550000000002</v>
      </c>
      <c r="H1360">
        <v>477.35109999999997</v>
      </c>
      <c r="I1360">
        <v>4.5999999999999999E-2</v>
      </c>
      <c r="J1360">
        <v>4.4999999999999998E-2</v>
      </c>
      <c r="K1360">
        <v>4.2000000000000003E-2</v>
      </c>
      <c r="L1360">
        <v>2336</v>
      </c>
      <c r="M1360">
        <v>2344.6</v>
      </c>
      <c r="N1360">
        <v>2360.8000000000002</v>
      </c>
      <c r="Q1360">
        <f t="shared" si="87"/>
        <v>472.5</v>
      </c>
      <c r="R1360">
        <f t="shared" si="88"/>
        <v>472.7</v>
      </c>
      <c r="S1360">
        <f t="shared" si="89"/>
        <v>0</v>
      </c>
    </row>
    <row r="1361" spans="1:19" x14ac:dyDescent="0.25">
      <c r="A1361" s="2">
        <v>44910</v>
      </c>
      <c r="B1361" s="3">
        <v>349</v>
      </c>
      <c r="C1361" s="3">
        <v>1300</v>
      </c>
      <c r="D1361">
        <v>472.5213</v>
      </c>
      <c r="E1361">
        <v>4.2999999999999997E-2</v>
      </c>
      <c r="F1361">
        <v>465.6986</v>
      </c>
      <c r="G1361">
        <v>474.5181</v>
      </c>
      <c r="H1361">
        <v>477.34739999999999</v>
      </c>
      <c r="I1361">
        <v>4.4999999999999998E-2</v>
      </c>
      <c r="J1361">
        <v>0.04</v>
      </c>
      <c r="K1361">
        <v>4.3999999999999997E-2</v>
      </c>
      <c r="L1361">
        <v>2335.8000000000002</v>
      </c>
      <c r="M1361">
        <v>2344.6</v>
      </c>
      <c r="N1361">
        <v>2360.8000000000002</v>
      </c>
      <c r="Q1361">
        <f t="shared" si="87"/>
        <v>472.5</v>
      </c>
      <c r="R1361">
        <f t="shared" si="88"/>
        <v>472.7</v>
      </c>
      <c r="S1361">
        <f t="shared" si="89"/>
        <v>0</v>
      </c>
    </row>
    <row r="1362" spans="1:19" x14ac:dyDescent="0.25">
      <c r="A1362" s="2">
        <v>44910</v>
      </c>
      <c r="B1362" s="3">
        <v>349</v>
      </c>
      <c r="C1362" s="3">
        <v>1400</v>
      </c>
      <c r="D1362">
        <v>472.53930000000003</v>
      </c>
      <c r="E1362">
        <v>4.2000000000000003E-2</v>
      </c>
      <c r="F1362">
        <v>465.70409999999998</v>
      </c>
      <c r="G1362">
        <v>474.5385</v>
      </c>
      <c r="H1362">
        <v>477.37520000000001</v>
      </c>
      <c r="I1362">
        <v>4.8000000000000001E-2</v>
      </c>
      <c r="J1362">
        <v>5.0999999999999997E-2</v>
      </c>
      <c r="K1362">
        <v>1.9E-2</v>
      </c>
      <c r="L1362">
        <v>2335.8000000000002</v>
      </c>
      <c r="M1362">
        <v>2344.8000000000002</v>
      </c>
      <c r="N1362">
        <v>2360.8000000000002</v>
      </c>
      <c r="Q1362">
        <f t="shared" si="87"/>
        <v>472.5</v>
      </c>
      <c r="R1362">
        <f t="shared" si="88"/>
        <v>472.7</v>
      </c>
      <c r="S1362">
        <f t="shared" si="89"/>
        <v>0</v>
      </c>
    </row>
    <row r="1363" spans="1:19" x14ac:dyDescent="0.25">
      <c r="A1363" s="2">
        <v>44910</v>
      </c>
      <c r="B1363" s="3">
        <v>349</v>
      </c>
      <c r="C1363" s="3">
        <v>1500</v>
      </c>
      <c r="D1363">
        <v>472.5498</v>
      </c>
      <c r="E1363">
        <v>4.3999999999999997E-2</v>
      </c>
      <c r="F1363">
        <v>465.68939999999998</v>
      </c>
      <c r="G1363">
        <v>474.56630000000001</v>
      </c>
      <c r="H1363">
        <v>477.3938</v>
      </c>
      <c r="I1363">
        <v>3.7999999999999999E-2</v>
      </c>
      <c r="J1363">
        <v>5.0999999999999997E-2</v>
      </c>
      <c r="K1363">
        <v>4.2999999999999997E-2</v>
      </c>
      <c r="L1363">
        <v>2335.8000000000002</v>
      </c>
      <c r="M1363">
        <v>2344.6</v>
      </c>
      <c r="N1363">
        <v>2361</v>
      </c>
      <c r="Q1363">
        <f t="shared" ref="Q1363:Q1426" si="90">ROUND(D1363,1)</f>
        <v>472.5</v>
      </c>
      <c r="R1363">
        <f t="shared" si="88"/>
        <v>472.7</v>
      </c>
      <c r="S1363">
        <f t="shared" si="89"/>
        <v>0</v>
      </c>
    </row>
    <row r="1364" spans="1:19" x14ac:dyDescent="0.25">
      <c r="A1364" s="2">
        <v>44910</v>
      </c>
      <c r="B1364" s="3">
        <v>349</v>
      </c>
      <c r="C1364" s="3">
        <v>1600</v>
      </c>
      <c r="D1364">
        <v>472.577</v>
      </c>
      <c r="E1364">
        <v>4.3999999999999997E-2</v>
      </c>
      <c r="F1364">
        <v>465.70409999999998</v>
      </c>
      <c r="G1364">
        <v>474.59780000000001</v>
      </c>
      <c r="H1364">
        <v>477.42899999999997</v>
      </c>
      <c r="I1364">
        <v>4.8000000000000001E-2</v>
      </c>
      <c r="J1364">
        <v>2.7E-2</v>
      </c>
      <c r="K1364">
        <v>5.2999999999999999E-2</v>
      </c>
      <c r="L1364">
        <v>2335.8000000000002</v>
      </c>
      <c r="M1364">
        <v>2344.6</v>
      </c>
      <c r="N1364">
        <v>2361</v>
      </c>
      <c r="Q1364">
        <f t="shared" si="90"/>
        <v>472.6</v>
      </c>
      <c r="R1364">
        <f t="shared" si="88"/>
        <v>472.7</v>
      </c>
      <c r="S1364">
        <f t="shared" si="89"/>
        <v>0</v>
      </c>
    </row>
    <row r="1365" spans="1:19" x14ac:dyDescent="0.25">
      <c r="A1365" s="2">
        <v>44910</v>
      </c>
      <c r="B1365" s="3">
        <v>349</v>
      </c>
      <c r="C1365" s="3">
        <v>1700</v>
      </c>
      <c r="D1365">
        <v>472.5992</v>
      </c>
      <c r="E1365">
        <v>4.2999999999999997E-2</v>
      </c>
      <c r="F1365">
        <v>465.72609999999997</v>
      </c>
      <c r="G1365">
        <v>474.6164</v>
      </c>
      <c r="H1365">
        <v>477.45499999999998</v>
      </c>
      <c r="I1365">
        <v>5.1999999999999998E-2</v>
      </c>
      <c r="J1365">
        <v>3.2000000000000001E-2</v>
      </c>
      <c r="K1365">
        <v>4.2999999999999997E-2</v>
      </c>
      <c r="L1365">
        <v>2335.8000000000002</v>
      </c>
      <c r="M1365">
        <v>2344.8000000000002</v>
      </c>
      <c r="N1365">
        <v>2361</v>
      </c>
      <c r="Q1365">
        <f t="shared" si="90"/>
        <v>472.6</v>
      </c>
      <c r="R1365">
        <f t="shared" si="88"/>
        <v>472.7</v>
      </c>
      <c r="S1365">
        <f t="shared" si="89"/>
        <v>0</v>
      </c>
    </row>
    <row r="1366" spans="1:19" x14ac:dyDescent="0.25">
      <c r="A1366" s="2">
        <v>44910</v>
      </c>
      <c r="B1366" s="3">
        <v>349</v>
      </c>
      <c r="C1366" s="3">
        <v>1800</v>
      </c>
      <c r="D1366">
        <v>472.6103</v>
      </c>
      <c r="E1366">
        <v>4.2000000000000003E-2</v>
      </c>
      <c r="F1366">
        <v>465.73899999999998</v>
      </c>
      <c r="G1366">
        <v>474.62560000000002</v>
      </c>
      <c r="H1366">
        <v>477.46620000000001</v>
      </c>
      <c r="I1366">
        <v>5.0999999999999997E-2</v>
      </c>
      <c r="J1366">
        <v>4.2000000000000003E-2</v>
      </c>
      <c r="K1366">
        <v>3.2000000000000001E-2</v>
      </c>
      <c r="L1366">
        <v>2336</v>
      </c>
      <c r="M1366">
        <v>2344.8000000000002</v>
      </c>
      <c r="N1366">
        <v>2360.8000000000002</v>
      </c>
      <c r="Q1366">
        <f t="shared" si="90"/>
        <v>472.6</v>
      </c>
      <c r="R1366">
        <f t="shared" si="88"/>
        <v>472.7</v>
      </c>
      <c r="S1366">
        <f t="shared" si="89"/>
        <v>0</v>
      </c>
    </row>
    <row r="1367" spans="1:19" x14ac:dyDescent="0.25">
      <c r="A1367" s="2">
        <v>44910</v>
      </c>
      <c r="B1367" s="3">
        <v>349</v>
      </c>
      <c r="C1367" s="3">
        <v>1900</v>
      </c>
      <c r="D1367">
        <v>472.61829999999998</v>
      </c>
      <c r="E1367">
        <v>4.2000000000000003E-2</v>
      </c>
      <c r="F1367">
        <v>465.73349999999999</v>
      </c>
      <c r="G1367">
        <v>474.64229999999998</v>
      </c>
      <c r="H1367">
        <v>477.47919999999999</v>
      </c>
      <c r="I1367">
        <v>5.1999999999999998E-2</v>
      </c>
      <c r="J1367">
        <v>0.05</v>
      </c>
      <c r="K1367">
        <v>1.4E-2</v>
      </c>
      <c r="L1367">
        <v>2335.8000000000002</v>
      </c>
      <c r="M1367">
        <v>2344.8000000000002</v>
      </c>
      <c r="N1367">
        <v>2361</v>
      </c>
      <c r="Q1367">
        <f t="shared" si="90"/>
        <v>472.6</v>
      </c>
      <c r="R1367">
        <f t="shared" si="88"/>
        <v>472.7</v>
      </c>
      <c r="S1367">
        <f t="shared" si="89"/>
        <v>0</v>
      </c>
    </row>
    <row r="1368" spans="1:19" x14ac:dyDescent="0.25">
      <c r="A1368" s="2">
        <v>44910</v>
      </c>
      <c r="B1368" s="3">
        <v>349</v>
      </c>
      <c r="C1368" s="3">
        <v>2000</v>
      </c>
      <c r="D1368">
        <v>472.63189999999997</v>
      </c>
      <c r="E1368">
        <v>4.9000000000000002E-2</v>
      </c>
      <c r="F1368">
        <v>465.74259999999998</v>
      </c>
      <c r="G1368">
        <v>474.65350000000001</v>
      </c>
      <c r="H1368">
        <v>477.49959999999999</v>
      </c>
      <c r="I1368">
        <v>4.9000000000000002E-2</v>
      </c>
      <c r="J1368">
        <v>5.2999999999999999E-2</v>
      </c>
      <c r="K1368">
        <v>4.2999999999999997E-2</v>
      </c>
      <c r="L1368">
        <v>2335.8000000000002</v>
      </c>
      <c r="M1368">
        <v>2344.8000000000002</v>
      </c>
      <c r="N1368">
        <v>2361</v>
      </c>
      <c r="Q1368">
        <f t="shared" si="90"/>
        <v>472.6</v>
      </c>
      <c r="R1368">
        <f t="shared" si="88"/>
        <v>472.7</v>
      </c>
      <c r="S1368">
        <f t="shared" si="89"/>
        <v>0</v>
      </c>
    </row>
    <row r="1369" spans="1:19" x14ac:dyDescent="0.25">
      <c r="A1369" s="2">
        <v>44910</v>
      </c>
      <c r="B1369" s="3">
        <v>349</v>
      </c>
      <c r="C1369" s="3">
        <v>2100</v>
      </c>
      <c r="D1369">
        <v>472.63810000000001</v>
      </c>
      <c r="E1369">
        <v>4.8000000000000001E-2</v>
      </c>
      <c r="F1369">
        <v>465.7518</v>
      </c>
      <c r="G1369">
        <v>474.65899999999999</v>
      </c>
      <c r="H1369">
        <v>477.50330000000002</v>
      </c>
      <c r="I1369">
        <v>4.4999999999999998E-2</v>
      </c>
      <c r="J1369">
        <v>5.2999999999999999E-2</v>
      </c>
      <c r="K1369">
        <v>4.5999999999999999E-2</v>
      </c>
      <c r="L1369">
        <v>2336</v>
      </c>
      <c r="M1369">
        <v>2344.8000000000002</v>
      </c>
      <c r="N1369">
        <v>2361</v>
      </c>
      <c r="Q1369">
        <f t="shared" si="90"/>
        <v>472.6</v>
      </c>
      <c r="R1369">
        <f t="shared" si="88"/>
        <v>472.7</v>
      </c>
      <c r="S1369">
        <f t="shared" si="89"/>
        <v>0</v>
      </c>
    </row>
    <row r="1370" spans="1:19" x14ac:dyDescent="0.25">
      <c r="A1370" s="2">
        <v>44910</v>
      </c>
      <c r="B1370" s="3">
        <v>349</v>
      </c>
      <c r="C1370" s="3">
        <v>2200</v>
      </c>
      <c r="D1370">
        <v>472.63869999999997</v>
      </c>
      <c r="E1370">
        <v>4.8000000000000001E-2</v>
      </c>
      <c r="F1370">
        <v>465.7518</v>
      </c>
      <c r="G1370">
        <v>474.66090000000003</v>
      </c>
      <c r="H1370">
        <v>477.50330000000002</v>
      </c>
      <c r="I1370">
        <v>4.4999999999999998E-2</v>
      </c>
      <c r="J1370">
        <v>5.2999999999999999E-2</v>
      </c>
      <c r="K1370">
        <v>4.5999999999999999E-2</v>
      </c>
      <c r="L1370">
        <v>2336</v>
      </c>
      <c r="M1370">
        <v>2345</v>
      </c>
      <c r="N1370">
        <v>2361</v>
      </c>
      <c r="Q1370">
        <f t="shared" si="90"/>
        <v>472.6</v>
      </c>
      <c r="R1370">
        <f t="shared" si="88"/>
        <v>472.7</v>
      </c>
      <c r="S1370">
        <f t="shared" si="89"/>
        <v>0</v>
      </c>
    </row>
    <row r="1371" spans="1:19" x14ac:dyDescent="0.25">
      <c r="A1371" s="2">
        <v>44910</v>
      </c>
      <c r="B1371" s="3">
        <v>349</v>
      </c>
      <c r="C1371" s="3">
        <v>2300</v>
      </c>
      <c r="D1371">
        <v>472.64550000000003</v>
      </c>
      <c r="E1371">
        <v>4.7E-2</v>
      </c>
      <c r="F1371">
        <v>465.75920000000002</v>
      </c>
      <c r="G1371">
        <v>474.66640000000001</v>
      </c>
      <c r="H1371">
        <v>477.51069999999999</v>
      </c>
      <c r="I1371">
        <v>0.04</v>
      </c>
      <c r="J1371">
        <v>5.1999999999999998E-2</v>
      </c>
      <c r="K1371">
        <v>4.9000000000000002E-2</v>
      </c>
      <c r="L1371">
        <v>2336</v>
      </c>
      <c r="M1371">
        <v>2345</v>
      </c>
      <c r="N1371">
        <v>2361</v>
      </c>
      <c r="Q1371">
        <f t="shared" si="90"/>
        <v>472.6</v>
      </c>
      <c r="R1371">
        <f t="shared" si="88"/>
        <v>472.7</v>
      </c>
      <c r="S1371">
        <f t="shared" si="89"/>
        <v>0</v>
      </c>
    </row>
    <row r="1372" spans="1:19" x14ac:dyDescent="0.25">
      <c r="A1372" s="2">
        <v>44910</v>
      </c>
      <c r="B1372" s="3">
        <v>349</v>
      </c>
      <c r="C1372" s="3">
        <v>2400</v>
      </c>
      <c r="D1372">
        <v>472.64670000000001</v>
      </c>
      <c r="E1372">
        <v>4.8000000000000001E-2</v>
      </c>
      <c r="F1372">
        <v>465.75740000000002</v>
      </c>
      <c r="G1372">
        <v>474.66640000000001</v>
      </c>
      <c r="H1372">
        <v>477.5163</v>
      </c>
      <c r="I1372">
        <v>4.1000000000000002E-2</v>
      </c>
      <c r="J1372">
        <v>5.1999999999999998E-2</v>
      </c>
      <c r="K1372">
        <v>5.0999999999999997E-2</v>
      </c>
      <c r="L1372">
        <v>2336</v>
      </c>
      <c r="M1372">
        <v>2344.8000000000002</v>
      </c>
      <c r="N1372">
        <v>2361.1999999999998</v>
      </c>
      <c r="Q1372">
        <f t="shared" si="90"/>
        <v>472.6</v>
      </c>
      <c r="R1372">
        <f t="shared" si="88"/>
        <v>472.7</v>
      </c>
      <c r="S1372">
        <f t="shared" si="89"/>
        <v>0</v>
      </c>
    </row>
    <row r="1373" spans="1:19" x14ac:dyDescent="0.25">
      <c r="A1373" s="2">
        <v>44911</v>
      </c>
      <c r="B1373" s="3">
        <v>350</v>
      </c>
      <c r="C1373" s="3">
        <v>100</v>
      </c>
      <c r="D1373">
        <v>472.64670000000001</v>
      </c>
      <c r="E1373">
        <v>4.8000000000000001E-2</v>
      </c>
      <c r="F1373">
        <v>465.75549999999998</v>
      </c>
      <c r="G1373">
        <v>474.67009999999999</v>
      </c>
      <c r="H1373">
        <v>477.51440000000002</v>
      </c>
      <c r="I1373">
        <v>4.2999999999999997E-2</v>
      </c>
      <c r="J1373">
        <v>5.0999999999999997E-2</v>
      </c>
      <c r="K1373">
        <v>0.05</v>
      </c>
      <c r="L1373">
        <v>2336</v>
      </c>
      <c r="M1373">
        <v>2345</v>
      </c>
      <c r="N1373">
        <v>2361</v>
      </c>
      <c r="Q1373">
        <f t="shared" si="90"/>
        <v>472.6</v>
      </c>
      <c r="R1373">
        <f t="shared" si="88"/>
        <v>472.7</v>
      </c>
      <c r="S1373">
        <f t="shared" si="89"/>
        <v>0</v>
      </c>
    </row>
    <row r="1374" spans="1:19" x14ac:dyDescent="0.25">
      <c r="A1374" s="2">
        <v>44911</v>
      </c>
      <c r="B1374" s="3">
        <v>350</v>
      </c>
      <c r="C1374" s="3">
        <v>200</v>
      </c>
      <c r="D1374">
        <v>472.64240000000001</v>
      </c>
      <c r="E1374">
        <v>4.7E-2</v>
      </c>
      <c r="F1374">
        <v>465.75549999999998</v>
      </c>
      <c r="G1374">
        <v>474.66829999999999</v>
      </c>
      <c r="H1374">
        <v>477.50330000000002</v>
      </c>
      <c r="I1374">
        <v>4.2999999999999997E-2</v>
      </c>
      <c r="J1374">
        <v>5.1999999999999998E-2</v>
      </c>
      <c r="K1374">
        <v>4.5999999999999999E-2</v>
      </c>
      <c r="L1374">
        <v>2336</v>
      </c>
      <c r="M1374">
        <v>2345</v>
      </c>
      <c r="N1374">
        <v>2361</v>
      </c>
      <c r="Q1374">
        <f t="shared" si="90"/>
        <v>472.6</v>
      </c>
      <c r="R1374">
        <f t="shared" si="88"/>
        <v>472.7</v>
      </c>
      <c r="S1374">
        <f t="shared" si="89"/>
        <v>0</v>
      </c>
    </row>
    <row r="1375" spans="1:19" x14ac:dyDescent="0.25">
      <c r="A1375" s="2">
        <v>44911</v>
      </c>
      <c r="B1375" s="3">
        <v>350</v>
      </c>
      <c r="C1375" s="3">
        <v>300</v>
      </c>
      <c r="D1375">
        <v>472.61649999999997</v>
      </c>
      <c r="E1375">
        <v>4.3999999999999997E-2</v>
      </c>
      <c r="F1375">
        <v>465.73160000000001</v>
      </c>
      <c r="G1375">
        <v>474.6386</v>
      </c>
      <c r="H1375">
        <v>477.47919999999999</v>
      </c>
      <c r="I1375">
        <v>5.1999999999999998E-2</v>
      </c>
      <c r="J1375">
        <v>4.9000000000000002E-2</v>
      </c>
      <c r="K1375">
        <v>2.4E-2</v>
      </c>
      <c r="L1375">
        <v>2335.8000000000002</v>
      </c>
      <c r="M1375">
        <v>2344.8000000000002</v>
      </c>
      <c r="N1375">
        <v>2361</v>
      </c>
      <c r="Q1375">
        <f t="shared" si="90"/>
        <v>472.6</v>
      </c>
      <c r="R1375">
        <f t="shared" si="88"/>
        <v>472.7</v>
      </c>
      <c r="S1375">
        <f t="shared" si="89"/>
        <v>0</v>
      </c>
    </row>
    <row r="1376" spans="1:19" x14ac:dyDescent="0.25">
      <c r="A1376" s="2">
        <v>44911</v>
      </c>
      <c r="B1376" s="3">
        <v>350</v>
      </c>
      <c r="C1376" s="3">
        <v>400</v>
      </c>
      <c r="D1376">
        <v>472.5985</v>
      </c>
      <c r="E1376">
        <v>4.5999999999999999E-2</v>
      </c>
      <c r="F1376">
        <v>465.73160000000001</v>
      </c>
      <c r="G1376">
        <v>474.61270000000002</v>
      </c>
      <c r="H1376">
        <v>477.4513</v>
      </c>
      <c r="I1376">
        <v>5.1999999999999998E-2</v>
      </c>
      <c r="J1376">
        <v>3.9E-2</v>
      </c>
      <c r="K1376">
        <v>4.5999999999999999E-2</v>
      </c>
      <c r="L1376">
        <v>2336</v>
      </c>
      <c r="M1376">
        <v>2344.8000000000002</v>
      </c>
      <c r="N1376">
        <v>2360.8000000000002</v>
      </c>
      <c r="Q1376">
        <f t="shared" si="90"/>
        <v>472.6</v>
      </c>
      <c r="R1376">
        <f t="shared" si="88"/>
        <v>472.7</v>
      </c>
      <c r="S1376">
        <f t="shared" si="89"/>
        <v>0</v>
      </c>
    </row>
    <row r="1377" spans="1:19" x14ac:dyDescent="0.25">
      <c r="A1377" s="2">
        <v>44911</v>
      </c>
      <c r="B1377" s="3">
        <v>350</v>
      </c>
      <c r="C1377" s="3">
        <v>500</v>
      </c>
      <c r="D1377">
        <v>472.5838</v>
      </c>
      <c r="E1377">
        <v>4.3999999999999997E-2</v>
      </c>
      <c r="F1377">
        <v>465.70780000000002</v>
      </c>
      <c r="G1377">
        <v>474.61079999999998</v>
      </c>
      <c r="H1377">
        <v>477.43270000000001</v>
      </c>
      <c r="I1377">
        <v>4.9000000000000002E-2</v>
      </c>
      <c r="J1377">
        <v>2.4E-2</v>
      </c>
      <c r="K1377">
        <v>5.1999999999999998E-2</v>
      </c>
      <c r="L1377">
        <v>2336</v>
      </c>
      <c r="M1377">
        <v>2344.8000000000002</v>
      </c>
      <c r="N1377">
        <v>2361</v>
      </c>
      <c r="Q1377">
        <f t="shared" si="90"/>
        <v>472.6</v>
      </c>
      <c r="R1377">
        <f t="shared" si="88"/>
        <v>472.7</v>
      </c>
      <c r="S1377">
        <f t="shared" si="89"/>
        <v>0</v>
      </c>
    </row>
    <row r="1378" spans="1:19" x14ac:dyDescent="0.25">
      <c r="A1378" s="2">
        <v>44911</v>
      </c>
      <c r="B1378" s="3">
        <v>350</v>
      </c>
      <c r="C1378" s="3">
        <v>600</v>
      </c>
      <c r="D1378">
        <v>472.58629999999999</v>
      </c>
      <c r="E1378">
        <v>4.2000000000000003E-2</v>
      </c>
      <c r="F1378">
        <v>465.70780000000002</v>
      </c>
      <c r="G1378">
        <v>474.60899999999998</v>
      </c>
      <c r="H1378">
        <v>477.44200000000001</v>
      </c>
      <c r="I1378">
        <v>4.9000000000000002E-2</v>
      </c>
      <c r="J1378">
        <v>1.9E-2</v>
      </c>
      <c r="K1378">
        <v>0.05</v>
      </c>
      <c r="L1378">
        <v>2336</v>
      </c>
      <c r="M1378">
        <v>2344.8000000000002</v>
      </c>
      <c r="N1378">
        <v>2360.8000000000002</v>
      </c>
      <c r="Q1378">
        <f t="shared" si="90"/>
        <v>472.6</v>
      </c>
      <c r="R1378">
        <f t="shared" ref="R1378:R1441" si="91">ROUND(IF(Q1378&lt;R1377,R1377,Q1378),1)</f>
        <v>472.7</v>
      </c>
      <c r="S1378">
        <f t="shared" si="89"/>
        <v>0</v>
      </c>
    </row>
    <row r="1379" spans="1:19" x14ac:dyDescent="0.25">
      <c r="A1379" s="2">
        <v>44911</v>
      </c>
      <c r="B1379" s="3">
        <v>350</v>
      </c>
      <c r="C1379" s="3">
        <v>700</v>
      </c>
      <c r="D1379">
        <v>472.59300000000002</v>
      </c>
      <c r="E1379">
        <v>4.4999999999999998E-2</v>
      </c>
      <c r="F1379">
        <v>465.72980000000001</v>
      </c>
      <c r="G1379">
        <v>474.6071</v>
      </c>
      <c r="H1379">
        <v>477.44200000000001</v>
      </c>
      <c r="I1379">
        <v>5.1999999999999998E-2</v>
      </c>
      <c r="J1379">
        <v>3.1E-2</v>
      </c>
      <c r="K1379">
        <v>0.05</v>
      </c>
      <c r="L1379">
        <v>2336</v>
      </c>
      <c r="M1379">
        <v>2344.8000000000002</v>
      </c>
      <c r="N1379">
        <v>2361</v>
      </c>
      <c r="Q1379">
        <f t="shared" si="90"/>
        <v>472.6</v>
      </c>
      <c r="R1379">
        <f t="shared" si="91"/>
        <v>472.7</v>
      </c>
      <c r="S1379">
        <f t="shared" si="89"/>
        <v>0</v>
      </c>
    </row>
    <row r="1380" spans="1:19" x14ac:dyDescent="0.25">
      <c r="A1380" s="2">
        <v>44911</v>
      </c>
      <c r="B1380" s="3">
        <v>350</v>
      </c>
      <c r="C1380" s="3">
        <v>800</v>
      </c>
      <c r="D1380">
        <v>472.5992</v>
      </c>
      <c r="E1380">
        <v>4.7E-2</v>
      </c>
      <c r="F1380">
        <v>465.72430000000003</v>
      </c>
      <c r="G1380">
        <v>474.62380000000002</v>
      </c>
      <c r="H1380">
        <v>477.4495</v>
      </c>
      <c r="I1380">
        <v>5.1999999999999998E-2</v>
      </c>
      <c r="J1380">
        <v>0.04</v>
      </c>
      <c r="K1380">
        <v>4.7E-2</v>
      </c>
      <c r="L1380">
        <v>2335.8000000000002</v>
      </c>
      <c r="M1380">
        <v>2344.8000000000002</v>
      </c>
      <c r="N1380">
        <v>2361</v>
      </c>
      <c r="Q1380">
        <f t="shared" si="90"/>
        <v>472.6</v>
      </c>
      <c r="R1380">
        <f t="shared" si="91"/>
        <v>472.7</v>
      </c>
      <c r="S1380">
        <f t="shared" si="89"/>
        <v>0</v>
      </c>
    </row>
    <row r="1381" spans="1:19" x14ac:dyDescent="0.25">
      <c r="A1381" s="2">
        <v>44911</v>
      </c>
      <c r="B1381" s="3">
        <v>350</v>
      </c>
      <c r="C1381" s="3">
        <v>900</v>
      </c>
      <c r="D1381">
        <v>472.58870000000002</v>
      </c>
      <c r="E1381">
        <v>4.8000000000000001E-2</v>
      </c>
      <c r="F1381">
        <v>465.72609999999997</v>
      </c>
      <c r="G1381">
        <v>474.61450000000002</v>
      </c>
      <c r="H1381">
        <v>477.42529999999999</v>
      </c>
      <c r="I1381">
        <v>5.1999999999999998E-2</v>
      </c>
      <c r="J1381">
        <v>3.5999999999999997E-2</v>
      </c>
      <c r="K1381">
        <v>5.2999999999999999E-2</v>
      </c>
      <c r="L1381">
        <v>2336</v>
      </c>
      <c r="M1381">
        <v>2344.8000000000002</v>
      </c>
      <c r="N1381">
        <v>2360.8000000000002</v>
      </c>
      <c r="Q1381">
        <f t="shared" si="90"/>
        <v>472.6</v>
      </c>
      <c r="R1381">
        <f t="shared" si="91"/>
        <v>472.7</v>
      </c>
      <c r="S1381">
        <f t="shared" ref="S1381:S1444" si="92">IF(R1381&gt;R1380,R1381-R1380,0)</f>
        <v>0</v>
      </c>
    </row>
    <row r="1382" spans="1:19" x14ac:dyDescent="0.25">
      <c r="A1382" s="2">
        <v>44911</v>
      </c>
      <c r="B1382" s="3">
        <v>350</v>
      </c>
      <c r="C1382" s="3">
        <v>1000</v>
      </c>
      <c r="D1382">
        <v>472.56060000000002</v>
      </c>
      <c r="E1382">
        <v>3.6999999999999998E-2</v>
      </c>
      <c r="F1382">
        <v>465.79039999999998</v>
      </c>
      <c r="G1382">
        <v>474.59780000000001</v>
      </c>
      <c r="H1382">
        <v>477.29349999999999</v>
      </c>
      <c r="I1382">
        <v>3.4000000000000002E-2</v>
      </c>
      <c r="J1382">
        <v>2.7E-2</v>
      </c>
      <c r="K1382">
        <v>4.7E-2</v>
      </c>
      <c r="L1382">
        <v>2336</v>
      </c>
      <c r="M1382">
        <v>2344.8000000000002</v>
      </c>
      <c r="N1382">
        <v>2360.6</v>
      </c>
      <c r="Q1382">
        <f t="shared" si="90"/>
        <v>472.6</v>
      </c>
      <c r="R1382">
        <f t="shared" si="91"/>
        <v>472.7</v>
      </c>
      <c r="S1382">
        <f t="shared" si="92"/>
        <v>0</v>
      </c>
    </row>
    <row r="1383" spans="1:19" x14ac:dyDescent="0.25">
      <c r="A1383" s="2">
        <v>44911</v>
      </c>
      <c r="B1383" s="3">
        <v>350</v>
      </c>
      <c r="C1383" s="3">
        <v>1100</v>
      </c>
      <c r="D1383">
        <v>472.505</v>
      </c>
      <c r="E1383">
        <v>4.5999999999999999E-2</v>
      </c>
      <c r="F1383">
        <v>465.76280000000003</v>
      </c>
      <c r="G1383">
        <v>474.53109999999998</v>
      </c>
      <c r="H1383">
        <v>477.22109999999998</v>
      </c>
      <c r="I1383">
        <v>3.5999999999999997E-2</v>
      </c>
      <c r="J1383">
        <v>4.8000000000000001E-2</v>
      </c>
      <c r="K1383">
        <v>5.1999999999999998E-2</v>
      </c>
      <c r="L1383">
        <v>2336</v>
      </c>
      <c r="M1383">
        <v>2344.8000000000002</v>
      </c>
      <c r="N1383">
        <v>2360.4</v>
      </c>
      <c r="Q1383">
        <f t="shared" si="90"/>
        <v>472.5</v>
      </c>
      <c r="R1383">
        <f t="shared" si="91"/>
        <v>472.7</v>
      </c>
      <c r="S1383">
        <f t="shared" si="92"/>
        <v>0</v>
      </c>
    </row>
    <row r="1384" spans="1:19" x14ac:dyDescent="0.25">
      <c r="A1384" s="2">
        <v>44911</v>
      </c>
      <c r="B1384" s="3">
        <v>350</v>
      </c>
      <c r="C1384" s="3">
        <v>1200</v>
      </c>
      <c r="D1384">
        <v>472.45620000000002</v>
      </c>
      <c r="E1384">
        <v>4.4999999999999998E-2</v>
      </c>
      <c r="F1384">
        <v>465.75</v>
      </c>
      <c r="G1384">
        <v>474.45139999999998</v>
      </c>
      <c r="H1384">
        <v>477.16719999999998</v>
      </c>
      <c r="I1384">
        <v>0.05</v>
      </c>
      <c r="J1384">
        <v>5.2999999999999999E-2</v>
      </c>
      <c r="K1384">
        <v>2.7E-2</v>
      </c>
      <c r="L1384">
        <v>2336</v>
      </c>
      <c r="M1384">
        <v>2344.6</v>
      </c>
      <c r="N1384">
        <v>2360.4</v>
      </c>
      <c r="Q1384">
        <f t="shared" si="90"/>
        <v>472.5</v>
      </c>
      <c r="R1384">
        <f t="shared" si="91"/>
        <v>472.7</v>
      </c>
      <c r="S1384">
        <f t="shared" si="92"/>
        <v>0</v>
      </c>
    </row>
    <row r="1385" spans="1:19" x14ac:dyDescent="0.25">
      <c r="A1385" s="2">
        <v>44911</v>
      </c>
      <c r="B1385" s="3">
        <v>350</v>
      </c>
      <c r="C1385" s="3">
        <v>1300</v>
      </c>
      <c r="D1385">
        <v>472.39100000000002</v>
      </c>
      <c r="E1385">
        <v>4.2000000000000003E-2</v>
      </c>
      <c r="F1385">
        <v>465.64530000000002</v>
      </c>
      <c r="G1385">
        <v>474.36790000000002</v>
      </c>
      <c r="H1385">
        <v>477.15980000000002</v>
      </c>
      <c r="I1385">
        <v>4.5999999999999999E-2</v>
      </c>
      <c r="J1385">
        <v>0.05</v>
      </c>
      <c r="K1385">
        <v>2.8000000000000001E-2</v>
      </c>
      <c r="L1385">
        <v>2335.6</v>
      </c>
      <c r="M1385">
        <v>2344.4</v>
      </c>
      <c r="N1385">
        <v>2360.4</v>
      </c>
      <c r="Q1385">
        <f t="shared" si="90"/>
        <v>472.4</v>
      </c>
      <c r="R1385">
        <f t="shared" si="91"/>
        <v>472.7</v>
      </c>
      <c r="S1385">
        <f t="shared" si="92"/>
        <v>0</v>
      </c>
    </row>
    <row r="1386" spans="1:19" x14ac:dyDescent="0.25">
      <c r="A1386" s="2">
        <v>44911</v>
      </c>
      <c r="B1386" s="3">
        <v>350</v>
      </c>
      <c r="C1386" s="3">
        <v>1400</v>
      </c>
      <c r="D1386">
        <v>472.32380000000001</v>
      </c>
      <c r="E1386">
        <v>4.7E-2</v>
      </c>
      <c r="F1386">
        <v>465.59010000000001</v>
      </c>
      <c r="G1386">
        <v>474.2697</v>
      </c>
      <c r="H1386">
        <v>477.11149999999998</v>
      </c>
      <c r="I1386">
        <v>4.2999999999999997E-2</v>
      </c>
      <c r="J1386">
        <v>4.4999999999999998E-2</v>
      </c>
      <c r="K1386">
        <v>5.2999999999999999E-2</v>
      </c>
      <c r="L1386">
        <v>2335.6</v>
      </c>
      <c r="M1386">
        <v>2344.1999999999998</v>
      </c>
      <c r="N1386">
        <v>2360.4</v>
      </c>
      <c r="Q1386">
        <f t="shared" si="90"/>
        <v>472.3</v>
      </c>
      <c r="R1386">
        <f t="shared" si="91"/>
        <v>472.7</v>
      </c>
      <c r="S1386">
        <f t="shared" si="92"/>
        <v>0</v>
      </c>
    </row>
    <row r="1387" spans="1:19" x14ac:dyDescent="0.25">
      <c r="A1387" s="2">
        <v>44911</v>
      </c>
      <c r="B1387" s="3">
        <v>350</v>
      </c>
      <c r="C1387" s="3">
        <v>1500</v>
      </c>
      <c r="D1387">
        <v>472.31169999999997</v>
      </c>
      <c r="E1387">
        <v>4.3999999999999997E-2</v>
      </c>
      <c r="F1387">
        <v>465.5</v>
      </c>
      <c r="G1387">
        <v>474.2937</v>
      </c>
      <c r="H1387">
        <v>477.14120000000003</v>
      </c>
      <c r="I1387">
        <v>0.05</v>
      </c>
      <c r="J1387">
        <v>4.2000000000000003E-2</v>
      </c>
      <c r="K1387">
        <v>0.04</v>
      </c>
      <c r="L1387">
        <v>2335.6</v>
      </c>
      <c r="M1387">
        <v>2344.4</v>
      </c>
      <c r="N1387">
        <v>2360.1999999999998</v>
      </c>
      <c r="Q1387">
        <f t="shared" si="90"/>
        <v>472.3</v>
      </c>
      <c r="R1387">
        <f t="shared" si="91"/>
        <v>472.7</v>
      </c>
      <c r="S1387">
        <f t="shared" si="92"/>
        <v>0</v>
      </c>
    </row>
    <row r="1388" spans="1:19" x14ac:dyDescent="0.25">
      <c r="A1388" s="2">
        <v>44911</v>
      </c>
      <c r="B1388" s="3">
        <v>350</v>
      </c>
      <c r="C1388" s="3">
        <v>1600</v>
      </c>
      <c r="D1388">
        <v>472.35509999999999</v>
      </c>
      <c r="E1388">
        <v>3.9E-2</v>
      </c>
      <c r="F1388">
        <v>465.46690000000001</v>
      </c>
      <c r="G1388">
        <v>474.40499999999997</v>
      </c>
      <c r="H1388">
        <v>477.19319999999999</v>
      </c>
      <c r="I1388">
        <v>3.4000000000000002E-2</v>
      </c>
      <c r="J1388">
        <v>3.2000000000000001E-2</v>
      </c>
      <c r="K1388">
        <v>4.9000000000000002E-2</v>
      </c>
      <c r="L1388">
        <v>2335.4</v>
      </c>
      <c r="M1388">
        <v>2344.4</v>
      </c>
      <c r="N1388">
        <v>2360.4</v>
      </c>
      <c r="Q1388">
        <f t="shared" si="90"/>
        <v>472.4</v>
      </c>
      <c r="R1388">
        <f t="shared" si="91"/>
        <v>472.7</v>
      </c>
      <c r="S1388">
        <f t="shared" si="92"/>
        <v>0</v>
      </c>
    </row>
    <row r="1389" spans="1:19" x14ac:dyDescent="0.25">
      <c r="A1389" s="2">
        <v>44911</v>
      </c>
      <c r="B1389" s="3">
        <v>350</v>
      </c>
      <c r="C1389" s="3">
        <v>1700</v>
      </c>
      <c r="D1389">
        <v>472.4348</v>
      </c>
      <c r="E1389">
        <v>4.2999999999999997E-2</v>
      </c>
      <c r="F1389">
        <v>465.48719999999997</v>
      </c>
      <c r="G1389">
        <v>474.51069999999999</v>
      </c>
      <c r="H1389">
        <v>477.30650000000003</v>
      </c>
      <c r="I1389">
        <v>4.3999999999999997E-2</v>
      </c>
      <c r="J1389">
        <v>3.2000000000000001E-2</v>
      </c>
      <c r="K1389">
        <v>5.1999999999999998E-2</v>
      </c>
      <c r="L1389">
        <v>2335.4</v>
      </c>
      <c r="M1389">
        <v>2344.6</v>
      </c>
      <c r="N1389">
        <v>2360.6</v>
      </c>
      <c r="Q1389">
        <f t="shared" si="90"/>
        <v>472.4</v>
      </c>
      <c r="R1389">
        <f t="shared" si="91"/>
        <v>472.7</v>
      </c>
      <c r="S1389">
        <f t="shared" si="92"/>
        <v>0</v>
      </c>
    </row>
    <row r="1390" spans="1:19" x14ac:dyDescent="0.25">
      <c r="A1390" s="2">
        <v>44911</v>
      </c>
      <c r="B1390" s="3">
        <v>350</v>
      </c>
      <c r="C1390" s="3">
        <v>1800</v>
      </c>
      <c r="D1390">
        <v>472.52420000000001</v>
      </c>
      <c r="E1390">
        <v>2.9000000000000001E-2</v>
      </c>
      <c r="F1390">
        <v>465.5865</v>
      </c>
      <c r="G1390">
        <v>474.6053</v>
      </c>
      <c r="H1390">
        <v>477.38080000000002</v>
      </c>
      <c r="I1390">
        <v>0.04</v>
      </c>
      <c r="J1390">
        <v>0</v>
      </c>
      <c r="K1390">
        <v>0.03</v>
      </c>
      <c r="L1390">
        <v>2335.6</v>
      </c>
      <c r="M1390">
        <v>2344.8000000000002</v>
      </c>
      <c r="N1390">
        <v>2360.8000000000002</v>
      </c>
      <c r="Q1390">
        <f t="shared" si="90"/>
        <v>472.5</v>
      </c>
      <c r="R1390">
        <f t="shared" si="91"/>
        <v>472.7</v>
      </c>
      <c r="S1390">
        <f t="shared" si="92"/>
        <v>0</v>
      </c>
    </row>
    <row r="1391" spans="1:19" x14ac:dyDescent="0.25">
      <c r="A1391" s="2">
        <v>44911</v>
      </c>
      <c r="B1391" s="3">
        <v>350</v>
      </c>
      <c r="C1391" s="3">
        <v>1900</v>
      </c>
      <c r="D1391">
        <v>472.55619999999999</v>
      </c>
      <c r="E1391">
        <v>0.05</v>
      </c>
      <c r="F1391">
        <v>465.61040000000003</v>
      </c>
      <c r="G1391">
        <v>474.63490000000002</v>
      </c>
      <c r="H1391">
        <v>477.42349999999999</v>
      </c>
      <c r="I1391">
        <v>5.0999999999999997E-2</v>
      </c>
      <c r="J1391">
        <v>4.7E-2</v>
      </c>
      <c r="K1391">
        <v>5.2999999999999999E-2</v>
      </c>
      <c r="L1391">
        <v>2335.8000000000002</v>
      </c>
      <c r="M1391">
        <v>2344.8000000000002</v>
      </c>
      <c r="N1391">
        <v>2360.8000000000002</v>
      </c>
      <c r="Q1391">
        <f t="shared" si="90"/>
        <v>472.6</v>
      </c>
      <c r="R1391">
        <f t="shared" si="91"/>
        <v>472.7</v>
      </c>
      <c r="S1391">
        <f t="shared" si="92"/>
        <v>0</v>
      </c>
    </row>
    <row r="1392" spans="1:19" x14ac:dyDescent="0.25">
      <c r="A1392" s="2">
        <v>44911</v>
      </c>
      <c r="B1392" s="3">
        <v>350</v>
      </c>
      <c r="C1392" s="3">
        <v>2000</v>
      </c>
      <c r="D1392">
        <v>472.53739999999999</v>
      </c>
      <c r="E1392">
        <v>4.5999999999999999E-2</v>
      </c>
      <c r="F1392">
        <v>465.52760000000001</v>
      </c>
      <c r="G1392">
        <v>474.6275</v>
      </c>
      <c r="H1392">
        <v>477.45690000000002</v>
      </c>
      <c r="I1392">
        <v>5.0999999999999997E-2</v>
      </c>
      <c r="J1392">
        <v>4.2999999999999997E-2</v>
      </c>
      <c r="K1392">
        <v>4.2000000000000003E-2</v>
      </c>
      <c r="L1392">
        <v>2335.6</v>
      </c>
      <c r="M1392">
        <v>2344.8000000000002</v>
      </c>
      <c r="N1392">
        <v>2360.8000000000002</v>
      </c>
      <c r="Q1392">
        <f t="shared" si="90"/>
        <v>472.5</v>
      </c>
      <c r="R1392">
        <f t="shared" si="91"/>
        <v>472.7</v>
      </c>
      <c r="S1392">
        <f t="shared" si="92"/>
        <v>0</v>
      </c>
    </row>
    <row r="1393" spans="1:19" x14ac:dyDescent="0.25">
      <c r="A1393" s="2">
        <v>44911</v>
      </c>
      <c r="B1393" s="3">
        <v>350</v>
      </c>
      <c r="C1393" s="3">
        <v>2100</v>
      </c>
      <c r="D1393">
        <v>472.62529999999998</v>
      </c>
      <c r="E1393">
        <v>3.2000000000000001E-2</v>
      </c>
      <c r="F1393">
        <v>465.68020000000001</v>
      </c>
      <c r="G1393">
        <v>474.70170000000002</v>
      </c>
      <c r="H1393">
        <v>477.49400000000003</v>
      </c>
      <c r="I1393">
        <v>2.7E-2</v>
      </c>
      <c r="J1393">
        <v>0.03</v>
      </c>
      <c r="K1393">
        <v>3.9E-2</v>
      </c>
      <c r="L1393">
        <v>2335.8000000000002</v>
      </c>
      <c r="M1393">
        <v>2345</v>
      </c>
      <c r="N1393">
        <v>2361</v>
      </c>
      <c r="Q1393">
        <f t="shared" si="90"/>
        <v>472.6</v>
      </c>
      <c r="R1393">
        <f t="shared" si="91"/>
        <v>472.7</v>
      </c>
      <c r="S1393">
        <f t="shared" si="92"/>
        <v>0</v>
      </c>
    </row>
    <row r="1394" spans="1:19" x14ac:dyDescent="0.25">
      <c r="A1394" s="2">
        <v>44911</v>
      </c>
      <c r="B1394" s="3">
        <v>350</v>
      </c>
      <c r="C1394" s="3">
        <v>2200</v>
      </c>
      <c r="D1394">
        <v>472.60989999999998</v>
      </c>
      <c r="E1394">
        <v>3.5999999999999997E-2</v>
      </c>
      <c r="F1394">
        <v>465.66370000000001</v>
      </c>
      <c r="G1394">
        <v>474.68869999999998</v>
      </c>
      <c r="H1394">
        <v>477.47730000000001</v>
      </c>
      <c r="I1394">
        <v>4.1000000000000002E-2</v>
      </c>
      <c r="J1394">
        <v>4.2999999999999997E-2</v>
      </c>
      <c r="K1394">
        <v>0.02</v>
      </c>
      <c r="L1394">
        <v>2335.8000000000002</v>
      </c>
      <c r="M1394">
        <v>2345</v>
      </c>
      <c r="N1394">
        <v>2361</v>
      </c>
      <c r="Q1394">
        <f t="shared" si="90"/>
        <v>472.6</v>
      </c>
      <c r="R1394">
        <f t="shared" si="91"/>
        <v>472.7</v>
      </c>
      <c r="S1394">
        <f t="shared" si="92"/>
        <v>0</v>
      </c>
    </row>
    <row r="1395" spans="1:19" x14ac:dyDescent="0.25">
      <c r="A1395" s="2">
        <v>44911</v>
      </c>
      <c r="B1395" s="3">
        <v>350</v>
      </c>
      <c r="C1395" s="3">
        <v>2300</v>
      </c>
      <c r="D1395">
        <v>472.60309999999998</v>
      </c>
      <c r="E1395">
        <v>3.6999999999999998E-2</v>
      </c>
      <c r="F1395">
        <v>465.64530000000002</v>
      </c>
      <c r="G1395">
        <v>474.68869999999998</v>
      </c>
      <c r="H1395">
        <v>477.47539999999998</v>
      </c>
      <c r="I1395">
        <v>4.5999999999999999E-2</v>
      </c>
      <c r="J1395">
        <v>4.2999999999999997E-2</v>
      </c>
      <c r="K1395">
        <v>1.4E-2</v>
      </c>
      <c r="L1395">
        <v>2335.8000000000002</v>
      </c>
      <c r="M1395">
        <v>2345</v>
      </c>
      <c r="N1395">
        <v>2361</v>
      </c>
      <c r="Q1395">
        <f t="shared" si="90"/>
        <v>472.6</v>
      </c>
      <c r="R1395">
        <f t="shared" si="91"/>
        <v>472.7</v>
      </c>
      <c r="S1395">
        <f t="shared" si="92"/>
        <v>0</v>
      </c>
    </row>
    <row r="1396" spans="1:19" x14ac:dyDescent="0.25">
      <c r="A1396" s="2">
        <v>44911</v>
      </c>
      <c r="B1396" s="3">
        <v>350</v>
      </c>
      <c r="C1396" s="3">
        <v>2400</v>
      </c>
      <c r="D1396">
        <v>472.59750000000003</v>
      </c>
      <c r="E1396">
        <v>4.1000000000000002E-2</v>
      </c>
      <c r="F1396">
        <v>465.65449999999998</v>
      </c>
      <c r="G1396">
        <v>474.66829999999999</v>
      </c>
      <c r="H1396">
        <v>477.4699</v>
      </c>
      <c r="I1396">
        <v>0.04</v>
      </c>
      <c r="J1396">
        <v>5.1999999999999998E-2</v>
      </c>
      <c r="K1396">
        <v>2.7E-2</v>
      </c>
      <c r="L1396">
        <v>2335.8000000000002</v>
      </c>
      <c r="M1396">
        <v>2344.8000000000002</v>
      </c>
      <c r="N1396">
        <v>2360.8000000000002</v>
      </c>
      <c r="Q1396">
        <f t="shared" si="90"/>
        <v>472.6</v>
      </c>
      <c r="R1396">
        <f t="shared" si="91"/>
        <v>472.7</v>
      </c>
      <c r="S1396">
        <f t="shared" si="92"/>
        <v>0</v>
      </c>
    </row>
    <row r="1397" spans="1:19" x14ac:dyDescent="0.25">
      <c r="A1397" s="2">
        <v>44912</v>
      </c>
      <c r="B1397" s="3">
        <v>351</v>
      </c>
      <c r="C1397" s="3">
        <v>100</v>
      </c>
      <c r="D1397">
        <v>472.59879999999998</v>
      </c>
      <c r="E1397">
        <v>4.1000000000000002E-2</v>
      </c>
      <c r="F1397">
        <v>465.6508</v>
      </c>
      <c r="G1397">
        <v>474.67759999999998</v>
      </c>
      <c r="H1397">
        <v>477.46800000000002</v>
      </c>
      <c r="I1397">
        <v>4.2999999999999997E-2</v>
      </c>
      <c r="J1397">
        <v>4.9000000000000002E-2</v>
      </c>
      <c r="K1397">
        <v>0.03</v>
      </c>
      <c r="L1397">
        <v>2335.8000000000002</v>
      </c>
      <c r="M1397">
        <v>2345</v>
      </c>
      <c r="N1397">
        <v>2361</v>
      </c>
      <c r="Q1397">
        <f t="shared" si="90"/>
        <v>472.6</v>
      </c>
      <c r="R1397">
        <f t="shared" si="91"/>
        <v>472.7</v>
      </c>
      <c r="S1397">
        <f t="shared" si="92"/>
        <v>0</v>
      </c>
    </row>
    <row r="1398" spans="1:19" x14ac:dyDescent="0.25">
      <c r="A1398" s="2">
        <v>44912</v>
      </c>
      <c r="B1398" s="3">
        <v>351</v>
      </c>
      <c r="C1398" s="3">
        <v>200</v>
      </c>
      <c r="D1398">
        <v>472.6037</v>
      </c>
      <c r="E1398">
        <v>3.6999999999999998E-2</v>
      </c>
      <c r="F1398">
        <v>465.65809999999999</v>
      </c>
      <c r="G1398">
        <v>474.68130000000002</v>
      </c>
      <c r="H1398">
        <v>477.4717</v>
      </c>
      <c r="I1398">
        <v>3.5999999999999997E-2</v>
      </c>
      <c r="J1398">
        <v>4.7E-2</v>
      </c>
      <c r="K1398">
        <v>2.4E-2</v>
      </c>
      <c r="L1398">
        <v>2335.8000000000002</v>
      </c>
      <c r="M1398">
        <v>2344.8000000000002</v>
      </c>
      <c r="N1398">
        <v>2361</v>
      </c>
      <c r="Q1398">
        <f t="shared" si="90"/>
        <v>472.6</v>
      </c>
      <c r="R1398">
        <f t="shared" si="91"/>
        <v>472.7</v>
      </c>
      <c r="S1398">
        <f t="shared" si="92"/>
        <v>0</v>
      </c>
    </row>
    <row r="1399" spans="1:19" x14ac:dyDescent="0.25">
      <c r="A1399" s="2">
        <v>44912</v>
      </c>
      <c r="B1399" s="3">
        <v>351</v>
      </c>
      <c r="C1399" s="3">
        <v>300</v>
      </c>
      <c r="D1399">
        <v>472.61419999999998</v>
      </c>
      <c r="E1399">
        <v>3.5000000000000003E-2</v>
      </c>
      <c r="F1399">
        <v>465.66180000000003</v>
      </c>
      <c r="G1399">
        <v>474.69240000000002</v>
      </c>
      <c r="H1399">
        <v>477.48840000000001</v>
      </c>
      <c r="I1399">
        <v>3.2000000000000001E-2</v>
      </c>
      <c r="J1399">
        <v>0.04</v>
      </c>
      <c r="K1399">
        <v>3.2000000000000001E-2</v>
      </c>
      <c r="L1399">
        <v>2335.6</v>
      </c>
      <c r="M1399">
        <v>2345</v>
      </c>
      <c r="N1399">
        <v>2361.1999999999998</v>
      </c>
      <c r="Q1399">
        <f t="shared" si="90"/>
        <v>472.6</v>
      </c>
      <c r="R1399">
        <f t="shared" si="91"/>
        <v>472.7</v>
      </c>
      <c r="S1399">
        <f t="shared" si="92"/>
        <v>0</v>
      </c>
    </row>
    <row r="1400" spans="1:19" x14ac:dyDescent="0.25">
      <c r="A1400" s="2">
        <v>44912</v>
      </c>
      <c r="B1400" s="3">
        <v>351</v>
      </c>
      <c r="C1400" s="3">
        <v>400</v>
      </c>
      <c r="D1400">
        <v>472.60509999999999</v>
      </c>
      <c r="E1400">
        <v>0.05</v>
      </c>
      <c r="F1400">
        <v>465.60489999999999</v>
      </c>
      <c r="G1400">
        <v>474.68310000000002</v>
      </c>
      <c r="H1400">
        <v>477.5274</v>
      </c>
      <c r="I1400">
        <v>0.05</v>
      </c>
      <c r="J1400">
        <v>4.7E-2</v>
      </c>
      <c r="K1400">
        <v>5.2999999999999999E-2</v>
      </c>
      <c r="L1400">
        <v>2335.6</v>
      </c>
      <c r="M1400">
        <v>2344.8000000000002</v>
      </c>
      <c r="N1400">
        <v>2361</v>
      </c>
      <c r="Q1400">
        <f t="shared" si="90"/>
        <v>472.6</v>
      </c>
      <c r="R1400">
        <f t="shared" si="91"/>
        <v>472.7</v>
      </c>
      <c r="S1400">
        <f t="shared" si="92"/>
        <v>0</v>
      </c>
    </row>
    <row r="1401" spans="1:19" x14ac:dyDescent="0.25">
      <c r="A1401" s="2">
        <v>44912</v>
      </c>
      <c r="B1401" s="3">
        <v>351</v>
      </c>
      <c r="C1401" s="3">
        <v>500</v>
      </c>
      <c r="D1401">
        <v>472.69</v>
      </c>
      <c r="E1401">
        <v>4.4999999999999998E-2</v>
      </c>
      <c r="F1401">
        <v>465.74079999999998</v>
      </c>
      <c r="G1401">
        <v>474.74799999999999</v>
      </c>
      <c r="H1401">
        <v>477.58120000000002</v>
      </c>
      <c r="I1401">
        <v>0.05</v>
      </c>
      <c r="J1401">
        <v>0.05</v>
      </c>
      <c r="K1401">
        <v>3.1E-2</v>
      </c>
      <c r="L1401">
        <v>2335.8000000000002</v>
      </c>
      <c r="M1401">
        <v>2345</v>
      </c>
      <c r="N1401">
        <v>2361.1999999999998</v>
      </c>
      <c r="Q1401">
        <f t="shared" si="90"/>
        <v>472.7</v>
      </c>
      <c r="R1401">
        <f t="shared" si="91"/>
        <v>472.7</v>
      </c>
      <c r="S1401">
        <f t="shared" si="92"/>
        <v>0</v>
      </c>
    </row>
    <row r="1402" spans="1:19" x14ac:dyDescent="0.25">
      <c r="A1402" s="2">
        <v>44912</v>
      </c>
      <c r="B1402" s="3">
        <v>351</v>
      </c>
      <c r="C1402" s="3">
        <v>600</v>
      </c>
      <c r="D1402">
        <v>472.69060000000002</v>
      </c>
      <c r="E1402">
        <v>4.2999999999999997E-2</v>
      </c>
      <c r="F1402">
        <v>465.73899999999998</v>
      </c>
      <c r="G1402">
        <v>474.74430000000001</v>
      </c>
      <c r="H1402">
        <v>477.58870000000002</v>
      </c>
      <c r="I1402">
        <v>5.0999999999999997E-2</v>
      </c>
      <c r="J1402">
        <v>4.9000000000000002E-2</v>
      </c>
      <c r="K1402">
        <v>2.4E-2</v>
      </c>
      <c r="L1402">
        <v>2335.8000000000002</v>
      </c>
      <c r="M1402">
        <v>2345</v>
      </c>
      <c r="N1402">
        <v>2361.1999999999998</v>
      </c>
      <c r="Q1402">
        <f t="shared" si="90"/>
        <v>472.7</v>
      </c>
      <c r="R1402">
        <f t="shared" si="91"/>
        <v>472.7</v>
      </c>
      <c r="S1402">
        <f t="shared" si="92"/>
        <v>0</v>
      </c>
    </row>
    <row r="1403" spans="1:19" x14ac:dyDescent="0.25">
      <c r="A1403" s="2">
        <v>44912</v>
      </c>
      <c r="B1403" s="3">
        <v>351</v>
      </c>
      <c r="C1403" s="3">
        <v>700</v>
      </c>
      <c r="D1403">
        <v>472.69369999999998</v>
      </c>
      <c r="E1403">
        <v>4.2999999999999997E-2</v>
      </c>
      <c r="F1403">
        <v>465.74630000000002</v>
      </c>
      <c r="G1403">
        <v>474.74430000000001</v>
      </c>
      <c r="H1403">
        <v>477.59050000000002</v>
      </c>
      <c r="I1403">
        <v>4.8000000000000001E-2</v>
      </c>
      <c r="J1403">
        <v>4.9000000000000002E-2</v>
      </c>
      <c r="K1403">
        <v>2.7E-2</v>
      </c>
      <c r="L1403">
        <v>2336</v>
      </c>
      <c r="M1403">
        <v>2345</v>
      </c>
      <c r="N1403">
        <v>2361.1999999999998</v>
      </c>
      <c r="Q1403">
        <f t="shared" si="90"/>
        <v>472.7</v>
      </c>
      <c r="R1403">
        <f t="shared" si="91"/>
        <v>472.7</v>
      </c>
      <c r="S1403">
        <f t="shared" si="92"/>
        <v>0</v>
      </c>
    </row>
    <row r="1404" spans="1:19" x14ac:dyDescent="0.25">
      <c r="A1404" s="2">
        <v>44912</v>
      </c>
      <c r="B1404" s="3">
        <v>351</v>
      </c>
      <c r="C1404" s="3">
        <v>800</v>
      </c>
      <c r="D1404">
        <v>472.7079</v>
      </c>
      <c r="E1404">
        <v>4.2999999999999997E-2</v>
      </c>
      <c r="F1404">
        <v>465.77390000000003</v>
      </c>
      <c r="G1404">
        <v>474.74979999999999</v>
      </c>
      <c r="H1404">
        <v>477.59980000000002</v>
      </c>
      <c r="I1404">
        <v>3.9E-2</v>
      </c>
      <c r="J1404">
        <v>5.0999999999999997E-2</v>
      </c>
      <c r="K1404">
        <v>3.9E-2</v>
      </c>
      <c r="L1404">
        <v>2336</v>
      </c>
      <c r="M1404">
        <v>2345.1999999999998</v>
      </c>
      <c r="N1404">
        <v>2361.1999999999998</v>
      </c>
      <c r="Q1404">
        <f t="shared" si="90"/>
        <v>472.7</v>
      </c>
      <c r="R1404">
        <f t="shared" si="91"/>
        <v>472.7</v>
      </c>
      <c r="S1404">
        <f t="shared" si="92"/>
        <v>0</v>
      </c>
    </row>
    <row r="1405" spans="1:19" x14ac:dyDescent="0.25">
      <c r="A1405" s="2">
        <v>44912</v>
      </c>
      <c r="B1405" s="3">
        <v>351</v>
      </c>
      <c r="C1405" s="3">
        <v>900</v>
      </c>
      <c r="D1405">
        <v>472.70420000000001</v>
      </c>
      <c r="E1405">
        <v>4.4999999999999998E-2</v>
      </c>
      <c r="F1405">
        <v>465.75549999999998</v>
      </c>
      <c r="G1405">
        <v>474.75729999999999</v>
      </c>
      <c r="H1405">
        <v>477.59980000000002</v>
      </c>
      <c r="I1405">
        <v>4.2999999999999997E-2</v>
      </c>
      <c r="J1405">
        <v>5.1999999999999998E-2</v>
      </c>
      <c r="K1405">
        <v>3.9E-2</v>
      </c>
      <c r="L1405">
        <v>2336</v>
      </c>
      <c r="M1405">
        <v>2345.1999999999998</v>
      </c>
      <c r="N1405">
        <v>2361.1999999999998</v>
      </c>
      <c r="Q1405">
        <f t="shared" si="90"/>
        <v>472.7</v>
      </c>
      <c r="R1405">
        <f t="shared" si="91"/>
        <v>472.7</v>
      </c>
      <c r="S1405">
        <f t="shared" si="92"/>
        <v>0</v>
      </c>
    </row>
    <row r="1406" spans="1:19" x14ac:dyDescent="0.25">
      <c r="A1406" s="2">
        <v>44912</v>
      </c>
      <c r="B1406" s="3">
        <v>351</v>
      </c>
      <c r="C1406" s="3">
        <v>1000</v>
      </c>
      <c r="D1406">
        <v>472.69420000000002</v>
      </c>
      <c r="E1406">
        <v>4.5999999999999999E-2</v>
      </c>
      <c r="F1406">
        <v>465.76650000000001</v>
      </c>
      <c r="G1406">
        <v>474.74619999999999</v>
      </c>
      <c r="H1406">
        <v>477.57010000000002</v>
      </c>
      <c r="I1406">
        <v>5.0999999999999997E-2</v>
      </c>
      <c r="J1406">
        <v>0.05</v>
      </c>
      <c r="K1406">
        <v>3.5000000000000003E-2</v>
      </c>
      <c r="L1406">
        <v>2336</v>
      </c>
      <c r="M1406">
        <v>2345</v>
      </c>
      <c r="N1406">
        <v>2361.1999999999998</v>
      </c>
      <c r="Q1406">
        <f t="shared" si="90"/>
        <v>472.7</v>
      </c>
      <c r="R1406">
        <f t="shared" si="91"/>
        <v>472.7</v>
      </c>
      <c r="S1406">
        <f t="shared" si="92"/>
        <v>0</v>
      </c>
    </row>
    <row r="1407" spans="1:19" x14ac:dyDescent="0.25">
      <c r="A1407" s="2">
        <v>44912</v>
      </c>
      <c r="B1407" s="3">
        <v>351</v>
      </c>
      <c r="C1407" s="3">
        <v>1100</v>
      </c>
      <c r="D1407">
        <v>472.6585</v>
      </c>
      <c r="E1407">
        <v>4.4999999999999998E-2</v>
      </c>
      <c r="F1407">
        <v>465.72980000000001</v>
      </c>
      <c r="G1407">
        <v>474.70170000000002</v>
      </c>
      <c r="H1407">
        <v>477.54410000000001</v>
      </c>
      <c r="I1407">
        <v>5.1999999999999998E-2</v>
      </c>
      <c r="J1407">
        <v>0.03</v>
      </c>
      <c r="K1407">
        <v>5.0999999999999997E-2</v>
      </c>
      <c r="L1407">
        <v>2335.8000000000002</v>
      </c>
      <c r="M1407">
        <v>2345</v>
      </c>
      <c r="N1407">
        <v>2361</v>
      </c>
      <c r="Q1407">
        <f t="shared" si="90"/>
        <v>472.7</v>
      </c>
      <c r="R1407">
        <f t="shared" si="91"/>
        <v>472.7</v>
      </c>
      <c r="S1407">
        <f t="shared" si="92"/>
        <v>0</v>
      </c>
    </row>
    <row r="1408" spans="1:19" x14ac:dyDescent="0.25">
      <c r="A1408" s="2">
        <v>44912</v>
      </c>
      <c r="B1408" s="3">
        <v>351</v>
      </c>
      <c r="C1408" s="3">
        <v>1200</v>
      </c>
      <c r="D1408">
        <v>472.68439999999998</v>
      </c>
      <c r="E1408">
        <v>2.9000000000000001E-2</v>
      </c>
      <c r="F1408">
        <v>465.76280000000003</v>
      </c>
      <c r="G1408">
        <v>474.71280000000002</v>
      </c>
      <c r="H1408">
        <v>477.57749999999999</v>
      </c>
      <c r="I1408">
        <v>4.1000000000000002E-2</v>
      </c>
      <c r="J1408">
        <v>1.4E-2</v>
      </c>
      <c r="K1408">
        <v>2.4E-2</v>
      </c>
      <c r="L1408">
        <v>2336</v>
      </c>
      <c r="M1408">
        <v>2345</v>
      </c>
      <c r="N1408">
        <v>2361.1999999999998</v>
      </c>
      <c r="Q1408">
        <f t="shared" si="90"/>
        <v>472.7</v>
      </c>
      <c r="R1408">
        <f t="shared" si="91"/>
        <v>472.7</v>
      </c>
      <c r="S1408">
        <f t="shared" si="92"/>
        <v>0</v>
      </c>
    </row>
    <row r="1409" spans="1:19" x14ac:dyDescent="0.25">
      <c r="A1409" s="2">
        <v>44912</v>
      </c>
      <c r="B1409" s="3">
        <v>351</v>
      </c>
      <c r="C1409" s="3">
        <v>1300</v>
      </c>
      <c r="D1409">
        <v>472.73680000000002</v>
      </c>
      <c r="E1409">
        <v>4.9000000000000002E-2</v>
      </c>
      <c r="F1409">
        <v>465.80509999999998</v>
      </c>
      <c r="G1409">
        <v>474.77949999999998</v>
      </c>
      <c r="H1409">
        <v>477.62580000000003</v>
      </c>
      <c r="I1409">
        <v>4.5999999999999999E-2</v>
      </c>
      <c r="J1409">
        <v>0.05</v>
      </c>
      <c r="K1409">
        <v>5.1999999999999998E-2</v>
      </c>
      <c r="L1409">
        <v>2336</v>
      </c>
      <c r="M1409">
        <v>2345</v>
      </c>
      <c r="N1409">
        <v>2361.1999999999998</v>
      </c>
      <c r="Q1409">
        <f t="shared" si="90"/>
        <v>472.7</v>
      </c>
      <c r="R1409">
        <f t="shared" si="91"/>
        <v>472.7</v>
      </c>
      <c r="S1409">
        <f t="shared" si="92"/>
        <v>0</v>
      </c>
    </row>
    <row r="1410" spans="1:19" x14ac:dyDescent="0.25">
      <c r="A1410" s="2">
        <v>44912</v>
      </c>
      <c r="B1410" s="3">
        <v>351</v>
      </c>
      <c r="C1410" s="3">
        <v>1400</v>
      </c>
      <c r="D1410">
        <v>472.84660000000002</v>
      </c>
      <c r="E1410">
        <v>4.7E-2</v>
      </c>
      <c r="F1410">
        <v>465.9006</v>
      </c>
      <c r="G1410">
        <v>474.90190000000001</v>
      </c>
      <c r="H1410">
        <v>477.73719999999997</v>
      </c>
      <c r="I1410">
        <v>0.04</v>
      </c>
      <c r="J1410">
        <v>4.5999999999999999E-2</v>
      </c>
      <c r="K1410">
        <v>5.2999999999999999E-2</v>
      </c>
      <c r="L1410">
        <v>2336.1999999999998</v>
      </c>
      <c r="M1410">
        <v>2345.4</v>
      </c>
      <c r="N1410">
        <v>2361.6</v>
      </c>
      <c r="Q1410">
        <f t="shared" si="90"/>
        <v>472.8</v>
      </c>
      <c r="R1410">
        <f t="shared" si="91"/>
        <v>472.8</v>
      </c>
      <c r="S1410">
        <f t="shared" si="92"/>
        <v>0.10000000000002274</v>
      </c>
    </row>
    <row r="1411" spans="1:19" x14ac:dyDescent="0.25">
      <c r="A1411" s="2">
        <v>44912</v>
      </c>
      <c r="B1411" s="3">
        <v>351</v>
      </c>
      <c r="C1411" s="3">
        <v>1500</v>
      </c>
      <c r="D1411">
        <v>472.94839999999999</v>
      </c>
      <c r="E1411">
        <v>4.8000000000000001E-2</v>
      </c>
      <c r="F1411">
        <v>465.99799999999999</v>
      </c>
      <c r="G1411">
        <v>475.00020000000001</v>
      </c>
      <c r="H1411">
        <v>477.84690000000001</v>
      </c>
      <c r="I1411">
        <v>4.2999999999999997E-2</v>
      </c>
      <c r="J1411">
        <v>4.7E-2</v>
      </c>
      <c r="K1411">
        <v>5.2999999999999999E-2</v>
      </c>
      <c r="L1411">
        <v>2336.4</v>
      </c>
      <c r="M1411">
        <v>2345.6</v>
      </c>
      <c r="N1411">
        <v>2361.6</v>
      </c>
      <c r="Q1411">
        <f t="shared" si="90"/>
        <v>472.9</v>
      </c>
      <c r="R1411">
        <f t="shared" si="91"/>
        <v>472.9</v>
      </c>
      <c r="S1411">
        <f t="shared" si="92"/>
        <v>9.9999999999965894E-2</v>
      </c>
    </row>
    <row r="1412" spans="1:19" x14ac:dyDescent="0.25">
      <c r="A1412" s="2">
        <v>44912</v>
      </c>
      <c r="B1412" s="3">
        <v>351</v>
      </c>
      <c r="C1412" s="3">
        <v>1600</v>
      </c>
      <c r="D1412">
        <v>473.01859999999999</v>
      </c>
      <c r="E1412">
        <v>4.4999999999999998E-2</v>
      </c>
      <c r="F1412">
        <v>466.08449999999999</v>
      </c>
      <c r="G1412">
        <v>475.05220000000003</v>
      </c>
      <c r="H1412">
        <v>477.91930000000002</v>
      </c>
      <c r="I1412">
        <v>5.0999999999999997E-2</v>
      </c>
      <c r="J1412">
        <v>4.3999999999999997E-2</v>
      </c>
      <c r="K1412">
        <v>0.04</v>
      </c>
      <c r="L1412">
        <v>2336.6</v>
      </c>
      <c r="M1412">
        <v>2345.6</v>
      </c>
      <c r="N1412">
        <v>2361.8000000000002</v>
      </c>
      <c r="Q1412">
        <f t="shared" si="90"/>
        <v>473</v>
      </c>
      <c r="R1412">
        <f t="shared" si="91"/>
        <v>473</v>
      </c>
      <c r="S1412">
        <f t="shared" si="92"/>
        <v>0.10000000000002274</v>
      </c>
    </row>
    <row r="1413" spans="1:19" x14ac:dyDescent="0.25">
      <c r="A1413" s="2">
        <v>44912</v>
      </c>
      <c r="B1413" s="3">
        <v>351</v>
      </c>
      <c r="C1413" s="3">
        <v>1700</v>
      </c>
      <c r="D1413">
        <v>473.0575</v>
      </c>
      <c r="E1413">
        <v>4.8000000000000001E-2</v>
      </c>
      <c r="F1413">
        <v>466.1103</v>
      </c>
      <c r="G1413">
        <v>475.0967</v>
      </c>
      <c r="H1413">
        <v>477.96570000000003</v>
      </c>
      <c r="I1413">
        <v>0.04</v>
      </c>
      <c r="J1413">
        <v>0.05</v>
      </c>
      <c r="K1413">
        <v>5.1999999999999998E-2</v>
      </c>
      <c r="L1413">
        <v>2336.6</v>
      </c>
      <c r="M1413">
        <v>2345.8000000000002</v>
      </c>
      <c r="N1413">
        <v>2361.8000000000002</v>
      </c>
      <c r="Q1413">
        <f t="shared" si="90"/>
        <v>473.1</v>
      </c>
      <c r="R1413">
        <f t="shared" si="91"/>
        <v>473.1</v>
      </c>
      <c r="S1413">
        <f t="shared" si="92"/>
        <v>0.10000000000002274</v>
      </c>
    </row>
    <row r="1414" spans="1:19" x14ac:dyDescent="0.25">
      <c r="A1414" s="2">
        <v>44912</v>
      </c>
      <c r="B1414" s="3">
        <v>351</v>
      </c>
      <c r="C1414" s="3">
        <v>1800</v>
      </c>
      <c r="D1414">
        <v>473.11500000000001</v>
      </c>
      <c r="E1414">
        <v>4.8000000000000001E-2</v>
      </c>
      <c r="F1414">
        <v>466.14890000000003</v>
      </c>
      <c r="G1414">
        <v>475.15609999999998</v>
      </c>
      <c r="H1414">
        <v>478.03989999999999</v>
      </c>
      <c r="I1414">
        <v>5.1999999999999998E-2</v>
      </c>
      <c r="J1414">
        <v>4.2999999999999997E-2</v>
      </c>
      <c r="K1414">
        <v>4.9000000000000002E-2</v>
      </c>
      <c r="L1414">
        <v>2336.6</v>
      </c>
      <c r="M1414">
        <v>2345.8000000000002</v>
      </c>
      <c r="N1414">
        <v>2362.1999999999998</v>
      </c>
      <c r="Q1414">
        <f t="shared" si="90"/>
        <v>473.1</v>
      </c>
      <c r="R1414">
        <f t="shared" si="91"/>
        <v>473.1</v>
      </c>
      <c r="S1414">
        <f t="shared" si="92"/>
        <v>0</v>
      </c>
    </row>
    <row r="1415" spans="1:19" x14ac:dyDescent="0.25">
      <c r="A1415" s="2">
        <v>44912</v>
      </c>
      <c r="B1415" s="3">
        <v>351</v>
      </c>
      <c r="C1415" s="3">
        <v>1900</v>
      </c>
      <c r="D1415">
        <v>473.25979999999998</v>
      </c>
      <c r="E1415">
        <v>4.7E-2</v>
      </c>
      <c r="F1415">
        <v>466.31979999999999</v>
      </c>
      <c r="G1415">
        <v>475.27480000000003</v>
      </c>
      <c r="H1415">
        <v>478.1848</v>
      </c>
      <c r="I1415">
        <v>0.04</v>
      </c>
      <c r="J1415">
        <v>0.05</v>
      </c>
      <c r="K1415">
        <v>4.9000000000000002E-2</v>
      </c>
      <c r="L1415">
        <v>2337</v>
      </c>
      <c r="M1415">
        <v>2346</v>
      </c>
      <c r="N1415">
        <v>2362.1999999999998</v>
      </c>
      <c r="Q1415">
        <f t="shared" si="90"/>
        <v>473.3</v>
      </c>
      <c r="R1415">
        <f t="shared" si="91"/>
        <v>473.3</v>
      </c>
      <c r="S1415">
        <f t="shared" si="92"/>
        <v>0.19999999999998863</v>
      </c>
    </row>
    <row r="1416" spans="1:19" x14ac:dyDescent="0.25">
      <c r="A1416" s="2">
        <v>44912</v>
      </c>
      <c r="B1416" s="3">
        <v>351</v>
      </c>
      <c r="C1416" s="3">
        <v>2000</v>
      </c>
      <c r="D1416">
        <v>473.38130000000001</v>
      </c>
      <c r="E1416">
        <v>4.5999999999999999E-2</v>
      </c>
      <c r="F1416">
        <v>466.44850000000002</v>
      </c>
      <c r="G1416">
        <v>475.38420000000002</v>
      </c>
      <c r="H1416">
        <v>478.31119999999999</v>
      </c>
      <c r="I1416">
        <v>5.0999999999999997E-2</v>
      </c>
      <c r="J1416">
        <v>5.0999999999999997E-2</v>
      </c>
      <c r="K1416">
        <v>3.5000000000000003E-2</v>
      </c>
      <c r="L1416">
        <v>2337.4</v>
      </c>
      <c r="M1416">
        <v>2346.4</v>
      </c>
      <c r="N1416">
        <v>2362.6</v>
      </c>
      <c r="Q1416">
        <f t="shared" si="90"/>
        <v>473.4</v>
      </c>
      <c r="R1416">
        <f t="shared" si="91"/>
        <v>473.4</v>
      </c>
      <c r="S1416">
        <f t="shared" si="92"/>
        <v>9.9999999999965894E-2</v>
      </c>
    </row>
    <row r="1417" spans="1:19" x14ac:dyDescent="0.25">
      <c r="A1417" s="2">
        <v>44912</v>
      </c>
      <c r="B1417" s="3">
        <v>351</v>
      </c>
      <c r="C1417" s="3">
        <v>2100</v>
      </c>
      <c r="D1417">
        <v>473.56459999999998</v>
      </c>
      <c r="E1417">
        <v>4.5999999999999999E-2</v>
      </c>
      <c r="F1417">
        <v>466.6454</v>
      </c>
      <c r="G1417">
        <v>475.55500000000001</v>
      </c>
      <c r="H1417">
        <v>478.49329999999998</v>
      </c>
      <c r="I1417">
        <v>4.7E-2</v>
      </c>
      <c r="J1417">
        <v>3.6999999999999998E-2</v>
      </c>
      <c r="K1417">
        <v>5.1999999999999998E-2</v>
      </c>
      <c r="L1417">
        <v>2337.6</v>
      </c>
      <c r="M1417">
        <v>2346.6</v>
      </c>
      <c r="N1417">
        <v>2362.8000000000002</v>
      </c>
      <c r="Q1417">
        <f t="shared" si="90"/>
        <v>473.6</v>
      </c>
      <c r="R1417">
        <f t="shared" si="91"/>
        <v>473.6</v>
      </c>
      <c r="S1417">
        <f t="shared" si="92"/>
        <v>0.20000000000004547</v>
      </c>
    </row>
    <row r="1418" spans="1:19" x14ac:dyDescent="0.25">
      <c r="A1418" s="2">
        <v>44912</v>
      </c>
      <c r="B1418" s="3">
        <v>351</v>
      </c>
      <c r="C1418" s="3">
        <v>2200</v>
      </c>
      <c r="D1418">
        <v>473.7364</v>
      </c>
      <c r="E1418">
        <v>4.4999999999999998E-2</v>
      </c>
      <c r="F1418">
        <v>466.84989999999999</v>
      </c>
      <c r="G1418">
        <v>475.69850000000002</v>
      </c>
      <c r="H1418">
        <v>478.66090000000003</v>
      </c>
      <c r="I1418">
        <v>4.3999999999999997E-2</v>
      </c>
      <c r="J1418">
        <v>0.05</v>
      </c>
      <c r="K1418">
        <v>4.1000000000000002E-2</v>
      </c>
      <c r="L1418">
        <v>2338</v>
      </c>
      <c r="M1418">
        <v>2346.8000000000002</v>
      </c>
      <c r="N1418">
        <v>2363.1999999999998</v>
      </c>
      <c r="Q1418">
        <f t="shared" si="90"/>
        <v>473.7</v>
      </c>
      <c r="R1418">
        <f t="shared" si="91"/>
        <v>473.7</v>
      </c>
      <c r="S1418">
        <f t="shared" si="92"/>
        <v>9.9999999999965894E-2</v>
      </c>
    </row>
    <row r="1419" spans="1:19" x14ac:dyDescent="0.25">
      <c r="A1419" s="2">
        <v>44912</v>
      </c>
      <c r="B1419" s="3">
        <v>351</v>
      </c>
      <c r="C1419" s="3">
        <v>2300</v>
      </c>
      <c r="D1419">
        <v>473.82249999999999</v>
      </c>
      <c r="E1419">
        <v>4.7E-2</v>
      </c>
      <c r="F1419">
        <v>466.9323</v>
      </c>
      <c r="G1419">
        <v>475.77780000000001</v>
      </c>
      <c r="H1419">
        <v>478.75729999999999</v>
      </c>
      <c r="I1419">
        <v>4.5999999999999999E-2</v>
      </c>
      <c r="J1419">
        <v>6.0999999999999999E-2</v>
      </c>
      <c r="K1419">
        <v>0.03</v>
      </c>
      <c r="L1419">
        <v>2338.1999999999998</v>
      </c>
      <c r="M1419">
        <v>2347</v>
      </c>
      <c r="N1419">
        <v>2363.4</v>
      </c>
      <c r="Q1419">
        <f t="shared" si="90"/>
        <v>473.8</v>
      </c>
      <c r="R1419">
        <f t="shared" si="91"/>
        <v>473.8</v>
      </c>
      <c r="S1419">
        <f t="shared" si="92"/>
        <v>0.10000000000002274</v>
      </c>
    </row>
    <row r="1420" spans="1:19" x14ac:dyDescent="0.25">
      <c r="A1420" s="2">
        <v>44912</v>
      </c>
      <c r="B1420" s="3">
        <v>351</v>
      </c>
      <c r="C1420" s="3">
        <v>2400</v>
      </c>
      <c r="D1420">
        <v>473.91230000000002</v>
      </c>
      <c r="E1420">
        <v>4.3999999999999997E-2</v>
      </c>
      <c r="F1420">
        <v>467.024</v>
      </c>
      <c r="G1420">
        <v>475.87040000000002</v>
      </c>
      <c r="H1420">
        <v>478.8426</v>
      </c>
      <c r="I1420">
        <v>4.7E-2</v>
      </c>
      <c r="J1420">
        <v>4.9000000000000002E-2</v>
      </c>
      <c r="K1420">
        <v>3.3000000000000002E-2</v>
      </c>
      <c r="L1420">
        <v>2338.4</v>
      </c>
      <c r="M1420">
        <v>2347.1999999999998</v>
      </c>
      <c r="N1420">
        <v>2363.4</v>
      </c>
      <c r="Q1420">
        <f t="shared" si="90"/>
        <v>473.9</v>
      </c>
      <c r="R1420">
        <f t="shared" si="91"/>
        <v>473.9</v>
      </c>
      <c r="S1420">
        <f t="shared" si="92"/>
        <v>9.9999999999965894E-2</v>
      </c>
    </row>
    <row r="1421" spans="1:19" x14ac:dyDescent="0.25">
      <c r="A1421" s="2">
        <v>44913</v>
      </c>
      <c r="B1421" s="3">
        <v>352</v>
      </c>
      <c r="C1421" s="3">
        <v>100</v>
      </c>
      <c r="D1421">
        <v>473.99220000000003</v>
      </c>
      <c r="E1421">
        <v>4.3999999999999997E-2</v>
      </c>
      <c r="F1421">
        <v>467.0933</v>
      </c>
      <c r="G1421">
        <v>475.92140000000001</v>
      </c>
      <c r="H1421">
        <v>478.96170000000001</v>
      </c>
      <c r="I1421">
        <v>5.1999999999999998E-2</v>
      </c>
      <c r="J1421">
        <v>5.2999999999999999E-2</v>
      </c>
      <c r="K1421">
        <v>1.4E-2</v>
      </c>
      <c r="L1421">
        <v>2338.6</v>
      </c>
      <c r="M1421">
        <v>2347.1999999999998</v>
      </c>
      <c r="N1421">
        <v>2363.8000000000002</v>
      </c>
      <c r="Q1421">
        <f t="shared" si="90"/>
        <v>474</v>
      </c>
      <c r="R1421">
        <f t="shared" si="91"/>
        <v>474</v>
      </c>
      <c r="S1421">
        <f t="shared" si="92"/>
        <v>0.10000000000002274</v>
      </c>
    </row>
    <row r="1422" spans="1:19" x14ac:dyDescent="0.25">
      <c r="A1422" s="2">
        <v>44913</v>
      </c>
      <c r="B1422" s="3">
        <v>352</v>
      </c>
      <c r="C1422" s="3">
        <v>200</v>
      </c>
      <c r="D1422">
        <v>474.03100000000001</v>
      </c>
      <c r="E1422">
        <v>4.7E-2</v>
      </c>
      <c r="F1422">
        <v>467.1533</v>
      </c>
      <c r="G1422">
        <v>475.93650000000002</v>
      </c>
      <c r="H1422">
        <v>479.00330000000002</v>
      </c>
      <c r="I1422">
        <v>3.5000000000000003E-2</v>
      </c>
      <c r="J1422">
        <v>5.1999999999999998E-2</v>
      </c>
      <c r="K1422">
        <v>5.1999999999999998E-2</v>
      </c>
      <c r="L1422">
        <v>2338.6</v>
      </c>
      <c r="M1422">
        <v>2347.4</v>
      </c>
      <c r="N1422">
        <v>2364</v>
      </c>
      <c r="Q1422">
        <f t="shared" si="90"/>
        <v>474</v>
      </c>
      <c r="R1422">
        <f t="shared" si="91"/>
        <v>474</v>
      </c>
      <c r="S1422">
        <f t="shared" si="92"/>
        <v>0</v>
      </c>
    </row>
    <row r="1423" spans="1:19" x14ac:dyDescent="0.25">
      <c r="A1423" s="2">
        <v>44913</v>
      </c>
      <c r="B1423" s="3">
        <v>352</v>
      </c>
      <c r="C1423" s="3">
        <v>300</v>
      </c>
      <c r="D1423">
        <v>474.07319999999999</v>
      </c>
      <c r="E1423">
        <v>4.7E-2</v>
      </c>
      <c r="F1423">
        <v>467.18329999999997</v>
      </c>
      <c r="G1423">
        <v>475.95159999999998</v>
      </c>
      <c r="H1423">
        <v>479.0847</v>
      </c>
      <c r="I1423">
        <v>5.1999999999999998E-2</v>
      </c>
      <c r="J1423">
        <v>4.7E-2</v>
      </c>
      <c r="K1423">
        <v>4.1000000000000002E-2</v>
      </c>
      <c r="L1423">
        <v>2338.6</v>
      </c>
      <c r="M1423">
        <v>2347.4</v>
      </c>
      <c r="N1423">
        <v>2364</v>
      </c>
      <c r="Q1423">
        <f t="shared" si="90"/>
        <v>474.1</v>
      </c>
      <c r="R1423">
        <f t="shared" si="91"/>
        <v>474.1</v>
      </c>
      <c r="S1423">
        <f t="shared" si="92"/>
        <v>0.10000000000002274</v>
      </c>
    </row>
    <row r="1424" spans="1:19" x14ac:dyDescent="0.25">
      <c r="A1424" s="2">
        <v>44913</v>
      </c>
      <c r="B1424" s="3">
        <v>352</v>
      </c>
      <c r="C1424" s="3">
        <v>400</v>
      </c>
      <c r="D1424">
        <v>474.05509999999998</v>
      </c>
      <c r="E1424">
        <v>3.5999999999999997E-2</v>
      </c>
      <c r="F1424">
        <v>467.13459999999998</v>
      </c>
      <c r="G1424">
        <v>475.8723</v>
      </c>
      <c r="H1424">
        <v>479.1585</v>
      </c>
      <c r="I1424">
        <v>3.6999999999999998E-2</v>
      </c>
      <c r="J1424">
        <v>3.6999999999999998E-2</v>
      </c>
      <c r="K1424">
        <v>3.5000000000000003E-2</v>
      </c>
      <c r="L1424">
        <v>2338.6</v>
      </c>
      <c r="M1424">
        <v>2347.1999999999998</v>
      </c>
      <c r="N1424">
        <v>2364</v>
      </c>
      <c r="Q1424">
        <f t="shared" si="90"/>
        <v>474.1</v>
      </c>
      <c r="R1424">
        <f t="shared" si="91"/>
        <v>474.1</v>
      </c>
      <c r="S1424">
        <f t="shared" si="92"/>
        <v>0</v>
      </c>
    </row>
    <row r="1425" spans="1:19" x14ac:dyDescent="0.25">
      <c r="A1425" s="2">
        <v>44913</v>
      </c>
      <c r="B1425" s="3">
        <v>352</v>
      </c>
      <c r="C1425" s="3">
        <v>500</v>
      </c>
      <c r="D1425">
        <v>474.01</v>
      </c>
      <c r="E1425">
        <v>4.1000000000000002E-2</v>
      </c>
      <c r="F1425">
        <v>467.06330000000003</v>
      </c>
      <c r="G1425">
        <v>475.7722</v>
      </c>
      <c r="H1425">
        <v>479.19439999999997</v>
      </c>
      <c r="I1425">
        <v>4.5999999999999999E-2</v>
      </c>
      <c r="J1425">
        <v>3.4000000000000002E-2</v>
      </c>
      <c r="K1425">
        <v>4.2999999999999997E-2</v>
      </c>
      <c r="L1425">
        <v>2338.4</v>
      </c>
      <c r="M1425">
        <v>2346.8000000000002</v>
      </c>
      <c r="N1425">
        <v>2364.4</v>
      </c>
      <c r="Q1425">
        <f t="shared" si="90"/>
        <v>474</v>
      </c>
      <c r="R1425">
        <f t="shared" si="91"/>
        <v>474.1</v>
      </c>
      <c r="S1425">
        <f t="shared" si="92"/>
        <v>0</v>
      </c>
    </row>
    <row r="1426" spans="1:19" x14ac:dyDescent="0.25">
      <c r="A1426" s="2">
        <v>44913</v>
      </c>
      <c r="B1426" s="3">
        <v>352</v>
      </c>
      <c r="C1426" s="3">
        <v>600</v>
      </c>
      <c r="D1426">
        <v>474.04430000000002</v>
      </c>
      <c r="E1426">
        <v>4.3999999999999997E-2</v>
      </c>
      <c r="F1426">
        <v>467.20389999999998</v>
      </c>
      <c r="G1426">
        <v>475.67579999999998</v>
      </c>
      <c r="H1426">
        <v>479.25310000000002</v>
      </c>
      <c r="I1426">
        <v>5.0999999999999997E-2</v>
      </c>
      <c r="J1426">
        <v>3.5000000000000003E-2</v>
      </c>
      <c r="K1426">
        <v>4.4999999999999998E-2</v>
      </c>
      <c r="L1426">
        <v>2338.8000000000002</v>
      </c>
      <c r="M1426">
        <v>2346.8000000000002</v>
      </c>
      <c r="N1426">
        <v>2364.4</v>
      </c>
      <c r="Q1426">
        <f t="shared" si="90"/>
        <v>474</v>
      </c>
      <c r="R1426">
        <f t="shared" si="91"/>
        <v>474.1</v>
      </c>
      <c r="S1426">
        <f t="shared" si="92"/>
        <v>0</v>
      </c>
    </row>
    <row r="1427" spans="1:19" x14ac:dyDescent="0.25">
      <c r="A1427" s="2">
        <v>44913</v>
      </c>
      <c r="B1427" s="3">
        <v>352</v>
      </c>
      <c r="C1427" s="3">
        <v>700</v>
      </c>
      <c r="D1427">
        <v>474.33699999999999</v>
      </c>
      <c r="E1427">
        <v>5.3999999999999999E-2</v>
      </c>
      <c r="F1427">
        <v>467.48480000000001</v>
      </c>
      <c r="G1427">
        <v>476.15769999999998</v>
      </c>
      <c r="H1427">
        <v>479.36860000000001</v>
      </c>
      <c r="I1427">
        <v>5.0999999999999997E-2</v>
      </c>
      <c r="J1427">
        <v>7.0000000000000007E-2</v>
      </c>
      <c r="K1427">
        <v>3.6999999999999998E-2</v>
      </c>
      <c r="L1427">
        <v>2339.1999999999998</v>
      </c>
      <c r="M1427">
        <v>2347.8000000000002</v>
      </c>
      <c r="N1427">
        <v>2364.6</v>
      </c>
      <c r="Q1427">
        <f t="shared" ref="Q1427:Q1490" si="93">ROUND(D1427,1)</f>
        <v>474.3</v>
      </c>
      <c r="R1427">
        <f t="shared" si="91"/>
        <v>474.3</v>
      </c>
      <c r="S1427">
        <f t="shared" si="92"/>
        <v>0.19999999999998863</v>
      </c>
    </row>
    <row r="1428" spans="1:19" x14ac:dyDescent="0.25">
      <c r="A1428" s="2">
        <v>44913</v>
      </c>
      <c r="B1428" s="3">
        <v>352</v>
      </c>
      <c r="C1428" s="3">
        <v>800</v>
      </c>
      <c r="D1428">
        <v>474.5093</v>
      </c>
      <c r="E1428">
        <v>5.1999999999999998E-2</v>
      </c>
      <c r="F1428">
        <v>467.6216</v>
      </c>
      <c r="G1428">
        <v>476.3485</v>
      </c>
      <c r="H1428">
        <v>479.55790000000002</v>
      </c>
      <c r="I1428">
        <v>5.1999999999999998E-2</v>
      </c>
      <c r="J1428">
        <v>5.2999999999999999E-2</v>
      </c>
      <c r="K1428">
        <v>5.0999999999999997E-2</v>
      </c>
      <c r="L1428">
        <v>2339.6</v>
      </c>
      <c r="M1428">
        <v>2348.1999999999998</v>
      </c>
      <c r="N1428">
        <v>2365</v>
      </c>
      <c r="Q1428">
        <f t="shared" si="93"/>
        <v>474.5</v>
      </c>
      <c r="R1428">
        <f t="shared" si="91"/>
        <v>474.5</v>
      </c>
      <c r="S1428">
        <f t="shared" si="92"/>
        <v>0.19999999999998863</v>
      </c>
    </row>
    <row r="1429" spans="1:19" x14ac:dyDescent="0.25">
      <c r="A1429" s="2">
        <v>44913</v>
      </c>
      <c r="B1429" s="3">
        <v>352</v>
      </c>
      <c r="C1429" s="3">
        <v>900</v>
      </c>
      <c r="D1429">
        <v>474.762</v>
      </c>
      <c r="E1429">
        <v>4.2999999999999997E-2</v>
      </c>
      <c r="F1429">
        <v>467.87830000000002</v>
      </c>
      <c r="G1429">
        <v>476.64909999999998</v>
      </c>
      <c r="H1429">
        <v>479.75850000000003</v>
      </c>
      <c r="I1429">
        <v>1.9E-2</v>
      </c>
      <c r="J1429">
        <v>4.9000000000000002E-2</v>
      </c>
      <c r="K1429">
        <v>5.2999999999999999E-2</v>
      </c>
      <c r="L1429">
        <v>2340</v>
      </c>
      <c r="M1429">
        <v>2348.6</v>
      </c>
      <c r="N1429">
        <v>2365.4</v>
      </c>
      <c r="Q1429">
        <f t="shared" si="93"/>
        <v>474.8</v>
      </c>
      <c r="R1429">
        <f t="shared" si="91"/>
        <v>474.8</v>
      </c>
      <c r="S1429">
        <f t="shared" si="92"/>
        <v>0.30000000000001137</v>
      </c>
    </row>
    <row r="1430" spans="1:19" x14ac:dyDescent="0.25">
      <c r="A1430" s="2">
        <v>44913</v>
      </c>
      <c r="B1430" s="3">
        <v>352</v>
      </c>
      <c r="C1430" s="3">
        <v>1000</v>
      </c>
      <c r="D1430">
        <v>475.21100000000001</v>
      </c>
      <c r="E1430">
        <v>4.2000000000000003E-2</v>
      </c>
      <c r="F1430">
        <v>468.32440000000003</v>
      </c>
      <c r="G1430">
        <v>477.15030000000002</v>
      </c>
      <c r="H1430">
        <v>480.15820000000002</v>
      </c>
      <c r="I1430">
        <v>4.7E-2</v>
      </c>
      <c r="J1430">
        <v>2.4E-2</v>
      </c>
      <c r="K1430">
        <v>4.9000000000000002E-2</v>
      </c>
      <c r="L1430">
        <v>2340.8000000000002</v>
      </c>
      <c r="M1430">
        <v>2349.6</v>
      </c>
      <c r="N1430">
        <v>2366.1999999999998</v>
      </c>
      <c r="Q1430">
        <f t="shared" si="93"/>
        <v>475.2</v>
      </c>
      <c r="R1430">
        <f t="shared" si="91"/>
        <v>475.2</v>
      </c>
      <c r="S1430">
        <f t="shared" si="92"/>
        <v>0.39999999999997726</v>
      </c>
    </row>
    <row r="1431" spans="1:19" x14ac:dyDescent="0.25">
      <c r="A1431" s="2">
        <v>44913</v>
      </c>
      <c r="B1431" s="3">
        <v>352</v>
      </c>
      <c r="C1431" s="3">
        <v>1100</v>
      </c>
      <c r="D1431">
        <v>475.42079999999999</v>
      </c>
      <c r="E1431">
        <v>4.9000000000000002E-2</v>
      </c>
      <c r="F1431">
        <v>468.5831</v>
      </c>
      <c r="G1431">
        <v>477.3904</v>
      </c>
      <c r="H1431">
        <v>480.28879999999998</v>
      </c>
      <c r="I1431">
        <v>4.4999999999999998E-2</v>
      </c>
      <c r="J1431">
        <v>4.9000000000000002E-2</v>
      </c>
      <c r="K1431">
        <v>5.2999999999999999E-2</v>
      </c>
      <c r="L1431">
        <v>2341.4</v>
      </c>
      <c r="M1431">
        <v>2350</v>
      </c>
      <c r="N1431">
        <v>2366.1999999999998</v>
      </c>
      <c r="Q1431">
        <f t="shared" si="93"/>
        <v>475.4</v>
      </c>
      <c r="R1431">
        <f t="shared" si="91"/>
        <v>475.4</v>
      </c>
      <c r="S1431">
        <f t="shared" si="92"/>
        <v>0.19999999999998863</v>
      </c>
    </row>
    <row r="1432" spans="1:19" x14ac:dyDescent="0.25">
      <c r="A1432" s="2">
        <v>44913</v>
      </c>
      <c r="B1432" s="3">
        <v>352</v>
      </c>
      <c r="C1432" s="3">
        <v>1200</v>
      </c>
      <c r="D1432">
        <v>475.55250000000001</v>
      </c>
      <c r="E1432">
        <v>5.0999999999999997E-2</v>
      </c>
      <c r="F1432">
        <v>468.67689999999999</v>
      </c>
      <c r="G1432">
        <v>477.4434</v>
      </c>
      <c r="H1432">
        <v>480.53710000000001</v>
      </c>
      <c r="I1432">
        <v>0.05</v>
      </c>
      <c r="J1432">
        <v>6.4000000000000001E-2</v>
      </c>
      <c r="K1432">
        <v>3.5000000000000003E-2</v>
      </c>
      <c r="L1432">
        <v>2341.6</v>
      </c>
      <c r="M1432">
        <v>2350.1999999999998</v>
      </c>
      <c r="N1432">
        <v>2366.8000000000002</v>
      </c>
      <c r="Q1432">
        <f t="shared" si="93"/>
        <v>475.6</v>
      </c>
      <c r="R1432">
        <f t="shared" si="91"/>
        <v>475.6</v>
      </c>
      <c r="S1432">
        <f t="shared" si="92"/>
        <v>0.20000000000004547</v>
      </c>
    </row>
    <row r="1433" spans="1:19" x14ac:dyDescent="0.25">
      <c r="A1433" s="2">
        <v>44913</v>
      </c>
      <c r="B1433" s="3">
        <v>352</v>
      </c>
      <c r="C1433" s="3">
        <v>1300</v>
      </c>
      <c r="D1433">
        <v>475.7627</v>
      </c>
      <c r="E1433">
        <v>4.7E-2</v>
      </c>
      <c r="F1433">
        <v>468.87580000000003</v>
      </c>
      <c r="G1433">
        <v>477.68380000000002</v>
      </c>
      <c r="H1433">
        <v>480.7285</v>
      </c>
      <c r="I1433">
        <v>5.1999999999999998E-2</v>
      </c>
      <c r="J1433">
        <v>3.5999999999999997E-2</v>
      </c>
      <c r="K1433">
        <v>0.05</v>
      </c>
      <c r="L1433">
        <v>2341.8000000000002</v>
      </c>
      <c r="M1433">
        <v>2350.6</v>
      </c>
      <c r="N1433">
        <v>2367.1999999999998</v>
      </c>
      <c r="Q1433">
        <f t="shared" si="93"/>
        <v>475.8</v>
      </c>
      <c r="R1433">
        <f t="shared" si="91"/>
        <v>475.8</v>
      </c>
      <c r="S1433">
        <f t="shared" si="92"/>
        <v>0.19999999999998863</v>
      </c>
    </row>
    <row r="1434" spans="1:19" x14ac:dyDescent="0.25">
      <c r="A1434" s="2">
        <v>44913</v>
      </c>
      <c r="B1434" s="3">
        <v>352</v>
      </c>
      <c r="C1434" s="3">
        <v>1400</v>
      </c>
      <c r="D1434">
        <v>476.12509999999997</v>
      </c>
      <c r="E1434">
        <v>4.2000000000000003E-2</v>
      </c>
      <c r="F1434">
        <v>469.23970000000003</v>
      </c>
      <c r="G1434">
        <v>478.07170000000002</v>
      </c>
      <c r="H1434">
        <v>481.06389999999999</v>
      </c>
      <c r="I1434">
        <v>3.4000000000000002E-2</v>
      </c>
      <c r="J1434">
        <v>0.05</v>
      </c>
      <c r="K1434">
        <v>3.9E-2</v>
      </c>
      <c r="L1434">
        <v>2342.6</v>
      </c>
      <c r="M1434">
        <v>2351.4</v>
      </c>
      <c r="N1434">
        <v>2367.8000000000002</v>
      </c>
      <c r="Q1434">
        <f t="shared" si="93"/>
        <v>476.1</v>
      </c>
      <c r="R1434">
        <f t="shared" si="91"/>
        <v>476.1</v>
      </c>
      <c r="S1434">
        <f t="shared" si="92"/>
        <v>0.30000000000001137</v>
      </c>
    </row>
    <row r="1435" spans="1:19" x14ac:dyDescent="0.25">
      <c r="A1435" s="2">
        <v>44913</v>
      </c>
      <c r="B1435" s="3">
        <v>352</v>
      </c>
      <c r="C1435" s="3">
        <v>1500</v>
      </c>
      <c r="D1435">
        <v>476.27679999999998</v>
      </c>
      <c r="E1435">
        <v>0.05</v>
      </c>
      <c r="F1435">
        <v>469.41230000000002</v>
      </c>
      <c r="G1435">
        <v>478.20049999999998</v>
      </c>
      <c r="H1435">
        <v>481.21749999999997</v>
      </c>
      <c r="I1435">
        <v>0.05</v>
      </c>
      <c r="J1435">
        <v>5.2999999999999999E-2</v>
      </c>
      <c r="K1435">
        <v>4.8000000000000001E-2</v>
      </c>
      <c r="L1435">
        <v>2343</v>
      </c>
      <c r="M1435">
        <v>2351.6</v>
      </c>
      <c r="N1435">
        <v>2368</v>
      </c>
      <c r="Q1435">
        <f t="shared" si="93"/>
        <v>476.3</v>
      </c>
      <c r="R1435">
        <f t="shared" si="91"/>
        <v>476.3</v>
      </c>
      <c r="S1435">
        <f t="shared" si="92"/>
        <v>0.19999999999998863</v>
      </c>
    </row>
    <row r="1436" spans="1:19" x14ac:dyDescent="0.25">
      <c r="A1436" s="2">
        <v>44913</v>
      </c>
      <c r="B1436" s="3">
        <v>352</v>
      </c>
      <c r="C1436" s="3">
        <v>1600</v>
      </c>
      <c r="D1436">
        <v>476.35789999999997</v>
      </c>
      <c r="E1436">
        <v>4.5999999999999999E-2</v>
      </c>
      <c r="F1436">
        <v>469.49299999999999</v>
      </c>
      <c r="G1436">
        <v>478.27620000000002</v>
      </c>
      <c r="H1436">
        <v>481.30470000000003</v>
      </c>
      <c r="I1436">
        <v>5.1999999999999998E-2</v>
      </c>
      <c r="J1436">
        <v>0.05</v>
      </c>
      <c r="K1436">
        <v>3.3000000000000002E-2</v>
      </c>
      <c r="L1436">
        <v>2343.1999999999998</v>
      </c>
      <c r="M1436">
        <v>2351.8000000000002</v>
      </c>
      <c r="N1436">
        <v>2368.1999999999998</v>
      </c>
      <c r="Q1436">
        <f t="shared" si="93"/>
        <v>476.4</v>
      </c>
      <c r="R1436">
        <f t="shared" si="91"/>
        <v>476.4</v>
      </c>
      <c r="S1436">
        <f t="shared" si="92"/>
        <v>9.9999999999965894E-2</v>
      </c>
    </row>
    <row r="1437" spans="1:19" x14ac:dyDescent="0.25">
      <c r="A1437" s="2">
        <v>44913</v>
      </c>
      <c r="B1437" s="3">
        <v>352</v>
      </c>
      <c r="C1437" s="3">
        <v>1700</v>
      </c>
      <c r="D1437">
        <v>476.47620000000001</v>
      </c>
      <c r="E1437">
        <v>4.8000000000000001E-2</v>
      </c>
      <c r="F1437">
        <v>469.62430000000001</v>
      </c>
      <c r="G1437">
        <v>478.43900000000002</v>
      </c>
      <c r="H1437">
        <v>481.36540000000002</v>
      </c>
      <c r="I1437">
        <v>0.05</v>
      </c>
      <c r="J1437">
        <v>4.3999999999999997E-2</v>
      </c>
      <c r="K1437">
        <v>0.05</v>
      </c>
      <c r="L1437">
        <v>2343.4</v>
      </c>
      <c r="M1437">
        <v>2352</v>
      </c>
      <c r="N1437">
        <v>2368.4</v>
      </c>
      <c r="Q1437">
        <f t="shared" si="93"/>
        <v>476.5</v>
      </c>
      <c r="R1437">
        <f t="shared" si="91"/>
        <v>476.5</v>
      </c>
      <c r="S1437">
        <f t="shared" si="92"/>
        <v>0.10000000000002274</v>
      </c>
    </row>
    <row r="1438" spans="1:19" x14ac:dyDescent="0.25">
      <c r="A1438" s="2">
        <v>44913</v>
      </c>
      <c r="B1438" s="3">
        <v>352</v>
      </c>
      <c r="C1438" s="3">
        <v>1800</v>
      </c>
      <c r="D1438">
        <v>476.55939999999998</v>
      </c>
      <c r="E1438">
        <v>0.05</v>
      </c>
      <c r="F1438">
        <v>469.68630000000002</v>
      </c>
      <c r="G1438">
        <v>478.55079999999998</v>
      </c>
      <c r="H1438">
        <v>481.44119999999998</v>
      </c>
      <c r="I1438">
        <v>4.5999999999999999E-2</v>
      </c>
      <c r="J1438">
        <v>5.0999999999999997E-2</v>
      </c>
      <c r="K1438">
        <v>5.1999999999999998E-2</v>
      </c>
      <c r="L1438">
        <v>2343.4</v>
      </c>
      <c r="M1438">
        <v>2352.1999999999998</v>
      </c>
      <c r="N1438">
        <v>2368.4</v>
      </c>
      <c r="Q1438">
        <f t="shared" si="93"/>
        <v>476.6</v>
      </c>
      <c r="R1438">
        <f t="shared" si="91"/>
        <v>476.6</v>
      </c>
      <c r="S1438">
        <f t="shared" si="92"/>
        <v>0.10000000000002274</v>
      </c>
    </row>
    <row r="1439" spans="1:19" x14ac:dyDescent="0.25">
      <c r="A1439" s="2">
        <v>44913</v>
      </c>
      <c r="B1439" s="3">
        <v>352</v>
      </c>
      <c r="C1439" s="3">
        <v>1900</v>
      </c>
      <c r="D1439">
        <v>476.63569999999999</v>
      </c>
      <c r="E1439">
        <v>0.04</v>
      </c>
      <c r="F1439">
        <v>469.75400000000002</v>
      </c>
      <c r="G1439">
        <v>478.64350000000002</v>
      </c>
      <c r="H1439">
        <v>481.5095</v>
      </c>
      <c r="I1439">
        <v>3.7999999999999999E-2</v>
      </c>
      <c r="J1439">
        <v>4.2000000000000003E-2</v>
      </c>
      <c r="K1439">
        <v>0.04</v>
      </c>
      <c r="L1439">
        <v>2343.6</v>
      </c>
      <c r="M1439">
        <v>2352.4</v>
      </c>
      <c r="N1439">
        <v>2368.6</v>
      </c>
      <c r="Q1439">
        <f t="shared" si="93"/>
        <v>476.6</v>
      </c>
      <c r="R1439">
        <f t="shared" si="91"/>
        <v>476.6</v>
      </c>
      <c r="S1439">
        <f t="shared" si="92"/>
        <v>0</v>
      </c>
    </row>
    <row r="1440" spans="1:19" x14ac:dyDescent="0.25">
      <c r="A1440" s="2">
        <v>44913</v>
      </c>
      <c r="B1440" s="3">
        <v>352</v>
      </c>
      <c r="C1440" s="3">
        <v>2000</v>
      </c>
      <c r="D1440">
        <v>476.65899999999999</v>
      </c>
      <c r="E1440">
        <v>4.4999999999999998E-2</v>
      </c>
      <c r="F1440">
        <v>469.77089999999998</v>
      </c>
      <c r="G1440">
        <v>478.65109999999999</v>
      </c>
      <c r="H1440">
        <v>481.55500000000001</v>
      </c>
      <c r="I1440">
        <v>3.6999999999999998E-2</v>
      </c>
      <c r="J1440">
        <v>4.3999999999999997E-2</v>
      </c>
      <c r="K1440">
        <v>5.2999999999999999E-2</v>
      </c>
      <c r="L1440">
        <v>2343.6</v>
      </c>
      <c r="M1440">
        <v>2352.4</v>
      </c>
      <c r="N1440">
        <v>2368.8000000000002</v>
      </c>
      <c r="Q1440">
        <f t="shared" si="93"/>
        <v>476.7</v>
      </c>
      <c r="R1440">
        <f t="shared" si="91"/>
        <v>476.7</v>
      </c>
      <c r="S1440">
        <f t="shared" si="92"/>
        <v>9.9999999999965894E-2</v>
      </c>
    </row>
    <row r="1441" spans="1:19" x14ac:dyDescent="0.25">
      <c r="A1441" s="2">
        <v>44913</v>
      </c>
      <c r="B1441" s="3">
        <v>352</v>
      </c>
      <c r="C1441" s="3">
        <v>2100</v>
      </c>
      <c r="D1441">
        <v>476.68810000000002</v>
      </c>
      <c r="E1441">
        <v>4.2000000000000003E-2</v>
      </c>
      <c r="F1441">
        <v>469.77460000000002</v>
      </c>
      <c r="G1441">
        <v>478.70229999999998</v>
      </c>
      <c r="H1441">
        <v>481.5872</v>
      </c>
      <c r="I1441">
        <v>0.03</v>
      </c>
      <c r="J1441">
        <v>4.9000000000000002E-2</v>
      </c>
      <c r="K1441">
        <v>4.4999999999999998E-2</v>
      </c>
      <c r="L1441">
        <v>2343.6</v>
      </c>
      <c r="M1441">
        <v>2352.6</v>
      </c>
      <c r="N1441">
        <v>2368.6</v>
      </c>
      <c r="Q1441">
        <f t="shared" si="93"/>
        <v>476.7</v>
      </c>
      <c r="R1441">
        <f t="shared" si="91"/>
        <v>476.7</v>
      </c>
      <c r="S1441">
        <f t="shared" si="92"/>
        <v>0</v>
      </c>
    </row>
    <row r="1442" spans="1:19" x14ac:dyDescent="0.25">
      <c r="A1442" s="2">
        <v>44913</v>
      </c>
      <c r="B1442" s="3">
        <v>352</v>
      </c>
      <c r="C1442" s="3">
        <v>2200</v>
      </c>
      <c r="D1442">
        <v>476.7063</v>
      </c>
      <c r="E1442">
        <v>4.2000000000000003E-2</v>
      </c>
      <c r="F1442">
        <v>469.80279999999999</v>
      </c>
      <c r="G1442">
        <v>478.71550000000002</v>
      </c>
      <c r="H1442">
        <v>481.60050000000001</v>
      </c>
      <c r="I1442">
        <v>0.05</v>
      </c>
      <c r="J1442">
        <v>4.1000000000000002E-2</v>
      </c>
      <c r="K1442">
        <v>3.3000000000000002E-2</v>
      </c>
      <c r="L1442">
        <v>2343.6</v>
      </c>
      <c r="M1442">
        <v>2352.6</v>
      </c>
      <c r="N1442">
        <v>2368.8000000000002</v>
      </c>
      <c r="Q1442">
        <f t="shared" si="93"/>
        <v>476.7</v>
      </c>
      <c r="R1442">
        <f t="shared" ref="R1442:R1505" si="94">ROUND(IF(Q1442&lt;R1441,R1441,Q1442),1)</f>
        <v>476.7</v>
      </c>
      <c r="S1442">
        <f t="shared" si="92"/>
        <v>0</v>
      </c>
    </row>
    <row r="1443" spans="1:19" x14ac:dyDescent="0.25">
      <c r="A1443" s="2">
        <v>44913</v>
      </c>
      <c r="B1443" s="3">
        <v>352</v>
      </c>
      <c r="C1443" s="3">
        <v>2300</v>
      </c>
      <c r="D1443">
        <v>476.7201</v>
      </c>
      <c r="E1443">
        <v>3.5000000000000003E-2</v>
      </c>
      <c r="F1443">
        <v>469.81959999999998</v>
      </c>
      <c r="G1443">
        <v>478.72879999999998</v>
      </c>
      <c r="H1443">
        <v>481.61189999999999</v>
      </c>
      <c r="I1443">
        <v>5.1999999999999998E-2</v>
      </c>
      <c r="J1443">
        <v>2.4E-2</v>
      </c>
      <c r="K1443">
        <v>0.02</v>
      </c>
      <c r="L1443">
        <v>2343.8000000000002</v>
      </c>
      <c r="M1443">
        <v>2352.6</v>
      </c>
      <c r="N1443">
        <v>2368.8000000000002</v>
      </c>
      <c r="Q1443">
        <f t="shared" si="93"/>
        <v>476.7</v>
      </c>
      <c r="R1443">
        <f t="shared" si="94"/>
        <v>476.7</v>
      </c>
      <c r="S1443">
        <f t="shared" si="92"/>
        <v>0</v>
      </c>
    </row>
    <row r="1444" spans="1:19" x14ac:dyDescent="0.25">
      <c r="A1444" s="2">
        <v>44913</v>
      </c>
      <c r="B1444" s="3">
        <v>352</v>
      </c>
      <c r="C1444" s="3">
        <v>2400</v>
      </c>
      <c r="D1444">
        <v>476.72840000000002</v>
      </c>
      <c r="E1444">
        <v>4.2000000000000003E-2</v>
      </c>
      <c r="F1444">
        <v>469.81400000000002</v>
      </c>
      <c r="G1444">
        <v>478.7534</v>
      </c>
      <c r="H1444">
        <v>481.61759999999998</v>
      </c>
      <c r="I1444">
        <v>5.1999999999999998E-2</v>
      </c>
      <c r="J1444">
        <v>4.1000000000000002E-2</v>
      </c>
      <c r="K1444">
        <v>3.1E-2</v>
      </c>
      <c r="L1444">
        <v>2343.8000000000002</v>
      </c>
      <c r="M1444">
        <v>2352.6</v>
      </c>
      <c r="N1444">
        <v>2368.8000000000002</v>
      </c>
      <c r="Q1444">
        <f t="shared" si="93"/>
        <v>476.7</v>
      </c>
      <c r="R1444">
        <f t="shared" si="94"/>
        <v>476.7</v>
      </c>
      <c r="S1444">
        <f t="shared" si="92"/>
        <v>0</v>
      </c>
    </row>
    <row r="1445" spans="1:19" x14ac:dyDescent="0.25">
      <c r="A1445" s="2">
        <v>44914</v>
      </c>
      <c r="B1445" s="3">
        <v>353</v>
      </c>
      <c r="C1445" s="3">
        <v>100</v>
      </c>
      <c r="D1445">
        <v>476.72399999999999</v>
      </c>
      <c r="E1445">
        <v>4.2000000000000003E-2</v>
      </c>
      <c r="F1445">
        <v>469.7971</v>
      </c>
      <c r="G1445">
        <v>478.74970000000002</v>
      </c>
      <c r="H1445">
        <v>481.62520000000001</v>
      </c>
      <c r="I1445">
        <v>4.8000000000000001E-2</v>
      </c>
      <c r="J1445">
        <v>4.2000000000000003E-2</v>
      </c>
      <c r="K1445">
        <v>3.5000000000000003E-2</v>
      </c>
      <c r="L1445">
        <v>2343.6</v>
      </c>
      <c r="M1445">
        <v>2352.8000000000002</v>
      </c>
      <c r="N1445">
        <v>2368.8000000000002</v>
      </c>
      <c r="Q1445">
        <f t="shared" si="93"/>
        <v>476.7</v>
      </c>
      <c r="R1445">
        <f t="shared" si="94"/>
        <v>476.7</v>
      </c>
      <c r="S1445">
        <f t="shared" ref="S1445:S1508" si="95">IF(R1445&gt;R1444,R1445-R1444,0)</f>
        <v>0</v>
      </c>
    </row>
    <row r="1446" spans="1:19" x14ac:dyDescent="0.25">
      <c r="A1446" s="2">
        <v>44914</v>
      </c>
      <c r="B1446" s="3">
        <v>353</v>
      </c>
      <c r="C1446" s="3">
        <v>200</v>
      </c>
      <c r="D1446">
        <v>476.73899999999998</v>
      </c>
      <c r="E1446">
        <v>4.5999999999999999E-2</v>
      </c>
      <c r="F1446">
        <v>469.82530000000003</v>
      </c>
      <c r="G1446">
        <v>478.76479999999998</v>
      </c>
      <c r="H1446">
        <v>481.62709999999998</v>
      </c>
      <c r="I1446">
        <v>5.1999999999999998E-2</v>
      </c>
      <c r="J1446">
        <v>4.8000000000000001E-2</v>
      </c>
      <c r="K1446">
        <v>3.6999999999999998E-2</v>
      </c>
      <c r="L1446">
        <v>2343.6</v>
      </c>
      <c r="M1446">
        <v>2352.6</v>
      </c>
      <c r="N1446">
        <v>2368.8000000000002</v>
      </c>
      <c r="Q1446">
        <f t="shared" si="93"/>
        <v>476.7</v>
      </c>
      <c r="R1446">
        <f t="shared" si="94"/>
        <v>476.7</v>
      </c>
      <c r="S1446">
        <f t="shared" si="95"/>
        <v>0</v>
      </c>
    </row>
    <row r="1447" spans="1:19" x14ac:dyDescent="0.25">
      <c r="A1447" s="2">
        <v>44914</v>
      </c>
      <c r="B1447" s="3">
        <v>353</v>
      </c>
      <c r="C1447" s="3">
        <v>300</v>
      </c>
      <c r="D1447">
        <v>476.74400000000003</v>
      </c>
      <c r="E1447">
        <v>4.4999999999999998E-2</v>
      </c>
      <c r="F1447">
        <v>469.83839999999998</v>
      </c>
      <c r="G1447">
        <v>478.7534</v>
      </c>
      <c r="H1447">
        <v>481.6404</v>
      </c>
      <c r="I1447">
        <v>4.8000000000000001E-2</v>
      </c>
      <c r="J1447">
        <v>4.1000000000000002E-2</v>
      </c>
      <c r="K1447">
        <v>4.7E-2</v>
      </c>
      <c r="L1447">
        <v>2343.8000000000002</v>
      </c>
      <c r="M1447">
        <v>2352.6</v>
      </c>
      <c r="N1447">
        <v>2368.8000000000002</v>
      </c>
      <c r="Q1447">
        <f t="shared" si="93"/>
        <v>476.7</v>
      </c>
      <c r="R1447">
        <f t="shared" si="94"/>
        <v>476.7</v>
      </c>
      <c r="S1447">
        <f t="shared" si="95"/>
        <v>0</v>
      </c>
    </row>
    <row r="1448" spans="1:19" x14ac:dyDescent="0.25">
      <c r="A1448" s="2">
        <v>44914</v>
      </c>
      <c r="B1448" s="3">
        <v>353</v>
      </c>
      <c r="C1448" s="3">
        <v>400</v>
      </c>
      <c r="D1448">
        <v>476.7611</v>
      </c>
      <c r="E1448">
        <v>4.5999999999999999E-2</v>
      </c>
      <c r="F1448">
        <v>469.86090000000002</v>
      </c>
      <c r="G1448">
        <v>478.76479999999998</v>
      </c>
      <c r="H1448">
        <v>481.6574</v>
      </c>
      <c r="I1448">
        <v>3.5999999999999997E-2</v>
      </c>
      <c r="J1448">
        <v>4.8000000000000001E-2</v>
      </c>
      <c r="K1448">
        <v>5.2999999999999999E-2</v>
      </c>
      <c r="L1448">
        <v>2343.8000000000002</v>
      </c>
      <c r="M1448">
        <v>2352.6</v>
      </c>
      <c r="N1448">
        <v>2368.8000000000002</v>
      </c>
      <c r="Q1448">
        <f t="shared" si="93"/>
        <v>476.8</v>
      </c>
      <c r="R1448">
        <f t="shared" si="94"/>
        <v>476.8</v>
      </c>
      <c r="S1448">
        <f t="shared" si="95"/>
        <v>0.10000000000002274</v>
      </c>
    </row>
    <row r="1449" spans="1:19" x14ac:dyDescent="0.25">
      <c r="A1449" s="2">
        <v>44914</v>
      </c>
      <c r="B1449" s="3">
        <v>353</v>
      </c>
      <c r="C1449" s="3">
        <v>500</v>
      </c>
      <c r="D1449">
        <v>476.8064</v>
      </c>
      <c r="E1449">
        <v>4.5999999999999999E-2</v>
      </c>
      <c r="F1449">
        <v>469.90410000000003</v>
      </c>
      <c r="G1449">
        <v>478.83679999999998</v>
      </c>
      <c r="H1449">
        <v>481.67829999999998</v>
      </c>
      <c r="I1449">
        <v>4.9000000000000002E-2</v>
      </c>
      <c r="J1449">
        <v>3.5000000000000003E-2</v>
      </c>
      <c r="K1449">
        <v>5.0999999999999997E-2</v>
      </c>
      <c r="L1449">
        <v>2344</v>
      </c>
      <c r="M1449">
        <v>2352.6</v>
      </c>
      <c r="N1449">
        <v>2369</v>
      </c>
      <c r="Q1449">
        <f t="shared" si="93"/>
        <v>476.8</v>
      </c>
      <c r="R1449">
        <f t="shared" si="94"/>
        <v>476.8</v>
      </c>
      <c r="S1449">
        <f t="shared" si="95"/>
        <v>0</v>
      </c>
    </row>
    <row r="1450" spans="1:19" x14ac:dyDescent="0.25">
      <c r="A1450" s="2">
        <v>44914</v>
      </c>
      <c r="B1450" s="3">
        <v>353</v>
      </c>
      <c r="C1450" s="3">
        <v>600</v>
      </c>
      <c r="D1450">
        <v>476.86290000000002</v>
      </c>
      <c r="E1450">
        <v>4.2999999999999997E-2</v>
      </c>
      <c r="F1450">
        <v>469.97919999999999</v>
      </c>
      <c r="G1450">
        <v>478.91820000000001</v>
      </c>
      <c r="H1450">
        <v>481.69159999999999</v>
      </c>
      <c r="I1450">
        <v>3.4000000000000002E-2</v>
      </c>
      <c r="J1450">
        <v>4.7E-2</v>
      </c>
      <c r="K1450">
        <v>4.5999999999999999E-2</v>
      </c>
      <c r="L1450">
        <v>2344</v>
      </c>
      <c r="M1450">
        <v>2352.8000000000002</v>
      </c>
      <c r="N1450">
        <v>2369</v>
      </c>
      <c r="Q1450">
        <f t="shared" si="93"/>
        <v>476.9</v>
      </c>
      <c r="R1450">
        <f t="shared" si="94"/>
        <v>476.9</v>
      </c>
      <c r="S1450">
        <f t="shared" si="95"/>
        <v>9.9999999999965894E-2</v>
      </c>
    </row>
    <row r="1451" spans="1:19" x14ac:dyDescent="0.25">
      <c r="A1451" s="2">
        <v>44914</v>
      </c>
      <c r="B1451" s="3">
        <v>353</v>
      </c>
      <c r="C1451" s="3">
        <v>700</v>
      </c>
      <c r="D1451">
        <v>476.84399999999999</v>
      </c>
      <c r="E1451">
        <v>3.4000000000000002E-2</v>
      </c>
      <c r="F1451">
        <v>469.98860000000002</v>
      </c>
      <c r="G1451">
        <v>478.83870000000002</v>
      </c>
      <c r="H1451">
        <v>481.70479999999998</v>
      </c>
      <c r="I1451">
        <v>3.5000000000000003E-2</v>
      </c>
      <c r="J1451">
        <v>3.2000000000000001E-2</v>
      </c>
      <c r="K1451">
        <v>3.5000000000000003E-2</v>
      </c>
      <c r="L1451">
        <v>2344</v>
      </c>
      <c r="M1451">
        <v>2352.8000000000002</v>
      </c>
      <c r="N1451">
        <v>2369</v>
      </c>
      <c r="Q1451">
        <f t="shared" si="93"/>
        <v>476.8</v>
      </c>
      <c r="R1451">
        <f t="shared" si="94"/>
        <v>476.9</v>
      </c>
      <c r="S1451">
        <f t="shared" si="95"/>
        <v>0</v>
      </c>
    </row>
    <row r="1452" spans="1:19" x14ac:dyDescent="0.25">
      <c r="A1452" s="2">
        <v>44914</v>
      </c>
      <c r="B1452" s="3">
        <v>353</v>
      </c>
      <c r="C1452" s="3">
        <v>800</v>
      </c>
      <c r="D1452">
        <v>476.8673</v>
      </c>
      <c r="E1452">
        <v>4.2999999999999997E-2</v>
      </c>
      <c r="F1452">
        <v>470.01859999999999</v>
      </c>
      <c r="G1452">
        <v>478.87090000000001</v>
      </c>
      <c r="H1452">
        <v>481.7124</v>
      </c>
      <c r="I1452">
        <v>5.1999999999999998E-2</v>
      </c>
      <c r="J1452">
        <v>4.8000000000000001E-2</v>
      </c>
      <c r="K1452">
        <v>2.4E-2</v>
      </c>
      <c r="L1452">
        <v>2344</v>
      </c>
      <c r="M1452">
        <v>2352.8000000000002</v>
      </c>
      <c r="N1452">
        <v>2369</v>
      </c>
      <c r="Q1452">
        <f t="shared" si="93"/>
        <v>476.9</v>
      </c>
      <c r="R1452">
        <f t="shared" si="94"/>
        <v>476.9</v>
      </c>
      <c r="S1452">
        <f t="shared" si="95"/>
        <v>0</v>
      </c>
    </row>
    <row r="1453" spans="1:19" x14ac:dyDescent="0.25">
      <c r="A1453" s="2">
        <v>44914</v>
      </c>
      <c r="B1453" s="3">
        <v>353</v>
      </c>
      <c r="C1453" s="3">
        <v>900</v>
      </c>
      <c r="D1453">
        <v>476.81639999999999</v>
      </c>
      <c r="E1453">
        <v>4.1000000000000002E-2</v>
      </c>
      <c r="F1453">
        <v>469.9153</v>
      </c>
      <c r="G1453">
        <v>478.8141</v>
      </c>
      <c r="H1453">
        <v>481.72</v>
      </c>
      <c r="I1453">
        <v>5.1999999999999998E-2</v>
      </c>
      <c r="J1453">
        <v>4.5999999999999999E-2</v>
      </c>
      <c r="K1453">
        <v>1.4E-2</v>
      </c>
      <c r="L1453">
        <v>2344</v>
      </c>
      <c r="M1453">
        <v>2352.6</v>
      </c>
      <c r="N1453">
        <v>2369</v>
      </c>
      <c r="Q1453">
        <f t="shared" si="93"/>
        <v>476.8</v>
      </c>
      <c r="R1453">
        <f t="shared" si="94"/>
        <v>476.9</v>
      </c>
      <c r="S1453">
        <f t="shared" si="95"/>
        <v>0</v>
      </c>
    </row>
    <row r="1454" spans="1:19" x14ac:dyDescent="0.25">
      <c r="A1454" s="2">
        <v>44914</v>
      </c>
      <c r="B1454" s="3">
        <v>353</v>
      </c>
      <c r="C1454" s="3">
        <v>1000</v>
      </c>
      <c r="D1454">
        <v>476.90710000000001</v>
      </c>
      <c r="E1454">
        <v>4.5999999999999999E-2</v>
      </c>
      <c r="F1454">
        <v>470.02420000000001</v>
      </c>
      <c r="G1454">
        <v>478.98829999999998</v>
      </c>
      <c r="H1454">
        <v>481.70859999999999</v>
      </c>
      <c r="I1454">
        <v>5.1999999999999998E-2</v>
      </c>
      <c r="J1454">
        <v>5.1999999999999998E-2</v>
      </c>
      <c r="K1454">
        <v>0.03</v>
      </c>
      <c r="L1454">
        <v>2344.1999999999998</v>
      </c>
      <c r="M1454">
        <v>2353.1999999999998</v>
      </c>
      <c r="N1454">
        <v>2369</v>
      </c>
      <c r="Q1454">
        <f t="shared" si="93"/>
        <v>476.9</v>
      </c>
      <c r="R1454">
        <f t="shared" si="94"/>
        <v>476.9</v>
      </c>
      <c r="S1454">
        <f t="shared" si="95"/>
        <v>0</v>
      </c>
    </row>
    <row r="1455" spans="1:19" x14ac:dyDescent="0.25">
      <c r="A1455" s="2">
        <v>44914</v>
      </c>
      <c r="B1455" s="3">
        <v>353</v>
      </c>
      <c r="C1455" s="3">
        <v>1100</v>
      </c>
      <c r="D1455">
        <v>476.78190000000001</v>
      </c>
      <c r="E1455">
        <v>4.3999999999999997E-2</v>
      </c>
      <c r="F1455">
        <v>469.86470000000003</v>
      </c>
      <c r="G1455">
        <v>478.80650000000003</v>
      </c>
      <c r="H1455">
        <v>481.67450000000002</v>
      </c>
      <c r="I1455">
        <v>2.4E-2</v>
      </c>
      <c r="J1455">
        <v>0.05</v>
      </c>
      <c r="K1455">
        <v>5.1999999999999998E-2</v>
      </c>
      <c r="L1455">
        <v>2343.8000000000002</v>
      </c>
      <c r="M1455">
        <v>2352.8000000000002</v>
      </c>
      <c r="N1455">
        <v>2369</v>
      </c>
      <c r="Q1455">
        <f t="shared" si="93"/>
        <v>476.8</v>
      </c>
      <c r="R1455">
        <f t="shared" si="94"/>
        <v>476.9</v>
      </c>
      <c r="S1455">
        <f t="shared" si="95"/>
        <v>0</v>
      </c>
    </row>
    <row r="1456" spans="1:19" x14ac:dyDescent="0.25">
      <c r="A1456" s="2">
        <v>44914</v>
      </c>
      <c r="B1456" s="3">
        <v>353</v>
      </c>
      <c r="C1456" s="3">
        <v>1200</v>
      </c>
      <c r="D1456">
        <v>476.80880000000002</v>
      </c>
      <c r="E1456">
        <v>4.8000000000000001E-2</v>
      </c>
      <c r="F1456">
        <v>469.92290000000003</v>
      </c>
      <c r="G1456">
        <v>478.87279999999998</v>
      </c>
      <c r="H1456">
        <v>481.6309</v>
      </c>
      <c r="I1456">
        <v>5.2999999999999999E-2</v>
      </c>
      <c r="J1456">
        <v>4.9000000000000002E-2</v>
      </c>
      <c r="K1456">
        <v>4.1000000000000002E-2</v>
      </c>
      <c r="L1456">
        <v>2343.8000000000002</v>
      </c>
      <c r="M1456">
        <v>2352.8000000000002</v>
      </c>
      <c r="N1456">
        <v>2368.8000000000002</v>
      </c>
      <c r="Q1456">
        <f t="shared" si="93"/>
        <v>476.8</v>
      </c>
      <c r="R1456">
        <f t="shared" si="94"/>
        <v>476.9</v>
      </c>
      <c r="S1456">
        <f t="shared" si="95"/>
        <v>0</v>
      </c>
    </row>
    <row r="1457" spans="1:19" x14ac:dyDescent="0.25">
      <c r="A1457" s="2">
        <v>44914</v>
      </c>
      <c r="B1457" s="3">
        <v>353</v>
      </c>
      <c r="C1457" s="3">
        <v>1300</v>
      </c>
      <c r="D1457">
        <v>476.72460000000001</v>
      </c>
      <c r="E1457">
        <v>4.2999999999999997E-2</v>
      </c>
      <c r="F1457">
        <v>469.81220000000002</v>
      </c>
      <c r="G1457">
        <v>478.75909999999999</v>
      </c>
      <c r="H1457">
        <v>481.60239999999999</v>
      </c>
      <c r="I1457">
        <v>5.1999999999999998E-2</v>
      </c>
      <c r="J1457">
        <v>4.4999999999999998E-2</v>
      </c>
      <c r="K1457">
        <v>0.03</v>
      </c>
      <c r="L1457">
        <v>2343.8000000000002</v>
      </c>
      <c r="M1457">
        <v>2352.6</v>
      </c>
      <c r="N1457">
        <v>2368.8000000000002</v>
      </c>
      <c r="Q1457">
        <f t="shared" si="93"/>
        <v>476.7</v>
      </c>
      <c r="R1457">
        <f t="shared" si="94"/>
        <v>476.9</v>
      </c>
      <c r="S1457">
        <f t="shared" si="95"/>
        <v>0</v>
      </c>
    </row>
    <row r="1458" spans="1:19" x14ac:dyDescent="0.25">
      <c r="A1458" s="2">
        <v>44914</v>
      </c>
      <c r="B1458" s="3">
        <v>353</v>
      </c>
      <c r="C1458" s="3">
        <v>1400</v>
      </c>
      <c r="D1458">
        <v>476.72890000000001</v>
      </c>
      <c r="E1458">
        <v>3.5000000000000003E-2</v>
      </c>
      <c r="F1458">
        <v>469.83839999999998</v>
      </c>
      <c r="G1458">
        <v>478.73259999999999</v>
      </c>
      <c r="H1458">
        <v>481.6157</v>
      </c>
      <c r="I1458">
        <v>4.8000000000000001E-2</v>
      </c>
      <c r="J1458">
        <v>3.2000000000000001E-2</v>
      </c>
      <c r="K1458">
        <v>0.02</v>
      </c>
      <c r="L1458">
        <v>2343.8000000000002</v>
      </c>
      <c r="M1458">
        <v>2352.6</v>
      </c>
      <c r="N1458">
        <v>2368.8000000000002</v>
      </c>
      <c r="Q1458">
        <f t="shared" si="93"/>
        <v>476.7</v>
      </c>
      <c r="R1458">
        <f t="shared" si="94"/>
        <v>476.9</v>
      </c>
      <c r="S1458">
        <f t="shared" si="95"/>
        <v>0</v>
      </c>
    </row>
    <row r="1459" spans="1:19" x14ac:dyDescent="0.25">
      <c r="A1459" s="2">
        <v>44914</v>
      </c>
      <c r="B1459" s="3">
        <v>353</v>
      </c>
      <c r="C1459" s="3">
        <v>1500</v>
      </c>
      <c r="D1459">
        <v>476.75549999999998</v>
      </c>
      <c r="E1459">
        <v>0.05</v>
      </c>
      <c r="F1459">
        <v>469.84030000000001</v>
      </c>
      <c r="G1459">
        <v>478.7724</v>
      </c>
      <c r="H1459">
        <v>481.65359999999998</v>
      </c>
      <c r="I1459">
        <v>4.7E-2</v>
      </c>
      <c r="J1459">
        <v>5.0999999999999997E-2</v>
      </c>
      <c r="K1459">
        <v>5.1999999999999998E-2</v>
      </c>
      <c r="L1459">
        <v>2343.8000000000002</v>
      </c>
      <c r="M1459">
        <v>2352.8000000000002</v>
      </c>
      <c r="N1459">
        <v>2369</v>
      </c>
      <c r="Q1459">
        <f t="shared" si="93"/>
        <v>476.8</v>
      </c>
      <c r="R1459">
        <f t="shared" si="94"/>
        <v>476.9</v>
      </c>
      <c r="S1459">
        <f t="shared" si="95"/>
        <v>0</v>
      </c>
    </row>
    <row r="1460" spans="1:19" x14ac:dyDescent="0.25">
      <c r="A1460" s="2">
        <v>44914</v>
      </c>
      <c r="B1460" s="3">
        <v>353</v>
      </c>
      <c r="C1460" s="3">
        <v>1600</v>
      </c>
      <c r="D1460">
        <v>476.79199999999997</v>
      </c>
      <c r="E1460">
        <v>3.9E-2</v>
      </c>
      <c r="F1460">
        <v>469.85719999999998</v>
      </c>
      <c r="G1460">
        <v>478.82159999999999</v>
      </c>
      <c r="H1460">
        <v>481.69720000000001</v>
      </c>
      <c r="I1460">
        <v>3.5000000000000003E-2</v>
      </c>
      <c r="J1460">
        <v>4.1000000000000002E-2</v>
      </c>
      <c r="K1460">
        <v>4.2000000000000003E-2</v>
      </c>
      <c r="L1460">
        <v>2343.8000000000002</v>
      </c>
      <c r="M1460">
        <v>2352.8000000000002</v>
      </c>
      <c r="N1460">
        <v>2369</v>
      </c>
      <c r="Q1460">
        <f t="shared" si="93"/>
        <v>476.8</v>
      </c>
      <c r="R1460">
        <f t="shared" si="94"/>
        <v>476.9</v>
      </c>
      <c r="S1460">
        <f t="shared" si="95"/>
        <v>0</v>
      </c>
    </row>
    <row r="1461" spans="1:19" x14ac:dyDescent="0.25">
      <c r="A1461" s="2">
        <v>44914</v>
      </c>
      <c r="B1461" s="3">
        <v>353</v>
      </c>
      <c r="C1461" s="3">
        <v>1700</v>
      </c>
      <c r="D1461">
        <v>476.83670000000001</v>
      </c>
      <c r="E1461">
        <v>4.2999999999999997E-2</v>
      </c>
      <c r="F1461">
        <v>469.91910000000001</v>
      </c>
      <c r="G1461">
        <v>478.85950000000003</v>
      </c>
      <c r="H1461">
        <v>481.73140000000001</v>
      </c>
      <c r="I1461">
        <v>5.1999999999999998E-2</v>
      </c>
      <c r="J1461">
        <v>4.1000000000000002E-2</v>
      </c>
      <c r="K1461">
        <v>3.5000000000000003E-2</v>
      </c>
      <c r="L1461">
        <v>2343.8000000000002</v>
      </c>
      <c r="M1461">
        <v>2352.8000000000002</v>
      </c>
      <c r="N1461">
        <v>2369</v>
      </c>
      <c r="Q1461">
        <f t="shared" si="93"/>
        <v>476.8</v>
      </c>
      <c r="R1461">
        <f t="shared" si="94"/>
        <v>476.9</v>
      </c>
      <c r="S1461">
        <f t="shared" si="95"/>
        <v>0</v>
      </c>
    </row>
    <row r="1462" spans="1:19" x14ac:dyDescent="0.25">
      <c r="A1462" s="2">
        <v>44914</v>
      </c>
      <c r="B1462" s="3">
        <v>353</v>
      </c>
      <c r="C1462" s="3">
        <v>1800</v>
      </c>
      <c r="D1462">
        <v>476.85430000000002</v>
      </c>
      <c r="E1462">
        <v>0.05</v>
      </c>
      <c r="F1462">
        <v>469.92099999999999</v>
      </c>
      <c r="G1462">
        <v>478.90120000000002</v>
      </c>
      <c r="H1462">
        <v>481.74079999999998</v>
      </c>
      <c r="I1462">
        <v>5.2999999999999999E-2</v>
      </c>
      <c r="J1462">
        <v>5.1999999999999998E-2</v>
      </c>
      <c r="K1462">
        <v>4.3999999999999997E-2</v>
      </c>
      <c r="L1462">
        <v>2344</v>
      </c>
      <c r="M1462">
        <v>2353</v>
      </c>
      <c r="N1462">
        <v>2369.1999999999998</v>
      </c>
      <c r="Q1462">
        <f t="shared" si="93"/>
        <v>476.9</v>
      </c>
      <c r="R1462">
        <f t="shared" si="94"/>
        <v>476.9</v>
      </c>
      <c r="S1462">
        <f t="shared" si="95"/>
        <v>0</v>
      </c>
    </row>
    <row r="1463" spans="1:19" x14ac:dyDescent="0.25">
      <c r="A1463" s="2">
        <v>44914</v>
      </c>
      <c r="B1463" s="3">
        <v>353</v>
      </c>
      <c r="C1463" s="3">
        <v>1900</v>
      </c>
      <c r="D1463">
        <v>476.87619999999998</v>
      </c>
      <c r="E1463">
        <v>4.9000000000000002E-2</v>
      </c>
      <c r="F1463">
        <v>469.99799999999999</v>
      </c>
      <c r="G1463">
        <v>478.89359999999999</v>
      </c>
      <c r="H1463">
        <v>481.7371</v>
      </c>
      <c r="I1463">
        <v>4.2999999999999997E-2</v>
      </c>
      <c r="J1463">
        <v>0.06</v>
      </c>
      <c r="K1463">
        <v>4.1000000000000002E-2</v>
      </c>
      <c r="L1463">
        <v>2344</v>
      </c>
      <c r="M1463">
        <v>2353</v>
      </c>
      <c r="N1463">
        <v>2369</v>
      </c>
      <c r="Q1463">
        <f t="shared" si="93"/>
        <v>476.9</v>
      </c>
      <c r="R1463">
        <f t="shared" si="94"/>
        <v>476.9</v>
      </c>
      <c r="S1463">
        <f t="shared" si="95"/>
        <v>0</v>
      </c>
    </row>
    <row r="1464" spans="1:19" x14ac:dyDescent="0.25">
      <c r="A1464" s="2">
        <v>44914</v>
      </c>
      <c r="B1464" s="3">
        <v>353</v>
      </c>
      <c r="C1464" s="3">
        <v>2000</v>
      </c>
      <c r="D1464">
        <v>476.8775</v>
      </c>
      <c r="E1464">
        <v>4.2000000000000003E-2</v>
      </c>
      <c r="F1464">
        <v>469.97919999999999</v>
      </c>
      <c r="G1464">
        <v>478.91059999999999</v>
      </c>
      <c r="H1464">
        <v>481.74279999999999</v>
      </c>
      <c r="I1464">
        <v>2.8000000000000001E-2</v>
      </c>
      <c r="J1464">
        <v>0.05</v>
      </c>
      <c r="K1464">
        <v>4.4999999999999998E-2</v>
      </c>
      <c r="L1464">
        <v>2344</v>
      </c>
      <c r="M1464">
        <v>2352.8000000000002</v>
      </c>
      <c r="N1464">
        <v>2369.1999999999998</v>
      </c>
      <c r="Q1464">
        <f t="shared" si="93"/>
        <v>476.9</v>
      </c>
      <c r="R1464">
        <f t="shared" si="94"/>
        <v>476.9</v>
      </c>
      <c r="S1464">
        <f t="shared" si="95"/>
        <v>0</v>
      </c>
    </row>
    <row r="1465" spans="1:19" x14ac:dyDescent="0.25">
      <c r="A1465" s="2">
        <v>44914</v>
      </c>
      <c r="B1465" s="3">
        <v>353</v>
      </c>
      <c r="C1465" s="3">
        <v>2100</v>
      </c>
      <c r="D1465">
        <v>476.86689999999999</v>
      </c>
      <c r="E1465">
        <v>4.3999999999999997E-2</v>
      </c>
      <c r="F1465">
        <v>469.95670000000001</v>
      </c>
      <c r="G1465">
        <v>478.90870000000001</v>
      </c>
      <c r="H1465">
        <v>481.73520000000002</v>
      </c>
      <c r="I1465">
        <v>0.04</v>
      </c>
      <c r="J1465">
        <v>5.0999999999999997E-2</v>
      </c>
      <c r="K1465">
        <v>3.9E-2</v>
      </c>
      <c r="L1465">
        <v>2344</v>
      </c>
      <c r="M1465">
        <v>2352.8000000000002</v>
      </c>
      <c r="N1465">
        <v>2369</v>
      </c>
      <c r="Q1465">
        <f t="shared" si="93"/>
        <v>476.9</v>
      </c>
      <c r="R1465">
        <f t="shared" si="94"/>
        <v>476.9</v>
      </c>
      <c r="S1465">
        <f t="shared" si="95"/>
        <v>0</v>
      </c>
    </row>
    <row r="1466" spans="1:19" x14ac:dyDescent="0.25">
      <c r="A1466" s="2">
        <v>44914</v>
      </c>
      <c r="B1466" s="3">
        <v>353</v>
      </c>
      <c r="C1466" s="3">
        <v>2200</v>
      </c>
      <c r="D1466">
        <v>476.858</v>
      </c>
      <c r="E1466">
        <v>3.6999999999999998E-2</v>
      </c>
      <c r="F1466">
        <v>469.96789999999999</v>
      </c>
      <c r="G1466">
        <v>478.88029999999998</v>
      </c>
      <c r="H1466">
        <v>481.72570000000002</v>
      </c>
      <c r="I1466">
        <v>2.7E-2</v>
      </c>
      <c r="J1466">
        <v>5.0999999999999997E-2</v>
      </c>
      <c r="K1466">
        <v>2.7E-2</v>
      </c>
      <c r="L1466">
        <v>2344</v>
      </c>
      <c r="M1466">
        <v>2352.8000000000002</v>
      </c>
      <c r="N1466">
        <v>2369</v>
      </c>
      <c r="Q1466">
        <f t="shared" si="93"/>
        <v>476.9</v>
      </c>
      <c r="R1466">
        <f t="shared" si="94"/>
        <v>476.9</v>
      </c>
      <c r="S1466">
        <f t="shared" si="95"/>
        <v>0</v>
      </c>
    </row>
    <row r="1467" spans="1:19" x14ac:dyDescent="0.25">
      <c r="A1467" s="2">
        <v>44914</v>
      </c>
      <c r="B1467" s="3">
        <v>353</v>
      </c>
      <c r="C1467" s="3">
        <v>2300</v>
      </c>
      <c r="D1467">
        <v>477.00470000000001</v>
      </c>
      <c r="E1467">
        <v>3.9E-2</v>
      </c>
      <c r="F1467">
        <v>470.12</v>
      </c>
      <c r="G1467">
        <v>479.06779999999998</v>
      </c>
      <c r="H1467">
        <v>481.82619999999997</v>
      </c>
      <c r="I1467">
        <v>5.0999999999999997E-2</v>
      </c>
      <c r="J1467">
        <v>3.6999999999999998E-2</v>
      </c>
      <c r="K1467">
        <v>2.5000000000000001E-2</v>
      </c>
      <c r="L1467">
        <v>2344.1999999999998</v>
      </c>
      <c r="M1467">
        <v>2353.4</v>
      </c>
      <c r="N1467">
        <v>2369.1999999999998</v>
      </c>
      <c r="Q1467">
        <f t="shared" si="93"/>
        <v>477</v>
      </c>
      <c r="R1467">
        <f t="shared" si="94"/>
        <v>477</v>
      </c>
      <c r="S1467">
        <f t="shared" si="95"/>
        <v>0.10000000000002274</v>
      </c>
    </row>
    <row r="1468" spans="1:19" x14ac:dyDescent="0.25">
      <c r="A1468" s="2">
        <v>44914</v>
      </c>
      <c r="B1468" s="3">
        <v>353</v>
      </c>
      <c r="C1468" s="3">
        <v>2400</v>
      </c>
      <c r="D1468">
        <v>477.23540000000003</v>
      </c>
      <c r="E1468">
        <v>4.7E-2</v>
      </c>
      <c r="F1468">
        <v>470.34539999999998</v>
      </c>
      <c r="G1468">
        <v>479.24979999999999</v>
      </c>
      <c r="H1468">
        <v>482.11079999999998</v>
      </c>
      <c r="I1468">
        <v>5.2999999999999999E-2</v>
      </c>
      <c r="J1468">
        <v>3.6999999999999998E-2</v>
      </c>
      <c r="K1468">
        <v>4.9000000000000002E-2</v>
      </c>
      <c r="L1468">
        <v>2344.8000000000002</v>
      </c>
      <c r="M1468">
        <v>2353.6</v>
      </c>
      <c r="N1468">
        <v>2369.8000000000002</v>
      </c>
      <c r="Q1468">
        <f t="shared" si="93"/>
        <v>477.2</v>
      </c>
      <c r="R1468">
        <f t="shared" si="94"/>
        <v>477.2</v>
      </c>
      <c r="S1468">
        <f t="shared" si="95"/>
        <v>0.19999999999998863</v>
      </c>
    </row>
    <row r="1469" spans="1:19" x14ac:dyDescent="0.25">
      <c r="A1469" s="2">
        <v>44915</v>
      </c>
      <c r="B1469" s="3">
        <v>354</v>
      </c>
      <c r="C1469" s="3">
        <v>100</v>
      </c>
      <c r="D1469">
        <v>477.7439</v>
      </c>
      <c r="E1469">
        <v>4.7E-2</v>
      </c>
      <c r="F1469">
        <v>470.83760000000001</v>
      </c>
      <c r="G1469">
        <v>479.77289999999999</v>
      </c>
      <c r="H1469">
        <v>482.62130000000002</v>
      </c>
      <c r="I1469">
        <v>4.2000000000000003E-2</v>
      </c>
      <c r="J1469">
        <v>4.3999999999999997E-2</v>
      </c>
      <c r="K1469">
        <v>5.2999999999999999E-2</v>
      </c>
      <c r="L1469">
        <v>2345.6</v>
      </c>
      <c r="M1469">
        <v>2354.6</v>
      </c>
      <c r="N1469">
        <v>2370.8000000000002</v>
      </c>
      <c r="Q1469">
        <f t="shared" si="93"/>
        <v>477.7</v>
      </c>
      <c r="R1469">
        <f t="shared" si="94"/>
        <v>477.7</v>
      </c>
      <c r="S1469">
        <f t="shared" si="95"/>
        <v>0.5</v>
      </c>
    </row>
    <row r="1470" spans="1:19" x14ac:dyDescent="0.25">
      <c r="A1470" s="2">
        <v>44915</v>
      </c>
      <c r="B1470" s="3">
        <v>354</v>
      </c>
      <c r="C1470" s="3">
        <v>200</v>
      </c>
      <c r="D1470">
        <v>478.31830000000002</v>
      </c>
      <c r="E1470">
        <v>4.5999999999999999E-2</v>
      </c>
      <c r="F1470">
        <v>471.40320000000003</v>
      </c>
      <c r="G1470">
        <v>480.35309999999998</v>
      </c>
      <c r="H1470">
        <v>483.19850000000002</v>
      </c>
      <c r="I1470">
        <v>5.1999999999999998E-2</v>
      </c>
      <c r="J1470">
        <v>4.5999999999999999E-2</v>
      </c>
      <c r="K1470">
        <v>3.9E-2</v>
      </c>
      <c r="L1470">
        <v>2346.8000000000002</v>
      </c>
      <c r="M1470">
        <v>2355.6</v>
      </c>
      <c r="N1470">
        <v>2371.8000000000002</v>
      </c>
      <c r="Q1470">
        <f t="shared" si="93"/>
        <v>478.3</v>
      </c>
      <c r="R1470">
        <f t="shared" si="94"/>
        <v>478.3</v>
      </c>
      <c r="S1470">
        <f t="shared" si="95"/>
        <v>0.60000000000002274</v>
      </c>
    </row>
    <row r="1471" spans="1:19" x14ac:dyDescent="0.25">
      <c r="A1471" s="2">
        <v>44915</v>
      </c>
      <c r="B1471" s="3">
        <v>354</v>
      </c>
      <c r="C1471" s="3">
        <v>300</v>
      </c>
      <c r="D1471">
        <v>479.01769999999999</v>
      </c>
      <c r="E1471">
        <v>4.9000000000000002E-2</v>
      </c>
      <c r="F1471">
        <v>472.11959999999999</v>
      </c>
      <c r="G1471">
        <v>481.04750000000001</v>
      </c>
      <c r="H1471">
        <v>483.8861</v>
      </c>
      <c r="I1471">
        <v>5.0999999999999997E-2</v>
      </c>
      <c r="J1471">
        <v>4.3999999999999997E-2</v>
      </c>
      <c r="K1471">
        <v>5.1999999999999998E-2</v>
      </c>
      <c r="L1471">
        <v>2348</v>
      </c>
      <c r="M1471">
        <v>2357</v>
      </c>
      <c r="N1471">
        <v>2373.1999999999998</v>
      </c>
      <c r="Q1471">
        <f t="shared" si="93"/>
        <v>479</v>
      </c>
      <c r="R1471">
        <f t="shared" si="94"/>
        <v>479</v>
      </c>
      <c r="S1471">
        <f t="shared" si="95"/>
        <v>0.69999999999998863</v>
      </c>
    </row>
    <row r="1472" spans="1:19" x14ac:dyDescent="0.25">
      <c r="A1472" s="2">
        <v>44915</v>
      </c>
      <c r="B1472" s="3">
        <v>354</v>
      </c>
      <c r="C1472" s="3">
        <v>400</v>
      </c>
      <c r="D1472">
        <v>479.8877</v>
      </c>
      <c r="E1472">
        <v>4.7E-2</v>
      </c>
      <c r="F1472">
        <v>472.959</v>
      </c>
      <c r="G1472">
        <v>481.92849999999999</v>
      </c>
      <c r="H1472">
        <v>484.7758</v>
      </c>
      <c r="I1472">
        <v>0.05</v>
      </c>
      <c r="J1472">
        <v>4.3999999999999997E-2</v>
      </c>
      <c r="K1472">
        <v>4.5999999999999999E-2</v>
      </c>
      <c r="L1472">
        <v>2349.8000000000002</v>
      </c>
      <c r="M1472">
        <v>2358.6</v>
      </c>
      <c r="N1472">
        <v>2374.8000000000002</v>
      </c>
      <c r="Q1472">
        <f t="shared" si="93"/>
        <v>479.9</v>
      </c>
      <c r="R1472">
        <f t="shared" si="94"/>
        <v>479.9</v>
      </c>
      <c r="S1472">
        <f t="shared" si="95"/>
        <v>0.89999999999997726</v>
      </c>
    </row>
    <row r="1473" spans="1:19" x14ac:dyDescent="0.25">
      <c r="A1473" s="2">
        <v>44915</v>
      </c>
      <c r="B1473" s="3">
        <v>354</v>
      </c>
      <c r="C1473" s="3">
        <v>500</v>
      </c>
      <c r="D1473">
        <v>481.05360000000002</v>
      </c>
      <c r="E1473">
        <v>4.7E-2</v>
      </c>
      <c r="F1473">
        <v>474.03800000000001</v>
      </c>
      <c r="G1473">
        <v>483.17320000000001</v>
      </c>
      <c r="H1473">
        <v>485.94970000000001</v>
      </c>
      <c r="I1473">
        <v>5.1999999999999998E-2</v>
      </c>
      <c r="J1473">
        <v>4.4999999999999998E-2</v>
      </c>
      <c r="K1473">
        <v>4.4999999999999998E-2</v>
      </c>
      <c r="L1473">
        <v>2351.8000000000002</v>
      </c>
      <c r="M1473">
        <v>2361</v>
      </c>
      <c r="N1473">
        <v>2377</v>
      </c>
      <c r="Q1473">
        <f t="shared" si="93"/>
        <v>481.1</v>
      </c>
      <c r="R1473">
        <f t="shared" si="94"/>
        <v>481.1</v>
      </c>
      <c r="S1473">
        <f t="shared" si="95"/>
        <v>1.2000000000000455</v>
      </c>
    </row>
    <row r="1474" spans="1:19" x14ac:dyDescent="0.25">
      <c r="A1474" s="2">
        <v>44915</v>
      </c>
      <c r="B1474" s="3">
        <v>354</v>
      </c>
      <c r="C1474" s="3">
        <v>600</v>
      </c>
      <c r="D1474">
        <v>482.3295</v>
      </c>
      <c r="E1474">
        <v>5.0999999999999997E-2</v>
      </c>
      <c r="F1474">
        <v>475.23500000000001</v>
      </c>
      <c r="G1474">
        <v>484.52010000000001</v>
      </c>
      <c r="H1474">
        <v>487.23329999999999</v>
      </c>
      <c r="I1474">
        <v>5.3999999999999999E-2</v>
      </c>
      <c r="J1474">
        <v>5.2999999999999999E-2</v>
      </c>
      <c r="K1474">
        <v>4.7E-2</v>
      </c>
      <c r="L1474">
        <v>2354</v>
      </c>
      <c r="M1474">
        <v>2363.6</v>
      </c>
      <c r="N1474">
        <v>2379.4</v>
      </c>
      <c r="Q1474">
        <f t="shared" si="93"/>
        <v>482.3</v>
      </c>
      <c r="R1474">
        <f t="shared" si="94"/>
        <v>482.3</v>
      </c>
      <c r="S1474">
        <f t="shared" si="95"/>
        <v>1.1999999999999886</v>
      </c>
    </row>
    <row r="1475" spans="1:19" x14ac:dyDescent="0.25">
      <c r="A1475" s="2">
        <v>44915</v>
      </c>
      <c r="B1475" s="3">
        <v>354</v>
      </c>
      <c r="C1475" s="3">
        <v>700</v>
      </c>
      <c r="D1475">
        <v>483.82530000000003</v>
      </c>
      <c r="E1475">
        <v>5.6000000000000001E-2</v>
      </c>
      <c r="F1475">
        <v>476.66370000000001</v>
      </c>
      <c r="G1475">
        <v>486.11439999999999</v>
      </c>
      <c r="H1475">
        <v>488.69779999999997</v>
      </c>
      <c r="I1475">
        <v>5.6000000000000001E-2</v>
      </c>
      <c r="J1475">
        <v>5.8999999999999997E-2</v>
      </c>
      <c r="K1475">
        <v>5.2999999999999999E-2</v>
      </c>
      <c r="L1475">
        <v>2356.8000000000002</v>
      </c>
      <c r="M1475">
        <v>2366.6</v>
      </c>
      <c r="N1475">
        <v>2382.1999999999998</v>
      </c>
      <c r="Q1475">
        <f t="shared" si="93"/>
        <v>483.8</v>
      </c>
      <c r="R1475">
        <f t="shared" si="94"/>
        <v>483.8</v>
      </c>
      <c r="S1475">
        <f t="shared" si="95"/>
        <v>1.5</v>
      </c>
    </row>
    <row r="1476" spans="1:19" x14ac:dyDescent="0.25">
      <c r="A1476" s="2">
        <v>44915</v>
      </c>
      <c r="B1476" s="3">
        <v>354</v>
      </c>
      <c r="C1476" s="3">
        <v>800</v>
      </c>
      <c r="D1476">
        <v>485.42649999999998</v>
      </c>
      <c r="E1476">
        <v>5.7000000000000002E-2</v>
      </c>
      <c r="F1476">
        <v>478.18490000000003</v>
      </c>
      <c r="G1476">
        <v>487.84840000000003</v>
      </c>
      <c r="H1476">
        <v>490.24619999999999</v>
      </c>
      <c r="I1476">
        <v>5.8000000000000003E-2</v>
      </c>
      <c r="J1476">
        <v>0.06</v>
      </c>
      <c r="K1476">
        <v>5.2999999999999999E-2</v>
      </c>
      <c r="L1476">
        <v>2359.6</v>
      </c>
      <c r="M1476">
        <v>2369.8000000000002</v>
      </c>
      <c r="N1476">
        <v>2385.1999999999998</v>
      </c>
      <c r="Q1476">
        <f t="shared" si="93"/>
        <v>485.4</v>
      </c>
      <c r="R1476">
        <f t="shared" si="94"/>
        <v>485.4</v>
      </c>
      <c r="S1476">
        <f t="shared" si="95"/>
        <v>1.5999999999999659</v>
      </c>
    </row>
    <row r="1477" spans="1:19" x14ac:dyDescent="0.25">
      <c r="A1477" s="2">
        <v>44915</v>
      </c>
      <c r="B1477" s="3">
        <v>354</v>
      </c>
      <c r="C1477" s="3">
        <v>900</v>
      </c>
      <c r="D1477">
        <v>486.50700000000001</v>
      </c>
      <c r="E1477">
        <v>4.7E-2</v>
      </c>
      <c r="F1477">
        <v>479.21589999999998</v>
      </c>
      <c r="G1477">
        <v>489.00009999999997</v>
      </c>
      <c r="H1477">
        <v>491.30509999999998</v>
      </c>
      <c r="I1477">
        <v>5.2999999999999999E-2</v>
      </c>
      <c r="J1477">
        <v>5.0999999999999997E-2</v>
      </c>
      <c r="K1477">
        <v>3.3000000000000002E-2</v>
      </c>
      <c r="L1477">
        <v>2361.6</v>
      </c>
      <c r="M1477">
        <v>2371.8000000000002</v>
      </c>
      <c r="N1477">
        <v>2387</v>
      </c>
      <c r="Q1477">
        <f t="shared" si="93"/>
        <v>486.5</v>
      </c>
      <c r="R1477">
        <f t="shared" si="94"/>
        <v>486.5</v>
      </c>
      <c r="S1477">
        <f t="shared" si="95"/>
        <v>1.1000000000000227</v>
      </c>
    </row>
    <row r="1478" spans="1:19" x14ac:dyDescent="0.25">
      <c r="A1478" s="2">
        <v>44915</v>
      </c>
      <c r="B1478" s="3">
        <v>354</v>
      </c>
      <c r="C1478" s="3">
        <v>1000</v>
      </c>
      <c r="D1478">
        <v>486.8177</v>
      </c>
      <c r="E1478">
        <v>4.1000000000000002E-2</v>
      </c>
      <c r="F1478">
        <v>479.48090000000002</v>
      </c>
      <c r="G1478">
        <v>489.4033</v>
      </c>
      <c r="H1478">
        <v>491.56900000000002</v>
      </c>
      <c r="I1478">
        <v>2.8000000000000001E-2</v>
      </c>
      <c r="J1478">
        <v>4.1000000000000002E-2</v>
      </c>
      <c r="K1478">
        <v>5.0999999999999997E-2</v>
      </c>
      <c r="L1478">
        <v>2362</v>
      </c>
      <c r="M1478">
        <v>2372.8000000000002</v>
      </c>
      <c r="N1478">
        <v>2387.4</v>
      </c>
      <c r="Q1478">
        <f t="shared" si="93"/>
        <v>486.8</v>
      </c>
      <c r="R1478">
        <f t="shared" si="94"/>
        <v>486.8</v>
      </c>
      <c r="S1478">
        <f t="shared" si="95"/>
        <v>0.30000000000001137</v>
      </c>
    </row>
    <row r="1479" spans="1:19" x14ac:dyDescent="0.25">
      <c r="A1479" s="2">
        <v>44915</v>
      </c>
      <c r="B1479" s="3">
        <v>354</v>
      </c>
      <c r="C1479" s="3">
        <v>1100</v>
      </c>
      <c r="D1479">
        <v>487.33109999999999</v>
      </c>
      <c r="E1479">
        <v>4.5999999999999999E-2</v>
      </c>
      <c r="F1479">
        <v>480.01859999999999</v>
      </c>
      <c r="G1479">
        <v>489.95780000000002</v>
      </c>
      <c r="H1479">
        <v>492.01670000000001</v>
      </c>
      <c r="I1479">
        <v>3.3000000000000002E-2</v>
      </c>
      <c r="J1479">
        <v>4.9000000000000002E-2</v>
      </c>
      <c r="K1479">
        <v>5.2999999999999999E-2</v>
      </c>
      <c r="L1479">
        <v>2363</v>
      </c>
      <c r="M1479">
        <v>2373.8000000000002</v>
      </c>
      <c r="N1479">
        <v>2388.4</v>
      </c>
      <c r="Q1479">
        <f t="shared" si="93"/>
        <v>487.3</v>
      </c>
      <c r="R1479">
        <f t="shared" si="94"/>
        <v>487.3</v>
      </c>
      <c r="S1479">
        <f t="shared" si="95"/>
        <v>0.5</v>
      </c>
    </row>
    <row r="1480" spans="1:19" x14ac:dyDescent="0.25">
      <c r="A1480" s="2">
        <v>44915</v>
      </c>
      <c r="B1480" s="3">
        <v>354</v>
      </c>
      <c r="C1480" s="3">
        <v>1200</v>
      </c>
      <c r="D1480">
        <v>487.74029999999999</v>
      </c>
      <c r="E1480">
        <v>0.05</v>
      </c>
      <c r="F1480">
        <v>480.4581</v>
      </c>
      <c r="G1480">
        <v>490.31920000000002</v>
      </c>
      <c r="H1480">
        <v>492.44349999999997</v>
      </c>
      <c r="I1480">
        <v>4.5999999999999999E-2</v>
      </c>
      <c r="J1480">
        <v>0.05</v>
      </c>
      <c r="K1480">
        <v>5.3999999999999999E-2</v>
      </c>
      <c r="L1480">
        <v>2363.8000000000002</v>
      </c>
      <c r="M1480">
        <v>2374.1999999999998</v>
      </c>
      <c r="N1480">
        <v>2389</v>
      </c>
      <c r="Q1480">
        <f t="shared" si="93"/>
        <v>487.7</v>
      </c>
      <c r="R1480">
        <f t="shared" si="94"/>
        <v>487.7</v>
      </c>
      <c r="S1480">
        <f t="shared" si="95"/>
        <v>0.39999999999997726</v>
      </c>
    </row>
    <row r="1481" spans="1:19" x14ac:dyDescent="0.25">
      <c r="A1481" s="2">
        <v>44915</v>
      </c>
      <c r="B1481" s="3">
        <v>354</v>
      </c>
      <c r="C1481" s="3">
        <v>1300</v>
      </c>
      <c r="D1481">
        <v>487.88350000000003</v>
      </c>
      <c r="E1481">
        <v>4.1000000000000002E-2</v>
      </c>
      <c r="F1481">
        <v>480.52440000000001</v>
      </c>
      <c r="G1481">
        <v>490.51440000000002</v>
      </c>
      <c r="H1481">
        <v>492.61189999999999</v>
      </c>
      <c r="I1481">
        <v>3.5000000000000003E-2</v>
      </c>
      <c r="J1481">
        <v>5.3999999999999999E-2</v>
      </c>
      <c r="K1481">
        <v>3.1E-2</v>
      </c>
      <c r="L1481">
        <v>2364</v>
      </c>
      <c r="M1481">
        <v>2374.6</v>
      </c>
      <c r="N1481">
        <v>2389.4</v>
      </c>
      <c r="Q1481">
        <f t="shared" si="93"/>
        <v>487.9</v>
      </c>
      <c r="R1481">
        <f t="shared" si="94"/>
        <v>487.9</v>
      </c>
      <c r="S1481">
        <f t="shared" si="95"/>
        <v>0.19999999999998863</v>
      </c>
    </row>
    <row r="1482" spans="1:19" x14ac:dyDescent="0.25">
      <c r="A1482" s="2">
        <v>44915</v>
      </c>
      <c r="B1482" s="3">
        <v>354</v>
      </c>
      <c r="C1482" s="3">
        <v>1400</v>
      </c>
      <c r="D1482">
        <v>487.97449999999998</v>
      </c>
      <c r="E1482">
        <v>4.4999999999999998E-2</v>
      </c>
      <c r="F1482">
        <v>480.60399999999998</v>
      </c>
      <c r="G1482">
        <v>490.61579999999998</v>
      </c>
      <c r="H1482">
        <v>492.70389999999998</v>
      </c>
      <c r="I1482">
        <v>5.0999999999999997E-2</v>
      </c>
      <c r="J1482">
        <v>5.2999999999999999E-2</v>
      </c>
      <c r="K1482">
        <v>2.4E-2</v>
      </c>
      <c r="L1482">
        <v>2364</v>
      </c>
      <c r="M1482">
        <v>2375</v>
      </c>
      <c r="N1482">
        <v>2389.6</v>
      </c>
      <c r="Q1482">
        <f t="shared" si="93"/>
        <v>488</v>
      </c>
      <c r="R1482">
        <f t="shared" si="94"/>
        <v>488</v>
      </c>
      <c r="S1482">
        <f t="shared" si="95"/>
        <v>0.10000000000002274</v>
      </c>
    </row>
    <row r="1483" spans="1:19" x14ac:dyDescent="0.25">
      <c r="A1483" s="2">
        <v>44915</v>
      </c>
      <c r="B1483" s="3">
        <v>354</v>
      </c>
      <c r="C1483" s="3">
        <v>1500</v>
      </c>
      <c r="D1483">
        <v>487.93880000000001</v>
      </c>
      <c r="E1483">
        <v>0.05</v>
      </c>
      <c r="F1483">
        <v>480.60399999999998</v>
      </c>
      <c r="G1483">
        <v>490.53160000000003</v>
      </c>
      <c r="H1483">
        <v>492.68079999999998</v>
      </c>
      <c r="I1483">
        <v>5.0999999999999997E-2</v>
      </c>
      <c r="J1483">
        <v>5.0999999999999997E-2</v>
      </c>
      <c r="K1483">
        <v>4.8000000000000001E-2</v>
      </c>
      <c r="L1483">
        <v>2364</v>
      </c>
      <c r="M1483">
        <v>2374.8000000000002</v>
      </c>
      <c r="N1483">
        <v>2389.6</v>
      </c>
      <c r="Q1483">
        <f t="shared" si="93"/>
        <v>487.9</v>
      </c>
      <c r="R1483">
        <f t="shared" si="94"/>
        <v>488</v>
      </c>
      <c r="S1483">
        <f t="shared" si="95"/>
        <v>0</v>
      </c>
    </row>
    <row r="1484" spans="1:19" x14ac:dyDescent="0.25">
      <c r="A1484" s="2">
        <v>44915</v>
      </c>
      <c r="B1484" s="3">
        <v>354</v>
      </c>
      <c r="C1484" s="3">
        <v>1600</v>
      </c>
      <c r="D1484">
        <v>488.07209999999998</v>
      </c>
      <c r="E1484">
        <v>5.0999999999999997E-2</v>
      </c>
      <c r="F1484">
        <v>480.79349999999999</v>
      </c>
      <c r="G1484">
        <v>490.64260000000002</v>
      </c>
      <c r="H1484">
        <v>492.78039999999999</v>
      </c>
      <c r="I1484">
        <v>5.1999999999999998E-2</v>
      </c>
      <c r="J1484">
        <v>4.9000000000000002E-2</v>
      </c>
      <c r="K1484">
        <v>5.0999999999999997E-2</v>
      </c>
      <c r="L1484">
        <v>2364.4</v>
      </c>
      <c r="M1484">
        <v>2374.8000000000002</v>
      </c>
      <c r="N1484">
        <v>2389.8000000000002</v>
      </c>
      <c r="Q1484">
        <f t="shared" si="93"/>
        <v>488.1</v>
      </c>
      <c r="R1484">
        <f t="shared" si="94"/>
        <v>488.1</v>
      </c>
      <c r="S1484">
        <f t="shared" si="95"/>
        <v>0.10000000000002274</v>
      </c>
    </row>
    <row r="1485" spans="1:19" x14ac:dyDescent="0.25">
      <c r="A1485" s="2">
        <v>44915</v>
      </c>
      <c r="B1485" s="3">
        <v>354</v>
      </c>
      <c r="C1485" s="3">
        <v>1700</v>
      </c>
      <c r="D1485">
        <v>488.0951</v>
      </c>
      <c r="E1485">
        <v>4.3999999999999997E-2</v>
      </c>
      <c r="F1485">
        <v>480.81049999999999</v>
      </c>
      <c r="G1485">
        <v>490.67509999999999</v>
      </c>
      <c r="H1485">
        <v>492.7996</v>
      </c>
      <c r="I1485">
        <v>5.2999999999999999E-2</v>
      </c>
      <c r="J1485">
        <v>0.04</v>
      </c>
      <c r="K1485">
        <v>3.9E-2</v>
      </c>
      <c r="L1485">
        <v>2364.4</v>
      </c>
      <c r="M1485">
        <v>2375</v>
      </c>
      <c r="N1485">
        <v>2389.8000000000002</v>
      </c>
      <c r="Q1485">
        <f t="shared" si="93"/>
        <v>488.1</v>
      </c>
      <c r="R1485">
        <f t="shared" si="94"/>
        <v>488.1</v>
      </c>
      <c r="S1485">
        <f t="shared" si="95"/>
        <v>0</v>
      </c>
    </row>
    <row r="1486" spans="1:19" x14ac:dyDescent="0.25">
      <c r="A1486" s="2">
        <v>44915</v>
      </c>
      <c r="B1486" s="3">
        <v>354</v>
      </c>
      <c r="C1486" s="3">
        <v>1800</v>
      </c>
      <c r="D1486">
        <v>488.10969999999998</v>
      </c>
      <c r="E1486">
        <v>4.3999999999999997E-2</v>
      </c>
      <c r="F1486">
        <v>480.82569999999998</v>
      </c>
      <c r="G1486">
        <v>490.70190000000002</v>
      </c>
      <c r="H1486">
        <v>492.80149999999998</v>
      </c>
      <c r="I1486">
        <v>4.8000000000000001E-2</v>
      </c>
      <c r="J1486">
        <v>4.5999999999999999E-2</v>
      </c>
      <c r="K1486">
        <v>3.7999999999999999E-2</v>
      </c>
      <c r="L1486">
        <v>2364.6</v>
      </c>
      <c r="M1486">
        <v>2375</v>
      </c>
      <c r="N1486">
        <v>2389.8000000000002</v>
      </c>
      <c r="Q1486">
        <f t="shared" si="93"/>
        <v>488.1</v>
      </c>
      <c r="R1486">
        <f t="shared" si="94"/>
        <v>488.1</v>
      </c>
      <c r="S1486">
        <f t="shared" si="95"/>
        <v>0</v>
      </c>
    </row>
    <row r="1487" spans="1:19" x14ac:dyDescent="0.25">
      <c r="A1487" s="2">
        <v>44915</v>
      </c>
      <c r="B1487" s="3">
        <v>354</v>
      </c>
      <c r="C1487" s="3">
        <v>1900</v>
      </c>
      <c r="D1487">
        <v>488.14330000000001</v>
      </c>
      <c r="E1487">
        <v>3.2000000000000001E-2</v>
      </c>
      <c r="F1487">
        <v>480.85980000000001</v>
      </c>
      <c r="G1487">
        <v>490.75540000000001</v>
      </c>
      <c r="H1487">
        <v>492.81479999999999</v>
      </c>
      <c r="I1487">
        <v>2.8000000000000001E-2</v>
      </c>
      <c r="J1487">
        <v>4.5999999999999999E-2</v>
      </c>
      <c r="K1487">
        <v>1.4E-2</v>
      </c>
      <c r="L1487">
        <v>2364.6</v>
      </c>
      <c r="M1487">
        <v>2375.1999999999998</v>
      </c>
      <c r="N1487">
        <v>2389.8000000000002</v>
      </c>
      <c r="Q1487">
        <f t="shared" si="93"/>
        <v>488.1</v>
      </c>
      <c r="R1487">
        <f t="shared" si="94"/>
        <v>488.1</v>
      </c>
      <c r="S1487">
        <f t="shared" si="95"/>
        <v>0</v>
      </c>
    </row>
    <row r="1488" spans="1:19" x14ac:dyDescent="0.25">
      <c r="A1488" s="2">
        <v>44915</v>
      </c>
      <c r="B1488" s="3">
        <v>354</v>
      </c>
      <c r="C1488" s="3">
        <v>2000</v>
      </c>
      <c r="D1488">
        <v>488.2362</v>
      </c>
      <c r="E1488">
        <v>4.5999999999999999E-2</v>
      </c>
      <c r="F1488">
        <v>480.95650000000001</v>
      </c>
      <c r="G1488">
        <v>490.8569</v>
      </c>
      <c r="H1488">
        <v>492.89519999999999</v>
      </c>
      <c r="I1488">
        <v>4.2000000000000003E-2</v>
      </c>
      <c r="J1488">
        <v>4.9000000000000002E-2</v>
      </c>
      <c r="K1488">
        <v>4.7E-2</v>
      </c>
      <c r="L1488">
        <v>2365</v>
      </c>
      <c r="M1488">
        <v>2375.4</v>
      </c>
      <c r="N1488">
        <v>2390</v>
      </c>
      <c r="Q1488">
        <f t="shared" si="93"/>
        <v>488.2</v>
      </c>
      <c r="R1488">
        <f t="shared" si="94"/>
        <v>488.2</v>
      </c>
      <c r="S1488">
        <f t="shared" si="95"/>
        <v>9.9999999999965894E-2</v>
      </c>
    </row>
    <row r="1489" spans="1:19" x14ac:dyDescent="0.25">
      <c r="A1489" s="2">
        <v>44915</v>
      </c>
      <c r="B1489" s="3">
        <v>354</v>
      </c>
      <c r="C1489" s="3">
        <v>2100</v>
      </c>
      <c r="D1489">
        <v>488.303</v>
      </c>
      <c r="E1489">
        <v>4.9000000000000002E-2</v>
      </c>
      <c r="F1489">
        <v>481.03230000000002</v>
      </c>
      <c r="G1489">
        <v>490.91239999999999</v>
      </c>
      <c r="H1489">
        <v>492.96420000000001</v>
      </c>
      <c r="I1489">
        <v>0.05</v>
      </c>
      <c r="J1489">
        <v>4.3999999999999997E-2</v>
      </c>
      <c r="K1489">
        <v>5.1999999999999998E-2</v>
      </c>
      <c r="L1489">
        <v>2364.8000000000002</v>
      </c>
      <c r="M1489">
        <v>2375.4</v>
      </c>
      <c r="N1489">
        <v>2390.1999999999998</v>
      </c>
      <c r="Q1489">
        <f t="shared" si="93"/>
        <v>488.3</v>
      </c>
      <c r="R1489">
        <f t="shared" si="94"/>
        <v>488.3</v>
      </c>
      <c r="S1489">
        <f t="shared" si="95"/>
        <v>0.10000000000002274</v>
      </c>
    </row>
    <row r="1490" spans="1:19" x14ac:dyDescent="0.25">
      <c r="A1490" s="2">
        <v>44915</v>
      </c>
      <c r="B1490" s="3">
        <v>354</v>
      </c>
      <c r="C1490" s="3">
        <v>2200</v>
      </c>
      <c r="D1490">
        <v>488.35199999999998</v>
      </c>
      <c r="E1490">
        <v>4.7E-2</v>
      </c>
      <c r="F1490">
        <v>481.07780000000002</v>
      </c>
      <c r="G1490">
        <v>490.96800000000002</v>
      </c>
      <c r="H1490">
        <v>493.01010000000002</v>
      </c>
      <c r="I1490">
        <v>0.05</v>
      </c>
      <c r="J1490">
        <v>4.8000000000000001E-2</v>
      </c>
      <c r="K1490">
        <v>4.2999999999999997E-2</v>
      </c>
      <c r="L1490">
        <v>2365</v>
      </c>
      <c r="M1490">
        <v>2375.6</v>
      </c>
      <c r="N1490">
        <v>2390.1999999999998</v>
      </c>
      <c r="Q1490">
        <f t="shared" si="93"/>
        <v>488.4</v>
      </c>
      <c r="R1490">
        <f t="shared" si="94"/>
        <v>488.4</v>
      </c>
      <c r="S1490">
        <f t="shared" si="95"/>
        <v>9.9999999999965894E-2</v>
      </c>
    </row>
    <row r="1491" spans="1:19" x14ac:dyDescent="0.25">
      <c r="A1491" s="2">
        <v>44915</v>
      </c>
      <c r="B1491" s="3">
        <v>354</v>
      </c>
      <c r="C1491" s="3">
        <v>2300</v>
      </c>
      <c r="D1491">
        <v>488.3603</v>
      </c>
      <c r="E1491">
        <v>4.5999999999999999E-2</v>
      </c>
      <c r="F1491">
        <v>481.0797</v>
      </c>
      <c r="G1491">
        <v>490.96609999999998</v>
      </c>
      <c r="H1491">
        <v>493.03500000000003</v>
      </c>
      <c r="I1491">
        <v>4.8000000000000001E-2</v>
      </c>
      <c r="J1491">
        <v>5.2999999999999999E-2</v>
      </c>
      <c r="K1491">
        <v>3.5000000000000003E-2</v>
      </c>
      <c r="L1491">
        <v>2365</v>
      </c>
      <c r="M1491">
        <v>2375.6</v>
      </c>
      <c r="N1491">
        <v>2390.1999999999998</v>
      </c>
      <c r="Q1491">
        <f t="shared" ref="Q1491:Q1554" si="96">ROUND(D1491,1)</f>
        <v>488.4</v>
      </c>
      <c r="R1491">
        <f t="shared" si="94"/>
        <v>488.4</v>
      </c>
      <c r="S1491">
        <f t="shared" si="95"/>
        <v>0</v>
      </c>
    </row>
    <row r="1492" spans="1:19" x14ac:dyDescent="0.25">
      <c r="A1492" s="2">
        <v>44915</v>
      </c>
      <c r="B1492" s="3">
        <v>354</v>
      </c>
      <c r="C1492" s="3">
        <v>2400</v>
      </c>
      <c r="D1492">
        <v>488.38260000000002</v>
      </c>
      <c r="E1492">
        <v>4.7E-2</v>
      </c>
      <c r="F1492">
        <v>481.08159999999998</v>
      </c>
      <c r="G1492">
        <v>491.02350000000001</v>
      </c>
      <c r="H1492">
        <v>493.04270000000002</v>
      </c>
      <c r="I1492">
        <v>5.2999999999999999E-2</v>
      </c>
      <c r="J1492">
        <v>5.0999999999999997E-2</v>
      </c>
      <c r="K1492">
        <v>3.3000000000000002E-2</v>
      </c>
      <c r="L1492">
        <v>2365</v>
      </c>
      <c r="M1492">
        <v>2375.6</v>
      </c>
      <c r="N1492">
        <v>2390.1999999999998</v>
      </c>
      <c r="Q1492">
        <f t="shared" si="96"/>
        <v>488.4</v>
      </c>
      <c r="R1492">
        <f t="shared" si="94"/>
        <v>488.4</v>
      </c>
      <c r="S1492">
        <f t="shared" si="95"/>
        <v>0</v>
      </c>
    </row>
    <row r="1493" spans="1:19" x14ac:dyDescent="0.25">
      <c r="A1493" s="2">
        <v>44916</v>
      </c>
      <c r="B1493" s="3">
        <v>355</v>
      </c>
      <c r="C1493" s="3">
        <v>100</v>
      </c>
      <c r="D1493">
        <v>488.39150000000001</v>
      </c>
      <c r="E1493">
        <v>4.7E-2</v>
      </c>
      <c r="F1493">
        <v>481.07589999999999</v>
      </c>
      <c r="G1493">
        <v>491.05790000000002</v>
      </c>
      <c r="H1493">
        <v>493.04079999999999</v>
      </c>
      <c r="I1493">
        <v>4.3999999999999997E-2</v>
      </c>
      <c r="J1493">
        <v>5.2999999999999999E-2</v>
      </c>
      <c r="K1493">
        <v>4.2000000000000003E-2</v>
      </c>
      <c r="L1493">
        <v>2365</v>
      </c>
      <c r="M1493">
        <v>2375.8000000000002</v>
      </c>
      <c r="N1493">
        <v>2390.1999999999998</v>
      </c>
      <c r="Q1493">
        <f t="shared" si="96"/>
        <v>488.4</v>
      </c>
      <c r="R1493">
        <f t="shared" si="94"/>
        <v>488.4</v>
      </c>
      <c r="S1493">
        <f t="shared" si="95"/>
        <v>0</v>
      </c>
    </row>
    <row r="1494" spans="1:19" x14ac:dyDescent="0.25">
      <c r="A1494" s="2">
        <v>44916</v>
      </c>
      <c r="B1494" s="3">
        <v>355</v>
      </c>
      <c r="C1494" s="3">
        <v>200</v>
      </c>
      <c r="D1494">
        <v>488.45639999999997</v>
      </c>
      <c r="E1494">
        <v>4.9000000000000002E-2</v>
      </c>
      <c r="F1494">
        <v>481.1309</v>
      </c>
      <c r="G1494">
        <v>491.12299999999999</v>
      </c>
      <c r="H1494">
        <v>493.11540000000002</v>
      </c>
      <c r="I1494">
        <v>5.8999999999999997E-2</v>
      </c>
      <c r="J1494">
        <v>4.1000000000000002E-2</v>
      </c>
      <c r="K1494">
        <v>4.3999999999999997E-2</v>
      </c>
      <c r="L1494">
        <v>2365</v>
      </c>
      <c r="M1494">
        <v>2375.8000000000002</v>
      </c>
      <c r="N1494">
        <v>2390.1999999999998</v>
      </c>
      <c r="Q1494">
        <f t="shared" si="96"/>
        <v>488.5</v>
      </c>
      <c r="R1494">
        <f t="shared" si="94"/>
        <v>488.5</v>
      </c>
      <c r="S1494">
        <f t="shared" si="95"/>
        <v>0.10000000000002274</v>
      </c>
    </row>
    <row r="1495" spans="1:19" x14ac:dyDescent="0.25">
      <c r="A1495" s="2">
        <v>44916</v>
      </c>
      <c r="B1495" s="3">
        <v>355</v>
      </c>
      <c r="C1495" s="3">
        <v>300</v>
      </c>
      <c r="D1495">
        <v>488.51560000000001</v>
      </c>
      <c r="E1495">
        <v>5.5E-2</v>
      </c>
      <c r="F1495">
        <v>481.19150000000002</v>
      </c>
      <c r="G1495">
        <v>491.16120000000001</v>
      </c>
      <c r="H1495">
        <v>493.19400000000002</v>
      </c>
      <c r="I1495">
        <v>5.8999999999999997E-2</v>
      </c>
      <c r="J1495">
        <v>5.2999999999999999E-2</v>
      </c>
      <c r="K1495">
        <v>5.3999999999999999E-2</v>
      </c>
      <c r="L1495">
        <v>2365.4</v>
      </c>
      <c r="M1495">
        <v>2376</v>
      </c>
      <c r="N1495">
        <v>2390.6</v>
      </c>
      <c r="Q1495">
        <f t="shared" si="96"/>
        <v>488.5</v>
      </c>
      <c r="R1495">
        <f t="shared" si="94"/>
        <v>488.5</v>
      </c>
      <c r="S1495">
        <f t="shared" si="95"/>
        <v>0</v>
      </c>
    </row>
    <row r="1496" spans="1:19" x14ac:dyDescent="0.25">
      <c r="A1496" s="2">
        <v>44916</v>
      </c>
      <c r="B1496" s="3">
        <v>355</v>
      </c>
      <c r="C1496" s="3">
        <v>400</v>
      </c>
      <c r="D1496">
        <v>488.56720000000001</v>
      </c>
      <c r="E1496">
        <v>4.7E-2</v>
      </c>
      <c r="F1496">
        <v>481.2294</v>
      </c>
      <c r="G1496">
        <v>491.19380000000001</v>
      </c>
      <c r="H1496">
        <v>493.27839999999998</v>
      </c>
      <c r="I1496">
        <v>5.2999999999999999E-2</v>
      </c>
      <c r="J1496">
        <v>3.9E-2</v>
      </c>
      <c r="K1496">
        <v>4.9000000000000002E-2</v>
      </c>
      <c r="L1496">
        <v>2365.1999999999998</v>
      </c>
      <c r="M1496">
        <v>2376</v>
      </c>
      <c r="N1496">
        <v>2390.6</v>
      </c>
      <c r="Q1496">
        <f t="shared" si="96"/>
        <v>488.6</v>
      </c>
      <c r="R1496">
        <f t="shared" si="94"/>
        <v>488.6</v>
      </c>
      <c r="S1496">
        <f t="shared" si="95"/>
        <v>0.10000000000002274</v>
      </c>
    </row>
    <row r="1497" spans="1:19" x14ac:dyDescent="0.25">
      <c r="A1497" s="2">
        <v>44916</v>
      </c>
      <c r="B1497" s="3">
        <v>355</v>
      </c>
      <c r="C1497" s="3">
        <v>500</v>
      </c>
      <c r="D1497">
        <v>488.5634</v>
      </c>
      <c r="E1497">
        <v>5.0999999999999997E-2</v>
      </c>
      <c r="F1497">
        <v>481.2199</v>
      </c>
      <c r="G1497">
        <v>491.1823</v>
      </c>
      <c r="H1497">
        <v>493.28789999999998</v>
      </c>
      <c r="I1497">
        <v>5.2999999999999999E-2</v>
      </c>
      <c r="J1497">
        <v>4.7E-2</v>
      </c>
      <c r="K1497">
        <v>5.1999999999999998E-2</v>
      </c>
      <c r="L1497">
        <v>2365.4</v>
      </c>
      <c r="M1497">
        <v>2376</v>
      </c>
      <c r="N1497">
        <v>2390.6</v>
      </c>
      <c r="Q1497">
        <f t="shared" si="96"/>
        <v>488.6</v>
      </c>
      <c r="R1497">
        <f t="shared" si="94"/>
        <v>488.6</v>
      </c>
      <c r="S1497">
        <f t="shared" si="95"/>
        <v>0</v>
      </c>
    </row>
    <row r="1498" spans="1:19" x14ac:dyDescent="0.25">
      <c r="A1498" s="2">
        <v>44916</v>
      </c>
      <c r="B1498" s="3">
        <v>355</v>
      </c>
      <c r="C1498" s="3">
        <v>600</v>
      </c>
      <c r="D1498">
        <v>488.58879999999999</v>
      </c>
      <c r="E1498">
        <v>4.7E-2</v>
      </c>
      <c r="F1498">
        <v>481.24650000000003</v>
      </c>
      <c r="G1498">
        <v>491.2167</v>
      </c>
      <c r="H1498">
        <v>493.3032</v>
      </c>
      <c r="I1498">
        <v>0.05</v>
      </c>
      <c r="J1498">
        <v>3.6999999999999998E-2</v>
      </c>
      <c r="K1498">
        <v>5.2999999999999999E-2</v>
      </c>
      <c r="L1498">
        <v>2365.4</v>
      </c>
      <c r="M1498">
        <v>2376</v>
      </c>
      <c r="N1498">
        <v>2390.8000000000002</v>
      </c>
      <c r="Q1498">
        <f t="shared" si="96"/>
        <v>488.6</v>
      </c>
      <c r="R1498">
        <f t="shared" si="94"/>
        <v>488.6</v>
      </c>
      <c r="S1498">
        <f t="shared" si="95"/>
        <v>0</v>
      </c>
    </row>
    <row r="1499" spans="1:19" x14ac:dyDescent="0.25">
      <c r="A1499" s="2">
        <v>44916</v>
      </c>
      <c r="B1499" s="3">
        <v>355</v>
      </c>
      <c r="C1499" s="3">
        <v>700</v>
      </c>
      <c r="D1499">
        <v>488.60419999999999</v>
      </c>
      <c r="E1499">
        <v>4.9000000000000002E-2</v>
      </c>
      <c r="F1499">
        <v>481.24270000000001</v>
      </c>
      <c r="G1499">
        <v>491.24349999999998</v>
      </c>
      <c r="H1499">
        <v>493.32619999999997</v>
      </c>
      <c r="I1499">
        <v>5.0999999999999997E-2</v>
      </c>
      <c r="J1499">
        <v>4.9000000000000002E-2</v>
      </c>
      <c r="K1499">
        <v>4.5999999999999999E-2</v>
      </c>
      <c r="L1499">
        <v>2365.4</v>
      </c>
      <c r="M1499">
        <v>2376</v>
      </c>
      <c r="N1499">
        <v>2390.6</v>
      </c>
      <c r="Q1499">
        <f t="shared" si="96"/>
        <v>488.6</v>
      </c>
      <c r="R1499">
        <f t="shared" si="94"/>
        <v>488.6</v>
      </c>
      <c r="S1499">
        <f t="shared" si="95"/>
        <v>0</v>
      </c>
    </row>
    <row r="1500" spans="1:19" x14ac:dyDescent="0.25">
      <c r="A1500" s="2">
        <v>44916</v>
      </c>
      <c r="B1500" s="3">
        <v>355</v>
      </c>
      <c r="C1500" s="3">
        <v>800</v>
      </c>
      <c r="D1500">
        <v>488.601</v>
      </c>
      <c r="E1500">
        <v>0.05</v>
      </c>
      <c r="F1500">
        <v>481.24079999999998</v>
      </c>
      <c r="G1500">
        <v>491.24349999999998</v>
      </c>
      <c r="H1500">
        <v>493.31849999999997</v>
      </c>
      <c r="I1500">
        <v>5.0999999999999997E-2</v>
      </c>
      <c r="J1500">
        <v>4.9000000000000002E-2</v>
      </c>
      <c r="K1500">
        <v>0.05</v>
      </c>
      <c r="L1500">
        <v>2365.4</v>
      </c>
      <c r="M1500">
        <v>2376</v>
      </c>
      <c r="N1500">
        <v>2390.6</v>
      </c>
      <c r="Q1500">
        <f t="shared" si="96"/>
        <v>488.6</v>
      </c>
      <c r="R1500">
        <f t="shared" si="94"/>
        <v>488.6</v>
      </c>
      <c r="S1500">
        <f t="shared" si="95"/>
        <v>0</v>
      </c>
    </row>
    <row r="1501" spans="1:19" x14ac:dyDescent="0.25">
      <c r="A1501" s="2">
        <v>44916</v>
      </c>
      <c r="B1501" s="3">
        <v>355</v>
      </c>
      <c r="C1501" s="3">
        <v>900</v>
      </c>
      <c r="D1501">
        <v>488.5609</v>
      </c>
      <c r="E1501">
        <v>3.7999999999999999E-2</v>
      </c>
      <c r="F1501">
        <v>481.18009999999998</v>
      </c>
      <c r="G1501">
        <v>491.25119999999998</v>
      </c>
      <c r="H1501">
        <v>493.25150000000002</v>
      </c>
      <c r="I1501">
        <v>3.1E-2</v>
      </c>
      <c r="J1501">
        <v>5.1999999999999998E-2</v>
      </c>
      <c r="K1501">
        <v>2.4E-2</v>
      </c>
      <c r="L1501">
        <v>2365.4</v>
      </c>
      <c r="M1501">
        <v>2376</v>
      </c>
      <c r="N1501">
        <v>2390.6</v>
      </c>
      <c r="Q1501">
        <f t="shared" si="96"/>
        <v>488.6</v>
      </c>
      <c r="R1501">
        <f t="shared" si="94"/>
        <v>488.6</v>
      </c>
      <c r="S1501">
        <f t="shared" si="95"/>
        <v>0</v>
      </c>
    </row>
    <row r="1502" spans="1:19" x14ac:dyDescent="0.25">
      <c r="A1502" s="2">
        <v>44916</v>
      </c>
      <c r="B1502" s="3">
        <v>355</v>
      </c>
      <c r="C1502" s="3">
        <v>1000</v>
      </c>
      <c r="D1502">
        <v>488.68099999999998</v>
      </c>
      <c r="E1502">
        <v>3.4000000000000002E-2</v>
      </c>
      <c r="F1502">
        <v>481.36410000000001</v>
      </c>
      <c r="G1502">
        <v>491.32589999999999</v>
      </c>
      <c r="H1502">
        <v>493.35300000000001</v>
      </c>
      <c r="I1502">
        <v>4.3999999999999997E-2</v>
      </c>
      <c r="J1502">
        <v>3.4000000000000002E-2</v>
      </c>
      <c r="K1502">
        <v>0.02</v>
      </c>
      <c r="L1502">
        <v>2365.4</v>
      </c>
      <c r="M1502">
        <v>2376.1999999999998</v>
      </c>
      <c r="N1502">
        <v>2390.8000000000002</v>
      </c>
      <c r="Q1502">
        <f t="shared" si="96"/>
        <v>488.7</v>
      </c>
      <c r="R1502">
        <f t="shared" si="94"/>
        <v>488.7</v>
      </c>
      <c r="S1502">
        <f t="shared" si="95"/>
        <v>9.9999999999965894E-2</v>
      </c>
    </row>
    <row r="1503" spans="1:19" x14ac:dyDescent="0.25">
      <c r="A1503" s="2">
        <v>44916</v>
      </c>
      <c r="B1503" s="3">
        <v>355</v>
      </c>
      <c r="C1503" s="3">
        <v>1100</v>
      </c>
      <c r="D1503">
        <v>488.79349999999999</v>
      </c>
      <c r="E1503">
        <v>3.4000000000000002E-2</v>
      </c>
      <c r="F1503">
        <v>481.49489999999997</v>
      </c>
      <c r="G1503">
        <v>491.41199999999998</v>
      </c>
      <c r="H1503">
        <v>493.47370000000001</v>
      </c>
      <c r="I1503">
        <v>3.2000000000000001E-2</v>
      </c>
      <c r="J1503">
        <v>3.5000000000000003E-2</v>
      </c>
      <c r="K1503">
        <v>3.5000000000000003E-2</v>
      </c>
      <c r="L1503">
        <v>2365.8000000000002</v>
      </c>
      <c r="M1503">
        <v>2376.4</v>
      </c>
      <c r="N1503">
        <v>2391</v>
      </c>
      <c r="Q1503">
        <f t="shared" si="96"/>
        <v>488.8</v>
      </c>
      <c r="R1503">
        <f t="shared" si="94"/>
        <v>488.8</v>
      </c>
      <c r="S1503">
        <f t="shared" si="95"/>
        <v>0.10000000000002274</v>
      </c>
    </row>
    <row r="1504" spans="1:19" x14ac:dyDescent="0.25">
      <c r="A1504" s="2">
        <v>44916</v>
      </c>
      <c r="B1504" s="3">
        <v>355</v>
      </c>
      <c r="C1504" s="3">
        <v>1200</v>
      </c>
      <c r="D1504">
        <v>488.77179999999998</v>
      </c>
      <c r="E1504">
        <v>4.3999999999999997E-2</v>
      </c>
      <c r="F1504">
        <v>481.49489999999997</v>
      </c>
      <c r="G1504">
        <v>491.36219999999997</v>
      </c>
      <c r="H1504">
        <v>493.45830000000001</v>
      </c>
      <c r="I1504">
        <v>3.2000000000000001E-2</v>
      </c>
      <c r="J1504">
        <v>5.7000000000000002E-2</v>
      </c>
      <c r="K1504">
        <v>3.7999999999999999E-2</v>
      </c>
      <c r="L1504">
        <v>2365.8000000000002</v>
      </c>
      <c r="M1504">
        <v>2376</v>
      </c>
      <c r="N1504">
        <v>2391</v>
      </c>
      <c r="Q1504">
        <f t="shared" si="96"/>
        <v>488.8</v>
      </c>
      <c r="R1504">
        <f t="shared" si="94"/>
        <v>488.8</v>
      </c>
      <c r="S1504">
        <f t="shared" si="95"/>
        <v>0</v>
      </c>
    </row>
    <row r="1505" spans="1:19" x14ac:dyDescent="0.25">
      <c r="A1505" s="2">
        <v>44916</v>
      </c>
      <c r="B1505" s="3">
        <v>355</v>
      </c>
      <c r="C1505" s="3">
        <v>1300</v>
      </c>
      <c r="D1505">
        <v>488.75009999999997</v>
      </c>
      <c r="E1505">
        <v>4.5999999999999999E-2</v>
      </c>
      <c r="F1505">
        <v>481.50630000000001</v>
      </c>
      <c r="G1505">
        <v>491.24740000000003</v>
      </c>
      <c r="H1505">
        <v>493.4966</v>
      </c>
      <c r="I1505">
        <v>3.5000000000000003E-2</v>
      </c>
      <c r="J1505">
        <v>5.0999999999999997E-2</v>
      </c>
      <c r="K1505">
        <v>5.0999999999999997E-2</v>
      </c>
      <c r="L1505">
        <v>2365.8000000000002</v>
      </c>
      <c r="M1505">
        <v>2376</v>
      </c>
      <c r="N1505">
        <v>2391</v>
      </c>
      <c r="Q1505">
        <f t="shared" si="96"/>
        <v>488.8</v>
      </c>
      <c r="R1505">
        <f t="shared" si="94"/>
        <v>488.8</v>
      </c>
      <c r="S1505">
        <f t="shared" si="95"/>
        <v>0</v>
      </c>
    </row>
    <row r="1506" spans="1:19" x14ac:dyDescent="0.25">
      <c r="A1506" s="2">
        <v>44916</v>
      </c>
      <c r="B1506" s="3">
        <v>355</v>
      </c>
      <c r="C1506" s="3">
        <v>1400</v>
      </c>
      <c r="D1506">
        <v>488.90039999999999</v>
      </c>
      <c r="E1506">
        <v>5.0999999999999997E-2</v>
      </c>
      <c r="F1506">
        <v>481.80970000000002</v>
      </c>
      <c r="G1506">
        <v>491.2722</v>
      </c>
      <c r="H1506">
        <v>493.61919999999998</v>
      </c>
      <c r="I1506">
        <v>4.7E-2</v>
      </c>
      <c r="J1506">
        <v>5.2999999999999999E-2</v>
      </c>
      <c r="K1506">
        <v>5.3999999999999999E-2</v>
      </c>
      <c r="L1506">
        <v>2366.4</v>
      </c>
      <c r="M1506">
        <v>2376</v>
      </c>
      <c r="N1506">
        <v>2391.4</v>
      </c>
      <c r="Q1506">
        <f t="shared" si="96"/>
        <v>488.9</v>
      </c>
      <c r="R1506">
        <f t="shared" ref="R1506:R1569" si="97">ROUND(IF(Q1506&lt;R1505,R1505,Q1506),1)</f>
        <v>488.9</v>
      </c>
      <c r="S1506">
        <f t="shared" si="95"/>
        <v>9.9999999999965894E-2</v>
      </c>
    </row>
    <row r="1507" spans="1:19" x14ac:dyDescent="0.25">
      <c r="A1507" s="2">
        <v>44916</v>
      </c>
      <c r="B1507" s="3">
        <v>355</v>
      </c>
      <c r="C1507" s="3">
        <v>1500</v>
      </c>
      <c r="D1507">
        <v>489.40499999999997</v>
      </c>
      <c r="E1507">
        <v>4.8000000000000001E-2</v>
      </c>
      <c r="F1507">
        <v>482.39789999999999</v>
      </c>
      <c r="G1507">
        <v>491.30860000000001</v>
      </c>
      <c r="H1507">
        <v>494.5086</v>
      </c>
      <c r="I1507">
        <v>5.2999999999999999E-2</v>
      </c>
      <c r="J1507">
        <v>4.7E-2</v>
      </c>
      <c r="K1507">
        <v>4.4999999999999998E-2</v>
      </c>
      <c r="L1507">
        <v>2367.6</v>
      </c>
      <c r="M1507">
        <v>2376.1999999999998</v>
      </c>
      <c r="N1507">
        <v>2393</v>
      </c>
      <c r="Q1507">
        <f t="shared" si="96"/>
        <v>489.4</v>
      </c>
      <c r="R1507">
        <f t="shared" si="97"/>
        <v>489.4</v>
      </c>
      <c r="S1507">
        <f t="shared" si="95"/>
        <v>0.5</v>
      </c>
    </row>
    <row r="1508" spans="1:19" x14ac:dyDescent="0.25">
      <c r="A1508" s="2">
        <v>44916</v>
      </c>
      <c r="B1508" s="3">
        <v>355</v>
      </c>
      <c r="C1508" s="3">
        <v>1600</v>
      </c>
      <c r="D1508">
        <v>489.49310000000003</v>
      </c>
      <c r="E1508">
        <v>3.6999999999999998E-2</v>
      </c>
      <c r="F1508">
        <v>482.42829999999998</v>
      </c>
      <c r="G1508">
        <v>491.41579999999999</v>
      </c>
      <c r="H1508">
        <v>494.63510000000002</v>
      </c>
      <c r="I1508">
        <v>4.7E-2</v>
      </c>
      <c r="J1508">
        <v>3.6999999999999998E-2</v>
      </c>
      <c r="K1508">
        <v>2.4E-2</v>
      </c>
      <c r="L1508">
        <v>2367.4</v>
      </c>
      <c r="M1508">
        <v>2376.4</v>
      </c>
      <c r="N1508">
        <v>2393.1999999999998</v>
      </c>
      <c r="Q1508">
        <f t="shared" si="96"/>
        <v>489.5</v>
      </c>
      <c r="R1508">
        <f t="shared" si="97"/>
        <v>489.5</v>
      </c>
      <c r="S1508">
        <f t="shared" si="95"/>
        <v>0.10000000000002274</v>
      </c>
    </row>
    <row r="1509" spans="1:19" x14ac:dyDescent="0.25">
      <c r="A1509" s="2">
        <v>44916</v>
      </c>
      <c r="B1509" s="3">
        <v>355</v>
      </c>
      <c r="C1509" s="3">
        <v>1700</v>
      </c>
      <c r="D1509">
        <v>489.43720000000002</v>
      </c>
      <c r="E1509">
        <v>0.05</v>
      </c>
      <c r="F1509">
        <v>482.3295</v>
      </c>
      <c r="G1509">
        <v>491.46570000000003</v>
      </c>
      <c r="H1509">
        <v>494.5163</v>
      </c>
      <c r="I1509">
        <v>4.4999999999999998E-2</v>
      </c>
      <c r="J1509">
        <v>5.1999999999999998E-2</v>
      </c>
      <c r="K1509">
        <v>5.2999999999999999E-2</v>
      </c>
      <c r="L1509">
        <v>2367.4</v>
      </c>
      <c r="M1509">
        <v>2376.4</v>
      </c>
      <c r="N1509">
        <v>2393</v>
      </c>
      <c r="Q1509">
        <f t="shared" si="96"/>
        <v>489.4</v>
      </c>
      <c r="R1509">
        <f t="shared" si="97"/>
        <v>489.5</v>
      </c>
      <c r="S1509">
        <f t="shared" ref="S1509:S1572" si="98">IF(R1509&gt;R1508,R1509-R1508,0)</f>
        <v>0</v>
      </c>
    </row>
    <row r="1510" spans="1:19" x14ac:dyDescent="0.25">
      <c r="A1510" s="2">
        <v>44916</v>
      </c>
      <c r="B1510" s="3">
        <v>355</v>
      </c>
      <c r="C1510" s="3">
        <v>1800</v>
      </c>
      <c r="D1510">
        <v>489.44099999999997</v>
      </c>
      <c r="E1510">
        <v>5.0999999999999997E-2</v>
      </c>
      <c r="F1510">
        <v>482.31240000000003</v>
      </c>
      <c r="G1510">
        <v>491.50400000000002</v>
      </c>
      <c r="H1510">
        <v>494.50670000000002</v>
      </c>
      <c r="I1510">
        <v>5.8999999999999997E-2</v>
      </c>
      <c r="J1510">
        <v>4.8000000000000001E-2</v>
      </c>
      <c r="K1510">
        <v>4.5999999999999999E-2</v>
      </c>
      <c r="L1510">
        <v>2367.1999999999998</v>
      </c>
      <c r="M1510">
        <v>2376.6</v>
      </c>
      <c r="N1510">
        <v>2393</v>
      </c>
      <c r="Q1510">
        <f t="shared" si="96"/>
        <v>489.4</v>
      </c>
      <c r="R1510">
        <f t="shared" si="97"/>
        <v>489.5</v>
      </c>
      <c r="S1510">
        <f t="shared" si="98"/>
        <v>0</v>
      </c>
    </row>
    <row r="1511" spans="1:19" x14ac:dyDescent="0.25">
      <c r="A1511" s="2">
        <v>44916</v>
      </c>
      <c r="B1511" s="3">
        <v>355</v>
      </c>
      <c r="C1511" s="3">
        <v>1900</v>
      </c>
      <c r="D1511">
        <v>489.471</v>
      </c>
      <c r="E1511">
        <v>3.6999999999999998E-2</v>
      </c>
      <c r="F1511">
        <v>482.33139999999997</v>
      </c>
      <c r="G1511">
        <v>491.54039999999998</v>
      </c>
      <c r="H1511">
        <v>494.5412</v>
      </c>
      <c r="I1511">
        <v>4.2999999999999997E-2</v>
      </c>
      <c r="J1511">
        <v>3.4000000000000002E-2</v>
      </c>
      <c r="K1511">
        <v>3.4000000000000002E-2</v>
      </c>
      <c r="L1511">
        <v>2367.1999999999998</v>
      </c>
      <c r="M1511">
        <v>2376.8000000000002</v>
      </c>
      <c r="N1511">
        <v>2393</v>
      </c>
      <c r="Q1511">
        <f t="shared" si="96"/>
        <v>489.5</v>
      </c>
      <c r="R1511">
        <f t="shared" si="97"/>
        <v>489.5</v>
      </c>
      <c r="S1511">
        <f t="shared" si="98"/>
        <v>0</v>
      </c>
    </row>
    <row r="1512" spans="1:19" x14ac:dyDescent="0.25">
      <c r="A1512" s="2">
        <v>44916</v>
      </c>
      <c r="B1512" s="3">
        <v>355</v>
      </c>
      <c r="C1512" s="3">
        <v>2000</v>
      </c>
      <c r="D1512">
        <v>489.44099999999997</v>
      </c>
      <c r="E1512">
        <v>4.7E-2</v>
      </c>
      <c r="F1512">
        <v>482.31049999999999</v>
      </c>
      <c r="G1512">
        <v>491.5385</v>
      </c>
      <c r="H1512">
        <v>494.47410000000002</v>
      </c>
      <c r="I1512">
        <v>5.2999999999999999E-2</v>
      </c>
      <c r="J1512">
        <v>3.2000000000000001E-2</v>
      </c>
      <c r="K1512">
        <v>5.2999999999999999E-2</v>
      </c>
      <c r="L1512">
        <v>2367.4</v>
      </c>
      <c r="M1512">
        <v>2376.6</v>
      </c>
      <c r="N1512">
        <v>2392.8000000000002</v>
      </c>
      <c r="Q1512">
        <f t="shared" si="96"/>
        <v>489.4</v>
      </c>
      <c r="R1512">
        <f t="shared" si="97"/>
        <v>489.5</v>
      </c>
      <c r="S1512">
        <f t="shared" si="98"/>
        <v>0</v>
      </c>
    </row>
    <row r="1513" spans="1:19" x14ac:dyDescent="0.25">
      <c r="A1513" s="2">
        <v>44916</v>
      </c>
      <c r="B1513" s="3">
        <v>355</v>
      </c>
      <c r="C1513" s="3">
        <v>2100</v>
      </c>
      <c r="D1513">
        <v>489.48050000000001</v>
      </c>
      <c r="E1513">
        <v>4.4999999999999998E-2</v>
      </c>
      <c r="F1513">
        <v>482.34469999999999</v>
      </c>
      <c r="G1513">
        <v>491.59019999999998</v>
      </c>
      <c r="H1513">
        <v>494.50670000000002</v>
      </c>
      <c r="I1513">
        <v>3.2000000000000001E-2</v>
      </c>
      <c r="J1513">
        <v>5.2999999999999999E-2</v>
      </c>
      <c r="K1513">
        <v>4.5999999999999999E-2</v>
      </c>
      <c r="L1513">
        <v>2367.4</v>
      </c>
      <c r="M1513">
        <v>2376.8000000000002</v>
      </c>
      <c r="N1513">
        <v>2393</v>
      </c>
      <c r="Q1513">
        <f t="shared" si="96"/>
        <v>489.5</v>
      </c>
      <c r="R1513">
        <f t="shared" si="97"/>
        <v>489.5</v>
      </c>
      <c r="S1513">
        <f t="shared" si="98"/>
        <v>0</v>
      </c>
    </row>
    <row r="1514" spans="1:19" x14ac:dyDescent="0.25">
      <c r="A1514" s="2">
        <v>44916</v>
      </c>
      <c r="B1514" s="3">
        <v>355</v>
      </c>
      <c r="C1514" s="3">
        <v>2200</v>
      </c>
      <c r="D1514">
        <v>489.4991</v>
      </c>
      <c r="E1514">
        <v>4.5999999999999999E-2</v>
      </c>
      <c r="F1514">
        <v>482.32</v>
      </c>
      <c r="G1514">
        <v>491.5557</v>
      </c>
      <c r="H1514">
        <v>494.62169999999998</v>
      </c>
      <c r="I1514">
        <v>4.8000000000000001E-2</v>
      </c>
      <c r="J1514">
        <v>4.8000000000000001E-2</v>
      </c>
      <c r="K1514">
        <v>4.1000000000000002E-2</v>
      </c>
      <c r="L1514">
        <v>2367.1999999999998</v>
      </c>
      <c r="M1514">
        <v>2376.6</v>
      </c>
      <c r="N1514">
        <v>2393.1999999999998</v>
      </c>
      <c r="Q1514">
        <f t="shared" si="96"/>
        <v>489.5</v>
      </c>
      <c r="R1514">
        <f t="shared" si="97"/>
        <v>489.5</v>
      </c>
      <c r="S1514">
        <f t="shared" si="98"/>
        <v>0</v>
      </c>
    </row>
    <row r="1515" spans="1:19" x14ac:dyDescent="0.25">
      <c r="A1515" s="2">
        <v>44916</v>
      </c>
      <c r="B1515" s="3">
        <v>355</v>
      </c>
      <c r="C1515" s="3">
        <v>2300</v>
      </c>
      <c r="D1515">
        <v>489.42259999999999</v>
      </c>
      <c r="E1515">
        <v>4.8000000000000001E-2</v>
      </c>
      <c r="F1515">
        <v>482.28019999999998</v>
      </c>
      <c r="G1515">
        <v>491.51740000000001</v>
      </c>
      <c r="H1515">
        <v>494.47030000000001</v>
      </c>
      <c r="I1515">
        <v>5.1999999999999998E-2</v>
      </c>
      <c r="J1515">
        <v>3.7999999999999999E-2</v>
      </c>
      <c r="K1515">
        <v>5.2999999999999999E-2</v>
      </c>
      <c r="L1515">
        <v>2367.4</v>
      </c>
      <c r="M1515">
        <v>2376.6</v>
      </c>
      <c r="N1515">
        <v>2392.8000000000002</v>
      </c>
      <c r="Q1515">
        <f t="shared" si="96"/>
        <v>489.4</v>
      </c>
      <c r="R1515">
        <f t="shared" si="97"/>
        <v>489.5</v>
      </c>
      <c r="S1515">
        <f t="shared" si="98"/>
        <v>0</v>
      </c>
    </row>
    <row r="1516" spans="1:19" x14ac:dyDescent="0.25">
      <c r="A1516" s="2">
        <v>44916</v>
      </c>
      <c r="B1516" s="3">
        <v>355</v>
      </c>
      <c r="C1516" s="3">
        <v>2400</v>
      </c>
      <c r="D1516">
        <v>489.51620000000003</v>
      </c>
      <c r="E1516">
        <v>4.9000000000000002E-2</v>
      </c>
      <c r="F1516">
        <v>482.39030000000002</v>
      </c>
      <c r="G1516">
        <v>491.55380000000002</v>
      </c>
      <c r="H1516">
        <v>494.60449999999997</v>
      </c>
      <c r="I1516">
        <v>5.2999999999999999E-2</v>
      </c>
      <c r="J1516">
        <v>4.2999999999999997E-2</v>
      </c>
      <c r="K1516">
        <v>5.0999999999999997E-2</v>
      </c>
      <c r="L1516">
        <v>2367.6</v>
      </c>
      <c r="M1516">
        <v>2376.6</v>
      </c>
      <c r="N1516">
        <v>2393</v>
      </c>
      <c r="Q1516">
        <f t="shared" si="96"/>
        <v>489.5</v>
      </c>
      <c r="R1516">
        <f t="shared" si="97"/>
        <v>489.5</v>
      </c>
      <c r="S1516">
        <f t="shared" si="98"/>
        <v>0</v>
      </c>
    </row>
    <row r="1517" spans="1:19" x14ac:dyDescent="0.25">
      <c r="A1517" s="2">
        <v>44917</v>
      </c>
      <c r="B1517" s="3">
        <v>356</v>
      </c>
      <c r="C1517" s="3">
        <v>100</v>
      </c>
      <c r="D1517">
        <v>489.57339999999999</v>
      </c>
      <c r="E1517">
        <v>4.2999999999999997E-2</v>
      </c>
      <c r="F1517">
        <v>482.47570000000002</v>
      </c>
      <c r="G1517">
        <v>491.6438</v>
      </c>
      <c r="H1517">
        <v>494.60059999999999</v>
      </c>
      <c r="I1517">
        <v>4.5999999999999999E-2</v>
      </c>
      <c r="J1517">
        <v>2.8000000000000001E-2</v>
      </c>
      <c r="K1517">
        <v>5.1999999999999998E-2</v>
      </c>
      <c r="L1517">
        <v>2367.6</v>
      </c>
      <c r="M1517">
        <v>2376.8000000000002</v>
      </c>
      <c r="N1517">
        <v>2393</v>
      </c>
      <c r="Q1517">
        <f t="shared" si="96"/>
        <v>489.6</v>
      </c>
      <c r="R1517">
        <f t="shared" si="97"/>
        <v>489.6</v>
      </c>
      <c r="S1517">
        <f t="shared" si="98"/>
        <v>0.10000000000002274</v>
      </c>
    </row>
    <row r="1518" spans="1:19" x14ac:dyDescent="0.25">
      <c r="A1518" s="2">
        <v>44917</v>
      </c>
      <c r="B1518" s="3">
        <v>356</v>
      </c>
      <c r="C1518" s="3">
        <v>200</v>
      </c>
      <c r="D1518">
        <v>489.54239999999999</v>
      </c>
      <c r="E1518">
        <v>0.05</v>
      </c>
      <c r="F1518">
        <v>482.37889999999999</v>
      </c>
      <c r="G1518">
        <v>491.6687</v>
      </c>
      <c r="H1518">
        <v>494.5795</v>
      </c>
      <c r="I1518">
        <v>0.05</v>
      </c>
      <c r="J1518">
        <v>4.7E-2</v>
      </c>
      <c r="K1518">
        <v>5.2999999999999999E-2</v>
      </c>
      <c r="L1518">
        <v>2367.4</v>
      </c>
      <c r="M1518">
        <v>2376.8000000000002</v>
      </c>
      <c r="N1518">
        <v>2393.1999999999998</v>
      </c>
      <c r="Q1518">
        <f t="shared" si="96"/>
        <v>489.5</v>
      </c>
      <c r="R1518">
        <f t="shared" si="97"/>
        <v>489.6</v>
      </c>
      <c r="S1518">
        <f t="shared" si="98"/>
        <v>0</v>
      </c>
    </row>
    <row r="1519" spans="1:19" x14ac:dyDescent="0.25">
      <c r="A1519" s="2">
        <v>44917</v>
      </c>
      <c r="B1519" s="3">
        <v>356</v>
      </c>
      <c r="C1519" s="3">
        <v>300</v>
      </c>
      <c r="D1519">
        <v>489.53539999999998</v>
      </c>
      <c r="E1519">
        <v>0.05</v>
      </c>
      <c r="F1519">
        <v>482.38080000000002</v>
      </c>
      <c r="G1519">
        <v>491.60550000000001</v>
      </c>
      <c r="H1519">
        <v>494.6198</v>
      </c>
      <c r="I1519">
        <v>5.0999999999999997E-2</v>
      </c>
      <c r="J1519">
        <v>5.3999999999999999E-2</v>
      </c>
      <c r="K1519">
        <v>4.2999999999999997E-2</v>
      </c>
      <c r="L1519">
        <v>2367.4</v>
      </c>
      <c r="M1519">
        <v>2376.8000000000002</v>
      </c>
      <c r="N1519">
        <v>2393.1999999999998</v>
      </c>
      <c r="Q1519">
        <f t="shared" si="96"/>
        <v>489.5</v>
      </c>
      <c r="R1519">
        <f t="shared" si="97"/>
        <v>489.6</v>
      </c>
      <c r="S1519">
        <f t="shared" si="98"/>
        <v>0</v>
      </c>
    </row>
    <row r="1520" spans="1:19" x14ac:dyDescent="0.25">
      <c r="A1520" s="2">
        <v>44917</v>
      </c>
      <c r="B1520" s="3">
        <v>356</v>
      </c>
      <c r="C1520" s="3">
        <v>400</v>
      </c>
      <c r="D1520">
        <v>489.52260000000001</v>
      </c>
      <c r="E1520">
        <v>4.8000000000000001E-2</v>
      </c>
      <c r="F1520">
        <v>482.37700000000001</v>
      </c>
      <c r="G1520">
        <v>491.57100000000003</v>
      </c>
      <c r="H1520">
        <v>494.6198</v>
      </c>
      <c r="I1520">
        <v>0.05</v>
      </c>
      <c r="J1520">
        <v>5.0999999999999997E-2</v>
      </c>
      <c r="K1520">
        <v>4.2999999999999997E-2</v>
      </c>
      <c r="L1520">
        <v>2367.4</v>
      </c>
      <c r="M1520">
        <v>2376.6</v>
      </c>
      <c r="N1520">
        <v>2393.1999999999998</v>
      </c>
      <c r="Q1520">
        <f t="shared" si="96"/>
        <v>489.5</v>
      </c>
      <c r="R1520">
        <f t="shared" si="97"/>
        <v>489.6</v>
      </c>
      <c r="S1520">
        <f t="shared" si="98"/>
        <v>0</v>
      </c>
    </row>
    <row r="1521" spans="1:19" x14ac:dyDescent="0.25">
      <c r="A1521" s="2">
        <v>44917</v>
      </c>
      <c r="B1521" s="3">
        <v>356</v>
      </c>
      <c r="C1521" s="3">
        <v>500</v>
      </c>
      <c r="D1521">
        <v>489.5283</v>
      </c>
      <c r="E1521">
        <v>4.8000000000000001E-2</v>
      </c>
      <c r="F1521">
        <v>482.3827</v>
      </c>
      <c r="G1521">
        <v>491.57870000000003</v>
      </c>
      <c r="H1521">
        <v>494.62360000000001</v>
      </c>
      <c r="I1521">
        <v>5.1999999999999998E-2</v>
      </c>
      <c r="J1521">
        <v>5.2999999999999999E-2</v>
      </c>
      <c r="K1521">
        <v>3.9E-2</v>
      </c>
      <c r="L1521">
        <v>2367.6</v>
      </c>
      <c r="M1521">
        <v>2376.6</v>
      </c>
      <c r="N1521">
        <v>2393.1999999999998</v>
      </c>
      <c r="Q1521">
        <f t="shared" si="96"/>
        <v>489.5</v>
      </c>
      <c r="R1521">
        <f t="shared" si="97"/>
        <v>489.6</v>
      </c>
      <c r="S1521">
        <f t="shared" si="98"/>
        <v>0</v>
      </c>
    </row>
    <row r="1522" spans="1:19" x14ac:dyDescent="0.25">
      <c r="A1522" s="2">
        <v>44917</v>
      </c>
      <c r="B1522" s="3">
        <v>356</v>
      </c>
      <c r="C1522" s="3">
        <v>600</v>
      </c>
      <c r="D1522">
        <v>489.52769999999998</v>
      </c>
      <c r="E1522">
        <v>4.5999999999999999E-2</v>
      </c>
      <c r="F1522">
        <v>482.39980000000003</v>
      </c>
      <c r="G1522">
        <v>491.55950000000001</v>
      </c>
      <c r="H1522">
        <v>494.62360000000001</v>
      </c>
      <c r="I1522">
        <v>5.2999999999999999E-2</v>
      </c>
      <c r="J1522">
        <v>4.5999999999999999E-2</v>
      </c>
      <c r="K1522">
        <v>3.9E-2</v>
      </c>
      <c r="L1522">
        <v>2367.4</v>
      </c>
      <c r="M1522">
        <v>2376.6</v>
      </c>
      <c r="N1522">
        <v>2393.1999999999998</v>
      </c>
      <c r="Q1522">
        <f t="shared" si="96"/>
        <v>489.5</v>
      </c>
      <c r="R1522">
        <f t="shared" si="97"/>
        <v>489.6</v>
      </c>
      <c r="S1522">
        <f t="shared" si="98"/>
        <v>0</v>
      </c>
    </row>
    <row r="1523" spans="1:19" x14ac:dyDescent="0.25">
      <c r="A1523" s="2">
        <v>44917</v>
      </c>
      <c r="B1523" s="3">
        <v>356</v>
      </c>
      <c r="C1523" s="3">
        <v>700</v>
      </c>
      <c r="D1523">
        <v>489.5136</v>
      </c>
      <c r="E1523">
        <v>4.7E-2</v>
      </c>
      <c r="F1523">
        <v>482.3922</v>
      </c>
      <c r="G1523">
        <v>491.52890000000002</v>
      </c>
      <c r="H1523">
        <v>494.6198</v>
      </c>
      <c r="I1523">
        <v>5.2999999999999999E-2</v>
      </c>
      <c r="J1523">
        <v>4.4999999999999998E-2</v>
      </c>
      <c r="K1523">
        <v>4.2999999999999997E-2</v>
      </c>
      <c r="L1523">
        <v>2367.6</v>
      </c>
      <c r="M1523">
        <v>2376.6</v>
      </c>
      <c r="N1523">
        <v>2393.1999999999998</v>
      </c>
      <c r="Q1523">
        <f t="shared" si="96"/>
        <v>489.5</v>
      </c>
      <c r="R1523">
        <f t="shared" si="97"/>
        <v>489.6</v>
      </c>
      <c r="S1523">
        <f t="shared" si="98"/>
        <v>0</v>
      </c>
    </row>
    <row r="1524" spans="1:19" x14ac:dyDescent="0.25">
      <c r="A1524" s="2">
        <v>44917</v>
      </c>
      <c r="B1524" s="3">
        <v>356</v>
      </c>
      <c r="C1524" s="3">
        <v>800</v>
      </c>
      <c r="D1524">
        <v>489.50599999999997</v>
      </c>
      <c r="E1524">
        <v>5.2999999999999999E-2</v>
      </c>
      <c r="F1524">
        <v>482.3827</v>
      </c>
      <c r="G1524">
        <v>491.52890000000002</v>
      </c>
      <c r="H1524">
        <v>494.60640000000001</v>
      </c>
      <c r="I1524">
        <v>5.1999999999999998E-2</v>
      </c>
      <c r="J1524">
        <v>5.7000000000000002E-2</v>
      </c>
      <c r="K1524">
        <v>0.05</v>
      </c>
      <c r="L1524">
        <v>2367.6</v>
      </c>
      <c r="M1524">
        <v>2376.6</v>
      </c>
      <c r="N1524">
        <v>2393.1999999999998</v>
      </c>
      <c r="Q1524">
        <f t="shared" si="96"/>
        <v>489.5</v>
      </c>
      <c r="R1524">
        <f t="shared" si="97"/>
        <v>489.6</v>
      </c>
      <c r="S1524">
        <f t="shared" si="98"/>
        <v>0</v>
      </c>
    </row>
    <row r="1525" spans="1:19" x14ac:dyDescent="0.25">
      <c r="A1525" s="2">
        <v>44917</v>
      </c>
      <c r="B1525" s="3">
        <v>356</v>
      </c>
      <c r="C1525" s="3">
        <v>900</v>
      </c>
      <c r="D1525">
        <v>489.52190000000002</v>
      </c>
      <c r="E1525">
        <v>4.8000000000000001E-2</v>
      </c>
      <c r="F1525">
        <v>482.40550000000002</v>
      </c>
      <c r="G1525">
        <v>491.55380000000002</v>
      </c>
      <c r="H1525">
        <v>494.60640000000001</v>
      </c>
      <c r="I1525">
        <v>5.1999999999999998E-2</v>
      </c>
      <c r="J1525">
        <v>4.2999999999999997E-2</v>
      </c>
      <c r="K1525">
        <v>0.05</v>
      </c>
      <c r="L1525">
        <v>2367.4</v>
      </c>
      <c r="M1525">
        <v>2376.6</v>
      </c>
      <c r="N1525">
        <v>2393</v>
      </c>
      <c r="Q1525">
        <f t="shared" si="96"/>
        <v>489.5</v>
      </c>
      <c r="R1525">
        <f t="shared" si="97"/>
        <v>489.6</v>
      </c>
      <c r="S1525">
        <f t="shared" si="98"/>
        <v>0</v>
      </c>
    </row>
    <row r="1526" spans="1:19" x14ac:dyDescent="0.25">
      <c r="A1526" s="2">
        <v>44917</v>
      </c>
      <c r="B1526" s="3">
        <v>356</v>
      </c>
      <c r="C1526" s="3">
        <v>1000</v>
      </c>
      <c r="D1526">
        <v>489.4957</v>
      </c>
      <c r="E1526">
        <v>5.0999999999999997E-2</v>
      </c>
      <c r="F1526">
        <v>482.40550000000002</v>
      </c>
      <c r="G1526">
        <v>491.50779999999997</v>
      </c>
      <c r="H1526">
        <v>494.57380000000001</v>
      </c>
      <c r="I1526">
        <v>5.1999999999999998E-2</v>
      </c>
      <c r="J1526">
        <v>0.05</v>
      </c>
      <c r="K1526">
        <v>5.1999999999999998E-2</v>
      </c>
      <c r="L1526">
        <v>2367.6</v>
      </c>
      <c r="M1526">
        <v>2376.6</v>
      </c>
      <c r="N1526">
        <v>2393</v>
      </c>
      <c r="Q1526">
        <f t="shared" si="96"/>
        <v>489.5</v>
      </c>
      <c r="R1526">
        <f t="shared" si="97"/>
        <v>489.6</v>
      </c>
      <c r="S1526">
        <f t="shared" si="98"/>
        <v>0</v>
      </c>
    </row>
    <row r="1527" spans="1:19" x14ac:dyDescent="0.25">
      <c r="A1527" s="2">
        <v>44917</v>
      </c>
      <c r="B1527" s="3">
        <v>356</v>
      </c>
      <c r="C1527" s="3">
        <v>1100</v>
      </c>
      <c r="D1527">
        <v>489.55739999999997</v>
      </c>
      <c r="E1527">
        <v>4.5999999999999999E-2</v>
      </c>
      <c r="F1527">
        <v>482.48329999999999</v>
      </c>
      <c r="G1527">
        <v>491.5634</v>
      </c>
      <c r="H1527">
        <v>494.62549999999999</v>
      </c>
      <c r="I1527">
        <v>0.05</v>
      </c>
      <c r="J1527">
        <v>4.8000000000000001E-2</v>
      </c>
      <c r="K1527">
        <v>3.7999999999999999E-2</v>
      </c>
      <c r="L1527">
        <v>2367.6</v>
      </c>
      <c r="M1527">
        <v>2376.6</v>
      </c>
      <c r="N1527">
        <v>2393.1999999999998</v>
      </c>
      <c r="Q1527">
        <f t="shared" si="96"/>
        <v>489.6</v>
      </c>
      <c r="R1527">
        <f t="shared" si="97"/>
        <v>489.6</v>
      </c>
      <c r="S1527">
        <f t="shared" si="98"/>
        <v>0</v>
      </c>
    </row>
    <row r="1528" spans="1:19" x14ac:dyDescent="0.25">
      <c r="A1528" s="2">
        <v>44917</v>
      </c>
      <c r="B1528" s="3">
        <v>356</v>
      </c>
      <c r="C1528" s="3">
        <v>1200</v>
      </c>
      <c r="D1528">
        <v>489.476</v>
      </c>
      <c r="E1528">
        <v>5.1999999999999998E-2</v>
      </c>
      <c r="F1528">
        <v>482.38080000000002</v>
      </c>
      <c r="G1528">
        <v>491.47910000000002</v>
      </c>
      <c r="H1528">
        <v>494.56799999999998</v>
      </c>
      <c r="I1528">
        <v>5.0999999999999997E-2</v>
      </c>
      <c r="J1528">
        <v>5.3999999999999999E-2</v>
      </c>
      <c r="K1528">
        <v>0.05</v>
      </c>
      <c r="L1528">
        <v>2367.4</v>
      </c>
      <c r="M1528">
        <v>2376.4</v>
      </c>
      <c r="N1528">
        <v>2393</v>
      </c>
      <c r="Q1528">
        <f t="shared" si="96"/>
        <v>489.5</v>
      </c>
      <c r="R1528">
        <f t="shared" si="97"/>
        <v>489.6</v>
      </c>
      <c r="S1528">
        <f t="shared" si="98"/>
        <v>0</v>
      </c>
    </row>
    <row r="1529" spans="1:19" x14ac:dyDescent="0.25">
      <c r="A1529" s="2">
        <v>44917</v>
      </c>
      <c r="B1529" s="3">
        <v>356</v>
      </c>
      <c r="C1529" s="3">
        <v>1300</v>
      </c>
      <c r="D1529">
        <v>489.50139999999999</v>
      </c>
      <c r="E1529">
        <v>5.0999999999999997E-2</v>
      </c>
      <c r="F1529">
        <v>482.4169</v>
      </c>
      <c r="G1529">
        <v>491.49059999999997</v>
      </c>
      <c r="H1529">
        <v>494.59679999999997</v>
      </c>
      <c r="I1529">
        <v>4.9000000000000002E-2</v>
      </c>
      <c r="J1529">
        <v>5.1999999999999998E-2</v>
      </c>
      <c r="K1529">
        <v>5.2999999999999999E-2</v>
      </c>
      <c r="L1529">
        <v>2367.6</v>
      </c>
      <c r="M1529">
        <v>2376.4</v>
      </c>
      <c r="N1529">
        <v>2393</v>
      </c>
      <c r="Q1529">
        <f t="shared" si="96"/>
        <v>489.5</v>
      </c>
      <c r="R1529">
        <f t="shared" si="97"/>
        <v>489.6</v>
      </c>
      <c r="S1529">
        <f t="shared" si="98"/>
        <v>0</v>
      </c>
    </row>
    <row r="1530" spans="1:19" x14ac:dyDescent="0.25">
      <c r="A1530" s="2">
        <v>44917</v>
      </c>
      <c r="B1530" s="3">
        <v>356</v>
      </c>
      <c r="C1530" s="3">
        <v>1400</v>
      </c>
      <c r="D1530">
        <v>489.39260000000002</v>
      </c>
      <c r="E1530">
        <v>4.9000000000000002E-2</v>
      </c>
      <c r="F1530">
        <v>482.27449999999999</v>
      </c>
      <c r="G1530">
        <v>491.43119999999999</v>
      </c>
      <c r="H1530">
        <v>494.47219999999999</v>
      </c>
      <c r="I1530">
        <v>5.5E-2</v>
      </c>
      <c r="J1530">
        <v>3.6999999999999998E-2</v>
      </c>
      <c r="K1530">
        <v>5.2999999999999999E-2</v>
      </c>
      <c r="L1530">
        <v>2367.1999999999998</v>
      </c>
      <c r="M1530">
        <v>2376.4</v>
      </c>
      <c r="N1530">
        <v>2392.8000000000002</v>
      </c>
      <c r="Q1530">
        <f t="shared" si="96"/>
        <v>489.4</v>
      </c>
      <c r="R1530">
        <f t="shared" si="97"/>
        <v>489.6</v>
      </c>
      <c r="S1530">
        <f t="shared" si="98"/>
        <v>0</v>
      </c>
    </row>
    <row r="1531" spans="1:19" x14ac:dyDescent="0.25">
      <c r="A1531" s="2">
        <v>44917</v>
      </c>
      <c r="B1531" s="3">
        <v>356</v>
      </c>
      <c r="C1531" s="3">
        <v>1500</v>
      </c>
      <c r="D1531">
        <v>489.50080000000003</v>
      </c>
      <c r="E1531">
        <v>5.0999999999999997E-2</v>
      </c>
      <c r="F1531">
        <v>482.40929999999997</v>
      </c>
      <c r="G1531">
        <v>491.50400000000002</v>
      </c>
      <c r="H1531">
        <v>494.58909999999997</v>
      </c>
      <c r="I1531">
        <v>5.1999999999999998E-2</v>
      </c>
      <c r="J1531">
        <v>4.8000000000000001E-2</v>
      </c>
      <c r="K1531">
        <v>5.3999999999999999E-2</v>
      </c>
      <c r="L1531">
        <v>2367.6</v>
      </c>
      <c r="M1531">
        <v>2376.4</v>
      </c>
      <c r="N1531">
        <v>2393.1999999999998</v>
      </c>
      <c r="Q1531">
        <f t="shared" si="96"/>
        <v>489.5</v>
      </c>
      <c r="R1531">
        <f t="shared" si="97"/>
        <v>489.6</v>
      </c>
      <c r="S1531">
        <f t="shared" si="98"/>
        <v>0</v>
      </c>
    </row>
    <row r="1532" spans="1:19" x14ac:dyDescent="0.25">
      <c r="A1532" s="2">
        <v>44917</v>
      </c>
      <c r="B1532" s="3">
        <v>356</v>
      </c>
      <c r="C1532" s="3">
        <v>1600</v>
      </c>
      <c r="D1532">
        <v>489.48750000000001</v>
      </c>
      <c r="E1532">
        <v>4.8000000000000001E-2</v>
      </c>
      <c r="F1532">
        <v>482.37889999999999</v>
      </c>
      <c r="G1532">
        <v>491.5136</v>
      </c>
      <c r="H1532">
        <v>494.56990000000002</v>
      </c>
      <c r="I1532">
        <v>0.05</v>
      </c>
      <c r="J1532">
        <v>4.1000000000000002E-2</v>
      </c>
      <c r="K1532">
        <v>5.0999999999999997E-2</v>
      </c>
      <c r="L1532">
        <v>2367.4</v>
      </c>
      <c r="M1532">
        <v>2376.6</v>
      </c>
      <c r="N1532">
        <v>2393</v>
      </c>
      <c r="Q1532">
        <f t="shared" si="96"/>
        <v>489.5</v>
      </c>
      <c r="R1532">
        <f t="shared" si="97"/>
        <v>489.6</v>
      </c>
      <c r="S1532">
        <f t="shared" si="98"/>
        <v>0</v>
      </c>
    </row>
    <row r="1533" spans="1:19" x14ac:dyDescent="0.25">
      <c r="A1533" s="2">
        <v>44917</v>
      </c>
      <c r="B1533" s="3">
        <v>356</v>
      </c>
      <c r="C1533" s="3">
        <v>1700</v>
      </c>
      <c r="D1533">
        <v>489.47669999999999</v>
      </c>
      <c r="E1533">
        <v>3.5999999999999997E-2</v>
      </c>
      <c r="F1533">
        <v>482.35989999999998</v>
      </c>
      <c r="G1533">
        <v>491.52699999999999</v>
      </c>
      <c r="H1533">
        <v>494.54309999999998</v>
      </c>
      <c r="I1533">
        <v>3.9E-2</v>
      </c>
      <c r="J1533">
        <v>3.6999999999999998E-2</v>
      </c>
      <c r="K1533">
        <v>3.1E-2</v>
      </c>
      <c r="L1533">
        <v>2367.4</v>
      </c>
      <c r="M1533">
        <v>2376.6</v>
      </c>
      <c r="N1533">
        <v>2393</v>
      </c>
      <c r="Q1533">
        <f t="shared" si="96"/>
        <v>489.5</v>
      </c>
      <c r="R1533">
        <f t="shared" si="97"/>
        <v>489.6</v>
      </c>
      <c r="S1533">
        <f t="shared" si="98"/>
        <v>0</v>
      </c>
    </row>
    <row r="1534" spans="1:19" x14ac:dyDescent="0.25">
      <c r="A1534" s="2">
        <v>44917</v>
      </c>
      <c r="B1534" s="3">
        <v>356</v>
      </c>
      <c r="C1534" s="3">
        <v>1800</v>
      </c>
      <c r="D1534">
        <v>489.46969999999999</v>
      </c>
      <c r="E1534">
        <v>3.5999999999999997E-2</v>
      </c>
      <c r="F1534">
        <v>482.35039999999998</v>
      </c>
      <c r="G1534">
        <v>491.52510000000001</v>
      </c>
      <c r="H1534">
        <v>494.5335</v>
      </c>
      <c r="I1534">
        <v>3.4000000000000002E-2</v>
      </c>
      <c r="J1534">
        <v>4.9000000000000002E-2</v>
      </c>
      <c r="K1534">
        <v>0.02</v>
      </c>
      <c r="L1534">
        <v>2367.4</v>
      </c>
      <c r="M1534">
        <v>2376.6</v>
      </c>
      <c r="N1534">
        <v>2393</v>
      </c>
      <c r="Q1534">
        <f t="shared" si="96"/>
        <v>489.5</v>
      </c>
      <c r="R1534">
        <f t="shared" si="97"/>
        <v>489.6</v>
      </c>
      <c r="S1534">
        <f t="shared" si="98"/>
        <v>0</v>
      </c>
    </row>
    <row r="1535" spans="1:19" x14ac:dyDescent="0.25">
      <c r="A1535" s="2">
        <v>44917</v>
      </c>
      <c r="B1535" s="3">
        <v>356</v>
      </c>
      <c r="C1535" s="3">
        <v>1900</v>
      </c>
      <c r="D1535">
        <v>489.46269999999998</v>
      </c>
      <c r="E1535">
        <v>3.7999999999999999E-2</v>
      </c>
      <c r="F1535">
        <v>482.34469999999999</v>
      </c>
      <c r="G1535">
        <v>491.51549999999997</v>
      </c>
      <c r="H1535">
        <v>494.52780000000001</v>
      </c>
      <c r="I1535">
        <v>4.2999999999999997E-2</v>
      </c>
      <c r="J1535">
        <v>4.3999999999999997E-2</v>
      </c>
      <c r="K1535">
        <v>2.4E-2</v>
      </c>
      <c r="L1535">
        <v>2367.4</v>
      </c>
      <c r="M1535">
        <v>2376.4</v>
      </c>
      <c r="N1535">
        <v>2393</v>
      </c>
      <c r="Q1535">
        <f t="shared" si="96"/>
        <v>489.5</v>
      </c>
      <c r="R1535">
        <f t="shared" si="97"/>
        <v>489.6</v>
      </c>
      <c r="S1535">
        <f t="shared" si="98"/>
        <v>0</v>
      </c>
    </row>
    <row r="1536" spans="1:19" x14ac:dyDescent="0.25">
      <c r="A1536" s="2">
        <v>44917</v>
      </c>
      <c r="B1536" s="3">
        <v>356</v>
      </c>
      <c r="C1536" s="3">
        <v>2000</v>
      </c>
      <c r="D1536">
        <v>489.45119999999997</v>
      </c>
      <c r="E1536">
        <v>4.2999999999999997E-2</v>
      </c>
      <c r="F1536">
        <v>482.33710000000002</v>
      </c>
      <c r="G1536">
        <v>491.50400000000002</v>
      </c>
      <c r="H1536">
        <v>494.51249999999999</v>
      </c>
      <c r="I1536">
        <v>3.6999999999999998E-2</v>
      </c>
      <c r="J1536">
        <v>4.8000000000000001E-2</v>
      </c>
      <c r="K1536">
        <v>4.2999999999999997E-2</v>
      </c>
      <c r="L1536">
        <v>2367.4</v>
      </c>
      <c r="M1536">
        <v>2376.6</v>
      </c>
      <c r="N1536">
        <v>2393</v>
      </c>
      <c r="Q1536">
        <f t="shared" si="96"/>
        <v>489.5</v>
      </c>
      <c r="R1536">
        <f t="shared" si="97"/>
        <v>489.6</v>
      </c>
      <c r="S1536">
        <f t="shared" si="98"/>
        <v>0</v>
      </c>
    </row>
    <row r="1537" spans="1:19" x14ac:dyDescent="0.25">
      <c r="A1537" s="2">
        <v>44917</v>
      </c>
      <c r="B1537" s="3">
        <v>356</v>
      </c>
      <c r="C1537" s="3">
        <v>2100</v>
      </c>
      <c r="D1537">
        <v>489.47789999999998</v>
      </c>
      <c r="E1537">
        <v>3.9E-2</v>
      </c>
      <c r="F1537">
        <v>482.36559999999997</v>
      </c>
      <c r="G1537">
        <v>491.53469999999999</v>
      </c>
      <c r="H1537">
        <v>494.5335</v>
      </c>
      <c r="I1537">
        <v>4.8000000000000001E-2</v>
      </c>
      <c r="J1537">
        <v>3.2000000000000001E-2</v>
      </c>
      <c r="K1537">
        <v>3.5000000000000003E-2</v>
      </c>
      <c r="L1537">
        <v>2367.4</v>
      </c>
      <c r="M1537">
        <v>2376.6</v>
      </c>
      <c r="N1537">
        <v>2393</v>
      </c>
      <c r="Q1537">
        <f t="shared" si="96"/>
        <v>489.5</v>
      </c>
      <c r="R1537">
        <f t="shared" si="97"/>
        <v>489.6</v>
      </c>
      <c r="S1537">
        <f t="shared" si="98"/>
        <v>0</v>
      </c>
    </row>
    <row r="1538" spans="1:19" x14ac:dyDescent="0.25">
      <c r="A1538" s="2">
        <v>44917</v>
      </c>
      <c r="B1538" s="3">
        <v>356</v>
      </c>
      <c r="C1538" s="3">
        <v>2200</v>
      </c>
      <c r="D1538">
        <v>489.5136</v>
      </c>
      <c r="E1538">
        <v>5.1999999999999998E-2</v>
      </c>
      <c r="F1538">
        <v>482.39980000000003</v>
      </c>
      <c r="G1538">
        <v>491.57100000000003</v>
      </c>
      <c r="H1538">
        <v>494.56990000000002</v>
      </c>
      <c r="I1538">
        <v>5.2999999999999999E-2</v>
      </c>
      <c r="J1538">
        <v>5.0999999999999997E-2</v>
      </c>
      <c r="K1538">
        <v>5.0999999999999997E-2</v>
      </c>
      <c r="L1538">
        <v>2367.4</v>
      </c>
      <c r="M1538">
        <v>2376.6</v>
      </c>
      <c r="N1538">
        <v>2393</v>
      </c>
      <c r="Q1538">
        <f t="shared" si="96"/>
        <v>489.5</v>
      </c>
      <c r="R1538">
        <f t="shared" si="97"/>
        <v>489.6</v>
      </c>
      <c r="S1538">
        <f t="shared" si="98"/>
        <v>0</v>
      </c>
    </row>
    <row r="1539" spans="1:19" x14ac:dyDescent="0.25">
      <c r="A1539" s="2">
        <v>44917</v>
      </c>
      <c r="B1539" s="3">
        <v>356</v>
      </c>
      <c r="C1539" s="3">
        <v>2300</v>
      </c>
      <c r="D1539">
        <v>489.64400000000001</v>
      </c>
      <c r="E1539">
        <v>4.9000000000000002E-2</v>
      </c>
      <c r="F1539">
        <v>482.54399999999998</v>
      </c>
      <c r="G1539">
        <v>491.70119999999997</v>
      </c>
      <c r="H1539">
        <v>494.68689999999998</v>
      </c>
      <c r="I1539">
        <v>3.9E-2</v>
      </c>
      <c r="J1539">
        <v>5.2999999999999999E-2</v>
      </c>
      <c r="K1539">
        <v>5.2999999999999999E-2</v>
      </c>
      <c r="L1539">
        <v>2367.8000000000002</v>
      </c>
      <c r="M1539">
        <v>2377</v>
      </c>
      <c r="N1539">
        <v>2393.1999999999998</v>
      </c>
      <c r="Q1539">
        <f t="shared" si="96"/>
        <v>489.6</v>
      </c>
      <c r="R1539">
        <f t="shared" si="97"/>
        <v>489.6</v>
      </c>
      <c r="S1539">
        <f t="shared" si="98"/>
        <v>0</v>
      </c>
    </row>
    <row r="1540" spans="1:19" x14ac:dyDescent="0.25">
      <c r="A1540" s="2">
        <v>44917</v>
      </c>
      <c r="B1540" s="3">
        <v>356</v>
      </c>
      <c r="C1540" s="3">
        <v>2400</v>
      </c>
      <c r="D1540">
        <v>489.82479999999998</v>
      </c>
      <c r="E1540">
        <v>3.4000000000000002E-2</v>
      </c>
      <c r="F1540">
        <v>482.75659999999999</v>
      </c>
      <c r="G1540">
        <v>491.86399999999998</v>
      </c>
      <c r="H1540">
        <v>494.85390000000001</v>
      </c>
      <c r="I1540">
        <v>4.2999999999999997E-2</v>
      </c>
      <c r="J1540">
        <v>3.1E-2</v>
      </c>
      <c r="K1540">
        <v>2.5000000000000001E-2</v>
      </c>
      <c r="L1540">
        <v>2368.1999999999998</v>
      </c>
      <c r="M1540">
        <v>2377.1999999999998</v>
      </c>
      <c r="N1540">
        <v>2393.6</v>
      </c>
      <c r="Q1540">
        <f t="shared" si="96"/>
        <v>489.8</v>
      </c>
      <c r="R1540">
        <f t="shared" si="97"/>
        <v>489.8</v>
      </c>
      <c r="S1540">
        <f t="shared" si="98"/>
        <v>0.19999999999998863</v>
      </c>
    </row>
    <row r="1541" spans="1:19" x14ac:dyDescent="0.25">
      <c r="A1541" s="2">
        <v>44918</v>
      </c>
      <c r="B1541" s="3">
        <v>357</v>
      </c>
      <c r="C1541" s="3">
        <v>100</v>
      </c>
      <c r="D1541">
        <v>490.49400000000003</v>
      </c>
      <c r="E1541">
        <v>4.8000000000000001E-2</v>
      </c>
      <c r="F1541">
        <v>483.54849999999999</v>
      </c>
      <c r="G1541">
        <v>492.39089999999999</v>
      </c>
      <c r="H1541">
        <v>495.54259999999999</v>
      </c>
      <c r="I1541">
        <v>0.05</v>
      </c>
      <c r="J1541">
        <v>3.5000000000000003E-2</v>
      </c>
      <c r="K1541">
        <v>5.6000000000000001E-2</v>
      </c>
      <c r="L1541">
        <v>2369.8000000000002</v>
      </c>
      <c r="M1541">
        <v>2378.1999999999998</v>
      </c>
      <c r="N1541">
        <v>2395</v>
      </c>
      <c r="Q1541">
        <f t="shared" si="96"/>
        <v>490.5</v>
      </c>
      <c r="R1541">
        <f t="shared" si="97"/>
        <v>490.5</v>
      </c>
      <c r="S1541">
        <f t="shared" si="98"/>
        <v>0.69999999999998863</v>
      </c>
    </row>
    <row r="1542" spans="1:19" x14ac:dyDescent="0.25">
      <c r="A1542" s="2">
        <v>44918</v>
      </c>
      <c r="B1542" s="3">
        <v>357</v>
      </c>
      <c r="C1542" s="3">
        <v>200</v>
      </c>
      <c r="D1542">
        <v>491.56760000000003</v>
      </c>
      <c r="E1542">
        <v>4.8000000000000001E-2</v>
      </c>
      <c r="F1542">
        <v>484.82</v>
      </c>
      <c r="G1542">
        <v>493.24779999999998</v>
      </c>
      <c r="H1542">
        <v>496.63499999999999</v>
      </c>
      <c r="I1542">
        <v>5.1999999999999998E-2</v>
      </c>
      <c r="J1542">
        <v>3.7999999999999999E-2</v>
      </c>
      <c r="K1542">
        <v>5.2999999999999999E-2</v>
      </c>
      <c r="L1542">
        <v>2372</v>
      </c>
      <c r="M1542">
        <v>2379.8000000000002</v>
      </c>
      <c r="N1542">
        <v>2397</v>
      </c>
      <c r="Q1542">
        <f t="shared" si="96"/>
        <v>491.6</v>
      </c>
      <c r="R1542">
        <f t="shared" si="97"/>
        <v>491.6</v>
      </c>
      <c r="S1542">
        <f t="shared" si="98"/>
        <v>1.1000000000000227</v>
      </c>
    </row>
    <row r="1543" spans="1:19" x14ac:dyDescent="0.25">
      <c r="A1543" s="2">
        <v>44918</v>
      </c>
      <c r="B1543" s="3">
        <v>357</v>
      </c>
      <c r="C1543" s="3">
        <v>300</v>
      </c>
      <c r="D1543">
        <v>491.85629999999998</v>
      </c>
      <c r="E1543">
        <v>4.5999999999999999E-2</v>
      </c>
      <c r="F1543">
        <v>485.18900000000002</v>
      </c>
      <c r="G1543">
        <v>493.46839999999997</v>
      </c>
      <c r="H1543">
        <v>496.91160000000002</v>
      </c>
      <c r="I1543">
        <v>5.3999999999999999E-2</v>
      </c>
      <c r="J1543">
        <v>3.5000000000000003E-2</v>
      </c>
      <c r="K1543">
        <v>4.5999999999999999E-2</v>
      </c>
      <c r="L1543">
        <v>2372.8000000000002</v>
      </c>
      <c r="M1543">
        <v>2380.1999999999998</v>
      </c>
      <c r="N1543">
        <v>2397.6</v>
      </c>
      <c r="Q1543">
        <f t="shared" si="96"/>
        <v>491.9</v>
      </c>
      <c r="R1543">
        <f t="shared" si="97"/>
        <v>491.9</v>
      </c>
      <c r="S1543">
        <f t="shared" si="98"/>
        <v>0.29999999999995453</v>
      </c>
    </row>
    <row r="1544" spans="1:19" x14ac:dyDescent="0.25">
      <c r="A1544" s="2">
        <v>44918</v>
      </c>
      <c r="B1544" s="3">
        <v>357</v>
      </c>
      <c r="C1544" s="3">
        <v>400</v>
      </c>
      <c r="D1544">
        <v>492.43970000000002</v>
      </c>
      <c r="E1544">
        <v>4.5999999999999999E-2</v>
      </c>
      <c r="F1544">
        <v>485.94819999999999</v>
      </c>
      <c r="G1544">
        <v>493.87119999999999</v>
      </c>
      <c r="H1544">
        <v>497.49970000000002</v>
      </c>
      <c r="I1544">
        <v>4.1000000000000002E-2</v>
      </c>
      <c r="J1544">
        <v>4.3999999999999997E-2</v>
      </c>
      <c r="K1544">
        <v>5.2999999999999999E-2</v>
      </c>
      <c r="L1544">
        <v>2374.1999999999998</v>
      </c>
      <c r="M1544">
        <v>2381</v>
      </c>
      <c r="N1544">
        <v>2398.6</v>
      </c>
      <c r="Q1544">
        <f t="shared" si="96"/>
        <v>492.4</v>
      </c>
      <c r="R1544">
        <f t="shared" si="97"/>
        <v>492.4</v>
      </c>
      <c r="S1544">
        <f t="shared" si="98"/>
        <v>0.5</v>
      </c>
    </row>
    <row r="1545" spans="1:19" x14ac:dyDescent="0.25">
      <c r="A1545" s="2">
        <v>44918</v>
      </c>
      <c r="B1545" s="3">
        <v>357</v>
      </c>
      <c r="C1545" s="3">
        <v>500</v>
      </c>
      <c r="D1545">
        <v>492.9117</v>
      </c>
      <c r="E1545">
        <v>4.7E-2</v>
      </c>
      <c r="F1545">
        <v>486.56509999999997</v>
      </c>
      <c r="G1545">
        <v>494.1859</v>
      </c>
      <c r="H1545">
        <v>497.98410000000001</v>
      </c>
      <c r="I1545">
        <v>0.05</v>
      </c>
      <c r="J1545">
        <v>4.9000000000000002E-2</v>
      </c>
      <c r="K1545">
        <v>4.2000000000000003E-2</v>
      </c>
      <c r="L1545">
        <v>2375.4</v>
      </c>
      <c r="M1545">
        <v>2381.6</v>
      </c>
      <c r="N1545">
        <v>2399.4</v>
      </c>
      <c r="Q1545">
        <f t="shared" si="96"/>
        <v>492.9</v>
      </c>
      <c r="R1545">
        <f t="shared" si="97"/>
        <v>492.9</v>
      </c>
      <c r="S1545">
        <f t="shared" si="98"/>
        <v>0.5</v>
      </c>
    </row>
    <row r="1546" spans="1:19" x14ac:dyDescent="0.25">
      <c r="A1546" s="2">
        <v>44918</v>
      </c>
      <c r="B1546" s="3">
        <v>357</v>
      </c>
      <c r="C1546" s="3">
        <v>600</v>
      </c>
      <c r="D1546">
        <v>493.62270000000001</v>
      </c>
      <c r="E1546">
        <v>5.2999999999999999E-2</v>
      </c>
      <c r="F1546">
        <v>487.52539999999999</v>
      </c>
      <c r="G1546">
        <v>494.58519999999999</v>
      </c>
      <c r="H1546">
        <v>498.75749999999999</v>
      </c>
      <c r="I1546">
        <v>5.8000000000000003E-2</v>
      </c>
      <c r="J1546">
        <v>5.2999999999999999E-2</v>
      </c>
      <c r="K1546">
        <v>4.8000000000000001E-2</v>
      </c>
      <c r="L1546">
        <v>2377.1999999999998</v>
      </c>
      <c r="M1546">
        <v>2382.4</v>
      </c>
      <c r="N1546">
        <v>2400.8000000000002</v>
      </c>
      <c r="Q1546">
        <f t="shared" si="96"/>
        <v>493.6</v>
      </c>
      <c r="R1546">
        <f t="shared" si="97"/>
        <v>493.6</v>
      </c>
      <c r="S1546">
        <f t="shared" si="98"/>
        <v>0.70000000000004547</v>
      </c>
    </row>
    <row r="1547" spans="1:19" x14ac:dyDescent="0.25">
      <c r="A1547" s="2">
        <v>44918</v>
      </c>
      <c r="B1547" s="3">
        <v>357</v>
      </c>
      <c r="C1547" s="3">
        <v>700</v>
      </c>
      <c r="D1547">
        <v>494.08429999999998</v>
      </c>
      <c r="E1547">
        <v>4.8000000000000001E-2</v>
      </c>
      <c r="F1547">
        <v>488.1583</v>
      </c>
      <c r="G1547">
        <v>494.83100000000002</v>
      </c>
      <c r="H1547">
        <v>499.26369999999997</v>
      </c>
      <c r="I1547">
        <v>5.2999999999999999E-2</v>
      </c>
      <c r="J1547">
        <v>4.9000000000000002E-2</v>
      </c>
      <c r="K1547">
        <v>4.1000000000000002E-2</v>
      </c>
      <c r="L1547">
        <v>2378.4</v>
      </c>
      <c r="M1547">
        <v>2382.8000000000002</v>
      </c>
      <c r="N1547">
        <v>2401.8000000000002</v>
      </c>
      <c r="Q1547">
        <f t="shared" si="96"/>
        <v>494.1</v>
      </c>
      <c r="R1547">
        <f t="shared" si="97"/>
        <v>494.1</v>
      </c>
      <c r="S1547">
        <f t="shared" si="98"/>
        <v>0.5</v>
      </c>
    </row>
    <row r="1548" spans="1:19" x14ac:dyDescent="0.25">
      <c r="A1548" s="2">
        <v>44918</v>
      </c>
      <c r="B1548" s="3">
        <v>357</v>
      </c>
      <c r="C1548" s="3">
        <v>800</v>
      </c>
      <c r="D1548">
        <v>494.7072</v>
      </c>
      <c r="E1548">
        <v>4.8000000000000001E-2</v>
      </c>
      <c r="F1548">
        <v>489.00920000000002</v>
      </c>
      <c r="G1548">
        <v>495.1728</v>
      </c>
      <c r="H1548">
        <v>499.93950000000001</v>
      </c>
      <c r="I1548">
        <v>5.2999999999999999E-2</v>
      </c>
      <c r="J1548">
        <v>3.9E-2</v>
      </c>
      <c r="K1548">
        <v>0.05</v>
      </c>
      <c r="L1548">
        <v>2379.8000000000002</v>
      </c>
      <c r="M1548">
        <v>2383.4</v>
      </c>
      <c r="N1548">
        <v>2403</v>
      </c>
      <c r="Q1548">
        <f t="shared" si="96"/>
        <v>494.7</v>
      </c>
      <c r="R1548">
        <f t="shared" si="97"/>
        <v>494.7</v>
      </c>
      <c r="S1548">
        <f t="shared" si="98"/>
        <v>0.59999999999996589</v>
      </c>
    </row>
    <row r="1549" spans="1:19" x14ac:dyDescent="0.25">
      <c r="A1549" s="2">
        <v>44918</v>
      </c>
      <c r="B1549" s="3">
        <v>357</v>
      </c>
      <c r="C1549" s="3">
        <v>900</v>
      </c>
      <c r="D1549">
        <v>495.13479999999998</v>
      </c>
      <c r="E1549">
        <v>0.05</v>
      </c>
      <c r="F1549">
        <v>489.60860000000002</v>
      </c>
      <c r="G1549">
        <v>495.40910000000002</v>
      </c>
      <c r="H1549">
        <v>500.38650000000001</v>
      </c>
      <c r="I1549">
        <v>5.6000000000000001E-2</v>
      </c>
      <c r="J1549">
        <v>4.2000000000000003E-2</v>
      </c>
      <c r="K1549">
        <v>5.1999999999999998E-2</v>
      </c>
      <c r="L1549">
        <v>2381</v>
      </c>
      <c r="M1549">
        <v>2383.8000000000002</v>
      </c>
      <c r="N1549">
        <v>2403.8000000000002</v>
      </c>
      <c r="Q1549">
        <f t="shared" si="96"/>
        <v>495.1</v>
      </c>
      <c r="R1549">
        <f t="shared" si="97"/>
        <v>495.1</v>
      </c>
      <c r="S1549">
        <f t="shared" si="98"/>
        <v>0.40000000000003411</v>
      </c>
    </row>
    <row r="1550" spans="1:19" x14ac:dyDescent="0.25">
      <c r="A1550" s="2">
        <v>44918</v>
      </c>
      <c r="B1550" s="3">
        <v>357</v>
      </c>
      <c r="C1550" s="3">
        <v>1000</v>
      </c>
      <c r="D1550">
        <v>495.35910000000001</v>
      </c>
      <c r="E1550">
        <v>5.0999999999999997E-2</v>
      </c>
      <c r="F1550">
        <v>489.89890000000003</v>
      </c>
      <c r="G1550">
        <v>495.56849999999997</v>
      </c>
      <c r="H1550">
        <v>500.61</v>
      </c>
      <c r="I1550">
        <v>4.5999999999999999E-2</v>
      </c>
      <c r="J1550">
        <v>5.2999999999999999E-2</v>
      </c>
      <c r="K1550">
        <v>5.3999999999999999E-2</v>
      </c>
      <c r="L1550">
        <v>2381.6</v>
      </c>
      <c r="M1550">
        <v>2384</v>
      </c>
      <c r="N1550">
        <v>2404.4</v>
      </c>
      <c r="Q1550">
        <f t="shared" si="96"/>
        <v>495.4</v>
      </c>
      <c r="R1550">
        <f t="shared" si="97"/>
        <v>495.4</v>
      </c>
      <c r="S1550">
        <f t="shared" si="98"/>
        <v>0.29999999999995453</v>
      </c>
    </row>
    <row r="1551" spans="1:19" x14ac:dyDescent="0.25">
      <c r="A1551" s="2">
        <v>44918</v>
      </c>
      <c r="B1551" s="3">
        <v>357</v>
      </c>
      <c r="C1551" s="3">
        <v>1100</v>
      </c>
      <c r="D1551">
        <v>495.66030000000001</v>
      </c>
      <c r="E1551">
        <v>0.05</v>
      </c>
      <c r="F1551">
        <v>490.30369999999999</v>
      </c>
      <c r="G1551">
        <v>495.77229999999997</v>
      </c>
      <c r="H1551">
        <v>500.90499999999997</v>
      </c>
      <c r="I1551">
        <v>5.5E-2</v>
      </c>
      <c r="J1551">
        <v>5.3999999999999999E-2</v>
      </c>
      <c r="K1551">
        <v>4.1000000000000002E-2</v>
      </c>
      <c r="L1551">
        <v>2382.4</v>
      </c>
      <c r="M1551">
        <v>2384.6</v>
      </c>
      <c r="N1551">
        <v>2404.8000000000002</v>
      </c>
      <c r="Q1551">
        <f t="shared" si="96"/>
        <v>495.7</v>
      </c>
      <c r="R1551">
        <f t="shared" si="97"/>
        <v>495.7</v>
      </c>
      <c r="S1551">
        <f t="shared" si="98"/>
        <v>0.30000000000001137</v>
      </c>
    </row>
    <row r="1552" spans="1:19" x14ac:dyDescent="0.25">
      <c r="A1552" s="2">
        <v>44918</v>
      </c>
      <c r="B1552" s="3">
        <v>357</v>
      </c>
      <c r="C1552" s="3">
        <v>1200</v>
      </c>
      <c r="D1552">
        <v>495.86689999999999</v>
      </c>
      <c r="E1552">
        <v>0.05</v>
      </c>
      <c r="F1552">
        <v>490.6</v>
      </c>
      <c r="G1552">
        <v>495.88959999999997</v>
      </c>
      <c r="H1552">
        <v>501.1112</v>
      </c>
      <c r="I1552">
        <v>5.2999999999999999E-2</v>
      </c>
      <c r="J1552">
        <v>5.2999999999999999E-2</v>
      </c>
      <c r="K1552">
        <v>4.2000000000000003E-2</v>
      </c>
      <c r="L1552">
        <v>2382.8000000000002</v>
      </c>
      <c r="M1552">
        <v>2384.6</v>
      </c>
      <c r="N1552">
        <v>2405.1999999999998</v>
      </c>
      <c r="Q1552">
        <f t="shared" si="96"/>
        <v>495.9</v>
      </c>
      <c r="R1552">
        <f t="shared" si="97"/>
        <v>495.9</v>
      </c>
      <c r="S1552">
        <f t="shared" si="98"/>
        <v>0.19999999999998863</v>
      </c>
    </row>
    <row r="1553" spans="1:19" x14ac:dyDescent="0.25">
      <c r="A1553" s="2">
        <v>44918</v>
      </c>
      <c r="B1553" s="3">
        <v>357</v>
      </c>
      <c r="C1553" s="3">
        <v>1300</v>
      </c>
      <c r="D1553">
        <v>495.9941</v>
      </c>
      <c r="E1553">
        <v>5.1999999999999998E-2</v>
      </c>
      <c r="F1553">
        <v>490.78339999999997</v>
      </c>
      <c r="G1553">
        <v>495.97019999999998</v>
      </c>
      <c r="H1553">
        <v>501.22879999999998</v>
      </c>
      <c r="I1553">
        <v>5.0999999999999997E-2</v>
      </c>
      <c r="J1553">
        <v>6.0999999999999999E-2</v>
      </c>
      <c r="K1553">
        <v>4.1000000000000002E-2</v>
      </c>
      <c r="L1553">
        <v>2383.1999999999998</v>
      </c>
      <c r="M1553">
        <v>2385</v>
      </c>
      <c r="N1553">
        <v>2405.6</v>
      </c>
      <c r="Q1553">
        <f t="shared" si="96"/>
        <v>496</v>
      </c>
      <c r="R1553">
        <f t="shared" si="97"/>
        <v>496</v>
      </c>
      <c r="S1553">
        <f t="shared" si="98"/>
        <v>0.10000000000002274</v>
      </c>
    </row>
    <row r="1554" spans="1:19" x14ac:dyDescent="0.25">
      <c r="A1554" s="2">
        <v>44918</v>
      </c>
      <c r="B1554" s="3">
        <v>357</v>
      </c>
      <c r="C1554" s="3">
        <v>1400</v>
      </c>
      <c r="D1554">
        <v>496.12090000000001</v>
      </c>
      <c r="E1554">
        <v>0.05</v>
      </c>
      <c r="F1554">
        <v>490.93830000000003</v>
      </c>
      <c r="G1554">
        <v>496.07589999999999</v>
      </c>
      <c r="H1554">
        <v>501.34840000000003</v>
      </c>
      <c r="I1554">
        <v>5.2999999999999999E-2</v>
      </c>
      <c r="J1554">
        <v>4.9000000000000002E-2</v>
      </c>
      <c r="K1554">
        <v>4.9000000000000002E-2</v>
      </c>
      <c r="L1554">
        <v>2383.6</v>
      </c>
      <c r="M1554">
        <v>2385</v>
      </c>
      <c r="N1554">
        <v>2405.8000000000002</v>
      </c>
      <c r="Q1554">
        <f t="shared" si="96"/>
        <v>496.1</v>
      </c>
      <c r="R1554">
        <f t="shared" si="97"/>
        <v>496.1</v>
      </c>
      <c r="S1554">
        <f t="shared" si="98"/>
        <v>0.10000000000002274</v>
      </c>
    </row>
    <row r="1555" spans="1:19" x14ac:dyDescent="0.25">
      <c r="A1555" s="2">
        <v>44918</v>
      </c>
      <c r="B1555" s="3">
        <v>357</v>
      </c>
      <c r="C1555" s="3">
        <v>1500</v>
      </c>
      <c r="D1555">
        <v>496.41079999999999</v>
      </c>
      <c r="E1555">
        <v>5.1999999999999998E-2</v>
      </c>
      <c r="F1555">
        <v>491.23020000000002</v>
      </c>
      <c r="G1555">
        <v>496.32850000000002</v>
      </c>
      <c r="H1555">
        <v>501.6737</v>
      </c>
      <c r="I1555">
        <v>5.3999999999999999E-2</v>
      </c>
      <c r="J1555">
        <v>5.1999999999999998E-2</v>
      </c>
      <c r="K1555">
        <v>4.9000000000000002E-2</v>
      </c>
      <c r="L1555">
        <v>2384</v>
      </c>
      <c r="M1555">
        <v>2385.6</v>
      </c>
      <c r="N1555">
        <v>2406.4</v>
      </c>
      <c r="Q1555">
        <f t="shared" ref="Q1555:Q1618" si="99">ROUND(D1555,1)</f>
        <v>496.4</v>
      </c>
      <c r="R1555">
        <f t="shared" si="97"/>
        <v>496.4</v>
      </c>
      <c r="S1555">
        <f t="shared" si="98"/>
        <v>0.29999999999995453</v>
      </c>
    </row>
    <row r="1556" spans="1:19" x14ac:dyDescent="0.25">
      <c r="A1556" s="2">
        <v>44918</v>
      </c>
      <c r="B1556" s="3">
        <v>357</v>
      </c>
      <c r="C1556" s="3">
        <v>1600</v>
      </c>
      <c r="D1556">
        <v>496.73930000000001</v>
      </c>
      <c r="E1556">
        <v>5.1999999999999998E-2</v>
      </c>
      <c r="F1556">
        <v>491.55520000000001</v>
      </c>
      <c r="G1556">
        <v>496.6497</v>
      </c>
      <c r="H1556">
        <v>502.01299999999998</v>
      </c>
      <c r="I1556">
        <v>5.0999999999999997E-2</v>
      </c>
      <c r="J1556">
        <v>5.1999999999999998E-2</v>
      </c>
      <c r="K1556">
        <v>5.3999999999999999E-2</v>
      </c>
      <c r="L1556">
        <v>2384.8000000000002</v>
      </c>
      <c r="M1556">
        <v>2386</v>
      </c>
      <c r="N1556">
        <v>2407</v>
      </c>
      <c r="Q1556">
        <f t="shared" si="99"/>
        <v>496.7</v>
      </c>
      <c r="R1556">
        <f t="shared" si="97"/>
        <v>496.7</v>
      </c>
      <c r="S1556">
        <f t="shared" si="98"/>
        <v>0.30000000000001137</v>
      </c>
    </row>
    <row r="1557" spans="1:19" x14ac:dyDescent="0.25">
      <c r="A1557" s="2">
        <v>44918</v>
      </c>
      <c r="B1557" s="3">
        <v>357</v>
      </c>
      <c r="C1557" s="3">
        <v>1700</v>
      </c>
      <c r="D1557">
        <v>496.71469999999999</v>
      </c>
      <c r="E1557">
        <v>4.8000000000000001E-2</v>
      </c>
      <c r="F1557">
        <v>491.45830000000001</v>
      </c>
      <c r="G1557">
        <v>496.73160000000001</v>
      </c>
      <c r="H1557">
        <v>501.95409999999998</v>
      </c>
      <c r="I1557">
        <v>5.2999999999999999E-2</v>
      </c>
      <c r="J1557">
        <v>5.1999999999999998E-2</v>
      </c>
      <c r="K1557">
        <v>3.9E-2</v>
      </c>
      <c r="L1557">
        <v>2384.6</v>
      </c>
      <c r="M1557">
        <v>2386.1999999999998</v>
      </c>
      <c r="N1557">
        <v>2406.8000000000002</v>
      </c>
      <c r="Q1557">
        <f t="shared" si="99"/>
        <v>496.7</v>
      </c>
      <c r="R1557">
        <f t="shared" si="97"/>
        <v>496.7</v>
      </c>
      <c r="S1557">
        <f t="shared" si="98"/>
        <v>0</v>
      </c>
    </row>
    <row r="1558" spans="1:19" x14ac:dyDescent="0.25">
      <c r="A1558" s="2">
        <v>44918</v>
      </c>
      <c r="B1558" s="3">
        <v>357</v>
      </c>
      <c r="C1558" s="3">
        <v>1800</v>
      </c>
      <c r="D1558">
        <v>496.74340000000001</v>
      </c>
      <c r="E1558">
        <v>4.4999999999999998E-2</v>
      </c>
      <c r="F1558">
        <v>491.4966</v>
      </c>
      <c r="G1558">
        <v>496.77390000000003</v>
      </c>
      <c r="H1558">
        <v>501.95979999999997</v>
      </c>
      <c r="I1558">
        <v>4.2999999999999997E-2</v>
      </c>
      <c r="J1558">
        <v>0.05</v>
      </c>
      <c r="K1558">
        <v>4.2999999999999997E-2</v>
      </c>
      <c r="L1558">
        <v>2384.6</v>
      </c>
      <c r="M1558">
        <v>2386.1999999999998</v>
      </c>
      <c r="N1558">
        <v>2406.8000000000002</v>
      </c>
      <c r="Q1558">
        <f t="shared" si="99"/>
        <v>496.7</v>
      </c>
      <c r="R1558">
        <f t="shared" si="97"/>
        <v>496.7</v>
      </c>
      <c r="S1558">
        <f t="shared" si="98"/>
        <v>0</v>
      </c>
    </row>
    <row r="1559" spans="1:19" x14ac:dyDescent="0.25">
      <c r="A1559" s="2">
        <v>44918</v>
      </c>
      <c r="B1559" s="3">
        <v>357</v>
      </c>
      <c r="C1559" s="3">
        <v>1900</v>
      </c>
      <c r="D1559">
        <v>498.39600000000002</v>
      </c>
      <c r="E1559">
        <v>5.2999999999999999E-2</v>
      </c>
      <c r="F1559">
        <v>493.68450000000001</v>
      </c>
      <c r="G1559">
        <v>497.66480000000001</v>
      </c>
      <c r="H1559">
        <v>503.83859999999999</v>
      </c>
      <c r="I1559">
        <v>5.2999999999999999E-2</v>
      </c>
      <c r="J1559">
        <v>5.3999999999999999E-2</v>
      </c>
      <c r="K1559">
        <v>5.0999999999999997E-2</v>
      </c>
      <c r="L1559">
        <v>2388.8000000000002</v>
      </c>
      <c r="M1559">
        <v>2387.8000000000002</v>
      </c>
      <c r="N1559">
        <v>2410.4</v>
      </c>
      <c r="Q1559">
        <f t="shared" si="99"/>
        <v>498.4</v>
      </c>
      <c r="R1559">
        <f t="shared" si="97"/>
        <v>498.4</v>
      </c>
      <c r="S1559">
        <f t="shared" si="98"/>
        <v>1.6999999999999886</v>
      </c>
    </row>
    <row r="1560" spans="1:19" x14ac:dyDescent="0.25">
      <c r="A1560" s="2">
        <v>44918</v>
      </c>
      <c r="B1560" s="3">
        <v>357</v>
      </c>
      <c r="C1560" s="3">
        <v>2000</v>
      </c>
      <c r="D1560">
        <v>498.04640000000001</v>
      </c>
      <c r="E1560">
        <v>4.7E-2</v>
      </c>
      <c r="F1560">
        <v>493.30520000000001</v>
      </c>
      <c r="G1560">
        <v>497.44540000000001</v>
      </c>
      <c r="H1560">
        <v>503.38839999999999</v>
      </c>
      <c r="I1560">
        <v>5.3999999999999999E-2</v>
      </c>
      <c r="J1560">
        <v>3.5000000000000003E-2</v>
      </c>
      <c r="K1560">
        <v>4.9000000000000002E-2</v>
      </c>
      <c r="L1560">
        <v>2388</v>
      </c>
      <c r="M1560">
        <v>2387.6</v>
      </c>
      <c r="N1560">
        <v>2409.4</v>
      </c>
      <c r="Q1560">
        <f t="shared" si="99"/>
        <v>498</v>
      </c>
      <c r="R1560">
        <f t="shared" si="97"/>
        <v>498.4</v>
      </c>
      <c r="S1560">
        <f t="shared" si="98"/>
        <v>0</v>
      </c>
    </row>
    <row r="1561" spans="1:19" x14ac:dyDescent="0.25">
      <c r="A1561" s="2">
        <v>44918</v>
      </c>
      <c r="B1561" s="3">
        <v>357</v>
      </c>
      <c r="C1561" s="3">
        <v>2100</v>
      </c>
      <c r="D1561">
        <v>497.16460000000001</v>
      </c>
      <c r="E1561">
        <v>5.6000000000000001E-2</v>
      </c>
      <c r="F1561">
        <v>490.83760000000001</v>
      </c>
      <c r="G1561">
        <v>497.21480000000003</v>
      </c>
      <c r="H1561">
        <v>503.44130000000001</v>
      </c>
      <c r="I1561">
        <v>5.0999999999999997E-2</v>
      </c>
      <c r="J1561">
        <v>5.8999999999999997E-2</v>
      </c>
      <c r="K1561">
        <v>5.8999999999999997E-2</v>
      </c>
      <c r="L1561">
        <v>2383.4</v>
      </c>
      <c r="M1561">
        <v>2387.1999999999998</v>
      </c>
      <c r="N1561">
        <v>2409.4</v>
      </c>
      <c r="Q1561">
        <f t="shared" si="99"/>
        <v>497.2</v>
      </c>
      <c r="R1561">
        <f t="shared" si="97"/>
        <v>498.4</v>
      </c>
      <c r="S1561">
        <f t="shared" si="98"/>
        <v>0</v>
      </c>
    </row>
    <row r="1562" spans="1:19" x14ac:dyDescent="0.25">
      <c r="A1562" s="2">
        <v>44918</v>
      </c>
      <c r="B1562" s="3">
        <v>357</v>
      </c>
      <c r="C1562" s="3">
        <v>2200</v>
      </c>
      <c r="D1562">
        <v>496.9119</v>
      </c>
      <c r="E1562">
        <v>5.1999999999999998E-2</v>
      </c>
      <c r="F1562">
        <v>489.74329999999998</v>
      </c>
      <c r="G1562">
        <v>498.23790000000002</v>
      </c>
      <c r="H1562">
        <v>502.75439999999998</v>
      </c>
      <c r="I1562">
        <v>5.2999999999999999E-2</v>
      </c>
      <c r="J1562">
        <v>5.5E-2</v>
      </c>
      <c r="K1562">
        <v>4.9000000000000002E-2</v>
      </c>
      <c r="L1562">
        <v>2381.1999999999998</v>
      </c>
      <c r="M1562">
        <v>2389.1999999999998</v>
      </c>
      <c r="N1562">
        <v>2408.1999999999998</v>
      </c>
      <c r="Q1562">
        <f t="shared" si="99"/>
        <v>496.9</v>
      </c>
      <c r="R1562">
        <f t="shared" si="97"/>
        <v>498.4</v>
      </c>
      <c r="S1562">
        <f t="shared" si="98"/>
        <v>0</v>
      </c>
    </row>
    <row r="1563" spans="1:19" x14ac:dyDescent="0.25">
      <c r="A1563" s="2">
        <v>44918</v>
      </c>
      <c r="B1563" s="3">
        <v>357</v>
      </c>
      <c r="C1563" s="3">
        <v>2300</v>
      </c>
      <c r="D1563">
        <v>498.8954</v>
      </c>
      <c r="E1563">
        <v>4.3999999999999997E-2</v>
      </c>
      <c r="F1563">
        <v>491.41989999999998</v>
      </c>
      <c r="G1563">
        <v>501.30689999999998</v>
      </c>
      <c r="H1563">
        <v>503.95949999999999</v>
      </c>
      <c r="I1563">
        <v>0.03</v>
      </c>
      <c r="J1563">
        <v>4.4999999999999998E-2</v>
      </c>
      <c r="K1563">
        <v>5.3999999999999999E-2</v>
      </c>
      <c r="L1563">
        <v>2384.4</v>
      </c>
      <c r="M1563">
        <v>2394.6</v>
      </c>
      <c r="N1563">
        <v>2410.6</v>
      </c>
      <c r="Q1563">
        <f t="shared" si="99"/>
        <v>498.9</v>
      </c>
      <c r="R1563">
        <f t="shared" si="97"/>
        <v>498.9</v>
      </c>
      <c r="S1563">
        <f t="shared" si="98"/>
        <v>0.5</v>
      </c>
    </row>
    <row r="1564" spans="1:19" x14ac:dyDescent="0.25">
      <c r="A1564" s="2">
        <v>44918</v>
      </c>
      <c r="B1564" s="3">
        <v>357</v>
      </c>
      <c r="C1564" s="3">
        <v>2400</v>
      </c>
      <c r="D1564">
        <v>498.8845</v>
      </c>
      <c r="E1564">
        <v>4.8000000000000001E-2</v>
      </c>
      <c r="F1564">
        <v>491.47250000000003</v>
      </c>
      <c r="G1564">
        <v>501.21210000000002</v>
      </c>
      <c r="H1564">
        <v>503.96899999999999</v>
      </c>
      <c r="I1564">
        <v>5.2999999999999999E-2</v>
      </c>
      <c r="J1564">
        <v>3.3000000000000002E-2</v>
      </c>
      <c r="K1564">
        <v>5.3999999999999999E-2</v>
      </c>
      <c r="L1564">
        <v>2384.4</v>
      </c>
      <c r="M1564">
        <v>2394.6</v>
      </c>
      <c r="N1564">
        <v>2410.6</v>
      </c>
      <c r="Q1564">
        <f t="shared" si="99"/>
        <v>498.9</v>
      </c>
      <c r="R1564">
        <f t="shared" si="97"/>
        <v>498.9</v>
      </c>
      <c r="S1564">
        <f t="shared" si="98"/>
        <v>0</v>
      </c>
    </row>
    <row r="1565" spans="1:19" x14ac:dyDescent="0.25">
      <c r="A1565" s="2">
        <v>44919</v>
      </c>
      <c r="B1565" s="3">
        <v>358</v>
      </c>
      <c r="C1565" s="3">
        <v>100</v>
      </c>
      <c r="D1565">
        <v>498.89640000000003</v>
      </c>
      <c r="E1565">
        <v>4.8000000000000001E-2</v>
      </c>
      <c r="F1565">
        <v>491.52699999999999</v>
      </c>
      <c r="G1565">
        <v>501.18169999999998</v>
      </c>
      <c r="H1565">
        <v>503.98039999999997</v>
      </c>
      <c r="I1565">
        <v>3.5999999999999997E-2</v>
      </c>
      <c r="J1565">
        <v>5.2999999999999999E-2</v>
      </c>
      <c r="K1565">
        <v>5.1999999999999998E-2</v>
      </c>
      <c r="L1565">
        <v>2384.6</v>
      </c>
      <c r="M1565">
        <v>2394.4</v>
      </c>
      <c r="N1565">
        <v>2410.6</v>
      </c>
      <c r="Q1565">
        <f t="shared" si="99"/>
        <v>498.9</v>
      </c>
      <c r="R1565">
        <f t="shared" si="97"/>
        <v>498.9</v>
      </c>
      <c r="S1565">
        <f t="shared" si="98"/>
        <v>0</v>
      </c>
    </row>
    <row r="1566" spans="1:19" x14ac:dyDescent="0.25">
      <c r="A1566" s="2">
        <v>44919</v>
      </c>
      <c r="B1566" s="3">
        <v>358</v>
      </c>
      <c r="C1566" s="3">
        <v>200</v>
      </c>
      <c r="D1566">
        <v>498.95620000000002</v>
      </c>
      <c r="E1566">
        <v>4.5999999999999999E-2</v>
      </c>
      <c r="F1566">
        <v>491.60969999999998</v>
      </c>
      <c r="G1566">
        <v>501.26710000000003</v>
      </c>
      <c r="H1566">
        <v>503.99180000000001</v>
      </c>
      <c r="I1566">
        <v>3.6999999999999998E-2</v>
      </c>
      <c r="J1566">
        <v>5.2999999999999999E-2</v>
      </c>
      <c r="K1566">
        <v>4.8000000000000001E-2</v>
      </c>
      <c r="L1566">
        <v>2384.8000000000002</v>
      </c>
      <c r="M1566">
        <v>2394.8000000000002</v>
      </c>
      <c r="N1566">
        <v>2410.6</v>
      </c>
      <c r="Q1566">
        <f t="shared" si="99"/>
        <v>499</v>
      </c>
      <c r="R1566">
        <f t="shared" si="97"/>
        <v>499</v>
      </c>
      <c r="S1566">
        <f t="shared" si="98"/>
        <v>0.10000000000002274</v>
      </c>
    </row>
    <row r="1567" spans="1:19" x14ac:dyDescent="0.25">
      <c r="A1567" s="2">
        <v>44919</v>
      </c>
      <c r="B1567" s="3">
        <v>358</v>
      </c>
      <c r="C1567" s="3">
        <v>300</v>
      </c>
      <c r="D1567">
        <v>498.81630000000001</v>
      </c>
      <c r="E1567">
        <v>4.4999999999999998E-2</v>
      </c>
      <c r="F1567">
        <v>491.4556</v>
      </c>
      <c r="G1567">
        <v>501.07920000000001</v>
      </c>
      <c r="H1567">
        <v>503.91390000000001</v>
      </c>
      <c r="I1567">
        <v>5.7000000000000002E-2</v>
      </c>
      <c r="J1567">
        <v>5.0999999999999997E-2</v>
      </c>
      <c r="K1567">
        <v>1.4E-2</v>
      </c>
      <c r="L1567">
        <v>2384.4</v>
      </c>
      <c r="M1567">
        <v>2394.1999999999998</v>
      </c>
      <c r="N1567">
        <v>2410.4</v>
      </c>
      <c r="Q1567">
        <f t="shared" si="99"/>
        <v>498.8</v>
      </c>
      <c r="R1567">
        <f t="shared" si="97"/>
        <v>499</v>
      </c>
      <c r="S1567">
        <f t="shared" si="98"/>
        <v>0</v>
      </c>
    </row>
    <row r="1568" spans="1:19" x14ac:dyDescent="0.25">
      <c r="A1568" s="2">
        <v>44919</v>
      </c>
      <c r="B1568" s="3">
        <v>358</v>
      </c>
      <c r="C1568" s="3">
        <v>400</v>
      </c>
      <c r="D1568">
        <v>498.8408</v>
      </c>
      <c r="E1568">
        <v>4.8000000000000001E-2</v>
      </c>
      <c r="F1568">
        <v>491.50259999999997</v>
      </c>
      <c r="G1568">
        <v>501.10199999999998</v>
      </c>
      <c r="H1568">
        <v>503.91770000000002</v>
      </c>
      <c r="I1568">
        <v>4.2000000000000003E-2</v>
      </c>
      <c r="J1568">
        <v>6.7000000000000004E-2</v>
      </c>
      <c r="K1568">
        <v>2.4E-2</v>
      </c>
      <c r="L1568">
        <v>2384.6</v>
      </c>
      <c r="M1568">
        <v>2394.4</v>
      </c>
      <c r="N1568">
        <v>2410.4</v>
      </c>
      <c r="Q1568">
        <f t="shared" si="99"/>
        <v>498.8</v>
      </c>
      <c r="R1568">
        <f t="shared" si="97"/>
        <v>499</v>
      </c>
      <c r="S1568">
        <f t="shared" si="98"/>
        <v>0</v>
      </c>
    </row>
    <row r="1569" spans="1:19" x14ac:dyDescent="0.25">
      <c r="A1569" s="2">
        <v>44919</v>
      </c>
      <c r="B1569" s="3">
        <v>358</v>
      </c>
      <c r="C1569" s="3">
        <v>500</v>
      </c>
      <c r="D1569">
        <v>498.8338</v>
      </c>
      <c r="E1569">
        <v>4.5999999999999999E-2</v>
      </c>
      <c r="F1569">
        <v>491.4932</v>
      </c>
      <c r="G1569">
        <v>501.09249999999997</v>
      </c>
      <c r="H1569">
        <v>503.91579999999999</v>
      </c>
      <c r="I1569">
        <v>4.4999999999999998E-2</v>
      </c>
      <c r="J1569">
        <v>6.3E-2</v>
      </c>
      <c r="K1569">
        <v>0.02</v>
      </c>
      <c r="L1569">
        <v>2384.4</v>
      </c>
      <c r="M1569">
        <v>2394.1999999999998</v>
      </c>
      <c r="N1569">
        <v>2410.4</v>
      </c>
      <c r="Q1569">
        <f t="shared" si="99"/>
        <v>498.8</v>
      </c>
      <c r="R1569">
        <f t="shared" si="97"/>
        <v>499</v>
      </c>
      <c r="S1569">
        <f t="shared" si="98"/>
        <v>0</v>
      </c>
    </row>
    <row r="1570" spans="1:19" x14ac:dyDescent="0.25">
      <c r="A1570" s="2">
        <v>44919</v>
      </c>
      <c r="B1570" s="3">
        <v>358</v>
      </c>
      <c r="C1570" s="3">
        <v>600</v>
      </c>
      <c r="D1570">
        <v>498.85140000000001</v>
      </c>
      <c r="E1570">
        <v>4.5999999999999999E-2</v>
      </c>
      <c r="F1570">
        <v>491.52140000000003</v>
      </c>
      <c r="G1570">
        <v>501.10199999999998</v>
      </c>
      <c r="H1570">
        <v>503.93099999999998</v>
      </c>
      <c r="I1570">
        <v>4.4999999999999998E-2</v>
      </c>
      <c r="J1570">
        <v>4.5999999999999999E-2</v>
      </c>
      <c r="K1570">
        <v>4.5999999999999999E-2</v>
      </c>
      <c r="L1570">
        <v>2384.6</v>
      </c>
      <c r="M1570">
        <v>2394.4</v>
      </c>
      <c r="N1570">
        <v>2410.4</v>
      </c>
      <c r="Q1570">
        <f t="shared" si="99"/>
        <v>498.9</v>
      </c>
      <c r="R1570">
        <f t="shared" ref="R1570:R1633" si="100">ROUND(IF(Q1570&lt;R1569,R1569,Q1570),1)</f>
        <v>499</v>
      </c>
      <c r="S1570">
        <f t="shared" si="98"/>
        <v>0</v>
      </c>
    </row>
    <row r="1571" spans="1:19" x14ac:dyDescent="0.25">
      <c r="A1571" s="2">
        <v>44919</v>
      </c>
      <c r="B1571" s="3">
        <v>358</v>
      </c>
      <c r="C1571" s="3">
        <v>700</v>
      </c>
      <c r="D1571">
        <v>498.90699999999998</v>
      </c>
      <c r="E1571">
        <v>4.3999999999999997E-2</v>
      </c>
      <c r="F1571">
        <v>491.5797</v>
      </c>
      <c r="G1571">
        <v>501.13420000000002</v>
      </c>
      <c r="H1571">
        <v>504.00700000000001</v>
      </c>
      <c r="I1571">
        <v>5.2999999999999999E-2</v>
      </c>
      <c r="J1571">
        <v>4.1000000000000002E-2</v>
      </c>
      <c r="K1571">
        <v>3.5999999999999997E-2</v>
      </c>
      <c r="L1571">
        <v>2384.8000000000002</v>
      </c>
      <c r="M1571">
        <v>2394.6</v>
      </c>
      <c r="N1571">
        <v>2410.6</v>
      </c>
      <c r="Q1571">
        <f t="shared" si="99"/>
        <v>498.9</v>
      </c>
      <c r="R1571">
        <f t="shared" si="100"/>
        <v>499</v>
      </c>
      <c r="S1571">
        <f t="shared" si="98"/>
        <v>0</v>
      </c>
    </row>
    <row r="1572" spans="1:19" x14ac:dyDescent="0.25">
      <c r="A1572" s="2">
        <v>44919</v>
      </c>
      <c r="B1572" s="3">
        <v>358</v>
      </c>
      <c r="C1572" s="3">
        <v>800</v>
      </c>
      <c r="D1572">
        <v>499.09480000000002</v>
      </c>
      <c r="E1572">
        <v>5.0999999999999997E-2</v>
      </c>
      <c r="F1572">
        <v>491.77319999999997</v>
      </c>
      <c r="G1572">
        <v>501.31639999999999</v>
      </c>
      <c r="H1572">
        <v>504.19499999999999</v>
      </c>
      <c r="I1572">
        <v>5.1999999999999998E-2</v>
      </c>
      <c r="J1572">
        <v>4.7E-2</v>
      </c>
      <c r="K1572">
        <v>5.2999999999999999E-2</v>
      </c>
      <c r="L1572">
        <v>2385.1999999999998</v>
      </c>
      <c r="M1572">
        <v>2394.8000000000002</v>
      </c>
      <c r="N1572">
        <v>2410.8000000000002</v>
      </c>
      <c r="Q1572">
        <f t="shared" si="99"/>
        <v>499.1</v>
      </c>
      <c r="R1572">
        <f t="shared" si="100"/>
        <v>499.1</v>
      </c>
      <c r="S1572">
        <f t="shared" si="98"/>
        <v>0.10000000000002274</v>
      </c>
    </row>
    <row r="1573" spans="1:19" x14ac:dyDescent="0.25">
      <c r="A1573" s="2">
        <v>44919</v>
      </c>
      <c r="B1573" s="3">
        <v>358</v>
      </c>
      <c r="C1573" s="3">
        <v>900</v>
      </c>
      <c r="D1573">
        <v>499.16669999999999</v>
      </c>
      <c r="E1573">
        <v>4.7E-2</v>
      </c>
      <c r="F1573">
        <v>491.83890000000002</v>
      </c>
      <c r="G1573">
        <v>501.3922</v>
      </c>
      <c r="H1573">
        <v>504.26900000000001</v>
      </c>
      <c r="I1573">
        <v>3.5000000000000003E-2</v>
      </c>
      <c r="J1573">
        <v>5.3999999999999999E-2</v>
      </c>
      <c r="K1573">
        <v>4.9000000000000002E-2</v>
      </c>
      <c r="L1573">
        <v>2385.1999999999998</v>
      </c>
      <c r="M1573">
        <v>2394.8000000000002</v>
      </c>
      <c r="N1573">
        <v>2411</v>
      </c>
      <c r="Q1573">
        <f t="shared" si="99"/>
        <v>499.2</v>
      </c>
      <c r="R1573">
        <f t="shared" si="100"/>
        <v>499.2</v>
      </c>
      <c r="S1573">
        <f t="shared" ref="S1573:S1636" si="101">IF(R1573&gt;R1572,R1573-R1572,0)</f>
        <v>9.9999999999965894E-2</v>
      </c>
    </row>
    <row r="1574" spans="1:19" x14ac:dyDescent="0.25">
      <c r="A1574" s="2">
        <v>44919</v>
      </c>
      <c r="B1574" s="3">
        <v>358</v>
      </c>
      <c r="C1574" s="3">
        <v>1000</v>
      </c>
      <c r="D1574">
        <v>499.2115</v>
      </c>
      <c r="E1574">
        <v>4.8000000000000001E-2</v>
      </c>
      <c r="F1574">
        <v>491.88589999999999</v>
      </c>
      <c r="G1574">
        <v>501.42829999999998</v>
      </c>
      <c r="H1574">
        <v>504.32029999999997</v>
      </c>
      <c r="I1574">
        <v>5.2999999999999999E-2</v>
      </c>
      <c r="J1574">
        <v>4.3999999999999997E-2</v>
      </c>
      <c r="K1574">
        <v>4.4999999999999998E-2</v>
      </c>
      <c r="L1574">
        <v>2385.4</v>
      </c>
      <c r="M1574">
        <v>2394.8000000000002</v>
      </c>
      <c r="N1574">
        <v>2411.1999999999998</v>
      </c>
      <c r="Q1574">
        <f t="shared" si="99"/>
        <v>499.2</v>
      </c>
      <c r="R1574">
        <f t="shared" si="100"/>
        <v>499.2</v>
      </c>
      <c r="S1574">
        <f t="shared" si="101"/>
        <v>0</v>
      </c>
    </row>
    <row r="1575" spans="1:19" x14ac:dyDescent="0.25">
      <c r="A1575" s="2">
        <v>44919</v>
      </c>
      <c r="B1575" s="3">
        <v>358</v>
      </c>
      <c r="C1575" s="3">
        <v>1100</v>
      </c>
      <c r="D1575">
        <v>499.67950000000002</v>
      </c>
      <c r="E1575">
        <v>6.7000000000000004E-2</v>
      </c>
      <c r="F1575">
        <v>492.35019999999997</v>
      </c>
      <c r="G1575">
        <v>501.9083</v>
      </c>
      <c r="H1575">
        <v>504.78</v>
      </c>
      <c r="I1575">
        <v>6.4000000000000001E-2</v>
      </c>
      <c r="J1575">
        <v>6.8000000000000005E-2</v>
      </c>
      <c r="K1575">
        <v>6.9000000000000006E-2</v>
      </c>
      <c r="L1575">
        <v>2386.4</v>
      </c>
      <c r="M1575">
        <v>2396</v>
      </c>
      <c r="N1575">
        <v>2412.1999999999998</v>
      </c>
      <c r="Q1575">
        <f t="shared" si="99"/>
        <v>499.7</v>
      </c>
      <c r="R1575">
        <f t="shared" si="100"/>
        <v>499.7</v>
      </c>
      <c r="S1575">
        <f t="shared" si="101"/>
        <v>0.5</v>
      </c>
    </row>
    <row r="1576" spans="1:19" x14ac:dyDescent="0.25">
      <c r="A1576" s="2">
        <v>44919</v>
      </c>
      <c r="B1576" s="3">
        <v>358</v>
      </c>
      <c r="C1576" s="3">
        <v>1200</v>
      </c>
      <c r="D1576">
        <v>500.4375</v>
      </c>
      <c r="E1576">
        <v>4.7E-2</v>
      </c>
      <c r="F1576">
        <v>493.09320000000002</v>
      </c>
      <c r="G1576">
        <v>502.67899999999997</v>
      </c>
      <c r="H1576">
        <v>505.54020000000003</v>
      </c>
      <c r="I1576">
        <v>4.9000000000000002E-2</v>
      </c>
      <c r="J1576">
        <v>5.3999999999999999E-2</v>
      </c>
      <c r="K1576">
        <v>3.5000000000000003E-2</v>
      </c>
      <c r="L1576">
        <v>2387.6</v>
      </c>
      <c r="M1576">
        <v>2397.4</v>
      </c>
      <c r="N1576">
        <v>2413.4</v>
      </c>
      <c r="Q1576">
        <f t="shared" si="99"/>
        <v>500.4</v>
      </c>
      <c r="R1576">
        <f t="shared" si="100"/>
        <v>500.4</v>
      </c>
      <c r="S1576">
        <f t="shared" si="101"/>
        <v>0.69999999999998863</v>
      </c>
    </row>
    <row r="1577" spans="1:19" x14ac:dyDescent="0.25">
      <c r="A1577" s="2">
        <v>44919</v>
      </c>
      <c r="B1577" s="3">
        <v>358</v>
      </c>
      <c r="C1577" s="3">
        <v>1300</v>
      </c>
      <c r="D1577">
        <v>500.43310000000002</v>
      </c>
      <c r="E1577">
        <v>4.8000000000000001E-2</v>
      </c>
      <c r="F1577">
        <v>493.07819999999998</v>
      </c>
      <c r="G1577">
        <v>502.67140000000001</v>
      </c>
      <c r="H1577">
        <v>505.54969999999997</v>
      </c>
      <c r="I1577">
        <v>5.2999999999999999E-2</v>
      </c>
      <c r="J1577">
        <v>5.2999999999999999E-2</v>
      </c>
      <c r="K1577">
        <v>3.5999999999999997E-2</v>
      </c>
      <c r="L1577">
        <v>2387.4</v>
      </c>
      <c r="M1577">
        <v>2397.4</v>
      </c>
      <c r="N1577">
        <v>2413.4</v>
      </c>
      <c r="Q1577">
        <f t="shared" si="99"/>
        <v>500.4</v>
      </c>
      <c r="R1577">
        <f t="shared" si="100"/>
        <v>500.4</v>
      </c>
      <c r="S1577">
        <f t="shared" si="101"/>
        <v>0</v>
      </c>
    </row>
    <row r="1578" spans="1:19" x14ac:dyDescent="0.25">
      <c r="A1578" s="2">
        <v>44919</v>
      </c>
      <c r="B1578" s="3">
        <v>358</v>
      </c>
      <c r="C1578" s="3">
        <v>1400</v>
      </c>
      <c r="D1578">
        <v>500.46730000000002</v>
      </c>
      <c r="E1578">
        <v>4.9000000000000002E-2</v>
      </c>
      <c r="F1578">
        <v>493.08569999999997</v>
      </c>
      <c r="G1578">
        <v>502.72269999999997</v>
      </c>
      <c r="H1578">
        <v>505.59339999999997</v>
      </c>
      <c r="I1578">
        <v>5.1999999999999998E-2</v>
      </c>
      <c r="J1578">
        <v>3.7999999999999999E-2</v>
      </c>
      <c r="K1578">
        <v>5.3999999999999999E-2</v>
      </c>
      <c r="L1578">
        <v>2387.6</v>
      </c>
      <c r="M1578">
        <v>2397.1999999999998</v>
      </c>
      <c r="N1578">
        <v>2413.4</v>
      </c>
      <c r="Q1578">
        <f t="shared" si="99"/>
        <v>500.5</v>
      </c>
      <c r="R1578">
        <f t="shared" si="100"/>
        <v>500.5</v>
      </c>
      <c r="S1578">
        <f t="shared" si="101"/>
        <v>0.10000000000002274</v>
      </c>
    </row>
    <row r="1579" spans="1:19" x14ac:dyDescent="0.25">
      <c r="A1579" s="2">
        <v>44919</v>
      </c>
      <c r="B1579" s="3">
        <v>358</v>
      </c>
      <c r="C1579" s="3">
        <v>1500</v>
      </c>
      <c r="D1579">
        <v>500.49360000000001</v>
      </c>
      <c r="E1579">
        <v>5.0999999999999997E-2</v>
      </c>
      <c r="F1579">
        <v>493.17219999999998</v>
      </c>
      <c r="G1579">
        <v>502.69229999999999</v>
      </c>
      <c r="H1579">
        <v>505.61630000000002</v>
      </c>
      <c r="I1579">
        <v>5.2999999999999999E-2</v>
      </c>
      <c r="J1579">
        <v>5.2999999999999999E-2</v>
      </c>
      <c r="K1579">
        <v>4.8000000000000001E-2</v>
      </c>
      <c r="L1579">
        <v>2387.6</v>
      </c>
      <c r="M1579">
        <v>2397.4</v>
      </c>
      <c r="N1579">
        <v>2413.6</v>
      </c>
      <c r="Q1579">
        <f t="shared" si="99"/>
        <v>500.5</v>
      </c>
      <c r="R1579">
        <f t="shared" si="100"/>
        <v>500.5</v>
      </c>
      <c r="S1579">
        <f t="shared" si="101"/>
        <v>0</v>
      </c>
    </row>
    <row r="1580" spans="1:19" x14ac:dyDescent="0.25">
      <c r="A1580" s="2">
        <v>44919</v>
      </c>
      <c r="B1580" s="3">
        <v>358</v>
      </c>
      <c r="C1580" s="3">
        <v>1600</v>
      </c>
      <c r="D1580">
        <v>500.4547</v>
      </c>
      <c r="E1580">
        <v>5.2999999999999999E-2</v>
      </c>
      <c r="F1580">
        <v>493.07440000000003</v>
      </c>
      <c r="G1580">
        <v>502.67899999999997</v>
      </c>
      <c r="H1580">
        <v>505.61059999999998</v>
      </c>
      <c r="I1580">
        <v>5.3999999999999999E-2</v>
      </c>
      <c r="J1580">
        <v>5.3999999999999999E-2</v>
      </c>
      <c r="K1580">
        <v>0.05</v>
      </c>
      <c r="L1580">
        <v>2387.4</v>
      </c>
      <c r="M1580">
        <v>2397.1999999999998</v>
      </c>
      <c r="N1580">
        <v>2413.4</v>
      </c>
      <c r="Q1580">
        <f t="shared" si="99"/>
        <v>500.5</v>
      </c>
      <c r="R1580">
        <f t="shared" si="100"/>
        <v>500.5</v>
      </c>
      <c r="S1580">
        <f t="shared" si="101"/>
        <v>0</v>
      </c>
    </row>
    <row r="1581" spans="1:19" x14ac:dyDescent="0.25">
      <c r="A1581" s="2">
        <v>44919</v>
      </c>
      <c r="B1581" s="3">
        <v>358</v>
      </c>
      <c r="C1581" s="3">
        <v>1700</v>
      </c>
      <c r="D1581">
        <v>500.53919999999999</v>
      </c>
      <c r="E1581">
        <v>4.7E-2</v>
      </c>
      <c r="F1581">
        <v>493.18729999999999</v>
      </c>
      <c r="G1581">
        <v>502.774</v>
      </c>
      <c r="H1581">
        <v>505.65629999999999</v>
      </c>
      <c r="I1581">
        <v>5.2999999999999999E-2</v>
      </c>
      <c r="J1581">
        <v>5.0999999999999997E-2</v>
      </c>
      <c r="K1581">
        <v>3.3000000000000002E-2</v>
      </c>
      <c r="L1581">
        <v>2387.6</v>
      </c>
      <c r="M1581">
        <v>2397.4</v>
      </c>
      <c r="N1581">
        <v>2413.6</v>
      </c>
      <c r="Q1581">
        <f t="shared" si="99"/>
        <v>500.5</v>
      </c>
      <c r="R1581">
        <f t="shared" si="100"/>
        <v>500.5</v>
      </c>
      <c r="S1581">
        <f t="shared" si="101"/>
        <v>0</v>
      </c>
    </row>
    <row r="1582" spans="1:19" x14ac:dyDescent="0.25">
      <c r="A1582" s="2">
        <v>44919</v>
      </c>
      <c r="B1582" s="3">
        <v>358</v>
      </c>
      <c r="C1582" s="3">
        <v>1800</v>
      </c>
      <c r="D1582">
        <v>500.55430000000001</v>
      </c>
      <c r="E1582">
        <v>4.9000000000000002E-2</v>
      </c>
      <c r="F1582">
        <v>493.1986</v>
      </c>
      <c r="G1582">
        <v>502.80059999999997</v>
      </c>
      <c r="H1582">
        <v>505.66379999999998</v>
      </c>
      <c r="I1582">
        <v>0.05</v>
      </c>
      <c r="J1582">
        <v>5.3999999999999999E-2</v>
      </c>
      <c r="K1582">
        <v>4.1000000000000002E-2</v>
      </c>
      <c r="L1582">
        <v>2387.8000000000002</v>
      </c>
      <c r="M1582">
        <v>2397.4</v>
      </c>
      <c r="N1582">
        <v>2413.6</v>
      </c>
      <c r="Q1582">
        <f t="shared" si="99"/>
        <v>500.6</v>
      </c>
      <c r="R1582">
        <f t="shared" si="100"/>
        <v>500.6</v>
      </c>
      <c r="S1582">
        <f t="shared" si="101"/>
        <v>0.10000000000002274</v>
      </c>
    </row>
    <row r="1583" spans="1:19" x14ac:dyDescent="0.25">
      <c r="A1583" s="2">
        <v>44919</v>
      </c>
      <c r="B1583" s="3">
        <v>358</v>
      </c>
      <c r="C1583" s="3">
        <v>1900</v>
      </c>
      <c r="D1583">
        <v>500.95650000000001</v>
      </c>
      <c r="E1583">
        <v>4.4999999999999998E-2</v>
      </c>
      <c r="F1583">
        <v>493.59559999999999</v>
      </c>
      <c r="G1583">
        <v>503.20319999999998</v>
      </c>
      <c r="H1583">
        <v>506.07069999999999</v>
      </c>
      <c r="I1583">
        <v>5.1999999999999998E-2</v>
      </c>
      <c r="J1583">
        <v>0.05</v>
      </c>
      <c r="K1583">
        <v>2.8000000000000001E-2</v>
      </c>
      <c r="L1583">
        <v>2388.4</v>
      </c>
      <c r="M1583">
        <v>2398.4</v>
      </c>
      <c r="N1583">
        <v>2414.4</v>
      </c>
      <c r="Q1583">
        <f t="shared" si="99"/>
        <v>501</v>
      </c>
      <c r="R1583">
        <f t="shared" si="100"/>
        <v>501</v>
      </c>
      <c r="S1583">
        <f t="shared" si="101"/>
        <v>0.39999999999997726</v>
      </c>
    </row>
    <row r="1584" spans="1:19" x14ac:dyDescent="0.25">
      <c r="A1584" s="2">
        <v>44919</v>
      </c>
      <c r="B1584" s="3">
        <v>358</v>
      </c>
      <c r="C1584" s="3">
        <v>2000</v>
      </c>
      <c r="D1584">
        <v>501.0335</v>
      </c>
      <c r="E1584">
        <v>4.8000000000000001E-2</v>
      </c>
      <c r="F1584">
        <v>493.69349999999997</v>
      </c>
      <c r="G1584">
        <v>503.26589999999999</v>
      </c>
      <c r="H1584">
        <v>506.14109999999999</v>
      </c>
      <c r="I1584">
        <v>4.9000000000000002E-2</v>
      </c>
      <c r="J1584">
        <v>4.1000000000000002E-2</v>
      </c>
      <c r="K1584">
        <v>5.3999999999999999E-2</v>
      </c>
      <c r="L1584">
        <v>2388.6</v>
      </c>
      <c r="M1584">
        <v>2398.4</v>
      </c>
      <c r="N1584">
        <v>2414.6</v>
      </c>
      <c r="Q1584">
        <f t="shared" si="99"/>
        <v>501</v>
      </c>
      <c r="R1584">
        <f t="shared" si="100"/>
        <v>501</v>
      </c>
      <c r="S1584">
        <f t="shared" si="101"/>
        <v>0</v>
      </c>
    </row>
    <row r="1585" spans="1:19" x14ac:dyDescent="0.25">
      <c r="A1585" s="2">
        <v>44919</v>
      </c>
      <c r="B1585" s="3">
        <v>358</v>
      </c>
      <c r="C1585" s="3">
        <v>2100</v>
      </c>
      <c r="D1585">
        <v>501.72669999999999</v>
      </c>
      <c r="E1585">
        <v>4.4999999999999998E-2</v>
      </c>
      <c r="F1585">
        <v>494.37509999999997</v>
      </c>
      <c r="G1585">
        <v>503.97489999999999</v>
      </c>
      <c r="H1585">
        <v>506.82990000000001</v>
      </c>
      <c r="I1585">
        <v>5.0999999999999997E-2</v>
      </c>
      <c r="J1585">
        <v>5.2999999999999999E-2</v>
      </c>
      <c r="K1585">
        <v>2.8000000000000001E-2</v>
      </c>
      <c r="L1585">
        <v>2390</v>
      </c>
      <c r="M1585">
        <v>2399.8000000000002</v>
      </c>
      <c r="N1585">
        <v>2415.8000000000002</v>
      </c>
      <c r="Q1585">
        <f t="shared" si="99"/>
        <v>501.7</v>
      </c>
      <c r="R1585">
        <f t="shared" si="100"/>
        <v>501.7</v>
      </c>
      <c r="S1585">
        <f t="shared" si="101"/>
        <v>0.69999999999998863</v>
      </c>
    </row>
    <row r="1586" spans="1:19" x14ac:dyDescent="0.25">
      <c r="A1586" s="2">
        <v>44919</v>
      </c>
      <c r="B1586" s="3">
        <v>358</v>
      </c>
      <c r="C1586" s="3">
        <v>2200</v>
      </c>
      <c r="D1586">
        <v>501.7475</v>
      </c>
      <c r="E1586">
        <v>4.3999999999999997E-2</v>
      </c>
      <c r="F1586">
        <v>494.4015</v>
      </c>
      <c r="G1586">
        <v>503.99200000000002</v>
      </c>
      <c r="H1586">
        <v>506.84890000000001</v>
      </c>
      <c r="I1586">
        <v>4.3999999999999997E-2</v>
      </c>
      <c r="J1586">
        <v>5.2999999999999999E-2</v>
      </c>
      <c r="K1586">
        <v>3.3000000000000002E-2</v>
      </c>
      <c r="L1586">
        <v>2390</v>
      </c>
      <c r="M1586">
        <v>2399.8000000000002</v>
      </c>
      <c r="N1586">
        <v>2415.8000000000002</v>
      </c>
      <c r="Q1586">
        <f t="shared" si="99"/>
        <v>501.7</v>
      </c>
      <c r="R1586">
        <f t="shared" si="100"/>
        <v>501.7</v>
      </c>
      <c r="S1586">
        <f t="shared" si="101"/>
        <v>0</v>
      </c>
    </row>
    <row r="1587" spans="1:19" x14ac:dyDescent="0.25">
      <c r="A1587" s="2">
        <v>44919</v>
      </c>
      <c r="B1587" s="3">
        <v>358</v>
      </c>
      <c r="C1587" s="3">
        <v>2300</v>
      </c>
      <c r="D1587">
        <v>501.76769999999999</v>
      </c>
      <c r="E1587">
        <v>4.9000000000000002E-2</v>
      </c>
      <c r="F1587">
        <v>494.42410000000001</v>
      </c>
      <c r="G1587">
        <v>504.00150000000002</v>
      </c>
      <c r="H1587">
        <v>506.87740000000002</v>
      </c>
      <c r="I1587">
        <v>4.3999999999999997E-2</v>
      </c>
      <c r="J1587">
        <v>5.0999999999999997E-2</v>
      </c>
      <c r="K1587">
        <v>5.1999999999999998E-2</v>
      </c>
      <c r="L1587">
        <v>2390</v>
      </c>
      <c r="M1587">
        <v>2399.6</v>
      </c>
      <c r="N1587">
        <v>2415.8000000000002</v>
      </c>
      <c r="Q1587">
        <f t="shared" si="99"/>
        <v>501.8</v>
      </c>
      <c r="R1587">
        <f t="shared" si="100"/>
        <v>501.8</v>
      </c>
      <c r="S1587">
        <f t="shared" si="101"/>
        <v>0.10000000000002274</v>
      </c>
    </row>
    <row r="1588" spans="1:19" x14ac:dyDescent="0.25">
      <c r="A1588" s="2">
        <v>44919</v>
      </c>
      <c r="B1588" s="3">
        <v>358</v>
      </c>
      <c r="C1588" s="3">
        <v>2400</v>
      </c>
      <c r="D1588">
        <v>501.77460000000002</v>
      </c>
      <c r="E1588">
        <v>4.9000000000000002E-2</v>
      </c>
      <c r="F1588">
        <v>494.4391</v>
      </c>
      <c r="G1588">
        <v>504.00720000000001</v>
      </c>
      <c r="H1588">
        <v>506.87740000000002</v>
      </c>
      <c r="I1588">
        <v>4.5999999999999999E-2</v>
      </c>
      <c r="J1588">
        <v>4.9000000000000002E-2</v>
      </c>
      <c r="K1588">
        <v>5.1999999999999998E-2</v>
      </c>
      <c r="L1588">
        <v>2390.1999999999998</v>
      </c>
      <c r="M1588">
        <v>2399.8000000000002</v>
      </c>
      <c r="N1588">
        <v>2415.8000000000002</v>
      </c>
      <c r="Q1588">
        <f t="shared" si="99"/>
        <v>501.8</v>
      </c>
      <c r="R1588">
        <f t="shared" si="100"/>
        <v>501.8</v>
      </c>
      <c r="S1588">
        <f t="shared" si="101"/>
        <v>0</v>
      </c>
    </row>
    <row r="1589" spans="1:19" x14ac:dyDescent="0.25">
      <c r="A1589" s="2">
        <v>44920</v>
      </c>
      <c r="B1589" s="3">
        <v>359</v>
      </c>
      <c r="C1589" s="3">
        <v>100</v>
      </c>
      <c r="D1589">
        <v>501.76690000000002</v>
      </c>
      <c r="E1589">
        <v>5.1999999999999998E-2</v>
      </c>
      <c r="F1589">
        <v>494.45609999999999</v>
      </c>
      <c r="G1589">
        <v>503.97300000000001</v>
      </c>
      <c r="H1589">
        <v>506.87169999999998</v>
      </c>
      <c r="I1589">
        <v>5.2999999999999999E-2</v>
      </c>
      <c r="J1589">
        <v>5.2999999999999999E-2</v>
      </c>
      <c r="K1589">
        <v>0.05</v>
      </c>
      <c r="L1589">
        <v>2390</v>
      </c>
      <c r="M1589">
        <v>2399.6</v>
      </c>
      <c r="N1589">
        <v>2415.8000000000002</v>
      </c>
      <c r="Q1589">
        <f t="shared" si="99"/>
        <v>501.8</v>
      </c>
      <c r="R1589">
        <f t="shared" si="100"/>
        <v>501.8</v>
      </c>
      <c r="S1589">
        <f t="shared" si="101"/>
        <v>0</v>
      </c>
    </row>
    <row r="1590" spans="1:19" x14ac:dyDescent="0.25">
      <c r="A1590" s="2">
        <v>44920</v>
      </c>
      <c r="B1590" s="3">
        <v>359</v>
      </c>
      <c r="C1590" s="3">
        <v>200</v>
      </c>
      <c r="D1590">
        <v>501.78210000000001</v>
      </c>
      <c r="E1590">
        <v>5.5E-2</v>
      </c>
      <c r="F1590">
        <v>494.45800000000003</v>
      </c>
      <c r="G1590">
        <v>503.99959999999999</v>
      </c>
      <c r="H1590">
        <v>506.88889999999998</v>
      </c>
      <c r="I1590">
        <v>5.2999999999999999E-2</v>
      </c>
      <c r="J1590">
        <v>5.8999999999999997E-2</v>
      </c>
      <c r="K1590">
        <v>5.3999999999999999E-2</v>
      </c>
      <c r="L1590">
        <v>2390</v>
      </c>
      <c r="M1590">
        <v>2399.8000000000002</v>
      </c>
      <c r="N1590">
        <v>2416</v>
      </c>
      <c r="Q1590">
        <f t="shared" si="99"/>
        <v>501.8</v>
      </c>
      <c r="R1590">
        <f t="shared" si="100"/>
        <v>501.8</v>
      </c>
      <c r="S1590">
        <f t="shared" si="101"/>
        <v>0</v>
      </c>
    </row>
    <row r="1591" spans="1:19" x14ac:dyDescent="0.25">
      <c r="A1591" s="2">
        <v>44920</v>
      </c>
      <c r="B1591" s="3">
        <v>359</v>
      </c>
      <c r="C1591" s="3">
        <v>300</v>
      </c>
      <c r="D1591">
        <v>501.78149999999999</v>
      </c>
      <c r="E1591">
        <v>5.3999999999999999E-2</v>
      </c>
      <c r="F1591">
        <v>494.47120000000001</v>
      </c>
      <c r="G1591">
        <v>503.98250000000002</v>
      </c>
      <c r="H1591">
        <v>506.89080000000001</v>
      </c>
      <c r="I1591">
        <v>5.2999999999999999E-2</v>
      </c>
      <c r="J1591">
        <v>5.3999999999999999E-2</v>
      </c>
      <c r="K1591">
        <v>5.3999999999999999E-2</v>
      </c>
      <c r="L1591">
        <v>2390</v>
      </c>
      <c r="M1591">
        <v>2399.6</v>
      </c>
      <c r="N1591">
        <v>2416</v>
      </c>
      <c r="Q1591">
        <f t="shared" si="99"/>
        <v>501.8</v>
      </c>
      <c r="R1591">
        <f t="shared" si="100"/>
        <v>501.8</v>
      </c>
      <c r="S1591">
        <f t="shared" si="101"/>
        <v>0</v>
      </c>
    </row>
    <row r="1592" spans="1:19" x14ac:dyDescent="0.25">
      <c r="A1592" s="2">
        <v>44920</v>
      </c>
      <c r="B1592" s="3">
        <v>359</v>
      </c>
      <c r="C1592" s="3">
        <v>400</v>
      </c>
      <c r="D1592">
        <v>501.7998</v>
      </c>
      <c r="E1592">
        <v>0.05</v>
      </c>
      <c r="F1592">
        <v>494.48809999999997</v>
      </c>
      <c r="G1592">
        <v>504.00909999999999</v>
      </c>
      <c r="H1592">
        <v>506.90219999999999</v>
      </c>
      <c r="I1592">
        <v>4.9000000000000002E-2</v>
      </c>
      <c r="J1592">
        <v>4.8000000000000001E-2</v>
      </c>
      <c r="K1592">
        <v>5.2999999999999999E-2</v>
      </c>
      <c r="L1592">
        <v>2390</v>
      </c>
      <c r="M1592">
        <v>2399.8000000000002</v>
      </c>
      <c r="N1592">
        <v>2416</v>
      </c>
      <c r="Q1592">
        <f t="shared" si="99"/>
        <v>501.8</v>
      </c>
      <c r="R1592">
        <f t="shared" si="100"/>
        <v>501.8</v>
      </c>
      <c r="S1592">
        <f t="shared" si="101"/>
        <v>0</v>
      </c>
    </row>
    <row r="1593" spans="1:19" x14ac:dyDescent="0.25">
      <c r="A1593" s="2">
        <v>44920</v>
      </c>
      <c r="B1593" s="3">
        <v>359</v>
      </c>
      <c r="C1593" s="3">
        <v>500</v>
      </c>
      <c r="D1593">
        <v>501.95530000000002</v>
      </c>
      <c r="E1593">
        <v>3.3000000000000002E-2</v>
      </c>
      <c r="F1593">
        <v>494.63119999999998</v>
      </c>
      <c r="G1593">
        <v>504.17450000000002</v>
      </c>
      <c r="H1593">
        <v>507.06020000000001</v>
      </c>
      <c r="I1593">
        <v>0.02</v>
      </c>
      <c r="J1593">
        <v>4.8000000000000001E-2</v>
      </c>
      <c r="K1593">
        <v>2.4E-2</v>
      </c>
      <c r="L1593">
        <v>2390.4</v>
      </c>
      <c r="M1593">
        <v>2400</v>
      </c>
      <c r="N1593">
        <v>2416.1999999999998</v>
      </c>
      <c r="Q1593">
        <f t="shared" si="99"/>
        <v>502</v>
      </c>
      <c r="R1593">
        <f t="shared" si="100"/>
        <v>502</v>
      </c>
      <c r="S1593">
        <f t="shared" si="101"/>
        <v>0.19999999999998863</v>
      </c>
    </row>
    <row r="1594" spans="1:19" x14ac:dyDescent="0.25">
      <c r="A1594" s="2">
        <v>44920</v>
      </c>
      <c r="B1594" s="3">
        <v>359</v>
      </c>
      <c r="C1594" s="3">
        <v>600</v>
      </c>
      <c r="D1594">
        <v>501.97109999999998</v>
      </c>
      <c r="E1594">
        <v>4.4999999999999998E-2</v>
      </c>
      <c r="F1594">
        <v>494.64440000000002</v>
      </c>
      <c r="G1594">
        <v>504.19729999999998</v>
      </c>
      <c r="H1594">
        <v>507.07159999999999</v>
      </c>
      <c r="I1594">
        <v>3.9E-2</v>
      </c>
      <c r="J1594">
        <v>5.3999999999999999E-2</v>
      </c>
      <c r="K1594">
        <v>0.04</v>
      </c>
      <c r="L1594">
        <v>2390.4</v>
      </c>
      <c r="M1594">
        <v>2400</v>
      </c>
      <c r="N1594">
        <v>2416.1999999999998</v>
      </c>
      <c r="Q1594">
        <f t="shared" si="99"/>
        <v>502</v>
      </c>
      <c r="R1594">
        <f t="shared" si="100"/>
        <v>502</v>
      </c>
      <c r="S1594">
        <f t="shared" si="101"/>
        <v>0</v>
      </c>
    </row>
    <row r="1595" spans="1:19" x14ac:dyDescent="0.25">
      <c r="A1595" s="2">
        <v>44920</v>
      </c>
      <c r="B1595" s="3">
        <v>359</v>
      </c>
      <c r="C1595" s="3">
        <v>700</v>
      </c>
      <c r="D1595">
        <v>501.97039999999998</v>
      </c>
      <c r="E1595">
        <v>4.5999999999999999E-2</v>
      </c>
      <c r="F1595">
        <v>494.6576</v>
      </c>
      <c r="G1595">
        <v>504.1859</v>
      </c>
      <c r="H1595">
        <v>507.06779999999998</v>
      </c>
      <c r="I1595">
        <v>4.8000000000000001E-2</v>
      </c>
      <c r="J1595">
        <v>5.1999999999999998E-2</v>
      </c>
      <c r="K1595">
        <v>3.5999999999999997E-2</v>
      </c>
      <c r="L1595">
        <v>2390.4</v>
      </c>
      <c r="M1595">
        <v>2400</v>
      </c>
      <c r="N1595">
        <v>2416.1999999999998</v>
      </c>
      <c r="Q1595">
        <f t="shared" si="99"/>
        <v>502</v>
      </c>
      <c r="R1595">
        <f t="shared" si="100"/>
        <v>502</v>
      </c>
      <c r="S1595">
        <f t="shared" si="101"/>
        <v>0</v>
      </c>
    </row>
    <row r="1596" spans="1:19" x14ac:dyDescent="0.25">
      <c r="A1596" s="2">
        <v>44920</v>
      </c>
      <c r="B1596" s="3">
        <v>359</v>
      </c>
      <c r="C1596" s="3">
        <v>800</v>
      </c>
      <c r="D1596">
        <v>501.97289999999998</v>
      </c>
      <c r="E1596">
        <v>4.5999999999999999E-2</v>
      </c>
      <c r="F1596">
        <v>494.67079999999999</v>
      </c>
      <c r="G1596">
        <v>504.18400000000003</v>
      </c>
      <c r="H1596">
        <v>507.06400000000002</v>
      </c>
      <c r="I1596">
        <v>5.2999999999999999E-2</v>
      </c>
      <c r="J1596">
        <v>5.1999999999999998E-2</v>
      </c>
      <c r="K1596">
        <v>3.1E-2</v>
      </c>
      <c r="L1596">
        <v>2390.6</v>
      </c>
      <c r="M1596">
        <v>2400</v>
      </c>
      <c r="N1596">
        <v>2416.1999999999998</v>
      </c>
      <c r="Q1596">
        <f t="shared" si="99"/>
        <v>502</v>
      </c>
      <c r="R1596">
        <f t="shared" si="100"/>
        <v>502</v>
      </c>
      <c r="S1596">
        <f t="shared" si="101"/>
        <v>0</v>
      </c>
    </row>
    <row r="1597" spans="1:19" x14ac:dyDescent="0.25">
      <c r="A1597" s="2">
        <v>44920</v>
      </c>
      <c r="B1597" s="3">
        <v>359</v>
      </c>
      <c r="C1597" s="3">
        <v>900</v>
      </c>
      <c r="D1597">
        <v>502.005</v>
      </c>
      <c r="E1597">
        <v>4.2000000000000003E-2</v>
      </c>
      <c r="F1597">
        <v>494.74059999999997</v>
      </c>
      <c r="G1597">
        <v>504.20679999999999</v>
      </c>
      <c r="H1597">
        <v>507.06779999999998</v>
      </c>
      <c r="I1597">
        <v>3.1E-2</v>
      </c>
      <c r="J1597">
        <v>5.3999999999999999E-2</v>
      </c>
      <c r="K1597">
        <v>3.5999999999999997E-2</v>
      </c>
      <c r="L1597">
        <v>2390.6</v>
      </c>
      <c r="M1597">
        <v>2400.1999999999998</v>
      </c>
      <c r="N1597">
        <v>2416.1999999999998</v>
      </c>
      <c r="Q1597">
        <f t="shared" si="99"/>
        <v>502</v>
      </c>
      <c r="R1597">
        <f t="shared" si="100"/>
        <v>502</v>
      </c>
      <c r="S1597">
        <f t="shared" si="101"/>
        <v>0</v>
      </c>
    </row>
    <row r="1598" spans="1:19" x14ac:dyDescent="0.25">
      <c r="A1598" s="2">
        <v>44920</v>
      </c>
      <c r="B1598" s="3">
        <v>359</v>
      </c>
      <c r="C1598" s="3">
        <v>1000</v>
      </c>
      <c r="D1598">
        <v>501.9812</v>
      </c>
      <c r="E1598">
        <v>4.5999999999999999E-2</v>
      </c>
      <c r="F1598">
        <v>494.66140000000001</v>
      </c>
      <c r="G1598">
        <v>504.21629999999999</v>
      </c>
      <c r="H1598">
        <v>507.0659</v>
      </c>
      <c r="I1598">
        <v>0.05</v>
      </c>
      <c r="J1598">
        <v>5.1999999999999998E-2</v>
      </c>
      <c r="K1598">
        <v>3.3000000000000002E-2</v>
      </c>
      <c r="L1598">
        <v>2390.4</v>
      </c>
      <c r="M1598">
        <v>2400.1999999999998</v>
      </c>
      <c r="N1598">
        <v>2416.1999999999998</v>
      </c>
      <c r="Q1598">
        <f t="shared" si="99"/>
        <v>502</v>
      </c>
      <c r="R1598">
        <f t="shared" si="100"/>
        <v>502</v>
      </c>
      <c r="S1598">
        <f t="shared" si="101"/>
        <v>0</v>
      </c>
    </row>
    <row r="1599" spans="1:19" x14ac:dyDescent="0.25">
      <c r="A1599" s="2">
        <v>44920</v>
      </c>
      <c r="B1599" s="3">
        <v>359</v>
      </c>
      <c r="C1599" s="3">
        <v>1100</v>
      </c>
      <c r="D1599">
        <v>502.19529999999997</v>
      </c>
      <c r="E1599">
        <v>4.8000000000000001E-2</v>
      </c>
      <c r="F1599">
        <v>494.93270000000001</v>
      </c>
      <c r="G1599">
        <v>504.43700000000001</v>
      </c>
      <c r="H1599">
        <v>507.21629999999999</v>
      </c>
      <c r="I1599">
        <v>3.9E-2</v>
      </c>
      <c r="J1599">
        <v>0.05</v>
      </c>
      <c r="K1599">
        <v>5.3999999999999999E-2</v>
      </c>
      <c r="L1599">
        <v>2391</v>
      </c>
      <c r="M1599">
        <v>2400.4</v>
      </c>
      <c r="N1599">
        <v>2416.6</v>
      </c>
      <c r="Q1599">
        <f t="shared" si="99"/>
        <v>502.2</v>
      </c>
      <c r="R1599">
        <f t="shared" si="100"/>
        <v>502.2</v>
      </c>
      <c r="S1599">
        <f t="shared" si="101"/>
        <v>0.19999999999998863</v>
      </c>
    </row>
    <row r="1600" spans="1:19" x14ac:dyDescent="0.25">
      <c r="A1600" s="2">
        <v>44920</v>
      </c>
      <c r="B1600" s="3">
        <v>359</v>
      </c>
      <c r="C1600" s="3">
        <v>1200</v>
      </c>
      <c r="D1600">
        <v>502.53919999999999</v>
      </c>
      <c r="E1600">
        <v>4.3999999999999997E-2</v>
      </c>
      <c r="F1600">
        <v>495.28519999999997</v>
      </c>
      <c r="G1600">
        <v>504.77359999999999</v>
      </c>
      <c r="H1600">
        <v>507.55900000000003</v>
      </c>
      <c r="I1600">
        <v>3.5000000000000003E-2</v>
      </c>
      <c r="J1600">
        <v>4.3999999999999997E-2</v>
      </c>
      <c r="K1600">
        <v>5.1999999999999998E-2</v>
      </c>
      <c r="L1600">
        <v>2391.6</v>
      </c>
      <c r="M1600">
        <v>2401.1999999999998</v>
      </c>
      <c r="N1600">
        <v>2417.1999999999998</v>
      </c>
      <c r="Q1600">
        <f t="shared" si="99"/>
        <v>502.5</v>
      </c>
      <c r="R1600">
        <f t="shared" si="100"/>
        <v>502.5</v>
      </c>
      <c r="S1600">
        <f t="shared" si="101"/>
        <v>0.30000000000001137</v>
      </c>
    </row>
    <row r="1601" spans="1:19" x14ac:dyDescent="0.25">
      <c r="A1601" s="2">
        <v>44920</v>
      </c>
      <c r="B1601" s="3">
        <v>359</v>
      </c>
      <c r="C1601" s="3">
        <v>1300</v>
      </c>
      <c r="D1601">
        <v>502.99400000000003</v>
      </c>
      <c r="E1601">
        <v>4.7E-2</v>
      </c>
      <c r="F1601">
        <v>495.73570000000001</v>
      </c>
      <c r="G1601">
        <v>505.24160000000001</v>
      </c>
      <c r="H1601">
        <v>508.00470000000001</v>
      </c>
      <c r="I1601">
        <v>0.05</v>
      </c>
      <c r="J1601">
        <v>3.9E-2</v>
      </c>
      <c r="K1601">
        <v>5.0999999999999997E-2</v>
      </c>
      <c r="L1601">
        <v>2392.6</v>
      </c>
      <c r="M1601">
        <v>2402</v>
      </c>
      <c r="N1601">
        <v>2418</v>
      </c>
      <c r="Q1601">
        <f t="shared" si="99"/>
        <v>503</v>
      </c>
      <c r="R1601">
        <f t="shared" si="100"/>
        <v>503</v>
      </c>
      <c r="S1601">
        <f t="shared" si="101"/>
        <v>0.5</v>
      </c>
    </row>
    <row r="1602" spans="1:19" x14ac:dyDescent="0.25">
      <c r="A1602" s="2">
        <v>44920</v>
      </c>
      <c r="B1602" s="3">
        <v>359</v>
      </c>
      <c r="C1602" s="3">
        <v>1400</v>
      </c>
      <c r="D1602">
        <v>503.375</v>
      </c>
      <c r="E1602">
        <v>5.0999999999999997E-2</v>
      </c>
      <c r="F1602">
        <v>496.10340000000002</v>
      </c>
      <c r="G1602">
        <v>505.59949999999998</v>
      </c>
      <c r="H1602">
        <v>508.42200000000003</v>
      </c>
      <c r="I1602">
        <v>4.7E-2</v>
      </c>
      <c r="J1602">
        <v>5.2999999999999999E-2</v>
      </c>
      <c r="K1602">
        <v>5.2999999999999999E-2</v>
      </c>
      <c r="L1602">
        <v>2393.1999999999998</v>
      </c>
      <c r="M1602">
        <v>2402.8000000000002</v>
      </c>
      <c r="N1602">
        <v>2418.8000000000002</v>
      </c>
      <c r="Q1602">
        <f t="shared" si="99"/>
        <v>503.4</v>
      </c>
      <c r="R1602">
        <f t="shared" si="100"/>
        <v>503.4</v>
      </c>
      <c r="S1602">
        <f t="shared" si="101"/>
        <v>0.39999999999997726</v>
      </c>
    </row>
    <row r="1603" spans="1:19" x14ac:dyDescent="0.25">
      <c r="A1603" s="2">
        <v>44920</v>
      </c>
      <c r="B1603" s="3">
        <v>359</v>
      </c>
      <c r="C1603" s="3">
        <v>1500</v>
      </c>
      <c r="D1603">
        <v>504.8494</v>
      </c>
      <c r="E1603">
        <v>4.5999999999999999E-2</v>
      </c>
      <c r="F1603">
        <v>497.46230000000003</v>
      </c>
      <c r="G1603">
        <v>507.18630000000002</v>
      </c>
      <c r="H1603">
        <v>509.8997</v>
      </c>
      <c r="I1603">
        <v>5.1999999999999998E-2</v>
      </c>
      <c r="J1603">
        <v>3.7999999999999999E-2</v>
      </c>
      <c r="K1603">
        <v>4.8000000000000001E-2</v>
      </c>
      <c r="L1603">
        <v>2395.8000000000002</v>
      </c>
      <c r="M1603">
        <v>2405.8000000000002</v>
      </c>
      <c r="N1603">
        <v>2421.6</v>
      </c>
      <c r="Q1603">
        <f t="shared" si="99"/>
        <v>504.8</v>
      </c>
      <c r="R1603">
        <f t="shared" si="100"/>
        <v>504.8</v>
      </c>
      <c r="S1603">
        <f t="shared" si="101"/>
        <v>1.4000000000000341</v>
      </c>
    </row>
    <row r="1604" spans="1:19" x14ac:dyDescent="0.25">
      <c r="A1604" s="2">
        <v>44920</v>
      </c>
      <c r="B1604" s="3">
        <v>359</v>
      </c>
      <c r="C1604" s="3">
        <v>1600</v>
      </c>
      <c r="D1604">
        <v>505.38260000000002</v>
      </c>
      <c r="E1604">
        <v>4.2000000000000003E-2</v>
      </c>
      <c r="F1604">
        <v>497.94200000000001</v>
      </c>
      <c r="G1604">
        <v>507.72579999999999</v>
      </c>
      <c r="H1604">
        <v>510.47989999999999</v>
      </c>
      <c r="I1604">
        <v>4.1000000000000002E-2</v>
      </c>
      <c r="J1604">
        <v>2.5000000000000001E-2</v>
      </c>
      <c r="K1604">
        <v>5.3999999999999999E-2</v>
      </c>
      <c r="L1604">
        <v>2396.4</v>
      </c>
      <c r="M1604">
        <v>2406.6</v>
      </c>
      <c r="N1604">
        <v>2422.6</v>
      </c>
      <c r="Q1604">
        <f t="shared" si="99"/>
        <v>505.4</v>
      </c>
      <c r="R1604">
        <f t="shared" si="100"/>
        <v>505.4</v>
      </c>
      <c r="S1604">
        <f t="shared" si="101"/>
        <v>0.59999999999996589</v>
      </c>
    </row>
    <row r="1605" spans="1:19" x14ac:dyDescent="0.25">
      <c r="A1605" s="2">
        <v>44920</v>
      </c>
      <c r="B1605" s="3">
        <v>359</v>
      </c>
      <c r="C1605" s="3">
        <v>1700</v>
      </c>
      <c r="D1605">
        <v>505.40539999999999</v>
      </c>
      <c r="E1605">
        <v>4.1000000000000002E-2</v>
      </c>
      <c r="F1605">
        <v>497.959</v>
      </c>
      <c r="G1605">
        <v>507.7525</v>
      </c>
      <c r="H1605">
        <v>510.50479999999999</v>
      </c>
      <c r="I1605">
        <v>2.5000000000000001E-2</v>
      </c>
      <c r="J1605">
        <v>4.5999999999999999E-2</v>
      </c>
      <c r="K1605">
        <v>4.7E-2</v>
      </c>
      <c r="L1605">
        <v>2396.4</v>
      </c>
      <c r="M1605">
        <v>2406.6</v>
      </c>
      <c r="N1605">
        <v>2422.6</v>
      </c>
      <c r="Q1605">
        <f t="shared" si="99"/>
        <v>505.4</v>
      </c>
      <c r="R1605">
        <f t="shared" si="100"/>
        <v>505.4</v>
      </c>
      <c r="S1605">
        <f t="shared" si="101"/>
        <v>0</v>
      </c>
    </row>
    <row r="1606" spans="1:19" x14ac:dyDescent="0.25">
      <c r="A1606" s="2">
        <v>44920</v>
      </c>
      <c r="B1606" s="3">
        <v>359</v>
      </c>
      <c r="C1606" s="3">
        <v>1800</v>
      </c>
      <c r="D1606">
        <v>505.42950000000002</v>
      </c>
      <c r="E1606">
        <v>4.2999999999999997E-2</v>
      </c>
      <c r="F1606">
        <v>497.97980000000001</v>
      </c>
      <c r="G1606">
        <v>507.76580000000001</v>
      </c>
      <c r="H1606">
        <v>510.54289999999997</v>
      </c>
      <c r="I1606">
        <v>4.1000000000000002E-2</v>
      </c>
      <c r="J1606">
        <v>5.1999999999999998E-2</v>
      </c>
      <c r="K1606">
        <v>3.3000000000000002E-2</v>
      </c>
      <c r="L1606">
        <v>2396.8000000000002</v>
      </c>
      <c r="M1606">
        <v>2406.8000000000002</v>
      </c>
      <c r="N1606">
        <v>2422.6</v>
      </c>
      <c r="Q1606">
        <f t="shared" si="99"/>
        <v>505.4</v>
      </c>
      <c r="R1606">
        <f t="shared" si="100"/>
        <v>505.4</v>
      </c>
      <c r="S1606">
        <f t="shared" si="101"/>
        <v>0</v>
      </c>
    </row>
    <row r="1607" spans="1:19" x14ac:dyDescent="0.25">
      <c r="A1607" s="2">
        <v>44920</v>
      </c>
      <c r="B1607" s="3">
        <v>359</v>
      </c>
      <c r="C1607" s="3">
        <v>1900</v>
      </c>
      <c r="D1607">
        <v>505.44720000000001</v>
      </c>
      <c r="E1607">
        <v>5.0999999999999997E-2</v>
      </c>
      <c r="F1607">
        <v>498.00619999999998</v>
      </c>
      <c r="G1607">
        <v>507.7792</v>
      </c>
      <c r="H1607">
        <v>510.55630000000002</v>
      </c>
      <c r="I1607">
        <v>5.2999999999999999E-2</v>
      </c>
      <c r="J1607">
        <v>5.3999999999999999E-2</v>
      </c>
      <c r="K1607">
        <v>4.5999999999999999E-2</v>
      </c>
      <c r="L1607">
        <v>2396.6</v>
      </c>
      <c r="M1607">
        <v>2406.8000000000002</v>
      </c>
      <c r="N1607">
        <v>2422.6</v>
      </c>
      <c r="Q1607">
        <f t="shared" si="99"/>
        <v>505.4</v>
      </c>
      <c r="R1607">
        <f t="shared" si="100"/>
        <v>505.4</v>
      </c>
      <c r="S1607">
        <f t="shared" si="101"/>
        <v>0</v>
      </c>
    </row>
    <row r="1608" spans="1:19" x14ac:dyDescent="0.25">
      <c r="A1608" s="2">
        <v>44920</v>
      </c>
      <c r="B1608" s="3">
        <v>359</v>
      </c>
      <c r="C1608" s="3">
        <v>2000</v>
      </c>
      <c r="D1608">
        <v>505.47070000000002</v>
      </c>
      <c r="E1608">
        <v>5.1999999999999998E-2</v>
      </c>
      <c r="F1608">
        <v>498.03269999999998</v>
      </c>
      <c r="G1608">
        <v>507.79629999999997</v>
      </c>
      <c r="H1608">
        <v>510.58300000000003</v>
      </c>
      <c r="I1608">
        <v>5.0999999999999997E-2</v>
      </c>
      <c r="J1608">
        <v>5.1999999999999998E-2</v>
      </c>
      <c r="K1608">
        <v>5.3999999999999999E-2</v>
      </c>
      <c r="L1608">
        <v>2396.8000000000002</v>
      </c>
      <c r="M1608">
        <v>2406.6</v>
      </c>
      <c r="N1608">
        <v>2422.8000000000002</v>
      </c>
      <c r="Q1608">
        <f t="shared" si="99"/>
        <v>505.5</v>
      </c>
      <c r="R1608">
        <f t="shared" si="100"/>
        <v>505.5</v>
      </c>
      <c r="S1608">
        <f t="shared" si="101"/>
        <v>0.10000000000002274</v>
      </c>
    </row>
    <row r="1609" spans="1:19" x14ac:dyDescent="0.25">
      <c r="A1609" s="2">
        <v>44920</v>
      </c>
      <c r="B1609" s="3">
        <v>359</v>
      </c>
      <c r="C1609" s="3">
        <v>2100</v>
      </c>
      <c r="D1609">
        <v>505.45479999999998</v>
      </c>
      <c r="E1609">
        <v>5.2999999999999999E-2</v>
      </c>
      <c r="F1609">
        <v>498.0138</v>
      </c>
      <c r="G1609">
        <v>507.78300000000002</v>
      </c>
      <c r="H1609">
        <v>510.5677</v>
      </c>
      <c r="I1609">
        <v>5.3999999999999999E-2</v>
      </c>
      <c r="J1609">
        <v>5.3999999999999999E-2</v>
      </c>
      <c r="K1609">
        <v>5.0999999999999997E-2</v>
      </c>
      <c r="L1609">
        <v>2396.8000000000002</v>
      </c>
      <c r="M1609">
        <v>2406.8000000000002</v>
      </c>
      <c r="N1609">
        <v>2422.8000000000002</v>
      </c>
      <c r="Q1609">
        <f t="shared" si="99"/>
        <v>505.5</v>
      </c>
      <c r="R1609">
        <f t="shared" si="100"/>
        <v>505.5</v>
      </c>
      <c r="S1609">
        <f t="shared" si="101"/>
        <v>0</v>
      </c>
    </row>
    <row r="1610" spans="1:19" x14ac:dyDescent="0.25">
      <c r="A1610" s="2">
        <v>44920</v>
      </c>
      <c r="B1610" s="3">
        <v>359</v>
      </c>
      <c r="C1610" s="3">
        <v>2200</v>
      </c>
      <c r="D1610">
        <v>505.45800000000003</v>
      </c>
      <c r="E1610">
        <v>5.2999999999999999E-2</v>
      </c>
      <c r="F1610">
        <v>498.01569999999998</v>
      </c>
      <c r="G1610">
        <v>507.79059999999998</v>
      </c>
      <c r="H1610">
        <v>510.5677</v>
      </c>
      <c r="I1610">
        <v>5.3999999999999999E-2</v>
      </c>
      <c r="J1610">
        <v>5.3999999999999999E-2</v>
      </c>
      <c r="K1610">
        <v>5.0999999999999997E-2</v>
      </c>
      <c r="L1610">
        <v>2396.6</v>
      </c>
      <c r="M1610">
        <v>2406.6</v>
      </c>
      <c r="N1610">
        <v>2422.6</v>
      </c>
      <c r="Q1610">
        <f t="shared" si="99"/>
        <v>505.5</v>
      </c>
      <c r="R1610">
        <f t="shared" si="100"/>
        <v>505.5</v>
      </c>
      <c r="S1610">
        <f t="shared" si="101"/>
        <v>0</v>
      </c>
    </row>
    <row r="1611" spans="1:19" x14ac:dyDescent="0.25">
      <c r="A1611" s="2">
        <v>44920</v>
      </c>
      <c r="B1611" s="3">
        <v>359</v>
      </c>
      <c r="C1611" s="3">
        <v>2300</v>
      </c>
      <c r="D1611">
        <v>505.47829999999999</v>
      </c>
      <c r="E1611">
        <v>5.0999999999999997E-2</v>
      </c>
      <c r="F1611">
        <v>498.03269999999998</v>
      </c>
      <c r="G1611">
        <v>507.80970000000002</v>
      </c>
      <c r="H1611">
        <v>510.5926</v>
      </c>
      <c r="I1611">
        <v>5.0999999999999997E-2</v>
      </c>
      <c r="J1611">
        <v>4.7E-2</v>
      </c>
      <c r="K1611">
        <v>5.3999999999999999E-2</v>
      </c>
      <c r="L1611">
        <v>2396.8000000000002</v>
      </c>
      <c r="M1611">
        <v>2406.8000000000002</v>
      </c>
      <c r="N1611">
        <v>2422.6</v>
      </c>
      <c r="Q1611">
        <f t="shared" si="99"/>
        <v>505.5</v>
      </c>
      <c r="R1611">
        <f t="shared" si="100"/>
        <v>505.5</v>
      </c>
      <c r="S1611">
        <f t="shared" si="101"/>
        <v>0</v>
      </c>
    </row>
    <row r="1612" spans="1:19" x14ac:dyDescent="0.25">
      <c r="A1612" s="2">
        <v>44920</v>
      </c>
      <c r="B1612" s="3">
        <v>359</v>
      </c>
      <c r="C1612" s="3">
        <v>2400</v>
      </c>
      <c r="D1612">
        <v>505.4853</v>
      </c>
      <c r="E1612">
        <v>4.8000000000000001E-2</v>
      </c>
      <c r="F1612">
        <v>498.0308</v>
      </c>
      <c r="G1612">
        <v>507.81920000000002</v>
      </c>
      <c r="H1612">
        <v>510.60590000000002</v>
      </c>
      <c r="I1612">
        <v>5.0999999999999997E-2</v>
      </c>
      <c r="J1612">
        <v>0.04</v>
      </c>
      <c r="K1612">
        <v>5.0999999999999997E-2</v>
      </c>
      <c r="L1612">
        <v>2396.8000000000002</v>
      </c>
      <c r="M1612">
        <v>2406.6</v>
      </c>
      <c r="N1612">
        <v>2422.8000000000002</v>
      </c>
      <c r="Q1612">
        <f t="shared" si="99"/>
        <v>505.5</v>
      </c>
      <c r="R1612">
        <f t="shared" si="100"/>
        <v>505.5</v>
      </c>
      <c r="S1612">
        <f t="shared" si="101"/>
        <v>0</v>
      </c>
    </row>
    <row r="1613" spans="1:19" x14ac:dyDescent="0.25">
      <c r="A1613" s="2">
        <v>44921</v>
      </c>
      <c r="B1613" s="3">
        <v>360</v>
      </c>
      <c r="C1613" s="3">
        <v>100</v>
      </c>
      <c r="D1613">
        <v>505.49489999999997</v>
      </c>
      <c r="E1613">
        <v>4.1000000000000002E-2</v>
      </c>
      <c r="F1613">
        <v>498.01749999999998</v>
      </c>
      <c r="G1613">
        <v>507.8383</v>
      </c>
      <c r="H1613">
        <v>510.62880000000001</v>
      </c>
      <c r="I1613">
        <v>5.3999999999999999E-2</v>
      </c>
      <c r="J1613">
        <v>3.2000000000000001E-2</v>
      </c>
      <c r="K1613">
        <v>3.3000000000000002E-2</v>
      </c>
      <c r="L1613">
        <v>2396.6</v>
      </c>
      <c r="M1613">
        <v>2406.8000000000002</v>
      </c>
      <c r="N1613">
        <v>2422.8000000000002</v>
      </c>
      <c r="Q1613">
        <f t="shared" si="99"/>
        <v>505.5</v>
      </c>
      <c r="R1613">
        <f t="shared" si="100"/>
        <v>505.5</v>
      </c>
      <c r="S1613">
        <f t="shared" si="101"/>
        <v>0</v>
      </c>
    </row>
    <row r="1614" spans="1:19" x14ac:dyDescent="0.25">
      <c r="A1614" s="2">
        <v>44921</v>
      </c>
      <c r="B1614" s="3">
        <v>360</v>
      </c>
      <c r="C1614" s="3">
        <v>200</v>
      </c>
      <c r="D1614">
        <v>505.51889999999997</v>
      </c>
      <c r="E1614">
        <v>3.4000000000000002E-2</v>
      </c>
      <c r="F1614">
        <v>498.06099999999998</v>
      </c>
      <c r="G1614">
        <v>507.85160000000002</v>
      </c>
      <c r="H1614">
        <v>510.64409999999998</v>
      </c>
      <c r="I1614">
        <v>3.4000000000000002E-2</v>
      </c>
      <c r="J1614">
        <v>3.7999999999999999E-2</v>
      </c>
      <c r="K1614">
        <v>2.9000000000000001E-2</v>
      </c>
      <c r="L1614">
        <v>2396.8000000000002</v>
      </c>
      <c r="M1614">
        <v>2406.8000000000002</v>
      </c>
      <c r="N1614">
        <v>2422.8000000000002</v>
      </c>
      <c r="Q1614">
        <f t="shared" si="99"/>
        <v>505.5</v>
      </c>
      <c r="R1614">
        <f t="shared" si="100"/>
        <v>505.5</v>
      </c>
      <c r="S1614">
        <f t="shared" si="101"/>
        <v>0</v>
      </c>
    </row>
    <row r="1615" spans="1:19" x14ac:dyDescent="0.25">
      <c r="A1615" s="2">
        <v>44921</v>
      </c>
      <c r="B1615" s="3">
        <v>360</v>
      </c>
      <c r="C1615" s="3">
        <v>300</v>
      </c>
      <c r="D1615">
        <v>505.54360000000003</v>
      </c>
      <c r="E1615">
        <v>4.7E-2</v>
      </c>
      <c r="F1615">
        <v>498.1044</v>
      </c>
      <c r="G1615">
        <v>507.85930000000002</v>
      </c>
      <c r="H1615">
        <v>510.66699999999997</v>
      </c>
      <c r="I1615">
        <v>5.0999999999999997E-2</v>
      </c>
      <c r="J1615">
        <v>4.3999999999999997E-2</v>
      </c>
      <c r="K1615">
        <v>4.7E-2</v>
      </c>
      <c r="L1615">
        <v>2397</v>
      </c>
      <c r="M1615">
        <v>2407</v>
      </c>
      <c r="N1615">
        <v>2423</v>
      </c>
      <c r="Q1615">
        <f t="shared" si="99"/>
        <v>505.5</v>
      </c>
      <c r="R1615">
        <f t="shared" si="100"/>
        <v>505.5</v>
      </c>
      <c r="S1615">
        <f t="shared" si="101"/>
        <v>0</v>
      </c>
    </row>
    <row r="1616" spans="1:19" x14ac:dyDescent="0.25">
      <c r="A1616" s="2">
        <v>44921</v>
      </c>
      <c r="B1616" s="3">
        <v>360</v>
      </c>
      <c r="C1616" s="3">
        <v>400</v>
      </c>
      <c r="D1616">
        <v>505.59370000000001</v>
      </c>
      <c r="E1616">
        <v>4.8000000000000001E-2</v>
      </c>
      <c r="F1616">
        <v>498.1422</v>
      </c>
      <c r="G1616">
        <v>507.91840000000002</v>
      </c>
      <c r="H1616">
        <v>510.72050000000002</v>
      </c>
      <c r="I1616">
        <v>0.05</v>
      </c>
      <c r="J1616">
        <v>4.7E-2</v>
      </c>
      <c r="K1616">
        <v>4.8000000000000001E-2</v>
      </c>
      <c r="L1616">
        <v>2397</v>
      </c>
      <c r="M1616">
        <v>2406.8000000000002</v>
      </c>
      <c r="N1616">
        <v>2422.8000000000002</v>
      </c>
      <c r="Q1616">
        <f t="shared" si="99"/>
        <v>505.6</v>
      </c>
      <c r="R1616">
        <f t="shared" si="100"/>
        <v>505.6</v>
      </c>
      <c r="S1616">
        <f t="shared" si="101"/>
        <v>0.10000000000002274</v>
      </c>
    </row>
    <row r="1617" spans="1:19" x14ac:dyDescent="0.25">
      <c r="A1617" s="2">
        <v>44921</v>
      </c>
      <c r="B1617" s="3">
        <v>360</v>
      </c>
      <c r="C1617" s="3">
        <v>500</v>
      </c>
      <c r="D1617">
        <v>505.73759999999999</v>
      </c>
      <c r="E1617">
        <v>3.7999999999999999E-2</v>
      </c>
      <c r="F1617">
        <v>498.27629999999999</v>
      </c>
      <c r="G1617">
        <v>508.07470000000001</v>
      </c>
      <c r="H1617">
        <v>510.86169999999998</v>
      </c>
      <c r="I1617">
        <v>2.7E-2</v>
      </c>
      <c r="J1617">
        <v>4.2999999999999997E-2</v>
      </c>
      <c r="K1617">
        <v>4.1000000000000002E-2</v>
      </c>
      <c r="L1617">
        <v>2397.1999999999998</v>
      </c>
      <c r="M1617">
        <v>2407.4</v>
      </c>
      <c r="N1617">
        <v>2423.1999999999998</v>
      </c>
      <c r="Q1617">
        <f t="shared" si="99"/>
        <v>505.7</v>
      </c>
      <c r="R1617">
        <f t="shared" si="100"/>
        <v>505.7</v>
      </c>
      <c r="S1617">
        <f t="shared" si="101"/>
        <v>9.9999999999965894E-2</v>
      </c>
    </row>
    <row r="1618" spans="1:19" x14ac:dyDescent="0.25">
      <c r="A1618" s="2">
        <v>44921</v>
      </c>
      <c r="B1618" s="3">
        <v>360</v>
      </c>
      <c r="C1618" s="3">
        <v>600</v>
      </c>
      <c r="D1618">
        <v>505.76429999999999</v>
      </c>
      <c r="E1618">
        <v>4.9000000000000002E-2</v>
      </c>
      <c r="F1618">
        <v>498.2688</v>
      </c>
      <c r="G1618">
        <v>508.12810000000002</v>
      </c>
      <c r="H1618">
        <v>510.89609999999999</v>
      </c>
      <c r="I1618">
        <v>4.2000000000000003E-2</v>
      </c>
      <c r="J1618">
        <v>5.0999999999999997E-2</v>
      </c>
      <c r="K1618">
        <v>5.1999999999999998E-2</v>
      </c>
      <c r="L1618">
        <v>2397</v>
      </c>
      <c r="M1618">
        <v>2407.4</v>
      </c>
      <c r="N1618">
        <v>2423.4</v>
      </c>
      <c r="Q1618">
        <f t="shared" si="99"/>
        <v>505.8</v>
      </c>
      <c r="R1618">
        <f t="shared" si="100"/>
        <v>505.8</v>
      </c>
      <c r="S1618">
        <f t="shared" si="101"/>
        <v>0.10000000000002274</v>
      </c>
    </row>
    <row r="1619" spans="1:19" x14ac:dyDescent="0.25">
      <c r="A1619" s="2">
        <v>44921</v>
      </c>
      <c r="B1619" s="3">
        <v>360</v>
      </c>
      <c r="C1619" s="3">
        <v>700</v>
      </c>
      <c r="D1619">
        <v>505.8322</v>
      </c>
      <c r="E1619">
        <v>4.8000000000000001E-2</v>
      </c>
      <c r="F1619">
        <v>498.3424</v>
      </c>
      <c r="G1619">
        <v>508.19880000000001</v>
      </c>
      <c r="H1619">
        <v>510.95530000000002</v>
      </c>
      <c r="I1619">
        <v>5.3999999999999999E-2</v>
      </c>
      <c r="J1619">
        <v>5.0999999999999997E-2</v>
      </c>
      <c r="K1619">
        <v>3.9E-2</v>
      </c>
      <c r="L1619">
        <v>2397.1999999999998</v>
      </c>
      <c r="M1619">
        <v>2407.6</v>
      </c>
      <c r="N1619">
        <v>2423.4</v>
      </c>
      <c r="Q1619">
        <f t="shared" ref="Q1619:Q1682" si="102">ROUND(D1619,1)</f>
        <v>505.8</v>
      </c>
      <c r="R1619">
        <f t="shared" si="100"/>
        <v>505.8</v>
      </c>
      <c r="S1619">
        <f t="shared" si="101"/>
        <v>0</v>
      </c>
    </row>
    <row r="1620" spans="1:19" x14ac:dyDescent="0.25">
      <c r="A1620" s="2">
        <v>44921</v>
      </c>
      <c r="B1620" s="3">
        <v>360</v>
      </c>
      <c r="C1620" s="3">
        <v>800</v>
      </c>
      <c r="D1620">
        <v>505.8766</v>
      </c>
      <c r="E1620">
        <v>4.3999999999999997E-2</v>
      </c>
      <c r="F1620">
        <v>498.38209999999998</v>
      </c>
      <c r="G1620">
        <v>508.2484</v>
      </c>
      <c r="H1620">
        <v>510.99919999999997</v>
      </c>
      <c r="I1620">
        <v>3.6999999999999998E-2</v>
      </c>
      <c r="J1620">
        <v>4.3999999999999997E-2</v>
      </c>
      <c r="K1620">
        <v>0.05</v>
      </c>
      <c r="L1620">
        <v>2397.1999999999998</v>
      </c>
      <c r="M1620">
        <v>2407.6</v>
      </c>
      <c r="N1620">
        <v>2423.6</v>
      </c>
      <c r="Q1620">
        <f t="shared" si="102"/>
        <v>505.9</v>
      </c>
      <c r="R1620">
        <f t="shared" si="100"/>
        <v>505.9</v>
      </c>
      <c r="S1620">
        <f t="shared" si="101"/>
        <v>9.9999999999965894E-2</v>
      </c>
    </row>
    <row r="1621" spans="1:19" x14ac:dyDescent="0.25">
      <c r="A1621" s="2">
        <v>44921</v>
      </c>
      <c r="B1621" s="3">
        <v>360</v>
      </c>
      <c r="C1621" s="3">
        <v>900</v>
      </c>
      <c r="D1621">
        <v>505.87220000000002</v>
      </c>
      <c r="E1621">
        <v>5.1999999999999998E-2</v>
      </c>
      <c r="F1621">
        <v>498.37270000000001</v>
      </c>
      <c r="G1621">
        <v>508.22739999999999</v>
      </c>
      <c r="H1621">
        <v>511.01639999999998</v>
      </c>
      <c r="I1621">
        <v>0.05</v>
      </c>
      <c r="J1621">
        <v>5.2999999999999999E-2</v>
      </c>
      <c r="K1621">
        <v>5.3999999999999999E-2</v>
      </c>
      <c r="L1621">
        <v>2397.4</v>
      </c>
      <c r="M1621">
        <v>2407.6</v>
      </c>
      <c r="N1621">
        <v>2423.4</v>
      </c>
      <c r="Q1621">
        <f t="shared" si="102"/>
        <v>505.9</v>
      </c>
      <c r="R1621">
        <f t="shared" si="100"/>
        <v>505.9</v>
      </c>
      <c r="S1621">
        <f t="shared" si="101"/>
        <v>0</v>
      </c>
    </row>
    <row r="1622" spans="1:19" x14ac:dyDescent="0.25">
      <c r="A1622" s="2">
        <v>44921</v>
      </c>
      <c r="B1622" s="3">
        <v>360</v>
      </c>
      <c r="C1622" s="3">
        <v>1000</v>
      </c>
      <c r="D1622">
        <v>505.9015</v>
      </c>
      <c r="E1622">
        <v>3.9E-2</v>
      </c>
      <c r="F1622">
        <v>498.3802</v>
      </c>
      <c r="G1622">
        <v>508.26560000000001</v>
      </c>
      <c r="H1622">
        <v>511.05849999999998</v>
      </c>
      <c r="I1622">
        <v>3.9E-2</v>
      </c>
      <c r="J1622">
        <v>3.2000000000000001E-2</v>
      </c>
      <c r="K1622">
        <v>4.4999999999999998E-2</v>
      </c>
      <c r="L1622">
        <v>2397.1999999999998</v>
      </c>
      <c r="M1622">
        <v>2407.6</v>
      </c>
      <c r="N1622">
        <v>2423.6</v>
      </c>
      <c r="Q1622">
        <f t="shared" si="102"/>
        <v>505.9</v>
      </c>
      <c r="R1622">
        <f t="shared" si="100"/>
        <v>505.9</v>
      </c>
      <c r="S1622">
        <f t="shared" si="101"/>
        <v>0</v>
      </c>
    </row>
    <row r="1623" spans="1:19" x14ac:dyDescent="0.25">
      <c r="A1623" s="2">
        <v>44921</v>
      </c>
      <c r="B1623" s="3">
        <v>360</v>
      </c>
      <c r="C1623" s="3">
        <v>1100</v>
      </c>
      <c r="D1623">
        <v>505.93639999999999</v>
      </c>
      <c r="E1623">
        <v>4.8000000000000001E-2</v>
      </c>
      <c r="F1623">
        <v>498.41809999999998</v>
      </c>
      <c r="G1623">
        <v>508.29039999999998</v>
      </c>
      <c r="H1623">
        <v>511.10050000000001</v>
      </c>
      <c r="I1623">
        <v>5.0999999999999997E-2</v>
      </c>
      <c r="J1623">
        <v>4.5999999999999999E-2</v>
      </c>
      <c r="K1623">
        <v>4.5999999999999999E-2</v>
      </c>
      <c r="L1623">
        <v>2397.4</v>
      </c>
      <c r="M1623">
        <v>2407.8000000000002</v>
      </c>
      <c r="N1623">
        <v>2423.6</v>
      </c>
      <c r="Q1623">
        <f t="shared" si="102"/>
        <v>505.9</v>
      </c>
      <c r="R1623">
        <f t="shared" si="100"/>
        <v>505.9</v>
      </c>
      <c r="S1623">
        <f t="shared" si="101"/>
        <v>0</v>
      </c>
    </row>
    <row r="1624" spans="1:19" x14ac:dyDescent="0.25">
      <c r="A1624" s="2">
        <v>44921</v>
      </c>
      <c r="B1624" s="3">
        <v>360</v>
      </c>
      <c r="C1624" s="3">
        <v>1200</v>
      </c>
      <c r="D1624">
        <v>505.97179999999997</v>
      </c>
      <c r="E1624">
        <v>5.2999999999999999E-2</v>
      </c>
      <c r="F1624">
        <v>498.4597</v>
      </c>
      <c r="G1624">
        <v>508.33049999999997</v>
      </c>
      <c r="H1624">
        <v>511.12529999999998</v>
      </c>
      <c r="I1624">
        <v>5.1999999999999998E-2</v>
      </c>
      <c r="J1624">
        <v>5.3999999999999999E-2</v>
      </c>
      <c r="K1624">
        <v>5.3999999999999999E-2</v>
      </c>
      <c r="L1624">
        <v>2397.4</v>
      </c>
      <c r="M1624">
        <v>2407.8000000000002</v>
      </c>
      <c r="N1624">
        <v>2423.8000000000002</v>
      </c>
      <c r="Q1624">
        <f t="shared" si="102"/>
        <v>506</v>
      </c>
      <c r="R1624">
        <f t="shared" si="100"/>
        <v>506</v>
      </c>
      <c r="S1624">
        <f t="shared" si="101"/>
        <v>0.10000000000002274</v>
      </c>
    </row>
    <row r="1625" spans="1:19" x14ac:dyDescent="0.25">
      <c r="A1625" s="2">
        <v>44921</v>
      </c>
      <c r="B1625" s="3">
        <v>360</v>
      </c>
      <c r="C1625" s="3">
        <v>1300</v>
      </c>
      <c r="D1625">
        <v>505.95350000000002</v>
      </c>
      <c r="E1625">
        <v>5.1999999999999998E-2</v>
      </c>
      <c r="F1625">
        <v>498.44639999999998</v>
      </c>
      <c r="G1625">
        <v>508.30380000000002</v>
      </c>
      <c r="H1625">
        <v>511.11</v>
      </c>
      <c r="I1625">
        <v>5.3999999999999999E-2</v>
      </c>
      <c r="J1625">
        <v>0.05</v>
      </c>
      <c r="K1625">
        <v>5.0999999999999997E-2</v>
      </c>
      <c r="L1625">
        <v>2397.6</v>
      </c>
      <c r="M1625">
        <v>2407.6</v>
      </c>
      <c r="N1625">
        <v>2423.6</v>
      </c>
      <c r="Q1625">
        <f t="shared" si="102"/>
        <v>506</v>
      </c>
      <c r="R1625">
        <f t="shared" si="100"/>
        <v>506</v>
      </c>
      <c r="S1625">
        <f t="shared" si="101"/>
        <v>0</v>
      </c>
    </row>
    <row r="1626" spans="1:19" x14ac:dyDescent="0.25">
      <c r="A1626" s="2">
        <v>44921</v>
      </c>
      <c r="B1626" s="3">
        <v>360</v>
      </c>
      <c r="C1626" s="3">
        <v>1400</v>
      </c>
      <c r="D1626">
        <v>505.96300000000002</v>
      </c>
      <c r="E1626">
        <v>0.06</v>
      </c>
      <c r="F1626">
        <v>498.40859999999998</v>
      </c>
      <c r="G1626">
        <v>508.34570000000002</v>
      </c>
      <c r="H1626">
        <v>511.13490000000002</v>
      </c>
      <c r="I1626">
        <v>4.3999999999999997E-2</v>
      </c>
      <c r="J1626">
        <v>7.6999999999999999E-2</v>
      </c>
      <c r="K1626">
        <v>5.3999999999999999E-2</v>
      </c>
      <c r="L1626">
        <v>2397.4</v>
      </c>
      <c r="M1626">
        <v>2407.6</v>
      </c>
      <c r="N1626">
        <v>2423.8000000000002</v>
      </c>
      <c r="Q1626">
        <f t="shared" si="102"/>
        <v>506</v>
      </c>
      <c r="R1626">
        <f t="shared" si="100"/>
        <v>506</v>
      </c>
      <c r="S1626">
        <f t="shared" si="101"/>
        <v>0</v>
      </c>
    </row>
    <row r="1627" spans="1:19" x14ac:dyDescent="0.25">
      <c r="A1627" s="2">
        <v>44921</v>
      </c>
      <c r="B1627" s="3">
        <v>360</v>
      </c>
      <c r="C1627" s="3">
        <v>1500</v>
      </c>
      <c r="D1627">
        <v>505.96039999999999</v>
      </c>
      <c r="E1627">
        <v>0.05</v>
      </c>
      <c r="F1627">
        <v>498.44830000000002</v>
      </c>
      <c r="G1627">
        <v>508.29230000000001</v>
      </c>
      <c r="H1627">
        <v>511.14060000000001</v>
      </c>
      <c r="I1627">
        <v>5.3999999999999999E-2</v>
      </c>
      <c r="J1627">
        <v>4.2999999999999997E-2</v>
      </c>
      <c r="K1627">
        <v>5.2999999999999999E-2</v>
      </c>
      <c r="L1627">
        <v>2397.4</v>
      </c>
      <c r="M1627">
        <v>2407.6</v>
      </c>
      <c r="N1627">
        <v>2423.8000000000002</v>
      </c>
      <c r="Q1627">
        <f t="shared" si="102"/>
        <v>506</v>
      </c>
      <c r="R1627">
        <f t="shared" si="100"/>
        <v>506</v>
      </c>
      <c r="S1627">
        <f t="shared" si="101"/>
        <v>0</v>
      </c>
    </row>
    <row r="1628" spans="1:19" x14ac:dyDescent="0.25">
      <c r="A1628" s="2">
        <v>44921</v>
      </c>
      <c r="B1628" s="3">
        <v>360</v>
      </c>
      <c r="C1628" s="3">
        <v>1600</v>
      </c>
      <c r="D1628">
        <v>505.93900000000002</v>
      </c>
      <c r="E1628">
        <v>4.9000000000000002E-2</v>
      </c>
      <c r="F1628">
        <v>498.3802</v>
      </c>
      <c r="G1628">
        <v>508.31900000000002</v>
      </c>
      <c r="H1628">
        <v>511.11770000000001</v>
      </c>
      <c r="I1628">
        <v>3.9E-2</v>
      </c>
      <c r="J1628">
        <v>5.3999999999999999E-2</v>
      </c>
      <c r="K1628">
        <v>5.2999999999999999E-2</v>
      </c>
      <c r="L1628">
        <v>2397.4</v>
      </c>
      <c r="M1628">
        <v>2407.8000000000002</v>
      </c>
      <c r="N1628">
        <v>2423.8000000000002</v>
      </c>
      <c r="Q1628">
        <f t="shared" si="102"/>
        <v>505.9</v>
      </c>
      <c r="R1628">
        <f t="shared" si="100"/>
        <v>506</v>
      </c>
      <c r="S1628">
        <f t="shared" si="101"/>
        <v>0</v>
      </c>
    </row>
    <row r="1629" spans="1:19" x14ac:dyDescent="0.25">
      <c r="A1629" s="2">
        <v>44921</v>
      </c>
      <c r="B1629" s="3">
        <v>360</v>
      </c>
      <c r="C1629" s="3">
        <v>1700</v>
      </c>
      <c r="D1629">
        <v>505.95940000000002</v>
      </c>
      <c r="E1629">
        <v>4.8000000000000001E-2</v>
      </c>
      <c r="F1629">
        <v>498.36700000000002</v>
      </c>
      <c r="G1629">
        <v>508.3648</v>
      </c>
      <c r="H1629">
        <v>511.1463</v>
      </c>
      <c r="I1629">
        <v>4.9000000000000002E-2</v>
      </c>
      <c r="J1629">
        <v>4.2999999999999997E-2</v>
      </c>
      <c r="K1629">
        <v>5.1999999999999998E-2</v>
      </c>
      <c r="L1629">
        <v>2397.4</v>
      </c>
      <c r="M1629">
        <v>2407.8000000000002</v>
      </c>
      <c r="N1629">
        <v>2423.8000000000002</v>
      </c>
      <c r="Q1629">
        <f t="shared" si="102"/>
        <v>506</v>
      </c>
      <c r="R1629">
        <f t="shared" si="100"/>
        <v>506</v>
      </c>
      <c r="S1629">
        <f t="shared" si="101"/>
        <v>0</v>
      </c>
    </row>
    <row r="1630" spans="1:19" x14ac:dyDescent="0.25">
      <c r="A1630" s="2">
        <v>44921</v>
      </c>
      <c r="B1630" s="3">
        <v>360</v>
      </c>
      <c r="C1630" s="3">
        <v>1800</v>
      </c>
      <c r="D1630">
        <v>505.94880000000001</v>
      </c>
      <c r="E1630">
        <v>4.3999999999999997E-2</v>
      </c>
      <c r="F1630">
        <v>498.30279999999999</v>
      </c>
      <c r="G1630">
        <v>508.39530000000002</v>
      </c>
      <c r="H1630">
        <v>511.14830000000001</v>
      </c>
      <c r="I1630">
        <v>4.1000000000000002E-2</v>
      </c>
      <c r="J1630">
        <v>3.7999999999999999E-2</v>
      </c>
      <c r="K1630">
        <v>5.0999999999999997E-2</v>
      </c>
      <c r="L1630">
        <v>2397.1999999999998</v>
      </c>
      <c r="M1630">
        <v>2407.8000000000002</v>
      </c>
      <c r="N1630">
        <v>2423.8000000000002</v>
      </c>
      <c r="Q1630">
        <f t="shared" si="102"/>
        <v>505.9</v>
      </c>
      <c r="R1630">
        <f t="shared" si="100"/>
        <v>506</v>
      </c>
      <c r="S1630">
        <f t="shared" si="101"/>
        <v>0</v>
      </c>
    </row>
    <row r="1631" spans="1:19" x14ac:dyDescent="0.25">
      <c r="A1631" s="2">
        <v>44921</v>
      </c>
      <c r="B1631" s="3">
        <v>360</v>
      </c>
      <c r="C1631" s="3">
        <v>1900</v>
      </c>
      <c r="D1631">
        <v>505.9529</v>
      </c>
      <c r="E1631">
        <v>5.7000000000000002E-2</v>
      </c>
      <c r="F1631">
        <v>498.39729999999997</v>
      </c>
      <c r="G1631">
        <v>508.32859999999999</v>
      </c>
      <c r="H1631">
        <v>511.13299999999998</v>
      </c>
      <c r="I1631">
        <v>6.2E-2</v>
      </c>
      <c r="J1631">
        <v>5.3999999999999999E-2</v>
      </c>
      <c r="K1631">
        <v>5.3999999999999999E-2</v>
      </c>
      <c r="L1631">
        <v>2397.1999999999998</v>
      </c>
      <c r="M1631">
        <v>2407.6</v>
      </c>
      <c r="N1631">
        <v>2423.8000000000002</v>
      </c>
      <c r="Q1631">
        <f t="shared" si="102"/>
        <v>506</v>
      </c>
      <c r="R1631">
        <f t="shared" si="100"/>
        <v>506</v>
      </c>
      <c r="S1631">
        <f t="shared" si="101"/>
        <v>0</v>
      </c>
    </row>
    <row r="1632" spans="1:19" x14ac:dyDescent="0.25">
      <c r="A1632" s="2">
        <v>44921</v>
      </c>
      <c r="B1632" s="3">
        <v>360</v>
      </c>
      <c r="C1632" s="3">
        <v>2000</v>
      </c>
      <c r="D1632">
        <v>506.15019999999998</v>
      </c>
      <c r="E1632">
        <v>5.1999999999999998E-2</v>
      </c>
      <c r="F1632">
        <v>498.57499999999999</v>
      </c>
      <c r="G1632">
        <v>508.53649999999999</v>
      </c>
      <c r="H1632">
        <v>511.33920000000001</v>
      </c>
      <c r="I1632">
        <v>4.9000000000000002E-2</v>
      </c>
      <c r="J1632">
        <v>5.3999999999999999E-2</v>
      </c>
      <c r="K1632">
        <v>5.3999999999999999E-2</v>
      </c>
      <c r="L1632">
        <v>2397.8000000000002</v>
      </c>
      <c r="M1632">
        <v>2408.1999999999998</v>
      </c>
      <c r="N1632">
        <v>2424</v>
      </c>
      <c r="Q1632">
        <f t="shared" si="102"/>
        <v>506.2</v>
      </c>
      <c r="R1632">
        <f t="shared" si="100"/>
        <v>506.2</v>
      </c>
      <c r="S1632">
        <f t="shared" si="101"/>
        <v>0.19999999999998863</v>
      </c>
    </row>
    <row r="1633" spans="1:19" x14ac:dyDescent="0.25">
      <c r="A1633" s="2">
        <v>44921</v>
      </c>
      <c r="B1633" s="3">
        <v>360</v>
      </c>
      <c r="C1633" s="3">
        <v>2100</v>
      </c>
      <c r="D1633">
        <v>507.30900000000003</v>
      </c>
      <c r="E1633">
        <v>0.05</v>
      </c>
      <c r="F1633">
        <v>499.7</v>
      </c>
      <c r="G1633">
        <v>509.71440000000001</v>
      </c>
      <c r="H1633">
        <v>512.51260000000002</v>
      </c>
      <c r="I1633">
        <v>5.0999999999999997E-2</v>
      </c>
      <c r="J1633">
        <v>5.1999999999999998E-2</v>
      </c>
      <c r="K1633">
        <v>4.8000000000000001E-2</v>
      </c>
      <c r="L1633">
        <v>2400</v>
      </c>
      <c r="M1633">
        <v>2410.1999999999998</v>
      </c>
      <c r="N1633">
        <v>2426.4</v>
      </c>
      <c r="Q1633">
        <f t="shared" si="102"/>
        <v>507.3</v>
      </c>
      <c r="R1633">
        <f t="shared" si="100"/>
        <v>507.3</v>
      </c>
      <c r="S1633">
        <f t="shared" si="101"/>
        <v>1.1000000000000227</v>
      </c>
    </row>
    <row r="1634" spans="1:19" x14ac:dyDescent="0.25">
      <c r="A1634" s="2">
        <v>44921</v>
      </c>
      <c r="B1634" s="3">
        <v>360</v>
      </c>
      <c r="C1634" s="3">
        <v>2200</v>
      </c>
      <c r="D1634">
        <v>508.94189999999998</v>
      </c>
      <c r="E1634">
        <v>6.7000000000000004E-2</v>
      </c>
      <c r="F1634">
        <v>501.2921</v>
      </c>
      <c r="G1634">
        <v>511.36579999999998</v>
      </c>
      <c r="H1634">
        <v>514.16769999999997</v>
      </c>
      <c r="I1634">
        <v>0.06</v>
      </c>
      <c r="J1634">
        <v>7.2999999999999995E-2</v>
      </c>
      <c r="K1634">
        <v>6.7000000000000004E-2</v>
      </c>
      <c r="L1634">
        <v>2403</v>
      </c>
      <c r="M1634">
        <v>2413.4</v>
      </c>
      <c r="N1634">
        <v>2429.4</v>
      </c>
      <c r="Q1634">
        <f t="shared" si="102"/>
        <v>508.9</v>
      </c>
      <c r="R1634">
        <f t="shared" ref="R1634:R1697" si="103">ROUND(IF(Q1634&lt;R1633,R1633,Q1634),1)</f>
        <v>508.9</v>
      </c>
      <c r="S1634">
        <f t="shared" si="101"/>
        <v>1.5999999999999659</v>
      </c>
    </row>
    <row r="1635" spans="1:19" x14ac:dyDescent="0.25">
      <c r="A1635" s="2">
        <v>44921</v>
      </c>
      <c r="B1635" s="3">
        <v>360</v>
      </c>
      <c r="C1635" s="3">
        <v>2300</v>
      </c>
      <c r="D1635">
        <v>512.11789999999996</v>
      </c>
      <c r="E1635">
        <v>7.1999999999999995E-2</v>
      </c>
      <c r="F1635">
        <v>504.41030000000001</v>
      </c>
      <c r="G1635">
        <v>514.57759999999996</v>
      </c>
      <c r="H1635">
        <v>517.3655</v>
      </c>
      <c r="I1635">
        <v>7.1999999999999995E-2</v>
      </c>
      <c r="J1635">
        <v>7.9000000000000001E-2</v>
      </c>
      <c r="K1635">
        <v>6.4000000000000001E-2</v>
      </c>
      <c r="L1635">
        <v>2408.8000000000002</v>
      </c>
      <c r="M1635">
        <v>2419.4</v>
      </c>
      <c r="N1635">
        <v>2435.1999999999998</v>
      </c>
      <c r="Q1635">
        <f t="shared" si="102"/>
        <v>512.1</v>
      </c>
      <c r="R1635">
        <f t="shared" si="103"/>
        <v>512.1</v>
      </c>
      <c r="S1635">
        <f t="shared" si="101"/>
        <v>3.2000000000000455</v>
      </c>
    </row>
    <row r="1636" spans="1:19" x14ac:dyDescent="0.25">
      <c r="A1636" s="2">
        <v>44921</v>
      </c>
      <c r="B1636" s="3">
        <v>360</v>
      </c>
      <c r="C1636" s="3">
        <v>2400</v>
      </c>
      <c r="D1636">
        <v>513.72260000000006</v>
      </c>
      <c r="E1636">
        <v>6.4000000000000001E-2</v>
      </c>
      <c r="F1636">
        <v>505.98</v>
      </c>
      <c r="G1636">
        <v>516.22220000000004</v>
      </c>
      <c r="H1636">
        <v>518.96550000000002</v>
      </c>
      <c r="I1636">
        <v>7.0000000000000007E-2</v>
      </c>
      <c r="J1636">
        <v>5.8000000000000003E-2</v>
      </c>
      <c r="K1636">
        <v>6.3E-2</v>
      </c>
      <c r="L1636">
        <v>2411.8000000000002</v>
      </c>
      <c r="M1636">
        <v>2422.1999999999998</v>
      </c>
      <c r="N1636">
        <v>2438.1999999999998</v>
      </c>
      <c r="Q1636">
        <f t="shared" si="102"/>
        <v>513.70000000000005</v>
      </c>
      <c r="R1636">
        <f t="shared" si="103"/>
        <v>513.70000000000005</v>
      </c>
      <c r="S1636">
        <f t="shared" si="101"/>
        <v>1.6000000000000227</v>
      </c>
    </row>
    <row r="1637" spans="1:19" x14ac:dyDescent="0.25">
      <c r="A1637" s="2">
        <v>44922</v>
      </c>
      <c r="B1637" s="3">
        <v>361</v>
      </c>
      <c r="C1637" s="3">
        <v>100</v>
      </c>
      <c r="D1637">
        <v>514.84950000000003</v>
      </c>
      <c r="E1637">
        <v>5.1999999999999998E-2</v>
      </c>
      <c r="F1637">
        <v>507.09679999999997</v>
      </c>
      <c r="G1637">
        <v>517.35180000000003</v>
      </c>
      <c r="H1637">
        <v>520.1</v>
      </c>
      <c r="I1637">
        <v>5.3999999999999999E-2</v>
      </c>
      <c r="J1637">
        <v>4.8000000000000001E-2</v>
      </c>
      <c r="K1637">
        <v>5.3999999999999999E-2</v>
      </c>
      <c r="L1637">
        <v>2413.6</v>
      </c>
      <c r="M1637">
        <v>2424.1999999999998</v>
      </c>
      <c r="N1637">
        <v>2440.1999999999998</v>
      </c>
      <c r="Q1637">
        <f t="shared" si="102"/>
        <v>514.79999999999995</v>
      </c>
      <c r="R1637">
        <f t="shared" si="103"/>
        <v>514.79999999999995</v>
      </c>
      <c r="S1637">
        <f t="shared" ref="S1637:S1700" si="104">IF(R1637&gt;R1636,R1637-R1636,0)</f>
        <v>1.0999999999999091</v>
      </c>
    </row>
    <row r="1638" spans="1:19" x14ac:dyDescent="0.25">
      <c r="A1638" s="2">
        <v>44922</v>
      </c>
      <c r="B1638" s="3">
        <v>361</v>
      </c>
      <c r="C1638" s="3">
        <v>200</v>
      </c>
      <c r="D1638">
        <v>515.87080000000003</v>
      </c>
      <c r="E1638">
        <v>4.8000000000000001E-2</v>
      </c>
      <c r="F1638">
        <v>508.10410000000002</v>
      </c>
      <c r="G1638">
        <v>518.38639999999998</v>
      </c>
      <c r="H1638">
        <v>521.12210000000005</v>
      </c>
      <c r="I1638">
        <v>5.5E-2</v>
      </c>
      <c r="J1638">
        <v>5.2999999999999999E-2</v>
      </c>
      <c r="K1638">
        <v>3.1E-2</v>
      </c>
      <c r="L1638">
        <v>2415.1999999999998</v>
      </c>
      <c r="M1638">
        <v>2426</v>
      </c>
      <c r="N1638">
        <v>2442</v>
      </c>
      <c r="Q1638">
        <f t="shared" si="102"/>
        <v>515.9</v>
      </c>
      <c r="R1638">
        <f t="shared" si="103"/>
        <v>515.9</v>
      </c>
      <c r="S1638">
        <f t="shared" si="104"/>
        <v>1.1000000000000227</v>
      </c>
    </row>
    <row r="1639" spans="1:19" x14ac:dyDescent="0.25">
      <c r="A1639" s="2">
        <v>44922</v>
      </c>
      <c r="B1639" s="3">
        <v>361</v>
      </c>
      <c r="C1639" s="3">
        <v>300</v>
      </c>
      <c r="D1639">
        <v>516.01919999999996</v>
      </c>
      <c r="E1639">
        <v>4.8000000000000001E-2</v>
      </c>
      <c r="F1639">
        <v>508.2604</v>
      </c>
      <c r="G1639">
        <v>518.52869999999996</v>
      </c>
      <c r="H1639">
        <v>521.26840000000004</v>
      </c>
      <c r="I1639">
        <v>4.7E-2</v>
      </c>
      <c r="J1639">
        <v>0.05</v>
      </c>
      <c r="K1639">
        <v>4.7E-2</v>
      </c>
      <c r="L1639">
        <v>2415.6</v>
      </c>
      <c r="M1639">
        <v>2426.4</v>
      </c>
      <c r="N1639">
        <v>2442.4</v>
      </c>
      <c r="Q1639">
        <f t="shared" si="102"/>
        <v>516</v>
      </c>
      <c r="R1639">
        <f t="shared" si="103"/>
        <v>516</v>
      </c>
      <c r="S1639">
        <f t="shared" si="104"/>
        <v>0.10000000000002274</v>
      </c>
    </row>
    <row r="1640" spans="1:19" x14ac:dyDescent="0.25">
      <c r="A1640" s="2">
        <v>44922</v>
      </c>
      <c r="B1640" s="3">
        <v>361</v>
      </c>
      <c r="C1640" s="3">
        <v>400</v>
      </c>
      <c r="D1640">
        <v>516.10299999999995</v>
      </c>
      <c r="E1640">
        <v>4.8000000000000001E-2</v>
      </c>
      <c r="F1640">
        <v>508.31560000000002</v>
      </c>
      <c r="G1640">
        <v>518.61530000000005</v>
      </c>
      <c r="H1640">
        <v>521.37819999999999</v>
      </c>
      <c r="I1640">
        <v>4.7E-2</v>
      </c>
      <c r="J1640">
        <v>4.9000000000000002E-2</v>
      </c>
      <c r="K1640">
        <v>4.7E-2</v>
      </c>
      <c r="L1640">
        <v>2415.8000000000002</v>
      </c>
      <c r="M1640">
        <v>2426.4</v>
      </c>
      <c r="N1640">
        <v>2442.6</v>
      </c>
      <c r="Q1640">
        <f t="shared" si="102"/>
        <v>516.1</v>
      </c>
      <c r="R1640">
        <f t="shared" si="103"/>
        <v>516.1</v>
      </c>
      <c r="S1640">
        <f t="shared" si="104"/>
        <v>0.10000000000002274</v>
      </c>
    </row>
    <row r="1641" spans="1:19" x14ac:dyDescent="0.25">
      <c r="A1641" s="2">
        <v>44922</v>
      </c>
      <c r="B1641" s="3">
        <v>361</v>
      </c>
      <c r="C1641" s="3">
        <v>500</v>
      </c>
      <c r="D1641">
        <v>516.24900000000002</v>
      </c>
      <c r="E1641">
        <v>4.2999999999999997E-2</v>
      </c>
      <c r="F1641">
        <v>508.44139999999999</v>
      </c>
      <c r="G1641">
        <v>518.7731</v>
      </c>
      <c r="H1641">
        <v>521.53229999999996</v>
      </c>
      <c r="I1641">
        <v>3.6999999999999998E-2</v>
      </c>
      <c r="J1641">
        <v>0.04</v>
      </c>
      <c r="K1641">
        <v>5.1999999999999998E-2</v>
      </c>
      <c r="L1641">
        <v>2416</v>
      </c>
      <c r="M1641">
        <v>2426.8000000000002</v>
      </c>
      <c r="N1641">
        <v>2442.6</v>
      </c>
      <c r="Q1641">
        <f t="shared" si="102"/>
        <v>516.20000000000005</v>
      </c>
      <c r="R1641">
        <f t="shared" si="103"/>
        <v>516.20000000000005</v>
      </c>
      <c r="S1641">
        <f t="shared" si="104"/>
        <v>0.10000000000002274</v>
      </c>
    </row>
    <row r="1642" spans="1:19" x14ac:dyDescent="0.25">
      <c r="A1642" s="2">
        <v>44922</v>
      </c>
      <c r="B1642" s="3">
        <v>361</v>
      </c>
      <c r="C1642" s="3">
        <v>600</v>
      </c>
      <c r="D1642">
        <v>516.37040000000002</v>
      </c>
      <c r="E1642">
        <v>4.4999999999999998E-2</v>
      </c>
      <c r="F1642">
        <v>508.55759999999998</v>
      </c>
      <c r="G1642">
        <v>518.89430000000004</v>
      </c>
      <c r="H1642">
        <v>521.65940000000001</v>
      </c>
      <c r="I1642">
        <v>4.2999999999999997E-2</v>
      </c>
      <c r="J1642">
        <v>4.8000000000000001E-2</v>
      </c>
      <c r="K1642">
        <v>4.2999999999999997E-2</v>
      </c>
      <c r="L1642">
        <v>2416.4</v>
      </c>
      <c r="M1642">
        <v>2427</v>
      </c>
      <c r="N1642">
        <v>2443</v>
      </c>
      <c r="Q1642">
        <f t="shared" si="102"/>
        <v>516.4</v>
      </c>
      <c r="R1642">
        <f t="shared" si="103"/>
        <v>516.4</v>
      </c>
      <c r="S1642">
        <f t="shared" si="104"/>
        <v>0.19999999999993179</v>
      </c>
    </row>
    <row r="1643" spans="1:19" x14ac:dyDescent="0.25">
      <c r="A1643" s="2">
        <v>44922</v>
      </c>
      <c r="B1643" s="3">
        <v>361</v>
      </c>
      <c r="C1643" s="3">
        <v>700</v>
      </c>
      <c r="D1643">
        <v>516.4778</v>
      </c>
      <c r="E1643">
        <v>3.4000000000000002E-2</v>
      </c>
      <c r="F1643">
        <v>508.66809999999998</v>
      </c>
      <c r="G1643">
        <v>518.98860000000002</v>
      </c>
      <c r="H1643">
        <v>521.77689999999996</v>
      </c>
      <c r="I1643">
        <v>2.9000000000000001E-2</v>
      </c>
      <c r="J1643">
        <v>3.5999999999999997E-2</v>
      </c>
      <c r="K1643">
        <v>3.5999999999999997E-2</v>
      </c>
      <c r="L1643">
        <v>2416.4</v>
      </c>
      <c r="M1643">
        <v>2427.4</v>
      </c>
      <c r="N1643">
        <v>2443.1999999999998</v>
      </c>
      <c r="Q1643">
        <f t="shared" si="102"/>
        <v>516.5</v>
      </c>
      <c r="R1643">
        <f t="shared" si="103"/>
        <v>516.5</v>
      </c>
      <c r="S1643">
        <f t="shared" si="104"/>
        <v>0.10000000000002274</v>
      </c>
    </row>
    <row r="1644" spans="1:19" x14ac:dyDescent="0.25">
      <c r="A1644" s="2">
        <v>44922</v>
      </c>
      <c r="B1644" s="3">
        <v>361</v>
      </c>
      <c r="C1644" s="3">
        <v>800</v>
      </c>
      <c r="D1644">
        <v>516.67679999999996</v>
      </c>
      <c r="E1644">
        <v>4.2000000000000003E-2</v>
      </c>
      <c r="F1644">
        <v>508.86259999999999</v>
      </c>
      <c r="G1644">
        <v>519.17920000000004</v>
      </c>
      <c r="H1644">
        <v>521.98879999999997</v>
      </c>
      <c r="I1644">
        <v>4.3999999999999997E-2</v>
      </c>
      <c r="J1644">
        <v>3.7999999999999999E-2</v>
      </c>
      <c r="K1644">
        <v>4.2999999999999997E-2</v>
      </c>
      <c r="L1644">
        <v>2416.8000000000002</v>
      </c>
      <c r="M1644">
        <v>2427.6</v>
      </c>
      <c r="N1644">
        <v>2443.4</v>
      </c>
      <c r="Q1644">
        <f t="shared" si="102"/>
        <v>516.70000000000005</v>
      </c>
      <c r="R1644">
        <f t="shared" si="103"/>
        <v>516.70000000000005</v>
      </c>
      <c r="S1644">
        <f t="shared" si="104"/>
        <v>0.20000000000004547</v>
      </c>
    </row>
    <row r="1645" spans="1:19" x14ac:dyDescent="0.25">
      <c r="A1645" s="2">
        <v>44922</v>
      </c>
      <c r="B1645" s="3">
        <v>361</v>
      </c>
      <c r="C1645" s="3">
        <v>900</v>
      </c>
      <c r="D1645">
        <v>516.79970000000003</v>
      </c>
      <c r="E1645">
        <v>3.9E-2</v>
      </c>
      <c r="F1645">
        <v>508.97879999999998</v>
      </c>
      <c r="G1645">
        <v>519.31579999999997</v>
      </c>
      <c r="H1645">
        <v>522.10450000000003</v>
      </c>
      <c r="I1645">
        <v>4.2999999999999997E-2</v>
      </c>
      <c r="J1645">
        <v>3.4000000000000002E-2</v>
      </c>
      <c r="K1645">
        <v>3.7999999999999999E-2</v>
      </c>
      <c r="L1645">
        <v>2417</v>
      </c>
      <c r="M1645">
        <v>2427.8000000000002</v>
      </c>
      <c r="N1645">
        <v>2443.8000000000002</v>
      </c>
      <c r="Q1645">
        <f t="shared" si="102"/>
        <v>516.79999999999995</v>
      </c>
      <c r="R1645">
        <f t="shared" si="103"/>
        <v>516.79999999999995</v>
      </c>
      <c r="S1645">
        <f t="shared" si="104"/>
        <v>9.9999999999909051E-2</v>
      </c>
    </row>
    <row r="1646" spans="1:19" x14ac:dyDescent="0.25">
      <c r="A1646" s="2">
        <v>44922</v>
      </c>
      <c r="B1646" s="3">
        <v>361</v>
      </c>
      <c r="C1646" s="3">
        <v>1000</v>
      </c>
      <c r="D1646">
        <v>517.0204</v>
      </c>
      <c r="E1646">
        <v>3.5000000000000003E-2</v>
      </c>
      <c r="F1646">
        <v>509.18279999999999</v>
      </c>
      <c r="G1646">
        <v>519.53909999999996</v>
      </c>
      <c r="H1646">
        <v>522.33950000000004</v>
      </c>
      <c r="I1646">
        <v>4.8000000000000001E-2</v>
      </c>
      <c r="J1646">
        <v>3.7999999999999999E-2</v>
      </c>
      <c r="K1646">
        <v>0</v>
      </c>
      <c r="L1646">
        <v>2417.4</v>
      </c>
      <c r="M1646">
        <v>2428.1999999999998</v>
      </c>
      <c r="N1646">
        <v>2444.1999999999998</v>
      </c>
      <c r="Q1646">
        <f t="shared" si="102"/>
        <v>517</v>
      </c>
      <c r="R1646">
        <f t="shared" si="103"/>
        <v>517</v>
      </c>
      <c r="S1646">
        <f t="shared" si="104"/>
        <v>0.20000000000004547</v>
      </c>
    </row>
    <row r="1647" spans="1:19" x14ac:dyDescent="0.25">
      <c r="A1647" s="2">
        <v>44922</v>
      </c>
      <c r="B1647" s="3">
        <v>361</v>
      </c>
      <c r="C1647" s="3">
        <v>1100</v>
      </c>
      <c r="D1647">
        <v>517.14279999999997</v>
      </c>
      <c r="E1647">
        <v>0.04</v>
      </c>
      <c r="F1647">
        <v>509.30680000000001</v>
      </c>
      <c r="G1647">
        <v>519.65660000000003</v>
      </c>
      <c r="H1647">
        <v>522.46479999999997</v>
      </c>
      <c r="I1647">
        <v>3.5999999999999997E-2</v>
      </c>
      <c r="J1647">
        <v>4.4999999999999998E-2</v>
      </c>
      <c r="K1647">
        <v>3.7999999999999999E-2</v>
      </c>
      <c r="L1647">
        <v>2417.6</v>
      </c>
      <c r="M1647">
        <v>2428.4</v>
      </c>
      <c r="N1647">
        <v>2444.4</v>
      </c>
      <c r="Q1647">
        <f t="shared" si="102"/>
        <v>517.1</v>
      </c>
      <c r="R1647">
        <f t="shared" si="103"/>
        <v>517.1</v>
      </c>
      <c r="S1647">
        <f t="shared" si="104"/>
        <v>0.10000000000002274</v>
      </c>
    </row>
    <row r="1648" spans="1:19" x14ac:dyDescent="0.25">
      <c r="A1648" s="2">
        <v>44922</v>
      </c>
      <c r="B1648" s="3">
        <v>361</v>
      </c>
      <c r="C1648" s="3">
        <v>1200</v>
      </c>
      <c r="D1648">
        <v>517.60929999999996</v>
      </c>
      <c r="E1648">
        <v>4.9000000000000002E-2</v>
      </c>
      <c r="F1648">
        <v>509.7663</v>
      </c>
      <c r="G1648">
        <v>520.12459999999999</v>
      </c>
      <c r="H1648">
        <v>522.93709999999999</v>
      </c>
      <c r="I1648">
        <v>3.3000000000000002E-2</v>
      </c>
      <c r="J1648">
        <v>5.5E-2</v>
      </c>
      <c r="K1648">
        <v>5.5E-2</v>
      </c>
      <c r="L1648">
        <v>2418.4</v>
      </c>
      <c r="M1648">
        <v>2429.4</v>
      </c>
      <c r="N1648">
        <v>2445.1999999999998</v>
      </c>
      <c r="Q1648">
        <f t="shared" si="102"/>
        <v>517.6</v>
      </c>
      <c r="R1648">
        <f t="shared" si="103"/>
        <v>517.6</v>
      </c>
      <c r="S1648">
        <f t="shared" si="104"/>
        <v>0.5</v>
      </c>
    </row>
    <row r="1649" spans="1:19" x14ac:dyDescent="0.25">
      <c r="A1649" s="2">
        <v>44922</v>
      </c>
      <c r="B1649" s="3">
        <v>361</v>
      </c>
      <c r="C1649" s="3">
        <v>1300</v>
      </c>
      <c r="D1649">
        <v>518.11850000000004</v>
      </c>
      <c r="E1649">
        <v>4.3999999999999997E-2</v>
      </c>
      <c r="F1649">
        <v>510.2586</v>
      </c>
      <c r="G1649">
        <v>520.64869999999996</v>
      </c>
      <c r="H1649">
        <v>523.44820000000004</v>
      </c>
      <c r="I1649">
        <v>5.1999999999999998E-2</v>
      </c>
      <c r="J1649">
        <v>4.7E-2</v>
      </c>
      <c r="K1649">
        <v>3.1E-2</v>
      </c>
      <c r="L1649">
        <v>2419.1999999999998</v>
      </c>
      <c r="M1649">
        <v>2430.4</v>
      </c>
      <c r="N1649">
        <v>2446.1999999999998</v>
      </c>
      <c r="Q1649">
        <f t="shared" si="102"/>
        <v>518.1</v>
      </c>
      <c r="R1649">
        <f t="shared" si="103"/>
        <v>518.1</v>
      </c>
      <c r="S1649">
        <f t="shared" si="104"/>
        <v>0.5</v>
      </c>
    </row>
    <row r="1650" spans="1:19" x14ac:dyDescent="0.25">
      <c r="A1650" s="2">
        <v>44922</v>
      </c>
      <c r="B1650" s="3">
        <v>361</v>
      </c>
      <c r="C1650" s="3">
        <v>1400</v>
      </c>
      <c r="D1650">
        <v>518.37289999999996</v>
      </c>
      <c r="E1650">
        <v>4.9000000000000002E-2</v>
      </c>
      <c r="F1650">
        <v>510.50490000000002</v>
      </c>
      <c r="G1650">
        <v>520.90309999999999</v>
      </c>
      <c r="H1650">
        <v>523.71069999999997</v>
      </c>
      <c r="I1650">
        <v>3.3000000000000002E-2</v>
      </c>
      <c r="J1650">
        <v>5.5E-2</v>
      </c>
      <c r="K1650">
        <v>5.5E-2</v>
      </c>
      <c r="L1650">
        <v>2419.8000000000002</v>
      </c>
      <c r="M1650">
        <v>2430.6</v>
      </c>
      <c r="N1650">
        <v>2446.8000000000002</v>
      </c>
      <c r="Q1650">
        <f t="shared" si="102"/>
        <v>518.4</v>
      </c>
      <c r="R1650">
        <f t="shared" si="103"/>
        <v>518.4</v>
      </c>
      <c r="S1650">
        <f t="shared" si="104"/>
        <v>0.29999999999995453</v>
      </c>
    </row>
    <row r="1651" spans="1:19" x14ac:dyDescent="0.25">
      <c r="A1651" s="2">
        <v>44922</v>
      </c>
      <c r="B1651" s="3">
        <v>361</v>
      </c>
      <c r="C1651" s="3">
        <v>1500</v>
      </c>
      <c r="D1651">
        <v>518.59259999999995</v>
      </c>
      <c r="E1651">
        <v>4.8000000000000001E-2</v>
      </c>
      <c r="F1651">
        <v>510.72629999999998</v>
      </c>
      <c r="G1651">
        <v>521.11130000000003</v>
      </c>
      <c r="H1651">
        <v>523.9402</v>
      </c>
      <c r="I1651">
        <v>2.8000000000000001E-2</v>
      </c>
      <c r="J1651">
        <v>5.5E-2</v>
      </c>
      <c r="K1651">
        <v>5.5E-2</v>
      </c>
      <c r="L1651">
        <v>2420.1999999999998</v>
      </c>
      <c r="M1651">
        <v>2431</v>
      </c>
      <c r="N1651">
        <v>2447.1999999999998</v>
      </c>
      <c r="Q1651">
        <f t="shared" si="102"/>
        <v>518.6</v>
      </c>
      <c r="R1651">
        <f t="shared" si="103"/>
        <v>518.6</v>
      </c>
      <c r="S1651">
        <f t="shared" si="104"/>
        <v>0.20000000000004547</v>
      </c>
    </row>
    <row r="1652" spans="1:19" x14ac:dyDescent="0.25">
      <c r="A1652" s="2">
        <v>44922</v>
      </c>
      <c r="B1652" s="3">
        <v>361</v>
      </c>
      <c r="C1652" s="3">
        <v>1600</v>
      </c>
      <c r="D1652">
        <v>519.05399999999997</v>
      </c>
      <c r="E1652">
        <v>4.2999999999999997E-2</v>
      </c>
      <c r="F1652">
        <v>511.18450000000001</v>
      </c>
      <c r="G1652">
        <v>521.55870000000004</v>
      </c>
      <c r="H1652">
        <v>524.41890000000001</v>
      </c>
      <c r="I1652">
        <v>3.7999999999999999E-2</v>
      </c>
      <c r="J1652">
        <v>5.5E-2</v>
      </c>
      <c r="K1652">
        <v>3.1E-2</v>
      </c>
      <c r="L1652">
        <v>2421</v>
      </c>
      <c r="M1652">
        <v>2432</v>
      </c>
      <c r="N1652">
        <v>2448</v>
      </c>
      <c r="Q1652">
        <f t="shared" si="102"/>
        <v>519.1</v>
      </c>
      <c r="R1652">
        <f t="shared" si="103"/>
        <v>519.1</v>
      </c>
      <c r="S1652">
        <f t="shared" si="104"/>
        <v>0.5</v>
      </c>
    </row>
    <row r="1653" spans="1:19" x14ac:dyDescent="0.25">
      <c r="A1653" s="2">
        <v>44922</v>
      </c>
      <c r="B1653" s="3">
        <v>361</v>
      </c>
      <c r="C1653" s="3">
        <v>1700</v>
      </c>
      <c r="D1653">
        <v>519.43619999999999</v>
      </c>
      <c r="E1653">
        <v>4.7E-2</v>
      </c>
      <c r="F1653">
        <v>511.54939999999999</v>
      </c>
      <c r="G1653">
        <v>521.93290000000002</v>
      </c>
      <c r="H1653">
        <v>524.82640000000004</v>
      </c>
      <c r="I1653">
        <v>5.3999999999999999E-2</v>
      </c>
      <c r="J1653">
        <v>2.8000000000000001E-2</v>
      </c>
      <c r="K1653">
        <v>5.3999999999999999E-2</v>
      </c>
      <c r="L1653">
        <v>2421.6</v>
      </c>
      <c r="M1653">
        <v>2432.6</v>
      </c>
      <c r="N1653">
        <v>2448.8000000000002</v>
      </c>
      <c r="Q1653">
        <f t="shared" si="102"/>
        <v>519.4</v>
      </c>
      <c r="R1653">
        <f t="shared" si="103"/>
        <v>519.4</v>
      </c>
      <c r="S1653">
        <f t="shared" si="104"/>
        <v>0.29999999999995453</v>
      </c>
    </row>
    <row r="1654" spans="1:19" x14ac:dyDescent="0.25">
      <c r="A1654" s="2">
        <v>44922</v>
      </c>
      <c r="B1654" s="3">
        <v>361</v>
      </c>
      <c r="C1654" s="3">
        <v>1800</v>
      </c>
      <c r="D1654">
        <v>519.80050000000006</v>
      </c>
      <c r="E1654">
        <v>4.3999999999999997E-2</v>
      </c>
      <c r="F1654">
        <v>511.89890000000003</v>
      </c>
      <c r="G1654">
        <v>522.27620000000002</v>
      </c>
      <c r="H1654">
        <v>525.22609999999997</v>
      </c>
      <c r="I1654">
        <v>0.05</v>
      </c>
      <c r="J1654">
        <v>3.2000000000000001E-2</v>
      </c>
      <c r="K1654">
        <v>4.7E-2</v>
      </c>
      <c r="L1654">
        <v>2422.1999999999998</v>
      </c>
      <c r="M1654">
        <v>2433.1999999999998</v>
      </c>
      <c r="N1654">
        <v>2449.6</v>
      </c>
      <c r="Q1654">
        <f t="shared" si="102"/>
        <v>519.79999999999995</v>
      </c>
      <c r="R1654">
        <f t="shared" si="103"/>
        <v>519.79999999999995</v>
      </c>
      <c r="S1654">
        <f t="shared" si="104"/>
        <v>0.39999999999997726</v>
      </c>
    </row>
    <row r="1655" spans="1:19" x14ac:dyDescent="0.25">
      <c r="A1655" s="2">
        <v>44922</v>
      </c>
      <c r="B1655" s="3">
        <v>361</v>
      </c>
      <c r="C1655" s="3">
        <v>1900</v>
      </c>
      <c r="D1655">
        <v>520.94839999999999</v>
      </c>
      <c r="E1655">
        <v>4.8000000000000001E-2</v>
      </c>
      <c r="F1655">
        <v>513.0498</v>
      </c>
      <c r="G1655">
        <v>523.35739999999998</v>
      </c>
      <c r="H1655">
        <v>526.43799999999999</v>
      </c>
      <c r="I1655">
        <v>4.8000000000000001E-2</v>
      </c>
      <c r="J1655">
        <v>4.2000000000000003E-2</v>
      </c>
      <c r="K1655">
        <v>5.1999999999999998E-2</v>
      </c>
      <c r="L1655">
        <v>2424.6</v>
      </c>
      <c r="M1655">
        <v>2435.1999999999998</v>
      </c>
      <c r="N1655">
        <v>2451.6</v>
      </c>
      <c r="Q1655">
        <f t="shared" si="102"/>
        <v>520.9</v>
      </c>
      <c r="R1655">
        <f t="shared" si="103"/>
        <v>520.9</v>
      </c>
      <c r="S1655">
        <f t="shared" si="104"/>
        <v>1.1000000000000227</v>
      </c>
    </row>
    <row r="1656" spans="1:19" x14ac:dyDescent="0.25">
      <c r="A1656" s="2">
        <v>44922</v>
      </c>
      <c r="B1656" s="3">
        <v>361</v>
      </c>
      <c r="C1656" s="3">
        <v>2000</v>
      </c>
      <c r="D1656">
        <v>521.99390000000005</v>
      </c>
      <c r="E1656">
        <v>4.3999999999999997E-2</v>
      </c>
      <c r="F1656">
        <v>514.10789999999997</v>
      </c>
      <c r="G1656">
        <v>524.34280000000001</v>
      </c>
      <c r="H1656">
        <v>527.53089999999997</v>
      </c>
      <c r="I1656">
        <v>4.5999999999999999E-2</v>
      </c>
      <c r="J1656">
        <v>4.2000000000000003E-2</v>
      </c>
      <c r="K1656">
        <v>4.4999999999999998E-2</v>
      </c>
      <c r="L1656">
        <v>2426.6</v>
      </c>
      <c r="M1656">
        <v>2437</v>
      </c>
      <c r="N1656">
        <v>2453.8000000000002</v>
      </c>
      <c r="Q1656">
        <f t="shared" si="102"/>
        <v>522</v>
      </c>
      <c r="R1656">
        <f t="shared" si="103"/>
        <v>522</v>
      </c>
      <c r="S1656">
        <f t="shared" si="104"/>
        <v>1.1000000000000227</v>
      </c>
    </row>
    <row r="1657" spans="1:19" x14ac:dyDescent="0.25">
      <c r="A1657" s="2">
        <v>44922</v>
      </c>
      <c r="B1657" s="3">
        <v>361</v>
      </c>
      <c r="C1657" s="3">
        <v>2100</v>
      </c>
      <c r="D1657">
        <v>522.94650000000001</v>
      </c>
      <c r="E1657">
        <v>4.8000000000000001E-2</v>
      </c>
      <c r="F1657">
        <v>514.99839999999995</v>
      </c>
      <c r="G1657">
        <v>525.49530000000004</v>
      </c>
      <c r="H1657">
        <v>528.346</v>
      </c>
      <c r="I1657">
        <v>3.5999999999999997E-2</v>
      </c>
      <c r="J1657">
        <v>0.05</v>
      </c>
      <c r="K1657">
        <v>5.5E-2</v>
      </c>
      <c r="L1657">
        <v>2428</v>
      </c>
      <c r="M1657">
        <v>2439</v>
      </c>
      <c r="N1657">
        <v>2455.1999999999998</v>
      </c>
      <c r="Q1657">
        <f t="shared" si="102"/>
        <v>522.9</v>
      </c>
      <c r="R1657">
        <f t="shared" si="103"/>
        <v>522.9</v>
      </c>
      <c r="S1657">
        <f t="shared" si="104"/>
        <v>0.89999999999997726</v>
      </c>
    </row>
    <row r="1658" spans="1:19" x14ac:dyDescent="0.25">
      <c r="A1658" s="2">
        <v>44922</v>
      </c>
      <c r="B1658" s="3">
        <v>361</v>
      </c>
      <c r="C1658" s="3">
        <v>2200</v>
      </c>
      <c r="D1658">
        <v>523.60910000000001</v>
      </c>
      <c r="E1658">
        <v>5.0999999999999997E-2</v>
      </c>
      <c r="F1658">
        <v>515.65560000000005</v>
      </c>
      <c r="G1658">
        <v>526.16489999999999</v>
      </c>
      <c r="H1658">
        <v>529.00649999999996</v>
      </c>
      <c r="I1658">
        <v>4.2999999999999997E-2</v>
      </c>
      <c r="J1658">
        <v>5.2999999999999999E-2</v>
      </c>
      <c r="K1658">
        <v>5.5E-2</v>
      </c>
      <c r="L1658">
        <v>2429.4</v>
      </c>
      <c r="M1658">
        <v>2440.4</v>
      </c>
      <c r="N1658">
        <v>2456.4</v>
      </c>
      <c r="Q1658">
        <f t="shared" si="102"/>
        <v>523.6</v>
      </c>
      <c r="R1658">
        <f t="shared" si="103"/>
        <v>523.6</v>
      </c>
      <c r="S1658">
        <f t="shared" si="104"/>
        <v>0.70000000000004547</v>
      </c>
    </row>
    <row r="1659" spans="1:19" x14ac:dyDescent="0.25">
      <c r="A1659" s="2">
        <v>44922</v>
      </c>
      <c r="B1659" s="3">
        <v>361</v>
      </c>
      <c r="C1659" s="3">
        <v>2300</v>
      </c>
      <c r="D1659">
        <v>524.61300000000006</v>
      </c>
      <c r="E1659">
        <v>5.0999999999999997E-2</v>
      </c>
      <c r="F1659">
        <v>516.64890000000003</v>
      </c>
      <c r="G1659">
        <v>527.19320000000005</v>
      </c>
      <c r="H1659">
        <v>529.99710000000005</v>
      </c>
      <c r="I1659">
        <v>4.5999999999999999E-2</v>
      </c>
      <c r="J1659">
        <v>5.1999999999999998E-2</v>
      </c>
      <c r="K1659">
        <v>5.5E-2</v>
      </c>
      <c r="L1659">
        <v>2431.1999999999998</v>
      </c>
      <c r="M1659">
        <v>2442.1999999999998</v>
      </c>
      <c r="N1659">
        <v>2458.1999999999998</v>
      </c>
      <c r="Q1659">
        <f t="shared" si="102"/>
        <v>524.6</v>
      </c>
      <c r="R1659">
        <f t="shared" si="103"/>
        <v>524.6</v>
      </c>
      <c r="S1659">
        <f t="shared" si="104"/>
        <v>1</v>
      </c>
    </row>
    <row r="1660" spans="1:19" x14ac:dyDescent="0.25">
      <c r="A1660" s="2">
        <v>44922</v>
      </c>
      <c r="B1660" s="3">
        <v>361</v>
      </c>
      <c r="C1660" s="3">
        <v>2400</v>
      </c>
      <c r="D1660">
        <v>525.21839999999997</v>
      </c>
      <c r="E1660">
        <v>4.3999999999999997E-2</v>
      </c>
      <c r="F1660">
        <v>517.23990000000003</v>
      </c>
      <c r="G1660">
        <v>527.81330000000003</v>
      </c>
      <c r="H1660">
        <v>530.60220000000004</v>
      </c>
      <c r="I1660">
        <v>5.2999999999999999E-2</v>
      </c>
      <c r="J1660">
        <v>0.05</v>
      </c>
      <c r="K1660">
        <v>0.02</v>
      </c>
      <c r="L1660">
        <v>2432.1999999999998</v>
      </c>
      <c r="M1660">
        <v>2443.1999999999998</v>
      </c>
      <c r="N1660">
        <v>2459.1999999999998</v>
      </c>
      <c r="Q1660">
        <f t="shared" si="102"/>
        <v>525.20000000000005</v>
      </c>
      <c r="R1660">
        <f t="shared" si="103"/>
        <v>525.20000000000005</v>
      </c>
      <c r="S1660">
        <f t="shared" si="104"/>
        <v>0.60000000000002274</v>
      </c>
    </row>
    <row r="1661" spans="1:19" x14ac:dyDescent="0.25">
      <c r="A1661" s="2">
        <v>44923</v>
      </c>
      <c r="B1661" s="3">
        <v>362</v>
      </c>
      <c r="C1661" s="3">
        <v>100</v>
      </c>
      <c r="D1661">
        <v>525.29510000000005</v>
      </c>
      <c r="E1661">
        <v>4.4999999999999998E-2</v>
      </c>
      <c r="F1661">
        <v>517.31849999999997</v>
      </c>
      <c r="G1661">
        <v>527.89269999999999</v>
      </c>
      <c r="H1661">
        <v>530.67399999999998</v>
      </c>
      <c r="I1661">
        <v>5.1999999999999998E-2</v>
      </c>
      <c r="J1661">
        <v>2.1000000000000001E-2</v>
      </c>
      <c r="K1661">
        <v>5.3999999999999999E-2</v>
      </c>
      <c r="L1661">
        <v>2432.4</v>
      </c>
      <c r="M1661">
        <v>2443.4</v>
      </c>
      <c r="N1661">
        <v>2459.4</v>
      </c>
      <c r="Q1661">
        <f t="shared" si="102"/>
        <v>525.29999999999995</v>
      </c>
      <c r="R1661">
        <f t="shared" si="103"/>
        <v>525.29999999999995</v>
      </c>
      <c r="S1661">
        <f t="shared" si="104"/>
        <v>9.9999999999909051E-2</v>
      </c>
    </row>
    <row r="1662" spans="1:19" x14ac:dyDescent="0.25">
      <c r="A1662" s="2">
        <v>44923</v>
      </c>
      <c r="B1662" s="3">
        <v>362</v>
      </c>
      <c r="C1662" s="3">
        <v>200</v>
      </c>
      <c r="D1662">
        <v>525.73850000000004</v>
      </c>
      <c r="E1662">
        <v>4.5999999999999999E-2</v>
      </c>
      <c r="F1662">
        <v>517.75429999999994</v>
      </c>
      <c r="G1662">
        <v>528.33870000000002</v>
      </c>
      <c r="H1662">
        <v>531.1223</v>
      </c>
      <c r="I1662">
        <v>5.1999999999999998E-2</v>
      </c>
      <c r="J1662">
        <v>2.9000000000000001E-2</v>
      </c>
      <c r="K1662">
        <v>5.1999999999999998E-2</v>
      </c>
      <c r="L1662">
        <v>2433.1999999999998</v>
      </c>
      <c r="M1662">
        <v>2444.1999999999998</v>
      </c>
      <c r="N1662">
        <v>2460.1999999999998</v>
      </c>
      <c r="Q1662">
        <f t="shared" si="102"/>
        <v>525.70000000000005</v>
      </c>
      <c r="R1662">
        <f t="shared" si="103"/>
        <v>525.70000000000005</v>
      </c>
      <c r="S1662">
        <f t="shared" si="104"/>
        <v>0.40000000000009095</v>
      </c>
    </row>
    <row r="1663" spans="1:19" x14ac:dyDescent="0.25">
      <c r="A1663" s="2">
        <v>44923</v>
      </c>
      <c r="B1663" s="3">
        <v>362</v>
      </c>
      <c r="C1663" s="3">
        <v>300</v>
      </c>
      <c r="D1663">
        <v>525.8537</v>
      </c>
      <c r="E1663">
        <v>5.3999999999999999E-2</v>
      </c>
      <c r="F1663">
        <v>517.88099999999997</v>
      </c>
      <c r="G1663">
        <v>528.47249999999997</v>
      </c>
      <c r="H1663">
        <v>531.20759999999996</v>
      </c>
      <c r="I1663">
        <v>5.5E-2</v>
      </c>
      <c r="J1663">
        <v>5.1999999999999998E-2</v>
      </c>
      <c r="K1663">
        <v>5.5E-2</v>
      </c>
      <c r="L1663">
        <v>2433.4</v>
      </c>
      <c r="M1663">
        <v>2444.4</v>
      </c>
      <c r="N1663">
        <v>2460.1999999999998</v>
      </c>
      <c r="Q1663">
        <f t="shared" si="102"/>
        <v>525.9</v>
      </c>
      <c r="R1663">
        <f t="shared" si="103"/>
        <v>525.9</v>
      </c>
      <c r="S1663">
        <f t="shared" si="104"/>
        <v>0.19999999999993179</v>
      </c>
    </row>
    <row r="1664" spans="1:19" x14ac:dyDescent="0.25">
      <c r="A1664" s="2">
        <v>44923</v>
      </c>
      <c r="B1664" s="3">
        <v>362</v>
      </c>
      <c r="C1664" s="3">
        <v>400</v>
      </c>
      <c r="D1664">
        <v>525.86469999999997</v>
      </c>
      <c r="E1664">
        <v>5.2999999999999999E-2</v>
      </c>
      <c r="F1664">
        <v>517.89440000000002</v>
      </c>
      <c r="G1664">
        <v>528.48019999999997</v>
      </c>
      <c r="H1664">
        <v>531.21929999999998</v>
      </c>
      <c r="I1664">
        <v>5.2999999999999999E-2</v>
      </c>
      <c r="J1664">
        <v>5.0999999999999997E-2</v>
      </c>
      <c r="K1664">
        <v>5.5E-2</v>
      </c>
      <c r="L1664">
        <v>2433.1999999999998</v>
      </c>
      <c r="M1664">
        <v>2444.4</v>
      </c>
      <c r="N1664">
        <v>2460.1999999999998</v>
      </c>
      <c r="Q1664">
        <f t="shared" si="102"/>
        <v>525.9</v>
      </c>
      <c r="R1664">
        <f t="shared" si="103"/>
        <v>525.9</v>
      </c>
      <c r="S1664">
        <f t="shared" si="104"/>
        <v>0</v>
      </c>
    </row>
    <row r="1665" spans="1:19" x14ac:dyDescent="0.25">
      <c r="A1665" s="2">
        <v>44923</v>
      </c>
      <c r="B1665" s="3">
        <v>362</v>
      </c>
      <c r="C1665" s="3">
        <v>500</v>
      </c>
      <c r="D1665">
        <v>525.86530000000005</v>
      </c>
      <c r="E1665">
        <v>5.5E-2</v>
      </c>
      <c r="F1665">
        <v>517.90210000000002</v>
      </c>
      <c r="G1665">
        <v>528.45889999999997</v>
      </c>
      <c r="H1665">
        <v>531.23479999999995</v>
      </c>
      <c r="I1665">
        <v>5.0999999999999997E-2</v>
      </c>
      <c r="J1665">
        <v>6.2E-2</v>
      </c>
      <c r="K1665">
        <v>5.0999999999999997E-2</v>
      </c>
      <c r="L1665">
        <v>2433.1999999999998</v>
      </c>
      <c r="M1665">
        <v>2444.4</v>
      </c>
      <c r="N1665">
        <v>2460.4</v>
      </c>
      <c r="Q1665">
        <f t="shared" si="102"/>
        <v>525.9</v>
      </c>
      <c r="R1665">
        <f t="shared" si="103"/>
        <v>525.9</v>
      </c>
      <c r="S1665">
        <f t="shared" si="104"/>
        <v>0</v>
      </c>
    </row>
    <row r="1666" spans="1:19" x14ac:dyDescent="0.25">
      <c r="A1666" s="2">
        <v>44923</v>
      </c>
      <c r="B1666" s="3">
        <v>362</v>
      </c>
      <c r="C1666" s="3">
        <v>600</v>
      </c>
      <c r="D1666">
        <v>525.87180000000001</v>
      </c>
      <c r="E1666">
        <v>0.05</v>
      </c>
      <c r="F1666">
        <v>517.8963</v>
      </c>
      <c r="G1666">
        <v>528.47640000000001</v>
      </c>
      <c r="H1666">
        <v>531.24260000000004</v>
      </c>
      <c r="I1666">
        <v>5.2999999999999999E-2</v>
      </c>
      <c r="J1666">
        <v>0.05</v>
      </c>
      <c r="K1666">
        <v>4.8000000000000001E-2</v>
      </c>
      <c r="L1666">
        <v>2433.4</v>
      </c>
      <c r="M1666">
        <v>2444.4</v>
      </c>
      <c r="N1666">
        <v>2460.4</v>
      </c>
      <c r="Q1666">
        <f t="shared" si="102"/>
        <v>525.9</v>
      </c>
      <c r="R1666">
        <f t="shared" si="103"/>
        <v>525.9</v>
      </c>
      <c r="S1666">
        <f t="shared" si="104"/>
        <v>0</v>
      </c>
    </row>
    <row r="1667" spans="1:19" x14ac:dyDescent="0.25">
      <c r="A1667" s="2">
        <v>44923</v>
      </c>
      <c r="B1667" s="3">
        <v>362</v>
      </c>
      <c r="C1667" s="3">
        <v>700</v>
      </c>
      <c r="D1667">
        <v>525.875</v>
      </c>
      <c r="E1667">
        <v>0.05</v>
      </c>
      <c r="F1667">
        <v>517.89440000000002</v>
      </c>
      <c r="G1667">
        <v>528.48019999999997</v>
      </c>
      <c r="H1667">
        <v>531.25040000000001</v>
      </c>
      <c r="I1667">
        <v>5.2999999999999999E-2</v>
      </c>
      <c r="J1667">
        <v>5.5E-2</v>
      </c>
      <c r="K1667">
        <v>4.2000000000000003E-2</v>
      </c>
      <c r="L1667">
        <v>2433.4</v>
      </c>
      <c r="M1667">
        <v>2444.4</v>
      </c>
      <c r="N1667">
        <v>2460.4</v>
      </c>
      <c r="Q1667">
        <f t="shared" si="102"/>
        <v>525.9</v>
      </c>
      <c r="R1667">
        <f t="shared" si="103"/>
        <v>525.9</v>
      </c>
      <c r="S1667">
        <f t="shared" si="104"/>
        <v>0</v>
      </c>
    </row>
    <row r="1668" spans="1:19" x14ac:dyDescent="0.25">
      <c r="A1668" s="2">
        <v>44923</v>
      </c>
      <c r="B1668" s="3">
        <v>362</v>
      </c>
      <c r="C1668" s="3">
        <v>800</v>
      </c>
      <c r="D1668">
        <v>525.91819999999996</v>
      </c>
      <c r="E1668">
        <v>4.3999999999999997E-2</v>
      </c>
      <c r="F1668">
        <v>517.94050000000004</v>
      </c>
      <c r="G1668">
        <v>528.52099999999996</v>
      </c>
      <c r="H1668">
        <v>531.29309999999998</v>
      </c>
      <c r="I1668">
        <v>3.5000000000000003E-2</v>
      </c>
      <c r="J1668">
        <v>5.0999999999999997E-2</v>
      </c>
      <c r="K1668">
        <v>4.4999999999999998E-2</v>
      </c>
      <c r="L1668">
        <v>2433.4</v>
      </c>
      <c r="M1668">
        <v>2444.4</v>
      </c>
      <c r="N1668">
        <v>2460.4</v>
      </c>
      <c r="Q1668">
        <f t="shared" si="102"/>
        <v>525.9</v>
      </c>
      <c r="R1668">
        <f t="shared" si="103"/>
        <v>525.9</v>
      </c>
      <c r="S1668">
        <f t="shared" si="104"/>
        <v>0</v>
      </c>
    </row>
    <row r="1669" spans="1:19" x14ac:dyDescent="0.25">
      <c r="A1669" s="2">
        <v>44923</v>
      </c>
      <c r="B1669" s="3">
        <v>362</v>
      </c>
      <c r="C1669" s="3">
        <v>900</v>
      </c>
      <c r="D1669">
        <v>526.0104</v>
      </c>
      <c r="E1669">
        <v>4.8000000000000001E-2</v>
      </c>
      <c r="F1669">
        <v>518.01739999999995</v>
      </c>
      <c r="G1669">
        <v>528.62570000000005</v>
      </c>
      <c r="H1669">
        <v>531.38819999999998</v>
      </c>
      <c r="I1669">
        <v>4.8000000000000001E-2</v>
      </c>
      <c r="J1669">
        <v>5.2999999999999999E-2</v>
      </c>
      <c r="K1669">
        <v>4.1000000000000002E-2</v>
      </c>
      <c r="L1669">
        <v>2433.6</v>
      </c>
      <c r="M1669">
        <v>2444.8000000000002</v>
      </c>
      <c r="N1669">
        <v>2460.6</v>
      </c>
      <c r="Q1669">
        <f t="shared" si="102"/>
        <v>526</v>
      </c>
      <c r="R1669">
        <f t="shared" si="103"/>
        <v>526</v>
      </c>
      <c r="S1669">
        <f t="shared" si="104"/>
        <v>0.10000000000002274</v>
      </c>
    </row>
    <row r="1670" spans="1:19" x14ac:dyDescent="0.25">
      <c r="A1670" s="2">
        <v>44923</v>
      </c>
      <c r="B1670" s="3">
        <v>362</v>
      </c>
      <c r="C1670" s="3">
        <v>1000</v>
      </c>
      <c r="D1670">
        <v>526.55539999999996</v>
      </c>
      <c r="E1670">
        <v>0.05</v>
      </c>
      <c r="F1670">
        <v>518.53589999999997</v>
      </c>
      <c r="G1670">
        <v>529.17859999999996</v>
      </c>
      <c r="H1670">
        <v>531.95140000000004</v>
      </c>
      <c r="I1670">
        <v>5.5E-2</v>
      </c>
      <c r="J1670">
        <v>5.2999999999999999E-2</v>
      </c>
      <c r="K1670">
        <v>0.04</v>
      </c>
      <c r="L1670">
        <v>2434.4</v>
      </c>
      <c r="M1670">
        <v>2445.8000000000002</v>
      </c>
      <c r="N1670">
        <v>2461.6</v>
      </c>
      <c r="Q1670">
        <f t="shared" si="102"/>
        <v>526.6</v>
      </c>
      <c r="R1670">
        <f t="shared" si="103"/>
        <v>526.6</v>
      </c>
      <c r="S1670">
        <f t="shared" si="104"/>
        <v>0.60000000000002274</v>
      </c>
    </row>
    <row r="1671" spans="1:19" x14ac:dyDescent="0.25">
      <c r="A1671" s="2">
        <v>44923</v>
      </c>
      <c r="B1671" s="3">
        <v>362</v>
      </c>
      <c r="C1671" s="3">
        <v>1100</v>
      </c>
      <c r="D1671">
        <v>527.30799999999999</v>
      </c>
      <c r="E1671">
        <v>0.05</v>
      </c>
      <c r="F1671">
        <v>519.28930000000003</v>
      </c>
      <c r="G1671">
        <v>529.93939999999998</v>
      </c>
      <c r="H1671">
        <v>532.69539999999995</v>
      </c>
      <c r="I1671">
        <v>5.1999999999999998E-2</v>
      </c>
      <c r="J1671">
        <v>5.5E-2</v>
      </c>
      <c r="K1671">
        <v>4.2000000000000003E-2</v>
      </c>
      <c r="L1671">
        <v>2436</v>
      </c>
      <c r="M1671">
        <v>2447</v>
      </c>
      <c r="N1671">
        <v>2463</v>
      </c>
      <c r="Q1671">
        <f t="shared" si="102"/>
        <v>527.29999999999995</v>
      </c>
      <c r="R1671">
        <f t="shared" si="103"/>
        <v>527.29999999999995</v>
      </c>
      <c r="S1671">
        <f t="shared" si="104"/>
        <v>0.69999999999993179</v>
      </c>
    </row>
    <row r="1672" spans="1:19" x14ac:dyDescent="0.25">
      <c r="A1672" s="2">
        <v>44923</v>
      </c>
      <c r="B1672" s="3">
        <v>362</v>
      </c>
      <c r="C1672" s="3">
        <v>1200</v>
      </c>
      <c r="D1672">
        <v>527.77919999999995</v>
      </c>
      <c r="E1672">
        <v>5.1999999999999998E-2</v>
      </c>
      <c r="F1672">
        <v>519.7373</v>
      </c>
      <c r="G1672">
        <v>530.40750000000003</v>
      </c>
      <c r="H1672">
        <v>533.19299999999998</v>
      </c>
      <c r="I1672">
        <v>5.3999999999999999E-2</v>
      </c>
      <c r="J1672">
        <v>4.9000000000000002E-2</v>
      </c>
      <c r="K1672">
        <v>5.2999999999999999E-2</v>
      </c>
      <c r="L1672">
        <v>2436.8000000000002</v>
      </c>
      <c r="M1672">
        <v>2448</v>
      </c>
      <c r="N1672">
        <v>2464</v>
      </c>
      <c r="Q1672">
        <f t="shared" si="102"/>
        <v>527.79999999999995</v>
      </c>
      <c r="R1672">
        <f t="shared" si="103"/>
        <v>527.79999999999995</v>
      </c>
      <c r="S1672">
        <f t="shared" si="104"/>
        <v>0.5</v>
      </c>
    </row>
    <row r="1673" spans="1:19" x14ac:dyDescent="0.25">
      <c r="A1673" s="2">
        <v>44923</v>
      </c>
      <c r="B1673" s="3">
        <v>362</v>
      </c>
      <c r="C1673" s="3">
        <v>1300</v>
      </c>
      <c r="D1673">
        <v>528.05100000000004</v>
      </c>
      <c r="E1673">
        <v>4.5999999999999999E-2</v>
      </c>
      <c r="F1673">
        <v>520.00070000000005</v>
      </c>
      <c r="G1673">
        <v>530.69100000000003</v>
      </c>
      <c r="H1673">
        <v>533.46119999999996</v>
      </c>
      <c r="I1673">
        <v>0.04</v>
      </c>
      <c r="J1673">
        <v>5.0999999999999997E-2</v>
      </c>
      <c r="K1673">
        <v>4.4999999999999998E-2</v>
      </c>
      <c r="L1673">
        <v>2437</v>
      </c>
      <c r="M1673">
        <v>2448.6</v>
      </c>
      <c r="N1673">
        <v>2464.4</v>
      </c>
      <c r="Q1673">
        <f t="shared" si="102"/>
        <v>528.1</v>
      </c>
      <c r="R1673">
        <f t="shared" si="103"/>
        <v>528.1</v>
      </c>
      <c r="S1673">
        <f t="shared" si="104"/>
        <v>0.30000000000006821</v>
      </c>
    </row>
    <row r="1674" spans="1:19" x14ac:dyDescent="0.25">
      <c r="A1674" s="2">
        <v>44923</v>
      </c>
      <c r="B1674" s="3">
        <v>362</v>
      </c>
      <c r="C1674" s="3">
        <v>1400</v>
      </c>
      <c r="D1674">
        <v>528.11680000000001</v>
      </c>
      <c r="E1674">
        <v>4.8000000000000001E-2</v>
      </c>
      <c r="F1674">
        <v>520.07569999999998</v>
      </c>
      <c r="G1674">
        <v>530.75710000000004</v>
      </c>
      <c r="H1674">
        <v>533.51760000000002</v>
      </c>
      <c r="I1674">
        <v>5.5E-2</v>
      </c>
      <c r="J1674">
        <v>3.4000000000000002E-2</v>
      </c>
      <c r="K1674">
        <v>5.0999999999999997E-2</v>
      </c>
      <c r="L1674">
        <v>2437.1999999999998</v>
      </c>
      <c r="M1674">
        <v>2448.6</v>
      </c>
      <c r="N1674">
        <v>2464.4</v>
      </c>
      <c r="Q1674">
        <f t="shared" si="102"/>
        <v>528.1</v>
      </c>
      <c r="R1674">
        <f t="shared" si="103"/>
        <v>528.1</v>
      </c>
      <c r="S1674">
        <f t="shared" si="104"/>
        <v>0</v>
      </c>
    </row>
    <row r="1675" spans="1:19" x14ac:dyDescent="0.25">
      <c r="A1675" s="2">
        <v>44923</v>
      </c>
      <c r="B1675" s="3">
        <v>362</v>
      </c>
      <c r="C1675" s="3">
        <v>1500</v>
      </c>
      <c r="D1675">
        <v>528.18460000000005</v>
      </c>
      <c r="E1675">
        <v>4.2999999999999997E-2</v>
      </c>
      <c r="F1675">
        <v>520.14110000000005</v>
      </c>
      <c r="G1675">
        <v>530.82510000000002</v>
      </c>
      <c r="H1675">
        <v>533.58759999999995</v>
      </c>
      <c r="I1675">
        <v>4.1000000000000002E-2</v>
      </c>
      <c r="J1675">
        <v>5.5E-2</v>
      </c>
      <c r="K1675">
        <v>2.8000000000000001E-2</v>
      </c>
      <c r="L1675">
        <v>2437.1999999999998</v>
      </c>
      <c r="M1675">
        <v>2448.6</v>
      </c>
      <c r="N1675">
        <v>2464.6</v>
      </c>
      <c r="Q1675">
        <f t="shared" si="102"/>
        <v>528.20000000000005</v>
      </c>
      <c r="R1675">
        <f t="shared" si="103"/>
        <v>528.20000000000005</v>
      </c>
      <c r="S1675">
        <f t="shared" si="104"/>
        <v>0.10000000000002274</v>
      </c>
    </row>
    <row r="1676" spans="1:19" x14ac:dyDescent="0.25">
      <c r="A1676" s="2">
        <v>44923</v>
      </c>
      <c r="B1676" s="3">
        <v>362</v>
      </c>
      <c r="C1676" s="3">
        <v>1600</v>
      </c>
      <c r="D1676">
        <v>528.19370000000004</v>
      </c>
      <c r="E1676">
        <v>4.5999999999999999E-2</v>
      </c>
      <c r="F1676">
        <v>520.14499999999998</v>
      </c>
      <c r="G1676">
        <v>530.82320000000004</v>
      </c>
      <c r="H1676">
        <v>533.61300000000006</v>
      </c>
      <c r="I1676">
        <v>0.04</v>
      </c>
      <c r="J1676">
        <v>5.5E-2</v>
      </c>
      <c r="K1676">
        <v>0.04</v>
      </c>
      <c r="L1676">
        <v>2437.6</v>
      </c>
      <c r="M1676">
        <v>2448.8000000000002</v>
      </c>
      <c r="N1676">
        <v>2464.6</v>
      </c>
      <c r="Q1676">
        <f t="shared" si="102"/>
        <v>528.20000000000005</v>
      </c>
      <c r="R1676">
        <f t="shared" si="103"/>
        <v>528.20000000000005</v>
      </c>
      <c r="S1676">
        <f t="shared" si="104"/>
        <v>0</v>
      </c>
    </row>
    <row r="1677" spans="1:19" x14ac:dyDescent="0.25">
      <c r="A1677" s="2">
        <v>44923</v>
      </c>
      <c r="B1677" s="3">
        <v>362</v>
      </c>
      <c r="C1677" s="3">
        <v>1700</v>
      </c>
      <c r="D1677">
        <v>528.19110000000001</v>
      </c>
      <c r="E1677">
        <v>4.5999999999999999E-2</v>
      </c>
      <c r="F1677">
        <v>520.13919999999996</v>
      </c>
      <c r="G1677">
        <v>530.80380000000002</v>
      </c>
      <c r="H1677">
        <v>533.63040000000001</v>
      </c>
      <c r="I1677">
        <v>3.4000000000000002E-2</v>
      </c>
      <c r="J1677">
        <v>5.0999999999999997E-2</v>
      </c>
      <c r="K1677">
        <v>5.1999999999999998E-2</v>
      </c>
      <c r="L1677">
        <v>2437.4</v>
      </c>
      <c r="M1677">
        <v>2448.8000000000002</v>
      </c>
      <c r="N1677">
        <v>2464.8000000000002</v>
      </c>
      <c r="Q1677">
        <f t="shared" si="102"/>
        <v>528.20000000000005</v>
      </c>
      <c r="R1677">
        <f t="shared" si="103"/>
        <v>528.20000000000005</v>
      </c>
      <c r="S1677">
        <f t="shared" si="104"/>
        <v>0</v>
      </c>
    </row>
    <row r="1678" spans="1:19" x14ac:dyDescent="0.25">
      <c r="A1678" s="2">
        <v>44923</v>
      </c>
      <c r="B1678" s="3">
        <v>362</v>
      </c>
      <c r="C1678" s="3">
        <v>1800</v>
      </c>
      <c r="D1678">
        <v>528.18409999999994</v>
      </c>
      <c r="E1678">
        <v>4.1000000000000002E-2</v>
      </c>
      <c r="F1678">
        <v>520.12180000000001</v>
      </c>
      <c r="G1678">
        <v>530.78440000000001</v>
      </c>
      <c r="H1678">
        <v>533.64599999999996</v>
      </c>
      <c r="I1678">
        <v>2.4E-2</v>
      </c>
      <c r="J1678">
        <v>3.7999999999999999E-2</v>
      </c>
      <c r="K1678">
        <v>5.5E-2</v>
      </c>
      <c r="L1678">
        <v>2437.4</v>
      </c>
      <c r="M1678">
        <v>2448.6</v>
      </c>
      <c r="N1678">
        <v>2464.8000000000002</v>
      </c>
      <c r="Q1678">
        <f t="shared" si="102"/>
        <v>528.20000000000005</v>
      </c>
      <c r="R1678">
        <f t="shared" si="103"/>
        <v>528.20000000000005</v>
      </c>
      <c r="S1678">
        <f t="shared" si="104"/>
        <v>0</v>
      </c>
    </row>
    <row r="1679" spans="1:19" x14ac:dyDescent="0.25">
      <c r="A1679" s="2">
        <v>44923</v>
      </c>
      <c r="B1679" s="3">
        <v>362</v>
      </c>
      <c r="C1679" s="3">
        <v>1900</v>
      </c>
      <c r="D1679">
        <v>528.08720000000005</v>
      </c>
      <c r="E1679">
        <v>0.05</v>
      </c>
      <c r="F1679">
        <v>520.04489999999998</v>
      </c>
      <c r="G1679">
        <v>530.53750000000002</v>
      </c>
      <c r="H1679">
        <v>533.67909999999995</v>
      </c>
      <c r="I1679">
        <v>5.8999999999999997E-2</v>
      </c>
      <c r="J1679">
        <v>4.2999999999999997E-2</v>
      </c>
      <c r="K1679">
        <v>4.8000000000000001E-2</v>
      </c>
      <c r="L1679">
        <v>2437.4</v>
      </c>
      <c r="M1679">
        <v>2448.1999999999998</v>
      </c>
      <c r="N1679">
        <v>2464.8000000000002</v>
      </c>
      <c r="Q1679">
        <f t="shared" si="102"/>
        <v>528.1</v>
      </c>
      <c r="R1679">
        <f t="shared" si="103"/>
        <v>528.20000000000005</v>
      </c>
      <c r="S1679">
        <f t="shared" si="104"/>
        <v>0</v>
      </c>
    </row>
    <row r="1680" spans="1:19" x14ac:dyDescent="0.25">
      <c r="A1680" s="2">
        <v>44923</v>
      </c>
      <c r="B1680" s="3">
        <v>362</v>
      </c>
      <c r="C1680" s="3">
        <v>2000</v>
      </c>
      <c r="D1680">
        <v>528.23440000000005</v>
      </c>
      <c r="E1680">
        <v>4.7E-2</v>
      </c>
      <c r="F1680">
        <v>520.16420000000005</v>
      </c>
      <c r="G1680">
        <v>530.85040000000004</v>
      </c>
      <c r="H1680">
        <v>533.68880000000001</v>
      </c>
      <c r="I1680">
        <v>5.1999999999999998E-2</v>
      </c>
      <c r="J1680">
        <v>4.9000000000000002E-2</v>
      </c>
      <c r="K1680">
        <v>0.04</v>
      </c>
      <c r="L1680">
        <v>2437.4</v>
      </c>
      <c r="M1680">
        <v>2448.6</v>
      </c>
      <c r="N1680">
        <v>2464.8000000000002</v>
      </c>
      <c r="Q1680">
        <f t="shared" si="102"/>
        <v>528.20000000000005</v>
      </c>
      <c r="R1680">
        <f t="shared" si="103"/>
        <v>528.20000000000005</v>
      </c>
      <c r="S1680">
        <f t="shared" si="104"/>
        <v>0</v>
      </c>
    </row>
    <row r="1681" spans="1:19" x14ac:dyDescent="0.25">
      <c r="A1681" s="2">
        <v>44923</v>
      </c>
      <c r="B1681" s="3">
        <v>362</v>
      </c>
      <c r="C1681" s="3">
        <v>2100</v>
      </c>
      <c r="D1681">
        <v>528.27059999999994</v>
      </c>
      <c r="E1681">
        <v>0.05</v>
      </c>
      <c r="F1681">
        <v>520.22199999999998</v>
      </c>
      <c r="G1681">
        <v>530.92610000000002</v>
      </c>
      <c r="H1681">
        <v>533.6635</v>
      </c>
      <c r="I1681">
        <v>3.7999999999999999E-2</v>
      </c>
      <c r="J1681">
        <v>5.5E-2</v>
      </c>
      <c r="K1681">
        <v>5.3999999999999999E-2</v>
      </c>
      <c r="L1681">
        <v>2437.6</v>
      </c>
      <c r="M1681">
        <v>2448.8000000000002</v>
      </c>
      <c r="N1681">
        <v>2464.6</v>
      </c>
      <c r="Q1681">
        <f t="shared" si="102"/>
        <v>528.29999999999995</v>
      </c>
      <c r="R1681">
        <f t="shared" si="103"/>
        <v>528.29999999999995</v>
      </c>
      <c r="S1681">
        <f t="shared" si="104"/>
        <v>9.9999999999909051E-2</v>
      </c>
    </row>
    <row r="1682" spans="1:19" x14ac:dyDescent="0.25">
      <c r="A1682" s="2">
        <v>44923</v>
      </c>
      <c r="B1682" s="3">
        <v>362</v>
      </c>
      <c r="C1682" s="3">
        <v>2200</v>
      </c>
      <c r="D1682">
        <v>528.16570000000002</v>
      </c>
      <c r="E1682">
        <v>4.8000000000000001E-2</v>
      </c>
      <c r="F1682">
        <v>520.01800000000003</v>
      </c>
      <c r="G1682">
        <v>530.81539999999995</v>
      </c>
      <c r="H1682">
        <v>533.6635</v>
      </c>
      <c r="I1682">
        <v>2.9000000000000001E-2</v>
      </c>
      <c r="J1682">
        <v>5.5E-2</v>
      </c>
      <c r="K1682">
        <v>5.3999999999999999E-2</v>
      </c>
      <c r="L1682">
        <v>2437.1999999999998</v>
      </c>
      <c r="M1682">
        <v>2448.8000000000002</v>
      </c>
      <c r="N1682">
        <v>2464.8000000000002</v>
      </c>
      <c r="Q1682">
        <f t="shared" si="102"/>
        <v>528.20000000000005</v>
      </c>
      <c r="R1682">
        <f t="shared" si="103"/>
        <v>528.29999999999995</v>
      </c>
      <c r="S1682">
        <f t="shared" si="104"/>
        <v>0</v>
      </c>
    </row>
    <row r="1683" spans="1:19" x14ac:dyDescent="0.25">
      <c r="A1683" s="2">
        <v>44923</v>
      </c>
      <c r="B1683" s="3">
        <v>362</v>
      </c>
      <c r="C1683" s="3">
        <v>2300</v>
      </c>
      <c r="D1683">
        <v>528.00739999999996</v>
      </c>
      <c r="E1683">
        <v>3.9E-2</v>
      </c>
      <c r="F1683">
        <v>519.90260000000001</v>
      </c>
      <c r="G1683">
        <v>530.41909999999996</v>
      </c>
      <c r="H1683">
        <v>533.70039999999995</v>
      </c>
      <c r="I1683">
        <v>3.7999999999999999E-2</v>
      </c>
      <c r="J1683">
        <v>4.4999999999999998E-2</v>
      </c>
      <c r="K1683">
        <v>3.2000000000000001E-2</v>
      </c>
      <c r="L1683">
        <v>2436.8000000000002</v>
      </c>
      <c r="M1683">
        <v>2447.8000000000002</v>
      </c>
      <c r="N1683">
        <v>2464.8000000000002</v>
      </c>
      <c r="Q1683">
        <f t="shared" ref="Q1683:Q1746" si="105">ROUND(D1683,1)</f>
        <v>528</v>
      </c>
      <c r="R1683">
        <f t="shared" si="103"/>
        <v>528.29999999999995</v>
      </c>
      <c r="S1683">
        <f t="shared" si="104"/>
        <v>0</v>
      </c>
    </row>
    <row r="1684" spans="1:19" x14ac:dyDescent="0.25">
      <c r="A1684" s="2">
        <v>44923</v>
      </c>
      <c r="B1684" s="3">
        <v>362</v>
      </c>
      <c r="C1684" s="3">
        <v>2400</v>
      </c>
      <c r="D1684">
        <v>527.91819999999996</v>
      </c>
      <c r="E1684">
        <v>4.8000000000000001E-2</v>
      </c>
      <c r="F1684">
        <v>519.88340000000005</v>
      </c>
      <c r="G1684">
        <v>530.13750000000005</v>
      </c>
      <c r="H1684">
        <v>533.73350000000005</v>
      </c>
      <c r="I1684">
        <v>4.5999999999999999E-2</v>
      </c>
      <c r="J1684">
        <v>5.0999999999999997E-2</v>
      </c>
      <c r="K1684">
        <v>4.8000000000000001E-2</v>
      </c>
      <c r="L1684">
        <v>2437</v>
      </c>
      <c r="M1684">
        <v>2447.4</v>
      </c>
      <c r="N1684">
        <v>2464.8000000000002</v>
      </c>
      <c r="Q1684">
        <f t="shared" si="105"/>
        <v>527.9</v>
      </c>
      <c r="R1684">
        <f t="shared" si="103"/>
        <v>528.29999999999995</v>
      </c>
      <c r="S1684">
        <f t="shared" si="104"/>
        <v>0</v>
      </c>
    </row>
    <row r="1685" spans="1:19" x14ac:dyDescent="0.25">
      <c r="A1685" s="2">
        <v>44924</v>
      </c>
      <c r="B1685" s="3">
        <v>363</v>
      </c>
      <c r="C1685" s="3">
        <v>100</v>
      </c>
      <c r="D1685">
        <v>528.02570000000003</v>
      </c>
      <c r="E1685">
        <v>4.3999999999999997E-2</v>
      </c>
      <c r="F1685">
        <v>519.89670000000001</v>
      </c>
      <c r="G1685">
        <v>530.42470000000003</v>
      </c>
      <c r="H1685">
        <v>533.75580000000002</v>
      </c>
      <c r="I1685">
        <v>3.4000000000000002E-2</v>
      </c>
      <c r="J1685">
        <v>0.04</v>
      </c>
      <c r="K1685">
        <v>5.5E-2</v>
      </c>
      <c r="L1685">
        <v>2437</v>
      </c>
      <c r="M1685">
        <v>2448</v>
      </c>
      <c r="N1685">
        <v>2464.8000000000002</v>
      </c>
      <c r="Q1685">
        <f t="shared" si="105"/>
        <v>528</v>
      </c>
      <c r="R1685">
        <f t="shared" si="103"/>
        <v>528.29999999999995</v>
      </c>
      <c r="S1685">
        <f t="shared" si="104"/>
        <v>0</v>
      </c>
    </row>
    <row r="1686" spans="1:19" x14ac:dyDescent="0.25">
      <c r="A1686" s="2">
        <v>44924</v>
      </c>
      <c r="B1686" s="3">
        <v>363</v>
      </c>
      <c r="C1686" s="3">
        <v>200</v>
      </c>
      <c r="D1686">
        <v>527.97829999999999</v>
      </c>
      <c r="E1686">
        <v>5.0999999999999997E-2</v>
      </c>
      <c r="F1686">
        <v>519.8673</v>
      </c>
      <c r="G1686">
        <v>530.3021</v>
      </c>
      <c r="H1686">
        <v>533.76570000000004</v>
      </c>
      <c r="I1686">
        <v>5.2999999999999999E-2</v>
      </c>
      <c r="J1686">
        <v>4.4999999999999998E-2</v>
      </c>
      <c r="K1686">
        <v>5.5E-2</v>
      </c>
      <c r="L1686">
        <v>2436.8000000000002</v>
      </c>
      <c r="M1686">
        <v>2447.8000000000002</v>
      </c>
      <c r="N1686">
        <v>2464.8000000000002</v>
      </c>
      <c r="Q1686">
        <f t="shared" si="105"/>
        <v>528</v>
      </c>
      <c r="R1686">
        <f t="shared" si="103"/>
        <v>528.29999999999995</v>
      </c>
      <c r="S1686">
        <f t="shared" si="104"/>
        <v>0</v>
      </c>
    </row>
    <row r="1687" spans="1:19" x14ac:dyDescent="0.25">
      <c r="A1687" s="2">
        <v>44924</v>
      </c>
      <c r="B1687" s="3">
        <v>363</v>
      </c>
      <c r="C1687" s="3">
        <v>300</v>
      </c>
      <c r="D1687">
        <v>528.00800000000004</v>
      </c>
      <c r="E1687">
        <v>6.3E-2</v>
      </c>
      <c r="F1687">
        <v>519.87120000000004</v>
      </c>
      <c r="G1687">
        <v>530.38120000000004</v>
      </c>
      <c r="H1687">
        <v>533.77160000000003</v>
      </c>
      <c r="I1687">
        <v>5.1999999999999998E-2</v>
      </c>
      <c r="J1687">
        <v>7.8E-2</v>
      </c>
      <c r="K1687">
        <v>5.5E-2</v>
      </c>
      <c r="L1687">
        <v>2437</v>
      </c>
      <c r="M1687">
        <v>2448</v>
      </c>
      <c r="N1687">
        <v>2465</v>
      </c>
      <c r="Q1687">
        <f t="shared" si="105"/>
        <v>528</v>
      </c>
      <c r="R1687">
        <f t="shared" si="103"/>
        <v>528.29999999999995</v>
      </c>
      <c r="S1687">
        <f t="shared" si="104"/>
        <v>0</v>
      </c>
    </row>
    <row r="1688" spans="1:19" x14ac:dyDescent="0.25">
      <c r="A1688" s="2">
        <v>44924</v>
      </c>
      <c r="B1688" s="3">
        <v>363</v>
      </c>
      <c r="C1688" s="3">
        <v>400</v>
      </c>
      <c r="D1688">
        <v>528.13430000000005</v>
      </c>
      <c r="E1688">
        <v>0.05</v>
      </c>
      <c r="F1688">
        <v>519.93769999999995</v>
      </c>
      <c r="G1688">
        <v>530.6857</v>
      </c>
      <c r="H1688">
        <v>533.77949999999998</v>
      </c>
      <c r="I1688">
        <v>4.9000000000000002E-2</v>
      </c>
      <c r="J1688">
        <v>4.8000000000000001E-2</v>
      </c>
      <c r="K1688">
        <v>5.1999999999999998E-2</v>
      </c>
      <c r="L1688">
        <v>2437.1999999999998</v>
      </c>
      <c r="M1688">
        <v>2448.4</v>
      </c>
      <c r="N1688">
        <v>2465</v>
      </c>
      <c r="Q1688">
        <f t="shared" si="105"/>
        <v>528.1</v>
      </c>
      <c r="R1688">
        <f t="shared" si="103"/>
        <v>528.29999999999995</v>
      </c>
      <c r="S1688">
        <f t="shared" si="104"/>
        <v>0</v>
      </c>
    </row>
    <row r="1689" spans="1:19" x14ac:dyDescent="0.25">
      <c r="A1689" s="2">
        <v>44924</v>
      </c>
      <c r="B1689" s="3">
        <v>363</v>
      </c>
      <c r="C1689" s="3">
        <v>500</v>
      </c>
      <c r="D1689">
        <v>528.25019999999995</v>
      </c>
      <c r="E1689">
        <v>4.7E-2</v>
      </c>
      <c r="F1689">
        <v>520.10069999999996</v>
      </c>
      <c r="G1689">
        <v>530.89509999999996</v>
      </c>
      <c r="H1689">
        <v>533.75490000000002</v>
      </c>
      <c r="I1689">
        <v>4.7E-2</v>
      </c>
      <c r="J1689">
        <v>3.7999999999999999E-2</v>
      </c>
      <c r="K1689">
        <v>5.5E-2</v>
      </c>
      <c r="L1689">
        <v>2437.4</v>
      </c>
      <c r="M1689">
        <v>2448.8000000000002</v>
      </c>
      <c r="N1689">
        <v>2465</v>
      </c>
      <c r="Q1689">
        <f t="shared" si="105"/>
        <v>528.29999999999995</v>
      </c>
      <c r="R1689">
        <f t="shared" si="103"/>
        <v>528.29999999999995</v>
      </c>
      <c r="S1689">
        <f t="shared" si="104"/>
        <v>0</v>
      </c>
    </row>
    <row r="1690" spans="1:19" x14ac:dyDescent="0.25">
      <c r="A1690" s="2">
        <v>44924</v>
      </c>
      <c r="B1690" s="3">
        <v>363</v>
      </c>
      <c r="C1690" s="3">
        <v>600</v>
      </c>
      <c r="D1690">
        <v>528.28229999999996</v>
      </c>
      <c r="E1690">
        <v>0.05</v>
      </c>
      <c r="F1690">
        <v>520.19889999999998</v>
      </c>
      <c r="G1690">
        <v>530.91639999999995</v>
      </c>
      <c r="H1690">
        <v>533.73159999999996</v>
      </c>
      <c r="I1690">
        <v>5.1999999999999998E-2</v>
      </c>
      <c r="J1690">
        <v>5.1999999999999998E-2</v>
      </c>
      <c r="K1690">
        <v>4.7E-2</v>
      </c>
      <c r="L1690">
        <v>2437.6</v>
      </c>
      <c r="M1690">
        <v>2448.8000000000002</v>
      </c>
      <c r="N1690">
        <v>2464.8000000000002</v>
      </c>
      <c r="Q1690">
        <f t="shared" si="105"/>
        <v>528.29999999999995</v>
      </c>
      <c r="R1690">
        <f t="shared" si="103"/>
        <v>528.29999999999995</v>
      </c>
      <c r="S1690">
        <f t="shared" si="104"/>
        <v>0</v>
      </c>
    </row>
    <row r="1691" spans="1:19" x14ac:dyDescent="0.25">
      <c r="A1691" s="2">
        <v>44924</v>
      </c>
      <c r="B1691" s="3">
        <v>363</v>
      </c>
      <c r="C1691" s="3">
        <v>700</v>
      </c>
      <c r="D1691">
        <v>528.26289999999995</v>
      </c>
      <c r="E1691">
        <v>4.4999999999999998E-2</v>
      </c>
      <c r="F1691">
        <v>520.16800000000001</v>
      </c>
      <c r="G1691">
        <v>530.89890000000003</v>
      </c>
      <c r="H1691">
        <v>533.72190000000001</v>
      </c>
      <c r="I1691">
        <v>5.2999999999999999E-2</v>
      </c>
      <c r="J1691">
        <v>4.2000000000000003E-2</v>
      </c>
      <c r="K1691">
        <v>3.9E-2</v>
      </c>
      <c r="L1691">
        <v>2437.6</v>
      </c>
      <c r="M1691">
        <v>2448.8000000000002</v>
      </c>
      <c r="N1691">
        <v>2464.8000000000002</v>
      </c>
      <c r="Q1691">
        <f t="shared" si="105"/>
        <v>528.29999999999995</v>
      </c>
      <c r="R1691">
        <f t="shared" si="103"/>
        <v>528.29999999999995</v>
      </c>
      <c r="S1691">
        <f t="shared" si="104"/>
        <v>0</v>
      </c>
    </row>
    <row r="1692" spans="1:19" x14ac:dyDescent="0.25">
      <c r="A1692" s="2">
        <v>44924</v>
      </c>
      <c r="B1692" s="3">
        <v>363</v>
      </c>
      <c r="C1692" s="3">
        <v>800</v>
      </c>
      <c r="D1692">
        <v>528.26940000000002</v>
      </c>
      <c r="E1692">
        <v>4.7E-2</v>
      </c>
      <c r="F1692">
        <v>520.17579999999998</v>
      </c>
      <c r="G1692">
        <v>530.92219999999998</v>
      </c>
      <c r="H1692">
        <v>533.71019999999999</v>
      </c>
      <c r="I1692">
        <v>5.3999999999999999E-2</v>
      </c>
      <c r="J1692">
        <v>5.3999999999999999E-2</v>
      </c>
      <c r="K1692">
        <v>2.9000000000000001E-2</v>
      </c>
      <c r="L1692">
        <v>2437.6</v>
      </c>
      <c r="M1692">
        <v>2449</v>
      </c>
      <c r="N1692">
        <v>2464.8000000000002</v>
      </c>
      <c r="Q1692">
        <f t="shared" si="105"/>
        <v>528.29999999999995</v>
      </c>
      <c r="R1692">
        <f t="shared" si="103"/>
        <v>528.29999999999995</v>
      </c>
      <c r="S1692">
        <f t="shared" si="104"/>
        <v>0</v>
      </c>
    </row>
    <row r="1693" spans="1:19" x14ac:dyDescent="0.25">
      <c r="A1693" s="2">
        <v>44924</v>
      </c>
      <c r="B1693" s="3">
        <v>363</v>
      </c>
      <c r="C1693" s="3">
        <v>900</v>
      </c>
      <c r="D1693">
        <v>528.26099999999997</v>
      </c>
      <c r="E1693">
        <v>4.5999999999999999E-2</v>
      </c>
      <c r="F1693">
        <v>520.16610000000003</v>
      </c>
      <c r="G1693">
        <v>530.9203</v>
      </c>
      <c r="H1693">
        <v>533.69659999999999</v>
      </c>
      <c r="I1693">
        <v>5.1999999999999998E-2</v>
      </c>
      <c r="J1693">
        <v>5.2999999999999999E-2</v>
      </c>
      <c r="K1693">
        <v>3.1E-2</v>
      </c>
      <c r="L1693">
        <v>2437.6</v>
      </c>
      <c r="M1693">
        <v>2449</v>
      </c>
      <c r="N1693">
        <v>2464.8000000000002</v>
      </c>
      <c r="Q1693">
        <f t="shared" si="105"/>
        <v>528.29999999999995</v>
      </c>
      <c r="R1693">
        <f t="shared" si="103"/>
        <v>528.29999999999995</v>
      </c>
      <c r="S1693">
        <f t="shared" si="104"/>
        <v>0</v>
      </c>
    </row>
    <row r="1694" spans="1:19" x14ac:dyDescent="0.25">
      <c r="A1694" s="2">
        <v>44924</v>
      </c>
      <c r="B1694" s="3">
        <v>363</v>
      </c>
      <c r="C1694" s="3">
        <v>1000</v>
      </c>
      <c r="D1694">
        <v>528.24220000000003</v>
      </c>
      <c r="E1694">
        <v>4.4999999999999998E-2</v>
      </c>
      <c r="F1694">
        <v>520.14689999999996</v>
      </c>
      <c r="G1694">
        <v>530.90089999999998</v>
      </c>
      <c r="H1694">
        <v>533.67909999999995</v>
      </c>
      <c r="I1694">
        <v>4.2000000000000003E-2</v>
      </c>
      <c r="J1694">
        <v>4.3999999999999997E-2</v>
      </c>
      <c r="K1694">
        <v>4.8000000000000001E-2</v>
      </c>
      <c r="L1694">
        <v>2437.6</v>
      </c>
      <c r="M1694">
        <v>2448.8000000000002</v>
      </c>
      <c r="N1694">
        <v>2464.8000000000002</v>
      </c>
      <c r="Q1694">
        <f t="shared" si="105"/>
        <v>528.20000000000005</v>
      </c>
      <c r="R1694">
        <f t="shared" si="103"/>
        <v>528.29999999999995</v>
      </c>
      <c r="S1694">
        <f t="shared" si="104"/>
        <v>0</v>
      </c>
    </row>
    <row r="1695" spans="1:19" x14ac:dyDescent="0.25">
      <c r="A1695" s="2">
        <v>44924</v>
      </c>
      <c r="B1695" s="3">
        <v>363</v>
      </c>
      <c r="C1695" s="3">
        <v>1100</v>
      </c>
      <c r="D1695">
        <v>528.23</v>
      </c>
      <c r="E1695">
        <v>4.2000000000000003E-2</v>
      </c>
      <c r="F1695">
        <v>520.13729999999998</v>
      </c>
      <c r="G1695">
        <v>530.88919999999996</v>
      </c>
      <c r="H1695">
        <v>533.6635</v>
      </c>
      <c r="I1695">
        <v>3.1E-2</v>
      </c>
      <c r="J1695">
        <v>3.7999999999999999E-2</v>
      </c>
      <c r="K1695">
        <v>5.3999999999999999E-2</v>
      </c>
      <c r="L1695">
        <v>2437.4</v>
      </c>
      <c r="M1695">
        <v>2448.8000000000002</v>
      </c>
      <c r="N1695">
        <v>2464.6</v>
      </c>
      <c r="Q1695">
        <f t="shared" si="105"/>
        <v>528.20000000000005</v>
      </c>
      <c r="R1695">
        <f t="shared" si="103"/>
        <v>528.29999999999995</v>
      </c>
      <c r="S1695">
        <f t="shared" si="104"/>
        <v>0</v>
      </c>
    </row>
    <row r="1696" spans="1:19" x14ac:dyDescent="0.25">
      <c r="A1696" s="2">
        <v>44924</v>
      </c>
      <c r="B1696" s="3">
        <v>363</v>
      </c>
      <c r="C1696" s="3">
        <v>1200</v>
      </c>
      <c r="D1696">
        <v>528.22670000000005</v>
      </c>
      <c r="E1696">
        <v>4.2000000000000003E-2</v>
      </c>
      <c r="F1696">
        <v>520.13729999999998</v>
      </c>
      <c r="G1696">
        <v>530.8931</v>
      </c>
      <c r="H1696">
        <v>533.6499</v>
      </c>
      <c r="I1696">
        <v>3.1E-2</v>
      </c>
      <c r="J1696">
        <v>3.5999999999999997E-2</v>
      </c>
      <c r="K1696">
        <v>5.5E-2</v>
      </c>
      <c r="L1696">
        <v>2437.4</v>
      </c>
      <c r="M1696">
        <v>2448.8000000000002</v>
      </c>
      <c r="N1696">
        <v>2464.6</v>
      </c>
      <c r="Q1696">
        <f t="shared" si="105"/>
        <v>528.20000000000005</v>
      </c>
      <c r="R1696">
        <f t="shared" si="103"/>
        <v>528.29999999999995</v>
      </c>
      <c r="S1696">
        <f t="shared" si="104"/>
        <v>0</v>
      </c>
    </row>
    <row r="1697" spans="1:19" x14ac:dyDescent="0.25">
      <c r="A1697" s="2">
        <v>44924</v>
      </c>
      <c r="B1697" s="3">
        <v>363</v>
      </c>
      <c r="C1697" s="3">
        <v>1300</v>
      </c>
      <c r="D1697">
        <v>528.22360000000003</v>
      </c>
      <c r="E1697">
        <v>4.1000000000000002E-2</v>
      </c>
      <c r="F1697">
        <v>520.13729999999998</v>
      </c>
      <c r="G1697">
        <v>530.88149999999996</v>
      </c>
      <c r="H1697">
        <v>533.65189999999996</v>
      </c>
      <c r="I1697">
        <v>3.6999999999999998E-2</v>
      </c>
      <c r="J1697">
        <v>2.5000000000000001E-2</v>
      </c>
      <c r="K1697">
        <v>5.5E-2</v>
      </c>
      <c r="L1697">
        <v>2437.4</v>
      </c>
      <c r="M1697">
        <v>2448.8000000000002</v>
      </c>
      <c r="N1697">
        <v>2464.8000000000002</v>
      </c>
      <c r="Q1697">
        <f t="shared" si="105"/>
        <v>528.20000000000005</v>
      </c>
      <c r="R1697">
        <f t="shared" si="103"/>
        <v>528.29999999999995</v>
      </c>
      <c r="S1697">
        <f t="shared" si="104"/>
        <v>0</v>
      </c>
    </row>
    <row r="1698" spans="1:19" x14ac:dyDescent="0.25">
      <c r="A1698" s="2">
        <v>44924</v>
      </c>
      <c r="B1698" s="3">
        <v>363</v>
      </c>
      <c r="C1698" s="3">
        <v>1400</v>
      </c>
      <c r="D1698">
        <v>528.24739999999997</v>
      </c>
      <c r="E1698">
        <v>4.9000000000000002E-2</v>
      </c>
      <c r="F1698">
        <v>520.16999999999996</v>
      </c>
      <c r="G1698">
        <v>530.89890000000003</v>
      </c>
      <c r="H1698">
        <v>533.67319999999995</v>
      </c>
      <c r="I1698">
        <v>5.2999999999999999E-2</v>
      </c>
      <c r="J1698">
        <v>4.2000000000000003E-2</v>
      </c>
      <c r="K1698">
        <v>5.0999999999999997E-2</v>
      </c>
      <c r="L1698">
        <v>2437.6</v>
      </c>
      <c r="M1698">
        <v>2448.8000000000002</v>
      </c>
      <c r="N1698">
        <v>2464.8000000000002</v>
      </c>
      <c r="Q1698">
        <f t="shared" si="105"/>
        <v>528.20000000000005</v>
      </c>
      <c r="R1698">
        <f t="shared" ref="R1698:R1756" si="106">ROUND(IF(Q1698&lt;R1697,R1697,Q1698),1)</f>
        <v>528.29999999999995</v>
      </c>
      <c r="S1698">
        <f t="shared" si="104"/>
        <v>0</v>
      </c>
    </row>
    <row r="1699" spans="1:19" x14ac:dyDescent="0.25">
      <c r="A1699" s="2">
        <v>44924</v>
      </c>
      <c r="B1699" s="3">
        <v>363</v>
      </c>
      <c r="C1699" s="3">
        <v>1500</v>
      </c>
      <c r="D1699">
        <v>528.3347</v>
      </c>
      <c r="E1699">
        <v>3.9E-2</v>
      </c>
      <c r="F1699">
        <v>520.24509999999998</v>
      </c>
      <c r="G1699">
        <v>530.9941</v>
      </c>
      <c r="H1699">
        <v>533.76459999999997</v>
      </c>
      <c r="I1699">
        <v>2.8000000000000001E-2</v>
      </c>
      <c r="J1699">
        <v>2.9000000000000001E-2</v>
      </c>
      <c r="K1699">
        <v>5.5E-2</v>
      </c>
      <c r="L1699">
        <v>2437.6</v>
      </c>
      <c r="M1699">
        <v>2449</v>
      </c>
      <c r="N1699">
        <v>2464.8000000000002</v>
      </c>
      <c r="Q1699">
        <f t="shared" si="105"/>
        <v>528.29999999999995</v>
      </c>
      <c r="R1699">
        <f t="shared" si="106"/>
        <v>528.29999999999995</v>
      </c>
      <c r="S1699">
        <f t="shared" si="104"/>
        <v>0</v>
      </c>
    </row>
    <row r="1700" spans="1:19" x14ac:dyDescent="0.25">
      <c r="A1700" s="2">
        <v>44924</v>
      </c>
      <c r="B1700" s="3">
        <v>363</v>
      </c>
      <c r="C1700" s="3">
        <v>1600</v>
      </c>
      <c r="D1700">
        <v>528.58579999999995</v>
      </c>
      <c r="E1700">
        <v>4.8000000000000001E-2</v>
      </c>
      <c r="F1700">
        <v>520.49900000000002</v>
      </c>
      <c r="G1700">
        <v>531.23900000000003</v>
      </c>
      <c r="H1700">
        <v>534.01930000000004</v>
      </c>
      <c r="I1700">
        <v>5.2999999999999999E-2</v>
      </c>
      <c r="J1700">
        <v>4.8000000000000001E-2</v>
      </c>
      <c r="K1700">
        <v>4.2000000000000003E-2</v>
      </c>
      <c r="L1700">
        <v>2438.1999999999998</v>
      </c>
      <c r="M1700">
        <v>2449.4</v>
      </c>
      <c r="N1700">
        <v>2465.4</v>
      </c>
      <c r="Q1700">
        <f t="shared" si="105"/>
        <v>528.6</v>
      </c>
      <c r="R1700">
        <f t="shared" si="106"/>
        <v>528.6</v>
      </c>
      <c r="S1700">
        <f t="shared" si="104"/>
        <v>0.30000000000006821</v>
      </c>
    </row>
    <row r="1701" spans="1:19" x14ac:dyDescent="0.25">
      <c r="A1701" s="2">
        <v>44924</v>
      </c>
      <c r="B1701" s="3">
        <v>363</v>
      </c>
      <c r="C1701" s="3">
        <v>1700</v>
      </c>
      <c r="D1701">
        <v>528.9443</v>
      </c>
      <c r="E1701">
        <v>4.7E-2</v>
      </c>
      <c r="F1701">
        <v>520.85500000000002</v>
      </c>
      <c r="G1701">
        <v>531.59860000000003</v>
      </c>
      <c r="H1701">
        <v>534.37940000000003</v>
      </c>
      <c r="I1701">
        <v>5.2999999999999999E-2</v>
      </c>
      <c r="J1701">
        <v>5.5E-2</v>
      </c>
      <c r="K1701">
        <v>2.8000000000000001E-2</v>
      </c>
      <c r="L1701">
        <v>2438.6</v>
      </c>
      <c r="M1701">
        <v>2450.1999999999998</v>
      </c>
      <c r="N1701">
        <v>2466</v>
      </c>
      <c r="Q1701">
        <f t="shared" si="105"/>
        <v>528.9</v>
      </c>
      <c r="R1701">
        <f t="shared" si="106"/>
        <v>528.9</v>
      </c>
      <c r="S1701">
        <f t="shared" ref="S1701:S1756" si="107">IF(R1701&gt;R1700,R1701-R1700,0)</f>
        <v>0.29999999999995453</v>
      </c>
    </row>
    <row r="1702" spans="1:19" x14ac:dyDescent="0.25">
      <c r="A1702" s="2">
        <v>44924</v>
      </c>
      <c r="B1702" s="3">
        <v>363</v>
      </c>
      <c r="C1702" s="3">
        <v>1800</v>
      </c>
      <c r="D1702">
        <v>529.33399999999995</v>
      </c>
      <c r="E1702">
        <v>4.8000000000000001E-2</v>
      </c>
      <c r="F1702">
        <v>521.24180000000001</v>
      </c>
      <c r="G1702">
        <v>531.98950000000002</v>
      </c>
      <c r="H1702">
        <v>534.77059999999994</v>
      </c>
      <c r="I1702">
        <v>4.4999999999999998E-2</v>
      </c>
      <c r="J1702">
        <v>4.3999999999999997E-2</v>
      </c>
      <c r="K1702">
        <v>5.3999999999999999E-2</v>
      </c>
      <c r="L1702">
        <v>2439.4</v>
      </c>
      <c r="M1702">
        <v>2451</v>
      </c>
      <c r="N1702">
        <v>2466.6</v>
      </c>
      <c r="Q1702">
        <f t="shared" si="105"/>
        <v>529.29999999999995</v>
      </c>
      <c r="R1702">
        <f t="shared" si="106"/>
        <v>529.29999999999995</v>
      </c>
      <c r="S1702">
        <f t="shared" si="107"/>
        <v>0.39999999999997726</v>
      </c>
    </row>
    <row r="1703" spans="1:19" x14ac:dyDescent="0.25">
      <c r="A1703" s="2">
        <v>44924</v>
      </c>
      <c r="B1703" s="3">
        <v>363</v>
      </c>
      <c r="C1703" s="3">
        <v>1900</v>
      </c>
      <c r="D1703">
        <v>530.5625</v>
      </c>
      <c r="E1703">
        <v>5.3999999999999999E-2</v>
      </c>
      <c r="F1703">
        <v>522.45740000000001</v>
      </c>
      <c r="G1703">
        <v>533.28719999999998</v>
      </c>
      <c r="H1703">
        <v>535.94290000000001</v>
      </c>
      <c r="I1703">
        <v>0.05</v>
      </c>
      <c r="J1703">
        <v>5.8000000000000003E-2</v>
      </c>
      <c r="K1703">
        <v>5.3999999999999999E-2</v>
      </c>
      <c r="L1703">
        <v>2441.6</v>
      </c>
      <c r="M1703">
        <v>2453.1999999999998</v>
      </c>
      <c r="N1703">
        <v>2469</v>
      </c>
      <c r="Q1703">
        <f t="shared" si="105"/>
        <v>530.6</v>
      </c>
      <c r="R1703">
        <f t="shared" si="106"/>
        <v>530.6</v>
      </c>
      <c r="S1703">
        <f t="shared" si="107"/>
        <v>1.3000000000000682</v>
      </c>
    </row>
    <row r="1704" spans="1:19" x14ac:dyDescent="0.25">
      <c r="A1704" s="2">
        <v>44924</v>
      </c>
      <c r="B1704" s="3">
        <v>363</v>
      </c>
      <c r="C1704" s="3">
        <v>2000</v>
      </c>
      <c r="D1704">
        <v>530.88530000000003</v>
      </c>
      <c r="E1704">
        <v>4.7E-2</v>
      </c>
      <c r="F1704">
        <v>522.76959999999997</v>
      </c>
      <c r="G1704">
        <v>533.56960000000004</v>
      </c>
      <c r="H1704">
        <v>536.31700000000001</v>
      </c>
      <c r="I1704">
        <v>3.5000000000000003E-2</v>
      </c>
      <c r="J1704">
        <v>4.9000000000000002E-2</v>
      </c>
      <c r="K1704">
        <v>5.5E-2</v>
      </c>
      <c r="L1704">
        <v>2442.1999999999998</v>
      </c>
      <c r="M1704">
        <v>2453.6</v>
      </c>
      <c r="N1704">
        <v>2469.6</v>
      </c>
      <c r="Q1704">
        <f t="shared" si="105"/>
        <v>530.9</v>
      </c>
      <c r="R1704">
        <f t="shared" si="106"/>
        <v>530.9</v>
      </c>
      <c r="S1704">
        <f t="shared" si="107"/>
        <v>0.29999999999995453</v>
      </c>
    </row>
    <row r="1705" spans="1:19" x14ac:dyDescent="0.25">
      <c r="A1705" s="2">
        <v>44924</v>
      </c>
      <c r="B1705" s="3">
        <v>363</v>
      </c>
      <c r="C1705" s="3">
        <v>2100</v>
      </c>
      <c r="D1705">
        <v>531.33130000000006</v>
      </c>
      <c r="E1705">
        <v>4.5999999999999999E-2</v>
      </c>
      <c r="F1705">
        <v>523.20920000000001</v>
      </c>
      <c r="G1705">
        <v>534.01160000000004</v>
      </c>
      <c r="H1705">
        <v>536.77300000000002</v>
      </c>
      <c r="I1705">
        <v>3.5000000000000003E-2</v>
      </c>
      <c r="J1705">
        <v>4.8000000000000001E-2</v>
      </c>
      <c r="K1705">
        <v>5.3999999999999999E-2</v>
      </c>
      <c r="L1705">
        <v>2443</v>
      </c>
      <c r="M1705">
        <v>2454.6</v>
      </c>
      <c r="N1705">
        <v>2470.4</v>
      </c>
      <c r="Q1705">
        <f t="shared" si="105"/>
        <v>531.29999999999995</v>
      </c>
      <c r="R1705">
        <f t="shared" si="106"/>
        <v>531.29999999999995</v>
      </c>
      <c r="S1705">
        <f t="shared" si="107"/>
        <v>0.39999999999997726</v>
      </c>
    </row>
    <row r="1706" spans="1:19" x14ac:dyDescent="0.25">
      <c r="A1706" s="2">
        <v>44924</v>
      </c>
      <c r="B1706" s="3">
        <v>363</v>
      </c>
      <c r="C1706" s="3">
        <v>2200</v>
      </c>
      <c r="D1706">
        <v>531.4162</v>
      </c>
      <c r="E1706">
        <v>4.4999999999999998E-2</v>
      </c>
      <c r="F1706">
        <v>523.28629999999998</v>
      </c>
      <c r="G1706">
        <v>534.09550000000002</v>
      </c>
      <c r="H1706">
        <v>536.86670000000004</v>
      </c>
      <c r="I1706">
        <v>4.5999999999999999E-2</v>
      </c>
      <c r="J1706">
        <v>2.9000000000000001E-2</v>
      </c>
      <c r="K1706">
        <v>5.6000000000000001E-2</v>
      </c>
      <c r="L1706">
        <v>2443.1999999999998</v>
      </c>
      <c r="M1706">
        <v>2454.6</v>
      </c>
      <c r="N1706">
        <v>2470.6</v>
      </c>
      <c r="Q1706">
        <f t="shared" si="105"/>
        <v>531.4</v>
      </c>
      <c r="R1706">
        <f t="shared" si="106"/>
        <v>531.4</v>
      </c>
      <c r="S1706">
        <f t="shared" si="107"/>
        <v>0.10000000000002274</v>
      </c>
    </row>
    <row r="1707" spans="1:19" x14ac:dyDescent="0.25">
      <c r="A1707" s="2">
        <v>44924</v>
      </c>
      <c r="B1707" s="3">
        <v>363</v>
      </c>
      <c r="C1707" s="3">
        <v>2300</v>
      </c>
      <c r="D1707">
        <v>531.42899999999997</v>
      </c>
      <c r="E1707">
        <v>4.1000000000000002E-2</v>
      </c>
      <c r="F1707">
        <v>523.30759999999998</v>
      </c>
      <c r="G1707">
        <v>534.10709999999995</v>
      </c>
      <c r="H1707">
        <v>536.87249999999995</v>
      </c>
      <c r="I1707">
        <v>2.9000000000000001E-2</v>
      </c>
      <c r="J1707">
        <v>3.4000000000000002E-2</v>
      </c>
      <c r="K1707">
        <v>5.6000000000000001E-2</v>
      </c>
      <c r="L1707">
        <v>2443.1999999999998</v>
      </c>
      <c r="M1707">
        <v>2454.6</v>
      </c>
      <c r="N1707">
        <v>2470.6</v>
      </c>
      <c r="Q1707">
        <f t="shared" si="105"/>
        <v>531.4</v>
      </c>
      <c r="R1707">
        <f t="shared" si="106"/>
        <v>531.4</v>
      </c>
      <c r="S1707">
        <f t="shared" si="107"/>
        <v>0</v>
      </c>
    </row>
    <row r="1708" spans="1:19" x14ac:dyDescent="0.25">
      <c r="A1708" s="2">
        <v>44924</v>
      </c>
      <c r="B1708" s="3">
        <v>363</v>
      </c>
      <c r="C1708" s="3">
        <v>2400</v>
      </c>
      <c r="D1708">
        <v>531.43880000000001</v>
      </c>
      <c r="E1708">
        <v>4.2999999999999997E-2</v>
      </c>
      <c r="F1708">
        <v>523.31719999999996</v>
      </c>
      <c r="G1708">
        <v>534.11879999999996</v>
      </c>
      <c r="H1708">
        <v>536.88030000000003</v>
      </c>
      <c r="I1708">
        <v>2.5000000000000001E-2</v>
      </c>
      <c r="J1708">
        <v>4.4999999999999998E-2</v>
      </c>
      <c r="K1708">
        <v>5.5E-2</v>
      </c>
      <c r="L1708">
        <v>2443.1999999999998</v>
      </c>
      <c r="M1708">
        <v>2454.6</v>
      </c>
      <c r="N1708">
        <v>2470.6</v>
      </c>
      <c r="Q1708">
        <f t="shared" si="105"/>
        <v>531.4</v>
      </c>
      <c r="R1708">
        <f t="shared" si="106"/>
        <v>531.4</v>
      </c>
      <c r="S1708">
        <f t="shared" si="107"/>
        <v>0</v>
      </c>
    </row>
    <row r="1709" spans="1:19" x14ac:dyDescent="0.25">
      <c r="A1709" s="2">
        <v>44925</v>
      </c>
      <c r="B1709" s="3">
        <v>364</v>
      </c>
      <c r="C1709" s="3">
        <v>100</v>
      </c>
      <c r="D1709">
        <v>531.44460000000004</v>
      </c>
      <c r="E1709">
        <v>4.5999999999999999E-2</v>
      </c>
      <c r="F1709">
        <v>523.3229</v>
      </c>
      <c r="G1709">
        <v>534.12469999999996</v>
      </c>
      <c r="H1709">
        <v>536.88620000000003</v>
      </c>
      <c r="I1709">
        <v>3.4000000000000002E-2</v>
      </c>
      <c r="J1709">
        <v>4.9000000000000002E-2</v>
      </c>
      <c r="K1709">
        <v>5.2999999999999999E-2</v>
      </c>
      <c r="L1709">
        <v>2443.1999999999998</v>
      </c>
      <c r="M1709">
        <v>2454.6</v>
      </c>
      <c r="N1709">
        <v>2470.4</v>
      </c>
      <c r="Q1709">
        <f t="shared" si="105"/>
        <v>531.4</v>
      </c>
      <c r="R1709">
        <f t="shared" si="106"/>
        <v>531.4</v>
      </c>
      <c r="S1709">
        <f t="shared" si="107"/>
        <v>0</v>
      </c>
    </row>
    <row r="1710" spans="1:19" x14ac:dyDescent="0.25">
      <c r="A1710" s="2">
        <v>44925</v>
      </c>
      <c r="B1710" s="3">
        <v>364</v>
      </c>
      <c r="C1710" s="3">
        <v>200</v>
      </c>
      <c r="D1710">
        <v>531.45500000000004</v>
      </c>
      <c r="E1710">
        <v>4.9000000000000002E-2</v>
      </c>
      <c r="F1710">
        <v>523.33450000000005</v>
      </c>
      <c r="G1710">
        <v>534.13440000000003</v>
      </c>
      <c r="H1710">
        <v>536.89589999999998</v>
      </c>
      <c r="I1710">
        <v>4.4999999999999998E-2</v>
      </c>
      <c r="J1710">
        <v>5.2999999999999999E-2</v>
      </c>
      <c r="K1710">
        <v>4.9000000000000002E-2</v>
      </c>
      <c r="L1710">
        <v>2443.1999999999998</v>
      </c>
      <c r="M1710">
        <v>2454.6</v>
      </c>
      <c r="N1710">
        <v>2470.6</v>
      </c>
      <c r="Q1710">
        <f t="shared" si="105"/>
        <v>531.5</v>
      </c>
      <c r="R1710">
        <f t="shared" si="106"/>
        <v>531.5</v>
      </c>
      <c r="S1710">
        <f t="shared" si="107"/>
        <v>0.10000000000002274</v>
      </c>
    </row>
    <row r="1711" spans="1:19" x14ac:dyDescent="0.25">
      <c r="A1711" s="2">
        <v>44925</v>
      </c>
      <c r="B1711" s="3">
        <v>364</v>
      </c>
      <c r="C1711" s="3">
        <v>300</v>
      </c>
      <c r="D1711">
        <v>531.47500000000002</v>
      </c>
      <c r="E1711">
        <v>4.9000000000000002E-2</v>
      </c>
      <c r="F1711">
        <v>523.3519</v>
      </c>
      <c r="G1711">
        <v>534.1617</v>
      </c>
      <c r="H1711">
        <v>536.91160000000002</v>
      </c>
      <c r="I1711">
        <v>5.2999999999999999E-2</v>
      </c>
      <c r="J1711">
        <v>5.3999999999999999E-2</v>
      </c>
      <c r="K1711">
        <v>3.6999999999999998E-2</v>
      </c>
      <c r="L1711">
        <v>2443.1999999999998</v>
      </c>
      <c r="M1711">
        <v>2454.6</v>
      </c>
      <c r="N1711">
        <v>2470.4</v>
      </c>
      <c r="Q1711">
        <f t="shared" si="105"/>
        <v>531.5</v>
      </c>
      <c r="R1711">
        <f t="shared" si="106"/>
        <v>531.5</v>
      </c>
      <c r="S1711">
        <f t="shared" si="107"/>
        <v>0</v>
      </c>
    </row>
    <row r="1712" spans="1:19" x14ac:dyDescent="0.25">
      <c r="A1712" s="2">
        <v>44925</v>
      </c>
      <c r="B1712" s="3">
        <v>364</v>
      </c>
      <c r="C1712" s="3">
        <v>400</v>
      </c>
      <c r="D1712">
        <v>531.72559999999999</v>
      </c>
      <c r="E1712">
        <v>4.8000000000000001E-2</v>
      </c>
      <c r="F1712">
        <v>523.60469999999998</v>
      </c>
      <c r="G1712">
        <v>534.40120000000002</v>
      </c>
      <c r="H1712">
        <v>537.17079999999999</v>
      </c>
      <c r="I1712">
        <v>5.1999999999999998E-2</v>
      </c>
      <c r="J1712">
        <v>4.8000000000000001E-2</v>
      </c>
      <c r="K1712">
        <v>4.4999999999999998E-2</v>
      </c>
      <c r="L1712">
        <v>2443.8000000000002</v>
      </c>
      <c r="M1712">
        <v>2455.1999999999998</v>
      </c>
      <c r="N1712">
        <v>2471.1999999999998</v>
      </c>
      <c r="Q1712">
        <f t="shared" si="105"/>
        <v>531.70000000000005</v>
      </c>
      <c r="R1712">
        <f t="shared" si="106"/>
        <v>531.70000000000005</v>
      </c>
      <c r="S1712">
        <f t="shared" si="107"/>
        <v>0.20000000000004547</v>
      </c>
    </row>
    <row r="1713" spans="1:19" x14ac:dyDescent="0.25">
      <c r="A1713" s="2">
        <v>44925</v>
      </c>
      <c r="B1713" s="3">
        <v>364</v>
      </c>
      <c r="C1713" s="3">
        <v>500</v>
      </c>
      <c r="D1713">
        <v>532.28129999999999</v>
      </c>
      <c r="E1713">
        <v>4.7E-2</v>
      </c>
      <c r="F1713">
        <v>524.16409999999996</v>
      </c>
      <c r="G1713">
        <v>534.95479999999998</v>
      </c>
      <c r="H1713">
        <v>537.72479999999996</v>
      </c>
      <c r="I1713">
        <v>4.7E-2</v>
      </c>
      <c r="J1713">
        <v>4.9000000000000002E-2</v>
      </c>
      <c r="K1713">
        <v>4.3999999999999997E-2</v>
      </c>
      <c r="L1713">
        <v>2444.8000000000002</v>
      </c>
      <c r="M1713">
        <v>2456.1999999999998</v>
      </c>
      <c r="N1713">
        <v>2472</v>
      </c>
      <c r="Q1713">
        <f t="shared" si="105"/>
        <v>532.29999999999995</v>
      </c>
      <c r="R1713">
        <f t="shared" si="106"/>
        <v>532.29999999999995</v>
      </c>
      <c r="S1713">
        <f t="shared" si="107"/>
        <v>0.59999999999990905</v>
      </c>
    </row>
    <row r="1714" spans="1:19" x14ac:dyDescent="0.25">
      <c r="A1714" s="2">
        <v>44925</v>
      </c>
      <c r="B1714" s="3">
        <v>364</v>
      </c>
      <c r="C1714" s="3">
        <v>600</v>
      </c>
      <c r="D1714">
        <v>532.82230000000004</v>
      </c>
      <c r="E1714">
        <v>4.3999999999999997E-2</v>
      </c>
      <c r="F1714">
        <v>524.69690000000003</v>
      </c>
      <c r="G1714">
        <v>535.50649999999996</v>
      </c>
      <c r="H1714">
        <v>538.26340000000005</v>
      </c>
      <c r="I1714">
        <v>5.3999999999999999E-2</v>
      </c>
      <c r="J1714">
        <v>5.0999999999999997E-2</v>
      </c>
      <c r="K1714">
        <v>0.02</v>
      </c>
      <c r="L1714">
        <v>2445.8000000000002</v>
      </c>
      <c r="M1714">
        <v>2457.1999999999998</v>
      </c>
      <c r="N1714">
        <v>2473</v>
      </c>
      <c r="Q1714">
        <f t="shared" si="105"/>
        <v>532.79999999999995</v>
      </c>
      <c r="R1714">
        <f t="shared" si="106"/>
        <v>532.79999999999995</v>
      </c>
      <c r="S1714">
        <f t="shared" si="107"/>
        <v>0.5</v>
      </c>
    </row>
    <row r="1715" spans="1:19" x14ac:dyDescent="0.25">
      <c r="A1715" s="2">
        <v>44925</v>
      </c>
      <c r="B1715" s="3">
        <v>364</v>
      </c>
      <c r="C1715" s="3">
        <v>700</v>
      </c>
      <c r="D1715">
        <v>533.07050000000004</v>
      </c>
      <c r="E1715">
        <v>4.5999999999999999E-2</v>
      </c>
      <c r="F1715">
        <v>524.93820000000005</v>
      </c>
      <c r="G1715">
        <v>535.75819999999999</v>
      </c>
      <c r="H1715">
        <v>538.51520000000005</v>
      </c>
      <c r="I1715">
        <v>4.4999999999999998E-2</v>
      </c>
      <c r="J1715">
        <v>4.1000000000000002E-2</v>
      </c>
      <c r="K1715">
        <v>5.0999999999999997E-2</v>
      </c>
      <c r="L1715">
        <v>2446.1999999999998</v>
      </c>
      <c r="M1715">
        <v>2457.6</v>
      </c>
      <c r="N1715">
        <v>2473.4</v>
      </c>
      <c r="Q1715">
        <f t="shared" si="105"/>
        <v>533.1</v>
      </c>
      <c r="R1715">
        <f t="shared" si="106"/>
        <v>533.1</v>
      </c>
      <c r="S1715">
        <f t="shared" si="107"/>
        <v>0.30000000000006821</v>
      </c>
    </row>
    <row r="1716" spans="1:19" x14ac:dyDescent="0.25">
      <c r="A1716" s="2">
        <v>44925</v>
      </c>
      <c r="B1716" s="3">
        <v>364</v>
      </c>
      <c r="C1716" s="3">
        <v>800</v>
      </c>
      <c r="D1716">
        <v>533.60670000000005</v>
      </c>
      <c r="E1716">
        <v>4.8000000000000001E-2</v>
      </c>
      <c r="F1716">
        <v>525.46939999999995</v>
      </c>
      <c r="G1716">
        <v>536.29269999999997</v>
      </c>
      <c r="H1716">
        <v>539.05799999999999</v>
      </c>
      <c r="I1716">
        <v>5.3999999999999999E-2</v>
      </c>
      <c r="J1716">
        <v>4.7E-2</v>
      </c>
      <c r="K1716">
        <v>4.2000000000000003E-2</v>
      </c>
      <c r="L1716">
        <v>2447.1999999999998</v>
      </c>
      <c r="M1716">
        <v>2458.6</v>
      </c>
      <c r="N1716">
        <v>2474.4</v>
      </c>
      <c r="Q1716">
        <f t="shared" si="105"/>
        <v>533.6</v>
      </c>
      <c r="R1716">
        <f t="shared" si="106"/>
        <v>533.6</v>
      </c>
      <c r="S1716">
        <f t="shared" si="107"/>
        <v>0.5</v>
      </c>
    </row>
    <row r="1717" spans="1:19" x14ac:dyDescent="0.25">
      <c r="A1717" s="2">
        <v>44925</v>
      </c>
      <c r="B1717" s="3">
        <v>364</v>
      </c>
      <c r="C1717" s="3">
        <v>900</v>
      </c>
      <c r="D1717">
        <v>533.80050000000006</v>
      </c>
      <c r="E1717">
        <v>4.9000000000000002E-2</v>
      </c>
      <c r="F1717">
        <v>525.66639999999995</v>
      </c>
      <c r="G1717">
        <v>536.48779999999999</v>
      </c>
      <c r="H1717">
        <v>539.24749999999995</v>
      </c>
      <c r="I1717">
        <v>5.3999999999999999E-2</v>
      </c>
      <c r="J1717">
        <v>5.5E-2</v>
      </c>
      <c r="K1717">
        <v>3.6999999999999998E-2</v>
      </c>
      <c r="L1717">
        <v>2447.4</v>
      </c>
      <c r="M1717">
        <v>2459</v>
      </c>
      <c r="N1717">
        <v>2474.6</v>
      </c>
      <c r="Q1717">
        <f t="shared" si="105"/>
        <v>533.79999999999995</v>
      </c>
      <c r="R1717">
        <f t="shared" si="106"/>
        <v>533.79999999999995</v>
      </c>
      <c r="S1717">
        <f t="shared" si="107"/>
        <v>0.19999999999993179</v>
      </c>
    </row>
    <row r="1718" spans="1:19" x14ac:dyDescent="0.25">
      <c r="A1718" s="2">
        <v>44925</v>
      </c>
      <c r="B1718" s="3">
        <v>364</v>
      </c>
      <c r="C1718" s="3">
        <v>1000</v>
      </c>
      <c r="D1718">
        <v>533.82259999999997</v>
      </c>
      <c r="E1718">
        <v>4.3999999999999997E-2</v>
      </c>
      <c r="F1718">
        <v>525.70119999999997</v>
      </c>
      <c r="G1718">
        <v>536.51900000000001</v>
      </c>
      <c r="H1718">
        <v>539.24749999999995</v>
      </c>
      <c r="I1718">
        <v>0.05</v>
      </c>
      <c r="J1718">
        <v>4.3999999999999997E-2</v>
      </c>
      <c r="K1718">
        <v>3.6999999999999998E-2</v>
      </c>
      <c r="L1718">
        <v>2447.6</v>
      </c>
      <c r="M1718">
        <v>2459</v>
      </c>
      <c r="N1718">
        <v>2474.8000000000002</v>
      </c>
      <c r="Q1718">
        <f t="shared" si="105"/>
        <v>533.79999999999995</v>
      </c>
      <c r="R1718">
        <f t="shared" si="106"/>
        <v>533.79999999999995</v>
      </c>
      <c r="S1718">
        <f t="shared" si="107"/>
        <v>0</v>
      </c>
    </row>
    <row r="1719" spans="1:19" x14ac:dyDescent="0.25">
      <c r="A1719" s="2">
        <v>44925</v>
      </c>
      <c r="B1719" s="3">
        <v>364</v>
      </c>
      <c r="C1719" s="3">
        <v>1100</v>
      </c>
      <c r="D1719">
        <v>533.85990000000004</v>
      </c>
      <c r="E1719">
        <v>4.7E-2</v>
      </c>
      <c r="F1719">
        <v>525.80359999999996</v>
      </c>
      <c r="G1719">
        <v>536.5444</v>
      </c>
      <c r="H1719">
        <v>539.2319</v>
      </c>
      <c r="I1719">
        <v>5.2999999999999999E-2</v>
      </c>
      <c r="J1719">
        <v>3.5999999999999997E-2</v>
      </c>
      <c r="K1719">
        <v>4.9000000000000002E-2</v>
      </c>
      <c r="L1719">
        <v>2447.8000000000002</v>
      </c>
      <c r="M1719">
        <v>2459</v>
      </c>
      <c r="N1719">
        <v>2474.6</v>
      </c>
      <c r="Q1719">
        <f t="shared" si="105"/>
        <v>533.9</v>
      </c>
      <c r="R1719">
        <f t="shared" si="106"/>
        <v>533.9</v>
      </c>
      <c r="S1719">
        <f t="shared" si="107"/>
        <v>0.10000000000002274</v>
      </c>
    </row>
    <row r="1720" spans="1:19" x14ac:dyDescent="0.25">
      <c r="A1720" s="2">
        <v>44925</v>
      </c>
      <c r="B1720" s="3">
        <v>364</v>
      </c>
      <c r="C1720" s="3">
        <v>1200</v>
      </c>
      <c r="D1720">
        <v>533.79470000000003</v>
      </c>
      <c r="E1720">
        <v>4.9000000000000002E-2</v>
      </c>
      <c r="F1720">
        <v>525.64700000000005</v>
      </c>
      <c r="G1720">
        <v>536.49950000000001</v>
      </c>
      <c r="H1720">
        <v>539.23770000000002</v>
      </c>
      <c r="I1720">
        <v>4.5999999999999999E-2</v>
      </c>
      <c r="J1720">
        <v>5.3999999999999999E-2</v>
      </c>
      <c r="K1720">
        <v>4.4999999999999998E-2</v>
      </c>
      <c r="L1720">
        <v>2447.4</v>
      </c>
      <c r="M1720">
        <v>2458.8000000000002</v>
      </c>
      <c r="N1720">
        <v>2474.6</v>
      </c>
      <c r="Q1720">
        <f t="shared" si="105"/>
        <v>533.79999999999995</v>
      </c>
      <c r="R1720">
        <f t="shared" si="106"/>
        <v>533.9</v>
      </c>
      <c r="S1720">
        <f t="shared" si="107"/>
        <v>0</v>
      </c>
    </row>
    <row r="1721" spans="1:19" x14ac:dyDescent="0.25">
      <c r="A1721" s="2">
        <v>44925</v>
      </c>
      <c r="B1721" s="3">
        <v>364</v>
      </c>
      <c r="C1721" s="3">
        <v>1300</v>
      </c>
      <c r="D1721">
        <v>533.81550000000004</v>
      </c>
      <c r="E1721">
        <v>4.3999999999999997E-2</v>
      </c>
      <c r="F1721">
        <v>525.67020000000002</v>
      </c>
      <c r="G1721">
        <v>536.51120000000003</v>
      </c>
      <c r="H1721">
        <v>539.26509999999996</v>
      </c>
      <c r="I1721">
        <v>5.5E-2</v>
      </c>
      <c r="J1721">
        <v>4.9000000000000002E-2</v>
      </c>
      <c r="K1721">
        <v>0.02</v>
      </c>
      <c r="L1721">
        <v>2447.6</v>
      </c>
      <c r="M1721">
        <v>2459</v>
      </c>
      <c r="N1721">
        <v>2474.8000000000002</v>
      </c>
      <c r="Q1721">
        <f t="shared" si="105"/>
        <v>533.79999999999995</v>
      </c>
      <c r="R1721">
        <f t="shared" si="106"/>
        <v>533.9</v>
      </c>
      <c r="S1721">
        <f t="shared" si="107"/>
        <v>0</v>
      </c>
    </row>
    <row r="1722" spans="1:19" x14ac:dyDescent="0.25">
      <c r="A1722" s="2">
        <v>44925</v>
      </c>
      <c r="B1722" s="3">
        <v>364</v>
      </c>
      <c r="C1722" s="3">
        <v>1400</v>
      </c>
      <c r="D1722">
        <v>533.85500000000002</v>
      </c>
      <c r="E1722">
        <v>4.3999999999999997E-2</v>
      </c>
      <c r="F1722">
        <v>525.71280000000002</v>
      </c>
      <c r="G1722">
        <v>536.54830000000004</v>
      </c>
      <c r="H1722">
        <v>539.30409999999995</v>
      </c>
      <c r="I1722">
        <v>4.2000000000000003E-2</v>
      </c>
      <c r="J1722">
        <v>3.5000000000000003E-2</v>
      </c>
      <c r="K1722">
        <v>5.3999999999999999E-2</v>
      </c>
      <c r="L1722">
        <v>2447.6</v>
      </c>
      <c r="M1722">
        <v>2459</v>
      </c>
      <c r="N1722">
        <v>2474.8000000000002</v>
      </c>
      <c r="Q1722">
        <f t="shared" si="105"/>
        <v>533.9</v>
      </c>
      <c r="R1722">
        <f t="shared" si="106"/>
        <v>533.9</v>
      </c>
      <c r="S1722">
        <f t="shared" si="107"/>
        <v>0</v>
      </c>
    </row>
    <row r="1723" spans="1:19" x14ac:dyDescent="0.25">
      <c r="A1723" s="2">
        <v>44925</v>
      </c>
      <c r="B1723" s="3">
        <v>364</v>
      </c>
      <c r="C1723" s="3">
        <v>1500</v>
      </c>
      <c r="D1723">
        <v>533.87519999999995</v>
      </c>
      <c r="E1723">
        <v>4.9000000000000002E-2</v>
      </c>
      <c r="F1723">
        <v>525.72050000000002</v>
      </c>
      <c r="G1723">
        <v>536.58150000000001</v>
      </c>
      <c r="H1723">
        <v>539.32370000000003</v>
      </c>
      <c r="I1723">
        <v>3.4000000000000002E-2</v>
      </c>
      <c r="J1723">
        <v>5.3999999999999999E-2</v>
      </c>
      <c r="K1723">
        <v>5.5E-2</v>
      </c>
      <c r="L1723">
        <v>2447.6</v>
      </c>
      <c r="M1723">
        <v>2459</v>
      </c>
      <c r="N1723">
        <v>2474.8000000000002</v>
      </c>
      <c r="Q1723">
        <f t="shared" si="105"/>
        <v>533.9</v>
      </c>
      <c r="R1723">
        <f t="shared" si="106"/>
        <v>533.9</v>
      </c>
      <c r="S1723">
        <f t="shared" si="107"/>
        <v>0</v>
      </c>
    </row>
    <row r="1724" spans="1:19" x14ac:dyDescent="0.25">
      <c r="A1724" s="2">
        <v>44925</v>
      </c>
      <c r="B1724" s="3">
        <v>364</v>
      </c>
      <c r="C1724" s="3">
        <v>1600</v>
      </c>
      <c r="D1724">
        <v>533.84860000000003</v>
      </c>
      <c r="E1724">
        <v>5.0999999999999997E-2</v>
      </c>
      <c r="F1724">
        <v>525.68960000000004</v>
      </c>
      <c r="G1724">
        <v>536.53459999999995</v>
      </c>
      <c r="H1724">
        <v>539.32169999999996</v>
      </c>
      <c r="I1724">
        <v>5.3999999999999999E-2</v>
      </c>
      <c r="J1724">
        <v>4.3999999999999997E-2</v>
      </c>
      <c r="K1724">
        <v>5.5E-2</v>
      </c>
      <c r="L1724">
        <v>2447.4</v>
      </c>
      <c r="M1724">
        <v>2459</v>
      </c>
      <c r="N1724">
        <v>2475</v>
      </c>
      <c r="Q1724">
        <f t="shared" si="105"/>
        <v>533.79999999999995</v>
      </c>
      <c r="R1724">
        <f t="shared" si="106"/>
        <v>533.9</v>
      </c>
      <c r="S1724">
        <f t="shared" si="107"/>
        <v>0</v>
      </c>
    </row>
    <row r="1725" spans="1:19" x14ac:dyDescent="0.25">
      <c r="A1725" s="2">
        <v>44925</v>
      </c>
      <c r="B1725" s="3">
        <v>364</v>
      </c>
      <c r="C1725" s="3">
        <v>1700</v>
      </c>
      <c r="D1725">
        <v>533.86360000000002</v>
      </c>
      <c r="E1725">
        <v>4.8000000000000001E-2</v>
      </c>
      <c r="F1725">
        <v>525.6857</v>
      </c>
      <c r="G1725">
        <v>536.55799999999999</v>
      </c>
      <c r="H1725">
        <v>539.34709999999995</v>
      </c>
      <c r="I1725">
        <v>5.3999999999999999E-2</v>
      </c>
      <c r="J1725">
        <v>4.1000000000000002E-2</v>
      </c>
      <c r="K1725">
        <v>4.7E-2</v>
      </c>
      <c r="L1725">
        <v>2447.4</v>
      </c>
      <c r="M1725">
        <v>2459</v>
      </c>
      <c r="N1725">
        <v>2474.8000000000002</v>
      </c>
      <c r="Q1725">
        <f t="shared" si="105"/>
        <v>533.9</v>
      </c>
      <c r="R1725">
        <f t="shared" si="106"/>
        <v>533.9</v>
      </c>
      <c r="S1725">
        <f t="shared" si="107"/>
        <v>0</v>
      </c>
    </row>
    <row r="1726" spans="1:19" x14ac:dyDescent="0.25">
      <c r="A1726" s="2">
        <v>44925</v>
      </c>
      <c r="B1726" s="3">
        <v>364</v>
      </c>
      <c r="C1726" s="3">
        <v>1800</v>
      </c>
      <c r="D1726">
        <v>533.9153</v>
      </c>
      <c r="E1726">
        <v>4.8000000000000001E-2</v>
      </c>
      <c r="F1726">
        <v>525.78229999999996</v>
      </c>
      <c r="G1726">
        <v>536.59699999999998</v>
      </c>
      <c r="H1726">
        <v>539.36659999999995</v>
      </c>
      <c r="I1726">
        <v>5.5E-2</v>
      </c>
      <c r="J1726">
        <v>5.6000000000000001E-2</v>
      </c>
      <c r="K1726">
        <v>2.5000000000000001E-2</v>
      </c>
      <c r="L1726">
        <v>2447.8000000000002</v>
      </c>
      <c r="M1726">
        <v>2459</v>
      </c>
      <c r="N1726">
        <v>2475</v>
      </c>
      <c r="Q1726">
        <f t="shared" si="105"/>
        <v>533.9</v>
      </c>
      <c r="R1726">
        <f t="shared" si="106"/>
        <v>533.9</v>
      </c>
      <c r="S1726">
        <f t="shared" si="107"/>
        <v>0</v>
      </c>
    </row>
    <row r="1727" spans="1:19" x14ac:dyDescent="0.25">
      <c r="A1727" s="2">
        <v>44925</v>
      </c>
      <c r="B1727" s="3">
        <v>364</v>
      </c>
      <c r="C1727" s="3">
        <v>1900</v>
      </c>
      <c r="D1727">
        <v>533.92830000000004</v>
      </c>
      <c r="E1727">
        <v>4.7E-2</v>
      </c>
      <c r="F1727">
        <v>525.79</v>
      </c>
      <c r="G1727">
        <v>536.6146</v>
      </c>
      <c r="H1727">
        <v>539.38030000000003</v>
      </c>
      <c r="I1727">
        <v>5.5E-2</v>
      </c>
      <c r="J1727">
        <v>5.1999999999999998E-2</v>
      </c>
      <c r="K1727">
        <v>2.8000000000000001E-2</v>
      </c>
      <c r="L1727">
        <v>2447.8000000000002</v>
      </c>
      <c r="M1727">
        <v>2459</v>
      </c>
      <c r="N1727">
        <v>2475</v>
      </c>
      <c r="Q1727">
        <f t="shared" si="105"/>
        <v>533.9</v>
      </c>
      <c r="R1727">
        <f t="shared" si="106"/>
        <v>533.9</v>
      </c>
      <c r="S1727">
        <f t="shared" si="107"/>
        <v>0</v>
      </c>
    </row>
    <row r="1728" spans="1:19" x14ac:dyDescent="0.25">
      <c r="A1728" s="2">
        <v>44925</v>
      </c>
      <c r="B1728" s="3">
        <v>364</v>
      </c>
      <c r="C1728" s="3">
        <v>2000</v>
      </c>
      <c r="D1728">
        <v>533.91219999999998</v>
      </c>
      <c r="E1728">
        <v>4.9000000000000002E-2</v>
      </c>
      <c r="F1728">
        <v>525.77269999999999</v>
      </c>
      <c r="G1728">
        <v>536.57370000000003</v>
      </c>
      <c r="H1728">
        <v>539.39009999999996</v>
      </c>
      <c r="I1728">
        <v>5.2999999999999999E-2</v>
      </c>
      <c r="J1728">
        <v>5.0999999999999997E-2</v>
      </c>
      <c r="K1728">
        <v>4.1000000000000002E-2</v>
      </c>
      <c r="L1728">
        <v>2447.6</v>
      </c>
      <c r="M1728">
        <v>2459</v>
      </c>
      <c r="N1728">
        <v>2475</v>
      </c>
      <c r="Q1728">
        <f t="shared" si="105"/>
        <v>533.9</v>
      </c>
      <c r="R1728">
        <f t="shared" si="106"/>
        <v>533.9</v>
      </c>
      <c r="S1728">
        <f t="shared" si="107"/>
        <v>0</v>
      </c>
    </row>
    <row r="1729" spans="1:19" x14ac:dyDescent="0.25">
      <c r="A1729" s="2">
        <v>44925</v>
      </c>
      <c r="B1729" s="3">
        <v>364</v>
      </c>
      <c r="C1729" s="3">
        <v>2100</v>
      </c>
      <c r="D1729">
        <v>533.92780000000005</v>
      </c>
      <c r="E1729">
        <v>4.9000000000000002E-2</v>
      </c>
      <c r="F1729">
        <v>525.76110000000006</v>
      </c>
      <c r="G1729">
        <v>536.62049999999999</v>
      </c>
      <c r="H1729">
        <v>539.40179999999998</v>
      </c>
      <c r="I1729">
        <v>4.8000000000000001E-2</v>
      </c>
      <c r="J1729">
        <v>0.05</v>
      </c>
      <c r="K1729">
        <v>4.9000000000000002E-2</v>
      </c>
      <c r="L1729">
        <v>2447.8000000000002</v>
      </c>
      <c r="M1729">
        <v>2459.1999999999998</v>
      </c>
      <c r="N1729">
        <v>2475</v>
      </c>
      <c r="Q1729">
        <f t="shared" si="105"/>
        <v>533.9</v>
      </c>
      <c r="R1729">
        <f t="shared" si="106"/>
        <v>533.9</v>
      </c>
      <c r="S1729">
        <f t="shared" si="107"/>
        <v>0</v>
      </c>
    </row>
    <row r="1730" spans="1:19" x14ac:dyDescent="0.25">
      <c r="A1730" s="2">
        <v>44925</v>
      </c>
      <c r="B1730" s="3">
        <v>364</v>
      </c>
      <c r="C1730" s="3">
        <v>2200</v>
      </c>
      <c r="D1730">
        <v>533.98800000000006</v>
      </c>
      <c r="E1730">
        <v>4.8000000000000001E-2</v>
      </c>
      <c r="F1730">
        <v>525.8732</v>
      </c>
      <c r="G1730">
        <v>536.65949999999998</v>
      </c>
      <c r="H1730">
        <v>539.43110000000001</v>
      </c>
      <c r="I1730">
        <v>0.05</v>
      </c>
      <c r="J1730">
        <v>3.5000000000000003E-2</v>
      </c>
      <c r="K1730">
        <v>5.6000000000000001E-2</v>
      </c>
      <c r="L1730">
        <v>2447.8000000000002</v>
      </c>
      <c r="M1730">
        <v>2459.1999999999998</v>
      </c>
      <c r="N1730">
        <v>2475</v>
      </c>
      <c r="Q1730">
        <f t="shared" si="105"/>
        <v>534</v>
      </c>
      <c r="R1730">
        <f t="shared" si="106"/>
        <v>534</v>
      </c>
      <c r="S1730">
        <f t="shared" si="107"/>
        <v>0.10000000000002274</v>
      </c>
    </row>
    <row r="1731" spans="1:19" x14ac:dyDescent="0.25">
      <c r="A1731" s="2">
        <v>44925</v>
      </c>
      <c r="B1731" s="3">
        <v>364</v>
      </c>
      <c r="C1731" s="3">
        <v>2300</v>
      </c>
      <c r="D1731">
        <v>533.9905</v>
      </c>
      <c r="E1731">
        <v>4.5999999999999999E-2</v>
      </c>
      <c r="F1731">
        <v>525.87699999999995</v>
      </c>
      <c r="G1731">
        <v>536.65560000000005</v>
      </c>
      <c r="H1731">
        <v>539.43889999999999</v>
      </c>
      <c r="I1731">
        <v>5.0999999999999997E-2</v>
      </c>
      <c r="J1731">
        <v>2.9000000000000001E-2</v>
      </c>
      <c r="K1731">
        <v>5.5E-2</v>
      </c>
      <c r="L1731">
        <v>2447.8000000000002</v>
      </c>
      <c r="M1731">
        <v>2459.1999999999998</v>
      </c>
      <c r="N1731">
        <v>2475.1999999999998</v>
      </c>
      <c r="Q1731">
        <f t="shared" si="105"/>
        <v>534</v>
      </c>
      <c r="R1731">
        <f t="shared" si="106"/>
        <v>534</v>
      </c>
      <c r="S1731">
        <f t="shared" si="107"/>
        <v>0</v>
      </c>
    </row>
    <row r="1732" spans="1:19" x14ac:dyDescent="0.25">
      <c r="A1732" s="2">
        <v>44925</v>
      </c>
      <c r="B1732" s="3">
        <v>364</v>
      </c>
      <c r="C1732" s="3">
        <v>2400</v>
      </c>
      <c r="D1732">
        <v>534.00739999999996</v>
      </c>
      <c r="E1732">
        <v>4.9000000000000002E-2</v>
      </c>
      <c r="F1732">
        <v>525.89829999999995</v>
      </c>
      <c r="G1732">
        <v>536.67129999999997</v>
      </c>
      <c r="H1732">
        <v>539.45259999999996</v>
      </c>
      <c r="I1732">
        <v>5.5E-2</v>
      </c>
      <c r="J1732">
        <v>4.2000000000000003E-2</v>
      </c>
      <c r="K1732">
        <v>0.05</v>
      </c>
      <c r="L1732">
        <v>2448</v>
      </c>
      <c r="M1732">
        <v>2459.4</v>
      </c>
      <c r="N1732">
        <v>2475</v>
      </c>
      <c r="Q1732">
        <f t="shared" si="105"/>
        <v>534</v>
      </c>
      <c r="R1732">
        <f t="shared" si="106"/>
        <v>534</v>
      </c>
      <c r="S1732">
        <f t="shared" si="107"/>
        <v>0</v>
      </c>
    </row>
    <row r="1733" spans="1:19" x14ac:dyDescent="0.25">
      <c r="A1733" s="2">
        <v>44926</v>
      </c>
      <c r="B1733" s="3">
        <v>365</v>
      </c>
      <c r="C1733" s="3">
        <v>100</v>
      </c>
      <c r="D1733">
        <v>533.99239999999998</v>
      </c>
      <c r="E1733">
        <v>0.05</v>
      </c>
      <c r="F1733">
        <v>525.8886</v>
      </c>
      <c r="G1733">
        <v>536.63419999999996</v>
      </c>
      <c r="H1733">
        <v>539.45450000000005</v>
      </c>
      <c r="I1733">
        <v>5.3999999999999999E-2</v>
      </c>
      <c r="J1733">
        <v>4.5999999999999999E-2</v>
      </c>
      <c r="K1733">
        <v>4.9000000000000002E-2</v>
      </c>
      <c r="L1733">
        <v>2448</v>
      </c>
      <c r="M1733">
        <v>2459</v>
      </c>
      <c r="N1733">
        <v>2475.1999999999998</v>
      </c>
      <c r="Q1733">
        <f t="shared" si="105"/>
        <v>534</v>
      </c>
      <c r="R1733">
        <f t="shared" si="106"/>
        <v>534</v>
      </c>
      <c r="S1733">
        <f t="shared" si="107"/>
        <v>0</v>
      </c>
    </row>
    <row r="1734" spans="1:19" x14ac:dyDescent="0.25">
      <c r="A1734" s="2">
        <v>44926</v>
      </c>
      <c r="B1734" s="3">
        <v>365</v>
      </c>
      <c r="C1734" s="3">
        <v>200</v>
      </c>
      <c r="D1734">
        <v>533.85969999999998</v>
      </c>
      <c r="E1734">
        <v>4.2999999999999997E-2</v>
      </c>
      <c r="F1734">
        <v>525.69920000000002</v>
      </c>
      <c r="G1734">
        <v>536.40779999999995</v>
      </c>
      <c r="H1734">
        <v>539.47209999999995</v>
      </c>
      <c r="I1734">
        <v>0.05</v>
      </c>
      <c r="J1734">
        <v>4.3999999999999997E-2</v>
      </c>
      <c r="K1734">
        <v>3.4000000000000002E-2</v>
      </c>
      <c r="L1734">
        <v>2447.6</v>
      </c>
      <c r="M1734">
        <v>2458.8000000000002</v>
      </c>
      <c r="N1734">
        <v>2475.1999999999998</v>
      </c>
      <c r="Q1734">
        <f t="shared" si="105"/>
        <v>533.9</v>
      </c>
      <c r="R1734">
        <f t="shared" si="106"/>
        <v>534</v>
      </c>
      <c r="S1734">
        <f t="shared" si="107"/>
        <v>0</v>
      </c>
    </row>
    <row r="1735" spans="1:19" x14ac:dyDescent="0.25">
      <c r="A1735" s="2">
        <v>44926</v>
      </c>
      <c r="B1735" s="3">
        <v>365</v>
      </c>
      <c r="C1735" s="3">
        <v>300</v>
      </c>
      <c r="D1735">
        <v>533.96420000000001</v>
      </c>
      <c r="E1735">
        <v>3.9E-2</v>
      </c>
      <c r="F1735">
        <v>525.76880000000006</v>
      </c>
      <c r="G1735">
        <v>536.65560000000005</v>
      </c>
      <c r="H1735">
        <v>539.46820000000002</v>
      </c>
      <c r="I1735">
        <v>5.1999999999999998E-2</v>
      </c>
      <c r="J1735">
        <v>0.02</v>
      </c>
      <c r="K1735">
        <v>3.9E-2</v>
      </c>
      <c r="L1735">
        <v>2447.8000000000002</v>
      </c>
      <c r="M1735">
        <v>2459.1999999999998</v>
      </c>
      <c r="N1735">
        <v>2475.1999999999998</v>
      </c>
      <c r="Q1735">
        <f t="shared" si="105"/>
        <v>534</v>
      </c>
      <c r="R1735">
        <f t="shared" si="106"/>
        <v>534</v>
      </c>
      <c r="S1735">
        <f t="shared" si="107"/>
        <v>0</v>
      </c>
    </row>
    <row r="1736" spans="1:19" x14ac:dyDescent="0.25">
      <c r="A1736" s="2">
        <v>44926</v>
      </c>
      <c r="B1736" s="3">
        <v>365</v>
      </c>
      <c r="C1736" s="3">
        <v>400</v>
      </c>
      <c r="D1736">
        <v>534.197</v>
      </c>
      <c r="E1736">
        <v>0.04</v>
      </c>
      <c r="F1736">
        <v>526.0471</v>
      </c>
      <c r="G1736">
        <v>536.96019999999999</v>
      </c>
      <c r="H1736">
        <v>539.58349999999996</v>
      </c>
      <c r="I1736">
        <v>3.7999999999999999E-2</v>
      </c>
      <c r="J1736">
        <v>4.7E-2</v>
      </c>
      <c r="K1736">
        <v>3.4000000000000002E-2</v>
      </c>
      <c r="L1736">
        <v>2448.1999999999998</v>
      </c>
      <c r="M1736">
        <v>2459.6</v>
      </c>
      <c r="N1736">
        <v>2475.4</v>
      </c>
      <c r="Q1736">
        <f t="shared" si="105"/>
        <v>534.20000000000005</v>
      </c>
      <c r="R1736">
        <f t="shared" si="106"/>
        <v>534.20000000000005</v>
      </c>
      <c r="S1736">
        <f t="shared" si="107"/>
        <v>0.20000000000004547</v>
      </c>
    </row>
    <row r="1737" spans="1:19" x14ac:dyDescent="0.25">
      <c r="A1737" s="2">
        <v>44926</v>
      </c>
      <c r="B1737" s="3">
        <v>365</v>
      </c>
      <c r="C1737" s="3">
        <v>500</v>
      </c>
      <c r="D1737">
        <v>534.25390000000004</v>
      </c>
      <c r="E1737">
        <v>4.9000000000000002E-2</v>
      </c>
      <c r="F1737">
        <v>526.12040000000002</v>
      </c>
      <c r="G1737">
        <v>537.03639999999996</v>
      </c>
      <c r="H1737">
        <v>539.60500000000002</v>
      </c>
      <c r="I1737">
        <v>5.5E-2</v>
      </c>
      <c r="J1737">
        <v>5.5E-2</v>
      </c>
      <c r="K1737">
        <v>3.2000000000000001E-2</v>
      </c>
      <c r="L1737">
        <v>2448.1999999999998</v>
      </c>
      <c r="M1737">
        <v>2460</v>
      </c>
      <c r="N1737">
        <v>2475.4</v>
      </c>
      <c r="Q1737">
        <f t="shared" si="105"/>
        <v>534.29999999999995</v>
      </c>
      <c r="R1737">
        <f t="shared" si="106"/>
        <v>534.29999999999995</v>
      </c>
      <c r="S1737">
        <f t="shared" si="107"/>
        <v>9.9999999999909051E-2</v>
      </c>
    </row>
    <row r="1738" spans="1:19" x14ac:dyDescent="0.25">
      <c r="A1738" s="2">
        <v>44926</v>
      </c>
      <c r="B1738" s="3">
        <v>365</v>
      </c>
      <c r="C1738" s="3">
        <v>600</v>
      </c>
      <c r="D1738">
        <v>534.25519999999995</v>
      </c>
      <c r="E1738">
        <v>4.9000000000000002E-2</v>
      </c>
      <c r="F1738">
        <v>526.12239999999997</v>
      </c>
      <c r="G1738">
        <v>537.03639999999996</v>
      </c>
      <c r="H1738">
        <v>539.6069</v>
      </c>
      <c r="I1738">
        <v>5.5E-2</v>
      </c>
      <c r="J1738">
        <v>5.5E-2</v>
      </c>
      <c r="K1738">
        <v>3.4000000000000002E-2</v>
      </c>
      <c r="L1738">
        <v>2448.1999999999998</v>
      </c>
      <c r="M1738">
        <v>2459.8000000000002</v>
      </c>
      <c r="N1738">
        <v>2475.4</v>
      </c>
      <c r="Q1738">
        <f t="shared" si="105"/>
        <v>534.29999999999995</v>
      </c>
      <c r="R1738">
        <f t="shared" si="106"/>
        <v>534.29999999999995</v>
      </c>
      <c r="S1738">
        <f t="shared" si="107"/>
        <v>0</v>
      </c>
    </row>
    <row r="1739" spans="1:19" x14ac:dyDescent="0.25">
      <c r="A1739" s="2">
        <v>44926</v>
      </c>
      <c r="B1739" s="3">
        <v>365</v>
      </c>
      <c r="C1739" s="3">
        <v>700</v>
      </c>
      <c r="D1739">
        <v>534.23310000000004</v>
      </c>
      <c r="E1739">
        <v>4.9000000000000002E-2</v>
      </c>
      <c r="F1739">
        <v>526.13400000000001</v>
      </c>
      <c r="G1739">
        <v>536.95039999999995</v>
      </c>
      <c r="H1739">
        <v>539.61469999999997</v>
      </c>
      <c r="I1739">
        <v>5.2999999999999999E-2</v>
      </c>
      <c r="J1739">
        <v>5.1999999999999998E-2</v>
      </c>
      <c r="K1739">
        <v>4.2000000000000003E-2</v>
      </c>
      <c r="L1739">
        <v>2448.1999999999998</v>
      </c>
      <c r="M1739">
        <v>2459.8000000000002</v>
      </c>
      <c r="N1739">
        <v>2475.4</v>
      </c>
      <c r="Q1739">
        <f t="shared" si="105"/>
        <v>534.20000000000005</v>
      </c>
      <c r="R1739">
        <f t="shared" si="106"/>
        <v>534.29999999999995</v>
      </c>
      <c r="S1739">
        <f t="shared" si="107"/>
        <v>0</v>
      </c>
    </row>
    <row r="1740" spans="1:19" x14ac:dyDescent="0.25">
      <c r="A1740" s="2">
        <v>44926</v>
      </c>
      <c r="B1740" s="3">
        <v>365</v>
      </c>
      <c r="C1740" s="3">
        <v>800</v>
      </c>
      <c r="D1740">
        <v>534.20500000000004</v>
      </c>
      <c r="E1740">
        <v>4.2999999999999997E-2</v>
      </c>
      <c r="F1740">
        <v>526.15909999999997</v>
      </c>
      <c r="G1740">
        <v>536.84109999999998</v>
      </c>
      <c r="H1740">
        <v>539.61469999999997</v>
      </c>
      <c r="I1740">
        <v>3.5999999999999997E-2</v>
      </c>
      <c r="J1740">
        <v>5.0999999999999997E-2</v>
      </c>
      <c r="K1740">
        <v>4.2000000000000003E-2</v>
      </c>
      <c r="L1740">
        <v>2448.4</v>
      </c>
      <c r="M1740">
        <v>2459.6</v>
      </c>
      <c r="N1740">
        <v>2475.4</v>
      </c>
      <c r="Q1740">
        <f t="shared" si="105"/>
        <v>534.20000000000005</v>
      </c>
      <c r="R1740">
        <f t="shared" si="106"/>
        <v>534.29999999999995</v>
      </c>
      <c r="S1740">
        <f t="shared" si="107"/>
        <v>0</v>
      </c>
    </row>
    <row r="1741" spans="1:19" x14ac:dyDescent="0.25">
      <c r="A1741" s="2">
        <v>44926</v>
      </c>
      <c r="B1741" s="3">
        <v>365</v>
      </c>
      <c r="C1741" s="3">
        <v>900</v>
      </c>
      <c r="D1741">
        <v>534.15340000000003</v>
      </c>
      <c r="E1741">
        <v>4.5999999999999999E-2</v>
      </c>
      <c r="F1741">
        <v>526.02769999999998</v>
      </c>
      <c r="G1741">
        <v>536.82939999999996</v>
      </c>
      <c r="H1741">
        <v>539.60299999999995</v>
      </c>
      <c r="I1741">
        <v>5.0999999999999997E-2</v>
      </c>
      <c r="J1741">
        <v>5.5E-2</v>
      </c>
      <c r="K1741">
        <v>2.8000000000000001E-2</v>
      </c>
      <c r="L1741">
        <v>2448.1999999999998</v>
      </c>
      <c r="M1741">
        <v>2459.4</v>
      </c>
      <c r="N1741">
        <v>2475.4</v>
      </c>
      <c r="Q1741">
        <f t="shared" si="105"/>
        <v>534.20000000000005</v>
      </c>
      <c r="R1741">
        <f t="shared" si="106"/>
        <v>534.29999999999995</v>
      </c>
      <c r="S1741">
        <f t="shared" si="107"/>
        <v>0</v>
      </c>
    </row>
    <row r="1742" spans="1:19" x14ac:dyDescent="0.25">
      <c r="A1742" s="2">
        <v>44926</v>
      </c>
      <c r="B1742" s="3">
        <v>365</v>
      </c>
      <c r="C1742" s="3">
        <v>1000</v>
      </c>
      <c r="D1742">
        <v>534.14369999999997</v>
      </c>
      <c r="E1742">
        <v>4.5999999999999999E-2</v>
      </c>
      <c r="F1742">
        <v>526.01229999999998</v>
      </c>
      <c r="G1742">
        <v>536.82749999999999</v>
      </c>
      <c r="H1742">
        <v>539.59130000000005</v>
      </c>
      <c r="I1742">
        <v>5.5E-2</v>
      </c>
      <c r="J1742">
        <v>5.5E-2</v>
      </c>
      <c r="K1742">
        <v>0.02</v>
      </c>
      <c r="L1742">
        <v>2448</v>
      </c>
      <c r="M1742">
        <v>2459.4</v>
      </c>
      <c r="N1742">
        <v>2475.4</v>
      </c>
      <c r="Q1742">
        <f t="shared" si="105"/>
        <v>534.1</v>
      </c>
      <c r="R1742">
        <f t="shared" si="106"/>
        <v>534.29999999999995</v>
      </c>
      <c r="S1742">
        <f t="shared" si="107"/>
        <v>0</v>
      </c>
    </row>
    <row r="1743" spans="1:19" x14ac:dyDescent="0.25">
      <c r="A1743" s="2">
        <v>44926</v>
      </c>
      <c r="B1743" s="3">
        <v>365</v>
      </c>
      <c r="C1743" s="3">
        <v>1100</v>
      </c>
      <c r="D1743">
        <v>534.14089999999999</v>
      </c>
      <c r="E1743">
        <v>4.7E-2</v>
      </c>
      <c r="F1743">
        <v>526.06050000000005</v>
      </c>
      <c r="G1743">
        <v>536.8098</v>
      </c>
      <c r="H1743">
        <v>539.55219999999997</v>
      </c>
      <c r="I1743">
        <v>2.5000000000000001E-2</v>
      </c>
      <c r="J1743">
        <v>5.5E-2</v>
      </c>
      <c r="K1743">
        <v>5.3999999999999999E-2</v>
      </c>
      <c r="L1743">
        <v>2448.1999999999998</v>
      </c>
      <c r="M1743">
        <v>2459.6</v>
      </c>
      <c r="N1743">
        <v>2475.4</v>
      </c>
      <c r="Q1743">
        <f t="shared" si="105"/>
        <v>534.1</v>
      </c>
      <c r="R1743">
        <f t="shared" si="106"/>
        <v>534.29999999999995</v>
      </c>
      <c r="S1743">
        <f t="shared" si="107"/>
        <v>0</v>
      </c>
    </row>
    <row r="1744" spans="1:19" x14ac:dyDescent="0.25">
      <c r="A1744" s="2">
        <v>44926</v>
      </c>
      <c r="B1744" s="3">
        <v>365</v>
      </c>
      <c r="C1744" s="3">
        <v>1200</v>
      </c>
      <c r="D1744">
        <v>534.15060000000005</v>
      </c>
      <c r="E1744">
        <v>4.4999999999999998E-2</v>
      </c>
      <c r="F1744">
        <v>526.06629999999996</v>
      </c>
      <c r="G1744">
        <v>536.82349999999997</v>
      </c>
      <c r="H1744">
        <v>539.56200000000001</v>
      </c>
      <c r="I1744">
        <v>0.02</v>
      </c>
      <c r="J1744">
        <v>5.5E-2</v>
      </c>
      <c r="K1744">
        <v>5.0999999999999997E-2</v>
      </c>
      <c r="L1744">
        <v>2448.1999999999998</v>
      </c>
      <c r="M1744">
        <v>2459.6</v>
      </c>
      <c r="N1744">
        <v>2475.4</v>
      </c>
      <c r="Q1744">
        <f t="shared" si="105"/>
        <v>534.20000000000005</v>
      </c>
      <c r="R1744">
        <f t="shared" si="106"/>
        <v>534.29999999999995</v>
      </c>
      <c r="S1744">
        <f t="shared" si="107"/>
        <v>0</v>
      </c>
    </row>
    <row r="1745" spans="1:19" x14ac:dyDescent="0.25">
      <c r="A1745" s="2">
        <v>44926</v>
      </c>
      <c r="B1745" s="3">
        <v>365</v>
      </c>
      <c r="C1745" s="3">
        <v>1300</v>
      </c>
      <c r="D1745">
        <v>534.20899999999995</v>
      </c>
      <c r="E1745">
        <v>4.8000000000000001E-2</v>
      </c>
      <c r="F1745">
        <v>526.14170000000001</v>
      </c>
      <c r="G1745">
        <v>536.85479999999995</v>
      </c>
      <c r="H1745">
        <v>539.63040000000001</v>
      </c>
      <c r="I1745">
        <v>4.9000000000000002E-2</v>
      </c>
      <c r="J1745">
        <v>4.2000000000000003E-2</v>
      </c>
      <c r="K1745">
        <v>5.1999999999999998E-2</v>
      </c>
      <c r="L1745">
        <v>2448.4</v>
      </c>
      <c r="M1745">
        <v>2459.6</v>
      </c>
      <c r="N1745">
        <v>2475.4</v>
      </c>
      <c r="Q1745">
        <f t="shared" si="105"/>
        <v>534.20000000000005</v>
      </c>
      <c r="R1745">
        <f t="shared" si="106"/>
        <v>534.29999999999995</v>
      </c>
      <c r="S1745">
        <f t="shared" si="107"/>
        <v>0</v>
      </c>
    </row>
    <row r="1746" spans="1:19" x14ac:dyDescent="0.25">
      <c r="A1746" s="2">
        <v>44926</v>
      </c>
      <c r="B1746" s="3">
        <v>365</v>
      </c>
      <c r="C1746" s="3">
        <v>1400</v>
      </c>
      <c r="D1746">
        <v>534.22979999999995</v>
      </c>
      <c r="E1746">
        <v>5.0999999999999997E-2</v>
      </c>
      <c r="F1746">
        <v>526.13980000000004</v>
      </c>
      <c r="G1746">
        <v>536.89779999999996</v>
      </c>
      <c r="H1746">
        <v>539.65189999999996</v>
      </c>
      <c r="I1746">
        <v>0.05</v>
      </c>
      <c r="J1746">
        <v>4.4999999999999998E-2</v>
      </c>
      <c r="K1746">
        <v>5.6000000000000001E-2</v>
      </c>
      <c r="L1746">
        <v>2448.4</v>
      </c>
      <c r="M1746">
        <v>2459.6</v>
      </c>
      <c r="N1746">
        <v>2475.4</v>
      </c>
      <c r="Q1746">
        <f t="shared" si="105"/>
        <v>534.20000000000005</v>
      </c>
      <c r="R1746">
        <f t="shared" si="106"/>
        <v>534.29999999999995</v>
      </c>
      <c r="S1746">
        <f t="shared" si="107"/>
        <v>0</v>
      </c>
    </row>
    <row r="1747" spans="1:19" x14ac:dyDescent="0.25">
      <c r="A1747" s="2">
        <v>44926</v>
      </c>
      <c r="B1747" s="3">
        <v>365</v>
      </c>
      <c r="C1747" s="3">
        <v>1500</v>
      </c>
      <c r="D1747">
        <v>534.22659999999996</v>
      </c>
      <c r="E1747">
        <v>5.5E-2</v>
      </c>
      <c r="F1747">
        <v>526.1069</v>
      </c>
      <c r="G1747">
        <v>536.91930000000002</v>
      </c>
      <c r="H1747">
        <v>539.65390000000002</v>
      </c>
      <c r="I1747">
        <v>5.3999999999999999E-2</v>
      </c>
      <c r="J1747">
        <v>5.5E-2</v>
      </c>
      <c r="K1747">
        <v>5.6000000000000001E-2</v>
      </c>
      <c r="L1747">
        <v>2448.1999999999998</v>
      </c>
      <c r="M1747">
        <v>2459.6</v>
      </c>
      <c r="N1747">
        <v>2475.4</v>
      </c>
      <c r="Q1747">
        <f t="shared" ref="Q1747:Q1756" si="108">ROUND(D1747,1)</f>
        <v>534.20000000000005</v>
      </c>
      <c r="R1747">
        <f t="shared" si="106"/>
        <v>534.29999999999995</v>
      </c>
      <c r="S1747">
        <f t="shared" si="107"/>
        <v>0</v>
      </c>
    </row>
    <row r="1748" spans="1:19" x14ac:dyDescent="0.25">
      <c r="A1748" s="2">
        <v>44926</v>
      </c>
      <c r="B1748" s="3">
        <v>365</v>
      </c>
      <c r="C1748" s="3">
        <v>1600</v>
      </c>
      <c r="D1748">
        <v>534.57899999999995</v>
      </c>
      <c r="E1748">
        <v>5.2999999999999999E-2</v>
      </c>
      <c r="F1748">
        <v>526.44719999999995</v>
      </c>
      <c r="G1748">
        <v>537.28030000000001</v>
      </c>
      <c r="H1748">
        <v>540.0095</v>
      </c>
      <c r="I1748">
        <v>5.5E-2</v>
      </c>
      <c r="J1748">
        <v>5.2999999999999999E-2</v>
      </c>
      <c r="K1748">
        <v>0.05</v>
      </c>
      <c r="L1748">
        <v>2449</v>
      </c>
      <c r="M1748">
        <v>2460.4</v>
      </c>
      <c r="N1748">
        <v>2476</v>
      </c>
      <c r="Q1748">
        <f t="shared" si="108"/>
        <v>534.6</v>
      </c>
      <c r="R1748">
        <f t="shared" si="106"/>
        <v>534.6</v>
      </c>
      <c r="S1748">
        <f t="shared" si="107"/>
        <v>0.30000000000006821</v>
      </c>
    </row>
    <row r="1749" spans="1:19" x14ac:dyDescent="0.25">
      <c r="A1749" s="2">
        <v>44926</v>
      </c>
      <c r="B1749" s="3">
        <v>365</v>
      </c>
      <c r="C1749" s="3">
        <v>1700</v>
      </c>
      <c r="D1749">
        <v>534.63220000000001</v>
      </c>
      <c r="E1749">
        <v>3.4000000000000002E-2</v>
      </c>
      <c r="F1749">
        <v>526.50130000000001</v>
      </c>
      <c r="G1749">
        <v>537.33309999999994</v>
      </c>
      <c r="H1749">
        <v>540.06230000000005</v>
      </c>
      <c r="I1749">
        <v>1.4E-2</v>
      </c>
      <c r="J1749">
        <v>3.6999999999999998E-2</v>
      </c>
      <c r="K1749">
        <v>4.3999999999999997E-2</v>
      </c>
      <c r="L1749">
        <v>2449</v>
      </c>
      <c r="M1749">
        <v>2460.4</v>
      </c>
      <c r="N1749">
        <v>2476.1999999999998</v>
      </c>
      <c r="Q1749">
        <f t="shared" si="108"/>
        <v>534.6</v>
      </c>
      <c r="R1749">
        <f t="shared" si="106"/>
        <v>534.6</v>
      </c>
      <c r="S1749">
        <f t="shared" si="107"/>
        <v>0</v>
      </c>
    </row>
    <row r="1750" spans="1:19" x14ac:dyDescent="0.25">
      <c r="A1750" s="2">
        <v>44926</v>
      </c>
      <c r="B1750" s="3">
        <v>365</v>
      </c>
      <c r="C1750" s="3">
        <v>1800</v>
      </c>
      <c r="D1750">
        <v>534.63810000000001</v>
      </c>
      <c r="E1750">
        <v>4.1000000000000002E-2</v>
      </c>
      <c r="F1750">
        <v>526.50710000000004</v>
      </c>
      <c r="G1750">
        <v>537.34090000000003</v>
      </c>
      <c r="H1750">
        <v>540.06619999999998</v>
      </c>
      <c r="I1750">
        <v>2.9000000000000001E-2</v>
      </c>
      <c r="J1750">
        <v>4.3999999999999997E-2</v>
      </c>
      <c r="K1750">
        <v>4.7E-2</v>
      </c>
      <c r="L1750">
        <v>2449</v>
      </c>
      <c r="M1750">
        <v>2460.4</v>
      </c>
      <c r="N1750">
        <v>2476.1999999999998</v>
      </c>
      <c r="Q1750">
        <f t="shared" si="108"/>
        <v>534.6</v>
      </c>
      <c r="R1750">
        <f t="shared" si="106"/>
        <v>534.6</v>
      </c>
      <c r="S1750">
        <f t="shared" si="107"/>
        <v>0</v>
      </c>
    </row>
    <row r="1751" spans="1:19" x14ac:dyDescent="0.25">
      <c r="A1751" s="2">
        <v>44926</v>
      </c>
      <c r="B1751" s="3">
        <v>365</v>
      </c>
      <c r="C1751" s="3">
        <v>1900</v>
      </c>
      <c r="D1751">
        <v>534.63940000000002</v>
      </c>
      <c r="E1751">
        <v>4.2999999999999997E-2</v>
      </c>
      <c r="F1751">
        <v>526.50519999999995</v>
      </c>
      <c r="G1751">
        <v>537.33900000000006</v>
      </c>
      <c r="H1751">
        <v>540.07399999999996</v>
      </c>
      <c r="I1751">
        <v>3.3000000000000002E-2</v>
      </c>
      <c r="J1751">
        <v>4.2000000000000003E-2</v>
      </c>
      <c r="K1751">
        <v>5.0999999999999997E-2</v>
      </c>
      <c r="L1751">
        <v>2449</v>
      </c>
      <c r="M1751">
        <v>2460.4</v>
      </c>
      <c r="N1751">
        <v>2476.4</v>
      </c>
      <c r="Q1751">
        <f t="shared" si="108"/>
        <v>534.6</v>
      </c>
      <c r="R1751">
        <f t="shared" si="106"/>
        <v>534.6</v>
      </c>
      <c r="S1751">
        <f t="shared" si="107"/>
        <v>0</v>
      </c>
    </row>
    <row r="1752" spans="1:19" x14ac:dyDescent="0.25">
      <c r="A1752" s="2">
        <v>44926</v>
      </c>
      <c r="B1752" s="3">
        <v>365</v>
      </c>
      <c r="C1752" s="3">
        <v>2000</v>
      </c>
      <c r="D1752">
        <v>534.80100000000004</v>
      </c>
      <c r="E1752">
        <v>5.0999999999999997E-2</v>
      </c>
      <c r="F1752">
        <v>526.65989999999999</v>
      </c>
      <c r="G1752">
        <v>537.50120000000004</v>
      </c>
      <c r="H1752">
        <v>540.24210000000005</v>
      </c>
      <c r="I1752">
        <v>5.3999999999999999E-2</v>
      </c>
      <c r="J1752">
        <v>5.3999999999999999E-2</v>
      </c>
      <c r="K1752">
        <v>4.3999999999999997E-2</v>
      </c>
      <c r="L1752">
        <v>2449.4</v>
      </c>
      <c r="M1752">
        <v>2460.8000000000002</v>
      </c>
      <c r="N1752">
        <v>2476.4</v>
      </c>
      <c r="Q1752">
        <f t="shared" si="108"/>
        <v>534.79999999999995</v>
      </c>
      <c r="R1752">
        <f t="shared" si="106"/>
        <v>534.79999999999995</v>
      </c>
      <c r="S1752">
        <f t="shared" si="107"/>
        <v>0.19999999999993179</v>
      </c>
    </row>
    <row r="1753" spans="1:19" x14ac:dyDescent="0.25">
      <c r="A1753" s="2">
        <v>44926</v>
      </c>
      <c r="B1753" s="3">
        <v>365</v>
      </c>
      <c r="C1753" s="3">
        <v>2100</v>
      </c>
      <c r="D1753">
        <v>534.84199999999998</v>
      </c>
      <c r="E1753">
        <v>4.3999999999999997E-2</v>
      </c>
      <c r="F1753">
        <v>526.69269999999995</v>
      </c>
      <c r="G1753">
        <v>537.54409999999996</v>
      </c>
      <c r="H1753">
        <v>540.28909999999996</v>
      </c>
      <c r="I1753">
        <v>0.05</v>
      </c>
      <c r="J1753">
        <v>3.3000000000000002E-2</v>
      </c>
      <c r="K1753">
        <v>4.7E-2</v>
      </c>
      <c r="L1753">
        <v>2449.1999999999998</v>
      </c>
      <c r="M1753">
        <v>2460.6</v>
      </c>
      <c r="N1753">
        <v>2476.6</v>
      </c>
      <c r="Q1753">
        <f t="shared" si="108"/>
        <v>534.79999999999995</v>
      </c>
      <c r="R1753">
        <f t="shared" si="106"/>
        <v>534.79999999999995</v>
      </c>
      <c r="S1753">
        <f t="shared" si="107"/>
        <v>0</v>
      </c>
    </row>
    <row r="1754" spans="1:19" x14ac:dyDescent="0.25">
      <c r="A1754" s="2">
        <v>44926</v>
      </c>
      <c r="B1754" s="3">
        <v>365</v>
      </c>
      <c r="C1754" s="3">
        <v>2200</v>
      </c>
      <c r="D1754">
        <v>535.20680000000004</v>
      </c>
      <c r="E1754">
        <v>0.05</v>
      </c>
      <c r="F1754">
        <v>527.04480000000001</v>
      </c>
      <c r="G1754">
        <v>537.92110000000002</v>
      </c>
      <c r="H1754">
        <v>540.65459999999996</v>
      </c>
      <c r="I1754">
        <v>3.6999999999999998E-2</v>
      </c>
      <c r="J1754">
        <v>5.5E-2</v>
      </c>
      <c r="K1754">
        <v>5.6000000000000001E-2</v>
      </c>
      <c r="L1754">
        <v>2450</v>
      </c>
      <c r="M1754">
        <v>2461.4</v>
      </c>
      <c r="N1754">
        <v>2477.4</v>
      </c>
      <c r="Q1754">
        <f t="shared" si="108"/>
        <v>535.20000000000005</v>
      </c>
      <c r="R1754">
        <f t="shared" si="106"/>
        <v>535.20000000000005</v>
      </c>
      <c r="S1754">
        <f t="shared" si="107"/>
        <v>0.40000000000009095</v>
      </c>
    </row>
    <row r="1755" spans="1:19" x14ac:dyDescent="0.25">
      <c r="A1755" s="2">
        <v>44926</v>
      </c>
      <c r="B1755" s="3">
        <v>365</v>
      </c>
      <c r="C1755" s="3">
        <v>2300</v>
      </c>
      <c r="D1755">
        <v>536.08579999999995</v>
      </c>
      <c r="E1755">
        <v>5.3999999999999999E-2</v>
      </c>
      <c r="F1755">
        <v>527.89030000000002</v>
      </c>
      <c r="G1755">
        <v>538.76940000000002</v>
      </c>
      <c r="H1755">
        <v>541.59749999999997</v>
      </c>
      <c r="I1755">
        <v>5.8000000000000003E-2</v>
      </c>
      <c r="J1755">
        <v>4.3999999999999997E-2</v>
      </c>
      <c r="K1755">
        <v>5.8999999999999997E-2</v>
      </c>
      <c r="L1755">
        <v>2451.8000000000002</v>
      </c>
      <c r="M1755">
        <v>2463</v>
      </c>
      <c r="N1755">
        <v>2479.1999999999998</v>
      </c>
      <c r="Q1755">
        <f t="shared" si="108"/>
        <v>536.1</v>
      </c>
      <c r="R1755">
        <f t="shared" si="106"/>
        <v>536.1</v>
      </c>
      <c r="S1755">
        <f t="shared" si="107"/>
        <v>0.89999999999997726</v>
      </c>
    </row>
    <row r="1756" spans="1:19" x14ac:dyDescent="0.25">
      <c r="A1756" s="2">
        <v>44926</v>
      </c>
      <c r="B1756" s="3">
        <v>365</v>
      </c>
      <c r="C1756" s="3">
        <v>2400</v>
      </c>
      <c r="D1756">
        <v>537.46519999999998</v>
      </c>
      <c r="E1756">
        <v>3.5999999999999997E-2</v>
      </c>
      <c r="F1756">
        <v>529.25559999999996</v>
      </c>
      <c r="G1756">
        <v>540.21900000000005</v>
      </c>
      <c r="H1756">
        <v>542.92100000000005</v>
      </c>
      <c r="I1756">
        <v>3.2000000000000001E-2</v>
      </c>
      <c r="J1756">
        <v>3.3000000000000002E-2</v>
      </c>
      <c r="K1756">
        <v>4.2000000000000003E-2</v>
      </c>
      <c r="L1756">
        <v>2453.8000000000002</v>
      </c>
      <c r="M1756">
        <v>2465.6</v>
      </c>
      <c r="N1756">
        <v>2481.1999999999998</v>
      </c>
      <c r="Q1756">
        <f t="shared" si="108"/>
        <v>537.5</v>
      </c>
      <c r="R1756">
        <f t="shared" si="106"/>
        <v>537.5</v>
      </c>
      <c r="S1756">
        <f t="shared" si="107"/>
        <v>1.3999999999999773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7"/>
  <sheetViews>
    <sheetView tabSelected="1" workbookViewId="0">
      <pane xSplit="2" ySplit="4" topLeftCell="L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5" x14ac:dyDescent="0.25"/>
  <cols>
    <col min="1" max="1" width="15.7109375" customWidth="1"/>
    <col min="2" max="2" width="6.7109375" customWidth="1"/>
    <col min="15" max="15" width="2.7109375" customWidth="1"/>
    <col min="16" max="21" width="6.7109375" customWidth="1"/>
  </cols>
  <sheetData>
    <row r="1" spans="1:19" x14ac:dyDescent="0.25">
      <c r="A1" t="s">
        <v>45</v>
      </c>
    </row>
    <row r="2" spans="1:19" x14ac:dyDescent="0.25">
      <c r="A2" t="s">
        <v>54</v>
      </c>
    </row>
    <row r="3" spans="1:19" x14ac:dyDescent="0.25">
      <c r="C3" t="s">
        <v>16</v>
      </c>
      <c r="D3" t="s">
        <v>16</v>
      </c>
      <c r="E3" t="s">
        <v>16</v>
      </c>
      <c r="K3" t="s">
        <v>17</v>
      </c>
      <c r="L3" t="s">
        <v>17</v>
      </c>
      <c r="M3" t="s">
        <v>17</v>
      </c>
      <c r="P3" t="s">
        <v>16</v>
      </c>
      <c r="Q3">
        <v>295.7</v>
      </c>
    </row>
    <row r="4" spans="1:19" x14ac:dyDescent="0.25">
      <c r="A4" t="s">
        <v>13</v>
      </c>
      <c r="B4" t="s">
        <v>30</v>
      </c>
      <c r="C4" t="s">
        <v>0</v>
      </c>
      <c r="D4" t="s">
        <v>29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P4" t="s">
        <v>50</v>
      </c>
      <c r="Q4" t="s">
        <v>18</v>
      </c>
      <c r="R4" t="s">
        <v>12</v>
      </c>
      <c r="S4" t="s">
        <v>31</v>
      </c>
    </row>
    <row r="5" spans="1:19" x14ac:dyDescent="0.25">
      <c r="A5" s="8">
        <v>44854</v>
      </c>
      <c r="B5">
        <v>293</v>
      </c>
      <c r="C5">
        <v>295.69009999999997</v>
      </c>
      <c r="D5">
        <v>4.2000000000000003E-2</v>
      </c>
      <c r="E5">
        <v>290.66820000000001</v>
      </c>
      <c r="F5">
        <v>296.65859999999998</v>
      </c>
      <c r="G5">
        <v>299.74340000000001</v>
      </c>
      <c r="H5">
        <v>0.04</v>
      </c>
      <c r="I5">
        <v>4.2999999999999997E-2</v>
      </c>
      <c r="J5">
        <v>4.2000000000000003E-2</v>
      </c>
      <c r="K5">
        <v>1971</v>
      </c>
      <c r="L5">
        <v>1976.8</v>
      </c>
      <c r="M5">
        <v>1994.2</v>
      </c>
      <c r="P5">
        <f>ROUND(C5,1)</f>
        <v>295.7</v>
      </c>
      <c r="Q5">
        <f>ROUND(P5,1)</f>
        <v>295.7</v>
      </c>
      <c r="R5" s="9">
        <f>IF(Q5&gt;Q3,Q5-Q3,0)</f>
        <v>0</v>
      </c>
      <c r="S5">
        <f>R5</f>
        <v>0</v>
      </c>
    </row>
    <row r="6" spans="1:19" x14ac:dyDescent="0.25">
      <c r="A6" s="8">
        <v>44855</v>
      </c>
      <c r="B6">
        <v>294</v>
      </c>
      <c r="C6">
        <v>300.11559999999997</v>
      </c>
      <c r="D6">
        <v>3.9E-2</v>
      </c>
      <c r="E6">
        <v>295.13920000000002</v>
      </c>
      <c r="F6">
        <v>300.96350000000001</v>
      </c>
      <c r="G6">
        <v>304.24400000000003</v>
      </c>
      <c r="H6">
        <v>3.5000000000000003E-2</v>
      </c>
      <c r="I6">
        <v>0.04</v>
      </c>
      <c r="J6">
        <v>4.2999999999999997E-2</v>
      </c>
      <c r="K6">
        <v>1981.2</v>
      </c>
      <c r="L6">
        <v>1986.6</v>
      </c>
      <c r="M6">
        <v>2004.6</v>
      </c>
      <c r="P6">
        <f t="shared" ref="P6:P69" si="0">ROUND(C6,1)</f>
        <v>300.10000000000002</v>
      </c>
      <c r="Q6">
        <f>ROUND(P6,1)</f>
        <v>300.10000000000002</v>
      </c>
      <c r="R6">
        <f t="shared" ref="R6:R32" si="1">IF(Q6&gt;Q5,Q6-Q5,0)</f>
        <v>4.4000000000000341</v>
      </c>
      <c r="S6">
        <f t="shared" ref="S6:S34" si="2">R6+S5</f>
        <v>4.4000000000000341</v>
      </c>
    </row>
    <row r="7" spans="1:19" x14ac:dyDescent="0.25">
      <c r="A7" s="8">
        <v>44856</v>
      </c>
      <c r="B7">
        <v>295</v>
      </c>
      <c r="C7">
        <v>297.60199999999998</v>
      </c>
      <c r="D7">
        <v>3.6999999999999998E-2</v>
      </c>
      <c r="E7">
        <v>292.61079999999998</v>
      </c>
      <c r="F7">
        <v>298.40370000000001</v>
      </c>
      <c r="G7">
        <v>301.79149999999998</v>
      </c>
      <c r="H7">
        <v>0.04</v>
      </c>
      <c r="I7">
        <v>3.7999999999999999E-2</v>
      </c>
      <c r="J7">
        <v>3.1E-2</v>
      </c>
      <c r="K7">
        <v>1975.4</v>
      </c>
      <c r="L7">
        <v>1980.8</v>
      </c>
      <c r="M7">
        <v>1999</v>
      </c>
      <c r="P7">
        <f t="shared" si="0"/>
        <v>297.60000000000002</v>
      </c>
      <c r="Q7">
        <f>ROUND(IF(P7&lt;Q6,Q6,P7),1)</f>
        <v>300.10000000000002</v>
      </c>
      <c r="R7">
        <f t="shared" si="1"/>
        <v>0</v>
      </c>
      <c r="S7">
        <f t="shared" si="2"/>
        <v>4.4000000000000341</v>
      </c>
    </row>
    <row r="8" spans="1:19" x14ac:dyDescent="0.25">
      <c r="A8" s="8">
        <v>44857</v>
      </c>
      <c r="B8">
        <v>296</v>
      </c>
      <c r="C8">
        <v>296.36259999999999</v>
      </c>
      <c r="D8">
        <v>3.9E-2</v>
      </c>
      <c r="E8">
        <v>291.34269999999998</v>
      </c>
      <c r="F8">
        <v>297.15620000000001</v>
      </c>
      <c r="G8">
        <v>300.58890000000002</v>
      </c>
      <c r="H8">
        <v>0.04</v>
      </c>
      <c r="I8">
        <v>3.5000000000000003E-2</v>
      </c>
      <c r="J8">
        <v>4.1000000000000002E-2</v>
      </c>
      <c r="K8">
        <v>1972.6</v>
      </c>
      <c r="L8">
        <v>1978.2</v>
      </c>
      <c r="M8">
        <v>1996.4</v>
      </c>
      <c r="P8">
        <f t="shared" si="0"/>
        <v>296.39999999999998</v>
      </c>
      <c r="Q8" s="4">
        <f>ROUND(P8,1)</f>
        <v>296.39999999999998</v>
      </c>
      <c r="R8">
        <f t="shared" si="1"/>
        <v>0</v>
      </c>
      <c r="S8">
        <f t="shared" si="2"/>
        <v>4.4000000000000341</v>
      </c>
    </row>
    <row r="9" spans="1:19" x14ac:dyDescent="0.25">
      <c r="A9" s="8">
        <v>44858</v>
      </c>
      <c r="B9">
        <v>297</v>
      </c>
      <c r="C9">
        <v>302.1454</v>
      </c>
      <c r="D9">
        <v>5.8999999999999997E-2</v>
      </c>
      <c r="E9">
        <v>297.06349999999998</v>
      </c>
      <c r="F9">
        <v>302.95690000000002</v>
      </c>
      <c r="G9">
        <v>306.41570000000002</v>
      </c>
      <c r="H9">
        <v>5.7000000000000002E-2</v>
      </c>
      <c r="I9">
        <v>5.8000000000000003E-2</v>
      </c>
      <c r="J9">
        <v>6.0999999999999999E-2</v>
      </c>
      <c r="K9">
        <v>1985.8</v>
      </c>
      <c r="L9">
        <v>1991.4</v>
      </c>
      <c r="M9">
        <v>2009.6</v>
      </c>
      <c r="P9">
        <f t="shared" si="0"/>
        <v>302.10000000000002</v>
      </c>
      <c r="Q9">
        <f t="shared" ref="Q9:Q40" si="3">ROUND(IF(P9&lt;Q8,Q8,P9),1)</f>
        <v>302.10000000000002</v>
      </c>
      <c r="R9">
        <f t="shared" si="1"/>
        <v>5.7000000000000455</v>
      </c>
      <c r="S9">
        <f t="shared" si="2"/>
        <v>10.10000000000008</v>
      </c>
    </row>
    <row r="10" spans="1:19" x14ac:dyDescent="0.25">
      <c r="A10" s="8">
        <v>44859</v>
      </c>
      <c r="B10">
        <v>298</v>
      </c>
      <c r="C10">
        <v>307.3784</v>
      </c>
      <c r="D10">
        <v>5.8999999999999997E-2</v>
      </c>
      <c r="E10">
        <v>302.2002</v>
      </c>
      <c r="F10">
        <v>308.267</v>
      </c>
      <c r="G10">
        <v>311.66820000000001</v>
      </c>
      <c r="H10">
        <v>5.5E-2</v>
      </c>
      <c r="I10">
        <v>6.0999999999999999E-2</v>
      </c>
      <c r="J10">
        <v>6.0999999999999999E-2</v>
      </c>
      <c r="K10">
        <v>1997.4</v>
      </c>
      <c r="L10">
        <v>2003.4</v>
      </c>
      <c r="M10">
        <v>2021.4</v>
      </c>
      <c r="P10">
        <f t="shared" si="0"/>
        <v>307.39999999999998</v>
      </c>
      <c r="Q10">
        <f t="shared" si="3"/>
        <v>307.39999999999998</v>
      </c>
      <c r="R10">
        <f t="shared" si="1"/>
        <v>5.2999999999999545</v>
      </c>
      <c r="S10">
        <f t="shared" si="2"/>
        <v>15.400000000000034</v>
      </c>
    </row>
    <row r="11" spans="1:19" x14ac:dyDescent="0.25">
      <c r="A11" s="8">
        <v>44860</v>
      </c>
      <c r="B11">
        <v>299</v>
      </c>
      <c r="C11">
        <v>310.3152</v>
      </c>
      <c r="D11">
        <v>3.7999999999999999E-2</v>
      </c>
      <c r="E11">
        <v>305.12630000000001</v>
      </c>
      <c r="F11">
        <v>311.20949999999999</v>
      </c>
      <c r="G11">
        <v>314.60989999999998</v>
      </c>
      <c r="H11">
        <v>4.3999999999999997E-2</v>
      </c>
      <c r="I11">
        <v>4.2000000000000003E-2</v>
      </c>
      <c r="J11">
        <v>2.5000000000000001E-2</v>
      </c>
      <c r="K11">
        <v>2003.8</v>
      </c>
      <c r="L11">
        <v>2009.8</v>
      </c>
      <c r="M11">
        <v>2027.8</v>
      </c>
      <c r="P11">
        <f t="shared" si="0"/>
        <v>310.3</v>
      </c>
      <c r="Q11">
        <f t="shared" si="3"/>
        <v>310.3</v>
      </c>
      <c r="R11">
        <f t="shared" si="1"/>
        <v>2.9000000000000341</v>
      </c>
      <c r="S11">
        <f t="shared" si="2"/>
        <v>18.300000000000068</v>
      </c>
    </row>
    <row r="12" spans="1:19" x14ac:dyDescent="0.25">
      <c r="A12" s="8">
        <v>44861</v>
      </c>
      <c r="B12">
        <v>300</v>
      </c>
      <c r="C12">
        <v>310.93450000000001</v>
      </c>
      <c r="D12">
        <v>3.7999999999999999E-2</v>
      </c>
      <c r="E12">
        <v>305.75389999999999</v>
      </c>
      <c r="F12">
        <v>311.8777</v>
      </c>
      <c r="G12">
        <v>315.17180000000002</v>
      </c>
      <c r="H12">
        <v>4.3999999999999997E-2</v>
      </c>
      <c r="I12">
        <v>3.5000000000000003E-2</v>
      </c>
      <c r="J12">
        <v>3.4000000000000002E-2</v>
      </c>
      <c r="K12">
        <v>2005.2</v>
      </c>
      <c r="L12">
        <v>2011.2</v>
      </c>
      <c r="M12">
        <v>2029</v>
      </c>
      <c r="P12">
        <f t="shared" si="0"/>
        <v>310.89999999999998</v>
      </c>
      <c r="Q12">
        <f t="shared" si="3"/>
        <v>310.89999999999998</v>
      </c>
      <c r="R12">
        <f t="shared" si="1"/>
        <v>0.59999999999996589</v>
      </c>
      <c r="S12">
        <f t="shared" si="2"/>
        <v>18.900000000000034</v>
      </c>
    </row>
    <row r="13" spans="1:19" x14ac:dyDescent="0.25">
      <c r="A13" s="8">
        <v>44862</v>
      </c>
      <c r="B13">
        <v>301</v>
      </c>
      <c r="C13">
        <v>314.44</v>
      </c>
      <c r="D13">
        <v>0.04</v>
      </c>
      <c r="E13">
        <v>309.209</v>
      </c>
      <c r="F13">
        <v>315.38290000000001</v>
      </c>
      <c r="G13">
        <v>318.72809999999998</v>
      </c>
      <c r="H13">
        <v>4.2000000000000003E-2</v>
      </c>
      <c r="I13">
        <v>3.9E-2</v>
      </c>
      <c r="J13">
        <v>0.04</v>
      </c>
      <c r="K13">
        <v>2013</v>
      </c>
      <c r="L13">
        <v>2019</v>
      </c>
      <c r="M13">
        <v>2037</v>
      </c>
      <c r="P13">
        <f t="shared" si="0"/>
        <v>314.39999999999998</v>
      </c>
      <c r="Q13">
        <f t="shared" si="3"/>
        <v>314.39999999999998</v>
      </c>
      <c r="R13">
        <f t="shared" si="1"/>
        <v>3.5</v>
      </c>
      <c r="S13">
        <f t="shared" si="2"/>
        <v>22.400000000000034</v>
      </c>
    </row>
    <row r="14" spans="1:19" x14ac:dyDescent="0.25">
      <c r="A14" s="8">
        <v>44863</v>
      </c>
      <c r="B14">
        <v>302</v>
      </c>
      <c r="C14">
        <v>314.39800000000002</v>
      </c>
      <c r="D14">
        <v>3.2000000000000001E-2</v>
      </c>
      <c r="E14">
        <v>309.18709999999999</v>
      </c>
      <c r="F14">
        <v>315.334</v>
      </c>
      <c r="G14">
        <v>318.67290000000003</v>
      </c>
      <c r="H14">
        <v>2.5000000000000001E-2</v>
      </c>
      <c r="I14">
        <v>4.1000000000000002E-2</v>
      </c>
      <c r="J14">
        <v>2.8000000000000001E-2</v>
      </c>
      <c r="K14">
        <v>2013</v>
      </c>
      <c r="L14">
        <v>2018.8</v>
      </c>
      <c r="M14">
        <v>2036.8</v>
      </c>
      <c r="P14">
        <f t="shared" si="0"/>
        <v>314.39999999999998</v>
      </c>
      <c r="Q14">
        <f t="shared" si="3"/>
        <v>314.39999999999998</v>
      </c>
      <c r="R14">
        <f t="shared" si="1"/>
        <v>0</v>
      </c>
      <c r="S14">
        <f t="shared" si="2"/>
        <v>22.400000000000034</v>
      </c>
    </row>
    <row r="15" spans="1:19" x14ac:dyDescent="0.25">
      <c r="A15" s="8">
        <v>44864</v>
      </c>
      <c r="B15">
        <v>303</v>
      </c>
      <c r="C15">
        <v>321.85059999999999</v>
      </c>
      <c r="D15">
        <v>3.7999999999999999E-2</v>
      </c>
      <c r="E15">
        <v>316.55250000000001</v>
      </c>
      <c r="F15">
        <v>322.83390000000003</v>
      </c>
      <c r="G15">
        <v>326.16539999999998</v>
      </c>
      <c r="H15">
        <v>4.8000000000000001E-2</v>
      </c>
      <c r="I15">
        <v>3.4000000000000002E-2</v>
      </c>
      <c r="J15">
        <v>0.03</v>
      </c>
      <c r="K15">
        <v>2029.6</v>
      </c>
      <c r="L15">
        <v>2035.6</v>
      </c>
      <c r="M15">
        <v>2053.4</v>
      </c>
      <c r="P15">
        <f t="shared" si="0"/>
        <v>321.89999999999998</v>
      </c>
      <c r="Q15">
        <f t="shared" si="3"/>
        <v>321.89999999999998</v>
      </c>
      <c r="R15">
        <f t="shared" si="1"/>
        <v>7.5</v>
      </c>
      <c r="S15">
        <f t="shared" si="2"/>
        <v>29.900000000000034</v>
      </c>
    </row>
    <row r="16" spans="1:19" x14ac:dyDescent="0.25">
      <c r="A16" s="8">
        <v>44865</v>
      </c>
      <c r="B16">
        <v>304</v>
      </c>
      <c r="C16">
        <v>327.38130000000001</v>
      </c>
      <c r="D16">
        <v>3.7999999999999999E-2</v>
      </c>
      <c r="E16">
        <v>321.98869999999999</v>
      </c>
      <c r="F16">
        <v>328.3965</v>
      </c>
      <c r="G16">
        <v>331.75869999999998</v>
      </c>
      <c r="H16">
        <v>4.4999999999999998E-2</v>
      </c>
      <c r="I16">
        <v>0.03</v>
      </c>
      <c r="J16">
        <v>3.5999999999999997E-2</v>
      </c>
      <c r="K16">
        <v>2041.6</v>
      </c>
      <c r="L16">
        <v>2047.8</v>
      </c>
      <c r="M16">
        <v>2065.6</v>
      </c>
      <c r="P16">
        <f t="shared" si="0"/>
        <v>327.39999999999998</v>
      </c>
      <c r="Q16">
        <f t="shared" si="3"/>
        <v>327.39999999999998</v>
      </c>
      <c r="R16">
        <f t="shared" si="1"/>
        <v>5.5</v>
      </c>
      <c r="S16">
        <f t="shared" si="2"/>
        <v>35.400000000000034</v>
      </c>
    </row>
    <row r="17" spans="1:19" x14ac:dyDescent="0.25">
      <c r="A17" s="8">
        <v>44866</v>
      </c>
      <c r="B17">
        <v>305</v>
      </c>
      <c r="C17">
        <v>327.42809999999997</v>
      </c>
      <c r="D17">
        <v>3.5000000000000003E-2</v>
      </c>
      <c r="E17">
        <v>322.04910000000001</v>
      </c>
      <c r="F17">
        <v>328.41570000000002</v>
      </c>
      <c r="G17">
        <v>331.81970000000001</v>
      </c>
      <c r="H17">
        <v>3.6999999999999998E-2</v>
      </c>
      <c r="I17">
        <v>3.6999999999999998E-2</v>
      </c>
      <c r="J17">
        <v>3.2000000000000001E-2</v>
      </c>
      <c r="K17">
        <v>2041.6</v>
      </c>
      <c r="L17">
        <v>2047.8</v>
      </c>
      <c r="M17">
        <v>2065.8000000000002</v>
      </c>
      <c r="P17">
        <f t="shared" si="0"/>
        <v>327.39999999999998</v>
      </c>
      <c r="Q17">
        <f t="shared" si="3"/>
        <v>327.39999999999998</v>
      </c>
      <c r="R17">
        <f t="shared" si="1"/>
        <v>0</v>
      </c>
      <c r="S17">
        <f t="shared" si="2"/>
        <v>35.400000000000034</v>
      </c>
    </row>
    <row r="18" spans="1:19" x14ac:dyDescent="0.25">
      <c r="A18" s="8">
        <v>44867</v>
      </c>
      <c r="B18">
        <v>306</v>
      </c>
      <c r="C18">
        <v>327.61840000000001</v>
      </c>
      <c r="D18">
        <v>3.5000000000000003E-2</v>
      </c>
      <c r="E18">
        <v>322.40339999999998</v>
      </c>
      <c r="F18">
        <v>328.50689999999997</v>
      </c>
      <c r="G18">
        <v>331.94490000000002</v>
      </c>
      <c r="H18">
        <v>0.03</v>
      </c>
      <c r="I18">
        <v>3.6999999999999998E-2</v>
      </c>
      <c r="J18">
        <v>3.7999999999999999E-2</v>
      </c>
      <c r="K18">
        <v>2042.4</v>
      </c>
      <c r="L18">
        <v>2048</v>
      </c>
      <c r="M18">
        <v>2066</v>
      </c>
      <c r="P18">
        <f t="shared" si="0"/>
        <v>327.60000000000002</v>
      </c>
      <c r="Q18">
        <f t="shared" si="3"/>
        <v>327.60000000000002</v>
      </c>
      <c r="R18">
        <f t="shared" si="1"/>
        <v>0.20000000000004547</v>
      </c>
      <c r="S18">
        <f t="shared" si="2"/>
        <v>35.60000000000008</v>
      </c>
    </row>
    <row r="19" spans="1:19" x14ac:dyDescent="0.25">
      <c r="A19" s="8">
        <v>44868</v>
      </c>
      <c r="B19">
        <v>307</v>
      </c>
      <c r="C19">
        <v>337.54419999999999</v>
      </c>
      <c r="D19">
        <v>4.7E-2</v>
      </c>
      <c r="E19">
        <v>332.27440000000001</v>
      </c>
      <c r="F19">
        <v>338.5308</v>
      </c>
      <c r="G19">
        <v>341.8272</v>
      </c>
      <c r="H19">
        <v>4.5999999999999999E-2</v>
      </c>
      <c r="I19">
        <v>4.5999999999999999E-2</v>
      </c>
      <c r="J19">
        <v>4.9000000000000002E-2</v>
      </c>
      <c r="K19">
        <v>2064.1999999999998</v>
      </c>
      <c r="L19">
        <v>2070</v>
      </c>
      <c r="M19">
        <v>2087.8000000000002</v>
      </c>
      <c r="P19">
        <f t="shared" si="0"/>
        <v>337.5</v>
      </c>
      <c r="Q19">
        <f t="shared" si="3"/>
        <v>337.5</v>
      </c>
      <c r="R19">
        <f t="shared" si="1"/>
        <v>9.8999999999999773</v>
      </c>
      <c r="S19">
        <f t="shared" si="2"/>
        <v>45.500000000000057</v>
      </c>
    </row>
    <row r="20" spans="1:19" x14ac:dyDescent="0.25">
      <c r="A20" s="8">
        <v>44869</v>
      </c>
      <c r="B20">
        <v>308</v>
      </c>
      <c r="C20">
        <v>366.73489999999998</v>
      </c>
      <c r="D20">
        <v>4.9000000000000002E-2</v>
      </c>
      <c r="E20">
        <v>361.40870000000001</v>
      </c>
      <c r="F20">
        <v>367.81799999999998</v>
      </c>
      <c r="G20">
        <v>370.97800000000001</v>
      </c>
      <c r="H20">
        <v>4.3999999999999997E-2</v>
      </c>
      <c r="I20">
        <v>4.7E-2</v>
      </c>
      <c r="J20">
        <v>5.3999999999999999E-2</v>
      </c>
      <c r="K20">
        <v>2126.6</v>
      </c>
      <c r="L20">
        <v>2132.4</v>
      </c>
      <c r="M20">
        <v>2149.4</v>
      </c>
      <c r="P20">
        <f t="shared" si="0"/>
        <v>366.7</v>
      </c>
      <c r="Q20">
        <f t="shared" si="3"/>
        <v>366.7</v>
      </c>
      <c r="R20">
        <f t="shared" si="1"/>
        <v>29.199999999999989</v>
      </c>
      <c r="S20">
        <f t="shared" si="2"/>
        <v>74.700000000000045</v>
      </c>
    </row>
    <row r="21" spans="1:19" x14ac:dyDescent="0.25">
      <c r="A21" s="8">
        <v>44870</v>
      </c>
      <c r="B21">
        <v>309</v>
      </c>
      <c r="C21">
        <v>382.86680000000001</v>
      </c>
      <c r="D21">
        <v>4.3999999999999997E-2</v>
      </c>
      <c r="E21">
        <v>377.2681</v>
      </c>
      <c r="F21">
        <v>384.03579999999999</v>
      </c>
      <c r="G21">
        <v>387.29649999999998</v>
      </c>
      <c r="H21">
        <v>4.5999999999999999E-2</v>
      </c>
      <c r="I21">
        <v>4.2000000000000003E-2</v>
      </c>
      <c r="J21">
        <v>4.3999999999999997E-2</v>
      </c>
      <c r="K21">
        <v>2159.8000000000002</v>
      </c>
      <c r="L21">
        <v>2166</v>
      </c>
      <c r="M21">
        <v>2183.4</v>
      </c>
      <c r="P21">
        <f t="shared" si="0"/>
        <v>382.9</v>
      </c>
      <c r="Q21">
        <f t="shared" si="3"/>
        <v>382.9</v>
      </c>
      <c r="R21">
        <f t="shared" si="1"/>
        <v>16.199999999999989</v>
      </c>
      <c r="S21">
        <f t="shared" si="2"/>
        <v>90.900000000000034</v>
      </c>
    </row>
    <row r="22" spans="1:19" x14ac:dyDescent="0.25">
      <c r="A22" s="8">
        <v>44871</v>
      </c>
      <c r="B22">
        <v>310</v>
      </c>
      <c r="C22">
        <v>396.07530000000003</v>
      </c>
      <c r="D22">
        <v>7.0999999999999994E-2</v>
      </c>
      <c r="E22">
        <v>390.3476</v>
      </c>
      <c r="F22">
        <v>397.3657</v>
      </c>
      <c r="G22">
        <v>400.51280000000003</v>
      </c>
      <c r="H22">
        <v>6.7000000000000004E-2</v>
      </c>
      <c r="I22">
        <v>7.1999999999999995E-2</v>
      </c>
      <c r="J22">
        <v>7.3999999999999996E-2</v>
      </c>
      <c r="K22">
        <v>2187</v>
      </c>
      <c r="L22">
        <v>2193.4</v>
      </c>
      <c r="M22">
        <v>2210.6</v>
      </c>
      <c r="P22">
        <f t="shared" si="0"/>
        <v>396.1</v>
      </c>
      <c r="Q22">
        <f t="shared" si="3"/>
        <v>396.1</v>
      </c>
      <c r="R22">
        <f t="shared" si="1"/>
        <v>13.200000000000045</v>
      </c>
      <c r="S22">
        <f t="shared" si="2"/>
        <v>104.10000000000008</v>
      </c>
    </row>
    <row r="23" spans="1:19" x14ac:dyDescent="0.25">
      <c r="A23" s="8">
        <v>44872</v>
      </c>
      <c r="B23">
        <v>311</v>
      </c>
      <c r="C23">
        <v>416.8929</v>
      </c>
      <c r="D23">
        <v>3.3000000000000002E-2</v>
      </c>
      <c r="E23">
        <v>410.92070000000001</v>
      </c>
      <c r="F23">
        <v>418.32670000000002</v>
      </c>
      <c r="G23">
        <v>421.4314</v>
      </c>
      <c r="H23">
        <v>2.1999999999999999E-2</v>
      </c>
      <c r="I23">
        <v>4.2999999999999997E-2</v>
      </c>
      <c r="J23">
        <v>3.1E-2</v>
      </c>
      <c r="K23">
        <v>2228.6</v>
      </c>
      <c r="L23">
        <v>2235.6</v>
      </c>
      <c r="M23">
        <v>2252.4</v>
      </c>
      <c r="P23">
        <f t="shared" si="0"/>
        <v>416.9</v>
      </c>
      <c r="Q23">
        <f t="shared" si="3"/>
        <v>416.9</v>
      </c>
      <c r="R23">
        <f t="shared" si="1"/>
        <v>20.799999999999955</v>
      </c>
      <c r="S23">
        <f t="shared" si="2"/>
        <v>124.90000000000003</v>
      </c>
    </row>
    <row r="24" spans="1:19" x14ac:dyDescent="0.25">
      <c r="A24" s="8">
        <v>44873</v>
      </c>
      <c r="B24">
        <v>312</v>
      </c>
      <c r="C24">
        <v>419.16950000000003</v>
      </c>
      <c r="D24">
        <v>4.4999999999999998E-2</v>
      </c>
      <c r="E24">
        <v>413.14510000000001</v>
      </c>
      <c r="F24">
        <v>420.65359999999998</v>
      </c>
      <c r="G24">
        <v>423.70979999999997</v>
      </c>
      <c r="H24">
        <v>4.8000000000000001E-2</v>
      </c>
      <c r="I24">
        <v>3.4000000000000002E-2</v>
      </c>
      <c r="J24">
        <v>0.05</v>
      </c>
      <c r="K24">
        <v>2233</v>
      </c>
      <c r="L24">
        <v>2240.1999999999998</v>
      </c>
      <c r="M24">
        <v>2256.8000000000002</v>
      </c>
      <c r="P24">
        <f t="shared" si="0"/>
        <v>419.2</v>
      </c>
      <c r="Q24">
        <f t="shared" si="3"/>
        <v>419.2</v>
      </c>
      <c r="R24">
        <f t="shared" si="1"/>
        <v>2.3000000000000114</v>
      </c>
      <c r="S24">
        <f t="shared" si="2"/>
        <v>127.20000000000005</v>
      </c>
    </row>
    <row r="25" spans="1:19" x14ac:dyDescent="0.25">
      <c r="A25" s="8">
        <v>44874</v>
      </c>
      <c r="B25">
        <v>313</v>
      </c>
      <c r="C25">
        <v>419.22469999999998</v>
      </c>
      <c r="D25">
        <v>4.1000000000000002E-2</v>
      </c>
      <c r="E25">
        <v>413.19760000000002</v>
      </c>
      <c r="F25">
        <v>420.68880000000001</v>
      </c>
      <c r="G25">
        <v>423.7876</v>
      </c>
      <c r="H25">
        <v>3.1E-2</v>
      </c>
      <c r="I25">
        <v>4.3999999999999997E-2</v>
      </c>
      <c r="J25">
        <v>4.5999999999999999E-2</v>
      </c>
      <c r="K25">
        <v>2233</v>
      </c>
      <c r="L25">
        <v>2240.1999999999998</v>
      </c>
      <c r="M25">
        <v>2257</v>
      </c>
      <c r="P25">
        <f t="shared" si="0"/>
        <v>419.2</v>
      </c>
      <c r="Q25">
        <f t="shared" si="3"/>
        <v>419.2</v>
      </c>
      <c r="R25">
        <f t="shared" si="1"/>
        <v>0</v>
      </c>
      <c r="S25">
        <f t="shared" si="2"/>
        <v>127.20000000000005</v>
      </c>
    </row>
    <row r="26" spans="1:19" x14ac:dyDescent="0.25">
      <c r="A26" s="8">
        <v>44875</v>
      </c>
      <c r="B26">
        <v>314</v>
      </c>
      <c r="C26">
        <v>419.19600000000003</v>
      </c>
      <c r="D26">
        <v>4.2000000000000003E-2</v>
      </c>
      <c r="E26">
        <v>413.15910000000002</v>
      </c>
      <c r="F26">
        <v>420.68360000000001</v>
      </c>
      <c r="G26">
        <v>423.74520000000001</v>
      </c>
      <c r="H26">
        <v>0.05</v>
      </c>
      <c r="I26">
        <v>4.1000000000000002E-2</v>
      </c>
      <c r="J26">
        <v>3.3000000000000002E-2</v>
      </c>
      <c r="K26">
        <v>2233.1999999999998</v>
      </c>
      <c r="L26">
        <v>2240.1999999999998</v>
      </c>
      <c r="M26">
        <v>2257</v>
      </c>
      <c r="P26">
        <f t="shared" si="0"/>
        <v>419.2</v>
      </c>
      <c r="Q26">
        <f t="shared" si="3"/>
        <v>419.2</v>
      </c>
      <c r="R26">
        <f t="shared" si="1"/>
        <v>0</v>
      </c>
      <c r="S26">
        <f t="shared" si="2"/>
        <v>127.20000000000005</v>
      </c>
    </row>
    <row r="27" spans="1:19" x14ac:dyDescent="0.25">
      <c r="A27" s="8">
        <v>44876</v>
      </c>
      <c r="B27">
        <v>315</v>
      </c>
      <c r="C27">
        <v>419.1782</v>
      </c>
      <c r="D27">
        <v>3.9E-2</v>
      </c>
      <c r="E27">
        <v>413.19240000000002</v>
      </c>
      <c r="F27">
        <v>420.66239999999999</v>
      </c>
      <c r="G27">
        <v>423.6798</v>
      </c>
      <c r="H27">
        <v>4.1000000000000002E-2</v>
      </c>
      <c r="I27">
        <v>3.3000000000000002E-2</v>
      </c>
      <c r="J27">
        <v>4.2000000000000003E-2</v>
      </c>
      <c r="K27">
        <v>2233.1999999999998</v>
      </c>
      <c r="L27">
        <v>2240.1999999999998</v>
      </c>
      <c r="M27">
        <v>2256.8000000000002</v>
      </c>
      <c r="P27">
        <f t="shared" si="0"/>
        <v>419.2</v>
      </c>
      <c r="Q27">
        <f t="shared" si="3"/>
        <v>419.2</v>
      </c>
      <c r="R27">
        <f t="shared" si="1"/>
        <v>0</v>
      </c>
      <c r="S27">
        <f t="shared" si="2"/>
        <v>127.20000000000005</v>
      </c>
    </row>
    <row r="28" spans="1:19" x14ac:dyDescent="0.25">
      <c r="A28" s="8">
        <v>44877</v>
      </c>
      <c r="B28">
        <v>316</v>
      </c>
      <c r="C28">
        <v>419.06079999999997</v>
      </c>
      <c r="D28">
        <v>0.04</v>
      </c>
      <c r="E28">
        <v>413.06110000000001</v>
      </c>
      <c r="F28">
        <v>420.57420000000002</v>
      </c>
      <c r="G28">
        <v>423.54719999999998</v>
      </c>
      <c r="H28">
        <v>0.05</v>
      </c>
      <c r="I28">
        <v>3.7999999999999999E-2</v>
      </c>
      <c r="J28">
        <v>2.9000000000000001E-2</v>
      </c>
      <c r="K28">
        <v>2232.8000000000002</v>
      </c>
      <c r="L28">
        <v>2240</v>
      </c>
      <c r="M28">
        <v>2256.6</v>
      </c>
      <c r="P28">
        <f t="shared" si="0"/>
        <v>419.1</v>
      </c>
      <c r="Q28">
        <f t="shared" si="3"/>
        <v>419.2</v>
      </c>
      <c r="R28">
        <f t="shared" si="1"/>
        <v>0</v>
      </c>
      <c r="S28">
        <f t="shared" si="2"/>
        <v>127.20000000000005</v>
      </c>
    </row>
    <row r="29" spans="1:19" x14ac:dyDescent="0.25">
      <c r="A29" s="8">
        <v>44878</v>
      </c>
      <c r="B29">
        <v>317</v>
      </c>
      <c r="C29">
        <v>419.01909999999998</v>
      </c>
      <c r="D29">
        <v>4.3999999999999997E-2</v>
      </c>
      <c r="E29">
        <v>413.02080000000001</v>
      </c>
      <c r="F29">
        <v>420.52120000000002</v>
      </c>
      <c r="G29">
        <v>423.5154</v>
      </c>
      <c r="H29">
        <v>3.3000000000000002E-2</v>
      </c>
      <c r="I29">
        <v>4.9000000000000002E-2</v>
      </c>
      <c r="J29">
        <v>4.9000000000000002E-2</v>
      </c>
      <c r="K29">
        <v>2232.8000000000002</v>
      </c>
      <c r="L29">
        <v>2240</v>
      </c>
      <c r="M29">
        <v>2256.6</v>
      </c>
      <c r="P29">
        <f t="shared" si="0"/>
        <v>419</v>
      </c>
      <c r="Q29">
        <f t="shared" si="3"/>
        <v>419.2</v>
      </c>
      <c r="R29">
        <f t="shared" si="1"/>
        <v>0</v>
      </c>
      <c r="S29">
        <f t="shared" si="2"/>
        <v>127.20000000000005</v>
      </c>
    </row>
    <row r="30" spans="1:19" x14ac:dyDescent="0.25">
      <c r="A30" s="8">
        <v>44879</v>
      </c>
      <c r="B30">
        <v>318</v>
      </c>
      <c r="C30">
        <v>419.04239999999999</v>
      </c>
      <c r="D30">
        <v>4.2999999999999997E-2</v>
      </c>
      <c r="E30">
        <v>412.91590000000002</v>
      </c>
      <c r="F30">
        <v>420.6112</v>
      </c>
      <c r="G30">
        <v>423.6003</v>
      </c>
      <c r="H30">
        <v>2.5000000000000001E-2</v>
      </c>
      <c r="I30">
        <v>0.05</v>
      </c>
      <c r="J30">
        <v>0.05</v>
      </c>
      <c r="K30">
        <v>2232.6</v>
      </c>
      <c r="L30">
        <v>2240</v>
      </c>
      <c r="M30">
        <v>2256.8000000000002</v>
      </c>
      <c r="P30">
        <f t="shared" si="0"/>
        <v>419</v>
      </c>
      <c r="Q30">
        <f t="shared" si="3"/>
        <v>419.2</v>
      </c>
      <c r="R30">
        <f t="shared" si="1"/>
        <v>0</v>
      </c>
      <c r="S30">
        <f t="shared" si="2"/>
        <v>127.20000000000005</v>
      </c>
    </row>
    <row r="31" spans="1:19" x14ac:dyDescent="0.25">
      <c r="A31" s="8">
        <v>44880</v>
      </c>
      <c r="B31">
        <v>319</v>
      </c>
      <c r="C31">
        <v>418.96780000000001</v>
      </c>
      <c r="D31">
        <v>4.8000000000000001E-2</v>
      </c>
      <c r="E31">
        <v>412.67430000000002</v>
      </c>
      <c r="F31">
        <v>420.63060000000002</v>
      </c>
      <c r="G31">
        <v>423.5985</v>
      </c>
      <c r="H31">
        <v>4.8000000000000001E-2</v>
      </c>
      <c r="I31">
        <v>4.7E-2</v>
      </c>
      <c r="J31">
        <v>0.05</v>
      </c>
      <c r="K31">
        <v>2232</v>
      </c>
      <c r="L31">
        <v>2240</v>
      </c>
      <c r="M31">
        <v>2256.8000000000002</v>
      </c>
      <c r="P31">
        <f t="shared" si="0"/>
        <v>419</v>
      </c>
      <c r="Q31">
        <f t="shared" si="3"/>
        <v>419.2</v>
      </c>
      <c r="R31">
        <f t="shared" si="1"/>
        <v>0</v>
      </c>
      <c r="S31">
        <f t="shared" si="2"/>
        <v>127.20000000000005</v>
      </c>
    </row>
    <row r="32" spans="1:19" x14ac:dyDescent="0.25">
      <c r="A32" s="8">
        <v>44881</v>
      </c>
      <c r="B32">
        <v>320</v>
      </c>
      <c r="C32">
        <v>419.14679999999998</v>
      </c>
      <c r="D32">
        <v>4.2999999999999997E-2</v>
      </c>
      <c r="E32">
        <v>412.87380000000002</v>
      </c>
      <c r="F32">
        <v>420.77179999999998</v>
      </c>
      <c r="G32">
        <v>423.79469999999998</v>
      </c>
      <c r="H32">
        <v>4.8000000000000001E-2</v>
      </c>
      <c r="I32">
        <v>2.8000000000000001E-2</v>
      </c>
      <c r="J32">
        <v>4.9000000000000002E-2</v>
      </c>
      <c r="K32">
        <v>2232.6</v>
      </c>
      <c r="L32">
        <v>2240.4</v>
      </c>
      <c r="M32">
        <v>2257.1999999999998</v>
      </c>
      <c r="P32">
        <f t="shared" si="0"/>
        <v>419.1</v>
      </c>
      <c r="Q32">
        <f t="shared" si="3"/>
        <v>419.2</v>
      </c>
      <c r="R32">
        <f t="shared" si="1"/>
        <v>0</v>
      </c>
      <c r="S32">
        <f t="shared" si="2"/>
        <v>127.20000000000005</v>
      </c>
    </row>
    <row r="33" spans="1:19" x14ac:dyDescent="0.25">
      <c r="A33" s="8">
        <v>44882</v>
      </c>
      <c r="B33">
        <v>321</v>
      </c>
      <c r="C33">
        <v>419.32979999999998</v>
      </c>
      <c r="D33">
        <v>4.3999999999999997E-2</v>
      </c>
      <c r="E33">
        <v>413.13459999999998</v>
      </c>
      <c r="F33">
        <v>420.81060000000002</v>
      </c>
      <c r="G33">
        <v>424.04410000000001</v>
      </c>
      <c r="H33">
        <v>4.3999999999999997E-2</v>
      </c>
      <c r="I33">
        <v>0.05</v>
      </c>
      <c r="J33">
        <v>3.6999999999999998E-2</v>
      </c>
      <c r="K33">
        <v>2233.1999999999998</v>
      </c>
      <c r="L33">
        <v>2240.6</v>
      </c>
      <c r="M33">
        <v>2257.6</v>
      </c>
      <c r="P33">
        <f t="shared" si="0"/>
        <v>419.3</v>
      </c>
      <c r="Q33">
        <f t="shared" si="3"/>
        <v>419.3</v>
      </c>
      <c r="R33">
        <f t="shared" ref="R33:R77" si="4">IF(Q33&gt;Q32,Q33-Q32,0)</f>
        <v>0.10000000000002274</v>
      </c>
      <c r="S33">
        <f t="shared" si="2"/>
        <v>127.30000000000007</v>
      </c>
    </row>
    <row r="34" spans="1:19" x14ac:dyDescent="0.25">
      <c r="A34" s="8">
        <v>44883</v>
      </c>
      <c r="B34">
        <v>322</v>
      </c>
      <c r="C34">
        <v>419.30500000000001</v>
      </c>
      <c r="D34">
        <v>3.6999999999999998E-2</v>
      </c>
      <c r="E34">
        <v>413.12060000000002</v>
      </c>
      <c r="F34">
        <v>420.85660000000001</v>
      </c>
      <c r="G34">
        <v>423.93790000000001</v>
      </c>
      <c r="H34">
        <v>4.2000000000000003E-2</v>
      </c>
      <c r="I34">
        <v>2.5999999999999999E-2</v>
      </c>
      <c r="J34">
        <v>4.1000000000000002E-2</v>
      </c>
      <c r="K34">
        <v>2233</v>
      </c>
      <c r="L34">
        <v>2240.6</v>
      </c>
      <c r="M34">
        <v>2257.4</v>
      </c>
      <c r="P34">
        <f t="shared" si="0"/>
        <v>419.3</v>
      </c>
      <c r="Q34">
        <f t="shared" si="3"/>
        <v>419.3</v>
      </c>
      <c r="R34">
        <f t="shared" si="4"/>
        <v>0</v>
      </c>
      <c r="S34">
        <f t="shared" si="2"/>
        <v>127.30000000000007</v>
      </c>
    </row>
    <row r="35" spans="1:19" x14ac:dyDescent="0.25">
      <c r="A35" s="8">
        <v>44884</v>
      </c>
      <c r="B35">
        <v>323</v>
      </c>
      <c r="C35">
        <v>419.16719999999998</v>
      </c>
      <c r="D35">
        <v>4.1000000000000002E-2</v>
      </c>
      <c r="E35">
        <v>412.9194</v>
      </c>
      <c r="F35">
        <v>420.80360000000002</v>
      </c>
      <c r="G35">
        <v>423.77879999999999</v>
      </c>
      <c r="H35">
        <v>3.1E-2</v>
      </c>
      <c r="I35">
        <v>4.9000000000000002E-2</v>
      </c>
      <c r="J35">
        <v>4.1000000000000002E-2</v>
      </c>
      <c r="K35">
        <v>2232.6</v>
      </c>
      <c r="L35">
        <v>2240.4</v>
      </c>
      <c r="M35">
        <v>2257.1999999999998</v>
      </c>
      <c r="P35">
        <f t="shared" si="0"/>
        <v>419.2</v>
      </c>
      <c r="Q35">
        <f t="shared" si="3"/>
        <v>419.3</v>
      </c>
      <c r="R35">
        <f t="shared" si="4"/>
        <v>0</v>
      </c>
      <c r="S35">
        <f t="shared" ref="S35:S77" si="5">R35+S34</f>
        <v>127.30000000000007</v>
      </c>
    </row>
    <row r="36" spans="1:19" x14ac:dyDescent="0.25">
      <c r="A36" s="8">
        <v>44885</v>
      </c>
      <c r="B36">
        <v>324</v>
      </c>
      <c r="C36">
        <v>419.03460000000001</v>
      </c>
      <c r="D36">
        <v>4.7E-2</v>
      </c>
      <c r="E36">
        <v>412.76170000000002</v>
      </c>
      <c r="F36">
        <v>420.70830000000001</v>
      </c>
      <c r="G36">
        <v>423.63380000000001</v>
      </c>
      <c r="H36">
        <v>0.05</v>
      </c>
      <c r="I36">
        <v>0.05</v>
      </c>
      <c r="J36">
        <v>4.2000000000000003E-2</v>
      </c>
      <c r="K36">
        <v>2232.4</v>
      </c>
      <c r="L36">
        <v>2240.1999999999998</v>
      </c>
      <c r="M36">
        <v>2256.8000000000002</v>
      </c>
      <c r="P36">
        <f t="shared" si="0"/>
        <v>419</v>
      </c>
      <c r="Q36">
        <f t="shared" si="3"/>
        <v>419.3</v>
      </c>
      <c r="R36">
        <f t="shared" si="4"/>
        <v>0</v>
      </c>
      <c r="S36">
        <f t="shared" si="5"/>
        <v>127.30000000000007</v>
      </c>
    </row>
    <row r="37" spans="1:19" x14ac:dyDescent="0.25">
      <c r="A37" s="8">
        <v>44886</v>
      </c>
      <c r="B37">
        <v>325</v>
      </c>
      <c r="C37">
        <v>420.48899999999998</v>
      </c>
      <c r="D37">
        <v>0.04</v>
      </c>
      <c r="E37">
        <v>414.21179999999998</v>
      </c>
      <c r="F37">
        <v>422.14589999999998</v>
      </c>
      <c r="G37">
        <v>425.10939999999999</v>
      </c>
      <c r="H37">
        <v>2.1999999999999999E-2</v>
      </c>
      <c r="I37">
        <v>4.3999999999999997E-2</v>
      </c>
      <c r="J37">
        <v>0.05</v>
      </c>
      <c r="K37">
        <v>2235.1999999999998</v>
      </c>
      <c r="L37">
        <v>2243</v>
      </c>
      <c r="M37">
        <v>2259.8000000000002</v>
      </c>
      <c r="P37">
        <f t="shared" si="0"/>
        <v>420.5</v>
      </c>
      <c r="Q37">
        <f t="shared" si="3"/>
        <v>420.5</v>
      </c>
      <c r="R37">
        <f t="shared" si="4"/>
        <v>1.1999999999999886</v>
      </c>
      <c r="S37">
        <f t="shared" si="5"/>
        <v>128.50000000000006</v>
      </c>
    </row>
    <row r="38" spans="1:19" x14ac:dyDescent="0.25">
      <c r="A38" s="8">
        <v>44887</v>
      </c>
      <c r="B38">
        <v>326</v>
      </c>
      <c r="C38">
        <v>424.16390000000001</v>
      </c>
      <c r="D38">
        <v>3.5000000000000003E-2</v>
      </c>
      <c r="E38">
        <v>417.89159999999998</v>
      </c>
      <c r="F38">
        <v>425.80360000000002</v>
      </c>
      <c r="G38">
        <v>428.79660000000001</v>
      </c>
      <c r="H38">
        <v>3.7999999999999999E-2</v>
      </c>
      <c r="I38">
        <v>3.5000000000000003E-2</v>
      </c>
      <c r="J38">
        <v>3.3000000000000002E-2</v>
      </c>
      <c r="K38">
        <v>2242.6</v>
      </c>
      <c r="L38">
        <v>2250.4</v>
      </c>
      <c r="M38">
        <v>2267</v>
      </c>
      <c r="P38">
        <f t="shared" si="0"/>
        <v>424.2</v>
      </c>
      <c r="Q38">
        <f t="shared" si="3"/>
        <v>424.2</v>
      </c>
      <c r="R38">
        <f t="shared" si="4"/>
        <v>3.6999999999999886</v>
      </c>
      <c r="S38">
        <f t="shared" si="5"/>
        <v>132.20000000000005</v>
      </c>
    </row>
    <row r="39" spans="1:19" x14ac:dyDescent="0.25">
      <c r="A39" s="8">
        <v>44888</v>
      </c>
      <c r="B39">
        <v>327</v>
      </c>
      <c r="C39">
        <v>424.07190000000003</v>
      </c>
      <c r="D39">
        <v>2.8000000000000001E-2</v>
      </c>
      <c r="E39">
        <v>417.81240000000003</v>
      </c>
      <c r="F39">
        <v>425.70960000000002</v>
      </c>
      <c r="G39">
        <v>428.6936</v>
      </c>
      <c r="H39">
        <v>2.5999999999999999E-2</v>
      </c>
      <c r="I39">
        <v>2.3E-2</v>
      </c>
      <c r="J39">
        <v>3.5000000000000003E-2</v>
      </c>
      <c r="K39">
        <v>2242.4</v>
      </c>
      <c r="L39">
        <v>2250.1999999999998</v>
      </c>
      <c r="M39">
        <v>2266.8000000000002</v>
      </c>
      <c r="P39">
        <f t="shared" si="0"/>
        <v>424.1</v>
      </c>
      <c r="Q39">
        <f t="shared" si="3"/>
        <v>424.2</v>
      </c>
      <c r="R39">
        <f t="shared" si="4"/>
        <v>0</v>
      </c>
      <c r="S39">
        <f t="shared" si="5"/>
        <v>132.20000000000005</v>
      </c>
    </row>
    <row r="40" spans="1:19" x14ac:dyDescent="0.25">
      <c r="A40" s="8">
        <v>44889</v>
      </c>
      <c r="B40">
        <v>328</v>
      </c>
      <c r="C40">
        <v>424.0908</v>
      </c>
      <c r="D40">
        <v>3.7999999999999999E-2</v>
      </c>
      <c r="E40">
        <v>417.80889999999999</v>
      </c>
      <c r="F40">
        <v>425.74149999999997</v>
      </c>
      <c r="G40">
        <v>428.72199999999998</v>
      </c>
      <c r="H40">
        <v>2.7E-2</v>
      </c>
      <c r="I40">
        <v>4.9000000000000002E-2</v>
      </c>
      <c r="J40">
        <v>3.5000000000000003E-2</v>
      </c>
      <c r="K40">
        <v>2242.4</v>
      </c>
      <c r="L40">
        <v>2250.4</v>
      </c>
      <c r="M40">
        <v>2266.8000000000002</v>
      </c>
      <c r="P40">
        <f t="shared" si="0"/>
        <v>424.1</v>
      </c>
      <c r="Q40">
        <f t="shared" si="3"/>
        <v>424.2</v>
      </c>
      <c r="R40">
        <f t="shared" si="4"/>
        <v>0</v>
      </c>
      <c r="S40">
        <f t="shared" si="5"/>
        <v>132.20000000000005</v>
      </c>
    </row>
    <row r="41" spans="1:19" x14ac:dyDescent="0.25">
      <c r="A41" s="8">
        <v>44890</v>
      </c>
      <c r="B41">
        <v>329</v>
      </c>
      <c r="C41">
        <v>428.8186</v>
      </c>
      <c r="D41">
        <v>4.2999999999999997E-2</v>
      </c>
      <c r="E41">
        <v>422.44619999999998</v>
      </c>
      <c r="F41">
        <v>430.51049999999998</v>
      </c>
      <c r="G41">
        <v>433.49919999999997</v>
      </c>
      <c r="H41">
        <v>3.6999999999999998E-2</v>
      </c>
      <c r="I41">
        <v>0.05</v>
      </c>
      <c r="J41">
        <v>4.1000000000000002E-2</v>
      </c>
      <c r="K41">
        <v>2251.6</v>
      </c>
      <c r="L41">
        <v>2259.6</v>
      </c>
      <c r="M41">
        <v>2276.1999999999998</v>
      </c>
      <c r="P41">
        <f t="shared" si="0"/>
        <v>428.8</v>
      </c>
      <c r="Q41">
        <f t="shared" ref="Q41:Q72" si="6">ROUND(IF(P41&lt;Q40,Q40,P41),1)</f>
        <v>428.8</v>
      </c>
      <c r="R41">
        <f t="shared" si="4"/>
        <v>4.6000000000000227</v>
      </c>
      <c r="S41">
        <f t="shared" si="5"/>
        <v>136.80000000000007</v>
      </c>
    </row>
    <row r="42" spans="1:19" x14ac:dyDescent="0.25">
      <c r="A42" s="8">
        <v>44891</v>
      </c>
      <c r="B42">
        <v>330</v>
      </c>
      <c r="C42">
        <v>429.0976</v>
      </c>
      <c r="D42">
        <v>3.9E-2</v>
      </c>
      <c r="E42">
        <v>422.76049999999998</v>
      </c>
      <c r="F42">
        <v>430.7509</v>
      </c>
      <c r="G42">
        <v>433.78129999999999</v>
      </c>
      <c r="H42">
        <v>4.4999999999999998E-2</v>
      </c>
      <c r="I42">
        <v>0.04</v>
      </c>
      <c r="J42">
        <v>0.03</v>
      </c>
      <c r="K42">
        <v>2252.1999999999998</v>
      </c>
      <c r="L42">
        <v>2260.1999999999998</v>
      </c>
      <c r="M42">
        <v>2276.8000000000002</v>
      </c>
      <c r="P42">
        <f t="shared" si="0"/>
        <v>429.1</v>
      </c>
      <c r="Q42">
        <f t="shared" si="6"/>
        <v>429.1</v>
      </c>
      <c r="R42">
        <f t="shared" si="4"/>
        <v>0.30000000000001137</v>
      </c>
      <c r="S42">
        <f t="shared" si="5"/>
        <v>137.10000000000008</v>
      </c>
    </row>
    <row r="43" spans="1:19" x14ac:dyDescent="0.25">
      <c r="A43" s="8">
        <v>44892</v>
      </c>
      <c r="B43">
        <v>331</v>
      </c>
      <c r="C43">
        <v>443.5856</v>
      </c>
      <c r="D43">
        <v>4.7E-2</v>
      </c>
      <c r="E43">
        <v>437.0949</v>
      </c>
      <c r="F43">
        <v>445.26799999999997</v>
      </c>
      <c r="G43">
        <v>448.39400000000001</v>
      </c>
      <c r="H43">
        <v>4.9000000000000002E-2</v>
      </c>
      <c r="I43">
        <v>4.2999999999999997E-2</v>
      </c>
      <c r="J43">
        <v>0.05</v>
      </c>
      <c r="K43">
        <v>2280.6</v>
      </c>
      <c r="L43">
        <v>2288.6</v>
      </c>
      <c r="M43">
        <v>2305.4</v>
      </c>
      <c r="P43">
        <f t="shared" si="0"/>
        <v>443.6</v>
      </c>
      <c r="Q43">
        <f t="shared" si="6"/>
        <v>443.6</v>
      </c>
      <c r="R43">
        <f t="shared" si="4"/>
        <v>14.5</v>
      </c>
      <c r="S43">
        <f t="shared" si="5"/>
        <v>151.60000000000008</v>
      </c>
    </row>
    <row r="44" spans="1:19" x14ac:dyDescent="0.25">
      <c r="A44" s="8">
        <v>44893</v>
      </c>
      <c r="B44">
        <v>332</v>
      </c>
      <c r="C44">
        <v>447.69819999999999</v>
      </c>
      <c r="D44">
        <v>4.3999999999999997E-2</v>
      </c>
      <c r="E44">
        <v>441.2602</v>
      </c>
      <c r="F44">
        <v>449.38409999999999</v>
      </c>
      <c r="G44">
        <v>452.4504</v>
      </c>
      <c r="H44">
        <v>0.05</v>
      </c>
      <c r="I44">
        <v>4.8000000000000001E-2</v>
      </c>
      <c r="J44">
        <v>3.2000000000000001E-2</v>
      </c>
      <c r="K44">
        <v>2288.6</v>
      </c>
      <c r="L44">
        <v>2296.4</v>
      </c>
      <c r="M44">
        <v>2313.1999999999998</v>
      </c>
      <c r="P44">
        <f t="shared" si="0"/>
        <v>447.7</v>
      </c>
      <c r="Q44">
        <f t="shared" si="6"/>
        <v>447.7</v>
      </c>
      <c r="R44">
        <f t="shared" si="4"/>
        <v>4.0999999999999659</v>
      </c>
      <c r="S44">
        <f t="shared" si="5"/>
        <v>155.70000000000005</v>
      </c>
    </row>
    <row r="45" spans="1:19" x14ac:dyDescent="0.25">
      <c r="A45" s="8">
        <v>44894</v>
      </c>
      <c r="B45">
        <v>333</v>
      </c>
      <c r="C45">
        <v>452.31220000000002</v>
      </c>
      <c r="D45">
        <v>0.05</v>
      </c>
      <c r="E45">
        <v>445.80029999999999</v>
      </c>
      <c r="F45">
        <v>454.04790000000003</v>
      </c>
      <c r="G45">
        <v>457.08839999999998</v>
      </c>
      <c r="H45">
        <v>5.0999999999999997E-2</v>
      </c>
      <c r="I45">
        <v>4.7E-2</v>
      </c>
      <c r="J45">
        <v>5.0999999999999997E-2</v>
      </c>
      <c r="K45">
        <v>2297.6</v>
      </c>
      <c r="L45">
        <v>2305.6</v>
      </c>
      <c r="M45">
        <v>2322.1999999999998</v>
      </c>
      <c r="P45">
        <f t="shared" si="0"/>
        <v>452.3</v>
      </c>
      <c r="Q45">
        <f t="shared" si="6"/>
        <v>452.3</v>
      </c>
      <c r="R45">
        <f t="shared" si="4"/>
        <v>4.6000000000000227</v>
      </c>
      <c r="S45">
        <f t="shared" si="5"/>
        <v>160.30000000000007</v>
      </c>
    </row>
    <row r="46" spans="1:19" x14ac:dyDescent="0.25">
      <c r="A46" s="8">
        <v>44895</v>
      </c>
      <c r="B46">
        <v>334</v>
      </c>
      <c r="C46">
        <v>455.2697</v>
      </c>
      <c r="D46">
        <v>6.6000000000000003E-2</v>
      </c>
      <c r="E46">
        <v>448.75110000000001</v>
      </c>
      <c r="F46">
        <v>457.05279999999999</v>
      </c>
      <c r="G46">
        <v>460.0052</v>
      </c>
      <c r="H46">
        <v>6.7000000000000004E-2</v>
      </c>
      <c r="I46">
        <v>6.9000000000000006E-2</v>
      </c>
      <c r="J46">
        <v>6.0999999999999999E-2</v>
      </c>
      <c r="K46">
        <v>2303.4</v>
      </c>
      <c r="L46">
        <v>2311.6</v>
      </c>
      <c r="M46">
        <v>2327.8000000000002</v>
      </c>
      <c r="P46">
        <f t="shared" si="0"/>
        <v>455.3</v>
      </c>
      <c r="Q46">
        <f t="shared" si="6"/>
        <v>455.3</v>
      </c>
      <c r="R46">
        <f t="shared" si="4"/>
        <v>3</v>
      </c>
      <c r="S46">
        <f t="shared" si="5"/>
        <v>163.30000000000007</v>
      </c>
    </row>
    <row r="47" spans="1:19" x14ac:dyDescent="0.25">
      <c r="A47" s="8">
        <v>44896</v>
      </c>
      <c r="B47">
        <v>335</v>
      </c>
      <c r="C47">
        <v>457.10789999999997</v>
      </c>
      <c r="D47">
        <v>3.9E-2</v>
      </c>
      <c r="E47">
        <v>450.47559999999999</v>
      </c>
      <c r="F47">
        <v>458.84300000000002</v>
      </c>
      <c r="G47">
        <v>462.005</v>
      </c>
      <c r="H47">
        <v>3.3000000000000002E-2</v>
      </c>
      <c r="I47">
        <v>0.04</v>
      </c>
      <c r="J47">
        <v>4.2000000000000003E-2</v>
      </c>
      <c r="K47">
        <v>2306.4</v>
      </c>
      <c r="L47">
        <v>2314.8000000000002</v>
      </c>
      <c r="M47">
        <v>2331.6</v>
      </c>
      <c r="P47">
        <f t="shared" si="0"/>
        <v>457.1</v>
      </c>
      <c r="Q47">
        <f t="shared" si="6"/>
        <v>457.1</v>
      </c>
      <c r="R47">
        <f t="shared" si="4"/>
        <v>1.8000000000000114</v>
      </c>
      <c r="S47">
        <f t="shared" si="5"/>
        <v>165.10000000000008</v>
      </c>
    </row>
    <row r="48" spans="1:19" x14ac:dyDescent="0.25">
      <c r="A48" s="8">
        <v>44897</v>
      </c>
      <c r="B48">
        <v>336</v>
      </c>
      <c r="C48">
        <v>457.2011</v>
      </c>
      <c r="D48">
        <v>0.05</v>
      </c>
      <c r="E48">
        <v>450.62130000000002</v>
      </c>
      <c r="F48">
        <v>459.00119999999998</v>
      </c>
      <c r="G48">
        <v>461.98070000000001</v>
      </c>
      <c r="H48">
        <v>4.9000000000000002E-2</v>
      </c>
      <c r="I48">
        <v>4.9000000000000002E-2</v>
      </c>
      <c r="J48">
        <v>5.1999999999999998E-2</v>
      </c>
      <c r="K48">
        <v>2307</v>
      </c>
      <c r="L48">
        <v>2315</v>
      </c>
      <c r="M48">
        <v>2331.6</v>
      </c>
      <c r="P48">
        <f t="shared" si="0"/>
        <v>457.2</v>
      </c>
      <c r="Q48">
        <f t="shared" si="6"/>
        <v>457.2</v>
      </c>
      <c r="R48">
        <f t="shared" si="4"/>
        <v>9.9999999999965894E-2</v>
      </c>
      <c r="S48">
        <f t="shared" si="5"/>
        <v>165.20000000000005</v>
      </c>
    </row>
    <row r="49" spans="1:19" x14ac:dyDescent="0.25">
      <c r="A49" s="8">
        <v>44898</v>
      </c>
      <c r="B49">
        <v>337</v>
      </c>
      <c r="C49">
        <v>457.17770000000002</v>
      </c>
      <c r="D49">
        <v>4.9000000000000002E-2</v>
      </c>
      <c r="E49">
        <v>450.5401</v>
      </c>
      <c r="F49">
        <v>458.9975</v>
      </c>
      <c r="G49">
        <v>461.9957</v>
      </c>
      <c r="H49">
        <v>5.0999999999999997E-2</v>
      </c>
      <c r="I49">
        <v>4.8000000000000001E-2</v>
      </c>
      <c r="J49">
        <v>4.7E-2</v>
      </c>
      <c r="K49">
        <v>2306.6</v>
      </c>
      <c r="L49">
        <v>2315</v>
      </c>
      <c r="M49">
        <v>2331.6</v>
      </c>
      <c r="P49">
        <f t="shared" si="0"/>
        <v>457.2</v>
      </c>
      <c r="Q49">
        <f t="shared" si="6"/>
        <v>457.2</v>
      </c>
      <c r="R49">
        <f t="shared" si="4"/>
        <v>0</v>
      </c>
      <c r="S49">
        <f t="shared" si="5"/>
        <v>165.20000000000005</v>
      </c>
    </row>
    <row r="50" spans="1:19" x14ac:dyDescent="0.25">
      <c r="A50" s="8">
        <v>44899</v>
      </c>
      <c r="B50">
        <v>338</v>
      </c>
      <c r="C50">
        <v>459.13670000000002</v>
      </c>
      <c r="D50">
        <v>4.8000000000000001E-2</v>
      </c>
      <c r="E50">
        <v>452.50619999999998</v>
      </c>
      <c r="F50">
        <v>460.96100000000001</v>
      </c>
      <c r="G50">
        <v>463.94290000000001</v>
      </c>
      <c r="H50">
        <v>5.0999999999999997E-2</v>
      </c>
      <c r="I50">
        <v>4.3999999999999997E-2</v>
      </c>
      <c r="J50">
        <v>0.05</v>
      </c>
      <c r="K50">
        <v>2310.6</v>
      </c>
      <c r="L50">
        <v>2318.8000000000002</v>
      </c>
      <c r="M50">
        <v>2335.1999999999998</v>
      </c>
      <c r="P50">
        <f t="shared" si="0"/>
        <v>459.1</v>
      </c>
      <c r="Q50">
        <f t="shared" si="6"/>
        <v>459.1</v>
      </c>
      <c r="R50">
        <f t="shared" si="4"/>
        <v>1.9000000000000341</v>
      </c>
      <c r="S50">
        <f t="shared" si="5"/>
        <v>167.10000000000008</v>
      </c>
    </row>
    <row r="51" spans="1:19" x14ac:dyDescent="0.25">
      <c r="A51" s="8">
        <v>44900</v>
      </c>
      <c r="B51">
        <v>339</v>
      </c>
      <c r="C51">
        <v>459.12810000000002</v>
      </c>
      <c r="D51">
        <v>4.1000000000000002E-2</v>
      </c>
      <c r="E51">
        <v>452.52800000000002</v>
      </c>
      <c r="F51">
        <v>460.9298</v>
      </c>
      <c r="G51">
        <v>463.9264</v>
      </c>
      <c r="H51">
        <v>4.2999999999999997E-2</v>
      </c>
      <c r="I51">
        <v>0.04</v>
      </c>
      <c r="J51">
        <v>4.1000000000000002E-2</v>
      </c>
      <c r="K51">
        <v>2310.6</v>
      </c>
      <c r="L51">
        <v>2318.6</v>
      </c>
      <c r="M51">
        <v>2335.1999999999998</v>
      </c>
      <c r="P51">
        <f t="shared" si="0"/>
        <v>459.1</v>
      </c>
      <c r="Q51">
        <f t="shared" si="6"/>
        <v>459.1</v>
      </c>
      <c r="R51">
        <f t="shared" si="4"/>
        <v>0</v>
      </c>
      <c r="S51">
        <f t="shared" si="5"/>
        <v>167.10000000000008</v>
      </c>
    </row>
    <row r="52" spans="1:19" x14ac:dyDescent="0.25">
      <c r="A52" s="8">
        <v>44901</v>
      </c>
      <c r="B52">
        <v>340</v>
      </c>
      <c r="C52">
        <v>459.12709999999998</v>
      </c>
      <c r="D52">
        <v>3.7999999999999999E-2</v>
      </c>
      <c r="E52">
        <v>452.45710000000003</v>
      </c>
      <c r="F52">
        <v>460.92619999999999</v>
      </c>
      <c r="G52">
        <v>463.99799999999999</v>
      </c>
      <c r="H52">
        <v>3.5000000000000003E-2</v>
      </c>
      <c r="I52">
        <v>4.2999999999999997E-2</v>
      </c>
      <c r="J52">
        <v>3.4000000000000002E-2</v>
      </c>
      <c r="K52">
        <v>2310.4</v>
      </c>
      <c r="L52">
        <v>2318.6</v>
      </c>
      <c r="M52">
        <v>2335.1999999999998</v>
      </c>
      <c r="P52">
        <f t="shared" si="0"/>
        <v>459.1</v>
      </c>
      <c r="Q52">
        <f t="shared" si="6"/>
        <v>459.1</v>
      </c>
      <c r="R52">
        <f t="shared" si="4"/>
        <v>0</v>
      </c>
      <c r="S52">
        <f t="shared" si="5"/>
        <v>167.10000000000008</v>
      </c>
    </row>
    <row r="53" spans="1:19" x14ac:dyDescent="0.25">
      <c r="A53" s="8">
        <v>44902</v>
      </c>
      <c r="B53">
        <v>341</v>
      </c>
      <c r="C53">
        <v>460.03070000000002</v>
      </c>
      <c r="D53">
        <v>4.3999999999999997E-2</v>
      </c>
      <c r="E53">
        <v>453.40550000000002</v>
      </c>
      <c r="F53">
        <v>461.89019999999999</v>
      </c>
      <c r="G53">
        <v>464.79649999999998</v>
      </c>
      <c r="H53">
        <v>4.4999999999999998E-2</v>
      </c>
      <c r="I53">
        <v>3.1E-2</v>
      </c>
      <c r="J53">
        <v>5.1999999999999998E-2</v>
      </c>
      <c r="K53">
        <v>2312.1999999999998</v>
      </c>
      <c r="L53">
        <v>2320.6</v>
      </c>
      <c r="M53">
        <v>2336.8000000000002</v>
      </c>
      <c r="P53">
        <f t="shared" si="0"/>
        <v>460</v>
      </c>
      <c r="Q53">
        <f t="shared" si="6"/>
        <v>460</v>
      </c>
      <c r="R53">
        <f t="shared" si="4"/>
        <v>0.89999999999997726</v>
      </c>
      <c r="S53">
        <f t="shared" si="5"/>
        <v>168.00000000000006</v>
      </c>
    </row>
    <row r="54" spans="1:19" x14ac:dyDescent="0.25">
      <c r="A54" s="8">
        <v>44903</v>
      </c>
      <c r="B54">
        <v>342</v>
      </c>
      <c r="C54">
        <v>460.45890000000003</v>
      </c>
      <c r="D54">
        <v>4.4999999999999998E-2</v>
      </c>
      <c r="E54">
        <v>453.63639999999998</v>
      </c>
      <c r="F54">
        <v>462.28989999999999</v>
      </c>
      <c r="G54">
        <v>465.45030000000003</v>
      </c>
      <c r="H54">
        <v>5.1999999999999998E-2</v>
      </c>
      <c r="I54">
        <v>3.7999999999999999E-2</v>
      </c>
      <c r="J54">
        <v>4.4999999999999998E-2</v>
      </c>
      <c r="K54">
        <v>2312.6</v>
      </c>
      <c r="L54">
        <v>2321.4</v>
      </c>
      <c r="M54">
        <v>2338.1999999999998</v>
      </c>
      <c r="P54">
        <f t="shared" si="0"/>
        <v>460.5</v>
      </c>
      <c r="Q54">
        <f t="shared" si="6"/>
        <v>460.5</v>
      </c>
      <c r="R54">
        <f t="shared" si="4"/>
        <v>0.5</v>
      </c>
      <c r="S54">
        <f t="shared" si="5"/>
        <v>168.50000000000006</v>
      </c>
    </row>
    <row r="55" spans="1:19" x14ac:dyDescent="0.25">
      <c r="A55" s="8">
        <v>44904</v>
      </c>
      <c r="B55">
        <v>343</v>
      </c>
      <c r="C55">
        <v>463.90469999999999</v>
      </c>
      <c r="D55">
        <v>4.8000000000000001E-2</v>
      </c>
      <c r="E55">
        <v>457.25850000000003</v>
      </c>
      <c r="F55">
        <v>465.77100000000002</v>
      </c>
      <c r="G55">
        <v>468.68470000000002</v>
      </c>
      <c r="H55">
        <v>0.05</v>
      </c>
      <c r="I55">
        <v>4.1000000000000002E-2</v>
      </c>
      <c r="J55">
        <v>5.1999999999999998E-2</v>
      </c>
      <c r="K55">
        <v>2319.6</v>
      </c>
      <c r="L55">
        <v>2328</v>
      </c>
      <c r="M55">
        <v>2344.4</v>
      </c>
      <c r="P55">
        <f t="shared" si="0"/>
        <v>463.9</v>
      </c>
      <c r="Q55">
        <f t="shared" si="6"/>
        <v>463.9</v>
      </c>
      <c r="R55">
        <f t="shared" si="4"/>
        <v>3.3999999999999773</v>
      </c>
      <c r="S55">
        <f t="shared" si="5"/>
        <v>171.90000000000003</v>
      </c>
    </row>
    <row r="56" spans="1:19" x14ac:dyDescent="0.25">
      <c r="A56" s="8">
        <v>44905</v>
      </c>
      <c r="B56">
        <v>344</v>
      </c>
      <c r="C56">
        <v>467.7996</v>
      </c>
      <c r="D56">
        <v>4.5999999999999999E-2</v>
      </c>
      <c r="E56">
        <v>461.09530000000001</v>
      </c>
      <c r="F56">
        <v>469.70400000000001</v>
      </c>
      <c r="G56">
        <v>472.5992</v>
      </c>
      <c r="H56">
        <v>4.2999999999999997E-2</v>
      </c>
      <c r="I56">
        <v>5.2999999999999999E-2</v>
      </c>
      <c r="J56">
        <v>4.2000000000000003E-2</v>
      </c>
      <c r="K56">
        <v>2327</v>
      </c>
      <c r="L56">
        <v>2335.4</v>
      </c>
      <c r="M56">
        <v>2351.8000000000002</v>
      </c>
      <c r="P56">
        <f t="shared" si="0"/>
        <v>467.8</v>
      </c>
      <c r="Q56">
        <f t="shared" si="6"/>
        <v>467.8</v>
      </c>
      <c r="R56">
        <f t="shared" si="4"/>
        <v>3.9000000000000341</v>
      </c>
      <c r="S56">
        <f t="shared" si="5"/>
        <v>175.80000000000007</v>
      </c>
    </row>
    <row r="57" spans="1:19" x14ac:dyDescent="0.25">
      <c r="A57" s="8">
        <v>44906</v>
      </c>
      <c r="B57">
        <v>345</v>
      </c>
      <c r="C57">
        <v>470.04469999999998</v>
      </c>
      <c r="D57">
        <v>5.0999999999999997E-2</v>
      </c>
      <c r="E57">
        <v>463.22219999999999</v>
      </c>
      <c r="F57">
        <v>471.96980000000002</v>
      </c>
      <c r="G57">
        <v>474.94200000000001</v>
      </c>
      <c r="H57">
        <v>5.1999999999999998E-2</v>
      </c>
      <c r="I57">
        <v>7.0999999999999994E-2</v>
      </c>
      <c r="J57">
        <v>1.4E-2</v>
      </c>
      <c r="K57">
        <v>2331</v>
      </c>
      <c r="L57">
        <v>2339.8000000000002</v>
      </c>
      <c r="M57">
        <v>2356.1999999999998</v>
      </c>
      <c r="P57">
        <f t="shared" si="0"/>
        <v>470</v>
      </c>
      <c r="Q57">
        <f t="shared" si="6"/>
        <v>470</v>
      </c>
      <c r="R57">
        <f t="shared" si="4"/>
        <v>2.1999999999999886</v>
      </c>
      <c r="S57">
        <f t="shared" si="5"/>
        <v>178.00000000000006</v>
      </c>
    </row>
    <row r="58" spans="1:19" x14ac:dyDescent="0.25">
      <c r="A58" s="8">
        <v>44907</v>
      </c>
      <c r="B58">
        <v>346</v>
      </c>
      <c r="C58">
        <v>470.17140000000001</v>
      </c>
      <c r="D58">
        <v>4.4999999999999998E-2</v>
      </c>
      <c r="E58">
        <v>463.34320000000002</v>
      </c>
      <c r="F58">
        <v>472.14920000000001</v>
      </c>
      <c r="G58">
        <v>475.02170000000001</v>
      </c>
      <c r="H58">
        <v>4.5999999999999999E-2</v>
      </c>
      <c r="I58">
        <v>4.5999999999999999E-2</v>
      </c>
      <c r="J58">
        <v>4.3999999999999997E-2</v>
      </c>
      <c r="K58">
        <v>2331.4</v>
      </c>
      <c r="L58">
        <v>2340.1999999999998</v>
      </c>
      <c r="M58">
        <v>2356.1999999999998</v>
      </c>
      <c r="P58">
        <f t="shared" si="0"/>
        <v>470.2</v>
      </c>
      <c r="Q58">
        <f t="shared" si="6"/>
        <v>470.2</v>
      </c>
      <c r="R58">
        <f t="shared" si="4"/>
        <v>0.19999999999998863</v>
      </c>
      <c r="S58">
        <f t="shared" si="5"/>
        <v>178.20000000000005</v>
      </c>
    </row>
    <row r="59" spans="1:19" x14ac:dyDescent="0.25">
      <c r="A59" s="8">
        <v>44908</v>
      </c>
      <c r="B59">
        <v>347</v>
      </c>
      <c r="C59">
        <v>472.35989999999998</v>
      </c>
      <c r="D59">
        <v>4.9000000000000002E-2</v>
      </c>
      <c r="E59">
        <v>465.5147</v>
      </c>
      <c r="F59">
        <v>474.36790000000002</v>
      </c>
      <c r="G59">
        <v>477.197</v>
      </c>
      <c r="H59">
        <v>5.1999999999999998E-2</v>
      </c>
      <c r="I59">
        <v>4.4999999999999998E-2</v>
      </c>
      <c r="J59">
        <v>5.0999999999999997E-2</v>
      </c>
      <c r="K59">
        <v>2335.4</v>
      </c>
      <c r="L59">
        <v>2344.4</v>
      </c>
      <c r="M59">
        <v>2360.4</v>
      </c>
      <c r="P59">
        <f t="shared" si="0"/>
        <v>472.4</v>
      </c>
      <c r="Q59">
        <f t="shared" si="6"/>
        <v>472.4</v>
      </c>
      <c r="R59">
        <f t="shared" si="4"/>
        <v>2.1999999999999886</v>
      </c>
      <c r="S59">
        <f t="shared" si="5"/>
        <v>180.40000000000003</v>
      </c>
    </row>
    <row r="60" spans="1:19" x14ac:dyDescent="0.25">
      <c r="A60" s="8">
        <v>44909</v>
      </c>
      <c r="B60">
        <v>348</v>
      </c>
      <c r="C60">
        <v>472.71440000000001</v>
      </c>
      <c r="D60">
        <v>4.1000000000000002E-2</v>
      </c>
      <c r="E60">
        <v>465.84</v>
      </c>
      <c r="F60">
        <v>474.7054</v>
      </c>
      <c r="G60">
        <v>477.59789999999998</v>
      </c>
      <c r="H60">
        <v>5.0999999999999997E-2</v>
      </c>
      <c r="I60">
        <v>3.1E-2</v>
      </c>
      <c r="J60">
        <v>3.6999999999999998E-2</v>
      </c>
      <c r="K60">
        <v>2336.1999999999998</v>
      </c>
      <c r="L60">
        <v>2345</v>
      </c>
      <c r="M60">
        <v>2361.1999999999998</v>
      </c>
      <c r="P60">
        <f t="shared" si="0"/>
        <v>472.7</v>
      </c>
      <c r="Q60">
        <f t="shared" si="6"/>
        <v>472.7</v>
      </c>
      <c r="R60">
        <f t="shared" si="4"/>
        <v>0.30000000000001137</v>
      </c>
      <c r="S60">
        <f t="shared" si="5"/>
        <v>180.70000000000005</v>
      </c>
    </row>
    <row r="61" spans="1:19" x14ac:dyDescent="0.25">
      <c r="A61" s="8">
        <v>44910</v>
      </c>
      <c r="B61">
        <v>349</v>
      </c>
      <c r="C61">
        <v>472.64670000000001</v>
      </c>
      <c r="D61">
        <v>4.8000000000000001E-2</v>
      </c>
      <c r="E61">
        <v>465.75740000000002</v>
      </c>
      <c r="F61">
        <v>474.66640000000001</v>
      </c>
      <c r="G61">
        <v>477.5163</v>
      </c>
      <c r="H61">
        <v>4.1000000000000002E-2</v>
      </c>
      <c r="I61">
        <v>5.1999999999999998E-2</v>
      </c>
      <c r="J61">
        <v>5.0999999999999997E-2</v>
      </c>
      <c r="K61">
        <v>2336</v>
      </c>
      <c r="L61">
        <v>2344.8000000000002</v>
      </c>
      <c r="M61">
        <v>2361.1999999999998</v>
      </c>
      <c r="P61">
        <f t="shared" si="0"/>
        <v>472.6</v>
      </c>
      <c r="Q61">
        <f t="shared" si="6"/>
        <v>472.7</v>
      </c>
      <c r="R61">
        <f t="shared" si="4"/>
        <v>0</v>
      </c>
      <c r="S61">
        <f t="shared" si="5"/>
        <v>180.70000000000005</v>
      </c>
    </row>
    <row r="62" spans="1:19" x14ac:dyDescent="0.25">
      <c r="A62" s="8">
        <v>44911</v>
      </c>
      <c r="B62">
        <v>350</v>
      </c>
      <c r="C62">
        <v>472.59750000000003</v>
      </c>
      <c r="D62">
        <v>4.1000000000000002E-2</v>
      </c>
      <c r="E62">
        <v>465.65449999999998</v>
      </c>
      <c r="F62">
        <v>474.66829999999999</v>
      </c>
      <c r="G62">
        <v>477.4699</v>
      </c>
      <c r="H62">
        <v>0.04</v>
      </c>
      <c r="I62">
        <v>5.1999999999999998E-2</v>
      </c>
      <c r="J62">
        <v>2.7E-2</v>
      </c>
      <c r="K62">
        <v>2335.8000000000002</v>
      </c>
      <c r="L62">
        <v>2344.8000000000002</v>
      </c>
      <c r="M62">
        <v>2360.8000000000002</v>
      </c>
      <c r="P62">
        <f t="shared" si="0"/>
        <v>472.6</v>
      </c>
      <c r="Q62">
        <f t="shared" si="6"/>
        <v>472.7</v>
      </c>
      <c r="R62">
        <f t="shared" si="4"/>
        <v>0</v>
      </c>
      <c r="S62">
        <f t="shared" si="5"/>
        <v>180.70000000000005</v>
      </c>
    </row>
    <row r="63" spans="1:19" x14ac:dyDescent="0.25">
      <c r="A63" s="8">
        <v>44912</v>
      </c>
      <c r="B63">
        <v>351</v>
      </c>
      <c r="C63">
        <v>473.91230000000002</v>
      </c>
      <c r="D63">
        <v>4.3999999999999997E-2</v>
      </c>
      <c r="E63">
        <v>467.024</v>
      </c>
      <c r="F63">
        <v>475.87040000000002</v>
      </c>
      <c r="G63">
        <v>478.8426</v>
      </c>
      <c r="H63">
        <v>4.7E-2</v>
      </c>
      <c r="I63">
        <v>4.9000000000000002E-2</v>
      </c>
      <c r="J63">
        <v>3.3000000000000002E-2</v>
      </c>
      <c r="K63">
        <v>2338.4</v>
      </c>
      <c r="L63">
        <v>2347.1999999999998</v>
      </c>
      <c r="M63">
        <v>2363.4</v>
      </c>
      <c r="P63">
        <f t="shared" si="0"/>
        <v>473.9</v>
      </c>
      <c r="Q63">
        <f t="shared" si="6"/>
        <v>473.9</v>
      </c>
      <c r="R63">
        <f t="shared" si="4"/>
        <v>1.1999999999999886</v>
      </c>
      <c r="S63">
        <f t="shared" si="5"/>
        <v>181.90000000000003</v>
      </c>
    </row>
    <row r="64" spans="1:19" x14ac:dyDescent="0.25">
      <c r="A64" s="8">
        <v>44913</v>
      </c>
      <c r="B64">
        <v>352</v>
      </c>
      <c r="C64">
        <v>476.72840000000002</v>
      </c>
      <c r="D64">
        <v>4.2000000000000003E-2</v>
      </c>
      <c r="E64">
        <v>469.81400000000002</v>
      </c>
      <c r="F64">
        <v>478.7534</v>
      </c>
      <c r="G64">
        <v>481.61759999999998</v>
      </c>
      <c r="H64">
        <v>5.1999999999999998E-2</v>
      </c>
      <c r="I64">
        <v>4.1000000000000002E-2</v>
      </c>
      <c r="J64">
        <v>3.1E-2</v>
      </c>
      <c r="K64">
        <v>2343.8000000000002</v>
      </c>
      <c r="L64">
        <v>2352.6</v>
      </c>
      <c r="M64">
        <v>2368.8000000000002</v>
      </c>
      <c r="P64">
        <f t="shared" si="0"/>
        <v>476.7</v>
      </c>
      <c r="Q64">
        <f t="shared" si="6"/>
        <v>476.7</v>
      </c>
      <c r="R64">
        <f t="shared" si="4"/>
        <v>2.8000000000000114</v>
      </c>
      <c r="S64">
        <f t="shared" si="5"/>
        <v>184.70000000000005</v>
      </c>
    </row>
    <row r="65" spans="1:19" x14ac:dyDescent="0.25">
      <c r="A65" s="8">
        <v>44914</v>
      </c>
      <c r="B65">
        <v>353</v>
      </c>
      <c r="C65">
        <v>477.23540000000003</v>
      </c>
      <c r="D65">
        <v>4.7E-2</v>
      </c>
      <c r="E65">
        <v>470.34539999999998</v>
      </c>
      <c r="F65">
        <v>479.24979999999999</v>
      </c>
      <c r="G65">
        <v>482.11079999999998</v>
      </c>
      <c r="H65">
        <v>5.2999999999999999E-2</v>
      </c>
      <c r="I65">
        <v>3.6999999999999998E-2</v>
      </c>
      <c r="J65">
        <v>4.9000000000000002E-2</v>
      </c>
      <c r="K65">
        <v>2344.8000000000002</v>
      </c>
      <c r="L65">
        <v>2353.6</v>
      </c>
      <c r="M65">
        <v>2369.8000000000002</v>
      </c>
      <c r="P65">
        <f t="shared" si="0"/>
        <v>477.2</v>
      </c>
      <c r="Q65">
        <f t="shared" si="6"/>
        <v>477.2</v>
      </c>
      <c r="R65">
        <f t="shared" si="4"/>
        <v>0.5</v>
      </c>
      <c r="S65">
        <f t="shared" si="5"/>
        <v>185.20000000000005</v>
      </c>
    </row>
    <row r="66" spans="1:19" x14ac:dyDescent="0.25">
      <c r="A66" s="8">
        <v>44915</v>
      </c>
      <c r="B66">
        <v>354</v>
      </c>
      <c r="C66">
        <v>488.38260000000002</v>
      </c>
      <c r="D66">
        <v>4.7E-2</v>
      </c>
      <c r="E66">
        <v>481.08159999999998</v>
      </c>
      <c r="F66">
        <v>491.02350000000001</v>
      </c>
      <c r="G66">
        <v>493.04270000000002</v>
      </c>
      <c r="H66">
        <v>5.2999999999999999E-2</v>
      </c>
      <c r="I66">
        <v>5.0999999999999997E-2</v>
      </c>
      <c r="J66">
        <v>3.3000000000000002E-2</v>
      </c>
      <c r="K66">
        <v>2365</v>
      </c>
      <c r="L66">
        <v>2375.6</v>
      </c>
      <c r="M66">
        <v>2390.1999999999998</v>
      </c>
      <c r="P66">
        <f t="shared" si="0"/>
        <v>488.4</v>
      </c>
      <c r="Q66">
        <f t="shared" si="6"/>
        <v>488.4</v>
      </c>
      <c r="R66">
        <f t="shared" si="4"/>
        <v>11.199999999999989</v>
      </c>
      <c r="S66">
        <f t="shared" si="5"/>
        <v>196.40000000000003</v>
      </c>
    </row>
    <row r="67" spans="1:19" x14ac:dyDescent="0.25">
      <c r="A67" s="8">
        <v>44916</v>
      </c>
      <c r="B67">
        <v>355</v>
      </c>
      <c r="C67">
        <v>489.51620000000003</v>
      </c>
      <c r="D67">
        <v>4.9000000000000002E-2</v>
      </c>
      <c r="E67">
        <v>482.39030000000002</v>
      </c>
      <c r="F67">
        <v>491.55380000000002</v>
      </c>
      <c r="G67">
        <v>494.60449999999997</v>
      </c>
      <c r="H67">
        <v>5.2999999999999999E-2</v>
      </c>
      <c r="I67">
        <v>4.2999999999999997E-2</v>
      </c>
      <c r="J67">
        <v>5.0999999999999997E-2</v>
      </c>
      <c r="K67">
        <v>2367.6</v>
      </c>
      <c r="L67">
        <v>2376.6</v>
      </c>
      <c r="M67">
        <v>2393</v>
      </c>
      <c r="P67">
        <f t="shared" si="0"/>
        <v>489.5</v>
      </c>
      <c r="Q67">
        <f t="shared" si="6"/>
        <v>489.5</v>
      </c>
      <c r="R67">
        <f t="shared" si="4"/>
        <v>1.1000000000000227</v>
      </c>
      <c r="S67">
        <f t="shared" si="5"/>
        <v>197.50000000000006</v>
      </c>
    </row>
    <row r="68" spans="1:19" x14ac:dyDescent="0.25">
      <c r="A68" s="8">
        <v>44917</v>
      </c>
      <c r="B68">
        <v>356</v>
      </c>
      <c r="C68">
        <v>489.82479999999998</v>
      </c>
      <c r="D68">
        <v>3.4000000000000002E-2</v>
      </c>
      <c r="E68">
        <v>482.75659999999999</v>
      </c>
      <c r="F68">
        <v>491.86399999999998</v>
      </c>
      <c r="G68">
        <v>494.85390000000001</v>
      </c>
      <c r="H68">
        <v>4.2999999999999997E-2</v>
      </c>
      <c r="I68">
        <v>3.1E-2</v>
      </c>
      <c r="J68">
        <v>2.5000000000000001E-2</v>
      </c>
      <c r="K68">
        <v>2368.1999999999998</v>
      </c>
      <c r="L68">
        <v>2377.1999999999998</v>
      </c>
      <c r="M68">
        <v>2393.6</v>
      </c>
      <c r="P68">
        <f t="shared" si="0"/>
        <v>489.8</v>
      </c>
      <c r="Q68">
        <f t="shared" si="6"/>
        <v>489.8</v>
      </c>
      <c r="R68">
        <f t="shared" si="4"/>
        <v>0.30000000000001137</v>
      </c>
      <c r="S68">
        <f t="shared" si="5"/>
        <v>197.80000000000007</v>
      </c>
    </row>
    <row r="69" spans="1:19" x14ac:dyDescent="0.25">
      <c r="A69" s="8">
        <v>44918</v>
      </c>
      <c r="B69">
        <v>357</v>
      </c>
      <c r="C69">
        <v>498.8845</v>
      </c>
      <c r="D69">
        <v>4.8000000000000001E-2</v>
      </c>
      <c r="E69">
        <v>491.47250000000003</v>
      </c>
      <c r="F69">
        <v>501.21210000000002</v>
      </c>
      <c r="G69">
        <v>503.96899999999999</v>
      </c>
      <c r="H69">
        <v>5.2999999999999999E-2</v>
      </c>
      <c r="I69">
        <v>3.3000000000000002E-2</v>
      </c>
      <c r="J69">
        <v>5.3999999999999999E-2</v>
      </c>
      <c r="K69">
        <v>2384.4</v>
      </c>
      <c r="L69">
        <v>2394.6</v>
      </c>
      <c r="M69">
        <v>2410.6</v>
      </c>
      <c r="P69">
        <f t="shared" si="0"/>
        <v>498.9</v>
      </c>
      <c r="Q69">
        <f t="shared" si="6"/>
        <v>498.9</v>
      </c>
      <c r="R69">
        <f t="shared" si="4"/>
        <v>9.0999999999999659</v>
      </c>
      <c r="S69">
        <f t="shared" si="5"/>
        <v>206.90000000000003</v>
      </c>
    </row>
    <row r="70" spans="1:19" x14ac:dyDescent="0.25">
      <c r="A70" s="8">
        <v>44919</v>
      </c>
      <c r="B70">
        <v>358</v>
      </c>
      <c r="C70">
        <v>501.77460000000002</v>
      </c>
      <c r="D70">
        <v>4.9000000000000002E-2</v>
      </c>
      <c r="E70">
        <v>494.4391</v>
      </c>
      <c r="F70">
        <v>504.00720000000001</v>
      </c>
      <c r="G70">
        <v>506.87740000000002</v>
      </c>
      <c r="H70">
        <v>4.5999999999999999E-2</v>
      </c>
      <c r="I70">
        <v>4.9000000000000002E-2</v>
      </c>
      <c r="J70">
        <v>5.1999999999999998E-2</v>
      </c>
      <c r="K70">
        <v>2390.1999999999998</v>
      </c>
      <c r="L70">
        <v>2399.8000000000002</v>
      </c>
      <c r="M70">
        <v>2415.8000000000002</v>
      </c>
      <c r="P70">
        <f t="shared" ref="P70:P77" si="7">ROUND(C70,1)</f>
        <v>501.8</v>
      </c>
      <c r="Q70">
        <f t="shared" si="6"/>
        <v>501.8</v>
      </c>
      <c r="R70">
        <f t="shared" si="4"/>
        <v>2.9000000000000341</v>
      </c>
      <c r="S70">
        <f t="shared" si="5"/>
        <v>209.80000000000007</v>
      </c>
    </row>
    <row r="71" spans="1:19" x14ac:dyDescent="0.25">
      <c r="A71" s="8">
        <v>44920</v>
      </c>
      <c r="B71">
        <v>359</v>
      </c>
      <c r="C71">
        <v>505.4853</v>
      </c>
      <c r="D71">
        <v>4.8000000000000001E-2</v>
      </c>
      <c r="E71">
        <v>498.0308</v>
      </c>
      <c r="F71">
        <v>507.81920000000002</v>
      </c>
      <c r="G71">
        <v>510.60590000000002</v>
      </c>
      <c r="H71">
        <v>5.0999999999999997E-2</v>
      </c>
      <c r="I71">
        <v>0.04</v>
      </c>
      <c r="J71">
        <v>5.0999999999999997E-2</v>
      </c>
      <c r="K71">
        <v>2396.8000000000002</v>
      </c>
      <c r="L71">
        <v>2406.6</v>
      </c>
      <c r="M71">
        <v>2422.8000000000002</v>
      </c>
      <c r="P71">
        <f t="shared" si="7"/>
        <v>505.5</v>
      </c>
      <c r="Q71">
        <f t="shared" si="6"/>
        <v>505.5</v>
      </c>
      <c r="R71">
        <f t="shared" si="4"/>
        <v>3.6999999999999886</v>
      </c>
      <c r="S71">
        <f t="shared" si="5"/>
        <v>213.50000000000006</v>
      </c>
    </row>
    <row r="72" spans="1:19" x14ac:dyDescent="0.25">
      <c r="A72" s="8">
        <v>44921</v>
      </c>
      <c r="B72">
        <v>360</v>
      </c>
      <c r="C72">
        <v>513.72260000000006</v>
      </c>
      <c r="D72">
        <v>6.4000000000000001E-2</v>
      </c>
      <c r="E72">
        <v>505.98</v>
      </c>
      <c r="F72">
        <v>516.22220000000004</v>
      </c>
      <c r="G72">
        <v>518.96550000000002</v>
      </c>
      <c r="H72">
        <v>7.0000000000000007E-2</v>
      </c>
      <c r="I72">
        <v>5.8000000000000003E-2</v>
      </c>
      <c r="J72">
        <v>6.3E-2</v>
      </c>
      <c r="K72">
        <v>2411.8000000000002</v>
      </c>
      <c r="L72">
        <v>2422.1999999999998</v>
      </c>
      <c r="M72">
        <v>2438.1999999999998</v>
      </c>
      <c r="P72">
        <f t="shared" si="7"/>
        <v>513.70000000000005</v>
      </c>
      <c r="Q72">
        <f t="shared" si="6"/>
        <v>513.70000000000005</v>
      </c>
      <c r="R72">
        <f t="shared" si="4"/>
        <v>8.2000000000000455</v>
      </c>
      <c r="S72">
        <f t="shared" si="5"/>
        <v>221.7000000000001</v>
      </c>
    </row>
    <row r="73" spans="1:19" x14ac:dyDescent="0.25">
      <c r="A73" s="8">
        <v>44922</v>
      </c>
      <c r="B73">
        <v>361</v>
      </c>
      <c r="C73">
        <v>525.21839999999997</v>
      </c>
      <c r="D73">
        <v>4.3999999999999997E-2</v>
      </c>
      <c r="E73">
        <v>517.23990000000003</v>
      </c>
      <c r="F73">
        <v>527.81330000000003</v>
      </c>
      <c r="G73">
        <v>530.60220000000004</v>
      </c>
      <c r="H73">
        <v>5.2999999999999999E-2</v>
      </c>
      <c r="I73">
        <v>0.05</v>
      </c>
      <c r="J73">
        <v>0.02</v>
      </c>
      <c r="K73">
        <v>2432.1999999999998</v>
      </c>
      <c r="L73">
        <v>2443.1999999999998</v>
      </c>
      <c r="M73">
        <v>2459.1999999999998</v>
      </c>
      <c r="P73">
        <f t="shared" si="7"/>
        <v>525.20000000000005</v>
      </c>
      <c r="Q73">
        <f t="shared" ref="Q73:Q77" si="8">ROUND(IF(P73&lt;Q72,Q72,P73),1)</f>
        <v>525.20000000000005</v>
      </c>
      <c r="R73">
        <f t="shared" si="4"/>
        <v>11.5</v>
      </c>
      <c r="S73">
        <f t="shared" si="5"/>
        <v>233.2000000000001</v>
      </c>
    </row>
    <row r="74" spans="1:19" x14ac:dyDescent="0.25">
      <c r="A74" s="8">
        <v>44923</v>
      </c>
      <c r="B74">
        <v>362</v>
      </c>
      <c r="C74">
        <v>527.91819999999996</v>
      </c>
      <c r="D74">
        <v>4.8000000000000001E-2</v>
      </c>
      <c r="E74">
        <v>519.88340000000005</v>
      </c>
      <c r="F74">
        <v>530.13750000000005</v>
      </c>
      <c r="G74">
        <v>533.73350000000005</v>
      </c>
      <c r="H74">
        <v>4.5999999999999999E-2</v>
      </c>
      <c r="I74">
        <v>5.0999999999999997E-2</v>
      </c>
      <c r="J74">
        <v>4.8000000000000001E-2</v>
      </c>
      <c r="K74">
        <v>2437</v>
      </c>
      <c r="L74">
        <v>2447.4</v>
      </c>
      <c r="M74">
        <v>2464.8000000000002</v>
      </c>
      <c r="P74">
        <f t="shared" si="7"/>
        <v>527.9</v>
      </c>
      <c r="Q74">
        <f t="shared" si="8"/>
        <v>527.9</v>
      </c>
      <c r="R74">
        <f t="shared" si="4"/>
        <v>2.6999999999999318</v>
      </c>
      <c r="S74">
        <f t="shared" si="5"/>
        <v>235.90000000000003</v>
      </c>
    </row>
    <row r="75" spans="1:19" x14ac:dyDescent="0.25">
      <c r="A75" s="8">
        <v>44924</v>
      </c>
      <c r="B75">
        <v>363</v>
      </c>
      <c r="C75">
        <v>531.43880000000001</v>
      </c>
      <c r="D75">
        <v>4.2999999999999997E-2</v>
      </c>
      <c r="E75">
        <v>523.31719999999996</v>
      </c>
      <c r="F75">
        <v>534.11879999999996</v>
      </c>
      <c r="G75">
        <v>536.88030000000003</v>
      </c>
      <c r="H75">
        <v>2.5000000000000001E-2</v>
      </c>
      <c r="I75">
        <v>4.4999999999999998E-2</v>
      </c>
      <c r="J75">
        <v>5.5E-2</v>
      </c>
      <c r="K75">
        <v>2443.1999999999998</v>
      </c>
      <c r="L75">
        <v>2454.6</v>
      </c>
      <c r="M75">
        <v>2470.6</v>
      </c>
      <c r="P75">
        <f t="shared" si="7"/>
        <v>531.4</v>
      </c>
      <c r="Q75">
        <f t="shared" si="8"/>
        <v>531.4</v>
      </c>
      <c r="R75">
        <f t="shared" si="4"/>
        <v>3.5</v>
      </c>
      <c r="S75">
        <f t="shared" si="5"/>
        <v>239.40000000000003</v>
      </c>
    </row>
    <row r="76" spans="1:19" x14ac:dyDescent="0.25">
      <c r="A76" s="8">
        <v>44925</v>
      </c>
      <c r="B76">
        <v>364</v>
      </c>
      <c r="C76">
        <v>534.00739999999996</v>
      </c>
      <c r="D76">
        <v>4.9000000000000002E-2</v>
      </c>
      <c r="E76">
        <v>525.89829999999995</v>
      </c>
      <c r="F76">
        <v>536.67129999999997</v>
      </c>
      <c r="G76">
        <v>539.45259999999996</v>
      </c>
      <c r="H76">
        <v>5.5E-2</v>
      </c>
      <c r="I76">
        <v>4.2000000000000003E-2</v>
      </c>
      <c r="J76">
        <v>0.05</v>
      </c>
      <c r="K76">
        <v>2448</v>
      </c>
      <c r="L76">
        <v>2459.4</v>
      </c>
      <c r="M76">
        <v>2475</v>
      </c>
      <c r="P76">
        <f t="shared" si="7"/>
        <v>534</v>
      </c>
      <c r="Q76">
        <f t="shared" si="8"/>
        <v>534</v>
      </c>
      <c r="R76">
        <f t="shared" si="4"/>
        <v>2.6000000000000227</v>
      </c>
      <c r="S76">
        <f t="shared" si="5"/>
        <v>242.00000000000006</v>
      </c>
    </row>
    <row r="77" spans="1:19" x14ac:dyDescent="0.25">
      <c r="A77" s="8">
        <v>44926</v>
      </c>
      <c r="B77">
        <v>365</v>
      </c>
      <c r="C77">
        <v>537.46519999999998</v>
      </c>
      <c r="D77">
        <v>3.5999999999999997E-2</v>
      </c>
      <c r="E77">
        <v>529.25559999999996</v>
      </c>
      <c r="F77">
        <v>540.21900000000005</v>
      </c>
      <c r="G77">
        <v>542.92100000000005</v>
      </c>
      <c r="H77">
        <v>3.2000000000000001E-2</v>
      </c>
      <c r="I77">
        <v>3.3000000000000002E-2</v>
      </c>
      <c r="J77">
        <v>4.2000000000000003E-2</v>
      </c>
      <c r="K77">
        <v>2453.8000000000002</v>
      </c>
      <c r="L77">
        <v>2465.6</v>
      </c>
      <c r="M77">
        <v>2481.1999999999998</v>
      </c>
      <c r="P77">
        <f t="shared" si="7"/>
        <v>537.5</v>
      </c>
      <c r="Q77">
        <f t="shared" si="8"/>
        <v>537.5</v>
      </c>
      <c r="R77">
        <f t="shared" si="4"/>
        <v>3.5</v>
      </c>
      <c r="S77">
        <f t="shared" si="5"/>
        <v>245.50000000000006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48</v>
      </c>
    </row>
    <row r="2" spans="1:3" x14ac:dyDescent="0.25">
      <c r="A2" t="s">
        <v>53</v>
      </c>
    </row>
    <row r="3" spans="1:3" x14ac:dyDescent="0.25">
      <c r="A3" t="s">
        <v>26</v>
      </c>
    </row>
    <row r="4" spans="1:3" x14ac:dyDescent="0.25">
      <c r="A4" t="s">
        <v>42</v>
      </c>
    </row>
    <row r="5" spans="1:3" x14ac:dyDescent="0.25">
      <c r="A5" t="s">
        <v>41</v>
      </c>
    </row>
    <row r="6" spans="1:3" x14ac:dyDescent="0.25">
      <c r="B6" t="s">
        <v>27</v>
      </c>
    </row>
    <row r="7" spans="1:3" x14ac:dyDescent="0.25">
      <c r="C7" t="s">
        <v>28</v>
      </c>
    </row>
    <row r="8" spans="1:3" x14ac:dyDescent="0.25">
      <c r="C8" t="s">
        <v>51</v>
      </c>
    </row>
    <row r="9" spans="1:3" x14ac:dyDescent="0.25">
      <c r="C9" t="s">
        <v>52</v>
      </c>
    </row>
    <row r="10" spans="1:3" x14ac:dyDescent="0.25">
      <c r="B10" t="s">
        <v>34</v>
      </c>
    </row>
    <row r="11" spans="1:3" x14ac:dyDescent="0.25">
      <c r="B11" t="s">
        <v>35</v>
      </c>
      <c r="C11" t="s">
        <v>36</v>
      </c>
    </row>
    <row r="12" spans="1:3" x14ac:dyDescent="0.25">
      <c r="C12" t="s">
        <v>37</v>
      </c>
    </row>
    <row r="13" spans="1:3" x14ac:dyDescent="0.25">
      <c r="C13" t="s">
        <v>38</v>
      </c>
    </row>
    <row r="15" spans="1:3" x14ac:dyDescent="0.25">
      <c r="A15" t="s">
        <v>43</v>
      </c>
    </row>
    <row r="16" spans="1:3" x14ac:dyDescent="0.25">
      <c r="B16" t="s">
        <v>32</v>
      </c>
    </row>
    <row r="17" spans="1:3" x14ac:dyDescent="0.25">
      <c r="C17" t="s">
        <v>33</v>
      </c>
    </row>
    <row r="18" spans="1:3" x14ac:dyDescent="0.25">
      <c r="C18" t="s">
        <v>51</v>
      </c>
    </row>
    <row r="19" spans="1:3" x14ac:dyDescent="0.25">
      <c r="C19" t="s">
        <v>52</v>
      </c>
    </row>
    <row r="20" spans="1:3" x14ac:dyDescent="0.25">
      <c r="B20" t="s">
        <v>35</v>
      </c>
      <c r="C20" t="s">
        <v>39</v>
      </c>
    </row>
    <row r="21" spans="1:3" x14ac:dyDescent="0.25">
      <c r="C21" t="s">
        <v>49</v>
      </c>
    </row>
    <row r="23" spans="1:3" x14ac:dyDescent="0.25">
      <c r="A23" t="s">
        <v>44</v>
      </c>
    </row>
    <row r="24" spans="1:3" x14ac:dyDescent="0.25">
      <c r="B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DataHr</vt:lpstr>
      <vt:lpstr>DataDy</vt:lpstr>
      <vt:lpstr>Meta</vt:lpstr>
      <vt:lpstr>SO</vt:lpstr>
      <vt:lpstr>ND</vt:lpstr>
      <vt:lpstr>SD_Dy</vt:lpstr>
      <vt:lpstr>CumPPT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2025-10-25T02:27:37Z</dcterms:created>
  <dcterms:modified xsi:type="dcterms:W3CDTF">2025-12-23T00:34:31Z</dcterms:modified>
</cp:coreProperties>
</file>