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I63" i="1" l="1"/>
  <c r="CQ63" i="1" s="1"/>
  <c r="CJ63" i="1" l="1"/>
  <c r="CL63" i="1"/>
  <c r="CN63" i="1"/>
  <c r="CP63" i="1"/>
  <c r="CK63" i="1"/>
  <c r="CM63" i="1"/>
  <c r="CO63" i="1"/>
  <c r="BE289" i="1"/>
  <c r="BE288" i="1"/>
  <c r="BE287" i="1"/>
  <c r="BE286" i="1"/>
  <c r="BE285" i="1"/>
  <c r="BE284" i="1"/>
  <c r="BE283" i="1"/>
  <c r="BE282" i="1"/>
  <c r="BE281" i="1"/>
  <c r="BE280" i="1"/>
  <c r="BV289" i="1" l="1"/>
  <c r="BV288" i="1"/>
  <c r="BV287" i="1"/>
  <c r="BV286" i="1"/>
  <c r="BV285" i="1"/>
  <c r="BV284" i="1"/>
  <c r="BV283" i="1"/>
  <c r="BV282" i="1"/>
  <c r="BV281" i="1"/>
  <c r="BV280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159" i="1"/>
  <c r="BW288" i="1"/>
  <c r="BW287" i="1"/>
  <c r="BW286" i="1"/>
  <c r="BW285" i="1"/>
  <c r="BW284" i="1"/>
  <c r="BW283" i="1"/>
  <c r="BW282" i="1"/>
  <c r="BW281" i="1"/>
  <c r="BW280" i="1"/>
  <c r="BW289" i="1"/>
  <c r="CE63" i="1" l="1"/>
  <c r="CD63" i="1"/>
  <c r="CC63" i="1"/>
  <c r="CB63" i="1"/>
  <c r="CA63" i="1"/>
  <c r="BZ63" i="1"/>
  <c r="BY63" i="1"/>
  <c r="BV63" i="1"/>
  <c r="BU63" i="1"/>
  <c r="BT63" i="1"/>
  <c r="BQ63" i="1"/>
  <c r="BP63" i="1"/>
  <c r="BO63" i="1"/>
  <c r="BN63" i="1"/>
  <c r="BM63" i="1"/>
  <c r="BI63" i="1"/>
  <c r="BS63" i="1" s="1"/>
  <c r="BH63" i="1"/>
  <c r="BR63" i="1" s="1"/>
  <c r="BG63" i="1"/>
  <c r="BC63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BX63" i="1" s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W290" i="1" l="1"/>
  <c r="BE290" i="1"/>
  <c r="BV290" i="1" s="1"/>
  <c r="BW292" i="1"/>
  <c r="BE292" i="1"/>
  <c r="BV292" i="1" s="1"/>
  <c r="BW294" i="1"/>
  <c r="BE294" i="1"/>
  <c r="BV294" i="1" s="1"/>
  <c r="BW296" i="1"/>
  <c r="BE296" i="1"/>
  <c r="BV296" i="1" s="1"/>
  <c r="BW298" i="1"/>
  <c r="BE298" i="1"/>
  <c r="BV298" i="1" s="1"/>
  <c r="BW300" i="1"/>
  <c r="BE300" i="1"/>
  <c r="BV300" i="1" s="1"/>
  <c r="BW302" i="1"/>
  <c r="BE302" i="1"/>
  <c r="BV302" i="1" s="1"/>
  <c r="BW304" i="1"/>
  <c r="BE304" i="1"/>
  <c r="BV304" i="1" s="1"/>
  <c r="BW306" i="1"/>
  <c r="BE306" i="1"/>
  <c r="BV306" i="1" s="1"/>
  <c r="BW308" i="1"/>
  <c r="BE308" i="1"/>
  <c r="BV308" i="1" s="1"/>
  <c r="BW310" i="1"/>
  <c r="BE310" i="1"/>
  <c r="BV310" i="1" s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V340" i="1" s="1"/>
  <c r="BW342" i="1"/>
  <c r="BE342" i="1"/>
  <c r="BV342" i="1" s="1"/>
  <c r="BW344" i="1"/>
  <c r="BE344" i="1"/>
  <c r="BV344" i="1" s="1"/>
  <c r="BW346" i="1"/>
  <c r="BE346" i="1"/>
  <c r="BV346" i="1" s="1"/>
  <c r="BW348" i="1"/>
  <c r="BE348" i="1"/>
  <c r="BV348" i="1" s="1"/>
  <c r="BW350" i="1"/>
  <c r="BE350" i="1"/>
  <c r="BV350" i="1" s="1"/>
  <c r="BW352" i="1"/>
  <c r="BE352" i="1"/>
  <c r="BV352" i="1" s="1"/>
  <c r="BW354" i="1"/>
  <c r="BE354" i="1"/>
  <c r="BV354" i="1" s="1"/>
  <c r="BW356" i="1"/>
  <c r="BE356" i="1"/>
  <c r="BV356" i="1" s="1"/>
  <c r="BW358" i="1"/>
  <c r="BE358" i="1"/>
  <c r="BV358" i="1" s="1"/>
  <c r="BW360" i="1"/>
  <c r="BE360" i="1"/>
  <c r="BV360" i="1" s="1"/>
  <c r="BW362" i="1"/>
  <c r="BE362" i="1"/>
  <c r="BV362" i="1" s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91" i="1"/>
  <c r="BE291" i="1"/>
  <c r="BV291" i="1" s="1"/>
  <c r="BW293" i="1"/>
  <c r="BE293" i="1"/>
  <c r="BV293" i="1" s="1"/>
  <c r="BW295" i="1"/>
  <c r="BE295" i="1"/>
  <c r="BV295" i="1" s="1"/>
  <c r="BW297" i="1"/>
  <c r="BE297" i="1"/>
  <c r="BV297" i="1" s="1"/>
  <c r="BW299" i="1"/>
  <c r="BE299" i="1"/>
  <c r="BV299" i="1" s="1"/>
  <c r="BW301" i="1"/>
  <c r="BE301" i="1"/>
  <c r="BV301" i="1" s="1"/>
  <c r="BW303" i="1"/>
  <c r="BE303" i="1"/>
  <c r="BV303" i="1" s="1"/>
  <c r="BW305" i="1"/>
  <c r="BE305" i="1"/>
  <c r="BV305" i="1" s="1"/>
  <c r="BW307" i="1"/>
  <c r="BE307" i="1"/>
  <c r="BV307" i="1" s="1"/>
  <c r="BW309" i="1"/>
  <c r="BE309" i="1"/>
  <c r="BV309" i="1" s="1"/>
  <c r="BW311" i="1"/>
  <c r="BE311" i="1"/>
  <c r="BV311" i="1" s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V341" i="1" s="1"/>
  <c r="BW343" i="1"/>
  <c r="BE343" i="1"/>
  <c r="BV343" i="1" s="1"/>
  <c r="BW345" i="1"/>
  <c r="BE345" i="1"/>
  <c r="BV345" i="1" s="1"/>
  <c r="BW347" i="1"/>
  <c r="BE347" i="1"/>
  <c r="BV347" i="1" s="1"/>
  <c r="BW349" i="1"/>
  <c r="BE349" i="1"/>
  <c r="BV349" i="1" s="1"/>
  <c r="BW351" i="1"/>
  <c r="BE351" i="1"/>
  <c r="BV351" i="1" s="1"/>
  <c r="BW353" i="1"/>
  <c r="BE353" i="1"/>
  <c r="BV353" i="1" s="1"/>
  <c r="BW355" i="1"/>
  <c r="BE355" i="1"/>
  <c r="BV355" i="1" s="1"/>
  <c r="BW357" i="1"/>
  <c r="BE357" i="1"/>
  <c r="BV357" i="1" s="1"/>
  <c r="BW359" i="1"/>
  <c r="BE359" i="1"/>
  <c r="BV359" i="1" s="1"/>
  <c r="BW361" i="1"/>
  <c r="BE361" i="1"/>
  <c r="BV361" i="1" s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371" i="1"/>
  <c r="BE371" i="1"/>
  <c r="BV371" i="1" s="1"/>
  <c r="BJ63" i="1"/>
  <c r="BK63" i="1" l="1"/>
  <c r="CG63" i="1" s="1"/>
  <c r="CF63" i="1"/>
  <c r="BC371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CE371" i="1" l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V373" i="1" l="1"/>
  <c r="AU373" i="1"/>
  <c r="AT373" i="1"/>
  <c r="AS373" i="1"/>
  <c r="AR373" i="1"/>
  <c r="AQ373" i="1"/>
  <c r="AP373" i="1"/>
  <c r="AO373" i="1"/>
  <c r="CI264" i="1"/>
  <c r="CQ264" i="1" s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O250" i="1" s="1"/>
  <c r="CI249" i="1"/>
  <c r="CQ249" i="1" s="1"/>
  <c r="CI248" i="1"/>
  <c r="CO248" i="1" s="1"/>
  <c r="CI247" i="1"/>
  <c r="CQ247" i="1" s="1"/>
  <c r="CI246" i="1"/>
  <c r="CO246" i="1" s="1"/>
  <c r="CI245" i="1"/>
  <c r="CQ245" i="1" s="1"/>
  <c r="CI244" i="1"/>
  <c r="CO244" i="1" s="1"/>
  <c r="CI243" i="1"/>
  <c r="CQ243" i="1" s="1"/>
  <c r="CI242" i="1"/>
  <c r="CP242" i="1" s="1"/>
  <c r="CI241" i="1"/>
  <c r="CQ241" i="1" s="1"/>
  <c r="CI240" i="1"/>
  <c r="CP240" i="1" s="1"/>
  <c r="CI239" i="1"/>
  <c r="CQ239" i="1" s="1"/>
  <c r="CI238" i="1"/>
  <c r="CP238" i="1" s="1"/>
  <c r="CI237" i="1"/>
  <c r="CQ237" i="1" s="1"/>
  <c r="CI236" i="1"/>
  <c r="CP236" i="1" s="1"/>
  <c r="CI235" i="1"/>
  <c r="CQ235" i="1" s="1"/>
  <c r="CI234" i="1"/>
  <c r="CP234" i="1" s="1"/>
  <c r="CI233" i="1"/>
  <c r="CQ233" i="1" s="1"/>
  <c r="CI232" i="1"/>
  <c r="CO232" i="1" s="1"/>
  <c r="CI231" i="1"/>
  <c r="CQ231" i="1" s="1"/>
  <c r="CI230" i="1"/>
  <c r="CO230" i="1" s="1"/>
  <c r="CI229" i="1"/>
  <c r="CQ229" i="1" s="1"/>
  <c r="CI228" i="1"/>
  <c r="CO228" i="1" s="1"/>
  <c r="CI227" i="1"/>
  <c r="CQ227" i="1" s="1"/>
  <c r="CI226" i="1"/>
  <c r="CO226" i="1" s="1"/>
  <c r="CI225" i="1"/>
  <c r="CQ225" i="1" s="1"/>
  <c r="CI224" i="1"/>
  <c r="CP224" i="1" s="1"/>
  <c r="CI223" i="1"/>
  <c r="CQ223" i="1" s="1"/>
  <c r="CI222" i="1"/>
  <c r="CP222" i="1" s="1"/>
  <c r="CI221" i="1"/>
  <c r="CQ221" i="1" s="1"/>
  <c r="CI220" i="1"/>
  <c r="CP220" i="1" s="1"/>
  <c r="CI219" i="1"/>
  <c r="CQ219" i="1" s="1"/>
  <c r="CI218" i="1"/>
  <c r="CP218" i="1" s="1"/>
  <c r="CI217" i="1"/>
  <c r="CQ217" i="1" s="1"/>
  <c r="CI216" i="1"/>
  <c r="CP216" i="1" s="1"/>
  <c r="CI215" i="1"/>
  <c r="CQ215" i="1" s="1"/>
  <c r="CI214" i="1"/>
  <c r="CP214" i="1" s="1"/>
  <c r="CI213" i="1"/>
  <c r="CQ213" i="1" s="1"/>
  <c r="CI212" i="1"/>
  <c r="CP212" i="1" s="1"/>
  <c r="CI211" i="1"/>
  <c r="CQ211" i="1" s="1"/>
  <c r="CI210" i="1"/>
  <c r="CP210" i="1" s="1"/>
  <c r="CI209" i="1"/>
  <c r="CQ209" i="1" s="1"/>
  <c r="CI208" i="1"/>
  <c r="CP208" i="1" s="1"/>
  <c r="CI207" i="1"/>
  <c r="CQ207" i="1" s="1"/>
  <c r="CI206" i="1"/>
  <c r="CP206" i="1" s="1"/>
  <c r="CI205" i="1"/>
  <c r="CQ205" i="1" s="1"/>
  <c r="CI204" i="1"/>
  <c r="CP204" i="1" s="1"/>
  <c r="CI203" i="1"/>
  <c r="CQ203" i="1" s="1"/>
  <c r="CI202" i="1"/>
  <c r="CP202" i="1" s="1"/>
  <c r="CI201" i="1"/>
  <c r="CQ201" i="1" s="1"/>
  <c r="CI200" i="1"/>
  <c r="CP200" i="1" s="1"/>
  <c r="CI199" i="1"/>
  <c r="CQ199" i="1" s="1"/>
  <c r="CI198" i="1"/>
  <c r="CK198" i="1" s="1"/>
  <c r="CI197" i="1"/>
  <c r="CQ197" i="1" s="1"/>
  <c r="CI196" i="1"/>
  <c r="CO196" i="1" s="1"/>
  <c r="CI195" i="1"/>
  <c r="CQ195" i="1" s="1"/>
  <c r="CI194" i="1"/>
  <c r="CO194" i="1" s="1"/>
  <c r="CI193" i="1"/>
  <c r="CQ193" i="1" s="1"/>
  <c r="CI192" i="1"/>
  <c r="CO192" i="1" s="1"/>
  <c r="CI191" i="1"/>
  <c r="CQ191" i="1" s="1"/>
  <c r="CI190" i="1"/>
  <c r="CO190" i="1" s="1"/>
  <c r="CI189" i="1"/>
  <c r="CQ189" i="1" s="1"/>
  <c r="CI188" i="1"/>
  <c r="CO188" i="1" s="1"/>
  <c r="CI187" i="1"/>
  <c r="CQ187" i="1" s="1"/>
  <c r="CI186" i="1"/>
  <c r="CO186" i="1" s="1"/>
  <c r="CI185" i="1"/>
  <c r="CQ185" i="1" s="1"/>
  <c r="CI184" i="1"/>
  <c r="CP184" i="1" s="1"/>
  <c r="CI183" i="1"/>
  <c r="CQ183" i="1" s="1"/>
  <c r="CI182" i="1"/>
  <c r="CQ182" i="1" s="1"/>
  <c r="CI181" i="1"/>
  <c r="CQ181" i="1" s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O162" i="1" s="1"/>
  <c r="CI161" i="1"/>
  <c r="CQ161" i="1" s="1"/>
  <c r="CI160" i="1"/>
  <c r="CO160" i="1" s="1"/>
  <c r="CI159" i="1"/>
  <c r="CQ159" i="1" s="1"/>
  <c r="CI158" i="1"/>
  <c r="CO158" i="1" s="1"/>
  <c r="CI157" i="1"/>
  <c r="CQ157" i="1" s="1"/>
  <c r="CI156" i="1"/>
  <c r="CO156" i="1" s="1"/>
  <c r="CI155" i="1"/>
  <c r="CQ155" i="1" s="1"/>
  <c r="CI154" i="1"/>
  <c r="CO154" i="1" s="1"/>
  <c r="CI153" i="1"/>
  <c r="CQ153" i="1" s="1"/>
  <c r="CI152" i="1"/>
  <c r="CO152" i="1" s="1"/>
  <c r="CI151" i="1"/>
  <c r="CQ151" i="1" s="1"/>
  <c r="CI150" i="1"/>
  <c r="CO150" i="1" s="1"/>
  <c r="CI149" i="1"/>
  <c r="CQ149" i="1" s="1"/>
  <c r="CI148" i="1"/>
  <c r="CO148" i="1" s="1"/>
  <c r="CI147" i="1"/>
  <c r="CI146" i="1"/>
  <c r="CO146" i="1" s="1"/>
  <c r="CI145" i="1"/>
  <c r="CP145" i="1" s="1"/>
  <c r="CI144" i="1"/>
  <c r="CQ144" i="1" s="1"/>
  <c r="CI143" i="1"/>
  <c r="CP143" i="1" s="1"/>
  <c r="CI142" i="1"/>
  <c r="CQ142" i="1" s="1"/>
  <c r="CI141" i="1"/>
  <c r="CP141" i="1" s="1"/>
  <c r="CI140" i="1"/>
  <c r="CQ140" i="1" s="1"/>
  <c r="CI139" i="1"/>
  <c r="CP139" i="1" s="1"/>
  <c r="CI138" i="1"/>
  <c r="CQ138" i="1" s="1"/>
  <c r="CI137" i="1"/>
  <c r="CP137" i="1" s="1"/>
  <c r="CI136" i="1"/>
  <c r="CQ136" i="1" s="1"/>
  <c r="CI135" i="1"/>
  <c r="CP135" i="1" s="1"/>
  <c r="CI134" i="1"/>
  <c r="CQ134" i="1" s="1"/>
  <c r="CI133" i="1"/>
  <c r="CP133" i="1" s="1"/>
  <c r="CI132" i="1"/>
  <c r="CQ132" i="1" s="1"/>
  <c r="CI131" i="1"/>
  <c r="CP131" i="1" s="1"/>
  <c r="CI130" i="1"/>
  <c r="CQ130" i="1" s="1"/>
  <c r="CI129" i="1"/>
  <c r="CP129" i="1" s="1"/>
  <c r="CI128" i="1"/>
  <c r="CQ128" i="1" s="1"/>
  <c r="CI127" i="1"/>
  <c r="CP127" i="1" s="1"/>
  <c r="CI126" i="1"/>
  <c r="CQ126" i="1" s="1"/>
  <c r="CI125" i="1"/>
  <c r="CP125" i="1" s="1"/>
  <c r="CI124" i="1"/>
  <c r="CQ124" i="1" s="1"/>
  <c r="CI123" i="1"/>
  <c r="CP123" i="1" s="1"/>
  <c r="CI122" i="1"/>
  <c r="CQ122" i="1" s="1"/>
  <c r="CI121" i="1"/>
  <c r="CP121" i="1" s="1"/>
  <c r="CI120" i="1"/>
  <c r="CQ120" i="1" s="1"/>
  <c r="CI119" i="1"/>
  <c r="CP119" i="1" s="1"/>
  <c r="CI118" i="1"/>
  <c r="CQ118" i="1" s="1"/>
  <c r="CI117" i="1"/>
  <c r="CP117" i="1" s="1"/>
  <c r="CI116" i="1"/>
  <c r="CQ116" i="1" s="1"/>
  <c r="CI115" i="1"/>
  <c r="CP115" i="1" s="1"/>
  <c r="CI114" i="1"/>
  <c r="CN114" i="1" s="1"/>
  <c r="CI113" i="1"/>
  <c r="CP113" i="1" s="1"/>
  <c r="CI112" i="1"/>
  <c r="CQ112" i="1" s="1"/>
  <c r="CI111" i="1"/>
  <c r="CP111" i="1" s="1"/>
  <c r="CI110" i="1"/>
  <c r="CQ110" i="1" s="1"/>
  <c r="CI109" i="1"/>
  <c r="CP109" i="1" s="1"/>
  <c r="CI108" i="1"/>
  <c r="CQ108" i="1" s="1"/>
  <c r="CI107" i="1"/>
  <c r="CP107" i="1" s="1"/>
  <c r="CI106" i="1"/>
  <c r="CQ106" i="1" s="1"/>
  <c r="CI105" i="1"/>
  <c r="CP105" i="1" s="1"/>
  <c r="CI104" i="1"/>
  <c r="CQ104" i="1" s="1"/>
  <c r="CI103" i="1"/>
  <c r="CP103" i="1" s="1"/>
  <c r="CI102" i="1"/>
  <c r="CQ102" i="1" s="1"/>
  <c r="CI101" i="1"/>
  <c r="CP101" i="1" s="1"/>
  <c r="CI100" i="1"/>
  <c r="CQ100" i="1" s="1"/>
  <c r="CI99" i="1"/>
  <c r="CP99" i="1" s="1"/>
  <c r="CI98" i="1"/>
  <c r="CQ98" i="1" s="1"/>
  <c r="CI97" i="1"/>
  <c r="CI96" i="1"/>
  <c r="CQ96" i="1" s="1"/>
  <c r="CI95" i="1"/>
  <c r="CI94" i="1"/>
  <c r="CQ94" i="1" s="1"/>
  <c r="CI93" i="1"/>
  <c r="CI92" i="1"/>
  <c r="CQ92" i="1" s="1"/>
  <c r="CI91" i="1"/>
  <c r="CK91" i="1" s="1"/>
  <c r="CI90" i="1"/>
  <c r="CQ90" i="1" s="1"/>
  <c r="CI89" i="1"/>
  <c r="CO89" i="1" s="1"/>
  <c r="CI88" i="1"/>
  <c r="CQ88" i="1" s="1"/>
  <c r="CI87" i="1"/>
  <c r="CO87" i="1" s="1"/>
  <c r="CI86" i="1"/>
  <c r="CQ86" i="1" s="1"/>
  <c r="CI85" i="1"/>
  <c r="CO85" i="1" s="1"/>
  <c r="CI84" i="1"/>
  <c r="CQ84" i="1" s="1"/>
  <c r="CI83" i="1"/>
  <c r="CO83" i="1" s="1"/>
  <c r="CI82" i="1"/>
  <c r="CQ82" i="1" s="1"/>
  <c r="CI81" i="1"/>
  <c r="CO81" i="1" s="1"/>
  <c r="CI80" i="1"/>
  <c r="CQ80" i="1" s="1"/>
  <c r="CI79" i="1"/>
  <c r="CO79" i="1" s="1"/>
  <c r="CI78" i="1"/>
  <c r="CQ78" i="1" s="1"/>
  <c r="CI77" i="1"/>
  <c r="CO77" i="1" s="1"/>
  <c r="CI76" i="1"/>
  <c r="CQ76" i="1" s="1"/>
  <c r="CI75" i="1"/>
  <c r="CO75" i="1" s="1"/>
  <c r="CI74" i="1"/>
  <c r="CQ74" i="1" s="1"/>
  <c r="CI73" i="1"/>
  <c r="CO73" i="1" s="1"/>
  <c r="CI72" i="1"/>
  <c r="CQ72" i="1" s="1"/>
  <c r="CI71" i="1"/>
  <c r="CO71" i="1" s="1"/>
  <c r="CI70" i="1"/>
  <c r="CQ70" i="1" s="1"/>
  <c r="CI69" i="1"/>
  <c r="CO69" i="1" s="1"/>
  <c r="CI68" i="1"/>
  <c r="CQ68" i="1" s="1"/>
  <c r="CI67" i="1"/>
  <c r="CO67" i="1" s="1"/>
  <c r="CI66" i="1"/>
  <c r="CQ66" i="1" s="1"/>
  <c r="CI65" i="1"/>
  <c r="CP65" i="1" s="1"/>
  <c r="CI64" i="1"/>
  <c r="CQ64" i="1" s="1"/>
  <c r="CI62" i="1"/>
  <c r="CQ62" i="1" s="1"/>
  <c r="CI61" i="1"/>
  <c r="CQ61" i="1" s="1"/>
  <c r="CI60" i="1"/>
  <c r="CQ60" i="1" s="1"/>
  <c r="CI59" i="1"/>
  <c r="CQ59" i="1" s="1"/>
  <c r="CI58" i="1"/>
  <c r="CQ58" i="1" s="1"/>
  <c r="CI57" i="1"/>
  <c r="CQ57" i="1" s="1"/>
  <c r="CI56" i="1"/>
  <c r="CQ56" i="1" s="1"/>
  <c r="CI55" i="1"/>
  <c r="CQ55" i="1" s="1"/>
  <c r="CI54" i="1"/>
  <c r="CQ54" i="1" s="1"/>
  <c r="CI53" i="1"/>
  <c r="CQ53" i="1" s="1"/>
  <c r="CI52" i="1"/>
  <c r="CQ52" i="1" s="1"/>
  <c r="CI51" i="1"/>
  <c r="CQ51" i="1" s="1"/>
  <c r="CI50" i="1"/>
  <c r="CQ50" i="1" s="1"/>
  <c r="CI49" i="1"/>
  <c r="CQ49" i="1" s="1"/>
  <c r="CI48" i="1"/>
  <c r="CQ48" i="1" s="1"/>
  <c r="CI47" i="1"/>
  <c r="CQ47" i="1" s="1"/>
  <c r="CI46" i="1"/>
  <c r="CQ46" i="1" s="1"/>
  <c r="CI45" i="1"/>
  <c r="CQ45" i="1" s="1"/>
  <c r="CI44" i="1"/>
  <c r="CQ44" i="1" s="1"/>
  <c r="CI43" i="1"/>
  <c r="CQ43" i="1" s="1"/>
  <c r="CI42" i="1"/>
  <c r="CQ42" i="1" s="1"/>
  <c r="CI41" i="1"/>
  <c r="CQ41" i="1" s="1"/>
  <c r="CI40" i="1"/>
  <c r="CQ40" i="1" s="1"/>
  <c r="CI39" i="1"/>
  <c r="CQ39" i="1" s="1"/>
  <c r="CI38" i="1"/>
  <c r="CQ38" i="1" s="1"/>
  <c r="CI37" i="1"/>
  <c r="CQ37" i="1" s="1"/>
  <c r="CI36" i="1"/>
  <c r="CQ36" i="1" s="1"/>
  <c r="CI35" i="1"/>
  <c r="CQ35" i="1" s="1"/>
  <c r="CI34" i="1"/>
  <c r="CQ34" i="1" s="1"/>
  <c r="CI33" i="1"/>
  <c r="CQ33" i="1" s="1"/>
  <c r="CI32" i="1"/>
  <c r="CQ32" i="1" s="1"/>
  <c r="CI31" i="1"/>
  <c r="CQ31" i="1" s="1"/>
  <c r="CI30" i="1"/>
  <c r="CQ30" i="1" s="1"/>
  <c r="CI29" i="1"/>
  <c r="CQ29" i="1" s="1"/>
  <c r="CI28" i="1"/>
  <c r="CQ28" i="1" s="1"/>
  <c r="CI27" i="1"/>
  <c r="CQ27" i="1" s="1"/>
  <c r="CI26" i="1"/>
  <c r="CM26" i="1" s="1"/>
  <c r="CI25" i="1"/>
  <c r="CQ25" i="1" s="1"/>
  <c r="CI24" i="1"/>
  <c r="CQ24" i="1" s="1"/>
  <c r="CI23" i="1"/>
  <c r="CQ23" i="1" s="1"/>
  <c r="CI22" i="1"/>
  <c r="CM22" i="1" s="1"/>
  <c r="CI21" i="1"/>
  <c r="CQ21" i="1" s="1"/>
  <c r="CI20" i="1"/>
  <c r="CQ20" i="1" s="1"/>
  <c r="CI19" i="1"/>
  <c r="CQ19" i="1" s="1"/>
  <c r="CI18" i="1"/>
  <c r="CQ18" i="1" s="1"/>
  <c r="CI17" i="1"/>
  <c r="CQ17" i="1" s="1"/>
  <c r="CI16" i="1"/>
  <c r="CQ16" i="1" s="1"/>
  <c r="CI15" i="1"/>
  <c r="CQ15" i="1" s="1"/>
  <c r="CI14" i="1"/>
  <c r="CM14" i="1" s="1"/>
  <c r="CI13" i="1"/>
  <c r="CQ13" i="1" s="1"/>
  <c r="CI12" i="1"/>
  <c r="CM12" i="1" s="1"/>
  <c r="CI11" i="1"/>
  <c r="CQ11" i="1" s="1"/>
  <c r="CI10" i="1"/>
  <c r="CO10" i="1" s="1"/>
  <c r="CI9" i="1"/>
  <c r="CQ9" i="1" s="1"/>
  <c r="CI8" i="1"/>
  <c r="CQ8" i="1" s="1"/>
  <c r="CI7" i="1"/>
  <c r="CQ7" i="1" s="1"/>
  <c r="CI6" i="1"/>
  <c r="CM6" i="1" s="1"/>
  <c r="CK152" i="1" l="1"/>
  <c r="CJ211" i="1"/>
  <c r="CK190" i="1"/>
  <c r="CJ203" i="1"/>
  <c r="CJ219" i="1"/>
  <c r="CJ235" i="1"/>
  <c r="CJ227" i="1"/>
  <c r="CK160" i="1"/>
  <c r="CJ199" i="1"/>
  <c r="CJ207" i="1"/>
  <c r="CJ215" i="1"/>
  <c r="CJ223" i="1"/>
  <c r="CJ231" i="1"/>
  <c r="CJ239" i="1"/>
  <c r="CJ247" i="1"/>
  <c r="CJ243" i="1"/>
  <c r="CJ251" i="1"/>
  <c r="CJ255" i="1"/>
  <c r="CJ259" i="1"/>
  <c r="CJ263" i="1"/>
  <c r="CK148" i="1"/>
  <c r="CK156" i="1"/>
  <c r="CK186" i="1"/>
  <c r="CK194" i="1"/>
  <c r="CJ201" i="1"/>
  <c r="CJ205" i="1"/>
  <c r="CJ209" i="1"/>
  <c r="CJ213" i="1"/>
  <c r="CJ217" i="1"/>
  <c r="CJ221" i="1"/>
  <c r="CJ225" i="1"/>
  <c r="CJ229" i="1"/>
  <c r="CJ233" i="1"/>
  <c r="CJ237" i="1"/>
  <c r="CJ241" i="1"/>
  <c r="CJ245" i="1"/>
  <c r="CJ249" i="1"/>
  <c r="CJ253" i="1"/>
  <c r="CJ257" i="1"/>
  <c r="CJ261" i="1"/>
  <c r="CN72" i="1"/>
  <c r="CN76" i="1"/>
  <c r="CN80" i="1"/>
  <c r="CN84" i="1"/>
  <c r="CN88" i="1"/>
  <c r="CN90" i="1"/>
  <c r="CN144" i="1"/>
  <c r="CN74" i="1"/>
  <c r="CN78" i="1"/>
  <c r="CN82" i="1"/>
  <c r="CN86" i="1"/>
  <c r="CN116" i="1"/>
  <c r="CN118" i="1"/>
  <c r="CN120" i="1"/>
  <c r="CN122" i="1"/>
  <c r="CN124" i="1"/>
  <c r="CN126" i="1"/>
  <c r="CN128" i="1"/>
  <c r="CN130" i="1"/>
  <c r="CN132" i="1"/>
  <c r="CN134" i="1"/>
  <c r="CN136" i="1"/>
  <c r="CN138" i="1"/>
  <c r="CN140" i="1"/>
  <c r="CN142" i="1"/>
  <c r="CJ72" i="1"/>
  <c r="CJ74" i="1"/>
  <c r="CJ76" i="1"/>
  <c r="CJ78" i="1"/>
  <c r="CJ80" i="1"/>
  <c r="CJ82" i="1"/>
  <c r="CJ84" i="1"/>
  <c r="CJ86" i="1"/>
  <c r="CJ88" i="1"/>
  <c r="CJ90" i="1"/>
  <c r="CJ116" i="1"/>
  <c r="CJ118" i="1"/>
  <c r="CJ120" i="1"/>
  <c r="CJ122" i="1"/>
  <c r="CJ124" i="1"/>
  <c r="CJ126" i="1"/>
  <c r="CJ128" i="1"/>
  <c r="CJ130" i="1"/>
  <c r="CJ132" i="1"/>
  <c r="CJ134" i="1"/>
  <c r="CJ136" i="1"/>
  <c r="CJ138" i="1"/>
  <c r="CJ140" i="1"/>
  <c r="CJ142" i="1"/>
  <c r="CJ144" i="1"/>
  <c r="CK146" i="1"/>
  <c r="CK150" i="1"/>
  <c r="CK154" i="1"/>
  <c r="CK158" i="1"/>
  <c r="CK162" i="1"/>
  <c r="CK188" i="1"/>
  <c r="CK192" i="1"/>
  <c r="CK196" i="1"/>
  <c r="CN199" i="1"/>
  <c r="CN201" i="1"/>
  <c r="CN203" i="1"/>
  <c r="CN205" i="1"/>
  <c r="CN207" i="1"/>
  <c r="CN209" i="1"/>
  <c r="CN211" i="1"/>
  <c r="CN213" i="1"/>
  <c r="CN215" i="1"/>
  <c r="CN217" i="1"/>
  <c r="CN219" i="1"/>
  <c r="CN221" i="1"/>
  <c r="CN223" i="1"/>
  <c r="CN225" i="1"/>
  <c r="CN227" i="1"/>
  <c r="CN229" i="1"/>
  <c r="CN231" i="1"/>
  <c r="CN233" i="1"/>
  <c r="CN235" i="1"/>
  <c r="CN237" i="1"/>
  <c r="CN239" i="1"/>
  <c r="CN241" i="1"/>
  <c r="CN243" i="1"/>
  <c r="CN245" i="1"/>
  <c r="CN247" i="1"/>
  <c r="CN249" i="1"/>
  <c r="CN251" i="1"/>
  <c r="CN253" i="1"/>
  <c r="CN255" i="1"/>
  <c r="CN257" i="1"/>
  <c r="CN259" i="1"/>
  <c r="CN261" i="1"/>
  <c r="CN7" i="1"/>
  <c r="CN9" i="1"/>
  <c r="CN11" i="1"/>
  <c r="CN13" i="1"/>
  <c r="CN15" i="1"/>
  <c r="CN17" i="1"/>
  <c r="CN19" i="1"/>
  <c r="CN21" i="1"/>
  <c r="CN23" i="1"/>
  <c r="CN25" i="1"/>
  <c r="CN27" i="1"/>
  <c r="CN29" i="1"/>
  <c r="CN31" i="1"/>
  <c r="CN33" i="1"/>
  <c r="CN35" i="1"/>
  <c r="CN37" i="1"/>
  <c r="CN39" i="1"/>
  <c r="CN41" i="1"/>
  <c r="CN43" i="1"/>
  <c r="CN45" i="1"/>
  <c r="CN47" i="1"/>
  <c r="CN49" i="1"/>
  <c r="CN51" i="1"/>
  <c r="CN53" i="1"/>
  <c r="CN55" i="1"/>
  <c r="CN57" i="1"/>
  <c r="CN59" i="1"/>
  <c r="CN61" i="1"/>
  <c r="CN64" i="1"/>
  <c r="CN66" i="1"/>
  <c r="CN68" i="1"/>
  <c r="CN70" i="1"/>
  <c r="CJ7" i="1"/>
  <c r="CJ9" i="1"/>
  <c r="CJ11" i="1"/>
  <c r="CJ13" i="1"/>
  <c r="CJ15" i="1"/>
  <c r="CJ17" i="1"/>
  <c r="CJ19" i="1"/>
  <c r="CJ21" i="1"/>
  <c r="CJ23" i="1"/>
  <c r="CJ25" i="1"/>
  <c r="CJ27" i="1"/>
  <c r="CJ29" i="1"/>
  <c r="CJ31" i="1"/>
  <c r="CJ33" i="1"/>
  <c r="CJ35" i="1"/>
  <c r="CJ37" i="1"/>
  <c r="CJ39" i="1"/>
  <c r="CJ41" i="1"/>
  <c r="CJ43" i="1"/>
  <c r="CJ45" i="1"/>
  <c r="CJ47" i="1"/>
  <c r="CJ49" i="1"/>
  <c r="CJ51" i="1"/>
  <c r="CJ53" i="1"/>
  <c r="CJ55" i="1"/>
  <c r="CJ57" i="1"/>
  <c r="CJ59" i="1"/>
  <c r="CJ61" i="1"/>
  <c r="CJ64" i="1"/>
  <c r="CJ66" i="1"/>
  <c r="CJ68" i="1"/>
  <c r="CJ70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4" i="1"/>
  <c r="CP64" i="1"/>
  <c r="CL66" i="1"/>
  <c r="CP66" i="1"/>
  <c r="CK67" i="1"/>
  <c r="CL68" i="1"/>
  <c r="CP68" i="1"/>
  <c r="CK69" i="1"/>
  <c r="CL70" i="1"/>
  <c r="CP70" i="1"/>
  <c r="CK71" i="1"/>
  <c r="CL72" i="1"/>
  <c r="CP72" i="1"/>
  <c r="CK73" i="1"/>
  <c r="CL74" i="1"/>
  <c r="CP74" i="1"/>
  <c r="CK75" i="1"/>
  <c r="CL76" i="1"/>
  <c r="CP76" i="1"/>
  <c r="CK77" i="1"/>
  <c r="CL78" i="1"/>
  <c r="CP78" i="1"/>
  <c r="CK79" i="1"/>
  <c r="CL80" i="1"/>
  <c r="CP80" i="1"/>
  <c r="CK81" i="1"/>
  <c r="CL82" i="1"/>
  <c r="CP82" i="1"/>
  <c r="CK83" i="1"/>
  <c r="CL84" i="1"/>
  <c r="CP84" i="1"/>
  <c r="CK85" i="1"/>
  <c r="CL86" i="1"/>
  <c r="CP86" i="1"/>
  <c r="CK87" i="1"/>
  <c r="CL88" i="1"/>
  <c r="CP88" i="1"/>
  <c r="CK89" i="1"/>
  <c r="CL90" i="1"/>
  <c r="CP90" i="1"/>
  <c r="CJ92" i="1"/>
  <c r="CN92" i="1"/>
  <c r="CJ94" i="1"/>
  <c r="CN94" i="1"/>
  <c r="CJ96" i="1"/>
  <c r="CN96" i="1"/>
  <c r="CJ98" i="1"/>
  <c r="CN98" i="1"/>
  <c r="CJ100" i="1"/>
  <c r="CN100" i="1"/>
  <c r="CJ102" i="1"/>
  <c r="CN102" i="1"/>
  <c r="CJ104" i="1"/>
  <c r="CN104" i="1"/>
  <c r="CJ106" i="1"/>
  <c r="CN106" i="1"/>
  <c r="CJ108" i="1"/>
  <c r="CN108" i="1"/>
  <c r="CJ110" i="1"/>
  <c r="CN110" i="1"/>
  <c r="CJ112" i="1"/>
  <c r="CN112" i="1"/>
  <c r="CJ114" i="1"/>
  <c r="CQ147" i="1"/>
  <c r="CN147" i="1"/>
  <c r="CJ147" i="1"/>
  <c r="CP147" i="1"/>
  <c r="CL92" i="1"/>
  <c r="CP92" i="1"/>
  <c r="CL94" i="1"/>
  <c r="CP94" i="1"/>
  <c r="CL96" i="1"/>
  <c r="CP96" i="1"/>
  <c r="CL98" i="1"/>
  <c r="CP98" i="1"/>
  <c r="CL100" i="1"/>
  <c r="CP100" i="1"/>
  <c r="CL102" i="1"/>
  <c r="CP102" i="1"/>
  <c r="CL104" i="1"/>
  <c r="CP104" i="1"/>
  <c r="CL106" i="1"/>
  <c r="CP106" i="1"/>
  <c r="CL108" i="1"/>
  <c r="CP108" i="1"/>
  <c r="CL110" i="1"/>
  <c r="CP110" i="1"/>
  <c r="CL112" i="1"/>
  <c r="CP112" i="1"/>
  <c r="CQ114" i="1"/>
  <c r="CP114" i="1"/>
  <c r="CL114" i="1"/>
  <c r="CL147" i="1"/>
  <c r="CL116" i="1"/>
  <c r="CP116" i="1"/>
  <c r="CL118" i="1"/>
  <c r="CP118" i="1"/>
  <c r="CL120" i="1"/>
  <c r="CP120" i="1"/>
  <c r="CL122" i="1"/>
  <c r="CP122" i="1"/>
  <c r="CL124" i="1"/>
  <c r="CP124" i="1"/>
  <c r="CL126" i="1"/>
  <c r="CP126" i="1"/>
  <c r="CL128" i="1"/>
  <c r="CP128" i="1"/>
  <c r="CL130" i="1"/>
  <c r="CP130" i="1"/>
  <c r="CL132" i="1"/>
  <c r="CP132" i="1"/>
  <c r="CL134" i="1"/>
  <c r="CP134" i="1"/>
  <c r="CL136" i="1"/>
  <c r="CP136" i="1"/>
  <c r="CL138" i="1"/>
  <c r="CP138" i="1"/>
  <c r="CL140" i="1"/>
  <c r="CP140" i="1"/>
  <c r="CL142" i="1"/>
  <c r="CP142" i="1"/>
  <c r="CL144" i="1"/>
  <c r="CP144" i="1"/>
  <c r="CJ149" i="1"/>
  <c r="CN149" i="1"/>
  <c r="CJ151" i="1"/>
  <c r="CN151" i="1"/>
  <c r="CJ153" i="1"/>
  <c r="CN153" i="1"/>
  <c r="CJ155" i="1"/>
  <c r="CN155" i="1"/>
  <c r="CJ157" i="1"/>
  <c r="CN157" i="1"/>
  <c r="CJ159" i="1"/>
  <c r="CN159" i="1"/>
  <c r="CJ161" i="1"/>
  <c r="CN161" i="1"/>
  <c r="CJ163" i="1"/>
  <c r="CN163" i="1"/>
  <c r="CJ165" i="1"/>
  <c r="CN165" i="1"/>
  <c r="CJ167" i="1"/>
  <c r="CN167" i="1"/>
  <c r="CJ169" i="1"/>
  <c r="CN169" i="1"/>
  <c r="CJ171" i="1"/>
  <c r="CN171" i="1"/>
  <c r="CJ173" i="1"/>
  <c r="CN173" i="1"/>
  <c r="CJ175" i="1"/>
  <c r="CN175" i="1"/>
  <c r="CJ177" i="1"/>
  <c r="CN177" i="1"/>
  <c r="CJ179" i="1"/>
  <c r="CN179" i="1"/>
  <c r="CJ181" i="1"/>
  <c r="CN181" i="1"/>
  <c r="CJ183" i="1"/>
  <c r="CN183" i="1"/>
  <c r="CJ185" i="1"/>
  <c r="CN185" i="1"/>
  <c r="CJ187" i="1"/>
  <c r="CN187" i="1"/>
  <c r="CJ189" i="1"/>
  <c r="CN189" i="1"/>
  <c r="CJ191" i="1"/>
  <c r="CN191" i="1"/>
  <c r="CJ193" i="1"/>
  <c r="CN193" i="1"/>
  <c r="CJ195" i="1"/>
  <c r="CN195" i="1"/>
  <c r="CJ197" i="1"/>
  <c r="CN197" i="1"/>
  <c r="CL199" i="1"/>
  <c r="CP199" i="1"/>
  <c r="CL201" i="1"/>
  <c r="CP201" i="1"/>
  <c r="CL203" i="1"/>
  <c r="CP203" i="1"/>
  <c r="CL205" i="1"/>
  <c r="CP205" i="1"/>
  <c r="CL207" i="1"/>
  <c r="CP207" i="1"/>
  <c r="CL209" i="1"/>
  <c r="CP209" i="1"/>
  <c r="CL211" i="1"/>
  <c r="CP211" i="1"/>
  <c r="CL213" i="1"/>
  <c r="CP213" i="1"/>
  <c r="CL215" i="1"/>
  <c r="CP215" i="1"/>
  <c r="CL217" i="1"/>
  <c r="CP217" i="1"/>
  <c r="CL219" i="1"/>
  <c r="CP219" i="1"/>
  <c r="CL221" i="1"/>
  <c r="CP221" i="1"/>
  <c r="CL223" i="1"/>
  <c r="CP223" i="1"/>
  <c r="CL225" i="1"/>
  <c r="CP225" i="1"/>
  <c r="CK226" i="1"/>
  <c r="CL227" i="1"/>
  <c r="CP227" i="1"/>
  <c r="CK228" i="1"/>
  <c r="CL229" i="1"/>
  <c r="CP229" i="1"/>
  <c r="CL231" i="1"/>
  <c r="CP231" i="1"/>
  <c r="CL233" i="1"/>
  <c r="CP233" i="1"/>
  <c r="CL235" i="1"/>
  <c r="CP235" i="1"/>
  <c r="CL237" i="1"/>
  <c r="CP237" i="1"/>
  <c r="CL239" i="1"/>
  <c r="CP239" i="1"/>
  <c r="CL241" i="1"/>
  <c r="CP241" i="1"/>
  <c r="CL243" i="1"/>
  <c r="CP243" i="1"/>
  <c r="CK244" i="1"/>
  <c r="CL245" i="1"/>
  <c r="CP245" i="1"/>
  <c r="CK246" i="1"/>
  <c r="CL247" i="1"/>
  <c r="CP247" i="1"/>
  <c r="CK248" i="1"/>
  <c r="CL249" i="1"/>
  <c r="CP249" i="1"/>
  <c r="CK250" i="1"/>
  <c r="CL251" i="1"/>
  <c r="CP251" i="1"/>
  <c r="CL253" i="1"/>
  <c r="CP253" i="1"/>
  <c r="CL255" i="1"/>
  <c r="CP255" i="1"/>
  <c r="CL257" i="1"/>
  <c r="CP257" i="1"/>
  <c r="CL259" i="1"/>
  <c r="CP259" i="1"/>
  <c r="CL261" i="1"/>
  <c r="CP261" i="1"/>
  <c r="CL263" i="1"/>
  <c r="CP263" i="1"/>
  <c r="CL149" i="1"/>
  <c r="CP149" i="1"/>
  <c r="CL151" i="1"/>
  <c r="CP151" i="1"/>
  <c r="CL153" i="1"/>
  <c r="CP153" i="1"/>
  <c r="CL155" i="1"/>
  <c r="CP155" i="1"/>
  <c r="CL157" i="1"/>
  <c r="CP157" i="1"/>
  <c r="CL159" i="1"/>
  <c r="CP159" i="1"/>
  <c r="CL161" i="1"/>
  <c r="CP161" i="1"/>
  <c r="CL163" i="1"/>
  <c r="CP163" i="1"/>
  <c r="CL165" i="1"/>
  <c r="CP165" i="1"/>
  <c r="CL167" i="1"/>
  <c r="CP167" i="1"/>
  <c r="CL169" i="1"/>
  <c r="CP169" i="1"/>
  <c r="CL171" i="1"/>
  <c r="CP171" i="1"/>
  <c r="CL173" i="1"/>
  <c r="CP173" i="1"/>
  <c r="CL175" i="1"/>
  <c r="CP175" i="1"/>
  <c r="CL177" i="1"/>
  <c r="CP177" i="1"/>
  <c r="CL179" i="1"/>
  <c r="CP179" i="1"/>
  <c r="CL181" i="1"/>
  <c r="CP181" i="1"/>
  <c r="CL183" i="1"/>
  <c r="CP183" i="1"/>
  <c r="CL185" i="1"/>
  <c r="CP185" i="1"/>
  <c r="CL187" i="1"/>
  <c r="CP187" i="1"/>
  <c r="CL189" i="1"/>
  <c r="CP189" i="1"/>
  <c r="CL191" i="1"/>
  <c r="CP191" i="1"/>
  <c r="CL193" i="1"/>
  <c r="CP193" i="1"/>
  <c r="CL195" i="1"/>
  <c r="CP195" i="1"/>
  <c r="CL197" i="1"/>
  <c r="CP197" i="1"/>
  <c r="CN263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4" i="1"/>
  <c r="CM64" i="1"/>
  <c r="CO64" i="1"/>
  <c r="CJ65" i="1"/>
  <c r="CL65" i="1"/>
  <c r="CN65" i="1"/>
  <c r="CQ65" i="1"/>
  <c r="CP67" i="1"/>
  <c r="CN67" i="1"/>
  <c r="CL67" i="1"/>
  <c r="CJ67" i="1"/>
  <c r="CM67" i="1"/>
  <c r="CQ67" i="1"/>
  <c r="CP69" i="1"/>
  <c r="CN69" i="1"/>
  <c r="CL69" i="1"/>
  <c r="CJ69" i="1"/>
  <c r="CM69" i="1"/>
  <c r="CQ69" i="1"/>
  <c r="CP71" i="1"/>
  <c r="CN71" i="1"/>
  <c r="CL71" i="1"/>
  <c r="CJ71" i="1"/>
  <c r="CM71" i="1"/>
  <c r="CQ71" i="1"/>
  <c r="CP73" i="1"/>
  <c r="CN73" i="1"/>
  <c r="CL73" i="1"/>
  <c r="CJ73" i="1"/>
  <c r="CM73" i="1"/>
  <c r="CQ73" i="1"/>
  <c r="CP75" i="1"/>
  <c r="CN75" i="1"/>
  <c r="CL75" i="1"/>
  <c r="CJ75" i="1"/>
  <c r="CM75" i="1"/>
  <c r="CQ75" i="1"/>
  <c r="CP77" i="1"/>
  <c r="CN77" i="1"/>
  <c r="CL77" i="1"/>
  <c r="CJ77" i="1"/>
  <c r="CM77" i="1"/>
  <c r="CQ77" i="1"/>
  <c r="CP79" i="1"/>
  <c r="CN79" i="1"/>
  <c r="CL79" i="1"/>
  <c r="CJ79" i="1"/>
  <c r="CM79" i="1"/>
  <c r="CQ79" i="1"/>
  <c r="CP81" i="1"/>
  <c r="CN81" i="1"/>
  <c r="CL81" i="1"/>
  <c r="CJ81" i="1"/>
  <c r="CM81" i="1"/>
  <c r="CQ81" i="1"/>
  <c r="CP83" i="1"/>
  <c r="CN83" i="1"/>
  <c r="CL83" i="1"/>
  <c r="CJ83" i="1"/>
  <c r="CM83" i="1"/>
  <c r="CQ83" i="1"/>
  <c r="CP85" i="1"/>
  <c r="CN85" i="1"/>
  <c r="CL85" i="1"/>
  <c r="CJ85" i="1"/>
  <c r="CM85" i="1"/>
  <c r="CQ85" i="1"/>
  <c r="CP87" i="1"/>
  <c r="CN87" i="1"/>
  <c r="CL87" i="1"/>
  <c r="CJ87" i="1"/>
  <c r="CM87" i="1"/>
  <c r="CQ87" i="1"/>
  <c r="CP89" i="1"/>
  <c r="CN89" i="1"/>
  <c r="CL89" i="1"/>
  <c r="CJ89" i="1"/>
  <c r="CM89" i="1"/>
  <c r="CQ89" i="1"/>
  <c r="CP91" i="1"/>
  <c r="CN91" i="1"/>
  <c r="CL91" i="1"/>
  <c r="CJ91" i="1"/>
  <c r="CM91" i="1"/>
  <c r="CQ91" i="1"/>
  <c r="CP93" i="1"/>
  <c r="CN93" i="1"/>
  <c r="CL93" i="1"/>
  <c r="CJ93" i="1"/>
  <c r="CM93" i="1"/>
  <c r="CQ93" i="1"/>
  <c r="CP95" i="1"/>
  <c r="CN95" i="1"/>
  <c r="CL95" i="1"/>
  <c r="CJ95" i="1"/>
  <c r="CM95" i="1"/>
  <c r="CQ95" i="1"/>
  <c r="CP97" i="1"/>
  <c r="CN97" i="1"/>
  <c r="CL97" i="1"/>
  <c r="CJ97" i="1"/>
  <c r="CQ97" i="1"/>
  <c r="CM97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5" i="1"/>
  <c r="CM65" i="1"/>
  <c r="CO65" i="1"/>
  <c r="CO91" i="1"/>
  <c r="CK93" i="1"/>
  <c r="CO93" i="1"/>
  <c r="CK95" i="1"/>
  <c r="CO95" i="1"/>
  <c r="CK97" i="1"/>
  <c r="CO97" i="1"/>
  <c r="CK99" i="1"/>
  <c r="CM99" i="1"/>
  <c r="CO99" i="1"/>
  <c r="CQ99" i="1"/>
  <c r="CK101" i="1"/>
  <c r="CM101" i="1"/>
  <c r="CO101" i="1"/>
  <c r="CQ101" i="1"/>
  <c r="CK103" i="1"/>
  <c r="CM103" i="1"/>
  <c r="CO103" i="1"/>
  <c r="CQ103" i="1"/>
  <c r="CK105" i="1"/>
  <c r="CM105" i="1"/>
  <c r="CO105" i="1"/>
  <c r="CQ105" i="1"/>
  <c r="CK107" i="1"/>
  <c r="CM107" i="1"/>
  <c r="CO107" i="1"/>
  <c r="CQ107" i="1"/>
  <c r="CK109" i="1"/>
  <c r="CM109" i="1"/>
  <c r="CO109" i="1"/>
  <c r="CQ109" i="1"/>
  <c r="CK111" i="1"/>
  <c r="CM111" i="1"/>
  <c r="CO111" i="1"/>
  <c r="CQ111" i="1"/>
  <c r="CK113" i="1"/>
  <c r="CM113" i="1"/>
  <c r="CO113" i="1"/>
  <c r="CQ113" i="1"/>
  <c r="CK115" i="1"/>
  <c r="CM115" i="1"/>
  <c r="CO115" i="1"/>
  <c r="CQ115" i="1"/>
  <c r="CK117" i="1"/>
  <c r="CM117" i="1"/>
  <c r="CO117" i="1"/>
  <c r="CQ117" i="1"/>
  <c r="CK119" i="1"/>
  <c r="CM119" i="1"/>
  <c r="CO119" i="1"/>
  <c r="CQ119" i="1"/>
  <c r="CK121" i="1"/>
  <c r="CM121" i="1"/>
  <c r="CO121" i="1"/>
  <c r="CQ121" i="1"/>
  <c r="CK123" i="1"/>
  <c r="CM123" i="1"/>
  <c r="CO123" i="1"/>
  <c r="CQ123" i="1"/>
  <c r="CK125" i="1"/>
  <c r="CM125" i="1"/>
  <c r="CO125" i="1"/>
  <c r="CQ125" i="1"/>
  <c r="CK127" i="1"/>
  <c r="CM127" i="1"/>
  <c r="CO127" i="1"/>
  <c r="CQ127" i="1"/>
  <c r="CK129" i="1"/>
  <c r="CM129" i="1"/>
  <c r="CO129" i="1"/>
  <c r="CQ129" i="1"/>
  <c r="CK131" i="1"/>
  <c r="CM131" i="1"/>
  <c r="CO131" i="1"/>
  <c r="CQ131" i="1"/>
  <c r="CK133" i="1"/>
  <c r="CM133" i="1"/>
  <c r="CO133" i="1"/>
  <c r="CQ133" i="1"/>
  <c r="CK135" i="1"/>
  <c r="CM135" i="1"/>
  <c r="CO135" i="1"/>
  <c r="CQ135" i="1"/>
  <c r="CK137" i="1"/>
  <c r="CM137" i="1"/>
  <c r="CO137" i="1"/>
  <c r="CQ137" i="1"/>
  <c r="CK139" i="1"/>
  <c r="CM139" i="1"/>
  <c r="CO139" i="1"/>
  <c r="CQ139" i="1"/>
  <c r="CK141" i="1"/>
  <c r="CM141" i="1"/>
  <c r="CO141" i="1"/>
  <c r="CQ141" i="1"/>
  <c r="CK143" i="1"/>
  <c r="CM143" i="1"/>
  <c r="CO143" i="1"/>
  <c r="CQ143" i="1"/>
  <c r="CK145" i="1"/>
  <c r="CM145" i="1"/>
  <c r="CO145" i="1"/>
  <c r="CQ145" i="1"/>
  <c r="CK66" i="1"/>
  <c r="CM66" i="1"/>
  <c r="CO66" i="1"/>
  <c r="CK68" i="1"/>
  <c r="CM68" i="1"/>
  <c r="CO68" i="1"/>
  <c r="CK70" i="1"/>
  <c r="CM70" i="1"/>
  <c r="CO70" i="1"/>
  <c r="CK72" i="1"/>
  <c r="CM72" i="1"/>
  <c r="CO72" i="1"/>
  <c r="CK74" i="1"/>
  <c r="CM74" i="1"/>
  <c r="CO74" i="1"/>
  <c r="CK76" i="1"/>
  <c r="CM76" i="1"/>
  <c r="CO76" i="1"/>
  <c r="CK78" i="1"/>
  <c r="CM78" i="1"/>
  <c r="CO78" i="1"/>
  <c r="CK80" i="1"/>
  <c r="CM80" i="1"/>
  <c r="CO80" i="1"/>
  <c r="CK82" i="1"/>
  <c r="CM82" i="1"/>
  <c r="CO82" i="1"/>
  <c r="CK84" i="1"/>
  <c r="CM84" i="1"/>
  <c r="CO84" i="1"/>
  <c r="CK86" i="1"/>
  <c r="CM86" i="1"/>
  <c r="CO86" i="1"/>
  <c r="CK88" i="1"/>
  <c r="CM88" i="1"/>
  <c r="CO88" i="1"/>
  <c r="CK90" i="1"/>
  <c r="CM90" i="1"/>
  <c r="CO90" i="1"/>
  <c r="CK92" i="1"/>
  <c r="CM92" i="1"/>
  <c r="CO92" i="1"/>
  <c r="CK94" i="1"/>
  <c r="CM94" i="1"/>
  <c r="CO94" i="1"/>
  <c r="CK96" i="1"/>
  <c r="CM96" i="1"/>
  <c r="CO96" i="1"/>
  <c r="CK98" i="1"/>
  <c r="CM98" i="1"/>
  <c r="CO98" i="1"/>
  <c r="CJ99" i="1"/>
  <c r="CL99" i="1"/>
  <c r="CN99" i="1"/>
  <c r="CK100" i="1"/>
  <c r="CM100" i="1"/>
  <c r="CO100" i="1"/>
  <c r="CJ101" i="1"/>
  <c r="CL101" i="1"/>
  <c r="CN101" i="1"/>
  <c r="CK102" i="1"/>
  <c r="CM102" i="1"/>
  <c r="CO102" i="1"/>
  <c r="CJ103" i="1"/>
  <c r="CL103" i="1"/>
  <c r="CN103" i="1"/>
  <c r="CK104" i="1"/>
  <c r="CM104" i="1"/>
  <c r="CO104" i="1"/>
  <c r="CJ105" i="1"/>
  <c r="CL105" i="1"/>
  <c r="CN105" i="1"/>
  <c r="CK106" i="1"/>
  <c r="CM106" i="1"/>
  <c r="CO106" i="1"/>
  <c r="CJ107" i="1"/>
  <c r="CL107" i="1"/>
  <c r="CN107" i="1"/>
  <c r="CK108" i="1"/>
  <c r="CM108" i="1"/>
  <c r="CO108" i="1"/>
  <c r="CJ109" i="1"/>
  <c r="CL109" i="1"/>
  <c r="CN109" i="1"/>
  <c r="CK110" i="1"/>
  <c r="CM110" i="1"/>
  <c r="CO110" i="1"/>
  <c r="CJ111" i="1"/>
  <c r="CL111" i="1"/>
  <c r="CN111" i="1"/>
  <c r="CK112" i="1"/>
  <c r="CM112" i="1"/>
  <c r="CO112" i="1"/>
  <c r="CJ113" i="1"/>
  <c r="CL113" i="1"/>
  <c r="CN113" i="1"/>
  <c r="CK114" i="1"/>
  <c r="CM114" i="1"/>
  <c r="CO114" i="1"/>
  <c r="CJ115" i="1"/>
  <c r="CL115" i="1"/>
  <c r="CN115" i="1"/>
  <c r="CK116" i="1"/>
  <c r="CM116" i="1"/>
  <c r="CO116" i="1"/>
  <c r="CJ117" i="1"/>
  <c r="CL117" i="1"/>
  <c r="CN117" i="1"/>
  <c r="CK118" i="1"/>
  <c r="CM118" i="1"/>
  <c r="CO118" i="1"/>
  <c r="CJ119" i="1"/>
  <c r="CL119" i="1"/>
  <c r="CN119" i="1"/>
  <c r="CK120" i="1"/>
  <c r="CM120" i="1"/>
  <c r="CO120" i="1"/>
  <c r="CJ121" i="1"/>
  <c r="CL121" i="1"/>
  <c r="CN121" i="1"/>
  <c r="CK122" i="1"/>
  <c r="CM122" i="1"/>
  <c r="CO122" i="1"/>
  <c r="CJ123" i="1"/>
  <c r="CL123" i="1"/>
  <c r="CN123" i="1"/>
  <c r="CK124" i="1"/>
  <c r="CM124" i="1"/>
  <c r="CO124" i="1"/>
  <c r="CJ125" i="1"/>
  <c r="CL125" i="1"/>
  <c r="CN125" i="1"/>
  <c r="CK126" i="1"/>
  <c r="CM126" i="1"/>
  <c r="CO126" i="1"/>
  <c r="CJ127" i="1"/>
  <c r="CL127" i="1"/>
  <c r="CN127" i="1"/>
  <c r="CK128" i="1"/>
  <c r="CM128" i="1"/>
  <c r="CO128" i="1"/>
  <c r="CJ129" i="1"/>
  <c r="CL129" i="1"/>
  <c r="CN129" i="1"/>
  <c r="CK130" i="1"/>
  <c r="CM130" i="1"/>
  <c r="CO130" i="1"/>
  <c r="CJ131" i="1"/>
  <c r="CL131" i="1"/>
  <c r="CN131" i="1"/>
  <c r="CK132" i="1"/>
  <c r="CM132" i="1"/>
  <c r="CO132" i="1"/>
  <c r="CJ133" i="1"/>
  <c r="CL133" i="1"/>
  <c r="CN133" i="1"/>
  <c r="CK134" i="1"/>
  <c r="CM134" i="1"/>
  <c r="CO134" i="1"/>
  <c r="CJ135" i="1"/>
  <c r="CL135" i="1"/>
  <c r="CN135" i="1"/>
  <c r="CK136" i="1"/>
  <c r="CM136" i="1"/>
  <c r="CO136" i="1"/>
  <c r="CJ137" i="1"/>
  <c r="CL137" i="1"/>
  <c r="CN137" i="1"/>
  <c r="CK138" i="1"/>
  <c r="CM138" i="1"/>
  <c r="CO138" i="1"/>
  <c r="CJ139" i="1"/>
  <c r="CL139" i="1"/>
  <c r="CN139" i="1"/>
  <c r="CK140" i="1"/>
  <c r="CM140" i="1"/>
  <c r="CO140" i="1"/>
  <c r="CJ141" i="1"/>
  <c r="CL141" i="1"/>
  <c r="CN141" i="1"/>
  <c r="CK142" i="1"/>
  <c r="CM142" i="1"/>
  <c r="CO142" i="1"/>
  <c r="CJ143" i="1"/>
  <c r="CL143" i="1"/>
  <c r="CN143" i="1"/>
  <c r="CK144" i="1"/>
  <c r="CM144" i="1"/>
  <c r="CO144" i="1"/>
  <c r="CJ145" i="1"/>
  <c r="CL145" i="1"/>
  <c r="CN145" i="1"/>
  <c r="CP146" i="1"/>
  <c r="CN146" i="1"/>
  <c r="CL146" i="1"/>
  <c r="CJ146" i="1"/>
  <c r="CM146" i="1"/>
  <c r="CQ146" i="1"/>
  <c r="CP148" i="1"/>
  <c r="CN148" i="1"/>
  <c r="CL148" i="1"/>
  <c r="CJ148" i="1"/>
  <c r="CM148" i="1"/>
  <c r="CQ148" i="1"/>
  <c r="CP150" i="1"/>
  <c r="CN150" i="1"/>
  <c r="CL150" i="1"/>
  <c r="CJ150" i="1"/>
  <c r="CM150" i="1"/>
  <c r="CQ150" i="1"/>
  <c r="CP152" i="1"/>
  <c r="CN152" i="1"/>
  <c r="CL152" i="1"/>
  <c r="CJ152" i="1"/>
  <c r="CM152" i="1"/>
  <c r="CQ152" i="1"/>
  <c r="CP154" i="1"/>
  <c r="CN154" i="1"/>
  <c r="CL154" i="1"/>
  <c r="CJ154" i="1"/>
  <c r="CM154" i="1"/>
  <c r="CQ154" i="1"/>
  <c r="CP156" i="1"/>
  <c r="CN156" i="1"/>
  <c r="CL156" i="1"/>
  <c r="CJ156" i="1"/>
  <c r="CM156" i="1"/>
  <c r="CQ156" i="1"/>
  <c r="CP158" i="1"/>
  <c r="CN158" i="1"/>
  <c r="CL158" i="1"/>
  <c r="CJ158" i="1"/>
  <c r="CM158" i="1"/>
  <c r="CQ158" i="1"/>
  <c r="CP160" i="1"/>
  <c r="CN160" i="1"/>
  <c r="CL160" i="1"/>
  <c r="CJ160" i="1"/>
  <c r="CM160" i="1"/>
  <c r="CQ160" i="1"/>
  <c r="CQ162" i="1"/>
  <c r="CP162" i="1"/>
  <c r="CN162" i="1"/>
  <c r="CL162" i="1"/>
  <c r="CJ162" i="1"/>
  <c r="CM162" i="1"/>
  <c r="CK147" i="1"/>
  <c r="CM147" i="1"/>
  <c r="CO147" i="1"/>
  <c r="CK149" i="1"/>
  <c r="CM149" i="1"/>
  <c r="CO149" i="1"/>
  <c r="CK151" i="1"/>
  <c r="CM151" i="1"/>
  <c r="CO151" i="1"/>
  <c r="CK153" i="1"/>
  <c r="CM153" i="1"/>
  <c r="CO153" i="1"/>
  <c r="CK155" i="1"/>
  <c r="CM155" i="1"/>
  <c r="CO155" i="1"/>
  <c r="CK157" i="1"/>
  <c r="CM157" i="1"/>
  <c r="CO157" i="1"/>
  <c r="CK159" i="1"/>
  <c r="CM159" i="1"/>
  <c r="CO159" i="1"/>
  <c r="CK161" i="1"/>
  <c r="CM161" i="1"/>
  <c r="CO161" i="1"/>
  <c r="CK163" i="1"/>
  <c r="CM163" i="1"/>
  <c r="CO163" i="1"/>
  <c r="CJ164" i="1"/>
  <c r="CL164" i="1"/>
  <c r="CN164" i="1"/>
  <c r="CP164" i="1"/>
  <c r="CK165" i="1"/>
  <c r="CM165" i="1"/>
  <c r="CO165" i="1"/>
  <c r="CJ166" i="1"/>
  <c r="CL166" i="1"/>
  <c r="CN166" i="1"/>
  <c r="CP166" i="1"/>
  <c r="CK167" i="1"/>
  <c r="CM167" i="1"/>
  <c r="CO167" i="1"/>
  <c r="CJ168" i="1"/>
  <c r="CL168" i="1"/>
  <c r="CN168" i="1"/>
  <c r="CP168" i="1"/>
  <c r="CK169" i="1"/>
  <c r="CM169" i="1"/>
  <c r="CO169" i="1"/>
  <c r="CJ170" i="1"/>
  <c r="CL170" i="1"/>
  <c r="CN170" i="1"/>
  <c r="CP170" i="1"/>
  <c r="CK171" i="1"/>
  <c r="CM171" i="1"/>
  <c r="CO171" i="1"/>
  <c r="CJ172" i="1"/>
  <c r="CL172" i="1"/>
  <c r="CN172" i="1"/>
  <c r="CP172" i="1"/>
  <c r="CK173" i="1"/>
  <c r="CM173" i="1"/>
  <c r="CO173" i="1"/>
  <c r="CJ174" i="1"/>
  <c r="CL174" i="1"/>
  <c r="CN174" i="1"/>
  <c r="CP174" i="1"/>
  <c r="CK175" i="1"/>
  <c r="CM175" i="1"/>
  <c r="CO175" i="1"/>
  <c r="CJ176" i="1"/>
  <c r="CL176" i="1"/>
  <c r="CN176" i="1"/>
  <c r="CP176" i="1"/>
  <c r="CK177" i="1"/>
  <c r="CM177" i="1"/>
  <c r="CO177" i="1"/>
  <c r="CJ178" i="1"/>
  <c r="CL178" i="1"/>
  <c r="CN178" i="1"/>
  <c r="CP178" i="1"/>
  <c r="CK179" i="1"/>
  <c r="CM179" i="1"/>
  <c r="CO179" i="1"/>
  <c r="CJ180" i="1"/>
  <c r="CL180" i="1"/>
  <c r="CN180" i="1"/>
  <c r="CP180" i="1"/>
  <c r="CK181" i="1"/>
  <c r="CM181" i="1"/>
  <c r="CO181" i="1"/>
  <c r="CJ182" i="1"/>
  <c r="CL182" i="1"/>
  <c r="CN182" i="1"/>
  <c r="CP182" i="1"/>
  <c r="CK183" i="1"/>
  <c r="CM183" i="1"/>
  <c r="CO183" i="1"/>
  <c r="CJ184" i="1"/>
  <c r="CL184" i="1"/>
  <c r="CN184" i="1"/>
  <c r="CQ184" i="1"/>
  <c r="CP186" i="1"/>
  <c r="CN186" i="1"/>
  <c r="CL186" i="1"/>
  <c r="CJ186" i="1"/>
  <c r="CM186" i="1"/>
  <c r="CQ186" i="1"/>
  <c r="CP188" i="1"/>
  <c r="CN188" i="1"/>
  <c r="CL188" i="1"/>
  <c r="CJ188" i="1"/>
  <c r="CM188" i="1"/>
  <c r="CQ188" i="1"/>
  <c r="CP190" i="1"/>
  <c r="CN190" i="1"/>
  <c r="CL190" i="1"/>
  <c r="CJ190" i="1"/>
  <c r="CM190" i="1"/>
  <c r="CQ190" i="1"/>
  <c r="CP192" i="1"/>
  <c r="CN192" i="1"/>
  <c r="CL192" i="1"/>
  <c r="CJ192" i="1"/>
  <c r="CM192" i="1"/>
  <c r="CQ192" i="1"/>
  <c r="CP194" i="1"/>
  <c r="CN194" i="1"/>
  <c r="CL194" i="1"/>
  <c r="CJ194" i="1"/>
  <c r="CM194" i="1"/>
  <c r="CQ194" i="1"/>
  <c r="CP196" i="1"/>
  <c r="CN196" i="1"/>
  <c r="CL196" i="1"/>
  <c r="CJ196" i="1"/>
  <c r="CM196" i="1"/>
  <c r="CQ196" i="1"/>
  <c r="CP198" i="1"/>
  <c r="CN198" i="1"/>
  <c r="CL198" i="1"/>
  <c r="CJ198" i="1"/>
  <c r="CQ198" i="1"/>
  <c r="CO198" i="1"/>
  <c r="CM198" i="1"/>
  <c r="CK164" i="1"/>
  <c r="CM164" i="1"/>
  <c r="CO164" i="1"/>
  <c r="CK166" i="1"/>
  <c r="CM166" i="1"/>
  <c r="CO166" i="1"/>
  <c r="CK168" i="1"/>
  <c r="CM168" i="1"/>
  <c r="CO168" i="1"/>
  <c r="CK170" i="1"/>
  <c r="CM170" i="1"/>
  <c r="CO170" i="1"/>
  <c r="CK172" i="1"/>
  <c r="CM172" i="1"/>
  <c r="CO172" i="1"/>
  <c r="CK174" i="1"/>
  <c r="CM174" i="1"/>
  <c r="CO174" i="1"/>
  <c r="CK176" i="1"/>
  <c r="CM176" i="1"/>
  <c r="CO176" i="1"/>
  <c r="CK178" i="1"/>
  <c r="CM178" i="1"/>
  <c r="CO178" i="1"/>
  <c r="CK180" i="1"/>
  <c r="CM180" i="1"/>
  <c r="CO180" i="1"/>
  <c r="CK182" i="1"/>
  <c r="CM182" i="1"/>
  <c r="CO182" i="1"/>
  <c r="CK184" i="1"/>
  <c r="CM184" i="1"/>
  <c r="CO184" i="1"/>
  <c r="CK200" i="1"/>
  <c r="CM200" i="1"/>
  <c r="CO200" i="1"/>
  <c r="CQ200" i="1"/>
  <c r="CK202" i="1"/>
  <c r="CM202" i="1"/>
  <c r="CO202" i="1"/>
  <c r="CQ202" i="1"/>
  <c r="CK204" i="1"/>
  <c r="CM204" i="1"/>
  <c r="CO204" i="1"/>
  <c r="CQ204" i="1"/>
  <c r="CK206" i="1"/>
  <c r="CM206" i="1"/>
  <c r="CO206" i="1"/>
  <c r="CQ206" i="1"/>
  <c r="CK208" i="1"/>
  <c r="CM208" i="1"/>
  <c r="CO208" i="1"/>
  <c r="CQ208" i="1"/>
  <c r="CK210" i="1"/>
  <c r="CM210" i="1"/>
  <c r="CO210" i="1"/>
  <c r="CQ210" i="1"/>
  <c r="CK212" i="1"/>
  <c r="CM212" i="1"/>
  <c r="CO212" i="1"/>
  <c r="CQ212" i="1"/>
  <c r="CK214" i="1"/>
  <c r="CM214" i="1"/>
  <c r="CO214" i="1"/>
  <c r="CQ214" i="1"/>
  <c r="CK216" i="1"/>
  <c r="CM216" i="1"/>
  <c r="CO216" i="1"/>
  <c r="CQ216" i="1"/>
  <c r="CK218" i="1"/>
  <c r="CM218" i="1"/>
  <c r="CO218" i="1"/>
  <c r="CQ218" i="1"/>
  <c r="CK220" i="1"/>
  <c r="CM220" i="1"/>
  <c r="CO220" i="1"/>
  <c r="CQ220" i="1"/>
  <c r="CK222" i="1"/>
  <c r="CM222" i="1"/>
  <c r="CO222" i="1"/>
  <c r="CQ222" i="1"/>
  <c r="CK224" i="1"/>
  <c r="CM224" i="1"/>
  <c r="CO224" i="1"/>
  <c r="CK230" i="1"/>
  <c r="CK232" i="1"/>
  <c r="CK185" i="1"/>
  <c r="CM185" i="1"/>
  <c r="CO185" i="1"/>
  <c r="CK187" i="1"/>
  <c r="CM187" i="1"/>
  <c r="CO187" i="1"/>
  <c r="CK189" i="1"/>
  <c r="CM189" i="1"/>
  <c r="CO189" i="1"/>
  <c r="CK191" i="1"/>
  <c r="CM191" i="1"/>
  <c r="CO191" i="1"/>
  <c r="CK193" i="1"/>
  <c r="CM193" i="1"/>
  <c r="CO193" i="1"/>
  <c r="CK195" i="1"/>
  <c r="CM195" i="1"/>
  <c r="CO195" i="1"/>
  <c r="CK197" i="1"/>
  <c r="CM197" i="1"/>
  <c r="CO197" i="1"/>
  <c r="CK199" i="1"/>
  <c r="CM199" i="1"/>
  <c r="CO199" i="1"/>
  <c r="CJ200" i="1"/>
  <c r="CL200" i="1"/>
  <c r="CN200" i="1"/>
  <c r="CK201" i="1"/>
  <c r="CM201" i="1"/>
  <c r="CO201" i="1"/>
  <c r="CJ202" i="1"/>
  <c r="CL202" i="1"/>
  <c r="CN202" i="1"/>
  <c r="CK203" i="1"/>
  <c r="CM203" i="1"/>
  <c r="CO203" i="1"/>
  <c r="CJ204" i="1"/>
  <c r="CL204" i="1"/>
  <c r="CN204" i="1"/>
  <c r="CK205" i="1"/>
  <c r="CM205" i="1"/>
  <c r="CO205" i="1"/>
  <c r="CJ206" i="1"/>
  <c r="CL206" i="1"/>
  <c r="CN206" i="1"/>
  <c r="CK207" i="1"/>
  <c r="CM207" i="1"/>
  <c r="CO207" i="1"/>
  <c r="CJ208" i="1"/>
  <c r="CL208" i="1"/>
  <c r="CN208" i="1"/>
  <c r="CK209" i="1"/>
  <c r="CM209" i="1"/>
  <c r="CO209" i="1"/>
  <c r="CJ210" i="1"/>
  <c r="CL210" i="1"/>
  <c r="CN210" i="1"/>
  <c r="CK211" i="1"/>
  <c r="CM211" i="1"/>
  <c r="CO211" i="1"/>
  <c r="CJ212" i="1"/>
  <c r="CL212" i="1"/>
  <c r="CN212" i="1"/>
  <c r="CK213" i="1"/>
  <c r="CM213" i="1"/>
  <c r="CO213" i="1"/>
  <c r="CJ214" i="1"/>
  <c r="CL214" i="1"/>
  <c r="CN214" i="1"/>
  <c r="CK215" i="1"/>
  <c r="CM215" i="1"/>
  <c r="CO215" i="1"/>
  <c r="CJ216" i="1"/>
  <c r="CL216" i="1"/>
  <c r="CN216" i="1"/>
  <c r="CK217" i="1"/>
  <c r="CM217" i="1"/>
  <c r="CO217" i="1"/>
  <c r="CJ218" i="1"/>
  <c r="CL218" i="1"/>
  <c r="CN218" i="1"/>
  <c r="CK219" i="1"/>
  <c r="CM219" i="1"/>
  <c r="CO219" i="1"/>
  <c r="CJ220" i="1"/>
  <c r="CL220" i="1"/>
  <c r="CN220" i="1"/>
  <c r="CK221" i="1"/>
  <c r="CM221" i="1"/>
  <c r="CO221" i="1"/>
  <c r="CJ222" i="1"/>
  <c r="CL222" i="1"/>
  <c r="CN222" i="1"/>
  <c r="CK223" i="1"/>
  <c r="CM223" i="1"/>
  <c r="CO223" i="1"/>
  <c r="CJ224" i="1"/>
  <c r="CL224" i="1"/>
  <c r="CN224" i="1"/>
  <c r="CQ224" i="1"/>
  <c r="CP226" i="1"/>
  <c r="CN226" i="1"/>
  <c r="CL226" i="1"/>
  <c r="CJ226" i="1"/>
  <c r="CM226" i="1"/>
  <c r="CQ226" i="1"/>
  <c r="CP228" i="1"/>
  <c r="CN228" i="1"/>
  <c r="CL228" i="1"/>
  <c r="CJ228" i="1"/>
  <c r="CM228" i="1"/>
  <c r="CQ228" i="1"/>
  <c r="CP230" i="1"/>
  <c r="CN230" i="1"/>
  <c r="CL230" i="1"/>
  <c r="CJ230" i="1"/>
  <c r="CM230" i="1"/>
  <c r="CQ230" i="1"/>
  <c r="CP232" i="1"/>
  <c r="CN232" i="1"/>
  <c r="CL232" i="1"/>
  <c r="CJ232" i="1"/>
  <c r="CM232" i="1"/>
  <c r="CQ232" i="1"/>
  <c r="CK234" i="1"/>
  <c r="CM234" i="1"/>
  <c r="CO234" i="1"/>
  <c r="CQ234" i="1"/>
  <c r="CK236" i="1"/>
  <c r="CM236" i="1"/>
  <c r="CO236" i="1"/>
  <c r="CQ236" i="1"/>
  <c r="CK238" i="1"/>
  <c r="CM238" i="1"/>
  <c r="CO238" i="1"/>
  <c r="CQ238" i="1"/>
  <c r="CK240" i="1"/>
  <c r="CM240" i="1"/>
  <c r="CO240" i="1"/>
  <c r="CQ240" i="1"/>
  <c r="CK242" i="1"/>
  <c r="CM242" i="1"/>
  <c r="CO242" i="1"/>
  <c r="CQ242" i="1"/>
  <c r="CK225" i="1"/>
  <c r="CM225" i="1"/>
  <c r="CO225" i="1"/>
  <c r="CK227" i="1"/>
  <c r="CM227" i="1"/>
  <c r="CO227" i="1"/>
  <c r="CK229" i="1"/>
  <c r="CM229" i="1"/>
  <c r="CO229" i="1"/>
  <c r="CK231" i="1"/>
  <c r="CM231" i="1"/>
  <c r="CO231" i="1"/>
  <c r="CK233" i="1"/>
  <c r="CM233" i="1"/>
  <c r="CO233" i="1"/>
  <c r="CJ234" i="1"/>
  <c r="CL234" i="1"/>
  <c r="CN234" i="1"/>
  <c r="CK235" i="1"/>
  <c r="CM235" i="1"/>
  <c r="CO235" i="1"/>
  <c r="CJ236" i="1"/>
  <c r="CL236" i="1"/>
  <c r="CN236" i="1"/>
  <c r="CK237" i="1"/>
  <c r="CM237" i="1"/>
  <c r="CO237" i="1"/>
  <c r="CJ238" i="1"/>
  <c r="CL238" i="1"/>
  <c r="CN238" i="1"/>
  <c r="CK239" i="1"/>
  <c r="CM239" i="1"/>
  <c r="CO239" i="1"/>
  <c r="CJ240" i="1"/>
  <c r="CL240" i="1"/>
  <c r="CN240" i="1"/>
  <c r="CK241" i="1"/>
  <c r="CM241" i="1"/>
  <c r="CO241" i="1"/>
  <c r="CJ242" i="1"/>
  <c r="CL242" i="1"/>
  <c r="CN242" i="1"/>
  <c r="CK243" i="1"/>
  <c r="CM243" i="1"/>
  <c r="CO243" i="1"/>
  <c r="CP244" i="1"/>
  <c r="CN244" i="1"/>
  <c r="CL244" i="1"/>
  <c r="CJ244" i="1"/>
  <c r="CM244" i="1"/>
  <c r="CQ244" i="1"/>
  <c r="CP246" i="1"/>
  <c r="CN246" i="1"/>
  <c r="CL246" i="1"/>
  <c r="CJ246" i="1"/>
  <c r="CM246" i="1"/>
  <c r="CQ246" i="1"/>
  <c r="CP248" i="1"/>
  <c r="CN248" i="1"/>
  <c r="CL248" i="1"/>
  <c r="CJ248" i="1"/>
  <c r="CM248" i="1"/>
  <c r="CQ248" i="1"/>
  <c r="CP250" i="1"/>
  <c r="CN250" i="1"/>
  <c r="CL250" i="1"/>
  <c r="CJ250" i="1"/>
  <c r="CM250" i="1"/>
  <c r="CQ250" i="1"/>
  <c r="CK245" i="1"/>
  <c r="CM245" i="1"/>
  <c r="CO245" i="1"/>
  <c r="CK247" i="1"/>
  <c r="CM247" i="1"/>
  <c r="CO247" i="1"/>
  <c r="CK249" i="1"/>
  <c r="CM249" i="1"/>
  <c r="CO249" i="1"/>
  <c r="CK251" i="1"/>
  <c r="CM251" i="1"/>
  <c r="CO251" i="1"/>
  <c r="CJ252" i="1"/>
  <c r="CL252" i="1"/>
  <c r="CN252" i="1"/>
  <c r="CP252" i="1"/>
  <c r="CK253" i="1"/>
  <c r="CM253" i="1"/>
  <c r="CO253" i="1"/>
  <c r="CJ254" i="1"/>
  <c r="CL254" i="1"/>
  <c r="CN254" i="1"/>
  <c r="CP254" i="1"/>
  <c r="CK255" i="1"/>
  <c r="CM255" i="1"/>
  <c r="CO255" i="1"/>
  <c r="CJ256" i="1"/>
  <c r="CL256" i="1"/>
  <c r="CN256" i="1"/>
  <c r="CP256" i="1"/>
  <c r="CK257" i="1"/>
  <c r="CM257" i="1"/>
  <c r="CO257" i="1"/>
  <c r="CJ258" i="1"/>
  <c r="CL258" i="1"/>
  <c r="CN258" i="1"/>
  <c r="CP258" i="1"/>
  <c r="CK259" i="1"/>
  <c r="CM259" i="1"/>
  <c r="CO259" i="1"/>
  <c r="CJ260" i="1"/>
  <c r="CL260" i="1"/>
  <c r="CN260" i="1"/>
  <c r="CP260" i="1"/>
  <c r="CK261" i="1"/>
  <c r="CM261" i="1"/>
  <c r="CO261" i="1"/>
  <c r="CJ262" i="1"/>
  <c r="CL262" i="1"/>
  <c r="CN262" i="1"/>
  <c r="CP262" i="1"/>
  <c r="CK263" i="1"/>
  <c r="CM263" i="1"/>
  <c r="CO263" i="1"/>
  <c r="CJ264" i="1"/>
  <c r="CL264" i="1"/>
  <c r="CN264" i="1"/>
  <c r="CP264" i="1"/>
  <c r="CK252" i="1"/>
  <c r="CM252" i="1"/>
  <c r="CO252" i="1"/>
  <c r="CK254" i="1"/>
  <c r="CM254" i="1"/>
  <c r="CO254" i="1"/>
  <c r="CK256" i="1"/>
  <c r="CM256" i="1"/>
  <c r="CO256" i="1"/>
  <c r="CK258" i="1"/>
  <c r="CM258" i="1"/>
  <c r="CO258" i="1"/>
  <c r="CK260" i="1"/>
  <c r="CM260" i="1"/>
  <c r="CO260" i="1"/>
  <c r="CK262" i="1"/>
  <c r="CM262" i="1"/>
  <c r="CO262" i="1"/>
  <c r="CK264" i="1"/>
  <c r="CM264" i="1"/>
  <c r="CO264" i="1"/>
  <c r="AW373" i="1" l="1"/>
  <c r="AS374" i="1" l="1"/>
  <c r="AU374" i="1"/>
  <c r="AQ374" i="1"/>
  <c r="AP374" i="1"/>
  <c r="AR374" i="1"/>
  <c r="AT374" i="1"/>
  <c r="AV374" i="1"/>
  <c r="AO374" i="1"/>
  <c r="BX348" i="1"/>
  <c r="BX352" i="1"/>
  <c r="BX350" i="1"/>
  <c r="BX353" i="1"/>
  <c r="BX351" i="1"/>
  <c r="BX349" i="1"/>
  <c r="BX323" i="1"/>
  <c r="BX322" i="1"/>
  <c r="BX321" i="1"/>
  <c r="BX320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CA371" i="1"/>
  <c r="BZ371" i="1"/>
  <c r="BY37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1" i="1"/>
  <c r="CO371" i="1" s="1"/>
  <c r="CI370" i="1"/>
  <c r="CL370" i="1" s="1"/>
  <c r="CI369" i="1"/>
  <c r="CO369" i="1" s="1"/>
  <c r="CI368" i="1"/>
  <c r="CI367" i="1"/>
  <c r="CO367" i="1" s="1"/>
  <c r="CI366" i="1"/>
  <c r="CL366" i="1" s="1"/>
  <c r="CI365" i="1"/>
  <c r="CO365" i="1" s="1"/>
  <c r="CI364" i="1"/>
  <c r="CI363" i="1"/>
  <c r="CO363" i="1" s="1"/>
  <c r="CI362" i="1"/>
  <c r="CL362" i="1" s="1"/>
  <c r="CI361" i="1"/>
  <c r="CO361" i="1" s="1"/>
  <c r="CI360" i="1"/>
  <c r="CI359" i="1"/>
  <c r="CO359" i="1" s="1"/>
  <c r="CI358" i="1"/>
  <c r="CL358" i="1" s="1"/>
  <c r="CI357" i="1"/>
  <c r="CO357" i="1" s="1"/>
  <c r="CI356" i="1"/>
  <c r="CI355" i="1"/>
  <c r="CO355" i="1" s="1"/>
  <c r="CI354" i="1"/>
  <c r="CL354" i="1" s="1"/>
  <c r="CI353" i="1"/>
  <c r="CO353" i="1" s="1"/>
  <c r="CI352" i="1"/>
  <c r="CI351" i="1"/>
  <c r="CO351" i="1" s="1"/>
  <c r="CI350" i="1"/>
  <c r="CL350" i="1" s="1"/>
  <c r="CI349" i="1"/>
  <c r="CI348" i="1"/>
  <c r="CL348" i="1" s="1"/>
  <c r="CI347" i="1"/>
  <c r="CI346" i="1"/>
  <c r="CL346" i="1" s="1"/>
  <c r="CI345" i="1"/>
  <c r="CI344" i="1"/>
  <c r="CL344" i="1" s="1"/>
  <c r="CI343" i="1"/>
  <c r="CI342" i="1"/>
  <c r="CL342" i="1" s="1"/>
  <c r="CI341" i="1"/>
  <c r="CI340" i="1"/>
  <c r="CL340" i="1" s="1"/>
  <c r="CI339" i="1"/>
  <c r="CI338" i="1"/>
  <c r="CL338" i="1" s="1"/>
  <c r="CI337" i="1"/>
  <c r="CI336" i="1"/>
  <c r="CL336" i="1" s="1"/>
  <c r="CI335" i="1"/>
  <c r="CI334" i="1"/>
  <c r="CL334" i="1" s="1"/>
  <c r="CI333" i="1"/>
  <c r="CI332" i="1"/>
  <c r="CL332" i="1" s="1"/>
  <c r="CI331" i="1"/>
  <c r="CI330" i="1"/>
  <c r="CL330" i="1" s="1"/>
  <c r="CI329" i="1"/>
  <c r="CI328" i="1"/>
  <c r="CL328" i="1" s="1"/>
  <c r="CI327" i="1"/>
  <c r="CI326" i="1"/>
  <c r="CL326" i="1" s="1"/>
  <c r="CI325" i="1"/>
  <c r="CI324" i="1"/>
  <c r="CL324" i="1" s="1"/>
  <c r="CI323" i="1"/>
  <c r="CI322" i="1"/>
  <c r="CL322" i="1" s="1"/>
  <c r="CI321" i="1"/>
  <c r="CI320" i="1"/>
  <c r="CL320" i="1" s="1"/>
  <c r="CI319" i="1"/>
  <c r="CI318" i="1"/>
  <c r="CL318" i="1" s="1"/>
  <c r="CI317" i="1"/>
  <c r="CI316" i="1"/>
  <c r="CL316" i="1" s="1"/>
  <c r="CI315" i="1"/>
  <c r="CI314" i="1"/>
  <c r="CI313" i="1"/>
  <c r="CQ313" i="1" s="1"/>
  <c r="CI312" i="1"/>
  <c r="CP312" i="1" s="1"/>
  <c r="CI311" i="1"/>
  <c r="CQ311" i="1" s="1"/>
  <c r="CI310" i="1"/>
  <c r="CP310" i="1" s="1"/>
  <c r="CI309" i="1"/>
  <c r="CQ309" i="1" s="1"/>
  <c r="CI308" i="1"/>
  <c r="CP308" i="1" s="1"/>
  <c r="CI307" i="1"/>
  <c r="CQ307" i="1" s="1"/>
  <c r="CI306" i="1"/>
  <c r="CP306" i="1" s="1"/>
  <c r="CI305" i="1"/>
  <c r="CQ305" i="1" s="1"/>
  <c r="CI304" i="1"/>
  <c r="CP304" i="1" s="1"/>
  <c r="CI303" i="1"/>
  <c r="CQ303" i="1" s="1"/>
  <c r="CI302" i="1"/>
  <c r="CP302" i="1" s="1"/>
  <c r="CI301" i="1"/>
  <c r="CQ301" i="1" s="1"/>
  <c r="CI300" i="1"/>
  <c r="CP300" i="1" s="1"/>
  <c r="CI299" i="1"/>
  <c r="CQ299" i="1" s="1"/>
  <c r="CI298" i="1"/>
  <c r="CP298" i="1" s="1"/>
  <c r="CI297" i="1"/>
  <c r="CQ297" i="1" s="1"/>
  <c r="CI296" i="1"/>
  <c r="CP296" i="1" s="1"/>
  <c r="CK351" i="1" l="1"/>
  <c r="CK367" i="1"/>
  <c r="CJ305" i="1"/>
  <c r="CJ297" i="1"/>
  <c r="CJ313" i="1"/>
  <c r="CK365" i="1"/>
  <c r="CJ301" i="1"/>
  <c r="CJ309" i="1"/>
  <c r="CJ299" i="1"/>
  <c r="CJ303" i="1"/>
  <c r="CJ307" i="1"/>
  <c r="CJ311" i="1"/>
  <c r="CK357" i="1"/>
  <c r="CK359" i="1"/>
  <c r="CN297" i="1"/>
  <c r="CN299" i="1"/>
  <c r="CN301" i="1"/>
  <c r="CN303" i="1"/>
  <c r="CN305" i="1"/>
  <c r="CN307" i="1"/>
  <c r="CN309" i="1"/>
  <c r="CN311" i="1"/>
  <c r="CN313" i="1"/>
  <c r="CK353" i="1"/>
  <c r="CK355" i="1"/>
  <c r="CK361" i="1"/>
  <c r="CK363" i="1"/>
  <c r="CK369" i="1"/>
  <c r="CK371" i="1"/>
  <c r="CQ352" i="1"/>
  <c r="CN352" i="1"/>
  <c r="CJ352" i="1"/>
  <c r="CP352" i="1"/>
  <c r="CQ356" i="1"/>
  <c r="CN356" i="1"/>
  <c r="CJ356" i="1"/>
  <c r="CP356" i="1"/>
  <c r="CQ360" i="1"/>
  <c r="CN360" i="1"/>
  <c r="CJ360" i="1"/>
  <c r="CP360" i="1"/>
  <c r="CQ364" i="1"/>
  <c r="CN364" i="1"/>
  <c r="CJ364" i="1"/>
  <c r="CP364" i="1"/>
  <c r="CQ368" i="1"/>
  <c r="CN368" i="1"/>
  <c r="CJ368" i="1"/>
  <c r="CP368" i="1"/>
  <c r="CQ316" i="1"/>
  <c r="CN316" i="1"/>
  <c r="CJ316" i="1"/>
  <c r="CP316" i="1"/>
  <c r="CQ318" i="1"/>
  <c r="CN318" i="1"/>
  <c r="CJ318" i="1"/>
  <c r="CP318" i="1"/>
  <c r="CQ320" i="1"/>
  <c r="CN320" i="1"/>
  <c r="CJ320" i="1"/>
  <c r="CP320" i="1"/>
  <c r="CQ322" i="1"/>
  <c r="CN322" i="1"/>
  <c r="CJ322" i="1"/>
  <c r="CP322" i="1"/>
  <c r="CQ324" i="1"/>
  <c r="CN324" i="1"/>
  <c r="CJ324" i="1"/>
  <c r="CP324" i="1"/>
  <c r="CQ326" i="1"/>
  <c r="CN326" i="1"/>
  <c r="CJ326" i="1"/>
  <c r="CP326" i="1"/>
  <c r="CQ328" i="1"/>
  <c r="CN328" i="1"/>
  <c r="CJ328" i="1"/>
  <c r="CP328" i="1"/>
  <c r="CQ330" i="1"/>
  <c r="CN330" i="1"/>
  <c r="CJ330" i="1"/>
  <c r="CP330" i="1"/>
  <c r="CQ332" i="1"/>
  <c r="CN332" i="1"/>
  <c r="CJ332" i="1"/>
  <c r="CP332" i="1"/>
  <c r="CQ334" i="1"/>
  <c r="CN334" i="1"/>
  <c r="CJ334" i="1"/>
  <c r="CP334" i="1"/>
  <c r="CQ336" i="1"/>
  <c r="CN336" i="1"/>
  <c r="CJ336" i="1"/>
  <c r="CP336" i="1"/>
  <c r="CQ338" i="1"/>
  <c r="CN338" i="1"/>
  <c r="CJ338" i="1"/>
  <c r="CP338" i="1"/>
  <c r="CQ340" i="1"/>
  <c r="CN340" i="1"/>
  <c r="CJ340" i="1"/>
  <c r="CP340" i="1"/>
  <c r="CQ342" i="1"/>
  <c r="CN342" i="1"/>
  <c r="CJ342" i="1"/>
  <c r="CP342" i="1"/>
  <c r="CQ344" i="1"/>
  <c r="CN344" i="1"/>
  <c r="CJ344" i="1"/>
  <c r="CP344" i="1"/>
  <c r="CQ346" i="1"/>
  <c r="CN346" i="1"/>
  <c r="CJ346" i="1"/>
  <c r="CP346" i="1"/>
  <c r="CQ348" i="1"/>
  <c r="CN348" i="1"/>
  <c r="CJ348" i="1"/>
  <c r="CP348" i="1"/>
  <c r="CQ350" i="1"/>
  <c r="CN350" i="1"/>
  <c r="CJ350" i="1"/>
  <c r="CP350" i="1"/>
  <c r="CL352" i="1"/>
  <c r="CQ354" i="1"/>
  <c r="CN354" i="1"/>
  <c r="CJ354" i="1"/>
  <c r="CP354" i="1"/>
  <c r="CL356" i="1"/>
  <c r="CQ358" i="1"/>
  <c r="CN358" i="1"/>
  <c r="CJ358" i="1"/>
  <c r="CP358" i="1"/>
  <c r="CL360" i="1"/>
  <c r="CQ362" i="1"/>
  <c r="CN362" i="1"/>
  <c r="CJ362" i="1"/>
  <c r="CP362" i="1"/>
  <c r="CL364" i="1"/>
  <c r="CQ366" i="1"/>
  <c r="CN366" i="1"/>
  <c r="CJ366" i="1"/>
  <c r="CP366" i="1"/>
  <c r="CL368" i="1"/>
  <c r="CQ370" i="1"/>
  <c r="CN370" i="1"/>
  <c r="CJ370" i="1"/>
  <c r="CP370" i="1"/>
  <c r="CL297" i="1"/>
  <c r="CP297" i="1"/>
  <c r="CL299" i="1"/>
  <c r="CP299" i="1"/>
  <c r="CL301" i="1"/>
  <c r="CP301" i="1"/>
  <c r="CL303" i="1"/>
  <c r="CP303" i="1"/>
  <c r="CL305" i="1"/>
  <c r="CP305" i="1"/>
  <c r="CL307" i="1"/>
  <c r="CP307" i="1"/>
  <c r="CL309" i="1"/>
  <c r="CP309" i="1"/>
  <c r="CL311" i="1"/>
  <c r="CP311" i="1"/>
  <c r="CL313" i="1"/>
  <c r="CP313" i="1"/>
  <c r="CK296" i="1"/>
  <c r="CM296" i="1"/>
  <c r="CO296" i="1"/>
  <c r="CQ296" i="1"/>
  <c r="CK298" i="1"/>
  <c r="CM298" i="1"/>
  <c r="CO298" i="1"/>
  <c r="CQ298" i="1"/>
  <c r="CK300" i="1"/>
  <c r="CM300" i="1"/>
  <c r="CO300" i="1"/>
  <c r="CQ300" i="1"/>
  <c r="CK302" i="1"/>
  <c r="CM302" i="1"/>
  <c r="CO302" i="1"/>
  <c r="CQ302" i="1"/>
  <c r="CK304" i="1"/>
  <c r="CM304" i="1"/>
  <c r="CO304" i="1"/>
  <c r="CQ304" i="1"/>
  <c r="CK306" i="1"/>
  <c r="CM306" i="1"/>
  <c r="CO306" i="1"/>
  <c r="CQ306" i="1"/>
  <c r="CK308" i="1"/>
  <c r="CM308" i="1"/>
  <c r="CO308" i="1"/>
  <c r="CQ308" i="1"/>
  <c r="CK310" i="1"/>
  <c r="CM310" i="1"/>
  <c r="CO310" i="1"/>
  <c r="CQ310" i="1"/>
  <c r="CK312" i="1"/>
  <c r="CM312" i="1"/>
  <c r="CO312" i="1"/>
  <c r="CQ312" i="1"/>
  <c r="CQ314" i="1"/>
  <c r="CO314" i="1"/>
  <c r="CM314" i="1"/>
  <c r="CK314" i="1"/>
  <c r="CN314" i="1"/>
  <c r="CP315" i="1"/>
  <c r="CN315" i="1"/>
  <c r="CL315" i="1"/>
  <c r="CJ315" i="1"/>
  <c r="CM315" i="1"/>
  <c r="CQ315" i="1"/>
  <c r="CP317" i="1"/>
  <c r="CN317" i="1"/>
  <c r="CL317" i="1"/>
  <c r="CJ317" i="1"/>
  <c r="CM317" i="1"/>
  <c r="CQ317" i="1"/>
  <c r="CP319" i="1"/>
  <c r="CN319" i="1"/>
  <c r="CL319" i="1"/>
  <c r="CJ319" i="1"/>
  <c r="CM319" i="1"/>
  <c r="CQ319" i="1"/>
  <c r="CP321" i="1"/>
  <c r="CN321" i="1"/>
  <c r="CL321" i="1"/>
  <c r="CJ321" i="1"/>
  <c r="CM321" i="1"/>
  <c r="CQ321" i="1"/>
  <c r="CP323" i="1"/>
  <c r="CN323" i="1"/>
  <c r="CL323" i="1"/>
  <c r="CJ323" i="1"/>
  <c r="CM323" i="1"/>
  <c r="CQ323" i="1"/>
  <c r="CP325" i="1"/>
  <c r="CN325" i="1"/>
  <c r="CL325" i="1"/>
  <c r="CJ325" i="1"/>
  <c r="CM325" i="1"/>
  <c r="CQ325" i="1"/>
  <c r="CP327" i="1"/>
  <c r="CN327" i="1"/>
  <c r="CL327" i="1"/>
  <c r="CJ327" i="1"/>
  <c r="CM327" i="1"/>
  <c r="CQ327" i="1"/>
  <c r="CP329" i="1"/>
  <c r="CN329" i="1"/>
  <c r="CL329" i="1"/>
  <c r="CJ329" i="1"/>
  <c r="CM329" i="1"/>
  <c r="CQ329" i="1"/>
  <c r="CP331" i="1"/>
  <c r="CN331" i="1"/>
  <c r="CL331" i="1"/>
  <c r="CJ331" i="1"/>
  <c r="CM331" i="1"/>
  <c r="CQ331" i="1"/>
  <c r="CP333" i="1"/>
  <c r="CN333" i="1"/>
  <c r="CL333" i="1"/>
  <c r="CJ333" i="1"/>
  <c r="CM333" i="1"/>
  <c r="CQ333" i="1"/>
  <c r="CP335" i="1"/>
  <c r="CN335" i="1"/>
  <c r="CL335" i="1"/>
  <c r="CJ335" i="1"/>
  <c r="CM335" i="1"/>
  <c r="CQ335" i="1"/>
  <c r="CP337" i="1"/>
  <c r="CN337" i="1"/>
  <c r="CL337" i="1"/>
  <c r="CJ337" i="1"/>
  <c r="CM337" i="1"/>
  <c r="CQ337" i="1"/>
  <c r="CP339" i="1"/>
  <c r="CN339" i="1"/>
  <c r="CL339" i="1"/>
  <c r="CJ339" i="1"/>
  <c r="CM339" i="1"/>
  <c r="CQ339" i="1"/>
  <c r="CP341" i="1"/>
  <c r="CN341" i="1"/>
  <c r="CL341" i="1"/>
  <c r="CJ341" i="1"/>
  <c r="CM341" i="1"/>
  <c r="CQ341" i="1"/>
  <c r="CP343" i="1"/>
  <c r="CN343" i="1"/>
  <c r="CL343" i="1"/>
  <c r="CJ343" i="1"/>
  <c r="CM343" i="1"/>
  <c r="CQ343" i="1"/>
  <c r="CP345" i="1"/>
  <c r="CN345" i="1"/>
  <c r="CL345" i="1"/>
  <c r="CJ345" i="1"/>
  <c r="CM345" i="1"/>
  <c r="CQ345" i="1"/>
  <c r="CP347" i="1"/>
  <c r="CN347" i="1"/>
  <c r="CL347" i="1"/>
  <c r="CJ347" i="1"/>
  <c r="CM347" i="1"/>
  <c r="CQ347" i="1"/>
  <c r="CP349" i="1"/>
  <c r="CN349" i="1"/>
  <c r="CL349" i="1"/>
  <c r="CJ349" i="1"/>
  <c r="CM349" i="1"/>
  <c r="CQ349" i="1"/>
  <c r="CJ296" i="1"/>
  <c r="CL296" i="1"/>
  <c r="CN296" i="1"/>
  <c r="CK297" i="1"/>
  <c r="CM297" i="1"/>
  <c r="CO297" i="1"/>
  <c r="CJ298" i="1"/>
  <c r="CL298" i="1"/>
  <c r="CN298" i="1"/>
  <c r="CK299" i="1"/>
  <c r="CM299" i="1"/>
  <c r="CO299" i="1"/>
  <c r="CJ300" i="1"/>
  <c r="CL300" i="1"/>
  <c r="CN300" i="1"/>
  <c r="CK301" i="1"/>
  <c r="CM301" i="1"/>
  <c r="CO301" i="1"/>
  <c r="CJ302" i="1"/>
  <c r="CL302" i="1"/>
  <c r="CN302" i="1"/>
  <c r="CK303" i="1"/>
  <c r="CM303" i="1"/>
  <c r="CO303" i="1"/>
  <c r="CJ304" i="1"/>
  <c r="CL304" i="1"/>
  <c r="CN304" i="1"/>
  <c r="CK305" i="1"/>
  <c r="CM305" i="1"/>
  <c r="CO305" i="1"/>
  <c r="CJ306" i="1"/>
  <c r="CL306" i="1"/>
  <c r="CN306" i="1"/>
  <c r="CK307" i="1"/>
  <c r="CM307" i="1"/>
  <c r="CO307" i="1"/>
  <c r="CJ308" i="1"/>
  <c r="CL308" i="1"/>
  <c r="CN308" i="1"/>
  <c r="CK309" i="1"/>
  <c r="CM309" i="1"/>
  <c r="CO309" i="1"/>
  <c r="CJ310" i="1"/>
  <c r="CL310" i="1"/>
  <c r="CN310" i="1"/>
  <c r="CK311" i="1"/>
  <c r="CM311" i="1"/>
  <c r="CO311" i="1"/>
  <c r="CJ312" i="1"/>
  <c r="CL312" i="1"/>
  <c r="CN312" i="1"/>
  <c r="CK313" i="1"/>
  <c r="CM313" i="1"/>
  <c r="CO313" i="1"/>
  <c r="CJ314" i="1"/>
  <c r="CL314" i="1"/>
  <c r="CP314" i="1"/>
  <c r="CK315" i="1"/>
  <c r="CO315" i="1"/>
  <c r="CK317" i="1"/>
  <c r="CO317" i="1"/>
  <c r="CK319" i="1"/>
  <c r="CO319" i="1"/>
  <c r="CK321" i="1"/>
  <c r="CO321" i="1"/>
  <c r="CK323" i="1"/>
  <c r="CO323" i="1"/>
  <c r="CK325" i="1"/>
  <c r="CO325" i="1"/>
  <c r="CK327" i="1"/>
  <c r="CO327" i="1"/>
  <c r="CK329" i="1"/>
  <c r="CO329" i="1"/>
  <c r="CK331" i="1"/>
  <c r="CO331" i="1"/>
  <c r="CK333" i="1"/>
  <c r="CO333" i="1"/>
  <c r="CK335" i="1"/>
  <c r="CO335" i="1"/>
  <c r="CK337" i="1"/>
  <c r="CO337" i="1"/>
  <c r="CK339" i="1"/>
  <c r="CO339" i="1"/>
  <c r="CK341" i="1"/>
  <c r="CO341" i="1"/>
  <c r="CK343" i="1"/>
  <c r="CO343" i="1"/>
  <c r="CK345" i="1"/>
  <c r="CO345" i="1"/>
  <c r="CK347" i="1"/>
  <c r="CO347" i="1"/>
  <c r="CK349" i="1"/>
  <c r="CO349" i="1"/>
  <c r="CK316" i="1"/>
  <c r="CM316" i="1"/>
  <c r="CO316" i="1"/>
  <c r="CK318" i="1"/>
  <c r="CM318" i="1"/>
  <c r="CO318" i="1"/>
  <c r="CK320" i="1"/>
  <c r="CM320" i="1"/>
  <c r="CO320" i="1"/>
  <c r="CK322" i="1"/>
  <c r="CM322" i="1"/>
  <c r="CO322" i="1"/>
  <c r="CK324" i="1"/>
  <c r="CM324" i="1"/>
  <c r="CO324" i="1"/>
  <c r="CK326" i="1"/>
  <c r="CM326" i="1"/>
  <c r="CO326" i="1"/>
  <c r="CK328" i="1"/>
  <c r="CM328" i="1"/>
  <c r="CO328" i="1"/>
  <c r="CK330" i="1"/>
  <c r="CM330" i="1"/>
  <c r="CO330" i="1"/>
  <c r="CK332" i="1"/>
  <c r="CM332" i="1"/>
  <c r="CO332" i="1"/>
  <c r="CK334" i="1"/>
  <c r="CM334" i="1"/>
  <c r="CO334" i="1"/>
  <c r="CK336" i="1"/>
  <c r="CM336" i="1"/>
  <c r="CO336" i="1"/>
  <c r="CK338" i="1"/>
  <c r="CM338" i="1"/>
  <c r="CO338" i="1"/>
  <c r="CK340" i="1"/>
  <c r="CM340" i="1"/>
  <c r="CO340" i="1"/>
  <c r="CK342" i="1"/>
  <c r="CM342" i="1"/>
  <c r="CO342" i="1"/>
  <c r="CK344" i="1"/>
  <c r="CM344" i="1"/>
  <c r="CO344" i="1"/>
  <c r="CK346" i="1"/>
  <c r="CM346" i="1"/>
  <c r="CO346" i="1"/>
  <c r="CK348" i="1"/>
  <c r="CM348" i="1"/>
  <c r="CO348" i="1"/>
  <c r="CK350" i="1"/>
  <c r="CM350" i="1"/>
  <c r="CO350" i="1"/>
  <c r="CP351" i="1"/>
  <c r="CN351" i="1"/>
  <c r="CL351" i="1"/>
  <c r="CJ351" i="1"/>
  <c r="CM351" i="1"/>
  <c r="CQ351" i="1"/>
  <c r="CP353" i="1"/>
  <c r="CN353" i="1"/>
  <c r="CL353" i="1"/>
  <c r="CJ353" i="1"/>
  <c r="CM353" i="1"/>
  <c r="CQ353" i="1"/>
  <c r="CP355" i="1"/>
  <c r="CN355" i="1"/>
  <c r="CL355" i="1"/>
  <c r="CJ355" i="1"/>
  <c r="CM355" i="1"/>
  <c r="CQ355" i="1"/>
  <c r="CP357" i="1"/>
  <c r="CN357" i="1"/>
  <c r="CL357" i="1"/>
  <c r="CJ357" i="1"/>
  <c r="CM357" i="1"/>
  <c r="CQ357" i="1"/>
  <c r="CP359" i="1"/>
  <c r="CN359" i="1"/>
  <c r="CL359" i="1"/>
  <c r="CJ359" i="1"/>
  <c r="CM359" i="1"/>
  <c r="CQ359" i="1"/>
  <c r="CP361" i="1"/>
  <c r="CN361" i="1"/>
  <c r="CL361" i="1"/>
  <c r="CJ361" i="1"/>
  <c r="CM361" i="1"/>
  <c r="CQ361" i="1"/>
  <c r="CP363" i="1"/>
  <c r="CN363" i="1"/>
  <c r="CL363" i="1"/>
  <c r="CJ363" i="1"/>
  <c r="CM363" i="1"/>
  <c r="CQ363" i="1"/>
  <c r="CP365" i="1"/>
  <c r="CN365" i="1"/>
  <c r="CL365" i="1"/>
  <c r="CJ365" i="1"/>
  <c r="CM365" i="1"/>
  <c r="CQ365" i="1"/>
  <c r="CP367" i="1"/>
  <c r="CN367" i="1"/>
  <c r="CL367" i="1"/>
  <c r="CJ367" i="1"/>
  <c r="CM367" i="1"/>
  <c r="CQ367" i="1"/>
  <c r="CP369" i="1"/>
  <c r="CN369" i="1"/>
  <c r="CL369" i="1"/>
  <c r="CJ369" i="1"/>
  <c r="CM369" i="1"/>
  <c r="CQ369" i="1"/>
  <c r="CQ371" i="1"/>
  <c r="CP371" i="1"/>
  <c r="CN371" i="1"/>
  <c r="CL371" i="1"/>
  <c r="CJ371" i="1"/>
  <c r="CM371" i="1"/>
  <c r="CK352" i="1"/>
  <c r="CM352" i="1"/>
  <c r="CO352" i="1"/>
  <c r="CK354" i="1"/>
  <c r="CM354" i="1"/>
  <c r="CO354" i="1"/>
  <c r="CK356" i="1"/>
  <c r="CM356" i="1"/>
  <c r="CO356" i="1"/>
  <c r="CK358" i="1"/>
  <c r="CM358" i="1"/>
  <c r="CO358" i="1"/>
  <c r="CK360" i="1"/>
  <c r="CM360" i="1"/>
  <c r="CO360" i="1"/>
  <c r="CK362" i="1"/>
  <c r="CM362" i="1"/>
  <c r="CO362" i="1"/>
  <c r="CK364" i="1"/>
  <c r="CM364" i="1"/>
  <c r="CO364" i="1"/>
  <c r="CK366" i="1"/>
  <c r="CM366" i="1"/>
  <c r="CO366" i="1"/>
  <c r="CK368" i="1"/>
  <c r="CM368" i="1"/>
  <c r="CO368" i="1"/>
  <c r="CK370" i="1"/>
  <c r="CM370" i="1"/>
  <c r="CO370" i="1"/>
  <c r="BX131" i="1"/>
  <c r="BX130" i="1"/>
  <c r="BX129" i="1"/>
  <c r="BX128" i="1"/>
  <c r="BX127" i="1"/>
  <c r="BX123" i="1"/>
  <c r="BX122" i="1"/>
  <c r="BX121" i="1"/>
  <c r="BX120" i="1"/>
  <c r="BX119" i="1"/>
  <c r="BX118" i="1"/>
  <c r="BX117" i="1"/>
  <c r="BX116" i="1"/>
  <c r="BX115" i="1"/>
  <c r="BX114" i="1"/>
  <c r="BX113" i="1"/>
  <c r="BX357" i="1" l="1"/>
  <c r="BX356" i="1"/>
  <c r="BX355" i="1"/>
  <c r="BX354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I371" i="1"/>
  <c r="BJ371" i="1" s="1"/>
  <c r="BH371" i="1"/>
  <c r="BG371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K297" i="1" l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7" i="1"/>
  <c r="CG307" i="1" s="1"/>
  <c r="CF307" i="1"/>
  <c r="BK309" i="1"/>
  <c r="CG309" i="1" s="1"/>
  <c r="CF309" i="1"/>
  <c r="BK311" i="1"/>
  <c r="CG311" i="1" s="1"/>
  <c r="CF311" i="1"/>
  <c r="BK313" i="1"/>
  <c r="CG313" i="1" s="1"/>
  <c r="CF313" i="1"/>
  <c r="BK315" i="1"/>
  <c r="CG315" i="1" s="1"/>
  <c r="CF315" i="1"/>
  <c r="BK317" i="1"/>
  <c r="CG317" i="1" s="1"/>
  <c r="CF317" i="1"/>
  <c r="BK319" i="1"/>
  <c r="CG319" i="1" s="1"/>
  <c r="CF319" i="1"/>
  <c r="BK321" i="1"/>
  <c r="CG321" i="1" s="1"/>
  <c r="CF321" i="1"/>
  <c r="BK323" i="1"/>
  <c r="CG323" i="1" s="1"/>
  <c r="CF323" i="1"/>
  <c r="BK325" i="1"/>
  <c r="CG325" i="1" s="1"/>
  <c r="CF325" i="1"/>
  <c r="BK327" i="1"/>
  <c r="CG327" i="1" s="1"/>
  <c r="CF327" i="1"/>
  <c r="BK329" i="1"/>
  <c r="CG329" i="1" s="1"/>
  <c r="CF329" i="1"/>
  <c r="BK331" i="1"/>
  <c r="CG331" i="1" s="1"/>
  <c r="CF331" i="1"/>
  <c r="BK333" i="1"/>
  <c r="CG333" i="1" s="1"/>
  <c r="CF333" i="1"/>
  <c r="BK335" i="1"/>
  <c r="CG335" i="1" s="1"/>
  <c r="CF335" i="1"/>
  <c r="BK337" i="1"/>
  <c r="CG337" i="1" s="1"/>
  <c r="CF337" i="1"/>
  <c r="BK339" i="1"/>
  <c r="CG339" i="1" s="1"/>
  <c r="CF339" i="1"/>
  <c r="BK341" i="1"/>
  <c r="CG341" i="1" s="1"/>
  <c r="CF341" i="1"/>
  <c r="BK343" i="1"/>
  <c r="CG343" i="1" s="1"/>
  <c r="CF343" i="1"/>
  <c r="BK345" i="1"/>
  <c r="CG345" i="1" s="1"/>
  <c r="CF345" i="1"/>
  <c r="BK347" i="1"/>
  <c r="CG347" i="1" s="1"/>
  <c r="CF347" i="1"/>
  <c r="BK349" i="1"/>
  <c r="CG349" i="1" s="1"/>
  <c r="CF349" i="1"/>
  <c r="BK351" i="1"/>
  <c r="CG351" i="1" s="1"/>
  <c r="CF351" i="1"/>
  <c r="BK353" i="1"/>
  <c r="CG353" i="1" s="1"/>
  <c r="CF353" i="1"/>
  <c r="BK355" i="1"/>
  <c r="CG355" i="1" s="1"/>
  <c r="CF355" i="1"/>
  <c r="BK357" i="1"/>
  <c r="CG357" i="1" s="1"/>
  <c r="CF357" i="1"/>
  <c r="BK359" i="1"/>
  <c r="CG359" i="1" s="1"/>
  <c r="CF359" i="1"/>
  <c r="BK361" i="1"/>
  <c r="CG361" i="1" s="1"/>
  <c r="CF361" i="1"/>
  <c r="BK363" i="1"/>
  <c r="CG363" i="1" s="1"/>
  <c r="CF363" i="1"/>
  <c r="BK365" i="1"/>
  <c r="CG365" i="1" s="1"/>
  <c r="CF365" i="1"/>
  <c r="BK367" i="1"/>
  <c r="CG367" i="1" s="1"/>
  <c r="CF367" i="1"/>
  <c r="BK369" i="1"/>
  <c r="CG369" i="1" s="1"/>
  <c r="CF369" i="1"/>
  <c r="BK371" i="1"/>
  <c r="CG371" i="1" s="1"/>
  <c r="CF371" i="1"/>
  <c r="BK296" i="1"/>
  <c r="CG296" i="1" s="1"/>
  <c r="CF296" i="1"/>
  <c r="BK298" i="1"/>
  <c r="CG298" i="1" s="1"/>
  <c r="CF298" i="1"/>
  <c r="BK300" i="1"/>
  <c r="CG300" i="1" s="1"/>
  <c r="CF300" i="1"/>
  <c r="BK302" i="1"/>
  <c r="CG302" i="1" s="1"/>
  <c r="CF302" i="1"/>
  <c r="BK304" i="1"/>
  <c r="CG304" i="1" s="1"/>
  <c r="CF304" i="1"/>
  <c r="BK306" i="1"/>
  <c r="CG306" i="1" s="1"/>
  <c r="CF306" i="1"/>
  <c r="BK308" i="1"/>
  <c r="CG308" i="1" s="1"/>
  <c r="CF308" i="1"/>
  <c r="BK310" i="1"/>
  <c r="CG310" i="1" s="1"/>
  <c r="CF310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K340" i="1"/>
  <c r="CG340" i="1" s="1"/>
  <c r="CF340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CD66" i="1"/>
  <c r="CC66" i="1"/>
  <c r="CB66" i="1"/>
  <c r="BV66" i="1"/>
  <c r="BU66" i="1"/>
  <c r="BT66" i="1"/>
  <c r="BQ66" i="1"/>
  <c r="CT66" i="1" s="1"/>
  <c r="BP66" i="1"/>
  <c r="CS66" i="1" s="1"/>
  <c r="BO66" i="1"/>
  <c r="BN66" i="1"/>
  <c r="BM66" i="1"/>
  <c r="BI66" i="1"/>
  <c r="BS66" i="1" s="1"/>
  <c r="BH66" i="1"/>
  <c r="BR66" i="1" s="1"/>
  <c r="BG66" i="1"/>
  <c r="BX66" i="1"/>
  <c r="CD65" i="1"/>
  <c r="CC65" i="1"/>
  <c r="CB65" i="1"/>
  <c r="BV65" i="1"/>
  <c r="BU65" i="1"/>
  <c r="BT65" i="1"/>
  <c r="BQ65" i="1"/>
  <c r="CT65" i="1" s="1"/>
  <c r="BP65" i="1"/>
  <c r="CS65" i="1" s="1"/>
  <c r="BO65" i="1"/>
  <c r="BN65" i="1"/>
  <c r="BM65" i="1"/>
  <c r="BI65" i="1"/>
  <c r="BJ65" i="1" s="1"/>
  <c r="BH65" i="1"/>
  <c r="BR65" i="1" s="1"/>
  <c r="BG65" i="1"/>
  <c r="BX65" i="1"/>
  <c r="CD64" i="1"/>
  <c r="CC64" i="1"/>
  <c r="CB64" i="1"/>
  <c r="BV64" i="1"/>
  <c r="BU64" i="1"/>
  <c r="BT64" i="1"/>
  <c r="BQ64" i="1"/>
  <c r="CT64" i="1" s="1"/>
  <c r="BP64" i="1"/>
  <c r="CS64" i="1" s="1"/>
  <c r="BO64" i="1"/>
  <c r="BN64" i="1"/>
  <c r="BM64" i="1"/>
  <c r="BI64" i="1"/>
  <c r="BS64" i="1" s="1"/>
  <c r="BH64" i="1"/>
  <c r="BR64" i="1" s="1"/>
  <c r="BG64" i="1"/>
  <c r="BX64" i="1"/>
  <c r="BK65" i="1" l="1"/>
  <c r="CG65" i="1" s="1"/>
  <c r="CF65" i="1"/>
  <c r="BJ66" i="1"/>
  <c r="BJ64" i="1"/>
  <c r="BS65" i="1"/>
  <c r="BK64" i="1" l="1"/>
  <c r="CG64" i="1" s="1"/>
  <c r="CF64" i="1"/>
  <c r="BK66" i="1"/>
  <c r="CG66" i="1" s="1"/>
  <c r="CF66" i="1"/>
  <c r="BX319" i="1"/>
  <c r="CI295" i="1" l="1"/>
  <c r="CO295" i="1" s="1"/>
  <c r="BI295" i="1"/>
  <c r="BJ295" i="1" s="1"/>
  <c r="BH295" i="1"/>
  <c r="BG295" i="1"/>
  <c r="BK295" i="1" l="1"/>
  <c r="CG295" i="1" s="1"/>
  <c r="CF295" i="1"/>
  <c r="CL295" i="1"/>
  <c r="CP295" i="1"/>
  <c r="CM295" i="1"/>
  <c r="CQ295" i="1"/>
  <c r="CJ295" i="1"/>
  <c r="CN295" i="1"/>
  <c r="CK295" i="1"/>
  <c r="BX126" i="1" l="1"/>
  <c r="BX125" i="1"/>
  <c r="BX124" i="1"/>
  <c r="BR371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H294" i="1" l="1"/>
  <c r="BR294" i="1" s="1"/>
  <c r="BH293" i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4" i="1"/>
  <c r="BG294" i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1" i="1" l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47" i="1"/>
  <c r="BX346" i="1"/>
  <c r="BX345" i="1"/>
  <c r="BX344" i="1"/>
  <c r="BX343" i="1"/>
  <c r="BX342" i="1"/>
  <c r="BX341" i="1"/>
  <c r="BX340" i="1"/>
  <c r="BX339" i="1"/>
  <c r="BX338" i="1"/>
  <c r="BX337" i="1"/>
  <c r="BX318" i="1"/>
  <c r="BX112" i="1" l="1"/>
  <c r="BX111" i="1"/>
  <c r="CC371" i="1" l="1"/>
  <c r="CB371" i="1"/>
  <c r="CC370" i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V40" i="1"/>
  <c r="BU40" i="1"/>
  <c r="BT40" i="1"/>
  <c r="BQ40" i="1"/>
  <c r="CT40" i="1" s="1"/>
  <c r="BP40" i="1"/>
  <c r="CS40" i="1" s="1"/>
  <c r="BO40" i="1"/>
  <c r="BN40" i="1"/>
  <c r="BM40" i="1"/>
  <c r="BS40" i="1"/>
  <c r="BX40" i="1"/>
  <c r="BJ40" i="1" l="1"/>
  <c r="BM1" i="1"/>
  <c r="BK40" i="1" l="1"/>
  <c r="CG40" i="1" s="1"/>
  <c r="CF40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K281" i="1" l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K280" i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94" i="1"/>
  <c r="CG294" i="1" s="1"/>
  <c r="CF294" i="1"/>
  <c r="CI294" i="1"/>
  <c r="CQ294" i="1" s="1"/>
  <c r="CI293" i="1"/>
  <c r="CO293" i="1" s="1"/>
  <c r="CI292" i="1"/>
  <c r="CN292" i="1" s="1"/>
  <c r="CI291" i="1"/>
  <c r="CQ291" i="1" s="1"/>
  <c r="CI290" i="1"/>
  <c r="CJ290" i="1" s="1"/>
  <c r="CI289" i="1"/>
  <c r="CI288" i="1"/>
  <c r="CN288" i="1" s="1"/>
  <c r="CI287" i="1"/>
  <c r="CQ287" i="1" s="1"/>
  <c r="CI286" i="1"/>
  <c r="CM286" i="1" s="1"/>
  <c r="CI285" i="1"/>
  <c r="CQ285" i="1" s="1"/>
  <c r="CI284" i="1"/>
  <c r="CP284" i="1" s="1"/>
  <c r="CI283" i="1"/>
  <c r="CI282" i="1"/>
  <c r="CQ282" i="1" s="1"/>
  <c r="CI281" i="1"/>
  <c r="CP281" i="1" s="1"/>
  <c r="CI280" i="1"/>
  <c r="CN280" i="1" s="1"/>
  <c r="CI279" i="1"/>
  <c r="CQ279" i="1" s="1"/>
  <c r="CI278" i="1"/>
  <c r="CM278" i="1" s="1"/>
  <c r="CI277" i="1"/>
  <c r="CQ277" i="1" s="1"/>
  <c r="CI276" i="1"/>
  <c r="CI275" i="1"/>
  <c r="CI274" i="1"/>
  <c r="CI273" i="1"/>
  <c r="CP273" i="1" s="1"/>
  <c r="CI272" i="1"/>
  <c r="CN272" i="1" s="1"/>
  <c r="CI271" i="1"/>
  <c r="CL271" i="1" s="1"/>
  <c r="CI270" i="1"/>
  <c r="CN270" i="1" s="1"/>
  <c r="CI269" i="1"/>
  <c r="CP269" i="1" s="1"/>
  <c r="CI268" i="1"/>
  <c r="CO268" i="1" s="1"/>
  <c r="CI267" i="1"/>
  <c r="CL267" i="1" s="1"/>
  <c r="CI266" i="1"/>
  <c r="CM266" i="1" s="1"/>
  <c r="CI265" i="1"/>
  <c r="CP265" i="1" s="1"/>
  <c r="CN265" i="1" l="1"/>
  <c r="CJ266" i="1"/>
  <c r="CK269" i="1"/>
  <c r="CL277" i="1"/>
  <c r="CO280" i="1"/>
  <c r="CN282" i="1"/>
  <c r="CN281" i="1"/>
  <c r="CJ294" i="1"/>
  <c r="CO266" i="1"/>
  <c r="CJ270" i="1"/>
  <c r="CK272" i="1"/>
  <c r="CK273" i="1"/>
  <c r="CO277" i="1"/>
  <c r="CJ285" i="1"/>
  <c r="CK288" i="1"/>
  <c r="CQ290" i="1"/>
  <c r="CK292" i="1"/>
  <c r="CL272" i="1"/>
  <c r="CL285" i="1"/>
  <c r="CO288" i="1"/>
  <c r="CO292" i="1"/>
  <c r="CQ271" i="1"/>
  <c r="CO272" i="1"/>
  <c r="CJ277" i="1"/>
  <c r="CK280" i="1"/>
  <c r="CO285" i="1"/>
  <c r="CL287" i="1"/>
  <c r="CN276" i="1"/>
  <c r="CK276" i="1"/>
  <c r="CO276" i="1"/>
  <c r="CL283" i="1"/>
  <c r="CP283" i="1"/>
  <c r="CQ289" i="1"/>
  <c r="CL289" i="1"/>
  <c r="CO289" i="1"/>
  <c r="CJ289" i="1"/>
  <c r="CM267" i="1"/>
  <c r="CQ267" i="1"/>
  <c r="CJ267" i="1"/>
  <c r="CQ269" i="1"/>
  <c r="CL269" i="1"/>
  <c r="CO269" i="1"/>
  <c r="CJ269" i="1"/>
  <c r="CQ273" i="1"/>
  <c r="CO273" i="1"/>
  <c r="CJ273" i="1"/>
  <c r="CL273" i="1"/>
  <c r="CL276" i="1"/>
  <c r="CM283" i="1"/>
  <c r="CN286" i="1"/>
  <c r="CJ286" i="1"/>
  <c r="CK289" i="1"/>
  <c r="CQ265" i="1"/>
  <c r="CL265" i="1"/>
  <c r="CO265" i="1"/>
  <c r="CJ265" i="1"/>
  <c r="CL275" i="1"/>
  <c r="CP275" i="1"/>
  <c r="CP276" i="1"/>
  <c r="CQ281" i="1"/>
  <c r="CL281" i="1"/>
  <c r="CO281" i="1"/>
  <c r="CJ281" i="1"/>
  <c r="CN284" i="1"/>
  <c r="CK284" i="1"/>
  <c r="CO284" i="1"/>
  <c r="CN289" i="1"/>
  <c r="CQ293" i="1"/>
  <c r="CN293" i="1"/>
  <c r="CJ293" i="1"/>
  <c r="CK265" i="1"/>
  <c r="CP267" i="1"/>
  <c r="CN269" i="1"/>
  <c r="CN273" i="1"/>
  <c r="CM275" i="1"/>
  <c r="CN278" i="1"/>
  <c r="CJ278" i="1"/>
  <c r="CK281" i="1"/>
  <c r="CL284" i="1"/>
  <c r="CK293" i="1"/>
  <c r="CK266" i="1"/>
  <c r="CM270" i="1"/>
  <c r="CP272" i="1"/>
  <c r="CK277" i="1"/>
  <c r="CP277" i="1"/>
  <c r="CL280" i="1"/>
  <c r="CK285" i="1"/>
  <c r="CP285" i="1"/>
  <c r="CL288" i="1"/>
  <c r="CL292" i="1"/>
  <c r="CQ266" i="1"/>
  <c r="CN277" i="1"/>
  <c r="CP280" i="1"/>
  <c r="CN285" i="1"/>
  <c r="CP288" i="1"/>
  <c r="CP292" i="1"/>
  <c r="CP274" i="1"/>
  <c r="CL274" i="1"/>
  <c r="CO274" i="1"/>
  <c r="CK274" i="1"/>
  <c r="CM274" i="1"/>
  <c r="CJ274" i="1"/>
  <c r="CN274" i="1"/>
  <c r="CN268" i="1"/>
  <c r="CJ268" i="1"/>
  <c r="CQ268" i="1"/>
  <c r="CL268" i="1"/>
  <c r="CP268" i="1"/>
  <c r="CK268" i="1"/>
  <c r="CM268" i="1"/>
  <c r="CQ274" i="1"/>
  <c r="CO279" i="1"/>
  <c r="CK279" i="1"/>
  <c r="CN279" i="1"/>
  <c r="CJ279" i="1"/>
  <c r="CP279" i="1"/>
  <c r="CM279" i="1"/>
  <c r="CL279" i="1"/>
  <c r="CO291" i="1"/>
  <c r="CK291" i="1"/>
  <c r="CN291" i="1"/>
  <c r="CJ291" i="1"/>
  <c r="CM291" i="1"/>
  <c r="CL291" i="1"/>
  <c r="CP291" i="1"/>
  <c r="CO271" i="1"/>
  <c r="CK271" i="1"/>
  <c r="CN271" i="1"/>
  <c r="CJ271" i="1"/>
  <c r="CP271" i="1"/>
  <c r="CM271" i="1"/>
  <c r="CP282" i="1"/>
  <c r="CL282" i="1"/>
  <c r="CO282" i="1"/>
  <c r="CK282" i="1"/>
  <c r="CM282" i="1"/>
  <c r="CJ282" i="1"/>
  <c r="CP290" i="1"/>
  <c r="CL290" i="1"/>
  <c r="CO290" i="1"/>
  <c r="CK290" i="1"/>
  <c r="CN290" i="1"/>
  <c r="CM290" i="1"/>
  <c r="CP294" i="1"/>
  <c r="CL294" i="1"/>
  <c r="CO294" i="1"/>
  <c r="CK294" i="1"/>
  <c r="CN294" i="1"/>
  <c r="CM294" i="1"/>
  <c r="CO287" i="1"/>
  <c r="CK287" i="1"/>
  <c r="CN287" i="1"/>
  <c r="CJ287" i="1"/>
  <c r="CP287" i="1"/>
  <c r="CM287" i="1"/>
  <c r="CO267" i="1"/>
  <c r="CK267" i="1"/>
  <c r="CN267" i="1"/>
  <c r="CO275" i="1"/>
  <c r="CK275" i="1"/>
  <c r="CN275" i="1"/>
  <c r="CJ275" i="1"/>
  <c r="CQ275" i="1"/>
  <c r="CO283" i="1"/>
  <c r="CK283" i="1"/>
  <c r="CN283" i="1"/>
  <c r="CJ283" i="1"/>
  <c r="CQ283" i="1"/>
  <c r="CP266" i="1"/>
  <c r="CL266" i="1"/>
  <c r="CN266" i="1"/>
  <c r="CP270" i="1"/>
  <c r="CL270" i="1"/>
  <c r="CO270" i="1"/>
  <c r="CK270" i="1"/>
  <c r="CQ270" i="1"/>
  <c r="CP278" i="1"/>
  <c r="CL278" i="1"/>
  <c r="CO278" i="1"/>
  <c r="CK278" i="1"/>
  <c r="CQ278" i="1"/>
  <c r="CP286" i="1"/>
  <c r="CL286" i="1"/>
  <c r="CO286" i="1"/>
  <c r="CK286" i="1"/>
  <c r="CQ286" i="1"/>
  <c r="CM272" i="1"/>
  <c r="CQ272" i="1"/>
  <c r="CM276" i="1"/>
  <c r="CQ276" i="1"/>
  <c r="CM280" i="1"/>
  <c r="CQ280" i="1"/>
  <c r="CM284" i="1"/>
  <c r="CQ284" i="1"/>
  <c r="CM288" i="1"/>
  <c r="CQ288" i="1"/>
  <c r="CP289" i="1"/>
  <c r="CM292" i="1"/>
  <c r="CQ292" i="1"/>
  <c r="CL293" i="1"/>
  <c r="CP293" i="1"/>
  <c r="CM265" i="1"/>
  <c r="CM269" i="1"/>
  <c r="CJ272" i="1"/>
  <c r="CM273" i="1"/>
  <c r="CJ276" i="1"/>
  <c r="CM277" i="1"/>
  <c r="CJ280" i="1"/>
  <c r="CM281" i="1"/>
  <c r="CJ284" i="1"/>
  <c r="CM285" i="1"/>
  <c r="CJ288" i="1"/>
  <c r="CM289" i="1"/>
  <c r="CJ292" i="1"/>
  <c r="CM293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K161" i="1" l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BK279" i="1"/>
  <c r="CG279" i="1" s="1"/>
  <c r="CF279" i="1"/>
  <c r="BK162" i="1"/>
  <c r="CG162" i="1" s="1"/>
  <c r="CF162" i="1"/>
  <c r="BK164" i="1"/>
  <c r="CG164" i="1" s="1"/>
  <c r="CF164" i="1"/>
  <c r="BK166" i="1"/>
  <c r="CG166" i="1" s="1"/>
  <c r="CF166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CP374" i="1"/>
  <c r="CK374" i="1"/>
  <c r="CO374" i="1"/>
  <c r="CQ374" i="1"/>
  <c r="CN374" i="1"/>
  <c r="CM374" i="1"/>
  <c r="CJ374" i="1"/>
  <c r="CL374" i="1"/>
  <c r="BI402" i="1"/>
  <c r="BG402" i="1"/>
  <c r="BF402" i="1"/>
  <c r="BE402" i="1"/>
  <c r="BC402" i="1"/>
  <c r="BB402" i="1"/>
  <c r="BA402" i="1"/>
  <c r="AX402" i="1"/>
  <c r="AF402" i="1"/>
  <c r="U402" i="1"/>
  <c r="N402" i="1"/>
  <c r="M402" i="1"/>
  <c r="G402" i="1"/>
  <c r="BI401" i="1"/>
  <c r="BG401" i="1"/>
  <c r="BF401" i="1"/>
  <c r="BE401" i="1"/>
  <c r="BC401" i="1"/>
  <c r="BB401" i="1"/>
  <c r="BA401" i="1"/>
  <c r="AX401" i="1"/>
  <c r="AF401" i="1"/>
  <c r="U401" i="1"/>
  <c r="N401" i="1"/>
  <c r="M401" i="1"/>
  <c r="G401" i="1"/>
  <c r="BI400" i="1"/>
  <c r="BG400" i="1"/>
  <c r="BF400" i="1"/>
  <c r="BE400" i="1"/>
  <c r="BB400" i="1"/>
  <c r="BA400" i="1"/>
  <c r="AX400" i="1"/>
  <c r="AF400" i="1"/>
  <c r="U400" i="1"/>
  <c r="N400" i="1"/>
  <c r="M400" i="1"/>
  <c r="G400" i="1"/>
  <c r="BI399" i="1"/>
  <c r="BG399" i="1"/>
  <c r="AY399" i="1"/>
  <c r="BF399" i="1"/>
  <c r="BE399" i="1"/>
  <c r="BB399" i="1"/>
  <c r="BA399" i="1"/>
  <c r="AX399" i="1"/>
  <c r="AF399" i="1"/>
  <c r="U399" i="1"/>
  <c r="N399" i="1"/>
  <c r="M399" i="1"/>
  <c r="G399" i="1"/>
  <c r="BI398" i="1"/>
  <c r="BG398" i="1"/>
  <c r="AY398" i="1"/>
  <c r="BF398" i="1"/>
  <c r="BE398" i="1"/>
  <c r="BB398" i="1"/>
  <c r="BA398" i="1"/>
  <c r="AX398" i="1"/>
  <c r="AF398" i="1"/>
  <c r="U398" i="1"/>
  <c r="N398" i="1"/>
  <c r="M398" i="1"/>
  <c r="G398" i="1"/>
  <c r="BI397" i="1"/>
  <c r="BG397" i="1"/>
  <c r="AY397" i="1"/>
  <c r="BF397" i="1"/>
  <c r="BE397" i="1"/>
  <c r="BB397" i="1"/>
  <c r="BA397" i="1"/>
  <c r="AX397" i="1"/>
  <c r="AF397" i="1"/>
  <c r="U397" i="1"/>
  <c r="N397" i="1"/>
  <c r="M397" i="1"/>
  <c r="G397" i="1"/>
  <c r="AY396" i="1"/>
  <c r="BF396" i="1"/>
  <c r="BE396" i="1"/>
  <c r="BB396" i="1"/>
  <c r="BA396" i="1"/>
  <c r="AX396" i="1"/>
  <c r="AF396" i="1"/>
  <c r="U396" i="1"/>
  <c r="N396" i="1"/>
  <c r="M396" i="1"/>
  <c r="G396" i="1"/>
  <c r="BF395" i="1"/>
  <c r="BE395" i="1"/>
  <c r="BB395" i="1"/>
  <c r="BA395" i="1"/>
  <c r="AF395" i="1"/>
  <c r="U395" i="1"/>
  <c r="N395" i="1"/>
  <c r="M395" i="1"/>
  <c r="G395" i="1"/>
  <c r="BF394" i="1"/>
  <c r="BE394" i="1"/>
  <c r="BB394" i="1"/>
  <c r="BA394" i="1"/>
  <c r="AF394" i="1"/>
  <c r="U394" i="1"/>
  <c r="N394" i="1"/>
  <c r="M394" i="1"/>
  <c r="G394" i="1"/>
  <c r="BF393" i="1"/>
  <c r="BE393" i="1"/>
  <c r="BB393" i="1"/>
  <c r="BA393" i="1"/>
  <c r="AF393" i="1"/>
  <c r="U393" i="1"/>
  <c r="N393" i="1"/>
  <c r="M393" i="1"/>
  <c r="G393" i="1"/>
  <c r="BF392" i="1"/>
  <c r="BE392" i="1"/>
  <c r="BB392" i="1"/>
  <c r="BA392" i="1"/>
  <c r="AF392" i="1"/>
  <c r="U392" i="1"/>
  <c r="N392" i="1"/>
  <c r="M392" i="1"/>
  <c r="G392" i="1"/>
  <c r="BF391" i="1"/>
  <c r="BE391" i="1"/>
  <c r="BB391" i="1"/>
  <c r="BA391" i="1"/>
  <c r="AF391" i="1"/>
  <c r="U391" i="1"/>
  <c r="N391" i="1"/>
  <c r="M391" i="1"/>
  <c r="G391" i="1"/>
  <c r="BL387" i="1"/>
  <c r="BK387" i="1"/>
  <c r="BJ387" i="1"/>
  <c r="BI387" i="1"/>
  <c r="BG387" i="1"/>
  <c r="BF387" i="1"/>
  <c r="BE387" i="1"/>
  <c r="BB387" i="1"/>
  <c r="BA387" i="1"/>
  <c r="BL386" i="1"/>
  <c r="BK386" i="1"/>
  <c r="BJ386" i="1"/>
  <c r="BI386" i="1"/>
  <c r="BG386" i="1"/>
  <c r="BF386" i="1"/>
  <c r="BE386" i="1"/>
  <c r="BB386" i="1"/>
  <c r="BA386" i="1"/>
  <c r="BL385" i="1"/>
  <c r="BK385" i="1"/>
  <c r="BJ385" i="1"/>
  <c r="BI385" i="1"/>
  <c r="BG385" i="1"/>
  <c r="BF385" i="1"/>
  <c r="BE385" i="1"/>
  <c r="BB385" i="1"/>
  <c r="BA385" i="1"/>
  <c r="BL384" i="1"/>
  <c r="BK384" i="1"/>
  <c r="BJ384" i="1"/>
  <c r="BI384" i="1"/>
  <c r="BG384" i="1"/>
  <c r="AY384" i="1"/>
  <c r="BF384" i="1"/>
  <c r="BE384" i="1"/>
  <c r="BB384" i="1"/>
  <c r="BA384" i="1"/>
  <c r="BL383" i="1"/>
  <c r="BK383" i="1"/>
  <c r="BJ383" i="1"/>
  <c r="BI383" i="1"/>
  <c r="BG383" i="1"/>
  <c r="AY383" i="1"/>
  <c r="BF383" i="1"/>
  <c r="BE383" i="1"/>
  <c r="BB383" i="1"/>
  <c r="BA383" i="1"/>
  <c r="BL382" i="1"/>
  <c r="BK382" i="1"/>
  <c r="BJ382" i="1"/>
  <c r="BI382" i="1"/>
  <c r="BG382" i="1"/>
  <c r="AY382" i="1"/>
  <c r="BF382" i="1"/>
  <c r="BE382" i="1"/>
  <c r="BB382" i="1"/>
  <c r="BA382" i="1"/>
  <c r="AY381" i="1"/>
  <c r="BF381" i="1"/>
  <c r="BE381" i="1"/>
  <c r="BB381" i="1"/>
  <c r="BA381" i="1"/>
  <c r="BF380" i="1"/>
  <c r="BE380" i="1"/>
  <c r="BB380" i="1"/>
  <c r="BA380" i="1"/>
  <c r="BF379" i="1"/>
  <c r="BE379" i="1"/>
  <c r="BB379" i="1"/>
  <c r="BA379" i="1"/>
  <c r="BF378" i="1"/>
  <c r="BE378" i="1"/>
  <c r="BB378" i="1"/>
  <c r="BA378" i="1"/>
  <c r="BF377" i="1"/>
  <c r="BE377" i="1"/>
  <c r="BB377" i="1"/>
  <c r="BA377" i="1"/>
  <c r="BF376" i="1"/>
  <c r="BE376" i="1"/>
  <c r="BB376" i="1"/>
  <c r="BA376" i="1"/>
  <c r="BT371" i="1"/>
  <c r="BS371" i="1"/>
  <c r="BQ371" i="1"/>
  <c r="CT371" i="1" s="1"/>
  <c r="BP371" i="1"/>
  <c r="CS371" i="1" s="1"/>
  <c r="BO371" i="1"/>
  <c r="BN371" i="1"/>
  <c r="BM371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V279" i="1"/>
  <c r="BT279" i="1"/>
  <c r="BS279" i="1"/>
  <c r="BQ279" i="1"/>
  <c r="CT279" i="1" s="1"/>
  <c r="BP279" i="1"/>
  <c r="CS279" i="1" s="1"/>
  <c r="BO279" i="1"/>
  <c r="BN279" i="1"/>
  <c r="BM279" i="1"/>
  <c r="BW278" i="1"/>
  <c r="BV278" i="1"/>
  <c r="BT278" i="1"/>
  <c r="BS278" i="1"/>
  <c r="BQ278" i="1"/>
  <c r="CT278" i="1" s="1"/>
  <c r="BP278" i="1"/>
  <c r="CS278" i="1" s="1"/>
  <c r="BO278" i="1"/>
  <c r="BN278" i="1"/>
  <c r="BM278" i="1"/>
  <c r="BW277" i="1"/>
  <c r="BV277" i="1"/>
  <c r="BT277" i="1"/>
  <c r="BS277" i="1"/>
  <c r="BQ277" i="1"/>
  <c r="CT277" i="1" s="1"/>
  <c r="BP277" i="1"/>
  <c r="CS277" i="1" s="1"/>
  <c r="BO277" i="1"/>
  <c r="BN277" i="1"/>
  <c r="BM277" i="1"/>
  <c r="BW276" i="1"/>
  <c r="BV276" i="1"/>
  <c r="BT276" i="1"/>
  <c r="BS276" i="1"/>
  <c r="BQ276" i="1"/>
  <c r="CT276" i="1" s="1"/>
  <c r="BP276" i="1"/>
  <c r="CS276" i="1" s="1"/>
  <c r="BO276" i="1"/>
  <c r="BN276" i="1"/>
  <c r="BM276" i="1"/>
  <c r="BW275" i="1"/>
  <c r="BV275" i="1"/>
  <c r="BT275" i="1"/>
  <c r="BS275" i="1"/>
  <c r="BQ275" i="1"/>
  <c r="CT275" i="1" s="1"/>
  <c r="BP275" i="1"/>
  <c r="CS275" i="1" s="1"/>
  <c r="BO275" i="1"/>
  <c r="BN275" i="1"/>
  <c r="BM275" i="1"/>
  <c r="BW274" i="1"/>
  <c r="BV274" i="1"/>
  <c r="BT274" i="1"/>
  <c r="BS274" i="1"/>
  <c r="BQ274" i="1"/>
  <c r="CT274" i="1" s="1"/>
  <c r="BP274" i="1"/>
  <c r="CS274" i="1" s="1"/>
  <c r="BO274" i="1"/>
  <c r="BN274" i="1"/>
  <c r="BM274" i="1"/>
  <c r="BW273" i="1"/>
  <c r="BV273" i="1"/>
  <c r="BT273" i="1"/>
  <c r="BS273" i="1"/>
  <c r="BQ273" i="1"/>
  <c r="CT273" i="1" s="1"/>
  <c r="BP273" i="1"/>
  <c r="CS273" i="1" s="1"/>
  <c r="BO273" i="1"/>
  <c r="BN273" i="1"/>
  <c r="BM273" i="1"/>
  <c r="BW272" i="1"/>
  <c r="BV272" i="1"/>
  <c r="BT272" i="1"/>
  <c r="BS272" i="1"/>
  <c r="BQ272" i="1"/>
  <c r="CT272" i="1" s="1"/>
  <c r="BP272" i="1"/>
  <c r="CS272" i="1" s="1"/>
  <c r="BO272" i="1"/>
  <c r="BN272" i="1"/>
  <c r="BM272" i="1"/>
  <c r="BW271" i="1"/>
  <c r="BV271" i="1"/>
  <c r="BT271" i="1"/>
  <c r="BS271" i="1"/>
  <c r="BQ271" i="1"/>
  <c r="CT271" i="1" s="1"/>
  <c r="BP271" i="1"/>
  <c r="CS271" i="1" s="1"/>
  <c r="BO271" i="1"/>
  <c r="BN271" i="1"/>
  <c r="BM271" i="1"/>
  <c r="BW270" i="1"/>
  <c r="BV270" i="1"/>
  <c r="BT270" i="1"/>
  <c r="BS270" i="1"/>
  <c r="BQ270" i="1"/>
  <c r="CT270" i="1" s="1"/>
  <c r="BP270" i="1"/>
  <c r="CS270" i="1" s="1"/>
  <c r="BO270" i="1"/>
  <c r="BN270" i="1"/>
  <c r="BM270" i="1"/>
  <c r="BW269" i="1"/>
  <c r="BV269" i="1"/>
  <c r="BT269" i="1"/>
  <c r="BS269" i="1"/>
  <c r="BQ269" i="1"/>
  <c r="CT269" i="1" s="1"/>
  <c r="BP269" i="1"/>
  <c r="CS269" i="1" s="1"/>
  <c r="BO269" i="1"/>
  <c r="BN269" i="1"/>
  <c r="BM269" i="1"/>
  <c r="BW268" i="1"/>
  <c r="BV268" i="1"/>
  <c r="BT268" i="1"/>
  <c r="BS268" i="1"/>
  <c r="BQ268" i="1"/>
  <c r="CT268" i="1" s="1"/>
  <c r="BP268" i="1"/>
  <c r="CS268" i="1" s="1"/>
  <c r="BO268" i="1"/>
  <c r="BN268" i="1"/>
  <c r="BM268" i="1"/>
  <c r="BW267" i="1"/>
  <c r="BV267" i="1"/>
  <c r="BT267" i="1"/>
  <c r="BS267" i="1"/>
  <c r="BQ267" i="1"/>
  <c r="CT267" i="1" s="1"/>
  <c r="BP267" i="1"/>
  <c r="CS267" i="1" s="1"/>
  <c r="BO267" i="1"/>
  <c r="BN267" i="1"/>
  <c r="BM267" i="1"/>
  <c r="BW266" i="1"/>
  <c r="BV266" i="1"/>
  <c r="BT266" i="1"/>
  <c r="BS266" i="1"/>
  <c r="BQ266" i="1"/>
  <c r="CT266" i="1" s="1"/>
  <c r="BP266" i="1"/>
  <c r="CS266" i="1" s="1"/>
  <c r="BO266" i="1"/>
  <c r="BN266" i="1"/>
  <c r="BM266" i="1"/>
  <c r="BW265" i="1"/>
  <c r="BV265" i="1"/>
  <c r="BT265" i="1"/>
  <c r="BS265" i="1"/>
  <c r="BQ265" i="1"/>
  <c r="CT265" i="1" s="1"/>
  <c r="BP265" i="1"/>
  <c r="CS265" i="1" s="1"/>
  <c r="BO265" i="1"/>
  <c r="BN265" i="1"/>
  <c r="BM265" i="1"/>
  <c r="BW264" i="1"/>
  <c r="BV264" i="1"/>
  <c r="BT264" i="1"/>
  <c r="BS264" i="1"/>
  <c r="BQ264" i="1"/>
  <c r="CT264" i="1" s="1"/>
  <c r="BP264" i="1"/>
  <c r="CS264" i="1" s="1"/>
  <c r="BO264" i="1"/>
  <c r="BN264" i="1"/>
  <c r="BM264" i="1"/>
  <c r="BW263" i="1"/>
  <c r="BV263" i="1"/>
  <c r="BT263" i="1"/>
  <c r="BS263" i="1"/>
  <c r="BQ263" i="1"/>
  <c r="CT263" i="1" s="1"/>
  <c r="BP263" i="1"/>
  <c r="CS263" i="1" s="1"/>
  <c r="BO263" i="1"/>
  <c r="BN263" i="1"/>
  <c r="BM263" i="1"/>
  <c r="BW262" i="1"/>
  <c r="BV262" i="1"/>
  <c r="BT262" i="1"/>
  <c r="BS262" i="1"/>
  <c r="BQ262" i="1"/>
  <c r="CT262" i="1" s="1"/>
  <c r="BP262" i="1"/>
  <c r="CS262" i="1" s="1"/>
  <c r="BO262" i="1"/>
  <c r="BN262" i="1"/>
  <c r="BM262" i="1"/>
  <c r="BW261" i="1"/>
  <c r="BV261" i="1"/>
  <c r="BT261" i="1"/>
  <c r="BS261" i="1"/>
  <c r="BQ261" i="1"/>
  <c r="CT261" i="1" s="1"/>
  <c r="BP261" i="1"/>
  <c r="CS261" i="1" s="1"/>
  <c r="BO261" i="1"/>
  <c r="BN261" i="1"/>
  <c r="BM261" i="1"/>
  <c r="BW260" i="1"/>
  <c r="BV260" i="1"/>
  <c r="BT260" i="1"/>
  <c r="BS260" i="1"/>
  <c r="BQ260" i="1"/>
  <c r="CT260" i="1" s="1"/>
  <c r="BP260" i="1"/>
  <c r="CS260" i="1" s="1"/>
  <c r="BO260" i="1"/>
  <c r="BN260" i="1"/>
  <c r="BM260" i="1"/>
  <c r="BW259" i="1"/>
  <c r="BV259" i="1"/>
  <c r="BT259" i="1"/>
  <c r="BS259" i="1"/>
  <c r="BQ259" i="1"/>
  <c r="CT259" i="1" s="1"/>
  <c r="BP259" i="1"/>
  <c r="CS259" i="1" s="1"/>
  <c r="BO259" i="1"/>
  <c r="BN259" i="1"/>
  <c r="BM259" i="1"/>
  <c r="BW258" i="1"/>
  <c r="BV258" i="1"/>
  <c r="BT258" i="1"/>
  <c r="BS258" i="1"/>
  <c r="BQ258" i="1"/>
  <c r="CT258" i="1" s="1"/>
  <c r="BP258" i="1"/>
  <c r="CS258" i="1" s="1"/>
  <c r="BO258" i="1"/>
  <c r="BN258" i="1"/>
  <c r="BM258" i="1"/>
  <c r="BW257" i="1"/>
  <c r="BV257" i="1"/>
  <c r="BT257" i="1"/>
  <c r="BS257" i="1"/>
  <c r="BQ257" i="1"/>
  <c r="CT257" i="1" s="1"/>
  <c r="BP257" i="1"/>
  <c r="CS257" i="1" s="1"/>
  <c r="BO257" i="1"/>
  <c r="BN257" i="1"/>
  <c r="BM257" i="1"/>
  <c r="BW256" i="1"/>
  <c r="BV256" i="1"/>
  <c r="BT256" i="1"/>
  <c r="BS256" i="1"/>
  <c r="BQ256" i="1"/>
  <c r="CT256" i="1" s="1"/>
  <c r="BP256" i="1"/>
  <c r="CS256" i="1" s="1"/>
  <c r="BO256" i="1"/>
  <c r="BN256" i="1"/>
  <c r="BM256" i="1"/>
  <c r="BW255" i="1"/>
  <c r="BV255" i="1"/>
  <c r="BT255" i="1"/>
  <c r="BS255" i="1"/>
  <c r="BQ255" i="1"/>
  <c r="CT255" i="1" s="1"/>
  <c r="BP255" i="1"/>
  <c r="CS255" i="1" s="1"/>
  <c r="BO255" i="1"/>
  <c r="BN255" i="1"/>
  <c r="BM255" i="1"/>
  <c r="BW254" i="1"/>
  <c r="BV254" i="1"/>
  <c r="BT254" i="1"/>
  <c r="BS254" i="1"/>
  <c r="BQ254" i="1"/>
  <c r="CT254" i="1" s="1"/>
  <c r="BP254" i="1"/>
  <c r="CS254" i="1" s="1"/>
  <c r="BO254" i="1"/>
  <c r="BN254" i="1"/>
  <c r="BM254" i="1"/>
  <c r="BW253" i="1"/>
  <c r="BV253" i="1"/>
  <c r="BT253" i="1"/>
  <c r="BS253" i="1"/>
  <c r="BQ253" i="1"/>
  <c r="CT253" i="1" s="1"/>
  <c r="BP253" i="1"/>
  <c r="CS253" i="1" s="1"/>
  <c r="BO253" i="1"/>
  <c r="BN253" i="1"/>
  <c r="BM253" i="1"/>
  <c r="BW252" i="1"/>
  <c r="BV252" i="1"/>
  <c r="BT252" i="1"/>
  <c r="BS252" i="1"/>
  <c r="BQ252" i="1"/>
  <c r="CT252" i="1" s="1"/>
  <c r="BP252" i="1"/>
  <c r="CS252" i="1" s="1"/>
  <c r="BO252" i="1"/>
  <c r="BN252" i="1"/>
  <c r="BM252" i="1"/>
  <c r="BW251" i="1"/>
  <c r="BV251" i="1"/>
  <c r="BT251" i="1"/>
  <c r="BS251" i="1"/>
  <c r="BQ251" i="1"/>
  <c r="CT251" i="1" s="1"/>
  <c r="BP251" i="1"/>
  <c r="CS251" i="1" s="1"/>
  <c r="BO251" i="1"/>
  <c r="BN251" i="1"/>
  <c r="BM251" i="1"/>
  <c r="BW250" i="1"/>
  <c r="BV250" i="1"/>
  <c r="BT250" i="1"/>
  <c r="BS250" i="1"/>
  <c r="BQ250" i="1"/>
  <c r="CT250" i="1" s="1"/>
  <c r="BP250" i="1"/>
  <c r="CS250" i="1" s="1"/>
  <c r="BO250" i="1"/>
  <c r="BN250" i="1"/>
  <c r="BM250" i="1"/>
  <c r="BW249" i="1"/>
  <c r="BV249" i="1"/>
  <c r="BT249" i="1"/>
  <c r="BS249" i="1"/>
  <c r="BQ249" i="1"/>
  <c r="CT249" i="1" s="1"/>
  <c r="BP249" i="1"/>
  <c r="CS249" i="1" s="1"/>
  <c r="BO249" i="1"/>
  <c r="BN249" i="1"/>
  <c r="BM249" i="1"/>
  <c r="BW248" i="1"/>
  <c r="BV248" i="1"/>
  <c r="BT248" i="1"/>
  <c r="BS248" i="1"/>
  <c r="BQ248" i="1"/>
  <c r="CT248" i="1" s="1"/>
  <c r="BP248" i="1"/>
  <c r="CS248" i="1" s="1"/>
  <c r="BO248" i="1"/>
  <c r="BN248" i="1"/>
  <c r="BM248" i="1"/>
  <c r="BW247" i="1"/>
  <c r="BV247" i="1"/>
  <c r="BT247" i="1"/>
  <c r="BS247" i="1"/>
  <c r="BQ247" i="1"/>
  <c r="CT247" i="1" s="1"/>
  <c r="BP247" i="1"/>
  <c r="CS247" i="1" s="1"/>
  <c r="BO247" i="1"/>
  <c r="BN247" i="1"/>
  <c r="BM247" i="1"/>
  <c r="BW246" i="1"/>
  <c r="BV246" i="1"/>
  <c r="BT246" i="1"/>
  <c r="BS246" i="1"/>
  <c r="BQ246" i="1"/>
  <c r="CT246" i="1" s="1"/>
  <c r="BP246" i="1"/>
  <c r="CS246" i="1" s="1"/>
  <c r="BO246" i="1"/>
  <c r="BN246" i="1"/>
  <c r="BM246" i="1"/>
  <c r="BW245" i="1"/>
  <c r="BV245" i="1"/>
  <c r="BT245" i="1"/>
  <c r="BS245" i="1"/>
  <c r="BQ245" i="1"/>
  <c r="CT245" i="1" s="1"/>
  <c r="BP245" i="1"/>
  <c r="CS245" i="1" s="1"/>
  <c r="BO245" i="1"/>
  <c r="BN245" i="1"/>
  <c r="BM245" i="1"/>
  <c r="BW244" i="1"/>
  <c r="BV244" i="1"/>
  <c r="BT244" i="1"/>
  <c r="BS244" i="1"/>
  <c r="BQ244" i="1"/>
  <c r="CT244" i="1" s="1"/>
  <c r="BP244" i="1"/>
  <c r="CS244" i="1" s="1"/>
  <c r="BO244" i="1"/>
  <c r="BN244" i="1"/>
  <c r="BM244" i="1"/>
  <c r="BW243" i="1"/>
  <c r="BV243" i="1"/>
  <c r="BT243" i="1"/>
  <c r="BS243" i="1"/>
  <c r="BQ243" i="1"/>
  <c r="CT243" i="1" s="1"/>
  <c r="BP243" i="1"/>
  <c r="CS243" i="1" s="1"/>
  <c r="BO243" i="1"/>
  <c r="BN243" i="1"/>
  <c r="BM243" i="1"/>
  <c r="BW242" i="1"/>
  <c r="BV242" i="1"/>
  <c r="BT242" i="1"/>
  <c r="BS242" i="1"/>
  <c r="BQ242" i="1"/>
  <c r="CT242" i="1" s="1"/>
  <c r="BP242" i="1"/>
  <c r="CS242" i="1" s="1"/>
  <c r="BO242" i="1"/>
  <c r="BN242" i="1"/>
  <c r="BM242" i="1"/>
  <c r="BW241" i="1"/>
  <c r="BV241" i="1"/>
  <c r="BT241" i="1"/>
  <c r="BS241" i="1"/>
  <c r="BQ241" i="1"/>
  <c r="CT241" i="1" s="1"/>
  <c r="BP241" i="1"/>
  <c r="CS241" i="1" s="1"/>
  <c r="BO241" i="1"/>
  <c r="BN241" i="1"/>
  <c r="BM241" i="1"/>
  <c r="BW240" i="1"/>
  <c r="BV240" i="1"/>
  <c r="BT240" i="1"/>
  <c r="BS240" i="1"/>
  <c r="BQ240" i="1"/>
  <c r="CT240" i="1" s="1"/>
  <c r="BP240" i="1"/>
  <c r="CS240" i="1" s="1"/>
  <c r="BO240" i="1"/>
  <c r="BN240" i="1"/>
  <c r="BM240" i="1"/>
  <c r="BW239" i="1"/>
  <c r="BV239" i="1"/>
  <c r="BT239" i="1"/>
  <c r="BS239" i="1"/>
  <c r="BQ239" i="1"/>
  <c r="CT239" i="1" s="1"/>
  <c r="BP239" i="1"/>
  <c r="CS239" i="1" s="1"/>
  <c r="BO239" i="1"/>
  <c r="BN239" i="1"/>
  <c r="BM239" i="1"/>
  <c r="BW238" i="1"/>
  <c r="BV238" i="1"/>
  <c r="BT238" i="1"/>
  <c r="BS238" i="1"/>
  <c r="BQ238" i="1"/>
  <c r="CT238" i="1" s="1"/>
  <c r="BP238" i="1"/>
  <c r="CS238" i="1" s="1"/>
  <c r="BO238" i="1"/>
  <c r="BN238" i="1"/>
  <c r="BM238" i="1"/>
  <c r="BW237" i="1"/>
  <c r="BV237" i="1"/>
  <c r="BT237" i="1"/>
  <c r="BS237" i="1"/>
  <c r="BQ237" i="1"/>
  <c r="CT237" i="1" s="1"/>
  <c r="BP237" i="1"/>
  <c r="CS237" i="1" s="1"/>
  <c r="BO237" i="1"/>
  <c r="BN237" i="1"/>
  <c r="BM237" i="1"/>
  <c r="BW236" i="1"/>
  <c r="BV236" i="1"/>
  <c r="BT236" i="1"/>
  <c r="BS236" i="1"/>
  <c r="BQ236" i="1"/>
  <c r="CT236" i="1" s="1"/>
  <c r="BP236" i="1"/>
  <c r="CS236" i="1" s="1"/>
  <c r="BO236" i="1"/>
  <c r="BN236" i="1"/>
  <c r="BM236" i="1"/>
  <c r="BW235" i="1"/>
  <c r="BV235" i="1"/>
  <c r="BT235" i="1"/>
  <c r="BS235" i="1"/>
  <c r="BQ235" i="1"/>
  <c r="CT235" i="1" s="1"/>
  <c r="BP235" i="1"/>
  <c r="CS235" i="1" s="1"/>
  <c r="BO235" i="1"/>
  <c r="BN235" i="1"/>
  <c r="BM235" i="1"/>
  <c r="BW234" i="1"/>
  <c r="BV234" i="1"/>
  <c r="BT234" i="1"/>
  <c r="BS234" i="1"/>
  <c r="BQ234" i="1"/>
  <c r="CT234" i="1" s="1"/>
  <c r="BP234" i="1"/>
  <c r="CS234" i="1" s="1"/>
  <c r="BO234" i="1"/>
  <c r="BN234" i="1"/>
  <c r="BM234" i="1"/>
  <c r="BW233" i="1"/>
  <c r="BV233" i="1"/>
  <c r="BT233" i="1"/>
  <c r="BS233" i="1"/>
  <c r="BQ233" i="1"/>
  <c r="CT233" i="1" s="1"/>
  <c r="BP233" i="1"/>
  <c r="CS233" i="1" s="1"/>
  <c r="BO233" i="1"/>
  <c r="BN233" i="1"/>
  <c r="BM233" i="1"/>
  <c r="BW232" i="1"/>
  <c r="BV232" i="1"/>
  <c r="BT232" i="1"/>
  <c r="BS232" i="1"/>
  <c r="BQ232" i="1"/>
  <c r="CT232" i="1" s="1"/>
  <c r="BP232" i="1"/>
  <c r="CS232" i="1" s="1"/>
  <c r="BO232" i="1"/>
  <c r="BN232" i="1"/>
  <c r="BM232" i="1"/>
  <c r="BW231" i="1"/>
  <c r="BV231" i="1"/>
  <c r="BT231" i="1"/>
  <c r="BS231" i="1"/>
  <c r="BQ231" i="1"/>
  <c r="CT231" i="1" s="1"/>
  <c r="BP231" i="1"/>
  <c r="CS231" i="1" s="1"/>
  <c r="BO231" i="1"/>
  <c r="BN231" i="1"/>
  <c r="BM231" i="1"/>
  <c r="BW230" i="1"/>
  <c r="BV230" i="1"/>
  <c r="BT230" i="1"/>
  <c r="BS230" i="1"/>
  <c r="BQ230" i="1"/>
  <c r="CT230" i="1" s="1"/>
  <c r="BP230" i="1"/>
  <c r="CS230" i="1" s="1"/>
  <c r="BO230" i="1"/>
  <c r="BN230" i="1"/>
  <c r="BM230" i="1"/>
  <c r="BW229" i="1"/>
  <c r="BV229" i="1"/>
  <c r="BT229" i="1"/>
  <c r="BS229" i="1"/>
  <c r="BQ229" i="1"/>
  <c r="CT229" i="1" s="1"/>
  <c r="BP229" i="1"/>
  <c r="CS229" i="1" s="1"/>
  <c r="BO229" i="1"/>
  <c r="BN229" i="1"/>
  <c r="BM229" i="1"/>
  <c r="BW228" i="1"/>
  <c r="BV228" i="1"/>
  <c r="BT228" i="1"/>
  <c r="BS228" i="1"/>
  <c r="BQ228" i="1"/>
  <c r="CT228" i="1" s="1"/>
  <c r="BP228" i="1"/>
  <c r="CS228" i="1" s="1"/>
  <c r="BO228" i="1"/>
  <c r="BN228" i="1"/>
  <c r="BM228" i="1"/>
  <c r="BW227" i="1"/>
  <c r="BV227" i="1"/>
  <c r="BT227" i="1"/>
  <c r="BS227" i="1"/>
  <c r="BQ227" i="1"/>
  <c r="CT227" i="1" s="1"/>
  <c r="BP227" i="1"/>
  <c r="CS227" i="1" s="1"/>
  <c r="BO227" i="1"/>
  <c r="BN227" i="1"/>
  <c r="BM227" i="1"/>
  <c r="BW226" i="1"/>
  <c r="BV226" i="1"/>
  <c r="BT226" i="1"/>
  <c r="BS226" i="1"/>
  <c r="BQ226" i="1"/>
  <c r="CT226" i="1" s="1"/>
  <c r="BP226" i="1"/>
  <c r="CS226" i="1" s="1"/>
  <c r="BO226" i="1"/>
  <c r="BN226" i="1"/>
  <c r="BM226" i="1"/>
  <c r="BW225" i="1"/>
  <c r="BV225" i="1"/>
  <c r="BT225" i="1"/>
  <c r="BS225" i="1"/>
  <c r="BQ225" i="1"/>
  <c r="CT225" i="1" s="1"/>
  <c r="BP225" i="1"/>
  <c r="CS225" i="1" s="1"/>
  <c r="BO225" i="1"/>
  <c r="BN225" i="1"/>
  <c r="BM225" i="1"/>
  <c r="BW224" i="1"/>
  <c r="BV224" i="1"/>
  <c r="BT224" i="1"/>
  <c r="BS224" i="1"/>
  <c r="BQ224" i="1"/>
  <c r="CT224" i="1" s="1"/>
  <c r="BP224" i="1"/>
  <c r="CS224" i="1" s="1"/>
  <c r="BO224" i="1"/>
  <c r="BN224" i="1"/>
  <c r="BM224" i="1"/>
  <c r="BW223" i="1"/>
  <c r="BV223" i="1"/>
  <c r="BT223" i="1"/>
  <c r="BS223" i="1"/>
  <c r="BQ223" i="1"/>
  <c r="CT223" i="1" s="1"/>
  <c r="BP223" i="1"/>
  <c r="CS223" i="1" s="1"/>
  <c r="BO223" i="1"/>
  <c r="BN223" i="1"/>
  <c r="BM223" i="1"/>
  <c r="BW222" i="1"/>
  <c r="BV222" i="1"/>
  <c r="BT222" i="1"/>
  <c r="BS222" i="1"/>
  <c r="BQ222" i="1"/>
  <c r="CT222" i="1" s="1"/>
  <c r="BP222" i="1"/>
  <c r="CS222" i="1" s="1"/>
  <c r="BO222" i="1"/>
  <c r="BN222" i="1"/>
  <c r="BM222" i="1"/>
  <c r="BW221" i="1"/>
  <c r="BV221" i="1"/>
  <c r="BT221" i="1"/>
  <c r="BS221" i="1"/>
  <c r="BQ221" i="1"/>
  <c r="CT221" i="1" s="1"/>
  <c r="BP221" i="1"/>
  <c r="CS221" i="1" s="1"/>
  <c r="BO221" i="1"/>
  <c r="BN221" i="1"/>
  <c r="BM221" i="1"/>
  <c r="BW220" i="1"/>
  <c r="BV220" i="1"/>
  <c r="BT220" i="1"/>
  <c r="BS220" i="1"/>
  <c r="BQ220" i="1"/>
  <c r="CT220" i="1" s="1"/>
  <c r="BP220" i="1"/>
  <c r="CS220" i="1" s="1"/>
  <c r="BO220" i="1"/>
  <c r="BN220" i="1"/>
  <c r="BM220" i="1"/>
  <c r="BW219" i="1"/>
  <c r="BV219" i="1"/>
  <c r="BT219" i="1"/>
  <c r="BS219" i="1"/>
  <c r="BQ219" i="1"/>
  <c r="CT219" i="1" s="1"/>
  <c r="BP219" i="1"/>
  <c r="CS219" i="1" s="1"/>
  <c r="BO219" i="1"/>
  <c r="BN219" i="1"/>
  <c r="BM219" i="1"/>
  <c r="BW218" i="1"/>
  <c r="BV218" i="1"/>
  <c r="BT218" i="1"/>
  <c r="BS218" i="1"/>
  <c r="BQ218" i="1"/>
  <c r="CT218" i="1" s="1"/>
  <c r="BP218" i="1"/>
  <c r="CS218" i="1" s="1"/>
  <c r="BO218" i="1"/>
  <c r="BN218" i="1"/>
  <c r="BM218" i="1"/>
  <c r="BW217" i="1"/>
  <c r="BV217" i="1"/>
  <c r="BT217" i="1"/>
  <c r="BS217" i="1"/>
  <c r="BQ217" i="1"/>
  <c r="CT217" i="1" s="1"/>
  <c r="BP217" i="1"/>
  <c r="CS217" i="1" s="1"/>
  <c r="BO217" i="1"/>
  <c r="BN217" i="1"/>
  <c r="BM217" i="1"/>
  <c r="BW216" i="1"/>
  <c r="BV216" i="1"/>
  <c r="BT216" i="1"/>
  <c r="BS216" i="1"/>
  <c r="BQ216" i="1"/>
  <c r="CT216" i="1" s="1"/>
  <c r="BP216" i="1"/>
  <c r="CS216" i="1" s="1"/>
  <c r="BO216" i="1"/>
  <c r="BN216" i="1"/>
  <c r="BM216" i="1"/>
  <c r="BW215" i="1"/>
  <c r="BV215" i="1"/>
  <c r="BT215" i="1"/>
  <c r="BS215" i="1"/>
  <c r="BQ215" i="1"/>
  <c r="CT215" i="1" s="1"/>
  <c r="BP215" i="1"/>
  <c r="CS215" i="1" s="1"/>
  <c r="BO215" i="1"/>
  <c r="BN215" i="1"/>
  <c r="BM215" i="1"/>
  <c r="BW214" i="1"/>
  <c r="BV214" i="1"/>
  <c r="BT214" i="1"/>
  <c r="BS214" i="1"/>
  <c r="BQ214" i="1"/>
  <c r="CT214" i="1" s="1"/>
  <c r="BP214" i="1"/>
  <c r="CS214" i="1" s="1"/>
  <c r="BO214" i="1"/>
  <c r="BN214" i="1"/>
  <c r="BM214" i="1"/>
  <c r="BW213" i="1"/>
  <c r="BV213" i="1"/>
  <c r="BT213" i="1"/>
  <c r="BS213" i="1"/>
  <c r="BQ213" i="1"/>
  <c r="CT213" i="1" s="1"/>
  <c r="BP213" i="1"/>
  <c r="CS213" i="1" s="1"/>
  <c r="BO213" i="1"/>
  <c r="BN213" i="1"/>
  <c r="BM213" i="1"/>
  <c r="BW212" i="1"/>
  <c r="BV212" i="1"/>
  <c r="BT212" i="1"/>
  <c r="BS212" i="1"/>
  <c r="BQ212" i="1"/>
  <c r="CT212" i="1" s="1"/>
  <c r="BP212" i="1"/>
  <c r="CS212" i="1" s="1"/>
  <c r="BO212" i="1"/>
  <c r="BN212" i="1"/>
  <c r="BM212" i="1"/>
  <c r="BW211" i="1"/>
  <c r="BV211" i="1"/>
  <c r="BT211" i="1"/>
  <c r="BS211" i="1"/>
  <c r="BQ211" i="1"/>
  <c r="CT211" i="1" s="1"/>
  <c r="BP211" i="1"/>
  <c r="CS211" i="1" s="1"/>
  <c r="BO211" i="1"/>
  <c r="BN211" i="1"/>
  <c r="BM211" i="1"/>
  <c r="BW210" i="1"/>
  <c r="BV210" i="1"/>
  <c r="BT210" i="1"/>
  <c r="BS210" i="1"/>
  <c r="BQ210" i="1"/>
  <c r="CT210" i="1" s="1"/>
  <c r="BP210" i="1"/>
  <c r="CS210" i="1" s="1"/>
  <c r="BO210" i="1"/>
  <c r="BN210" i="1"/>
  <c r="BM210" i="1"/>
  <c r="BW209" i="1"/>
  <c r="BV209" i="1"/>
  <c r="BT209" i="1"/>
  <c r="BS209" i="1"/>
  <c r="BQ209" i="1"/>
  <c r="CT209" i="1" s="1"/>
  <c r="BP209" i="1"/>
  <c r="CS209" i="1" s="1"/>
  <c r="BO209" i="1"/>
  <c r="BN209" i="1"/>
  <c r="BM209" i="1"/>
  <c r="BW208" i="1"/>
  <c r="BV208" i="1"/>
  <c r="BT208" i="1"/>
  <c r="BS208" i="1"/>
  <c r="BQ208" i="1"/>
  <c r="CT208" i="1" s="1"/>
  <c r="BP208" i="1"/>
  <c r="CS208" i="1" s="1"/>
  <c r="BO208" i="1"/>
  <c r="BN208" i="1"/>
  <c r="BM208" i="1"/>
  <c r="BW207" i="1"/>
  <c r="BV207" i="1"/>
  <c r="BT207" i="1"/>
  <c r="BS207" i="1"/>
  <c r="BQ207" i="1"/>
  <c r="CT207" i="1" s="1"/>
  <c r="BP207" i="1"/>
  <c r="CS207" i="1" s="1"/>
  <c r="BO207" i="1"/>
  <c r="BN207" i="1"/>
  <c r="BM207" i="1"/>
  <c r="BW206" i="1"/>
  <c r="BV206" i="1"/>
  <c r="BT206" i="1"/>
  <c r="BS206" i="1"/>
  <c r="BQ206" i="1"/>
  <c r="CT206" i="1" s="1"/>
  <c r="BP206" i="1"/>
  <c r="CS206" i="1" s="1"/>
  <c r="BO206" i="1"/>
  <c r="BN206" i="1"/>
  <c r="BM206" i="1"/>
  <c r="BW205" i="1"/>
  <c r="BV205" i="1"/>
  <c r="BT205" i="1"/>
  <c r="BS205" i="1"/>
  <c r="BQ205" i="1"/>
  <c r="CT205" i="1" s="1"/>
  <c r="BP205" i="1"/>
  <c r="CS205" i="1" s="1"/>
  <c r="BO205" i="1"/>
  <c r="BN205" i="1"/>
  <c r="BM205" i="1"/>
  <c r="BW204" i="1"/>
  <c r="BV204" i="1"/>
  <c r="BT204" i="1"/>
  <c r="BS204" i="1"/>
  <c r="BQ204" i="1"/>
  <c r="CT204" i="1" s="1"/>
  <c r="BP204" i="1"/>
  <c r="CS204" i="1" s="1"/>
  <c r="BO204" i="1"/>
  <c r="BN204" i="1"/>
  <c r="BM204" i="1"/>
  <c r="BW203" i="1"/>
  <c r="BV203" i="1"/>
  <c r="BT203" i="1"/>
  <c r="BS203" i="1"/>
  <c r="BQ203" i="1"/>
  <c r="CT203" i="1" s="1"/>
  <c r="BP203" i="1"/>
  <c r="CS203" i="1" s="1"/>
  <c r="BO203" i="1"/>
  <c r="BN203" i="1"/>
  <c r="BM203" i="1"/>
  <c r="BW202" i="1"/>
  <c r="BV202" i="1"/>
  <c r="BT202" i="1"/>
  <c r="BS202" i="1"/>
  <c r="BQ202" i="1"/>
  <c r="CT202" i="1" s="1"/>
  <c r="BP202" i="1"/>
  <c r="CS202" i="1" s="1"/>
  <c r="BO202" i="1"/>
  <c r="BN202" i="1"/>
  <c r="BM202" i="1"/>
  <c r="BW201" i="1"/>
  <c r="BV201" i="1"/>
  <c r="BT201" i="1"/>
  <c r="BS201" i="1"/>
  <c r="BQ201" i="1"/>
  <c r="CT201" i="1" s="1"/>
  <c r="BP201" i="1"/>
  <c r="CS201" i="1" s="1"/>
  <c r="BO201" i="1"/>
  <c r="BN201" i="1"/>
  <c r="BM201" i="1"/>
  <c r="BW200" i="1"/>
  <c r="BV200" i="1"/>
  <c r="BT200" i="1"/>
  <c r="BS200" i="1"/>
  <c r="BQ200" i="1"/>
  <c r="CT200" i="1" s="1"/>
  <c r="BP200" i="1"/>
  <c r="CS200" i="1" s="1"/>
  <c r="BO200" i="1"/>
  <c r="BN200" i="1"/>
  <c r="BM200" i="1"/>
  <c r="BW199" i="1"/>
  <c r="BV199" i="1"/>
  <c r="BT199" i="1"/>
  <c r="BS199" i="1"/>
  <c r="BQ199" i="1"/>
  <c r="CT199" i="1" s="1"/>
  <c r="BP199" i="1"/>
  <c r="CS199" i="1" s="1"/>
  <c r="BO199" i="1"/>
  <c r="BN199" i="1"/>
  <c r="BM199" i="1"/>
  <c r="BW198" i="1"/>
  <c r="BV198" i="1"/>
  <c r="BT198" i="1"/>
  <c r="BS198" i="1"/>
  <c r="BQ198" i="1"/>
  <c r="CT198" i="1" s="1"/>
  <c r="BP198" i="1"/>
  <c r="CS198" i="1" s="1"/>
  <c r="BO198" i="1"/>
  <c r="BN198" i="1"/>
  <c r="BM198" i="1"/>
  <c r="BW197" i="1"/>
  <c r="BV197" i="1"/>
  <c r="BT197" i="1"/>
  <c r="BS197" i="1"/>
  <c r="BQ197" i="1"/>
  <c r="CT197" i="1" s="1"/>
  <c r="BP197" i="1"/>
  <c r="CS197" i="1" s="1"/>
  <c r="BO197" i="1"/>
  <c r="BN197" i="1"/>
  <c r="BM197" i="1"/>
  <c r="BW196" i="1"/>
  <c r="BV196" i="1"/>
  <c r="BT196" i="1"/>
  <c r="BS196" i="1"/>
  <c r="BQ196" i="1"/>
  <c r="CT196" i="1" s="1"/>
  <c r="BP196" i="1"/>
  <c r="CS196" i="1" s="1"/>
  <c r="BO196" i="1"/>
  <c r="BN196" i="1"/>
  <c r="BM196" i="1"/>
  <c r="BW195" i="1"/>
  <c r="BV195" i="1"/>
  <c r="BT195" i="1"/>
  <c r="BS195" i="1"/>
  <c r="BQ195" i="1"/>
  <c r="CT195" i="1" s="1"/>
  <c r="BP195" i="1"/>
  <c r="CS195" i="1" s="1"/>
  <c r="BO195" i="1"/>
  <c r="BN195" i="1"/>
  <c r="BM195" i="1"/>
  <c r="BW194" i="1"/>
  <c r="BV194" i="1"/>
  <c r="BT194" i="1"/>
  <c r="BS194" i="1"/>
  <c r="BQ194" i="1"/>
  <c r="CT194" i="1" s="1"/>
  <c r="BP194" i="1"/>
  <c r="CS194" i="1" s="1"/>
  <c r="BO194" i="1"/>
  <c r="BN194" i="1"/>
  <c r="BM194" i="1"/>
  <c r="BW193" i="1"/>
  <c r="BV193" i="1"/>
  <c r="BT193" i="1"/>
  <c r="BS193" i="1"/>
  <c r="BQ193" i="1"/>
  <c r="CT193" i="1" s="1"/>
  <c r="BP193" i="1"/>
  <c r="CS193" i="1" s="1"/>
  <c r="BO193" i="1"/>
  <c r="BN193" i="1"/>
  <c r="BM193" i="1"/>
  <c r="BW192" i="1"/>
  <c r="BV192" i="1"/>
  <c r="BT192" i="1"/>
  <c r="BS192" i="1"/>
  <c r="BQ192" i="1"/>
  <c r="CT192" i="1" s="1"/>
  <c r="BP192" i="1"/>
  <c r="CS192" i="1" s="1"/>
  <c r="BO192" i="1"/>
  <c r="BN192" i="1"/>
  <c r="BM192" i="1"/>
  <c r="BW191" i="1"/>
  <c r="BV191" i="1"/>
  <c r="BT191" i="1"/>
  <c r="BS191" i="1"/>
  <c r="BQ191" i="1"/>
  <c r="CT191" i="1" s="1"/>
  <c r="BP191" i="1"/>
  <c r="CS191" i="1" s="1"/>
  <c r="BO191" i="1"/>
  <c r="BN191" i="1"/>
  <c r="BM191" i="1"/>
  <c r="BW190" i="1"/>
  <c r="BV190" i="1"/>
  <c r="BT190" i="1"/>
  <c r="BS190" i="1"/>
  <c r="BQ190" i="1"/>
  <c r="CT190" i="1" s="1"/>
  <c r="BP190" i="1"/>
  <c r="CS190" i="1" s="1"/>
  <c r="BO190" i="1"/>
  <c r="BN190" i="1"/>
  <c r="BM190" i="1"/>
  <c r="BW189" i="1"/>
  <c r="BV189" i="1"/>
  <c r="BT189" i="1"/>
  <c r="BS189" i="1"/>
  <c r="BQ189" i="1"/>
  <c r="CT189" i="1" s="1"/>
  <c r="BP189" i="1"/>
  <c r="CS189" i="1" s="1"/>
  <c r="BO189" i="1"/>
  <c r="BN189" i="1"/>
  <c r="BM189" i="1"/>
  <c r="BW188" i="1"/>
  <c r="BV188" i="1"/>
  <c r="BT188" i="1"/>
  <c r="BS188" i="1"/>
  <c r="BQ188" i="1"/>
  <c r="CT188" i="1" s="1"/>
  <c r="BP188" i="1"/>
  <c r="CS188" i="1" s="1"/>
  <c r="BO188" i="1"/>
  <c r="BN188" i="1"/>
  <c r="BM188" i="1"/>
  <c r="BW187" i="1"/>
  <c r="BV187" i="1"/>
  <c r="BT187" i="1"/>
  <c r="BS187" i="1"/>
  <c r="BQ187" i="1"/>
  <c r="CT187" i="1" s="1"/>
  <c r="BP187" i="1"/>
  <c r="CS187" i="1" s="1"/>
  <c r="BO187" i="1"/>
  <c r="BN187" i="1"/>
  <c r="BM187" i="1"/>
  <c r="BW186" i="1"/>
  <c r="BV186" i="1"/>
  <c r="BT186" i="1"/>
  <c r="BS186" i="1"/>
  <c r="BQ186" i="1"/>
  <c r="CT186" i="1" s="1"/>
  <c r="BP186" i="1"/>
  <c r="CS186" i="1" s="1"/>
  <c r="BO186" i="1"/>
  <c r="BN186" i="1"/>
  <c r="BM186" i="1"/>
  <c r="BW185" i="1"/>
  <c r="BV185" i="1"/>
  <c r="BT185" i="1"/>
  <c r="BS185" i="1"/>
  <c r="BQ185" i="1"/>
  <c r="CT185" i="1" s="1"/>
  <c r="BP185" i="1"/>
  <c r="CS185" i="1" s="1"/>
  <c r="BO185" i="1"/>
  <c r="BN185" i="1"/>
  <c r="BM185" i="1"/>
  <c r="BW184" i="1"/>
  <c r="BV184" i="1"/>
  <c r="BT184" i="1"/>
  <c r="BS184" i="1"/>
  <c r="BQ184" i="1"/>
  <c r="CT184" i="1" s="1"/>
  <c r="BP184" i="1"/>
  <c r="CS184" i="1" s="1"/>
  <c r="BO184" i="1"/>
  <c r="BN184" i="1"/>
  <c r="BM184" i="1"/>
  <c r="BW183" i="1"/>
  <c r="BV183" i="1"/>
  <c r="BT183" i="1"/>
  <c r="BS183" i="1"/>
  <c r="BQ183" i="1"/>
  <c r="CT183" i="1" s="1"/>
  <c r="BP183" i="1"/>
  <c r="CS183" i="1" s="1"/>
  <c r="BO183" i="1"/>
  <c r="BN183" i="1"/>
  <c r="BM183" i="1"/>
  <c r="BW182" i="1"/>
  <c r="BV182" i="1"/>
  <c r="BT182" i="1"/>
  <c r="BS182" i="1"/>
  <c r="BQ182" i="1"/>
  <c r="CT182" i="1" s="1"/>
  <c r="BP182" i="1"/>
  <c r="CS182" i="1" s="1"/>
  <c r="BO182" i="1"/>
  <c r="BN182" i="1"/>
  <c r="BM182" i="1"/>
  <c r="BW181" i="1"/>
  <c r="BV181" i="1"/>
  <c r="BT181" i="1"/>
  <c r="BS181" i="1"/>
  <c r="BQ181" i="1"/>
  <c r="CT181" i="1" s="1"/>
  <c r="BP181" i="1"/>
  <c r="CS181" i="1" s="1"/>
  <c r="BO181" i="1"/>
  <c r="BN181" i="1"/>
  <c r="BM181" i="1"/>
  <c r="BW180" i="1"/>
  <c r="BV180" i="1"/>
  <c r="BT180" i="1"/>
  <c r="BS180" i="1"/>
  <c r="BQ180" i="1"/>
  <c r="CT180" i="1" s="1"/>
  <c r="BP180" i="1"/>
  <c r="CS180" i="1" s="1"/>
  <c r="BO180" i="1"/>
  <c r="BN180" i="1"/>
  <c r="BM180" i="1"/>
  <c r="BW179" i="1"/>
  <c r="BV179" i="1"/>
  <c r="BT179" i="1"/>
  <c r="BS179" i="1"/>
  <c r="BQ179" i="1"/>
  <c r="CT179" i="1" s="1"/>
  <c r="BP179" i="1"/>
  <c r="CS179" i="1" s="1"/>
  <c r="BO179" i="1"/>
  <c r="BN179" i="1"/>
  <c r="BM179" i="1"/>
  <c r="BW178" i="1"/>
  <c r="BV178" i="1"/>
  <c r="BT178" i="1"/>
  <c r="BS178" i="1"/>
  <c r="BQ178" i="1"/>
  <c r="CT178" i="1" s="1"/>
  <c r="BP178" i="1"/>
  <c r="CS178" i="1" s="1"/>
  <c r="BO178" i="1"/>
  <c r="BN178" i="1"/>
  <c r="BM178" i="1"/>
  <c r="BW177" i="1"/>
  <c r="BV177" i="1"/>
  <c r="BT177" i="1"/>
  <c r="BS177" i="1"/>
  <c r="BQ177" i="1"/>
  <c r="CT177" i="1" s="1"/>
  <c r="BP177" i="1"/>
  <c r="CS177" i="1" s="1"/>
  <c r="BO177" i="1"/>
  <c r="BN177" i="1"/>
  <c r="BM177" i="1"/>
  <c r="BW176" i="1"/>
  <c r="BV176" i="1"/>
  <c r="BT176" i="1"/>
  <c r="BS176" i="1"/>
  <c r="BQ176" i="1"/>
  <c r="CT176" i="1" s="1"/>
  <c r="BP176" i="1"/>
  <c r="CS176" i="1" s="1"/>
  <c r="BO176" i="1"/>
  <c r="BN176" i="1"/>
  <c r="BM176" i="1"/>
  <c r="BW175" i="1"/>
  <c r="BV175" i="1"/>
  <c r="BT175" i="1"/>
  <c r="BS175" i="1"/>
  <c r="BQ175" i="1"/>
  <c r="CT175" i="1" s="1"/>
  <c r="BP175" i="1"/>
  <c r="CS175" i="1" s="1"/>
  <c r="BO175" i="1"/>
  <c r="BN175" i="1"/>
  <c r="BM175" i="1"/>
  <c r="BW174" i="1"/>
  <c r="BV174" i="1"/>
  <c r="BT174" i="1"/>
  <c r="BS174" i="1"/>
  <c r="BQ174" i="1"/>
  <c r="CT174" i="1" s="1"/>
  <c r="BP174" i="1"/>
  <c r="CS174" i="1" s="1"/>
  <c r="BO174" i="1"/>
  <c r="BN174" i="1"/>
  <c r="BM174" i="1"/>
  <c r="BW173" i="1"/>
  <c r="BV173" i="1"/>
  <c r="BT173" i="1"/>
  <c r="BS173" i="1"/>
  <c r="BQ173" i="1"/>
  <c r="CT173" i="1" s="1"/>
  <c r="BP173" i="1"/>
  <c r="CS173" i="1" s="1"/>
  <c r="BO173" i="1"/>
  <c r="BN173" i="1"/>
  <c r="BM173" i="1"/>
  <c r="BW172" i="1"/>
  <c r="BV172" i="1"/>
  <c r="BT172" i="1"/>
  <c r="BS172" i="1"/>
  <c r="BQ172" i="1"/>
  <c r="CT172" i="1" s="1"/>
  <c r="BP172" i="1"/>
  <c r="CS172" i="1" s="1"/>
  <c r="BO172" i="1"/>
  <c r="BN172" i="1"/>
  <c r="BM172" i="1"/>
  <c r="BW171" i="1"/>
  <c r="BV171" i="1"/>
  <c r="BT171" i="1"/>
  <c r="BS171" i="1"/>
  <c r="BQ171" i="1"/>
  <c r="CT171" i="1" s="1"/>
  <c r="BP171" i="1"/>
  <c r="CS171" i="1" s="1"/>
  <c r="BO171" i="1"/>
  <c r="BN171" i="1"/>
  <c r="BM171" i="1"/>
  <c r="BW170" i="1"/>
  <c r="BV170" i="1"/>
  <c r="BT170" i="1"/>
  <c r="BS170" i="1"/>
  <c r="BQ170" i="1"/>
  <c r="CT170" i="1" s="1"/>
  <c r="BP170" i="1"/>
  <c r="CS170" i="1" s="1"/>
  <c r="BO170" i="1"/>
  <c r="BN170" i="1"/>
  <c r="BM170" i="1"/>
  <c r="BW169" i="1"/>
  <c r="BV169" i="1"/>
  <c r="BT169" i="1"/>
  <c r="BS169" i="1"/>
  <c r="BQ169" i="1"/>
  <c r="CT169" i="1" s="1"/>
  <c r="BP169" i="1"/>
  <c r="CS169" i="1" s="1"/>
  <c r="BO169" i="1"/>
  <c r="BN169" i="1"/>
  <c r="BM169" i="1"/>
  <c r="BW168" i="1"/>
  <c r="BV168" i="1"/>
  <c r="BT168" i="1"/>
  <c r="BS168" i="1"/>
  <c r="BQ168" i="1"/>
  <c r="CT168" i="1" s="1"/>
  <c r="BP168" i="1"/>
  <c r="CS168" i="1" s="1"/>
  <c r="BO168" i="1"/>
  <c r="BN168" i="1"/>
  <c r="BM168" i="1"/>
  <c r="BW167" i="1"/>
  <c r="BV167" i="1"/>
  <c r="BT167" i="1"/>
  <c r="BS167" i="1"/>
  <c r="BQ167" i="1"/>
  <c r="CT167" i="1" s="1"/>
  <c r="BP167" i="1"/>
  <c r="CS167" i="1" s="1"/>
  <c r="BO167" i="1"/>
  <c r="BN167" i="1"/>
  <c r="BM167" i="1"/>
  <c r="BW166" i="1"/>
  <c r="BV166" i="1"/>
  <c r="BT166" i="1"/>
  <c r="BS166" i="1"/>
  <c r="BQ166" i="1"/>
  <c r="CT166" i="1" s="1"/>
  <c r="BP166" i="1"/>
  <c r="CS166" i="1" s="1"/>
  <c r="BO166" i="1"/>
  <c r="BN166" i="1"/>
  <c r="BM166" i="1"/>
  <c r="BW165" i="1"/>
  <c r="BV165" i="1"/>
  <c r="BT165" i="1"/>
  <c r="BS165" i="1"/>
  <c r="BQ165" i="1"/>
  <c r="CT165" i="1" s="1"/>
  <c r="BP165" i="1"/>
  <c r="CS165" i="1" s="1"/>
  <c r="BO165" i="1"/>
  <c r="BN165" i="1"/>
  <c r="BM165" i="1"/>
  <c r="BW164" i="1"/>
  <c r="BV164" i="1"/>
  <c r="BT164" i="1"/>
  <c r="BS164" i="1"/>
  <c r="BQ164" i="1"/>
  <c r="CT164" i="1" s="1"/>
  <c r="BP164" i="1"/>
  <c r="CS164" i="1" s="1"/>
  <c r="BO164" i="1"/>
  <c r="BN164" i="1"/>
  <c r="BM164" i="1"/>
  <c r="BW163" i="1"/>
  <c r="BV163" i="1"/>
  <c r="BT163" i="1"/>
  <c r="BS163" i="1"/>
  <c r="BQ163" i="1"/>
  <c r="CT163" i="1" s="1"/>
  <c r="BP163" i="1"/>
  <c r="CS163" i="1" s="1"/>
  <c r="BO163" i="1"/>
  <c r="BN163" i="1"/>
  <c r="BM163" i="1"/>
  <c r="BW162" i="1"/>
  <c r="BV162" i="1"/>
  <c r="BT162" i="1"/>
  <c r="BS162" i="1"/>
  <c r="BQ162" i="1"/>
  <c r="CT162" i="1" s="1"/>
  <c r="BP162" i="1"/>
  <c r="CS162" i="1" s="1"/>
  <c r="BO162" i="1"/>
  <c r="BN162" i="1"/>
  <c r="BM162" i="1"/>
  <c r="BW161" i="1"/>
  <c r="BV161" i="1"/>
  <c r="BT161" i="1"/>
  <c r="BS161" i="1"/>
  <c r="BQ161" i="1"/>
  <c r="CT161" i="1" s="1"/>
  <c r="BP161" i="1"/>
  <c r="CS161" i="1" s="1"/>
  <c r="BO161" i="1"/>
  <c r="BN161" i="1"/>
  <c r="BM161" i="1"/>
  <c r="BW160" i="1"/>
  <c r="BV160" i="1"/>
  <c r="BT160" i="1"/>
  <c r="BQ160" i="1"/>
  <c r="CT160" i="1" s="1"/>
  <c r="BP160" i="1"/>
  <c r="CS160" i="1" s="1"/>
  <c r="BO160" i="1"/>
  <c r="BN160" i="1"/>
  <c r="BM160" i="1"/>
  <c r="BV159" i="1"/>
  <c r="BT159" i="1"/>
  <c r="BQ159" i="1"/>
  <c r="CT159" i="1" s="1"/>
  <c r="BP159" i="1"/>
  <c r="CS159" i="1" s="1"/>
  <c r="BO159" i="1"/>
  <c r="BN159" i="1"/>
  <c r="BM159" i="1"/>
  <c r="BV158" i="1"/>
  <c r="BT158" i="1"/>
  <c r="BQ158" i="1"/>
  <c r="CT158" i="1" s="1"/>
  <c r="BP158" i="1"/>
  <c r="CS158" i="1" s="1"/>
  <c r="BO158" i="1"/>
  <c r="BN158" i="1"/>
  <c r="BM158" i="1"/>
  <c r="BV157" i="1"/>
  <c r="BT157" i="1"/>
  <c r="BQ157" i="1"/>
  <c r="CT157" i="1" s="1"/>
  <c r="BP157" i="1"/>
  <c r="CS157" i="1" s="1"/>
  <c r="BO157" i="1"/>
  <c r="BN157" i="1"/>
  <c r="BM157" i="1"/>
  <c r="BV156" i="1"/>
  <c r="BT156" i="1"/>
  <c r="BQ156" i="1"/>
  <c r="CT156" i="1" s="1"/>
  <c r="BP156" i="1"/>
  <c r="CS156" i="1" s="1"/>
  <c r="BO156" i="1"/>
  <c r="BN156" i="1"/>
  <c r="BM156" i="1"/>
  <c r="BV155" i="1"/>
  <c r="BT155" i="1"/>
  <c r="BQ155" i="1"/>
  <c r="CT155" i="1" s="1"/>
  <c r="BP155" i="1"/>
  <c r="CS155" i="1" s="1"/>
  <c r="BO155" i="1"/>
  <c r="BN155" i="1"/>
  <c r="BM155" i="1"/>
  <c r="BV154" i="1"/>
  <c r="BT154" i="1"/>
  <c r="BQ154" i="1"/>
  <c r="CT154" i="1" s="1"/>
  <c r="BP154" i="1"/>
  <c r="CS154" i="1" s="1"/>
  <c r="BO154" i="1"/>
  <c r="BN154" i="1"/>
  <c r="BM154" i="1"/>
  <c r="BV153" i="1"/>
  <c r="BT153" i="1"/>
  <c r="BQ153" i="1"/>
  <c r="CT153" i="1" s="1"/>
  <c r="BP153" i="1"/>
  <c r="CS153" i="1" s="1"/>
  <c r="BO153" i="1"/>
  <c r="BN153" i="1"/>
  <c r="BM153" i="1"/>
  <c r="BV152" i="1"/>
  <c r="BT152" i="1"/>
  <c r="BQ152" i="1"/>
  <c r="CT152" i="1" s="1"/>
  <c r="BP152" i="1"/>
  <c r="CS152" i="1" s="1"/>
  <c r="BO152" i="1"/>
  <c r="BN152" i="1"/>
  <c r="BM152" i="1"/>
  <c r="BV151" i="1"/>
  <c r="BT151" i="1"/>
  <c r="BQ151" i="1"/>
  <c r="CT151" i="1" s="1"/>
  <c r="BP151" i="1"/>
  <c r="CS151" i="1" s="1"/>
  <c r="BO151" i="1"/>
  <c r="BN151" i="1"/>
  <c r="BM151" i="1"/>
  <c r="BV150" i="1"/>
  <c r="BT150" i="1"/>
  <c r="BQ150" i="1"/>
  <c r="CT150" i="1" s="1"/>
  <c r="BP150" i="1"/>
  <c r="CS150" i="1" s="1"/>
  <c r="BO150" i="1"/>
  <c r="BN150" i="1"/>
  <c r="BM150" i="1"/>
  <c r="BV149" i="1"/>
  <c r="BT149" i="1"/>
  <c r="BQ149" i="1"/>
  <c r="CT149" i="1" s="1"/>
  <c r="BP149" i="1"/>
  <c r="CS149" i="1" s="1"/>
  <c r="BO149" i="1"/>
  <c r="BN149" i="1"/>
  <c r="BM149" i="1"/>
  <c r="BV148" i="1"/>
  <c r="BT148" i="1"/>
  <c r="BQ148" i="1"/>
  <c r="CT148" i="1" s="1"/>
  <c r="BP148" i="1"/>
  <c r="CS148" i="1" s="1"/>
  <c r="BO148" i="1"/>
  <c r="BN148" i="1"/>
  <c r="BM148" i="1"/>
  <c r="BV147" i="1"/>
  <c r="BT147" i="1"/>
  <c r="BQ147" i="1"/>
  <c r="CT147" i="1" s="1"/>
  <c r="BP147" i="1"/>
  <c r="CS147" i="1" s="1"/>
  <c r="BO147" i="1"/>
  <c r="BN147" i="1"/>
  <c r="BM147" i="1"/>
  <c r="BV146" i="1"/>
  <c r="BT146" i="1"/>
  <c r="BQ146" i="1"/>
  <c r="CT146" i="1" s="1"/>
  <c r="BP146" i="1"/>
  <c r="CS146" i="1" s="1"/>
  <c r="BO146" i="1"/>
  <c r="BN146" i="1"/>
  <c r="BM146" i="1"/>
  <c r="BV145" i="1"/>
  <c r="BT145" i="1"/>
  <c r="BQ145" i="1"/>
  <c r="CT145" i="1" s="1"/>
  <c r="BP145" i="1"/>
  <c r="CS145" i="1" s="1"/>
  <c r="BO145" i="1"/>
  <c r="BN145" i="1"/>
  <c r="BM145" i="1"/>
  <c r="BV144" i="1"/>
  <c r="BT144" i="1"/>
  <c r="BQ144" i="1"/>
  <c r="CT144" i="1" s="1"/>
  <c r="BP144" i="1"/>
  <c r="CS144" i="1" s="1"/>
  <c r="BO144" i="1"/>
  <c r="BN144" i="1"/>
  <c r="BM144" i="1"/>
  <c r="BV143" i="1"/>
  <c r="BT143" i="1"/>
  <c r="BQ143" i="1"/>
  <c r="CT143" i="1" s="1"/>
  <c r="BP143" i="1"/>
  <c r="CS143" i="1" s="1"/>
  <c r="BO143" i="1"/>
  <c r="BN143" i="1"/>
  <c r="BM143" i="1"/>
  <c r="BV142" i="1"/>
  <c r="BT142" i="1"/>
  <c r="BQ142" i="1"/>
  <c r="CT142" i="1" s="1"/>
  <c r="BP142" i="1"/>
  <c r="CS142" i="1" s="1"/>
  <c r="BO142" i="1"/>
  <c r="BN142" i="1"/>
  <c r="BM142" i="1"/>
  <c r="BV141" i="1"/>
  <c r="BT141" i="1"/>
  <c r="BQ141" i="1"/>
  <c r="CT141" i="1" s="1"/>
  <c r="BP141" i="1"/>
  <c r="CS141" i="1" s="1"/>
  <c r="BO141" i="1"/>
  <c r="BN141" i="1"/>
  <c r="BM141" i="1"/>
  <c r="BV140" i="1"/>
  <c r="BT140" i="1"/>
  <c r="BQ140" i="1"/>
  <c r="CT140" i="1" s="1"/>
  <c r="BP140" i="1"/>
  <c r="CS140" i="1" s="1"/>
  <c r="BO140" i="1"/>
  <c r="BN140" i="1"/>
  <c r="BM140" i="1"/>
  <c r="BV139" i="1"/>
  <c r="BT139" i="1"/>
  <c r="BQ139" i="1"/>
  <c r="CT139" i="1" s="1"/>
  <c r="BP139" i="1"/>
  <c r="CS139" i="1" s="1"/>
  <c r="BO139" i="1"/>
  <c r="BN139" i="1"/>
  <c r="BM139" i="1"/>
  <c r="BV138" i="1"/>
  <c r="BT138" i="1"/>
  <c r="BQ138" i="1"/>
  <c r="CT138" i="1" s="1"/>
  <c r="BP138" i="1"/>
  <c r="CS138" i="1" s="1"/>
  <c r="BO138" i="1"/>
  <c r="BN138" i="1"/>
  <c r="BM138" i="1"/>
  <c r="BV137" i="1"/>
  <c r="BT137" i="1"/>
  <c r="BQ137" i="1"/>
  <c r="CT137" i="1" s="1"/>
  <c r="BP137" i="1"/>
  <c r="CS137" i="1" s="1"/>
  <c r="BO137" i="1"/>
  <c r="BN137" i="1"/>
  <c r="BM137" i="1"/>
  <c r="BV136" i="1"/>
  <c r="BT136" i="1"/>
  <c r="BQ136" i="1"/>
  <c r="CT136" i="1" s="1"/>
  <c r="BP136" i="1"/>
  <c r="CS136" i="1" s="1"/>
  <c r="BO136" i="1"/>
  <c r="BN136" i="1"/>
  <c r="BM136" i="1"/>
  <c r="BV135" i="1"/>
  <c r="BT135" i="1"/>
  <c r="BQ135" i="1"/>
  <c r="CT135" i="1" s="1"/>
  <c r="BP135" i="1"/>
  <c r="CS135" i="1" s="1"/>
  <c r="BO135" i="1"/>
  <c r="BN135" i="1"/>
  <c r="BM135" i="1"/>
  <c r="BV134" i="1"/>
  <c r="BT134" i="1"/>
  <c r="BQ134" i="1"/>
  <c r="CT134" i="1" s="1"/>
  <c r="BP134" i="1"/>
  <c r="CS134" i="1" s="1"/>
  <c r="BO134" i="1"/>
  <c r="BN134" i="1"/>
  <c r="BM134" i="1"/>
  <c r="BV133" i="1"/>
  <c r="BT133" i="1"/>
  <c r="BQ133" i="1"/>
  <c r="CT133" i="1" s="1"/>
  <c r="BP133" i="1"/>
  <c r="CS133" i="1" s="1"/>
  <c r="BO133" i="1"/>
  <c r="BN133" i="1"/>
  <c r="BM133" i="1"/>
  <c r="BV132" i="1"/>
  <c r="BT132" i="1"/>
  <c r="BQ132" i="1"/>
  <c r="CT132" i="1" s="1"/>
  <c r="BP132" i="1"/>
  <c r="CS132" i="1" s="1"/>
  <c r="BO132" i="1"/>
  <c r="BN132" i="1"/>
  <c r="BM132" i="1"/>
  <c r="BV131" i="1"/>
  <c r="BT131" i="1"/>
  <c r="BQ131" i="1"/>
  <c r="CT131" i="1" s="1"/>
  <c r="BP131" i="1"/>
  <c r="CS131" i="1" s="1"/>
  <c r="BO131" i="1"/>
  <c r="BN131" i="1"/>
  <c r="BM131" i="1"/>
  <c r="BV130" i="1"/>
  <c r="BT130" i="1"/>
  <c r="BQ130" i="1"/>
  <c r="CT130" i="1" s="1"/>
  <c r="BP130" i="1"/>
  <c r="CS130" i="1" s="1"/>
  <c r="BO130" i="1"/>
  <c r="BN130" i="1"/>
  <c r="BM130" i="1"/>
  <c r="BV129" i="1"/>
  <c r="BT129" i="1"/>
  <c r="BQ129" i="1"/>
  <c r="CT129" i="1" s="1"/>
  <c r="BP129" i="1"/>
  <c r="CS129" i="1" s="1"/>
  <c r="BO129" i="1"/>
  <c r="BN129" i="1"/>
  <c r="BM129" i="1"/>
  <c r="BV128" i="1"/>
  <c r="BT128" i="1"/>
  <c r="BQ128" i="1"/>
  <c r="CT128" i="1" s="1"/>
  <c r="BP128" i="1"/>
  <c r="CS128" i="1" s="1"/>
  <c r="BO128" i="1"/>
  <c r="BN128" i="1"/>
  <c r="BM128" i="1"/>
  <c r="BV127" i="1"/>
  <c r="BT127" i="1"/>
  <c r="BQ127" i="1"/>
  <c r="CT127" i="1" s="1"/>
  <c r="BP127" i="1"/>
  <c r="CS127" i="1" s="1"/>
  <c r="BO127" i="1"/>
  <c r="BN127" i="1"/>
  <c r="BM127" i="1"/>
  <c r="BV126" i="1"/>
  <c r="BT126" i="1"/>
  <c r="BQ126" i="1"/>
  <c r="CT126" i="1" s="1"/>
  <c r="BP126" i="1"/>
  <c r="CS126" i="1" s="1"/>
  <c r="BO126" i="1"/>
  <c r="BN126" i="1"/>
  <c r="BM126" i="1"/>
  <c r="BV125" i="1"/>
  <c r="BT125" i="1"/>
  <c r="BQ125" i="1"/>
  <c r="CT125" i="1" s="1"/>
  <c r="BP125" i="1"/>
  <c r="CS125" i="1" s="1"/>
  <c r="BO125" i="1"/>
  <c r="BN125" i="1"/>
  <c r="BM125" i="1"/>
  <c r="BV124" i="1"/>
  <c r="BT124" i="1"/>
  <c r="BQ124" i="1"/>
  <c r="CT124" i="1" s="1"/>
  <c r="BP124" i="1"/>
  <c r="CS124" i="1" s="1"/>
  <c r="BO124" i="1"/>
  <c r="BN124" i="1"/>
  <c r="BM124" i="1"/>
  <c r="BV123" i="1"/>
  <c r="BT123" i="1"/>
  <c r="BQ123" i="1"/>
  <c r="CT123" i="1" s="1"/>
  <c r="BP123" i="1"/>
  <c r="CS123" i="1" s="1"/>
  <c r="BO123" i="1"/>
  <c r="BN123" i="1"/>
  <c r="BM123" i="1"/>
  <c r="BV122" i="1"/>
  <c r="BT122" i="1"/>
  <c r="BQ122" i="1"/>
  <c r="CT122" i="1" s="1"/>
  <c r="BP122" i="1"/>
  <c r="CS122" i="1" s="1"/>
  <c r="BO122" i="1"/>
  <c r="BN122" i="1"/>
  <c r="BM122" i="1"/>
  <c r="BV121" i="1"/>
  <c r="BT121" i="1"/>
  <c r="BQ121" i="1"/>
  <c r="CT121" i="1" s="1"/>
  <c r="BP121" i="1"/>
  <c r="CS121" i="1" s="1"/>
  <c r="BO121" i="1"/>
  <c r="BN121" i="1"/>
  <c r="BM121" i="1"/>
  <c r="BV120" i="1"/>
  <c r="BT120" i="1"/>
  <c r="BQ120" i="1"/>
  <c r="CT120" i="1" s="1"/>
  <c r="BP120" i="1"/>
  <c r="CS120" i="1" s="1"/>
  <c r="BO120" i="1"/>
  <c r="BN120" i="1"/>
  <c r="BM120" i="1"/>
  <c r="BV119" i="1"/>
  <c r="BT119" i="1"/>
  <c r="BQ119" i="1"/>
  <c r="CT119" i="1" s="1"/>
  <c r="BP119" i="1"/>
  <c r="CS119" i="1" s="1"/>
  <c r="BO119" i="1"/>
  <c r="BN119" i="1"/>
  <c r="BM119" i="1"/>
  <c r="BV118" i="1"/>
  <c r="BT118" i="1"/>
  <c r="BQ118" i="1"/>
  <c r="CT118" i="1" s="1"/>
  <c r="BP118" i="1"/>
  <c r="CS118" i="1" s="1"/>
  <c r="BO118" i="1"/>
  <c r="BN118" i="1"/>
  <c r="BM118" i="1"/>
  <c r="BV117" i="1"/>
  <c r="BT117" i="1"/>
  <c r="BQ117" i="1"/>
  <c r="CT117" i="1" s="1"/>
  <c r="BP117" i="1"/>
  <c r="CS117" i="1" s="1"/>
  <c r="BO117" i="1"/>
  <c r="BN117" i="1"/>
  <c r="BM117" i="1"/>
  <c r="BV116" i="1"/>
  <c r="BT116" i="1"/>
  <c r="BQ116" i="1"/>
  <c r="CT116" i="1" s="1"/>
  <c r="BP116" i="1"/>
  <c r="CS116" i="1" s="1"/>
  <c r="BO116" i="1"/>
  <c r="BN116" i="1"/>
  <c r="BM116" i="1"/>
  <c r="BV115" i="1"/>
  <c r="BT115" i="1"/>
  <c r="BQ115" i="1"/>
  <c r="CT115" i="1" s="1"/>
  <c r="BP115" i="1"/>
  <c r="CS115" i="1" s="1"/>
  <c r="BO115" i="1"/>
  <c r="BN115" i="1"/>
  <c r="BM115" i="1"/>
  <c r="BV114" i="1"/>
  <c r="BT114" i="1"/>
  <c r="BQ114" i="1"/>
  <c r="CT114" i="1" s="1"/>
  <c r="BP114" i="1"/>
  <c r="CS114" i="1" s="1"/>
  <c r="BO114" i="1"/>
  <c r="BN114" i="1"/>
  <c r="BM114" i="1"/>
  <c r="BV113" i="1"/>
  <c r="BT113" i="1"/>
  <c r="BQ113" i="1"/>
  <c r="CT113" i="1" s="1"/>
  <c r="BP113" i="1"/>
  <c r="CS113" i="1" s="1"/>
  <c r="BO113" i="1"/>
  <c r="BN113" i="1"/>
  <c r="BM113" i="1"/>
  <c r="BV112" i="1"/>
  <c r="BT112" i="1"/>
  <c r="BQ112" i="1"/>
  <c r="CT112" i="1" s="1"/>
  <c r="BP112" i="1"/>
  <c r="CS112" i="1" s="1"/>
  <c r="BO112" i="1"/>
  <c r="BN112" i="1"/>
  <c r="BM112" i="1"/>
  <c r="BV111" i="1"/>
  <c r="BT111" i="1"/>
  <c r="BQ111" i="1"/>
  <c r="CT111" i="1" s="1"/>
  <c r="BP111" i="1"/>
  <c r="CS111" i="1" s="1"/>
  <c r="BO111" i="1"/>
  <c r="BN111" i="1"/>
  <c r="BM111" i="1"/>
  <c r="BV110" i="1"/>
  <c r="BT110" i="1"/>
  <c r="BQ110" i="1"/>
  <c r="CT110" i="1" s="1"/>
  <c r="BP110" i="1"/>
  <c r="CS110" i="1" s="1"/>
  <c r="BO110" i="1"/>
  <c r="BN110" i="1"/>
  <c r="BM110" i="1"/>
  <c r="BV109" i="1"/>
  <c r="BT109" i="1"/>
  <c r="BQ109" i="1"/>
  <c r="CT109" i="1" s="1"/>
  <c r="BP109" i="1"/>
  <c r="CS109" i="1" s="1"/>
  <c r="BO109" i="1"/>
  <c r="BN109" i="1"/>
  <c r="BM109" i="1"/>
  <c r="BV108" i="1"/>
  <c r="BT108" i="1"/>
  <c r="BQ108" i="1"/>
  <c r="CT108" i="1" s="1"/>
  <c r="BP108" i="1"/>
  <c r="CS108" i="1" s="1"/>
  <c r="BO108" i="1"/>
  <c r="BN108" i="1"/>
  <c r="BM108" i="1"/>
  <c r="BV107" i="1"/>
  <c r="BT107" i="1"/>
  <c r="BQ107" i="1"/>
  <c r="CT107" i="1" s="1"/>
  <c r="BP107" i="1"/>
  <c r="CS107" i="1" s="1"/>
  <c r="BO107" i="1"/>
  <c r="BN107" i="1"/>
  <c r="BM107" i="1"/>
  <c r="BV106" i="1"/>
  <c r="BT106" i="1"/>
  <c r="BQ106" i="1"/>
  <c r="CT106" i="1" s="1"/>
  <c r="BP106" i="1"/>
  <c r="CS106" i="1" s="1"/>
  <c r="BO106" i="1"/>
  <c r="BN106" i="1"/>
  <c r="BM106" i="1"/>
  <c r="BV105" i="1"/>
  <c r="BT105" i="1"/>
  <c r="BQ105" i="1"/>
  <c r="CT105" i="1" s="1"/>
  <c r="BP105" i="1"/>
  <c r="CS105" i="1" s="1"/>
  <c r="BO105" i="1"/>
  <c r="BN105" i="1"/>
  <c r="BM105" i="1"/>
  <c r="BV104" i="1"/>
  <c r="BT104" i="1"/>
  <c r="BQ104" i="1"/>
  <c r="CT104" i="1" s="1"/>
  <c r="BP104" i="1"/>
  <c r="CS104" i="1" s="1"/>
  <c r="BO104" i="1"/>
  <c r="BN104" i="1"/>
  <c r="BM104" i="1"/>
  <c r="BV103" i="1"/>
  <c r="BT103" i="1"/>
  <c r="BQ103" i="1"/>
  <c r="CT103" i="1" s="1"/>
  <c r="BP103" i="1"/>
  <c r="CS103" i="1" s="1"/>
  <c r="BO103" i="1"/>
  <c r="BN103" i="1"/>
  <c r="BM103" i="1"/>
  <c r="BV102" i="1"/>
  <c r="BT102" i="1"/>
  <c r="BQ102" i="1"/>
  <c r="CT102" i="1" s="1"/>
  <c r="BP102" i="1"/>
  <c r="CS102" i="1" s="1"/>
  <c r="BO102" i="1"/>
  <c r="BN102" i="1"/>
  <c r="BM102" i="1"/>
  <c r="BV101" i="1"/>
  <c r="BT101" i="1"/>
  <c r="BQ101" i="1"/>
  <c r="CT101" i="1" s="1"/>
  <c r="BP101" i="1"/>
  <c r="CS101" i="1" s="1"/>
  <c r="BO101" i="1"/>
  <c r="BN101" i="1"/>
  <c r="BM101" i="1"/>
  <c r="BV100" i="1"/>
  <c r="BT100" i="1"/>
  <c r="BQ100" i="1"/>
  <c r="CT100" i="1" s="1"/>
  <c r="BP100" i="1"/>
  <c r="CS100" i="1" s="1"/>
  <c r="BO100" i="1"/>
  <c r="BN100" i="1"/>
  <c r="BM100" i="1"/>
  <c r="BV99" i="1"/>
  <c r="BT99" i="1"/>
  <c r="BQ99" i="1"/>
  <c r="CT99" i="1" s="1"/>
  <c r="BP99" i="1"/>
  <c r="CS99" i="1" s="1"/>
  <c r="BO99" i="1"/>
  <c r="BN99" i="1"/>
  <c r="BM99" i="1"/>
  <c r="BV98" i="1"/>
  <c r="BT98" i="1"/>
  <c r="BQ98" i="1"/>
  <c r="CT98" i="1" s="1"/>
  <c r="BP98" i="1"/>
  <c r="CS98" i="1" s="1"/>
  <c r="BO98" i="1"/>
  <c r="BN98" i="1"/>
  <c r="BM98" i="1"/>
  <c r="BV97" i="1"/>
  <c r="BT97" i="1"/>
  <c r="BQ97" i="1"/>
  <c r="CT97" i="1" s="1"/>
  <c r="BP97" i="1"/>
  <c r="CS97" i="1" s="1"/>
  <c r="BO97" i="1"/>
  <c r="BN97" i="1"/>
  <c r="BM97" i="1"/>
  <c r="BV96" i="1"/>
  <c r="BT96" i="1"/>
  <c r="BQ96" i="1"/>
  <c r="CT96" i="1" s="1"/>
  <c r="BP96" i="1"/>
  <c r="CS96" i="1" s="1"/>
  <c r="BO96" i="1"/>
  <c r="BN96" i="1"/>
  <c r="BM96" i="1"/>
  <c r="BV95" i="1"/>
  <c r="BT95" i="1"/>
  <c r="BQ95" i="1"/>
  <c r="CT95" i="1" s="1"/>
  <c r="BP95" i="1"/>
  <c r="CS95" i="1" s="1"/>
  <c r="BO95" i="1"/>
  <c r="BN95" i="1"/>
  <c r="BM95" i="1"/>
  <c r="BV94" i="1"/>
  <c r="BT94" i="1"/>
  <c r="BQ94" i="1"/>
  <c r="CT94" i="1" s="1"/>
  <c r="BP94" i="1"/>
  <c r="CS94" i="1" s="1"/>
  <c r="BO94" i="1"/>
  <c r="BN94" i="1"/>
  <c r="BM94" i="1"/>
  <c r="BV93" i="1"/>
  <c r="BT93" i="1"/>
  <c r="BQ93" i="1"/>
  <c r="CT93" i="1" s="1"/>
  <c r="BP93" i="1"/>
  <c r="CS93" i="1" s="1"/>
  <c r="BO93" i="1"/>
  <c r="BN93" i="1"/>
  <c r="BM93" i="1"/>
  <c r="BV92" i="1"/>
  <c r="BT92" i="1"/>
  <c r="BQ92" i="1"/>
  <c r="CT92" i="1" s="1"/>
  <c r="BP92" i="1"/>
  <c r="CS92" i="1" s="1"/>
  <c r="BO92" i="1"/>
  <c r="BN92" i="1"/>
  <c r="BM92" i="1"/>
  <c r="BV91" i="1"/>
  <c r="BT91" i="1"/>
  <c r="BQ91" i="1"/>
  <c r="CT91" i="1" s="1"/>
  <c r="BP91" i="1"/>
  <c r="CS91" i="1" s="1"/>
  <c r="BO91" i="1"/>
  <c r="BN91" i="1"/>
  <c r="BM91" i="1"/>
  <c r="BV90" i="1"/>
  <c r="BT90" i="1"/>
  <c r="BQ90" i="1"/>
  <c r="CT90" i="1" s="1"/>
  <c r="BP90" i="1"/>
  <c r="CS90" i="1" s="1"/>
  <c r="BO90" i="1"/>
  <c r="BN90" i="1"/>
  <c r="BM90" i="1"/>
  <c r="BV89" i="1"/>
  <c r="BT89" i="1"/>
  <c r="BQ89" i="1"/>
  <c r="CT89" i="1" s="1"/>
  <c r="BP89" i="1"/>
  <c r="CS89" i="1" s="1"/>
  <c r="BO89" i="1"/>
  <c r="BN89" i="1"/>
  <c r="BM89" i="1"/>
  <c r="BV88" i="1"/>
  <c r="BT88" i="1"/>
  <c r="BQ88" i="1"/>
  <c r="CT88" i="1" s="1"/>
  <c r="BP88" i="1"/>
  <c r="CS88" i="1" s="1"/>
  <c r="BO88" i="1"/>
  <c r="BN88" i="1"/>
  <c r="BM88" i="1"/>
  <c r="BV87" i="1"/>
  <c r="BT87" i="1"/>
  <c r="BQ87" i="1"/>
  <c r="CT87" i="1" s="1"/>
  <c r="BP87" i="1"/>
  <c r="CS87" i="1" s="1"/>
  <c r="BO87" i="1"/>
  <c r="BN87" i="1"/>
  <c r="BM87" i="1"/>
  <c r="BV86" i="1"/>
  <c r="BT86" i="1"/>
  <c r="BQ86" i="1"/>
  <c r="CT86" i="1" s="1"/>
  <c r="BP86" i="1"/>
  <c r="CS86" i="1" s="1"/>
  <c r="BO86" i="1"/>
  <c r="BN86" i="1"/>
  <c r="BM86" i="1"/>
  <c r="BV85" i="1"/>
  <c r="BT85" i="1"/>
  <c r="BQ85" i="1"/>
  <c r="CT85" i="1" s="1"/>
  <c r="BP85" i="1"/>
  <c r="CS85" i="1" s="1"/>
  <c r="BO85" i="1"/>
  <c r="BN85" i="1"/>
  <c r="BM85" i="1"/>
  <c r="BV84" i="1"/>
  <c r="BT84" i="1"/>
  <c r="BQ84" i="1"/>
  <c r="CT84" i="1" s="1"/>
  <c r="BP84" i="1"/>
  <c r="CS84" i="1" s="1"/>
  <c r="BO84" i="1"/>
  <c r="BN84" i="1"/>
  <c r="BM84" i="1"/>
  <c r="BV83" i="1"/>
  <c r="BT83" i="1"/>
  <c r="BQ83" i="1"/>
  <c r="CT83" i="1" s="1"/>
  <c r="BP83" i="1"/>
  <c r="CS83" i="1" s="1"/>
  <c r="BO83" i="1"/>
  <c r="BN83" i="1"/>
  <c r="BM83" i="1"/>
  <c r="BV82" i="1"/>
  <c r="BT82" i="1"/>
  <c r="BQ82" i="1"/>
  <c r="CT82" i="1" s="1"/>
  <c r="BP82" i="1"/>
  <c r="CS82" i="1" s="1"/>
  <c r="BO82" i="1"/>
  <c r="BN82" i="1"/>
  <c r="BM82" i="1"/>
  <c r="BV81" i="1"/>
  <c r="BT81" i="1"/>
  <c r="BQ81" i="1"/>
  <c r="CT81" i="1" s="1"/>
  <c r="BP81" i="1"/>
  <c r="CS81" i="1" s="1"/>
  <c r="BO81" i="1"/>
  <c r="BN81" i="1"/>
  <c r="BM81" i="1"/>
  <c r="BV80" i="1"/>
  <c r="BT80" i="1"/>
  <c r="BQ80" i="1"/>
  <c r="CT80" i="1" s="1"/>
  <c r="BP80" i="1"/>
  <c r="CS80" i="1" s="1"/>
  <c r="BO80" i="1"/>
  <c r="BN80" i="1"/>
  <c r="BM80" i="1"/>
  <c r="BV79" i="1"/>
  <c r="BT79" i="1"/>
  <c r="BQ79" i="1"/>
  <c r="CT79" i="1" s="1"/>
  <c r="BP79" i="1"/>
  <c r="CS79" i="1" s="1"/>
  <c r="BO79" i="1"/>
  <c r="BN79" i="1"/>
  <c r="BM79" i="1"/>
  <c r="BV78" i="1"/>
  <c r="BT78" i="1"/>
  <c r="BQ78" i="1"/>
  <c r="CT78" i="1" s="1"/>
  <c r="BP78" i="1"/>
  <c r="CS78" i="1" s="1"/>
  <c r="BO78" i="1"/>
  <c r="BN78" i="1"/>
  <c r="BM78" i="1"/>
  <c r="BV77" i="1"/>
  <c r="BT77" i="1"/>
  <c r="BQ77" i="1"/>
  <c r="CT77" i="1" s="1"/>
  <c r="BP77" i="1"/>
  <c r="CS77" i="1" s="1"/>
  <c r="BO77" i="1"/>
  <c r="BN77" i="1"/>
  <c r="BM77" i="1"/>
  <c r="BV76" i="1"/>
  <c r="BT76" i="1"/>
  <c r="BQ76" i="1"/>
  <c r="CT76" i="1" s="1"/>
  <c r="BP76" i="1"/>
  <c r="CS76" i="1" s="1"/>
  <c r="BO76" i="1"/>
  <c r="BN76" i="1"/>
  <c r="BM76" i="1"/>
  <c r="BV75" i="1"/>
  <c r="BT75" i="1"/>
  <c r="BQ75" i="1"/>
  <c r="CT75" i="1" s="1"/>
  <c r="BP75" i="1"/>
  <c r="CS75" i="1" s="1"/>
  <c r="BO75" i="1"/>
  <c r="BN75" i="1"/>
  <c r="BM75" i="1"/>
  <c r="BV74" i="1"/>
  <c r="BT74" i="1"/>
  <c r="BQ74" i="1"/>
  <c r="CT74" i="1" s="1"/>
  <c r="BP74" i="1"/>
  <c r="CS74" i="1" s="1"/>
  <c r="BO74" i="1"/>
  <c r="BN74" i="1"/>
  <c r="BM74" i="1"/>
  <c r="BV73" i="1"/>
  <c r="BT73" i="1"/>
  <c r="BQ73" i="1"/>
  <c r="CT73" i="1" s="1"/>
  <c r="BP73" i="1"/>
  <c r="CS73" i="1" s="1"/>
  <c r="BO73" i="1"/>
  <c r="BN73" i="1"/>
  <c r="BM73" i="1"/>
  <c r="BV72" i="1"/>
  <c r="BT72" i="1"/>
  <c r="BQ72" i="1"/>
  <c r="CT72" i="1" s="1"/>
  <c r="BP72" i="1"/>
  <c r="CS72" i="1" s="1"/>
  <c r="BO72" i="1"/>
  <c r="BN72" i="1"/>
  <c r="BM72" i="1"/>
  <c r="BV71" i="1"/>
  <c r="BT71" i="1"/>
  <c r="BQ71" i="1"/>
  <c r="CT71" i="1" s="1"/>
  <c r="BP71" i="1"/>
  <c r="CS71" i="1" s="1"/>
  <c r="BO71" i="1"/>
  <c r="BN71" i="1"/>
  <c r="BM71" i="1"/>
  <c r="BV70" i="1"/>
  <c r="BT70" i="1"/>
  <c r="BQ70" i="1"/>
  <c r="CT70" i="1" s="1"/>
  <c r="BP70" i="1"/>
  <c r="CS70" i="1" s="1"/>
  <c r="BO70" i="1"/>
  <c r="BN70" i="1"/>
  <c r="BM70" i="1"/>
  <c r="BV69" i="1"/>
  <c r="BT69" i="1"/>
  <c r="BQ69" i="1"/>
  <c r="CT69" i="1" s="1"/>
  <c r="BP69" i="1"/>
  <c r="CS69" i="1" s="1"/>
  <c r="BO69" i="1"/>
  <c r="BN69" i="1"/>
  <c r="BM69" i="1"/>
  <c r="BV68" i="1"/>
  <c r="BT68" i="1"/>
  <c r="BQ68" i="1"/>
  <c r="CT68" i="1" s="1"/>
  <c r="BP68" i="1"/>
  <c r="CS68" i="1" s="1"/>
  <c r="BO68" i="1"/>
  <c r="BN68" i="1"/>
  <c r="BM68" i="1"/>
  <c r="BV67" i="1"/>
  <c r="BT67" i="1"/>
  <c r="BQ67" i="1"/>
  <c r="CT67" i="1" s="1"/>
  <c r="BP67" i="1"/>
  <c r="CS67" i="1" s="1"/>
  <c r="BO67" i="1"/>
  <c r="BN67" i="1"/>
  <c r="BM67" i="1"/>
  <c r="BV62" i="1"/>
  <c r="BT62" i="1"/>
  <c r="BQ62" i="1"/>
  <c r="CT62" i="1" s="1"/>
  <c r="BP62" i="1"/>
  <c r="CS62" i="1" s="1"/>
  <c r="BO62" i="1"/>
  <c r="BN62" i="1"/>
  <c r="BM62" i="1"/>
  <c r="BV61" i="1"/>
  <c r="BT61" i="1"/>
  <c r="BQ61" i="1"/>
  <c r="CT61" i="1" s="1"/>
  <c r="BP61" i="1"/>
  <c r="CS61" i="1" s="1"/>
  <c r="BO61" i="1"/>
  <c r="BN61" i="1"/>
  <c r="BM61" i="1"/>
  <c r="BV60" i="1"/>
  <c r="BT60" i="1"/>
  <c r="BQ60" i="1"/>
  <c r="CT60" i="1" s="1"/>
  <c r="BP60" i="1"/>
  <c r="CS60" i="1" s="1"/>
  <c r="BO60" i="1"/>
  <c r="BN60" i="1"/>
  <c r="BM60" i="1"/>
  <c r="BV59" i="1"/>
  <c r="BT59" i="1"/>
  <c r="BQ59" i="1"/>
  <c r="CT59" i="1" s="1"/>
  <c r="BP59" i="1"/>
  <c r="CS59" i="1" s="1"/>
  <c r="BO59" i="1"/>
  <c r="BN59" i="1"/>
  <c r="BM59" i="1"/>
  <c r="BV58" i="1"/>
  <c r="BT58" i="1"/>
  <c r="BQ58" i="1"/>
  <c r="CT58" i="1" s="1"/>
  <c r="BP58" i="1"/>
  <c r="CS58" i="1" s="1"/>
  <c r="BO58" i="1"/>
  <c r="BN58" i="1"/>
  <c r="BM58" i="1"/>
  <c r="BV57" i="1"/>
  <c r="BT57" i="1"/>
  <c r="BQ57" i="1"/>
  <c r="CT57" i="1" s="1"/>
  <c r="BP57" i="1"/>
  <c r="CS57" i="1" s="1"/>
  <c r="BO57" i="1"/>
  <c r="BN57" i="1"/>
  <c r="BM57" i="1"/>
  <c r="BV56" i="1"/>
  <c r="BT56" i="1"/>
  <c r="BQ56" i="1"/>
  <c r="CT56" i="1" s="1"/>
  <c r="BP56" i="1"/>
  <c r="CS56" i="1" s="1"/>
  <c r="BO56" i="1"/>
  <c r="BN56" i="1"/>
  <c r="BM56" i="1"/>
  <c r="BV55" i="1"/>
  <c r="BT55" i="1"/>
  <c r="BQ55" i="1"/>
  <c r="CT55" i="1" s="1"/>
  <c r="BP55" i="1"/>
  <c r="CS55" i="1" s="1"/>
  <c r="BO55" i="1"/>
  <c r="BN55" i="1"/>
  <c r="BM55" i="1"/>
  <c r="BV54" i="1"/>
  <c r="BT54" i="1"/>
  <c r="BQ54" i="1"/>
  <c r="CT54" i="1" s="1"/>
  <c r="BP54" i="1"/>
  <c r="CS54" i="1" s="1"/>
  <c r="BO54" i="1"/>
  <c r="BN54" i="1"/>
  <c r="BM54" i="1"/>
  <c r="BV53" i="1"/>
  <c r="BT53" i="1"/>
  <c r="BQ53" i="1"/>
  <c r="CT53" i="1" s="1"/>
  <c r="BP53" i="1"/>
  <c r="CS53" i="1" s="1"/>
  <c r="BO53" i="1"/>
  <c r="BN53" i="1"/>
  <c r="BM53" i="1"/>
  <c r="BV52" i="1"/>
  <c r="BT52" i="1"/>
  <c r="BQ52" i="1"/>
  <c r="CT52" i="1" s="1"/>
  <c r="BP52" i="1"/>
  <c r="CS52" i="1" s="1"/>
  <c r="BO52" i="1"/>
  <c r="BN52" i="1"/>
  <c r="BM52" i="1"/>
  <c r="BV51" i="1"/>
  <c r="BT51" i="1"/>
  <c r="BQ51" i="1"/>
  <c r="CT51" i="1" s="1"/>
  <c r="BP51" i="1"/>
  <c r="CS51" i="1" s="1"/>
  <c r="BO51" i="1"/>
  <c r="BN51" i="1"/>
  <c r="BM51" i="1"/>
  <c r="BV50" i="1"/>
  <c r="BT50" i="1"/>
  <c r="BQ50" i="1"/>
  <c r="CT50" i="1" s="1"/>
  <c r="BP50" i="1"/>
  <c r="CS50" i="1" s="1"/>
  <c r="BO50" i="1"/>
  <c r="BN50" i="1"/>
  <c r="BM50" i="1"/>
  <c r="BV49" i="1"/>
  <c r="BT49" i="1"/>
  <c r="BQ49" i="1"/>
  <c r="CT49" i="1" s="1"/>
  <c r="BP49" i="1"/>
  <c r="CS49" i="1" s="1"/>
  <c r="BO49" i="1"/>
  <c r="BN49" i="1"/>
  <c r="BM49" i="1"/>
  <c r="BV48" i="1"/>
  <c r="BT48" i="1"/>
  <c r="BQ48" i="1"/>
  <c r="CT48" i="1" s="1"/>
  <c r="BP48" i="1"/>
  <c r="CS48" i="1" s="1"/>
  <c r="BO48" i="1"/>
  <c r="BN48" i="1"/>
  <c r="BM48" i="1"/>
  <c r="BV47" i="1"/>
  <c r="BT47" i="1"/>
  <c r="BQ47" i="1"/>
  <c r="CT47" i="1" s="1"/>
  <c r="BP47" i="1"/>
  <c r="CS47" i="1" s="1"/>
  <c r="BO47" i="1"/>
  <c r="BN47" i="1"/>
  <c r="BM47" i="1"/>
  <c r="BV46" i="1"/>
  <c r="BT46" i="1"/>
  <c r="BQ46" i="1"/>
  <c r="CT46" i="1" s="1"/>
  <c r="BP46" i="1"/>
  <c r="CS46" i="1" s="1"/>
  <c r="BO46" i="1"/>
  <c r="BN46" i="1"/>
  <c r="BM46" i="1"/>
  <c r="BV45" i="1"/>
  <c r="BT45" i="1"/>
  <c r="BQ45" i="1"/>
  <c r="CT45" i="1" s="1"/>
  <c r="BP45" i="1"/>
  <c r="CS45" i="1" s="1"/>
  <c r="BO45" i="1"/>
  <c r="BN45" i="1"/>
  <c r="BM45" i="1"/>
  <c r="BV44" i="1"/>
  <c r="BT44" i="1"/>
  <c r="BQ44" i="1"/>
  <c r="CT44" i="1" s="1"/>
  <c r="BP44" i="1"/>
  <c r="CS44" i="1" s="1"/>
  <c r="BO44" i="1"/>
  <c r="BN44" i="1"/>
  <c r="BM44" i="1"/>
  <c r="BV43" i="1"/>
  <c r="BT43" i="1"/>
  <c r="BQ43" i="1"/>
  <c r="CT43" i="1" s="1"/>
  <c r="BP43" i="1"/>
  <c r="CS43" i="1" s="1"/>
  <c r="BO43" i="1"/>
  <c r="BN43" i="1"/>
  <c r="BM43" i="1"/>
  <c r="BV42" i="1"/>
  <c r="BT42" i="1"/>
  <c r="BQ42" i="1"/>
  <c r="CT42" i="1" s="1"/>
  <c r="BP42" i="1"/>
  <c r="CS42" i="1" s="1"/>
  <c r="BO42" i="1"/>
  <c r="BN42" i="1"/>
  <c r="BM42" i="1"/>
  <c r="BV41" i="1"/>
  <c r="BT41" i="1"/>
  <c r="BQ41" i="1"/>
  <c r="CT41" i="1" s="1"/>
  <c r="BP41" i="1"/>
  <c r="CS41" i="1" s="1"/>
  <c r="BO41" i="1"/>
  <c r="BN41" i="1"/>
  <c r="BM41" i="1"/>
  <c r="BV39" i="1"/>
  <c r="BT39" i="1"/>
  <c r="BQ39" i="1"/>
  <c r="CT39" i="1" s="1"/>
  <c r="BP39" i="1"/>
  <c r="CS39" i="1" s="1"/>
  <c r="BO39" i="1"/>
  <c r="BN39" i="1"/>
  <c r="BM39" i="1"/>
  <c r="BV38" i="1"/>
  <c r="BT38" i="1"/>
  <c r="BQ38" i="1"/>
  <c r="CT38" i="1" s="1"/>
  <c r="BP38" i="1"/>
  <c r="CS38" i="1" s="1"/>
  <c r="BO38" i="1"/>
  <c r="BN38" i="1"/>
  <c r="BM38" i="1"/>
  <c r="BV37" i="1"/>
  <c r="BT37" i="1"/>
  <c r="BQ37" i="1"/>
  <c r="CT37" i="1" s="1"/>
  <c r="BP37" i="1"/>
  <c r="CS37" i="1" s="1"/>
  <c r="BO37" i="1"/>
  <c r="BN37" i="1"/>
  <c r="BM37" i="1"/>
  <c r="BV36" i="1"/>
  <c r="BT36" i="1"/>
  <c r="BQ36" i="1"/>
  <c r="CT36" i="1" s="1"/>
  <c r="BP36" i="1"/>
  <c r="CS36" i="1" s="1"/>
  <c r="BO36" i="1"/>
  <c r="BN36" i="1"/>
  <c r="BM36" i="1"/>
  <c r="BV35" i="1"/>
  <c r="BT35" i="1"/>
  <c r="BQ35" i="1"/>
  <c r="CT35" i="1" s="1"/>
  <c r="BP35" i="1"/>
  <c r="CS35" i="1" s="1"/>
  <c r="BO35" i="1"/>
  <c r="BN35" i="1"/>
  <c r="BM35" i="1"/>
  <c r="BV34" i="1"/>
  <c r="BT34" i="1"/>
  <c r="BQ34" i="1"/>
  <c r="CT34" i="1" s="1"/>
  <c r="BP34" i="1"/>
  <c r="CS34" i="1" s="1"/>
  <c r="BO34" i="1"/>
  <c r="BN34" i="1"/>
  <c r="BM34" i="1"/>
  <c r="BV33" i="1"/>
  <c r="BT33" i="1"/>
  <c r="BQ33" i="1"/>
  <c r="CT33" i="1" s="1"/>
  <c r="BP33" i="1"/>
  <c r="CS33" i="1" s="1"/>
  <c r="BO33" i="1"/>
  <c r="BN33" i="1"/>
  <c r="BM33" i="1"/>
  <c r="BV32" i="1"/>
  <c r="BT32" i="1"/>
  <c r="BQ32" i="1"/>
  <c r="CT32" i="1" s="1"/>
  <c r="BP32" i="1"/>
  <c r="CS32" i="1" s="1"/>
  <c r="BO32" i="1"/>
  <c r="BN32" i="1"/>
  <c r="BM32" i="1"/>
  <c r="BV31" i="1"/>
  <c r="BT31" i="1"/>
  <c r="BQ31" i="1"/>
  <c r="CT31" i="1" s="1"/>
  <c r="BP31" i="1"/>
  <c r="CS31" i="1" s="1"/>
  <c r="BO31" i="1"/>
  <c r="BN31" i="1"/>
  <c r="BM31" i="1"/>
  <c r="BV30" i="1"/>
  <c r="BT30" i="1"/>
  <c r="BQ30" i="1"/>
  <c r="CT30" i="1" s="1"/>
  <c r="BP30" i="1"/>
  <c r="CS30" i="1" s="1"/>
  <c r="BO30" i="1"/>
  <c r="BN30" i="1"/>
  <c r="BM30" i="1"/>
  <c r="BV29" i="1"/>
  <c r="BT29" i="1"/>
  <c r="BQ29" i="1"/>
  <c r="CT29" i="1" s="1"/>
  <c r="BP29" i="1"/>
  <c r="CS29" i="1" s="1"/>
  <c r="BO29" i="1"/>
  <c r="BN29" i="1"/>
  <c r="BM29" i="1"/>
  <c r="BV28" i="1"/>
  <c r="BT28" i="1"/>
  <c r="BQ28" i="1"/>
  <c r="CT28" i="1" s="1"/>
  <c r="BP28" i="1"/>
  <c r="CS28" i="1" s="1"/>
  <c r="BO28" i="1"/>
  <c r="BN28" i="1"/>
  <c r="BM28" i="1"/>
  <c r="BV27" i="1"/>
  <c r="BT27" i="1"/>
  <c r="BQ27" i="1"/>
  <c r="CT27" i="1" s="1"/>
  <c r="BP27" i="1"/>
  <c r="CS27" i="1" s="1"/>
  <c r="BO27" i="1"/>
  <c r="BN27" i="1"/>
  <c r="BM27" i="1"/>
  <c r="BV26" i="1"/>
  <c r="BT26" i="1"/>
  <c r="BQ26" i="1"/>
  <c r="CT26" i="1" s="1"/>
  <c r="BP26" i="1"/>
  <c r="CS26" i="1" s="1"/>
  <c r="BO26" i="1"/>
  <c r="BN26" i="1"/>
  <c r="BM26" i="1"/>
  <c r="BV25" i="1"/>
  <c r="BT25" i="1"/>
  <c r="BQ25" i="1"/>
  <c r="CT25" i="1" s="1"/>
  <c r="BP25" i="1"/>
  <c r="CS25" i="1" s="1"/>
  <c r="BO25" i="1"/>
  <c r="BN25" i="1"/>
  <c r="BM25" i="1"/>
  <c r="BV24" i="1"/>
  <c r="BT24" i="1"/>
  <c r="BQ24" i="1"/>
  <c r="CT24" i="1" s="1"/>
  <c r="BP24" i="1"/>
  <c r="CS24" i="1" s="1"/>
  <c r="BO24" i="1"/>
  <c r="BN24" i="1"/>
  <c r="BM24" i="1"/>
  <c r="BV23" i="1"/>
  <c r="BT23" i="1"/>
  <c r="BQ23" i="1"/>
  <c r="CT23" i="1" s="1"/>
  <c r="BP23" i="1"/>
  <c r="CS23" i="1" s="1"/>
  <c r="BO23" i="1"/>
  <c r="BN23" i="1"/>
  <c r="BM23" i="1"/>
  <c r="BV22" i="1"/>
  <c r="BT22" i="1"/>
  <c r="BQ22" i="1"/>
  <c r="CT22" i="1" s="1"/>
  <c r="BP22" i="1"/>
  <c r="CS22" i="1" s="1"/>
  <c r="BO22" i="1"/>
  <c r="BN22" i="1"/>
  <c r="BM22" i="1"/>
  <c r="BV21" i="1"/>
  <c r="BT21" i="1"/>
  <c r="BQ21" i="1"/>
  <c r="CT21" i="1" s="1"/>
  <c r="BP21" i="1"/>
  <c r="CS21" i="1" s="1"/>
  <c r="BO21" i="1"/>
  <c r="BN21" i="1"/>
  <c r="BM21" i="1"/>
  <c r="BV20" i="1"/>
  <c r="BT20" i="1"/>
  <c r="BQ20" i="1"/>
  <c r="CT20" i="1" s="1"/>
  <c r="BP20" i="1"/>
  <c r="CS20" i="1" s="1"/>
  <c r="BO20" i="1"/>
  <c r="BN20" i="1"/>
  <c r="BM20" i="1"/>
  <c r="BV19" i="1"/>
  <c r="BT19" i="1"/>
  <c r="BQ19" i="1"/>
  <c r="CT19" i="1" s="1"/>
  <c r="BP19" i="1"/>
  <c r="CS19" i="1" s="1"/>
  <c r="BO19" i="1"/>
  <c r="BN19" i="1"/>
  <c r="BM19" i="1"/>
  <c r="BV18" i="1"/>
  <c r="BT18" i="1"/>
  <c r="BQ18" i="1"/>
  <c r="CT18" i="1" s="1"/>
  <c r="BP18" i="1"/>
  <c r="CS18" i="1" s="1"/>
  <c r="BO18" i="1"/>
  <c r="BN18" i="1"/>
  <c r="BM18" i="1"/>
  <c r="BV17" i="1"/>
  <c r="BT17" i="1"/>
  <c r="BQ17" i="1"/>
  <c r="CT17" i="1" s="1"/>
  <c r="BP17" i="1"/>
  <c r="CS17" i="1" s="1"/>
  <c r="BO17" i="1"/>
  <c r="BN17" i="1"/>
  <c r="BM17" i="1"/>
  <c r="BV16" i="1"/>
  <c r="BT16" i="1"/>
  <c r="BQ16" i="1"/>
  <c r="CT16" i="1" s="1"/>
  <c r="BP16" i="1"/>
  <c r="CS16" i="1" s="1"/>
  <c r="BO16" i="1"/>
  <c r="BN16" i="1"/>
  <c r="BM16" i="1"/>
  <c r="BV15" i="1"/>
  <c r="BT15" i="1"/>
  <c r="BQ15" i="1"/>
  <c r="CT15" i="1" s="1"/>
  <c r="BP15" i="1"/>
  <c r="CS15" i="1" s="1"/>
  <c r="BO15" i="1"/>
  <c r="BN15" i="1"/>
  <c r="BM15" i="1"/>
  <c r="BV14" i="1"/>
  <c r="BT14" i="1"/>
  <c r="BQ14" i="1"/>
  <c r="CT14" i="1" s="1"/>
  <c r="BP14" i="1"/>
  <c r="CS14" i="1" s="1"/>
  <c r="BO14" i="1"/>
  <c r="BN14" i="1"/>
  <c r="BM14" i="1"/>
  <c r="BV13" i="1"/>
  <c r="BT13" i="1"/>
  <c r="BQ13" i="1"/>
  <c r="CT13" i="1" s="1"/>
  <c r="BP13" i="1"/>
  <c r="CS13" i="1" s="1"/>
  <c r="BO13" i="1"/>
  <c r="BN13" i="1"/>
  <c r="BM13" i="1"/>
  <c r="BV12" i="1"/>
  <c r="BT12" i="1"/>
  <c r="BQ12" i="1"/>
  <c r="CT12" i="1" s="1"/>
  <c r="BP12" i="1"/>
  <c r="CS12" i="1" s="1"/>
  <c r="BO12" i="1"/>
  <c r="BN12" i="1"/>
  <c r="BM12" i="1"/>
  <c r="BV11" i="1"/>
  <c r="BT11" i="1"/>
  <c r="BQ11" i="1"/>
  <c r="CT11" i="1" s="1"/>
  <c r="BP11" i="1"/>
  <c r="CS11" i="1" s="1"/>
  <c r="BO11" i="1"/>
  <c r="BN11" i="1"/>
  <c r="BM11" i="1"/>
  <c r="BV10" i="1"/>
  <c r="BT10" i="1"/>
  <c r="BQ10" i="1"/>
  <c r="CT10" i="1" s="1"/>
  <c r="BP10" i="1"/>
  <c r="CS10" i="1" s="1"/>
  <c r="BO10" i="1"/>
  <c r="BN10" i="1"/>
  <c r="BM10" i="1"/>
  <c r="BV9" i="1"/>
  <c r="BT9" i="1"/>
  <c r="BQ9" i="1"/>
  <c r="CT9" i="1" s="1"/>
  <c r="BP9" i="1"/>
  <c r="CS9" i="1" s="1"/>
  <c r="BO9" i="1"/>
  <c r="BN9" i="1"/>
  <c r="BM9" i="1"/>
  <c r="BV8" i="1"/>
  <c r="BT8" i="1"/>
  <c r="BQ8" i="1"/>
  <c r="CT8" i="1" s="1"/>
  <c r="BP8" i="1"/>
  <c r="CS8" i="1" s="1"/>
  <c r="BO8" i="1"/>
  <c r="BN8" i="1"/>
  <c r="BM8" i="1"/>
  <c r="BV7" i="1"/>
  <c r="BT7" i="1"/>
  <c r="BQ7" i="1"/>
  <c r="CT7" i="1" s="1"/>
  <c r="BP7" i="1"/>
  <c r="CS7" i="1" s="1"/>
  <c r="BO7" i="1"/>
  <c r="BN7" i="1"/>
  <c r="BM7" i="1"/>
  <c r="BV6" i="1"/>
  <c r="BT6" i="1"/>
  <c r="BQ6" i="1"/>
  <c r="CT6" i="1" s="1"/>
  <c r="BP6" i="1"/>
  <c r="CS6" i="1" s="1"/>
  <c r="BO6" i="1"/>
  <c r="BN6" i="1"/>
  <c r="BM6" i="1"/>
  <c r="BE389" i="1" l="1"/>
  <c r="BS134" i="1"/>
  <c r="BJ134" i="1" l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CF158" i="1" s="1"/>
  <c r="BI396" i="1"/>
  <c r="BS158" i="1"/>
  <c r="BJ160" i="1"/>
  <c r="BS160" i="1"/>
  <c r="BJ380" i="1"/>
  <c r="BI380" i="1"/>
  <c r="BG380" i="1"/>
  <c r="BG395" i="1"/>
  <c r="BJ381" i="1"/>
  <c r="BI381" i="1"/>
  <c r="BG381" i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BS157" i="1"/>
  <c r="BJ159" i="1"/>
  <c r="BS159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BS126" i="1"/>
  <c r="BJ127" i="1"/>
  <c r="CF127" i="1" s="1"/>
  <c r="BS127" i="1"/>
  <c r="BI395" i="1"/>
  <c r="BJ128" i="1"/>
  <c r="BS128" i="1"/>
  <c r="BJ129" i="1"/>
  <c r="BS129" i="1"/>
  <c r="BJ130" i="1"/>
  <c r="BS130" i="1"/>
  <c r="BJ131" i="1"/>
  <c r="BS131" i="1"/>
  <c r="BJ132" i="1"/>
  <c r="BS132" i="1"/>
  <c r="BJ133" i="1"/>
  <c r="BS133" i="1"/>
  <c r="BG396" i="1"/>
  <c r="BK125" i="1" l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7" i="1"/>
  <c r="CG157" i="1" s="1"/>
  <c r="CF157" i="1"/>
  <c r="BK153" i="1"/>
  <c r="CG153" i="1" s="1"/>
  <c r="CF153" i="1"/>
  <c r="BK149" i="1"/>
  <c r="CG149" i="1" s="1"/>
  <c r="CF149" i="1"/>
  <c r="BK145" i="1"/>
  <c r="CG145" i="1" s="1"/>
  <c r="CF145" i="1"/>
  <c r="BK141" i="1"/>
  <c r="CG141" i="1" s="1"/>
  <c r="CF141" i="1"/>
  <c r="BK137" i="1"/>
  <c r="CG137" i="1" s="1"/>
  <c r="CF137" i="1"/>
  <c r="BK154" i="1"/>
  <c r="CG154" i="1" s="1"/>
  <c r="CF154" i="1"/>
  <c r="BK150" i="1"/>
  <c r="CG150" i="1" s="1"/>
  <c r="CF150" i="1"/>
  <c r="BK146" i="1"/>
  <c r="CG146" i="1" s="1"/>
  <c r="CF146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26" i="1"/>
  <c r="CG126" i="1" s="1"/>
  <c r="CF126" i="1"/>
  <c r="BK124" i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59" i="1"/>
  <c r="CG159" i="1" s="1"/>
  <c r="CF159" i="1"/>
  <c r="BK155" i="1"/>
  <c r="CG155" i="1" s="1"/>
  <c r="CF155" i="1"/>
  <c r="BK151" i="1"/>
  <c r="CG151" i="1" s="1"/>
  <c r="CF151" i="1"/>
  <c r="BK147" i="1"/>
  <c r="CG147" i="1" s="1"/>
  <c r="CF147" i="1"/>
  <c r="BK143" i="1"/>
  <c r="CG143" i="1" s="1"/>
  <c r="CF143" i="1"/>
  <c r="BK139" i="1"/>
  <c r="CG139" i="1" s="1"/>
  <c r="CF139" i="1"/>
  <c r="BK135" i="1"/>
  <c r="CG135" i="1" s="1"/>
  <c r="CF135" i="1"/>
  <c r="BK156" i="1"/>
  <c r="CG156" i="1" s="1"/>
  <c r="CF156" i="1"/>
  <c r="BK152" i="1"/>
  <c r="CG152" i="1" s="1"/>
  <c r="CF152" i="1"/>
  <c r="BK148" i="1"/>
  <c r="CG148" i="1" s="1"/>
  <c r="CF148" i="1"/>
  <c r="BK144" i="1"/>
  <c r="CG144" i="1" s="1"/>
  <c r="CF144" i="1"/>
  <c r="BK133" i="1"/>
  <c r="CG133" i="1" s="1"/>
  <c r="CF133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60" i="1"/>
  <c r="CG160" i="1" s="1"/>
  <c r="CF160" i="1"/>
  <c r="BK134" i="1"/>
  <c r="CG134" i="1" s="1"/>
  <c r="CF134" i="1"/>
  <c r="BK158" i="1"/>
  <c r="BK381" i="1"/>
  <c r="BK127" i="1"/>
  <c r="BK380" i="1"/>
  <c r="BL380" i="1" l="1"/>
  <c r="CG127" i="1"/>
  <c r="BL381" i="1"/>
  <c r="CG158" i="1"/>
  <c r="AX395" i="1"/>
  <c r="AY395" i="1"/>
  <c r="AY380" i="1"/>
  <c r="AX387" i="1"/>
  <c r="AX386" i="1"/>
  <c r="AX385" i="1"/>
  <c r="AX384" i="1"/>
  <c r="AX383" i="1"/>
  <c r="AX382" i="1"/>
  <c r="AX381" i="1"/>
  <c r="AX380" i="1"/>
  <c r="AX379" i="1"/>
  <c r="BJ115" i="1" l="1"/>
  <c r="BS115" i="1"/>
  <c r="BJ113" i="1"/>
  <c r="BS113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7" i="1"/>
  <c r="BS77" i="1"/>
  <c r="BJ75" i="1"/>
  <c r="BS75" i="1"/>
  <c r="BJ73" i="1"/>
  <c r="BS73" i="1"/>
  <c r="BJ71" i="1"/>
  <c r="BS71" i="1"/>
  <c r="BJ69" i="1"/>
  <c r="BS69" i="1"/>
  <c r="BJ67" i="1"/>
  <c r="BS67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2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1" i="1"/>
  <c r="BS6" i="1"/>
  <c r="BG394" i="1"/>
  <c r="BG391" i="1"/>
  <c r="BG373" i="1"/>
  <c r="BI379" i="1"/>
  <c r="BG379" i="1"/>
  <c r="BJ379" i="1"/>
  <c r="BG378" i="1"/>
  <c r="BJ378" i="1"/>
  <c r="BI378" i="1"/>
  <c r="BJ377" i="1"/>
  <c r="BI377" i="1"/>
  <c r="BG377" i="1"/>
  <c r="BJ376" i="1"/>
  <c r="BI376" i="1"/>
  <c r="BG376" i="1"/>
  <c r="BJ116" i="1"/>
  <c r="BS116" i="1"/>
  <c r="BJ114" i="1"/>
  <c r="BS114" i="1"/>
  <c r="BJ112" i="1"/>
  <c r="BS112" i="1"/>
  <c r="BJ111" i="1"/>
  <c r="BS111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CF97" i="1" s="1"/>
  <c r="BI394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6" i="1"/>
  <c r="BS76" i="1"/>
  <c r="BJ74" i="1"/>
  <c r="BS74" i="1"/>
  <c r="BJ72" i="1"/>
  <c r="BS72" i="1"/>
  <c r="BJ70" i="1"/>
  <c r="BS70" i="1"/>
  <c r="BJ68" i="1"/>
  <c r="BS68" i="1"/>
  <c r="BI393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3" i="1"/>
  <c r="BG392" i="1"/>
  <c r="BK97" i="1"/>
  <c r="CG97" i="1" s="1"/>
  <c r="O373" i="1"/>
  <c r="BK68" i="1" l="1"/>
  <c r="CG68" i="1" s="1"/>
  <c r="CF68" i="1"/>
  <c r="BK72" i="1"/>
  <c r="CG72" i="1" s="1"/>
  <c r="CF72" i="1"/>
  <c r="BK76" i="1"/>
  <c r="CG76" i="1" s="1"/>
  <c r="CF76" i="1"/>
  <c r="BK81" i="1"/>
  <c r="CG81" i="1" s="1"/>
  <c r="CF81" i="1"/>
  <c r="BK85" i="1"/>
  <c r="CG85" i="1" s="1"/>
  <c r="CF85" i="1"/>
  <c r="BK91" i="1"/>
  <c r="CG91" i="1" s="1"/>
  <c r="CF91" i="1"/>
  <c r="BK8" i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1" i="1"/>
  <c r="CG111" i="1" s="1"/>
  <c r="CF111" i="1"/>
  <c r="BK112" i="1"/>
  <c r="CG112" i="1" s="1"/>
  <c r="CF112" i="1"/>
  <c r="BK114" i="1"/>
  <c r="CG114" i="1" s="1"/>
  <c r="CF114" i="1"/>
  <c r="BK116" i="1"/>
  <c r="CG116" i="1" s="1"/>
  <c r="CF116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70" i="1"/>
  <c r="CG70" i="1" s="1"/>
  <c r="CF70" i="1"/>
  <c r="BK74" i="1"/>
  <c r="CG74" i="1" s="1"/>
  <c r="CF74" i="1"/>
  <c r="BK79" i="1"/>
  <c r="CG79" i="1" s="1"/>
  <c r="CF79" i="1"/>
  <c r="BK83" i="1"/>
  <c r="CG83" i="1" s="1"/>
  <c r="CF83" i="1"/>
  <c r="BK87" i="1"/>
  <c r="CG87" i="1" s="1"/>
  <c r="CF87" i="1"/>
  <c r="BK89" i="1"/>
  <c r="CG89" i="1" s="1"/>
  <c r="CF89" i="1"/>
  <c r="BK93" i="1"/>
  <c r="CG93" i="1" s="1"/>
  <c r="CF93" i="1"/>
  <c r="BK95" i="1"/>
  <c r="CG95" i="1" s="1"/>
  <c r="CF95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7" i="1"/>
  <c r="CG67" i="1" s="1"/>
  <c r="CF67" i="1"/>
  <c r="BK69" i="1"/>
  <c r="CG69" i="1" s="1"/>
  <c r="CF69" i="1"/>
  <c r="BK71" i="1"/>
  <c r="CG71" i="1" s="1"/>
  <c r="CF71" i="1"/>
  <c r="BK73" i="1"/>
  <c r="CG73" i="1" s="1"/>
  <c r="CF73" i="1"/>
  <c r="BK75" i="1"/>
  <c r="CG75" i="1" s="1"/>
  <c r="CF75" i="1"/>
  <c r="BK77" i="1"/>
  <c r="CG77" i="1" s="1"/>
  <c r="CF77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96" i="1"/>
  <c r="CG96" i="1" s="1"/>
  <c r="CF96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3" i="1"/>
  <c r="CG113" i="1" s="1"/>
  <c r="CF113" i="1"/>
  <c r="BK115" i="1"/>
  <c r="CG115" i="1" s="1"/>
  <c r="CF115" i="1"/>
  <c r="BL379" i="1"/>
  <c r="BK379" i="1"/>
  <c r="BK6" i="1"/>
  <c r="BK376" i="1"/>
  <c r="BL378" i="1"/>
  <c r="BK378" i="1"/>
  <c r="BK37" i="1"/>
  <c r="BK377" i="1"/>
  <c r="BL377" i="1" l="1"/>
  <c r="CG37" i="1"/>
  <c r="BL376" i="1"/>
  <c r="CG6" i="1"/>
  <c r="BC400" i="1"/>
  <c r="BC399" i="1"/>
  <c r="AH387" i="1"/>
  <c r="AG387" i="1"/>
  <c r="AF387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BC395" i="1" l="1"/>
  <c r="BC398" i="1"/>
  <c r="N389" i="1"/>
  <c r="BC397" i="1"/>
  <c r="BC396" i="1"/>
  <c r="G389" i="1"/>
  <c r="M389" i="1"/>
  <c r="AY385" i="1" l="1"/>
  <c r="AY400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8" i="1"/>
  <c r="AX377" i="1"/>
  <c r="AX376" i="1"/>
  <c r="AY386" i="1" l="1"/>
  <c r="AX392" i="1"/>
  <c r="AX393" i="1"/>
  <c r="AX391" i="1"/>
  <c r="BC394" i="1"/>
  <c r="BC392" i="1"/>
  <c r="BC393" i="1"/>
  <c r="AY392" i="1"/>
  <c r="AY377" i="1"/>
  <c r="AY393" i="1"/>
  <c r="AY378" i="1"/>
  <c r="AY401" i="1"/>
  <c r="AX394" i="1"/>
  <c r="BC391" i="1"/>
  <c r="AY391" i="1"/>
  <c r="AY376" i="1"/>
  <c r="AY394" i="1"/>
  <c r="AY379" i="1"/>
  <c r="AY402" i="1"/>
  <c r="AY387" i="1"/>
</calcChain>
</file>

<file path=xl/sharedStrings.xml><?xml version="1.0" encoding="utf-8"?>
<sst xmlns="http://schemas.openxmlformats.org/spreadsheetml/2006/main" count="668" uniqueCount="164">
  <si>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</si>
  <si>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</si>
  <si>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</si>
  <si>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</si>
  <si>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</si>
  <si>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</si>
  <si>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</si>
  <si>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</si>
  <si>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</si>
  <si>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</si>
  <si>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</si>
  <si>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</si>
  <si>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</si>
  <si>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</si>
  <si>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</si>
  <si>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</si>
  <si>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</si>
  <si>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</si>
  <si>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</si>
  <si>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</si>
  <si>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</si>
  <si>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</si>
  <si>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</si>
  <si>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</si>
  <si>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</si>
  <si>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</si>
  <si>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</si>
  <si>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</si>
  <si>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</si>
  <si>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</si>
  <si>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</si>
  <si>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</si>
  <si>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</si>
  <si>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</si>
  <si>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</si>
  <si>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</si>
  <si>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</si>
  <si>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</si>
  <si>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</si>
  <si>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</si>
  <si>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</si>
  <si>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</si>
  <si>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</si>
  <si>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</si>
  <si>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</si>
  <si>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</si>
  <si>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</si>
  <si>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</si>
  <si>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</si>
  <si>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</si>
  <si>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</si>
  <si>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</si>
  <si>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</si>
  <si>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</si>
  <si>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</si>
  <si>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</si>
  <si>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</si>
  <si>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</si>
  <si>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</si>
  <si>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</si>
  <si>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</si>
  <si>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</si>
  <si>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</si>
  <si>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</si>
  <si>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</si>
  <si>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</si>
  <si>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</si>
  <si>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</si>
  <si>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</si>
  <si>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</si>
  <si>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</si>
  <si>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</si>
  <si>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</si>
  <si>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</si>
  <si>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</si>
  <si>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</si>
  <si>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</si>
  <si>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</si>
  <si>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</si>
  <si>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</si>
  <si>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</si>
  <si>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</si>
  <si>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</si>
  <si>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</si>
  <si>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</si>
  <si>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</si>
  <si>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</si>
  <si>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</si>
  <si>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</si>
  <si>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</si>
  <si>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</si>
  <si>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</si>
  <si>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</si>
  <si>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</si>
  <si>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</si>
  <si>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</si>
  <si>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</si>
  <si>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PrecipAnalysis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</si>
  <si>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</si>
  <si>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</si>
  <si>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</si>
  <si>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</si>
  <si>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</si>
  <si>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</si>
  <si>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</si>
  <si>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</si>
  <si>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</si>
  <si>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</si>
  <si>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</si>
  <si>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</si>
  <si>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</si>
  <si>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Tsurface C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</si>
  <si>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</si>
  <si>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</si>
  <si>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</si>
  <si>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</si>
  <si>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</si>
  <si>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</si>
  <si>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</si>
  <si>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</si>
  <si>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</si>
  <si>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</si>
  <si>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</si>
  <si>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</si>
  <si>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</si>
  <si>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</si>
  <si>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</si>
  <si>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</si>
  <si>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</si>
  <si>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</si>
  <si>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</si>
  <si>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</si>
  <si>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LiCor silicon pyranometer as reflected at 3 m. Adjustment in file for  spectral response</t>
  </si>
  <si>
    <t xml:space="preserve">Adjusted to zero at night and summed to daily in hourly file. </t>
  </si>
  <si>
    <t xml:space="preserve">Adjustment for snow on sensor </t>
  </si>
  <si>
    <t>LiCor silicon pyranometer at 3 m corrected for spectral response</t>
  </si>
  <si>
    <t>Precipitation mm</t>
  </si>
  <si>
    <t>Tipping bucket Sierra Misco nominally 0.254 mm/tip</t>
  </si>
  <si>
    <t>Snow depth mm</t>
  </si>
  <si>
    <t>Apogee infra red thermometer at 3 m.</t>
  </si>
  <si>
    <t>Snow pack average of 50, 20 and Tsoil0.5cm depending on depth of snow</t>
  </si>
  <si>
    <t>Meta data for PB</t>
  </si>
  <si>
    <t xml:space="preserve">HC-S3 in Gill sheild at 3 m </t>
  </si>
  <si>
    <t>Penticton Creek Site PB 2020, Daily data</t>
  </si>
  <si>
    <t>Calc from snowfall</t>
  </si>
  <si>
    <t>Reflected MJ/m2/d</t>
  </si>
  <si>
    <t>Vapour pressure and vapour pressure deficit (kPa)</t>
  </si>
  <si>
    <t>Calculated from air temperature and relative humidity</t>
  </si>
  <si>
    <t>Added adjusted snow depth to October from precip analysis files and depth from daily data</t>
  </si>
  <si>
    <t>Last edit 23/11/25</t>
  </si>
  <si>
    <t xml:space="preserve">Added precipitation to October from precip analysis files. Estimated Oct to Dec from daily snowfall and a density of 0.13 </t>
  </si>
  <si>
    <t>Thermocouple at 0.2 and 0.5 mreferenced to thermistor on panel</t>
  </si>
  <si>
    <t>Thermocouples at 0.005, 0.15 and 0.5 m referenced to thermistor on panel</t>
  </si>
  <si>
    <t>Wind m/s</t>
  </si>
  <si>
    <t>Wind direction degrees</t>
  </si>
  <si>
    <t>N-NE</t>
  </si>
  <si>
    <t>NE-E</t>
  </si>
  <si>
    <t>E-SE</t>
  </si>
  <si>
    <t>S-SW</t>
  </si>
  <si>
    <t>SW-W</t>
  </si>
  <si>
    <t>W-NW</t>
  </si>
  <si>
    <t>NW-N</t>
  </si>
  <si>
    <t>SE-S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</si>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</sst>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0" fontId="1" fillId="2" borderId="0" xfId="0" applyFont="1" applyFill="1"/>
    <xf numFmtId="166" fontId="1" fillId="0" borderId="0" xfId="0" applyNumberFormat="1" applyFont="1"/>
    <xf numFmtId="166" fontId="1" fillId="3" borderId="0" xfId="0" applyNumberFormat="1" applyFont="1" applyFill="1"/>
    <xf numFmtId="166" fontId="1" fillId="4" borderId="0" xfId="0" applyNumberFormat="1" applyFont="1" applyFill="1"/>
    <xf numFmtId="166" fontId="1" fillId="5" borderId="0" xfId="0" applyNumberFormat="1" applyFont="1" applyFill="1"/>
    <xf numFmtId="0" fontId="1" fillId="6" borderId="0" xfId="0" applyFont="1" applyFill="1"/>
    <xf numFmtId="0" fontId="1" fillId="7" borderId="0" xfId="0" applyFont="1" applyFill="1"/>
    <xf numFmtId="1" fontId="1" fillId="0" borderId="0" xfId="0" applyNumberFormat="1" applyFont="1" applyFill="1"/>
    <xf numFmtId="1" fontId="1" fillId="8" borderId="0" xfId="0" applyNumberFormat="1" applyFont="1" applyFill="1"/>
    <xf numFmtId="166" fontId="1" fillId="9" borderId="0" xfId="0" applyNumberFormat="1" applyFont="1" applyFill="1"/>
    <xf numFmtId="0" fontId="1" fillId="9" borderId="0" xfId="0" applyFont="1" applyFill="1"/>
    <xf numFmtId="2" fontId="1" fillId="8" borderId="0" xfId="0" applyNumberFormat="1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6" fontId="1" fillId="0" borderId="0" xfId="0" applyNumberFormat="1" applyFont="1" applyFill="1"/>
    <xf numFmtId="164" fontId="1" fillId="0" borderId="0" xfId="0" applyNumberFormat="1" applyFont="1" applyFill="1"/>
    <xf numFmtId="2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Data!$BA$6:$BA$371</c:f>
              <c:numCache>
                <c:formatCode>General</c:formatCode>
                <c:ptCount val="366"/>
                <c:pt idx="0">
                  <c:v>1.72</c:v>
                </c:pt>
                <c:pt idx="1">
                  <c:v>2.9</c:v>
                </c:pt>
                <c:pt idx="2">
                  <c:v>2.4</c:v>
                </c:pt>
                <c:pt idx="3">
                  <c:v>2.5299999999999998</c:v>
                </c:pt>
                <c:pt idx="4">
                  <c:v>1.73</c:v>
                </c:pt>
                <c:pt idx="5">
                  <c:v>0.74</c:v>
                </c:pt>
                <c:pt idx="6">
                  <c:v>1.31</c:v>
                </c:pt>
                <c:pt idx="7">
                  <c:v>1.21</c:v>
                </c:pt>
                <c:pt idx="8">
                  <c:v>3.83</c:v>
                </c:pt>
                <c:pt idx="9">
                  <c:v>1</c:v>
                </c:pt>
                <c:pt idx="10">
                  <c:v>1.86</c:v>
                </c:pt>
                <c:pt idx="11">
                  <c:v>1.1000000000000001</c:v>
                </c:pt>
                <c:pt idx="12">
                  <c:v>2.41</c:v>
                </c:pt>
                <c:pt idx="13">
                  <c:v>2.6</c:v>
                </c:pt>
                <c:pt idx="14">
                  <c:v>2.2999999999999998</c:v>
                </c:pt>
                <c:pt idx="15">
                  <c:v>1.59</c:v>
                </c:pt>
                <c:pt idx="16">
                  <c:v>4.96</c:v>
                </c:pt>
                <c:pt idx="17">
                  <c:v>1.22</c:v>
                </c:pt>
                <c:pt idx="18">
                  <c:v>2.93</c:v>
                </c:pt>
                <c:pt idx="19">
                  <c:v>2.16</c:v>
                </c:pt>
                <c:pt idx="20">
                  <c:v>1.79</c:v>
                </c:pt>
                <c:pt idx="21">
                  <c:v>2.36</c:v>
                </c:pt>
                <c:pt idx="22">
                  <c:v>4.1399999999999997</c:v>
                </c:pt>
                <c:pt idx="23">
                  <c:v>3.98</c:v>
                </c:pt>
                <c:pt idx="24">
                  <c:v>2.04</c:v>
                </c:pt>
                <c:pt idx="25">
                  <c:v>3.09</c:v>
                </c:pt>
                <c:pt idx="26">
                  <c:v>4.37</c:v>
                </c:pt>
                <c:pt idx="27">
                  <c:v>5.42</c:v>
                </c:pt>
                <c:pt idx="28">
                  <c:v>1.3</c:v>
                </c:pt>
                <c:pt idx="29">
                  <c:v>2.56</c:v>
                </c:pt>
                <c:pt idx="30">
                  <c:v>2.27</c:v>
                </c:pt>
                <c:pt idx="31">
                  <c:v>3.67</c:v>
                </c:pt>
                <c:pt idx="32">
                  <c:v>7.44</c:v>
                </c:pt>
                <c:pt idx="33">
                  <c:v>7.24</c:v>
                </c:pt>
                <c:pt idx="34">
                  <c:v>1.62</c:v>
                </c:pt>
                <c:pt idx="35">
                  <c:v>1.25</c:v>
                </c:pt>
                <c:pt idx="36">
                  <c:v>2.31</c:v>
                </c:pt>
                <c:pt idx="37">
                  <c:v>2.0099999999999998</c:v>
                </c:pt>
                <c:pt idx="38">
                  <c:v>3.18</c:v>
                </c:pt>
                <c:pt idx="39">
                  <c:v>2.0099999999999998</c:v>
                </c:pt>
                <c:pt idx="40">
                  <c:v>5.0599999999999996</c:v>
                </c:pt>
                <c:pt idx="41">
                  <c:v>5.42</c:v>
                </c:pt>
                <c:pt idx="42">
                  <c:v>8.6</c:v>
                </c:pt>
                <c:pt idx="43">
                  <c:v>2.73</c:v>
                </c:pt>
                <c:pt idx="44">
                  <c:v>5.79</c:v>
                </c:pt>
                <c:pt idx="45">
                  <c:v>2.89</c:v>
                </c:pt>
                <c:pt idx="46">
                  <c:v>4.32</c:v>
                </c:pt>
                <c:pt idx="47">
                  <c:v>6.2</c:v>
                </c:pt>
                <c:pt idx="48">
                  <c:v>7.97</c:v>
                </c:pt>
                <c:pt idx="49">
                  <c:v>9.93</c:v>
                </c:pt>
                <c:pt idx="50">
                  <c:v>10.69</c:v>
                </c:pt>
                <c:pt idx="51">
                  <c:v>9.43</c:v>
                </c:pt>
                <c:pt idx="52">
                  <c:v>4.74</c:v>
                </c:pt>
                <c:pt idx="53">
                  <c:v>4.47</c:v>
                </c:pt>
                <c:pt idx="54">
                  <c:v>4.3899999999999997</c:v>
                </c:pt>
                <c:pt idx="55">
                  <c:v>5.35</c:v>
                </c:pt>
                <c:pt idx="56">
                  <c:v>10.5</c:v>
                </c:pt>
                <c:pt idx="57">
                  <c:v>7.41</c:v>
                </c:pt>
                <c:pt idx="58">
                  <c:v>7.43</c:v>
                </c:pt>
                <c:pt idx="59">
                  <c:v>5.57</c:v>
                </c:pt>
                <c:pt idx="60">
                  <c:v>9.0299999999999994</c:v>
                </c:pt>
                <c:pt idx="61">
                  <c:v>8.6300000000000008</c:v>
                </c:pt>
                <c:pt idx="62">
                  <c:v>9.34</c:v>
                </c:pt>
                <c:pt idx="63">
                  <c:v>8.8800000000000008</c:v>
                </c:pt>
                <c:pt idx="64">
                  <c:v>9.86</c:v>
                </c:pt>
                <c:pt idx="65">
                  <c:v>4.9800000000000004</c:v>
                </c:pt>
                <c:pt idx="66">
                  <c:v>7.85</c:v>
                </c:pt>
                <c:pt idx="67">
                  <c:v>8.7100000000000009</c:v>
                </c:pt>
                <c:pt idx="68">
                  <c:v>13.85</c:v>
                </c:pt>
                <c:pt idx="69">
                  <c:v>3.56</c:v>
                </c:pt>
                <c:pt idx="70">
                  <c:v>7.92</c:v>
                </c:pt>
                <c:pt idx="71">
                  <c:v>7.58</c:v>
                </c:pt>
                <c:pt idx="72">
                  <c:v>6.16</c:v>
                </c:pt>
                <c:pt idx="73">
                  <c:v>10.87</c:v>
                </c:pt>
                <c:pt idx="74">
                  <c:v>16.72</c:v>
                </c:pt>
                <c:pt idx="75">
                  <c:v>16.149999999999999</c:v>
                </c:pt>
                <c:pt idx="76">
                  <c:v>13.7</c:v>
                </c:pt>
                <c:pt idx="77">
                  <c:v>16.170000000000002</c:v>
                </c:pt>
                <c:pt idx="78">
                  <c:v>15.81</c:v>
                </c:pt>
                <c:pt idx="79">
                  <c:v>16.420000000000002</c:v>
                </c:pt>
                <c:pt idx="80">
                  <c:v>16.61</c:v>
                </c:pt>
                <c:pt idx="81">
                  <c:v>10.53</c:v>
                </c:pt>
                <c:pt idx="82">
                  <c:v>11.12</c:v>
                </c:pt>
                <c:pt idx="83">
                  <c:v>8</c:v>
                </c:pt>
                <c:pt idx="84">
                  <c:v>18.05</c:v>
                </c:pt>
                <c:pt idx="85">
                  <c:v>7.12</c:v>
                </c:pt>
                <c:pt idx="86">
                  <c:v>7.22</c:v>
                </c:pt>
                <c:pt idx="87">
                  <c:v>8.14</c:v>
                </c:pt>
                <c:pt idx="88">
                  <c:v>11.54</c:v>
                </c:pt>
                <c:pt idx="89">
                  <c:v>9.35</c:v>
                </c:pt>
                <c:pt idx="90">
                  <c:v>11.3</c:v>
                </c:pt>
                <c:pt idx="91">
                  <c:v>17.78</c:v>
                </c:pt>
                <c:pt idx="92">
                  <c:v>16.14</c:v>
                </c:pt>
                <c:pt idx="93">
                  <c:v>9.19</c:v>
                </c:pt>
                <c:pt idx="94">
                  <c:v>10.07</c:v>
                </c:pt>
                <c:pt idx="95">
                  <c:v>8.83</c:v>
                </c:pt>
                <c:pt idx="96">
                  <c:v>17.89</c:v>
                </c:pt>
                <c:pt idx="97">
                  <c:v>19.05</c:v>
                </c:pt>
                <c:pt idx="98">
                  <c:v>19.07</c:v>
                </c:pt>
                <c:pt idx="99">
                  <c:v>20.309999999999999</c:v>
                </c:pt>
                <c:pt idx="100">
                  <c:v>16.34</c:v>
                </c:pt>
                <c:pt idx="101">
                  <c:v>14.12</c:v>
                </c:pt>
                <c:pt idx="102">
                  <c:v>21.16</c:v>
                </c:pt>
                <c:pt idx="103">
                  <c:v>19.53</c:v>
                </c:pt>
                <c:pt idx="104">
                  <c:v>5.21</c:v>
                </c:pt>
                <c:pt idx="105">
                  <c:v>18.77</c:v>
                </c:pt>
                <c:pt idx="106">
                  <c:v>21.89</c:v>
                </c:pt>
                <c:pt idx="107">
                  <c:v>13.59</c:v>
                </c:pt>
                <c:pt idx="108">
                  <c:v>16.39</c:v>
                </c:pt>
                <c:pt idx="109">
                  <c:v>14.27</c:v>
                </c:pt>
                <c:pt idx="110">
                  <c:v>21.7</c:v>
                </c:pt>
                <c:pt idx="111">
                  <c:v>14.82</c:v>
                </c:pt>
                <c:pt idx="112">
                  <c:v>10.88</c:v>
                </c:pt>
                <c:pt idx="113">
                  <c:v>10.72</c:v>
                </c:pt>
                <c:pt idx="114">
                  <c:v>16.690000000000001</c:v>
                </c:pt>
                <c:pt idx="115">
                  <c:v>9.8699999999999992</c:v>
                </c:pt>
                <c:pt idx="116">
                  <c:v>17.04</c:v>
                </c:pt>
                <c:pt idx="117">
                  <c:v>17.670000000000002</c:v>
                </c:pt>
                <c:pt idx="118">
                  <c:v>15.52</c:v>
                </c:pt>
                <c:pt idx="119">
                  <c:v>14.36</c:v>
                </c:pt>
                <c:pt idx="120">
                  <c:v>21.86</c:v>
                </c:pt>
                <c:pt idx="121">
                  <c:v>17.690000000000001</c:v>
                </c:pt>
                <c:pt idx="122">
                  <c:v>14.47</c:v>
                </c:pt>
                <c:pt idx="123">
                  <c:v>16.98</c:v>
                </c:pt>
                <c:pt idx="124">
                  <c:v>23.07</c:v>
                </c:pt>
                <c:pt idx="125">
                  <c:v>14.91</c:v>
                </c:pt>
                <c:pt idx="126">
                  <c:v>6.7</c:v>
                </c:pt>
                <c:pt idx="127">
                  <c:v>19.46</c:v>
                </c:pt>
                <c:pt idx="128">
                  <c:v>24.95</c:v>
                </c:pt>
                <c:pt idx="129">
                  <c:v>25.52</c:v>
                </c:pt>
                <c:pt idx="130">
                  <c:v>22.3</c:v>
                </c:pt>
                <c:pt idx="131">
                  <c:v>22.6</c:v>
                </c:pt>
                <c:pt idx="132">
                  <c:v>10.44</c:v>
                </c:pt>
                <c:pt idx="133">
                  <c:v>14.52</c:v>
                </c:pt>
                <c:pt idx="134">
                  <c:v>14.77</c:v>
                </c:pt>
                <c:pt idx="135">
                  <c:v>11.88</c:v>
                </c:pt>
                <c:pt idx="136">
                  <c:v>9.02</c:v>
                </c:pt>
                <c:pt idx="137">
                  <c:v>8.23</c:v>
                </c:pt>
                <c:pt idx="138">
                  <c:v>15.87</c:v>
                </c:pt>
                <c:pt idx="139">
                  <c:v>27.31</c:v>
                </c:pt>
                <c:pt idx="140">
                  <c:v>17.18</c:v>
                </c:pt>
                <c:pt idx="141">
                  <c:v>12.96</c:v>
                </c:pt>
                <c:pt idx="142">
                  <c:v>5.22</c:v>
                </c:pt>
                <c:pt idx="143">
                  <c:v>13.88</c:v>
                </c:pt>
                <c:pt idx="144">
                  <c:v>15.76</c:v>
                </c:pt>
                <c:pt idx="145">
                  <c:v>7.37</c:v>
                </c:pt>
                <c:pt idx="146">
                  <c:v>18.79</c:v>
                </c:pt>
                <c:pt idx="147">
                  <c:v>28.62</c:v>
                </c:pt>
                <c:pt idx="148">
                  <c:v>20.28</c:v>
                </c:pt>
                <c:pt idx="149">
                  <c:v>22.58</c:v>
                </c:pt>
                <c:pt idx="150">
                  <c:v>11.24</c:v>
                </c:pt>
                <c:pt idx="151">
                  <c:v>6.58</c:v>
                </c:pt>
                <c:pt idx="152">
                  <c:v>21.91</c:v>
                </c:pt>
                <c:pt idx="153">
                  <c:v>16.510000000000002</c:v>
                </c:pt>
                <c:pt idx="154">
                  <c:v>24.64</c:v>
                </c:pt>
                <c:pt idx="155">
                  <c:v>18.920000000000002</c:v>
                </c:pt>
                <c:pt idx="156">
                  <c:v>15.39</c:v>
                </c:pt>
                <c:pt idx="157">
                  <c:v>19.440000000000001</c:v>
                </c:pt>
                <c:pt idx="158">
                  <c:v>17.22</c:v>
                </c:pt>
                <c:pt idx="159">
                  <c:v>22.52</c:v>
                </c:pt>
                <c:pt idx="160">
                  <c:v>6.59</c:v>
                </c:pt>
                <c:pt idx="161">
                  <c:v>15.51</c:v>
                </c:pt>
                <c:pt idx="162">
                  <c:v>9.98</c:v>
                </c:pt>
                <c:pt idx="163">
                  <c:v>16.010000000000002</c:v>
                </c:pt>
                <c:pt idx="164">
                  <c:v>4.17</c:v>
                </c:pt>
                <c:pt idx="165">
                  <c:v>7.84</c:v>
                </c:pt>
                <c:pt idx="166">
                  <c:v>12.29</c:v>
                </c:pt>
                <c:pt idx="167">
                  <c:v>18.12</c:v>
                </c:pt>
                <c:pt idx="168">
                  <c:v>22.34</c:v>
                </c:pt>
                <c:pt idx="169">
                  <c:v>26.59</c:v>
                </c:pt>
                <c:pt idx="170">
                  <c:v>19.39</c:v>
                </c:pt>
                <c:pt idx="171">
                  <c:v>10.43</c:v>
                </c:pt>
                <c:pt idx="172">
                  <c:v>25.01</c:v>
                </c:pt>
                <c:pt idx="173">
                  <c:v>23.98</c:v>
                </c:pt>
                <c:pt idx="174">
                  <c:v>16.760000000000002</c:v>
                </c:pt>
                <c:pt idx="175">
                  <c:v>14.34</c:v>
                </c:pt>
                <c:pt idx="176">
                  <c:v>27.64</c:v>
                </c:pt>
                <c:pt idx="177">
                  <c:v>16.440000000000001</c:v>
                </c:pt>
                <c:pt idx="178">
                  <c:v>19.23</c:v>
                </c:pt>
                <c:pt idx="179">
                  <c:v>8.5399999999999991</c:v>
                </c:pt>
                <c:pt idx="180">
                  <c:v>26.62</c:v>
                </c:pt>
                <c:pt idx="181">
                  <c:v>12.41</c:v>
                </c:pt>
                <c:pt idx="182">
                  <c:v>9.75</c:v>
                </c:pt>
                <c:pt idx="183">
                  <c:v>15.07</c:v>
                </c:pt>
                <c:pt idx="184">
                  <c:v>14.51</c:v>
                </c:pt>
                <c:pt idx="185">
                  <c:v>24.81</c:v>
                </c:pt>
                <c:pt idx="186">
                  <c:v>17.88</c:v>
                </c:pt>
                <c:pt idx="187">
                  <c:v>16.559999999999999</c:v>
                </c:pt>
                <c:pt idx="188">
                  <c:v>9.43</c:v>
                </c:pt>
                <c:pt idx="189">
                  <c:v>18.41</c:v>
                </c:pt>
                <c:pt idx="190">
                  <c:v>10.050000000000001</c:v>
                </c:pt>
                <c:pt idx="191">
                  <c:v>22.61</c:v>
                </c:pt>
                <c:pt idx="192">
                  <c:v>15.92</c:v>
                </c:pt>
                <c:pt idx="193">
                  <c:v>21.41</c:v>
                </c:pt>
                <c:pt idx="194">
                  <c:v>23.52</c:v>
                </c:pt>
                <c:pt idx="195">
                  <c:v>25.07</c:v>
                </c:pt>
                <c:pt idx="196">
                  <c:v>23.13</c:v>
                </c:pt>
                <c:pt idx="197">
                  <c:v>14.52</c:v>
                </c:pt>
                <c:pt idx="198">
                  <c:v>15.55</c:v>
                </c:pt>
                <c:pt idx="199">
                  <c:v>24.65</c:v>
                </c:pt>
                <c:pt idx="200">
                  <c:v>23.66</c:v>
                </c:pt>
                <c:pt idx="201">
                  <c:v>27.01</c:v>
                </c:pt>
                <c:pt idx="202">
                  <c:v>24.72</c:v>
                </c:pt>
                <c:pt idx="203">
                  <c:v>22.22</c:v>
                </c:pt>
                <c:pt idx="204">
                  <c:v>22.9</c:v>
                </c:pt>
                <c:pt idx="205">
                  <c:v>17.12</c:v>
                </c:pt>
                <c:pt idx="206">
                  <c:v>26.94</c:v>
                </c:pt>
                <c:pt idx="207">
                  <c:v>26.29</c:v>
                </c:pt>
                <c:pt idx="208">
                  <c:v>26.06</c:v>
                </c:pt>
                <c:pt idx="209">
                  <c:v>24.82</c:v>
                </c:pt>
                <c:pt idx="210">
                  <c:v>26.1</c:v>
                </c:pt>
                <c:pt idx="211">
                  <c:v>24.99</c:v>
                </c:pt>
                <c:pt idx="212">
                  <c:v>18.03</c:v>
                </c:pt>
                <c:pt idx="213">
                  <c:v>19.8</c:v>
                </c:pt>
                <c:pt idx="214">
                  <c:v>24.17</c:v>
                </c:pt>
                <c:pt idx="215">
                  <c:v>23.72</c:v>
                </c:pt>
                <c:pt idx="216">
                  <c:v>25</c:v>
                </c:pt>
                <c:pt idx="217">
                  <c:v>24.36</c:v>
                </c:pt>
                <c:pt idx="218">
                  <c:v>10.99</c:v>
                </c:pt>
                <c:pt idx="219">
                  <c:v>16.59</c:v>
                </c:pt>
                <c:pt idx="220">
                  <c:v>19.23</c:v>
                </c:pt>
                <c:pt idx="221">
                  <c:v>23.57</c:v>
                </c:pt>
                <c:pt idx="222">
                  <c:v>18.39</c:v>
                </c:pt>
                <c:pt idx="223">
                  <c:v>19.47</c:v>
                </c:pt>
                <c:pt idx="224">
                  <c:v>21.4</c:v>
                </c:pt>
                <c:pt idx="225">
                  <c:v>20.51</c:v>
                </c:pt>
                <c:pt idx="226">
                  <c:v>22.94</c:v>
                </c:pt>
                <c:pt idx="227">
                  <c:v>23.37</c:v>
                </c:pt>
                <c:pt idx="228">
                  <c:v>21.93</c:v>
                </c:pt>
                <c:pt idx="229">
                  <c:v>21.92</c:v>
                </c:pt>
                <c:pt idx="230">
                  <c:v>22.03</c:v>
                </c:pt>
                <c:pt idx="231">
                  <c:v>17.149999999999999</c:v>
                </c:pt>
                <c:pt idx="232">
                  <c:v>13.9</c:v>
                </c:pt>
                <c:pt idx="233">
                  <c:v>11.3</c:v>
                </c:pt>
                <c:pt idx="234">
                  <c:v>21.59</c:v>
                </c:pt>
                <c:pt idx="235">
                  <c:v>19.29</c:v>
                </c:pt>
                <c:pt idx="236">
                  <c:v>13.3</c:v>
                </c:pt>
                <c:pt idx="237">
                  <c:v>21.66</c:v>
                </c:pt>
                <c:pt idx="238">
                  <c:v>20.55</c:v>
                </c:pt>
                <c:pt idx="239">
                  <c:v>21.43</c:v>
                </c:pt>
                <c:pt idx="240">
                  <c:v>21.15</c:v>
                </c:pt>
                <c:pt idx="241">
                  <c:v>14.02</c:v>
                </c:pt>
                <c:pt idx="242">
                  <c:v>16.79</c:v>
                </c:pt>
                <c:pt idx="243">
                  <c:v>9.3000000000000007</c:v>
                </c:pt>
                <c:pt idx="244">
                  <c:v>18.899999999999999</c:v>
                </c:pt>
                <c:pt idx="245">
                  <c:v>17.86</c:v>
                </c:pt>
                <c:pt idx="246">
                  <c:v>19.829999999999998</c:v>
                </c:pt>
                <c:pt idx="247">
                  <c:v>18.84</c:v>
                </c:pt>
                <c:pt idx="248">
                  <c:v>18.82</c:v>
                </c:pt>
                <c:pt idx="249">
                  <c:v>18.440000000000001</c:v>
                </c:pt>
                <c:pt idx="250">
                  <c:v>15.21</c:v>
                </c:pt>
                <c:pt idx="251">
                  <c:v>18.64</c:v>
                </c:pt>
                <c:pt idx="252">
                  <c:v>18.690000000000001</c:v>
                </c:pt>
                <c:pt idx="253">
                  <c:v>18.53</c:v>
                </c:pt>
                <c:pt idx="254">
                  <c:v>18.13</c:v>
                </c:pt>
                <c:pt idx="255">
                  <c:v>16.05</c:v>
                </c:pt>
                <c:pt idx="256">
                  <c:v>11.44</c:v>
                </c:pt>
                <c:pt idx="257">
                  <c:v>8.93</c:v>
                </c:pt>
                <c:pt idx="258">
                  <c:v>14.84</c:v>
                </c:pt>
                <c:pt idx="259">
                  <c:v>13.25</c:v>
                </c:pt>
                <c:pt idx="260">
                  <c:v>13.48</c:v>
                </c:pt>
                <c:pt idx="261">
                  <c:v>10.71</c:v>
                </c:pt>
                <c:pt idx="262">
                  <c:v>7.65</c:v>
                </c:pt>
                <c:pt idx="263">
                  <c:v>14.37</c:v>
                </c:pt>
                <c:pt idx="264">
                  <c:v>10.19</c:v>
                </c:pt>
                <c:pt idx="265">
                  <c:v>12.92</c:v>
                </c:pt>
                <c:pt idx="266">
                  <c:v>3.01</c:v>
                </c:pt>
                <c:pt idx="267">
                  <c:v>5.39</c:v>
                </c:pt>
                <c:pt idx="268">
                  <c:v>1.36</c:v>
                </c:pt>
                <c:pt idx="269">
                  <c:v>7.78</c:v>
                </c:pt>
                <c:pt idx="270">
                  <c:v>14.65</c:v>
                </c:pt>
                <c:pt idx="271">
                  <c:v>14.59</c:v>
                </c:pt>
                <c:pt idx="272">
                  <c:v>14.87</c:v>
                </c:pt>
                <c:pt idx="273">
                  <c:v>12.95</c:v>
                </c:pt>
                <c:pt idx="274">
                  <c:v>6.05</c:v>
                </c:pt>
                <c:pt idx="275">
                  <c:v>13.37</c:v>
                </c:pt>
                <c:pt idx="276">
                  <c:v>13.14</c:v>
                </c:pt>
                <c:pt idx="277">
                  <c:v>8.6999999999999993</c:v>
                </c:pt>
                <c:pt idx="278">
                  <c:v>13.09</c:v>
                </c:pt>
                <c:pt idx="279">
                  <c:v>12.07</c:v>
                </c:pt>
                <c:pt idx="280">
                  <c:v>13.16</c:v>
                </c:pt>
                <c:pt idx="281">
                  <c:v>2.31</c:v>
                </c:pt>
                <c:pt idx="282">
                  <c:v>2.84</c:v>
                </c:pt>
                <c:pt idx="283">
                  <c:v>3.98</c:v>
                </c:pt>
                <c:pt idx="284">
                  <c:v>6.56</c:v>
                </c:pt>
                <c:pt idx="285">
                  <c:v>7.66</c:v>
                </c:pt>
                <c:pt idx="286">
                  <c:v>2.9</c:v>
                </c:pt>
                <c:pt idx="287">
                  <c:v>9.6</c:v>
                </c:pt>
                <c:pt idx="288">
                  <c:v>8.1</c:v>
                </c:pt>
                <c:pt idx="289">
                  <c:v>2.82</c:v>
                </c:pt>
                <c:pt idx="290">
                  <c:v>2.81</c:v>
                </c:pt>
                <c:pt idx="291">
                  <c:v>2.02</c:v>
                </c:pt>
                <c:pt idx="292">
                  <c:v>3.35</c:v>
                </c:pt>
                <c:pt idx="293">
                  <c:v>4.17</c:v>
                </c:pt>
                <c:pt idx="294">
                  <c:v>3.88</c:v>
                </c:pt>
                <c:pt idx="295">
                  <c:v>5.32</c:v>
                </c:pt>
                <c:pt idx="296">
                  <c:v>1.77</c:v>
                </c:pt>
                <c:pt idx="297">
                  <c:v>3.61</c:v>
                </c:pt>
                <c:pt idx="298">
                  <c:v>5.97</c:v>
                </c:pt>
                <c:pt idx="299">
                  <c:v>3.73</c:v>
                </c:pt>
                <c:pt idx="300">
                  <c:v>6.97</c:v>
                </c:pt>
                <c:pt idx="301">
                  <c:v>4.7</c:v>
                </c:pt>
                <c:pt idx="302">
                  <c:v>6.03</c:v>
                </c:pt>
                <c:pt idx="303">
                  <c:v>7.54</c:v>
                </c:pt>
                <c:pt idx="304">
                  <c:v>7.33</c:v>
                </c:pt>
                <c:pt idx="305">
                  <c:v>8.4</c:v>
                </c:pt>
                <c:pt idx="306">
                  <c:v>7.74</c:v>
                </c:pt>
                <c:pt idx="307">
                  <c:v>1.88</c:v>
                </c:pt>
                <c:pt idx="308">
                  <c:v>3.31</c:v>
                </c:pt>
                <c:pt idx="309">
                  <c:v>2.76</c:v>
                </c:pt>
                <c:pt idx="310">
                  <c:v>6.59</c:v>
                </c:pt>
                <c:pt idx="311">
                  <c:v>3.02</c:v>
                </c:pt>
                <c:pt idx="312">
                  <c:v>7.38</c:v>
                </c:pt>
                <c:pt idx="313">
                  <c:v>4.03</c:v>
                </c:pt>
                <c:pt idx="314">
                  <c:v>1.33</c:v>
                </c:pt>
                <c:pt idx="315">
                  <c:v>3.52</c:v>
                </c:pt>
                <c:pt idx="316">
                  <c:v>1.66</c:v>
                </c:pt>
                <c:pt idx="317">
                  <c:v>0.68</c:v>
                </c:pt>
                <c:pt idx="318">
                  <c:v>3.96</c:v>
                </c:pt>
                <c:pt idx="319">
                  <c:v>5.0599999999999996</c:v>
                </c:pt>
                <c:pt idx="320">
                  <c:v>1.54</c:v>
                </c:pt>
                <c:pt idx="321">
                  <c:v>2.63</c:v>
                </c:pt>
                <c:pt idx="322">
                  <c:v>1.1200000000000001</c:v>
                </c:pt>
                <c:pt idx="323">
                  <c:v>3.58</c:v>
                </c:pt>
                <c:pt idx="324">
                  <c:v>1.67</c:v>
                </c:pt>
                <c:pt idx="325">
                  <c:v>4.0599999999999996</c:v>
                </c:pt>
                <c:pt idx="326">
                  <c:v>2.98</c:v>
                </c:pt>
                <c:pt idx="327">
                  <c:v>1.56</c:v>
                </c:pt>
                <c:pt idx="328">
                  <c:v>1.5</c:v>
                </c:pt>
                <c:pt idx="329">
                  <c:v>2.34</c:v>
                </c:pt>
                <c:pt idx="330">
                  <c:v>3.13</c:v>
                </c:pt>
                <c:pt idx="331">
                  <c:v>4.6399999999999997</c:v>
                </c:pt>
                <c:pt idx="332">
                  <c:v>2.56</c:v>
                </c:pt>
                <c:pt idx="333">
                  <c:v>4.63</c:v>
                </c:pt>
                <c:pt idx="334">
                  <c:v>1.1299999999999999</c:v>
                </c:pt>
                <c:pt idx="335">
                  <c:v>5.07</c:v>
                </c:pt>
                <c:pt idx="336">
                  <c:v>5</c:v>
                </c:pt>
                <c:pt idx="337">
                  <c:v>3.8</c:v>
                </c:pt>
                <c:pt idx="338">
                  <c:v>5</c:v>
                </c:pt>
                <c:pt idx="339">
                  <c:v>4.72</c:v>
                </c:pt>
                <c:pt idx="340">
                  <c:v>3.76</c:v>
                </c:pt>
                <c:pt idx="341">
                  <c:v>1.63</c:v>
                </c:pt>
                <c:pt idx="342">
                  <c:v>0.66</c:v>
                </c:pt>
                <c:pt idx="343">
                  <c:v>2.68</c:v>
                </c:pt>
                <c:pt idx="344">
                  <c:v>1.49</c:v>
                </c:pt>
                <c:pt idx="345">
                  <c:v>1.82</c:v>
                </c:pt>
                <c:pt idx="346">
                  <c:v>1.89</c:v>
                </c:pt>
                <c:pt idx="347">
                  <c:v>1.1299999999999999</c:v>
                </c:pt>
                <c:pt idx="348">
                  <c:v>1.54</c:v>
                </c:pt>
                <c:pt idx="349">
                  <c:v>1.41</c:v>
                </c:pt>
                <c:pt idx="350">
                  <c:v>1.1599999999999999</c:v>
                </c:pt>
                <c:pt idx="351">
                  <c:v>1.92</c:v>
                </c:pt>
                <c:pt idx="352">
                  <c:v>1.19</c:v>
                </c:pt>
                <c:pt idx="353">
                  <c:v>1.62</c:v>
                </c:pt>
                <c:pt idx="354">
                  <c:v>1.86</c:v>
                </c:pt>
                <c:pt idx="355">
                  <c:v>0.78</c:v>
                </c:pt>
                <c:pt idx="356">
                  <c:v>0.9</c:v>
                </c:pt>
                <c:pt idx="357">
                  <c:v>3.2</c:v>
                </c:pt>
                <c:pt idx="358">
                  <c:v>2.5299999999999998</c:v>
                </c:pt>
                <c:pt idx="359">
                  <c:v>1.56</c:v>
                </c:pt>
                <c:pt idx="360">
                  <c:v>2.4300000000000002</c:v>
                </c:pt>
                <c:pt idx="361">
                  <c:v>2.41</c:v>
                </c:pt>
                <c:pt idx="362">
                  <c:v>2.0099999999999998</c:v>
                </c:pt>
                <c:pt idx="363">
                  <c:v>1.58</c:v>
                </c:pt>
                <c:pt idx="364">
                  <c:v>1.19</c:v>
                </c:pt>
                <c:pt idx="365">
                  <c:v>2.0499999999999998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Data!$BB$6:$BB$371</c:f>
              <c:numCache>
                <c:formatCode>General</c:formatCode>
                <c:ptCount val="366"/>
                <c:pt idx="0">
                  <c:v>1.64</c:v>
                </c:pt>
                <c:pt idx="1">
                  <c:v>2.76</c:v>
                </c:pt>
                <c:pt idx="2">
                  <c:v>2.2799999999999998</c:v>
                </c:pt>
                <c:pt idx="3">
                  <c:v>2.27</c:v>
                </c:pt>
                <c:pt idx="4">
                  <c:v>1.28</c:v>
                </c:pt>
                <c:pt idx="5">
                  <c:v>0.7</c:v>
                </c:pt>
                <c:pt idx="6">
                  <c:v>1.25</c:v>
                </c:pt>
                <c:pt idx="7">
                  <c:v>1.1499999999999999</c:v>
                </c:pt>
                <c:pt idx="8">
                  <c:v>3.64</c:v>
                </c:pt>
                <c:pt idx="9">
                  <c:v>0.95</c:v>
                </c:pt>
                <c:pt idx="10">
                  <c:v>1.77</c:v>
                </c:pt>
                <c:pt idx="11">
                  <c:v>1.04</c:v>
                </c:pt>
                <c:pt idx="12">
                  <c:v>2.29</c:v>
                </c:pt>
                <c:pt idx="13">
                  <c:v>2.4700000000000002</c:v>
                </c:pt>
                <c:pt idx="14">
                  <c:v>2.19</c:v>
                </c:pt>
                <c:pt idx="15">
                  <c:v>1.51</c:v>
                </c:pt>
                <c:pt idx="16">
                  <c:v>4.71</c:v>
                </c:pt>
                <c:pt idx="17">
                  <c:v>1.1599999999999999</c:v>
                </c:pt>
                <c:pt idx="18">
                  <c:v>2.78</c:v>
                </c:pt>
                <c:pt idx="19">
                  <c:v>2.0499999999999998</c:v>
                </c:pt>
                <c:pt idx="20">
                  <c:v>1.7</c:v>
                </c:pt>
                <c:pt idx="21">
                  <c:v>2.2400000000000002</c:v>
                </c:pt>
                <c:pt idx="22">
                  <c:v>3.93</c:v>
                </c:pt>
                <c:pt idx="23">
                  <c:v>3.72</c:v>
                </c:pt>
                <c:pt idx="24">
                  <c:v>1.93</c:v>
                </c:pt>
                <c:pt idx="25">
                  <c:v>2.94</c:v>
                </c:pt>
                <c:pt idx="26">
                  <c:v>4.0999999999999996</c:v>
                </c:pt>
                <c:pt idx="27">
                  <c:v>4.3600000000000003</c:v>
                </c:pt>
                <c:pt idx="28">
                  <c:v>1.24</c:v>
                </c:pt>
                <c:pt idx="29">
                  <c:v>2.4300000000000002</c:v>
                </c:pt>
                <c:pt idx="30">
                  <c:v>2.09</c:v>
                </c:pt>
                <c:pt idx="31">
                  <c:v>3.17</c:v>
                </c:pt>
                <c:pt idx="32">
                  <c:v>5.65</c:v>
                </c:pt>
                <c:pt idx="33">
                  <c:v>6.8</c:v>
                </c:pt>
                <c:pt idx="34">
                  <c:v>1.43</c:v>
                </c:pt>
                <c:pt idx="35">
                  <c:v>1.1499999999999999</c:v>
                </c:pt>
                <c:pt idx="36">
                  <c:v>2.19</c:v>
                </c:pt>
                <c:pt idx="37">
                  <c:v>1.91</c:v>
                </c:pt>
                <c:pt idx="38">
                  <c:v>3.03</c:v>
                </c:pt>
                <c:pt idx="39">
                  <c:v>1.91</c:v>
                </c:pt>
                <c:pt idx="40">
                  <c:v>4.8099999999999996</c:v>
                </c:pt>
                <c:pt idx="41">
                  <c:v>4.93</c:v>
                </c:pt>
                <c:pt idx="42">
                  <c:v>8.19</c:v>
                </c:pt>
                <c:pt idx="43">
                  <c:v>2.2599999999999998</c:v>
                </c:pt>
                <c:pt idx="44">
                  <c:v>4.93</c:v>
                </c:pt>
                <c:pt idx="45">
                  <c:v>2.48</c:v>
                </c:pt>
                <c:pt idx="46">
                  <c:v>4.0999999999999996</c:v>
                </c:pt>
                <c:pt idx="47">
                  <c:v>5.89</c:v>
                </c:pt>
                <c:pt idx="48">
                  <c:v>7.57</c:v>
                </c:pt>
                <c:pt idx="49">
                  <c:v>9.4499999999999993</c:v>
                </c:pt>
                <c:pt idx="50">
                  <c:v>9.5500000000000007</c:v>
                </c:pt>
                <c:pt idx="51">
                  <c:v>8.26</c:v>
                </c:pt>
                <c:pt idx="52">
                  <c:v>4.21</c:v>
                </c:pt>
                <c:pt idx="53">
                  <c:v>3.91</c:v>
                </c:pt>
                <c:pt idx="54">
                  <c:v>4.17</c:v>
                </c:pt>
                <c:pt idx="55">
                  <c:v>5.08</c:v>
                </c:pt>
                <c:pt idx="56">
                  <c:v>10.06</c:v>
                </c:pt>
                <c:pt idx="57">
                  <c:v>6.34</c:v>
                </c:pt>
                <c:pt idx="58">
                  <c:v>6.4</c:v>
                </c:pt>
                <c:pt idx="59">
                  <c:v>4.5999999999999996</c:v>
                </c:pt>
                <c:pt idx="60">
                  <c:v>8.59</c:v>
                </c:pt>
                <c:pt idx="61">
                  <c:v>7.61</c:v>
                </c:pt>
                <c:pt idx="62">
                  <c:v>8.24</c:v>
                </c:pt>
                <c:pt idx="63">
                  <c:v>7.57</c:v>
                </c:pt>
                <c:pt idx="64">
                  <c:v>8.49</c:v>
                </c:pt>
                <c:pt idx="65">
                  <c:v>4.1500000000000004</c:v>
                </c:pt>
                <c:pt idx="66">
                  <c:v>7.46</c:v>
                </c:pt>
                <c:pt idx="67">
                  <c:v>8.0399999999999991</c:v>
                </c:pt>
                <c:pt idx="68">
                  <c:v>13.14</c:v>
                </c:pt>
                <c:pt idx="69">
                  <c:v>3.28</c:v>
                </c:pt>
                <c:pt idx="70">
                  <c:v>6.97</c:v>
                </c:pt>
                <c:pt idx="71">
                  <c:v>7.2</c:v>
                </c:pt>
                <c:pt idx="72">
                  <c:v>5.64</c:v>
                </c:pt>
                <c:pt idx="73">
                  <c:v>10.07</c:v>
                </c:pt>
                <c:pt idx="74">
                  <c:v>15.77</c:v>
                </c:pt>
                <c:pt idx="75">
                  <c:v>15.29</c:v>
                </c:pt>
                <c:pt idx="76">
                  <c:v>12.35</c:v>
                </c:pt>
                <c:pt idx="77">
                  <c:v>14.65</c:v>
                </c:pt>
                <c:pt idx="78">
                  <c:v>14.01</c:v>
                </c:pt>
                <c:pt idx="79">
                  <c:v>14.36</c:v>
                </c:pt>
                <c:pt idx="80">
                  <c:v>14.33</c:v>
                </c:pt>
                <c:pt idx="81">
                  <c:v>8.15</c:v>
                </c:pt>
                <c:pt idx="82">
                  <c:v>9.65</c:v>
                </c:pt>
                <c:pt idx="83">
                  <c:v>6.81</c:v>
                </c:pt>
                <c:pt idx="84">
                  <c:v>16.52</c:v>
                </c:pt>
                <c:pt idx="85">
                  <c:v>5.87</c:v>
                </c:pt>
                <c:pt idx="86">
                  <c:v>5.82</c:v>
                </c:pt>
                <c:pt idx="87">
                  <c:v>6.64</c:v>
                </c:pt>
                <c:pt idx="88">
                  <c:v>10.14</c:v>
                </c:pt>
                <c:pt idx="89">
                  <c:v>8.5399999999999991</c:v>
                </c:pt>
                <c:pt idx="90">
                  <c:v>10.08</c:v>
                </c:pt>
                <c:pt idx="91">
                  <c:v>16.14</c:v>
                </c:pt>
                <c:pt idx="92">
                  <c:v>14.17</c:v>
                </c:pt>
                <c:pt idx="93">
                  <c:v>8.25</c:v>
                </c:pt>
                <c:pt idx="94">
                  <c:v>8.5</c:v>
                </c:pt>
                <c:pt idx="95">
                  <c:v>7.18</c:v>
                </c:pt>
                <c:pt idx="96">
                  <c:v>16.5</c:v>
                </c:pt>
                <c:pt idx="97">
                  <c:v>16.079999999999998</c:v>
                </c:pt>
                <c:pt idx="98">
                  <c:v>15.42</c:v>
                </c:pt>
                <c:pt idx="99">
                  <c:v>15.75</c:v>
                </c:pt>
                <c:pt idx="100">
                  <c:v>11.78</c:v>
                </c:pt>
                <c:pt idx="101">
                  <c:v>13.34</c:v>
                </c:pt>
                <c:pt idx="102">
                  <c:v>18.510000000000002</c:v>
                </c:pt>
                <c:pt idx="103">
                  <c:v>16.11</c:v>
                </c:pt>
                <c:pt idx="104">
                  <c:v>4.1900000000000004</c:v>
                </c:pt>
                <c:pt idx="105">
                  <c:v>16.68</c:v>
                </c:pt>
                <c:pt idx="106">
                  <c:v>17.059999999999999</c:v>
                </c:pt>
                <c:pt idx="107">
                  <c:v>9.26</c:v>
                </c:pt>
                <c:pt idx="108">
                  <c:v>11.83</c:v>
                </c:pt>
                <c:pt idx="109">
                  <c:v>9.52</c:v>
                </c:pt>
                <c:pt idx="110">
                  <c:v>14.56</c:v>
                </c:pt>
                <c:pt idx="111">
                  <c:v>10.24</c:v>
                </c:pt>
                <c:pt idx="112">
                  <c:v>6.8</c:v>
                </c:pt>
                <c:pt idx="113">
                  <c:v>8.74</c:v>
                </c:pt>
                <c:pt idx="114">
                  <c:v>11.05</c:v>
                </c:pt>
                <c:pt idx="115">
                  <c:v>6.54</c:v>
                </c:pt>
                <c:pt idx="116">
                  <c:v>10.42</c:v>
                </c:pt>
                <c:pt idx="117">
                  <c:v>11.92</c:v>
                </c:pt>
                <c:pt idx="118">
                  <c:v>9.5500000000000007</c:v>
                </c:pt>
                <c:pt idx="119">
                  <c:v>8.56</c:v>
                </c:pt>
                <c:pt idx="120">
                  <c:v>14.02</c:v>
                </c:pt>
                <c:pt idx="121">
                  <c:v>10.55</c:v>
                </c:pt>
                <c:pt idx="122">
                  <c:v>8.92</c:v>
                </c:pt>
                <c:pt idx="123">
                  <c:v>14.49</c:v>
                </c:pt>
                <c:pt idx="124">
                  <c:v>15.7</c:v>
                </c:pt>
                <c:pt idx="125">
                  <c:v>9.16</c:v>
                </c:pt>
                <c:pt idx="126">
                  <c:v>6.36</c:v>
                </c:pt>
                <c:pt idx="127">
                  <c:v>15.36</c:v>
                </c:pt>
                <c:pt idx="128">
                  <c:v>16.89</c:v>
                </c:pt>
                <c:pt idx="129">
                  <c:v>15.52</c:v>
                </c:pt>
                <c:pt idx="130">
                  <c:v>12.81</c:v>
                </c:pt>
                <c:pt idx="131">
                  <c:v>12.87</c:v>
                </c:pt>
                <c:pt idx="132">
                  <c:v>5.79</c:v>
                </c:pt>
                <c:pt idx="133">
                  <c:v>8.43</c:v>
                </c:pt>
                <c:pt idx="134">
                  <c:v>8.2899999999999991</c:v>
                </c:pt>
                <c:pt idx="135">
                  <c:v>6.86</c:v>
                </c:pt>
                <c:pt idx="136">
                  <c:v>4.97</c:v>
                </c:pt>
                <c:pt idx="137">
                  <c:v>4.18</c:v>
                </c:pt>
                <c:pt idx="138">
                  <c:v>8.1300000000000008</c:v>
                </c:pt>
                <c:pt idx="139">
                  <c:v>15.26</c:v>
                </c:pt>
                <c:pt idx="140">
                  <c:v>8.81</c:v>
                </c:pt>
                <c:pt idx="141">
                  <c:v>7.91</c:v>
                </c:pt>
                <c:pt idx="142">
                  <c:v>4.58</c:v>
                </c:pt>
                <c:pt idx="143">
                  <c:v>10.54</c:v>
                </c:pt>
                <c:pt idx="144">
                  <c:v>9.75</c:v>
                </c:pt>
                <c:pt idx="145">
                  <c:v>4.5</c:v>
                </c:pt>
                <c:pt idx="146">
                  <c:v>10.6</c:v>
                </c:pt>
                <c:pt idx="147">
                  <c:v>15.5</c:v>
                </c:pt>
                <c:pt idx="148">
                  <c:v>9.8800000000000008</c:v>
                </c:pt>
                <c:pt idx="149">
                  <c:v>11.09</c:v>
                </c:pt>
                <c:pt idx="150">
                  <c:v>5.24</c:v>
                </c:pt>
                <c:pt idx="151">
                  <c:v>2.87</c:v>
                </c:pt>
                <c:pt idx="152">
                  <c:v>8.7899999999999991</c:v>
                </c:pt>
                <c:pt idx="153">
                  <c:v>4.82</c:v>
                </c:pt>
                <c:pt idx="154">
                  <c:v>5.97</c:v>
                </c:pt>
                <c:pt idx="155">
                  <c:v>3.68</c:v>
                </c:pt>
                <c:pt idx="156">
                  <c:v>2.52</c:v>
                </c:pt>
                <c:pt idx="157">
                  <c:v>4.6900000000000004</c:v>
                </c:pt>
                <c:pt idx="158">
                  <c:v>2.4300000000000002</c:v>
                </c:pt>
                <c:pt idx="159">
                  <c:v>3.24</c:v>
                </c:pt>
                <c:pt idx="160">
                  <c:v>0.82</c:v>
                </c:pt>
                <c:pt idx="161">
                  <c:v>2.08</c:v>
                </c:pt>
                <c:pt idx="162">
                  <c:v>1.24</c:v>
                </c:pt>
                <c:pt idx="163">
                  <c:v>2.02</c:v>
                </c:pt>
                <c:pt idx="164">
                  <c:v>0.93</c:v>
                </c:pt>
                <c:pt idx="165">
                  <c:v>3.42</c:v>
                </c:pt>
                <c:pt idx="166">
                  <c:v>1.86</c:v>
                </c:pt>
                <c:pt idx="167">
                  <c:v>2.5499999999999998</c:v>
                </c:pt>
                <c:pt idx="168">
                  <c:v>3.08</c:v>
                </c:pt>
                <c:pt idx="169">
                  <c:v>3.8</c:v>
                </c:pt>
                <c:pt idx="170">
                  <c:v>2.72</c:v>
                </c:pt>
                <c:pt idx="171">
                  <c:v>1.47</c:v>
                </c:pt>
                <c:pt idx="172">
                  <c:v>3.78</c:v>
                </c:pt>
                <c:pt idx="173">
                  <c:v>3.55</c:v>
                </c:pt>
                <c:pt idx="174">
                  <c:v>2.58</c:v>
                </c:pt>
                <c:pt idx="175">
                  <c:v>2.14</c:v>
                </c:pt>
                <c:pt idx="176">
                  <c:v>4.46</c:v>
                </c:pt>
                <c:pt idx="177">
                  <c:v>2.62</c:v>
                </c:pt>
                <c:pt idx="178">
                  <c:v>3.15</c:v>
                </c:pt>
                <c:pt idx="179">
                  <c:v>1.45</c:v>
                </c:pt>
                <c:pt idx="180">
                  <c:v>4.47</c:v>
                </c:pt>
                <c:pt idx="181">
                  <c:v>1.91</c:v>
                </c:pt>
                <c:pt idx="182">
                  <c:v>1.52</c:v>
                </c:pt>
                <c:pt idx="183">
                  <c:v>2.5</c:v>
                </c:pt>
                <c:pt idx="184">
                  <c:v>2.46</c:v>
                </c:pt>
                <c:pt idx="185">
                  <c:v>4.5199999999999996</c:v>
                </c:pt>
                <c:pt idx="186">
                  <c:v>3.27</c:v>
                </c:pt>
                <c:pt idx="187">
                  <c:v>3.05</c:v>
                </c:pt>
                <c:pt idx="188">
                  <c:v>1.83</c:v>
                </c:pt>
                <c:pt idx="189">
                  <c:v>3.41</c:v>
                </c:pt>
                <c:pt idx="190">
                  <c:v>1.82</c:v>
                </c:pt>
                <c:pt idx="191">
                  <c:v>4.3600000000000003</c:v>
                </c:pt>
                <c:pt idx="192">
                  <c:v>2.95</c:v>
                </c:pt>
                <c:pt idx="193">
                  <c:v>4.0999999999999996</c:v>
                </c:pt>
                <c:pt idx="194">
                  <c:v>4.74</c:v>
                </c:pt>
                <c:pt idx="195">
                  <c:v>4.8</c:v>
                </c:pt>
                <c:pt idx="196">
                  <c:v>4.38</c:v>
                </c:pt>
                <c:pt idx="197">
                  <c:v>2.85</c:v>
                </c:pt>
                <c:pt idx="198">
                  <c:v>3.27</c:v>
                </c:pt>
                <c:pt idx="199">
                  <c:v>4.82</c:v>
                </c:pt>
                <c:pt idx="200">
                  <c:v>4.9000000000000004</c:v>
                </c:pt>
                <c:pt idx="201">
                  <c:v>5.52</c:v>
                </c:pt>
                <c:pt idx="202">
                  <c:v>5.15</c:v>
                </c:pt>
                <c:pt idx="203">
                  <c:v>4.51</c:v>
                </c:pt>
                <c:pt idx="204">
                  <c:v>5.03</c:v>
                </c:pt>
                <c:pt idx="205">
                  <c:v>3.72</c:v>
                </c:pt>
                <c:pt idx="206">
                  <c:v>5.66</c:v>
                </c:pt>
                <c:pt idx="207">
                  <c:v>5.51</c:v>
                </c:pt>
                <c:pt idx="208">
                  <c:v>5.47</c:v>
                </c:pt>
                <c:pt idx="209">
                  <c:v>5.1100000000000003</c:v>
                </c:pt>
                <c:pt idx="210">
                  <c:v>5.52</c:v>
                </c:pt>
                <c:pt idx="211">
                  <c:v>5.23</c:v>
                </c:pt>
                <c:pt idx="212">
                  <c:v>3.83</c:v>
                </c:pt>
                <c:pt idx="213">
                  <c:v>4.08</c:v>
                </c:pt>
                <c:pt idx="214">
                  <c:v>4.97</c:v>
                </c:pt>
                <c:pt idx="215">
                  <c:v>5.04</c:v>
                </c:pt>
                <c:pt idx="216">
                  <c:v>5.25</c:v>
                </c:pt>
                <c:pt idx="217">
                  <c:v>5.07</c:v>
                </c:pt>
                <c:pt idx="218">
                  <c:v>2.1800000000000002</c:v>
                </c:pt>
                <c:pt idx="219">
                  <c:v>3.34</c:v>
                </c:pt>
                <c:pt idx="220">
                  <c:v>4.05</c:v>
                </c:pt>
                <c:pt idx="221">
                  <c:v>4.8099999999999996</c:v>
                </c:pt>
                <c:pt idx="222">
                  <c:v>3.85</c:v>
                </c:pt>
                <c:pt idx="223">
                  <c:v>3.85</c:v>
                </c:pt>
                <c:pt idx="224">
                  <c:v>4.4000000000000004</c:v>
                </c:pt>
                <c:pt idx="225">
                  <c:v>4.26</c:v>
                </c:pt>
                <c:pt idx="226">
                  <c:v>4.6500000000000004</c:v>
                </c:pt>
                <c:pt idx="227">
                  <c:v>4.7699999999999996</c:v>
                </c:pt>
                <c:pt idx="228">
                  <c:v>4.29</c:v>
                </c:pt>
                <c:pt idx="229">
                  <c:v>4.28</c:v>
                </c:pt>
                <c:pt idx="230">
                  <c:v>4.37</c:v>
                </c:pt>
                <c:pt idx="231">
                  <c:v>3.21</c:v>
                </c:pt>
                <c:pt idx="232">
                  <c:v>2.88</c:v>
                </c:pt>
                <c:pt idx="233">
                  <c:v>2.19</c:v>
                </c:pt>
                <c:pt idx="234">
                  <c:v>4.25</c:v>
                </c:pt>
                <c:pt idx="235">
                  <c:v>3.82</c:v>
                </c:pt>
                <c:pt idx="236">
                  <c:v>2.82</c:v>
                </c:pt>
                <c:pt idx="237">
                  <c:v>4.29</c:v>
                </c:pt>
                <c:pt idx="238">
                  <c:v>3.99</c:v>
                </c:pt>
                <c:pt idx="239">
                  <c:v>4.2</c:v>
                </c:pt>
                <c:pt idx="240">
                  <c:v>4.1399999999999997</c:v>
                </c:pt>
                <c:pt idx="241">
                  <c:v>2.93</c:v>
                </c:pt>
                <c:pt idx="242">
                  <c:v>3.08</c:v>
                </c:pt>
                <c:pt idx="243">
                  <c:v>1.79</c:v>
                </c:pt>
                <c:pt idx="244">
                  <c:v>3.61</c:v>
                </c:pt>
                <c:pt idx="245">
                  <c:v>3.56</c:v>
                </c:pt>
                <c:pt idx="246">
                  <c:v>3.79</c:v>
                </c:pt>
                <c:pt idx="247">
                  <c:v>3.56</c:v>
                </c:pt>
                <c:pt idx="248">
                  <c:v>3.56</c:v>
                </c:pt>
                <c:pt idx="249">
                  <c:v>3.41</c:v>
                </c:pt>
                <c:pt idx="250">
                  <c:v>3.1</c:v>
                </c:pt>
                <c:pt idx="251">
                  <c:v>3.48</c:v>
                </c:pt>
                <c:pt idx="252">
                  <c:v>3.51</c:v>
                </c:pt>
                <c:pt idx="253">
                  <c:v>3.49</c:v>
                </c:pt>
                <c:pt idx="254">
                  <c:v>3.38</c:v>
                </c:pt>
                <c:pt idx="255">
                  <c:v>2.9</c:v>
                </c:pt>
                <c:pt idx="256">
                  <c:v>2.27</c:v>
                </c:pt>
                <c:pt idx="257">
                  <c:v>1.74</c:v>
                </c:pt>
                <c:pt idx="258">
                  <c:v>2.75</c:v>
                </c:pt>
                <c:pt idx="259">
                  <c:v>2.52</c:v>
                </c:pt>
                <c:pt idx="260">
                  <c:v>2.56</c:v>
                </c:pt>
                <c:pt idx="261">
                  <c:v>1.99</c:v>
                </c:pt>
                <c:pt idx="262">
                  <c:v>1.33</c:v>
                </c:pt>
                <c:pt idx="263">
                  <c:v>2.65</c:v>
                </c:pt>
                <c:pt idx="264">
                  <c:v>1.8</c:v>
                </c:pt>
                <c:pt idx="265">
                  <c:v>2.35</c:v>
                </c:pt>
                <c:pt idx="266">
                  <c:v>0.52</c:v>
                </c:pt>
                <c:pt idx="267">
                  <c:v>0.84</c:v>
                </c:pt>
                <c:pt idx="268">
                  <c:v>0.2</c:v>
                </c:pt>
                <c:pt idx="269">
                  <c:v>1.25</c:v>
                </c:pt>
                <c:pt idx="270">
                  <c:v>2.2999999999999998</c:v>
                </c:pt>
                <c:pt idx="271">
                  <c:v>2.41</c:v>
                </c:pt>
                <c:pt idx="272">
                  <c:v>2.44</c:v>
                </c:pt>
                <c:pt idx="273">
                  <c:v>2.14</c:v>
                </c:pt>
                <c:pt idx="274">
                  <c:v>0.99</c:v>
                </c:pt>
                <c:pt idx="275">
                  <c:v>2.19</c:v>
                </c:pt>
                <c:pt idx="276">
                  <c:v>2.13</c:v>
                </c:pt>
                <c:pt idx="277">
                  <c:v>1.35</c:v>
                </c:pt>
                <c:pt idx="278">
                  <c:v>2.06</c:v>
                </c:pt>
                <c:pt idx="279">
                  <c:v>1.9</c:v>
                </c:pt>
                <c:pt idx="280">
                  <c:v>2.0699999999999998</c:v>
                </c:pt>
                <c:pt idx="281">
                  <c:v>0.33</c:v>
                </c:pt>
                <c:pt idx="282">
                  <c:v>0.37</c:v>
                </c:pt>
                <c:pt idx="283">
                  <c:v>0.56000000000000005</c:v>
                </c:pt>
                <c:pt idx="284">
                  <c:v>0.88</c:v>
                </c:pt>
                <c:pt idx="285">
                  <c:v>4.63</c:v>
                </c:pt>
                <c:pt idx="286">
                  <c:v>1.99</c:v>
                </c:pt>
                <c:pt idx="287">
                  <c:v>5.79</c:v>
                </c:pt>
                <c:pt idx="288">
                  <c:v>5.16</c:v>
                </c:pt>
                <c:pt idx="289">
                  <c:v>1.66</c:v>
                </c:pt>
                <c:pt idx="290">
                  <c:v>2.67</c:v>
                </c:pt>
                <c:pt idx="291">
                  <c:v>1.92</c:v>
                </c:pt>
                <c:pt idx="292">
                  <c:v>1.93</c:v>
                </c:pt>
                <c:pt idx="293">
                  <c:v>2.72</c:v>
                </c:pt>
                <c:pt idx="294">
                  <c:v>3.69</c:v>
                </c:pt>
                <c:pt idx="295">
                  <c:v>4.2</c:v>
                </c:pt>
                <c:pt idx="296">
                  <c:v>1.37</c:v>
                </c:pt>
                <c:pt idx="297">
                  <c:v>3.43</c:v>
                </c:pt>
                <c:pt idx="298">
                  <c:v>5.5</c:v>
                </c:pt>
                <c:pt idx="299">
                  <c:v>2.69</c:v>
                </c:pt>
                <c:pt idx="300">
                  <c:v>4.3600000000000003</c:v>
                </c:pt>
                <c:pt idx="301">
                  <c:v>2.93</c:v>
                </c:pt>
                <c:pt idx="302">
                  <c:v>3.42</c:v>
                </c:pt>
                <c:pt idx="303">
                  <c:v>3.94</c:v>
                </c:pt>
                <c:pt idx="304">
                  <c:v>3.77</c:v>
                </c:pt>
                <c:pt idx="305">
                  <c:v>4.04</c:v>
                </c:pt>
                <c:pt idx="306">
                  <c:v>3.44</c:v>
                </c:pt>
                <c:pt idx="307">
                  <c:v>1.04</c:v>
                </c:pt>
                <c:pt idx="308">
                  <c:v>1.67</c:v>
                </c:pt>
                <c:pt idx="309">
                  <c:v>1.81</c:v>
                </c:pt>
                <c:pt idx="310">
                  <c:v>3.57</c:v>
                </c:pt>
                <c:pt idx="311">
                  <c:v>1.84</c:v>
                </c:pt>
                <c:pt idx="312">
                  <c:v>4.18</c:v>
                </c:pt>
                <c:pt idx="313">
                  <c:v>2.09</c:v>
                </c:pt>
                <c:pt idx="314">
                  <c:v>1.26</c:v>
                </c:pt>
                <c:pt idx="315">
                  <c:v>3.34</c:v>
                </c:pt>
                <c:pt idx="316">
                  <c:v>1.58</c:v>
                </c:pt>
                <c:pt idx="317">
                  <c:v>0.64</c:v>
                </c:pt>
                <c:pt idx="318">
                  <c:v>2.99</c:v>
                </c:pt>
                <c:pt idx="319">
                  <c:v>3.93</c:v>
                </c:pt>
                <c:pt idx="320">
                  <c:v>1.0900000000000001</c:v>
                </c:pt>
                <c:pt idx="321">
                  <c:v>1.89</c:v>
                </c:pt>
                <c:pt idx="322">
                  <c:v>0.84</c:v>
                </c:pt>
                <c:pt idx="323">
                  <c:v>3.4</c:v>
                </c:pt>
                <c:pt idx="324">
                  <c:v>1.58</c:v>
                </c:pt>
                <c:pt idx="325">
                  <c:v>3.29</c:v>
                </c:pt>
                <c:pt idx="326">
                  <c:v>1.96</c:v>
                </c:pt>
                <c:pt idx="327">
                  <c:v>1.34</c:v>
                </c:pt>
                <c:pt idx="328">
                  <c:v>1.4</c:v>
                </c:pt>
                <c:pt idx="329">
                  <c:v>2.2200000000000002</c:v>
                </c:pt>
                <c:pt idx="330">
                  <c:v>2.67</c:v>
                </c:pt>
                <c:pt idx="331">
                  <c:v>2.92</c:v>
                </c:pt>
                <c:pt idx="332">
                  <c:v>1.82</c:v>
                </c:pt>
                <c:pt idx="333">
                  <c:v>3.08</c:v>
                </c:pt>
                <c:pt idx="334">
                  <c:v>1.04</c:v>
                </c:pt>
                <c:pt idx="335">
                  <c:v>2.92</c:v>
                </c:pt>
                <c:pt idx="336">
                  <c:v>2.82</c:v>
                </c:pt>
                <c:pt idx="337">
                  <c:v>2.0099999999999998</c:v>
                </c:pt>
                <c:pt idx="338">
                  <c:v>2.77</c:v>
                </c:pt>
                <c:pt idx="339">
                  <c:v>2.72</c:v>
                </c:pt>
                <c:pt idx="340">
                  <c:v>2.35</c:v>
                </c:pt>
                <c:pt idx="341">
                  <c:v>1.0900000000000001</c:v>
                </c:pt>
                <c:pt idx="342">
                  <c:v>0.44</c:v>
                </c:pt>
                <c:pt idx="343">
                  <c:v>2.5499999999999998</c:v>
                </c:pt>
                <c:pt idx="344">
                  <c:v>1.41</c:v>
                </c:pt>
                <c:pt idx="345">
                  <c:v>1.73</c:v>
                </c:pt>
                <c:pt idx="346">
                  <c:v>1.79</c:v>
                </c:pt>
                <c:pt idx="347">
                  <c:v>1.07</c:v>
                </c:pt>
                <c:pt idx="348">
                  <c:v>1.46</c:v>
                </c:pt>
                <c:pt idx="349">
                  <c:v>1.34</c:v>
                </c:pt>
                <c:pt idx="350">
                  <c:v>1.1000000000000001</c:v>
                </c:pt>
                <c:pt idx="351">
                  <c:v>1.82</c:v>
                </c:pt>
                <c:pt idx="352">
                  <c:v>1.1299999999999999</c:v>
                </c:pt>
                <c:pt idx="353">
                  <c:v>1.54</c:v>
                </c:pt>
                <c:pt idx="354">
                  <c:v>1.76</c:v>
                </c:pt>
                <c:pt idx="355">
                  <c:v>0.74</c:v>
                </c:pt>
                <c:pt idx="356">
                  <c:v>0.85</c:v>
                </c:pt>
                <c:pt idx="357">
                  <c:v>3.04</c:v>
                </c:pt>
                <c:pt idx="358">
                  <c:v>2.4</c:v>
                </c:pt>
                <c:pt idx="359">
                  <c:v>1.48</c:v>
                </c:pt>
                <c:pt idx="360">
                  <c:v>2.31</c:v>
                </c:pt>
                <c:pt idx="361">
                  <c:v>2.29</c:v>
                </c:pt>
                <c:pt idx="362">
                  <c:v>1.91</c:v>
                </c:pt>
                <c:pt idx="363">
                  <c:v>1.5</c:v>
                </c:pt>
                <c:pt idx="364">
                  <c:v>1.1299999999999999</c:v>
                </c:pt>
                <c:pt idx="365">
                  <c:v>1.95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97472"/>
        <c:axId val="236699008"/>
      </c:lineChart>
      <c:catAx>
        <c:axId val="2366974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990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69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97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-0.99099999999999999</c:v>
                </c:pt>
                <c:pt idx="1">
                  <c:v>-4.8499999999999996</c:v>
                </c:pt>
                <c:pt idx="2">
                  <c:v>-1.2270000000000001</c:v>
                </c:pt>
                <c:pt idx="3">
                  <c:v>-2.411</c:v>
                </c:pt>
                <c:pt idx="4">
                  <c:v>-5.0469999999999997</c:v>
                </c:pt>
                <c:pt idx="5">
                  <c:v>-2.14</c:v>
                </c:pt>
                <c:pt idx="6">
                  <c:v>-0.34599999999999997</c:v>
                </c:pt>
                <c:pt idx="7">
                  <c:v>-2.5529999999999999</c:v>
                </c:pt>
                <c:pt idx="8">
                  <c:v>-7.827</c:v>
                </c:pt>
                <c:pt idx="9">
                  <c:v>-9.69</c:v>
                </c:pt>
                <c:pt idx="10">
                  <c:v>-4.3010000000000002</c:v>
                </c:pt>
                <c:pt idx="11">
                  <c:v>-6.7430000000000003</c:v>
                </c:pt>
                <c:pt idx="12">
                  <c:v>-18.61</c:v>
                </c:pt>
                <c:pt idx="13">
                  <c:v>-15.25</c:v>
                </c:pt>
                <c:pt idx="14">
                  <c:v>-12</c:v>
                </c:pt>
                <c:pt idx="15">
                  <c:v>-4.5720000000000001</c:v>
                </c:pt>
                <c:pt idx="16">
                  <c:v>-4.601</c:v>
                </c:pt>
                <c:pt idx="17">
                  <c:v>-4.8120000000000003</c:v>
                </c:pt>
                <c:pt idx="18">
                  <c:v>-2.11</c:v>
                </c:pt>
                <c:pt idx="19">
                  <c:v>-1.3979999999999999</c:v>
                </c:pt>
                <c:pt idx="20">
                  <c:v>0.129</c:v>
                </c:pt>
                <c:pt idx="21">
                  <c:v>-0.99099999999999999</c:v>
                </c:pt>
                <c:pt idx="22">
                  <c:v>2.395</c:v>
                </c:pt>
                <c:pt idx="23">
                  <c:v>2.6970000000000001</c:v>
                </c:pt>
                <c:pt idx="24">
                  <c:v>-1.494</c:v>
                </c:pt>
                <c:pt idx="25">
                  <c:v>-0.04</c:v>
                </c:pt>
                <c:pt idx="26">
                  <c:v>-0.82099999999999995</c:v>
                </c:pt>
                <c:pt idx="27">
                  <c:v>1.242</c:v>
                </c:pt>
                <c:pt idx="28">
                  <c:v>-2.988</c:v>
                </c:pt>
                <c:pt idx="29">
                  <c:v>-2.9540000000000002</c:v>
                </c:pt>
                <c:pt idx="30">
                  <c:v>1.208</c:v>
                </c:pt>
                <c:pt idx="31">
                  <c:v>0.76700000000000002</c:v>
                </c:pt>
                <c:pt idx="32">
                  <c:v>-5.2569999999999997</c:v>
                </c:pt>
                <c:pt idx="33">
                  <c:v>-10.14</c:v>
                </c:pt>
                <c:pt idx="34">
                  <c:v>-5.6589999999999998</c:v>
                </c:pt>
                <c:pt idx="35">
                  <c:v>-2.4159999999999999</c:v>
                </c:pt>
                <c:pt idx="36">
                  <c:v>-2.044</c:v>
                </c:pt>
                <c:pt idx="37">
                  <c:v>-4.6120000000000001</c:v>
                </c:pt>
                <c:pt idx="38">
                  <c:v>-5.7270000000000003</c:v>
                </c:pt>
                <c:pt idx="39">
                  <c:v>-4.4080000000000004</c:v>
                </c:pt>
                <c:pt idx="40">
                  <c:v>-4.476</c:v>
                </c:pt>
                <c:pt idx="41">
                  <c:v>-2.0099999999999998</c:v>
                </c:pt>
                <c:pt idx="42">
                  <c:v>0.63100000000000001</c:v>
                </c:pt>
                <c:pt idx="43">
                  <c:v>-3.3620000000000001</c:v>
                </c:pt>
                <c:pt idx="44">
                  <c:v>-3.6669999999999998</c:v>
                </c:pt>
                <c:pt idx="45">
                  <c:v>-3.4289999999999998</c:v>
                </c:pt>
                <c:pt idx="46">
                  <c:v>-4.6070000000000002</c:v>
                </c:pt>
                <c:pt idx="47">
                  <c:v>-4.4359999999999999</c:v>
                </c:pt>
                <c:pt idx="48">
                  <c:v>-5.2859999999999996</c:v>
                </c:pt>
                <c:pt idx="49">
                  <c:v>1.8939999999999999</c:v>
                </c:pt>
                <c:pt idx="50">
                  <c:v>0.36699999999999999</c:v>
                </c:pt>
                <c:pt idx="51">
                  <c:v>2.2269999999999999</c:v>
                </c:pt>
                <c:pt idx="52">
                  <c:v>-3.1920000000000002</c:v>
                </c:pt>
                <c:pt idx="53">
                  <c:v>-3.294</c:v>
                </c:pt>
                <c:pt idx="54">
                  <c:v>-5.6589999999999998</c:v>
                </c:pt>
                <c:pt idx="55">
                  <c:v>-2.0920000000000001</c:v>
                </c:pt>
                <c:pt idx="56">
                  <c:v>1.3169999999999999</c:v>
                </c:pt>
                <c:pt idx="57">
                  <c:v>2.948</c:v>
                </c:pt>
                <c:pt idx="58">
                  <c:v>4.6100000000000003</c:v>
                </c:pt>
                <c:pt idx="59">
                  <c:v>-4.173</c:v>
                </c:pt>
                <c:pt idx="60">
                  <c:v>-3.5310000000000001</c:v>
                </c:pt>
                <c:pt idx="61">
                  <c:v>-0.27800000000000002</c:v>
                </c:pt>
                <c:pt idx="62">
                  <c:v>4.2030000000000003</c:v>
                </c:pt>
                <c:pt idx="63">
                  <c:v>-2.8180000000000001</c:v>
                </c:pt>
                <c:pt idx="64">
                  <c:v>3.3210000000000002</c:v>
                </c:pt>
                <c:pt idx="65">
                  <c:v>0.27700000000000002</c:v>
                </c:pt>
                <c:pt idx="66">
                  <c:v>-2.2810000000000001</c:v>
                </c:pt>
                <c:pt idx="67">
                  <c:v>-3.6</c:v>
                </c:pt>
                <c:pt idx="68">
                  <c:v>-0.68300000000000005</c:v>
                </c:pt>
                <c:pt idx="69">
                  <c:v>-3.3210000000000002</c:v>
                </c:pt>
                <c:pt idx="70">
                  <c:v>-2.75</c:v>
                </c:pt>
                <c:pt idx="71">
                  <c:v>-4.4119999999999999</c:v>
                </c:pt>
                <c:pt idx="72">
                  <c:v>-9.3000000000000007</c:v>
                </c:pt>
                <c:pt idx="73">
                  <c:v>-11.44</c:v>
                </c:pt>
                <c:pt idx="74">
                  <c:v>-7.3570000000000002</c:v>
                </c:pt>
                <c:pt idx="75">
                  <c:v>6.93</c:v>
                </c:pt>
                <c:pt idx="76">
                  <c:v>3.8359999999999999</c:v>
                </c:pt>
                <c:pt idx="77">
                  <c:v>2.641</c:v>
                </c:pt>
                <c:pt idx="78">
                  <c:v>7.1859999999999999</c:v>
                </c:pt>
                <c:pt idx="79">
                  <c:v>5.7910000000000004</c:v>
                </c:pt>
                <c:pt idx="80">
                  <c:v>3.0409999999999999</c:v>
                </c:pt>
                <c:pt idx="81">
                  <c:v>5.7229999999999999</c:v>
                </c:pt>
                <c:pt idx="82">
                  <c:v>1.012</c:v>
                </c:pt>
                <c:pt idx="83">
                  <c:v>-0.876</c:v>
                </c:pt>
                <c:pt idx="84">
                  <c:v>-2.14</c:v>
                </c:pt>
                <c:pt idx="85">
                  <c:v>-2.202</c:v>
                </c:pt>
                <c:pt idx="86">
                  <c:v>-0.17599999999999999</c:v>
                </c:pt>
                <c:pt idx="87">
                  <c:v>4.2370000000000001</c:v>
                </c:pt>
                <c:pt idx="88">
                  <c:v>3.754</c:v>
                </c:pt>
                <c:pt idx="89">
                  <c:v>-1.127</c:v>
                </c:pt>
                <c:pt idx="90">
                  <c:v>-0.74199999999999999</c:v>
                </c:pt>
                <c:pt idx="91">
                  <c:v>-6.2389999999999999</c:v>
                </c:pt>
                <c:pt idx="92">
                  <c:v>-1.9239999999999999</c:v>
                </c:pt>
                <c:pt idx="93">
                  <c:v>-3.6549999999999998</c:v>
                </c:pt>
                <c:pt idx="94">
                  <c:v>-3.899</c:v>
                </c:pt>
                <c:pt idx="95">
                  <c:v>-1.9570000000000001</c:v>
                </c:pt>
                <c:pt idx="96">
                  <c:v>3.9990000000000001</c:v>
                </c:pt>
                <c:pt idx="97">
                  <c:v>4.976</c:v>
                </c:pt>
                <c:pt idx="98">
                  <c:v>6.7069999999999999</c:v>
                </c:pt>
                <c:pt idx="99">
                  <c:v>12.49</c:v>
                </c:pt>
                <c:pt idx="100">
                  <c:v>7.54</c:v>
                </c:pt>
                <c:pt idx="101">
                  <c:v>-1.3029999999999999</c:v>
                </c:pt>
                <c:pt idx="102">
                  <c:v>0.02</c:v>
                </c:pt>
                <c:pt idx="103">
                  <c:v>3.9849999999999999</c:v>
                </c:pt>
                <c:pt idx="104">
                  <c:v>2.835</c:v>
                </c:pt>
                <c:pt idx="105">
                  <c:v>4.1470000000000002</c:v>
                </c:pt>
                <c:pt idx="106">
                  <c:v>8.24</c:v>
                </c:pt>
                <c:pt idx="107">
                  <c:v>7.133</c:v>
                </c:pt>
                <c:pt idx="108">
                  <c:v>6.617</c:v>
                </c:pt>
                <c:pt idx="109">
                  <c:v>8.5399999999999991</c:v>
                </c:pt>
                <c:pt idx="110">
                  <c:v>13.75</c:v>
                </c:pt>
                <c:pt idx="111">
                  <c:v>9.93</c:v>
                </c:pt>
                <c:pt idx="112">
                  <c:v>4.9269999999999996</c:v>
                </c:pt>
                <c:pt idx="113">
                  <c:v>4.452</c:v>
                </c:pt>
                <c:pt idx="114">
                  <c:v>9.86</c:v>
                </c:pt>
                <c:pt idx="115">
                  <c:v>5.9219999999999997</c:v>
                </c:pt>
                <c:pt idx="116">
                  <c:v>6.7770000000000001</c:v>
                </c:pt>
                <c:pt idx="117">
                  <c:v>6.3490000000000002</c:v>
                </c:pt>
                <c:pt idx="118">
                  <c:v>10.41</c:v>
                </c:pt>
                <c:pt idx="119">
                  <c:v>12.85</c:v>
                </c:pt>
                <c:pt idx="120">
                  <c:v>6.3380000000000001</c:v>
                </c:pt>
                <c:pt idx="121">
                  <c:v>10.85</c:v>
                </c:pt>
                <c:pt idx="122">
                  <c:v>10.17</c:v>
                </c:pt>
                <c:pt idx="123">
                  <c:v>2.8959999999999999</c:v>
                </c:pt>
                <c:pt idx="124">
                  <c:v>9.15</c:v>
                </c:pt>
                <c:pt idx="125">
                  <c:v>11.12</c:v>
                </c:pt>
                <c:pt idx="126">
                  <c:v>4.5659999999999998</c:v>
                </c:pt>
                <c:pt idx="127">
                  <c:v>6.9560000000000004</c:v>
                </c:pt>
                <c:pt idx="128">
                  <c:v>14.63</c:v>
                </c:pt>
                <c:pt idx="129">
                  <c:v>15.78</c:v>
                </c:pt>
                <c:pt idx="130">
                  <c:v>16.420000000000002</c:v>
                </c:pt>
                <c:pt idx="131">
                  <c:v>13.48</c:v>
                </c:pt>
                <c:pt idx="132">
                  <c:v>7.9740000000000002</c:v>
                </c:pt>
                <c:pt idx="133">
                  <c:v>11.26</c:v>
                </c:pt>
                <c:pt idx="134">
                  <c:v>10.44</c:v>
                </c:pt>
                <c:pt idx="135">
                  <c:v>9.8699999999999992</c:v>
                </c:pt>
                <c:pt idx="136">
                  <c:v>8.11</c:v>
                </c:pt>
                <c:pt idx="137">
                  <c:v>11.43</c:v>
                </c:pt>
                <c:pt idx="138">
                  <c:v>11.19</c:v>
                </c:pt>
                <c:pt idx="139">
                  <c:v>13.31</c:v>
                </c:pt>
                <c:pt idx="140">
                  <c:v>10.84</c:v>
                </c:pt>
                <c:pt idx="141">
                  <c:v>5.0289999999999999</c:v>
                </c:pt>
                <c:pt idx="142">
                  <c:v>0.83499999999999996</c:v>
                </c:pt>
                <c:pt idx="143">
                  <c:v>10.14</c:v>
                </c:pt>
                <c:pt idx="144">
                  <c:v>12.6</c:v>
                </c:pt>
                <c:pt idx="145">
                  <c:v>7.0279999999999996</c:v>
                </c:pt>
                <c:pt idx="146">
                  <c:v>9.8000000000000007</c:v>
                </c:pt>
                <c:pt idx="147">
                  <c:v>13.41</c:v>
                </c:pt>
                <c:pt idx="148">
                  <c:v>17.27</c:v>
                </c:pt>
                <c:pt idx="149">
                  <c:v>22.14</c:v>
                </c:pt>
                <c:pt idx="150">
                  <c:v>18.190000000000001</c:v>
                </c:pt>
                <c:pt idx="151">
                  <c:v>6.6920000000000002</c:v>
                </c:pt>
                <c:pt idx="152">
                  <c:v>10.199999999999999</c:v>
                </c:pt>
                <c:pt idx="153">
                  <c:v>12.56</c:v>
                </c:pt>
                <c:pt idx="154">
                  <c:v>11.81</c:v>
                </c:pt>
                <c:pt idx="155">
                  <c:v>10.5</c:v>
                </c:pt>
                <c:pt idx="156">
                  <c:v>11.56</c:v>
                </c:pt>
                <c:pt idx="157">
                  <c:v>10.36</c:v>
                </c:pt>
                <c:pt idx="158">
                  <c:v>7.43</c:v>
                </c:pt>
                <c:pt idx="159">
                  <c:v>8.07</c:v>
                </c:pt>
                <c:pt idx="160">
                  <c:v>3.883</c:v>
                </c:pt>
                <c:pt idx="161">
                  <c:v>15.17</c:v>
                </c:pt>
                <c:pt idx="162">
                  <c:v>12.5</c:v>
                </c:pt>
                <c:pt idx="163">
                  <c:v>16.11</c:v>
                </c:pt>
                <c:pt idx="164">
                  <c:v>4.7329999999999997</c:v>
                </c:pt>
                <c:pt idx="165">
                  <c:v>2.0230000000000001</c:v>
                </c:pt>
                <c:pt idx="166">
                  <c:v>8.1</c:v>
                </c:pt>
                <c:pt idx="167">
                  <c:v>11.63</c:v>
                </c:pt>
                <c:pt idx="168">
                  <c:v>13.17</c:v>
                </c:pt>
                <c:pt idx="169">
                  <c:v>17.93</c:v>
                </c:pt>
                <c:pt idx="170">
                  <c:v>20.309999999999999</c:v>
                </c:pt>
                <c:pt idx="171">
                  <c:v>14.29</c:v>
                </c:pt>
                <c:pt idx="172">
                  <c:v>17.66</c:v>
                </c:pt>
                <c:pt idx="173">
                  <c:v>19.46</c:v>
                </c:pt>
                <c:pt idx="174">
                  <c:v>20.92</c:v>
                </c:pt>
                <c:pt idx="175">
                  <c:v>14.66</c:v>
                </c:pt>
                <c:pt idx="176">
                  <c:v>21.05</c:v>
                </c:pt>
                <c:pt idx="177">
                  <c:v>17.66</c:v>
                </c:pt>
                <c:pt idx="178">
                  <c:v>12.36</c:v>
                </c:pt>
                <c:pt idx="179">
                  <c:v>9.59</c:v>
                </c:pt>
                <c:pt idx="180">
                  <c:v>16.95</c:v>
                </c:pt>
                <c:pt idx="181">
                  <c:v>9.16</c:v>
                </c:pt>
                <c:pt idx="182">
                  <c:v>6.1479999999999997</c:v>
                </c:pt>
                <c:pt idx="183">
                  <c:v>12.22</c:v>
                </c:pt>
                <c:pt idx="184">
                  <c:v>11.63</c:v>
                </c:pt>
                <c:pt idx="185">
                  <c:v>12.93</c:v>
                </c:pt>
                <c:pt idx="186">
                  <c:v>18.27</c:v>
                </c:pt>
                <c:pt idx="187">
                  <c:v>18.98</c:v>
                </c:pt>
                <c:pt idx="188">
                  <c:v>10.37</c:v>
                </c:pt>
                <c:pt idx="189">
                  <c:v>15.54</c:v>
                </c:pt>
                <c:pt idx="190">
                  <c:v>10.51</c:v>
                </c:pt>
                <c:pt idx="191">
                  <c:v>16.920000000000002</c:v>
                </c:pt>
                <c:pt idx="192">
                  <c:v>16.32</c:v>
                </c:pt>
                <c:pt idx="193">
                  <c:v>10.81</c:v>
                </c:pt>
                <c:pt idx="194">
                  <c:v>13.48</c:v>
                </c:pt>
                <c:pt idx="195">
                  <c:v>17.93</c:v>
                </c:pt>
                <c:pt idx="196">
                  <c:v>18.75</c:v>
                </c:pt>
                <c:pt idx="197">
                  <c:v>16.11</c:v>
                </c:pt>
                <c:pt idx="198">
                  <c:v>15.75</c:v>
                </c:pt>
                <c:pt idx="199">
                  <c:v>18.41</c:v>
                </c:pt>
                <c:pt idx="200">
                  <c:v>18.41</c:v>
                </c:pt>
                <c:pt idx="201">
                  <c:v>20.71</c:v>
                </c:pt>
                <c:pt idx="202">
                  <c:v>24.28</c:v>
                </c:pt>
                <c:pt idx="203">
                  <c:v>22.49</c:v>
                </c:pt>
                <c:pt idx="204">
                  <c:v>18.510000000000002</c:v>
                </c:pt>
                <c:pt idx="205">
                  <c:v>12.63</c:v>
                </c:pt>
                <c:pt idx="206">
                  <c:v>16.41</c:v>
                </c:pt>
                <c:pt idx="207">
                  <c:v>21.05</c:v>
                </c:pt>
                <c:pt idx="208">
                  <c:v>27.43</c:v>
                </c:pt>
                <c:pt idx="209">
                  <c:v>25.47</c:v>
                </c:pt>
                <c:pt idx="210">
                  <c:v>26.15</c:v>
                </c:pt>
                <c:pt idx="211">
                  <c:v>28.72</c:v>
                </c:pt>
                <c:pt idx="212">
                  <c:v>28.76</c:v>
                </c:pt>
                <c:pt idx="213">
                  <c:v>24.96</c:v>
                </c:pt>
                <c:pt idx="214">
                  <c:v>24.66</c:v>
                </c:pt>
                <c:pt idx="215">
                  <c:v>18.07</c:v>
                </c:pt>
                <c:pt idx="216">
                  <c:v>23.2</c:v>
                </c:pt>
                <c:pt idx="217">
                  <c:v>24.96</c:v>
                </c:pt>
                <c:pt idx="218">
                  <c:v>17.309999999999999</c:v>
                </c:pt>
                <c:pt idx="219">
                  <c:v>13.78</c:v>
                </c:pt>
                <c:pt idx="220">
                  <c:v>14.02</c:v>
                </c:pt>
                <c:pt idx="221">
                  <c:v>15.7</c:v>
                </c:pt>
                <c:pt idx="222">
                  <c:v>18.75</c:v>
                </c:pt>
                <c:pt idx="223">
                  <c:v>18.75</c:v>
                </c:pt>
                <c:pt idx="224">
                  <c:v>15.03</c:v>
                </c:pt>
                <c:pt idx="225">
                  <c:v>15.37</c:v>
                </c:pt>
                <c:pt idx="226">
                  <c:v>19.97</c:v>
                </c:pt>
                <c:pt idx="227">
                  <c:v>25.98</c:v>
                </c:pt>
                <c:pt idx="228">
                  <c:v>29.47</c:v>
                </c:pt>
                <c:pt idx="229">
                  <c:v>29.33</c:v>
                </c:pt>
                <c:pt idx="230">
                  <c:v>28.28</c:v>
                </c:pt>
                <c:pt idx="231">
                  <c:v>23.59</c:v>
                </c:pt>
                <c:pt idx="232">
                  <c:v>19.8</c:v>
                </c:pt>
                <c:pt idx="233">
                  <c:v>19.7</c:v>
                </c:pt>
                <c:pt idx="234">
                  <c:v>18.07</c:v>
                </c:pt>
                <c:pt idx="235">
                  <c:v>21.49</c:v>
                </c:pt>
                <c:pt idx="236">
                  <c:v>14.7</c:v>
                </c:pt>
                <c:pt idx="237">
                  <c:v>17.760000000000002</c:v>
                </c:pt>
                <c:pt idx="238">
                  <c:v>20</c:v>
                </c:pt>
                <c:pt idx="239">
                  <c:v>18.309999999999999</c:v>
                </c:pt>
                <c:pt idx="240">
                  <c:v>24.34</c:v>
                </c:pt>
                <c:pt idx="241">
                  <c:v>13.51</c:v>
                </c:pt>
                <c:pt idx="242">
                  <c:v>13</c:v>
                </c:pt>
                <c:pt idx="243">
                  <c:v>10.98</c:v>
                </c:pt>
                <c:pt idx="244">
                  <c:v>21.46</c:v>
                </c:pt>
                <c:pt idx="245">
                  <c:v>16.72</c:v>
                </c:pt>
                <c:pt idx="246">
                  <c:v>22.91</c:v>
                </c:pt>
                <c:pt idx="247">
                  <c:v>27.23</c:v>
                </c:pt>
                <c:pt idx="248">
                  <c:v>22.41</c:v>
                </c:pt>
                <c:pt idx="249">
                  <c:v>21.42</c:v>
                </c:pt>
                <c:pt idx="250">
                  <c:v>13.98</c:v>
                </c:pt>
                <c:pt idx="251">
                  <c:v>15.78</c:v>
                </c:pt>
                <c:pt idx="252">
                  <c:v>20.2</c:v>
                </c:pt>
                <c:pt idx="253">
                  <c:v>24.56</c:v>
                </c:pt>
                <c:pt idx="254">
                  <c:v>26.52</c:v>
                </c:pt>
                <c:pt idx="255">
                  <c:v>22.51</c:v>
                </c:pt>
                <c:pt idx="256">
                  <c:v>16.02</c:v>
                </c:pt>
                <c:pt idx="257">
                  <c:v>19.940000000000001</c:v>
                </c:pt>
                <c:pt idx="258">
                  <c:v>20.98</c:v>
                </c:pt>
                <c:pt idx="259">
                  <c:v>22.1</c:v>
                </c:pt>
                <c:pt idx="260">
                  <c:v>22.41</c:v>
                </c:pt>
                <c:pt idx="261">
                  <c:v>21.42</c:v>
                </c:pt>
                <c:pt idx="262">
                  <c:v>12.31</c:v>
                </c:pt>
                <c:pt idx="263">
                  <c:v>15.84</c:v>
                </c:pt>
                <c:pt idx="264">
                  <c:v>14.83</c:v>
                </c:pt>
                <c:pt idx="265">
                  <c:v>18</c:v>
                </c:pt>
                <c:pt idx="266">
                  <c:v>9.09</c:v>
                </c:pt>
                <c:pt idx="267">
                  <c:v>7.0990000000000002</c:v>
                </c:pt>
                <c:pt idx="268">
                  <c:v>3.4489999999999998</c:v>
                </c:pt>
                <c:pt idx="269">
                  <c:v>5.7169999999999996</c:v>
                </c:pt>
                <c:pt idx="270">
                  <c:v>11.59</c:v>
                </c:pt>
                <c:pt idx="271">
                  <c:v>19.39</c:v>
                </c:pt>
                <c:pt idx="272">
                  <c:v>20.64</c:v>
                </c:pt>
                <c:pt idx="273">
                  <c:v>21.22</c:v>
                </c:pt>
                <c:pt idx="274">
                  <c:v>17.84</c:v>
                </c:pt>
                <c:pt idx="275">
                  <c:v>19.73</c:v>
                </c:pt>
                <c:pt idx="276">
                  <c:v>21.69</c:v>
                </c:pt>
                <c:pt idx="277">
                  <c:v>15.65</c:v>
                </c:pt>
                <c:pt idx="278">
                  <c:v>18.95</c:v>
                </c:pt>
                <c:pt idx="279">
                  <c:v>17.8</c:v>
                </c:pt>
                <c:pt idx="280">
                  <c:v>20.100000000000001</c:v>
                </c:pt>
                <c:pt idx="281">
                  <c:v>10.050000000000001</c:v>
                </c:pt>
                <c:pt idx="282">
                  <c:v>7.4720000000000004</c:v>
                </c:pt>
                <c:pt idx="283">
                  <c:v>6.9630000000000001</c:v>
                </c:pt>
                <c:pt idx="284">
                  <c:v>2.2229999999999999</c:v>
                </c:pt>
                <c:pt idx="285">
                  <c:v>0.46200000000000002</c:v>
                </c:pt>
                <c:pt idx="286">
                  <c:v>0.36099999999999999</c:v>
                </c:pt>
                <c:pt idx="287">
                  <c:v>1.6779999999999999</c:v>
                </c:pt>
                <c:pt idx="288">
                  <c:v>2.3929999999999998</c:v>
                </c:pt>
                <c:pt idx="289">
                  <c:v>7.7729999999999997</c:v>
                </c:pt>
                <c:pt idx="290">
                  <c:v>-2.4849999999999999</c:v>
                </c:pt>
                <c:pt idx="291">
                  <c:v>1.819</c:v>
                </c:pt>
                <c:pt idx="292">
                  <c:v>2.6339999999999999</c:v>
                </c:pt>
                <c:pt idx="293">
                  <c:v>0.94399999999999995</c:v>
                </c:pt>
                <c:pt idx="294">
                  <c:v>-3.13</c:v>
                </c:pt>
                <c:pt idx="295">
                  <c:v>-3.0219999999999998</c:v>
                </c:pt>
                <c:pt idx="296">
                  <c:v>-6.3380000000000001</c:v>
                </c:pt>
                <c:pt idx="297">
                  <c:v>-8.4700000000000006</c:v>
                </c:pt>
                <c:pt idx="298">
                  <c:v>0.129</c:v>
                </c:pt>
                <c:pt idx="299">
                  <c:v>0.33300000000000002</c:v>
                </c:pt>
                <c:pt idx="300">
                  <c:v>2.97</c:v>
                </c:pt>
                <c:pt idx="301">
                  <c:v>6.617</c:v>
                </c:pt>
                <c:pt idx="302">
                  <c:v>8.2799999999999994</c:v>
                </c:pt>
                <c:pt idx="303">
                  <c:v>3.4750000000000001</c:v>
                </c:pt>
                <c:pt idx="304">
                  <c:v>5.3</c:v>
                </c:pt>
                <c:pt idx="305">
                  <c:v>12.74</c:v>
                </c:pt>
                <c:pt idx="306">
                  <c:v>12.92</c:v>
                </c:pt>
                <c:pt idx="307">
                  <c:v>4.399</c:v>
                </c:pt>
                <c:pt idx="308">
                  <c:v>4.93</c:v>
                </c:pt>
                <c:pt idx="309">
                  <c:v>3.9870000000000001</c:v>
                </c:pt>
                <c:pt idx="310">
                  <c:v>-1.772</c:v>
                </c:pt>
                <c:pt idx="311">
                  <c:v>-5.7210000000000001</c:v>
                </c:pt>
                <c:pt idx="312">
                  <c:v>-8</c:v>
                </c:pt>
                <c:pt idx="313">
                  <c:v>-6.1340000000000003</c:v>
                </c:pt>
                <c:pt idx="314">
                  <c:v>-6.95</c:v>
                </c:pt>
                <c:pt idx="315">
                  <c:v>-6.0039999999999996</c:v>
                </c:pt>
                <c:pt idx="316">
                  <c:v>-6.3380000000000001</c:v>
                </c:pt>
                <c:pt idx="317">
                  <c:v>-3.39</c:v>
                </c:pt>
                <c:pt idx="318">
                  <c:v>-3.3220000000000001</c:v>
                </c:pt>
                <c:pt idx="319">
                  <c:v>-2.9260000000000002</c:v>
                </c:pt>
                <c:pt idx="320">
                  <c:v>-1.262</c:v>
                </c:pt>
                <c:pt idx="321">
                  <c:v>1.4119999999999999</c:v>
                </c:pt>
                <c:pt idx="322">
                  <c:v>-1.6359999999999999</c:v>
                </c:pt>
                <c:pt idx="323">
                  <c:v>-2.41</c:v>
                </c:pt>
                <c:pt idx="324">
                  <c:v>-3.22</c:v>
                </c:pt>
                <c:pt idx="325">
                  <c:v>1.31</c:v>
                </c:pt>
                <c:pt idx="326">
                  <c:v>-5.0190000000000001</c:v>
                </c:pt>
                <c:pt idx="327">
                  <c:v>-3.6949999999999998</c:v>
                </c:pt>
                <c:pt idx="328">
                  <c:v>-4.1020000000000003</c:v>
                </c:pt>
                <c:pt idx="329">
                  <c:v>-2.9809999999999999</c:v>
                </c:pt>
                <c:pt idx="330">
                  <c:v>2.8000000000000001E-2</c:v>
                </c:pt>
                <c:pt idx="331">
                  <c:v>-0.751</c:v>
                </c:pt>
                <c:pt idx="332">
                  <c:v>-0.71299999999999997</c:v>
                </c:pt>
                <c:pt idx="333">
                  <c:v>-4.1360000000000001</c:v>
                </c:pt>
                <c:pt idx="334">
                  <c:v>-3.6659999999999999</c:v>
                </c:pt>
                <c:pt idx="335">
                  <c:v>-1.399</c:v>
                </c:pt>
                <c:pt idx="336">
                  <c:v>5.0970000000000004</c:v>
                </c:pt>
                <c:pt idx="337">
                  <c:v>2.2629999999999999</c:v>
                </c:pt>
                <c:pt idx="338">
                  <c:v>8.83</c:v>
                </c:pt>
                <c:pt idx="339">
                  <c:v>5.1120000000000001</c:v>
                </c:pt>
                <c:pt idx="340">
                  <c:v>4.9989999999999997</c:v>
                </c:pt>
                <c:pt idx="341">
                  <c:v>0.23100000000000001</c:v>
                </c:pt>
                <c:pt idx="342">
                  <c:v>2.4300000000000002</c:v>
                </c:pt>
                <c:pt idx="343">
                  <c:v>-1.0249999999999999</c:v>
                </c:pt>
                <c:pt idx="344">
                  <c:v>-4.8449999999999998</c:v>
                </c:pt>
                <c:pt idx="345">
                  <c:v>-4.165</c:v>
                </c:pt>
                <c:pt idx="346">
                  <c:v>-4.6740000000000004</c:v>
                </c:pt>
                <c:pt idx="347">
                  <c:v>-6.2350000000000003</c:v>
                </c:pt>
                <c:pt idx="348">
                  <c:v>-3.2229999999999999</c:v>
                </c:pt>
                <c:pt idx="349">
                  <c:v>-4.133</c:v>
                </c:pt>
                <c:pt idx="350">
                  <c:v>-3.5590000000000002</c:v>
                </c:pt>
                <c:pt idx="351">
                  <c:v>-3.395</c:v>
                </c:pt>
                <c:pt idx="352">
                  <c:v>-2.8180000000000001</c:v>
                </c:pt>
                <c:pt idx="353">
                  <c:v>-2.7160000000000002</c:v>
                </c:pt>
                <c:pt idx="354">
                  <c:v>-1.494</c:v>
                </c:pt>
                <c:pt idx="355">
                  <c:v>-3.5270000000000001</c:v>
                </c:pt>
                <c:pt idx="356">
                  <c:v>-8.8800000000000008</c:v>
                </c:pt>
                <c:pt idx="357">
                  <c:v>-1.2290000000000001</c:v>
                </c:pt>
                <c:pt idx="358">
                  <c:v>-5.6589999999999998</c:v>
                </c:pt>
                <c:pt idx="359">
                  <c:v>-4.7080000000000002</c:v>
                </c:pt>
                <c:pt idx="360">
                  <c:v>-2.3769999999999998</c:v>
                </c:pt>
                <c:pt idx="361">
                  <c:v>-1.1950000000000001</c:v>
                </c:pt>
                <c:pt idx="362">
                  <c:v>-4.13</c:v>
                </c:pt>
                <c:pt idx="363">
                  <c:v>-4.843</c:v>
                </c:pt>
                <c:pt idx="364">
                  <c:v>-6.7060000000000004</c:v>
                </c:pt>
                <c:pt idx="365">
                  <c:v>-1.704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-4.9859999999999998</c:v>
                </c:pt>
                <c:pt idx="1">
                  <c:v>-9.32</c:v>
                </c:pt>
                <c:pt idx="2">
                  <c:v>-7.3570000000000002</c:v>
                </c:pt>
                <c:pt idx="3">
                  <c:v>-7.7939999999999996</c:v>
                </c:pt>
                <c:pt idx="4">
                  <c:v>-9.2899999999999991</c:v>
                </c:pt>
                <c:pt idx="5">
                  <c:v>-9.4600000000000009</c:v>
                </c:pt>
                <c:pt idx="6">
                  <c:v>-3.26</c:v>
                </c:pt>
                <c:pt idx="7">
                  <c:v>-15.79</c:v>
                </c:pt>
                <c:pt idx="8">
                  <c:v>-15.96</c:v>
                </c:pt>
                <c:pt idx="9">
                  <c:v>-13.58</c:v>
                </c:pt>
                <c:pt idx="10">
                  <c:v>-9.69</c:v>
                </c:pt>
                <c:pt idx="11">
                  <c:v>-26.42</c:v>
                </c:pt>
                <c:pt idx="12">
                  <c:v>-29.38</c:v>
                </c:pt>
                <c:pt idx="13">
                  <c:v>-22.68</c:v>
                </c:pt>
                <c:pt idx="14">
                  <c:v>-20.34</c:v>
                </c:pt>
                <c:pt idx="15">
                  <c:v>-13.59</c:v>
                </c:pt>
                <c:pt idx="16">
                  <c:v>-14.74</c:v>
                </c:pt>
                <c:pt idx="17">
                  <c:v>-13.52</c:v>
                </c:pt>
                <c:pt idx="18">
                  <c:v>-7.0860000000000003</c:v>
                </c:pt>
                <c:pt idx="19">
                  <c:v>-4.5439999999999996</c:v>
                </c:pt>
                <c:pt idx="20">
                  <c:v>-5.6970000000000001</c:v>
                </c:pt>
                <c:pt idx="21">
                  <c:v>-5.7619999999999996</c:v>
                </c:pt>
                <c:pt idx="22">
                  <c:v>-5.4269999999999996</c:v>
                </c:pt>
                <c:pt idx="23">
                  <c:v>-6.0670000000000002</c:v>
                </c:pt>
                <c:pt idx="24">
                  <c:v>-7.08</c:v>
                </c:pt>
                <c:pt idx="25">
                  <c:v>-5.0529999999999999</c:v>
                </c:pt>
                <c:pt idx="26">
                  <c:v>-6.5129999999999999</c:v>
                </c:pt>
                <c:pt idx="27">
                  <c:v>-7.25</c:v>
                </c:pt>
                <c:pt idx="28">
                  <c:v>-7.556</c:v>
                </c:pt>
                <c:pt idx="29">
                  <c:v>-8.67</c:v>
                </c:pt>
                <c:pt idx="30">
                  <c:v>-3.1240000000000001</c:v>
                </c:pt>
                <c:pt idx="31">
                  <c:v>-11.76</c:v>
                </c:pt>
                <c:pt idx="32">
                  <c:v>-14.3</c:v>
                </c:pt>
                <c:pt idx="33">
                  <c:v>-17.79</c:v>
                </c:pt>
                <c:pt idx="34">
                  <c:v>-15.52</c:v>
                </c:pt>
                <c:pt idx="35">
                  <c:v>-6.3380000000000001</c:v>
                </c:pt>
                <c:pt idx="36">
                  <c:v>-6.0380000000000003</c:v>
                </c:pt>
                <c:pt idx="37">
                  <c:v>-8.1</c:v>
                </c:pt>
                <c:pt idx="38">
                  <c:v>-10.07</c:v>
                </c:pt>
                <c:pt idx="39">
                  <c:v>-12.65</c:v>
                </c:pt>
                <c:pt idx="40">
                  <c:v>-7.9349999999999996</c:v>
                </c:pt>
                <c:pt idx="41">
                  <c:v>-6.3739999999999997</c:v>
                </c:pt>
                <c:pt idx="42">
                  <c:v>-7.827</c:v>
                </c:pt>
                <c:pt idx="43">
                  <c:v>-8.3000000000000007</c:v>
                </c:pt>
                <c:pt idx="44">
                  <c:v>-8.27</c:v>
                </c:pt>
                <c:pt idx="45">
                  <c:v>-8.1</c:v>
                </c:pt>
                <c:pt idx="46">
                  <c:v>-8.85</c:v>
                </c:pt>
                <c:pt idx="47">
                  <c:v>-10.44</c:v>
                </c:pt>
                <c:pt idx="48">
                  <c:v>-13.99</c:v>
                </c:pt>
                <c:pt idx="49">
                  <c:v>-13.99</c:v>
                </c:pt>
                <c:pt idx="50">
                  <c:v>-10.94</c:v>
                </c:pt>
                <c:pt idx="51">
                  <c:v>-10.199999999999999</c:v>
                </c:pt>
                <c:pt idx="52">
                  <c:v>-9.83</c:v>
                </c:pt>
                <c:pt idx="53">
                  <c:v>-8.1</c:v>
                </c:pt>
                <c:pt idx="54">
                  <c:v>-10.82</c:v>
                </c:pt>
                <c:pt idx="55">
                  <c:v>-12.72</c:v>
                </c:pt>
                <c:pt idx="56">
                  <c:v>-6.4459999999999997</c:v>
                </c:pt>
                <c:pt idx="57">
                  <c:v>-6.2460000000000004</c:v>
                </c:pt>
                <c:pt idx="58">
                  <c:v>-6.3490000000000002</c:v>
                </c:pt>
                <c:pt idx="59">
                  <c:v>-8.69</c:v>
                </c:pt>
                <c:pt idx="60">
                  <c:v>-11.51</c:v>
                </c:pt>
                <c:pt idx="61">
                  <c:v>-6.0730000000000004</c:v>
                </c:pt>
                <c:pt idx="62">
                  <c:v>-5.1269999999999998</c:v>
                </c:pt>
                <c:pt idx="63">
                  <c:v>-11.44</c:v>
                </c:pt>
                <c:pt idx="64">
                  <c:v>-7.8330000000000002</c:v>
                </c:pt>
                <c:pt idx="65">
                  <c:v>-6.9889999999999999</c:v>
                </c:pt>
                <c:pt idx="66">
                  <c:v>-11.48</c:v>
                </c:pt>
                <c:pt idx="67">
                  <c:v>-12.97</c:v>
                </c:pt>
                <c:pt idx="68">
                  <c:v>-15.54</c:v>
                </c:pt>
                <c:pt idx="69">
                  <c:v>-10.86</c:v>
                </c:pt>
                <c:pt idx="70">
                  <c:v>-11.95</c:v>
                </c:pt>
                <c:pt idx="71">
                  <c:v>-11.98</c:v>
                </c:pt>
                <c:pt idx="72">
                  <c:v>-14.66</c:v>
                </c:pt>
                <c:pt idx="73">
                  <c:v>-18.940000000000001</c:v>
                </c:pt>
                <c:pt idx="74">
                  <c:v>-19.18</c:v>
                </c:pt>
                <c:pt idx="75">
                  <c:v>-11.39</c:v>
                </c:pt>
                <c:pt idx="76">
                  <c:v>-5.431</c:v>
                </c:pt>
                <c:pt idx="77">
                  <c:v>-6.65</c:v>
                </c:pt>
                <c:pt idx="78">
                  <c:v>-9.36</c:v>
                </c:pt>
                <c:pt idx="79">
                  <c:v>-5.2789999999999999</c:v>
                </c:pt>
                <c:pt idx="80">
                  <c:v>-7.0860000000000003</c:v>
                </c:pt>
                <c:pt idx="81">
                  <c:v>-8.07</c:v>
                </c:pt>
                <c:pt idx="82">
                  <c:v>-8.51</c:v>
                </c:pt>
                <c:pt idx="83">
                  <c:v>-9.6</c:v>
                </c:pt>
                <c:pt idx="84">
                  <c:v>-11.46</c:v>
                </c:pt>
                <c:pt idx="85">
                  <c:v>-11.09</c:v>
                </c:pt>
                <c:pt idx="86">
                  <c:v>-6.1710000000000003</c:v>
                </c:pt>
                <c:pt idx="87">
                  <c:v>-3.9729999999999999</c:v>
                </c:pt>
                <c:pt idx="88">
                  <c:v>-4.08</c:v>
                </c:pt>
                <c:pt idx="89">
                  <c:v>-8.27</c:v>
                </c:pt>
                <c:pt idx="90">
                  <c:v>-10.89</c:v>
                </c:pt>
                <c:pt idx="91">
                  <c:v>-15.8</c:v>
                </c:pt>
                <c:pt idx="92">
                  <c:v>-17.16</c:v>
                </c:pt>
                <c:pt idx="93">
                  <c:v>-14.25</c:v>
                </c:pt>
                <c:pt idx="94">
                  <c:v>-14.18</c:v>
                </c:pt>
                <c:pt idx="95">
                  <c:v>-10.28</c:v>
                </c:pt>
                <c:pt idx="96">
                  <c:v>-9.98</c:v>
                </c:pt>
                <c:pt idx="97">
                  <c:v>-4.6859999999999999</c:v>
                </c:pt>
                <c:pt idx="98">
                  <c:v>-7.6289999999999996</c:v>
                </c:pt>
                <c:pt idx="99">
                  <c:v>-1.9970000000000001</c:v>
                </c:pt>
                <c:pt idx="100">
                  <c:v>-2.9929999999999999</c:v>
                </c:pt>
                <c:pt idx="101">
                  <c:v>-11.19</c:v>
                </c:pt>
                <c:pt idx="102">
                  <c:v>-13.18</c:v>
                </c:pt>
                <c:pt idx="103">
                  <c:v>-10.53</c:v>
                </c:pt>
                <c:pt idx="104">
                  <c:v>-3.5649999999999999</c:v>
                </c:pt>
                <c:pt idx="105">
                  <c:v>-6.7409999999999997</c:v>
                </c:pt>
                <c:pt idx="106">
                  <c:v>-7.08</c:v>
                </c:pt>
                <c:pt idx="107">
                  <c:v>-2.0920000000000001</c:v>
                </c:pt>
                <c:pt idx="108">
                  <c:v>-1.0249999999999999</c:v>
                </c:pt>
                <c:pt idx="109">
                  <c:v>0.29199999999999998</c:v>
                </c:pt>
                <c:pt idx="110">
                  <c:v>-0.98099999999999998</c:v>
                </c:pt>
                <c:pt idx="111">
                  <c:v>-1.601</c:v>
                </c:pt>
                <c:pt idx="112">
                  <c:v>-2.343</c:v>
                </c:pt>
                <c:pt idx="113">
                  <c:v>-2.177</c:v>
                </c:pt>
                <c:pt idx="114">
                  <c:v>-3.8250000000000002</c:v>
                </c:pt>
                <c:pt idx="115">
                  <c:v>-2.4790000000000001</c:v>
                </c:pt>
                <c:pt idx="116">
                  <c:v>-4.5720000000000001</c:v>
                </c:pt>
                <c:pt idx="117">
                  <c:v>-3.016</c:v>
                </c:pt>
                <c:pt idx="118">
                  <c:v>-5.0140000000000002</c:v>
                </c:pt>
                <c:pt idx="119">
                  <c:v>1.7849999999999999</c:v>
                </c:pt>
                <c:pt idx="120">
                  <c:v>-2.8759999999999999</c:v>
                </c:pt>
                <c:pt idx="121">
                  <c:v>-2.1339999999999999</c:v>
                </c:pt>
                <c:pt idx="122">
                  <c:v>-2.044</c:v>
                </c:pt>
                <c:pt idx="123">
                  <c:v>-5.4269999999999996</c:v>
                </c:pt>
                <c:pt idx="124">
                  <c:v>-7.4189999999999996</c:v>
                </c:pt>
                <c:pt idx="125">
                  <c:v>-7.4999999999999997E-2</c:v>
                </c:pt>
                <c:pt idx="126">
                  <c:v>-2.3149999999999999</c:v>
                </c:pt>
                <c:pt idx="127">
                  <c:v>-2.621</c:v>
                </c:pt>
                <c:pt idx="128">
                  <c:v>-1.966</c:v>
                </c:pt>
                <c:pt idx="129">
                  <c:v>2.98</c:v>
                </c:pt>
                <c:pt idx="130">
                  <c:v>4.431</c:v>
                </c:pt>
                <c:pt idx="131">
                  <c:v>2.363</c:v>
                </c:pt>
                <c:pt idx="132">
                  <c:v>0.73299999999999998</c:v>
                </c:pt>
                <c:pt idx="133">
                  <c:v>1.1060000000000001</c:v>
                </c:pt>
                <c:pt idx="134">
                  <c:v>-0.28499999999999998</c:v>
                </c:pt>
                <c:pt idx="135">
                  <c:v>-0.44800000000000001</c:v>
                </c:pt>
                <c:pt idx="136">
                  <c:v>1.4119999999999999</c:v>
                </c:pt>
                <c:pt idx="137">
                  <c:v>0.76700000000000002</c:v>
                </c:pt>
                <c:pt idx="138">
                  <c:v>-0.48899999999999999</c:v>
                </c:pt>
                <c:pt idx="139">
                  <c:v>2.2610000000000001</c:v>
                </c:pt>
                <c:pt idx="140">
                  <c:v>1.3779999999999999</c:v>
                </c:pt>
                <c:pt idx="141">
                  <c:v>-1.67</c:v>
                </c:pt>
                <c:pt idx="142">
                  <c:v>-1.738</c:v>
                </c:pt>
                <c:pt idx="143">
                  <c:v>-0.78800000000000003</c:v>
                </c:pt>
                <c:pt idx="144">
                  <c:v>0.74</c:v>
                </c:pt>
                <c:pt idx="145">
                  <c:v>3.3439999999999999</c:v>
                </c:pt>
                <c:pt idx="146">
                  <c:v>0.86899999999999999</c:v>
                </c:pt>
                <c:pt idx="147">
                  <c:v>9.5000000000000001E-2</c:v>
                </c:pt>
                <c:pt idx="148">
                  <c:v>4.84</c:v>
                </c:pt>
                <c:pt idx="149">
                  <c:v>7.38</c:v>
                </c:pt>
                <c:pt idx="150">
                  <c:v>5.94</c:v>
                </c:pt>
                <c:pt idx="151">
                  <c:v>-0.71899999999999997</c:v>
                </c:pt>
                <c:pt idx="152">
                  <c:v>-0.41399999999999998</c:v>
                </c:pt>
                <c:pt idx="153">
                  <c:v>-0.58399999999999996</c:v>
                </c:pt>
                <c:pt idx="154">
                  <c:v>-1.6639999999999999</c:v>
                </c:pt>
                <c:pt idx="155">
                  <c:v>-0.64800000000000002</c:v>
                </c:pt>
                <c:pt idx="156">
                  <c:v>1.095</c:v>
                </c:pt>
                <c:pt idx="157">
                  <c:v>-1.0249999999999999</c:v>
                </c:pt>
                <c:pt idx="158">
                  <c:v>0.42899999999999999</c:v>
                </c:pt>
                <c:pt idx="159">
                  <c:v>-1.1240000000000001</c:v>
                </c:pt>
                <c:pt idx="160">
                  <c:v>-2.4039999999999999</c:v>
                </c:pt>
                <c:pt idx="161">
                  <c:v>3.0379999999999998</c:v>
                </c:pt>
                <c:pt idx="162">
                  <c:v>5.0960000000000001</c:v>
                </c:pt>
                <c:pt idx="163">
                  <c:v>3.4750000000000001</c:v>
                </c:pt>
                <c:pt idx="164">
                  <c:v>-7.9000000000000001E-2</c:v>
                </c:pt>
                <c:pt idx="165">
                  <c:v>-0.65300000000000002</c:v>
                </c:pt>
                <c:pt idx="166">
                  <c:v>-1.331</c:v>
                </c:pt>
                <c:pt idx="167">
                  <c:v>0.90300000000000002</c:v>
                </c:pt>
                <c:pt idx="168">
                  <c:v>2.77</c:v>
                </c:pt>
                <c:pt idx="169">
                  <c:v>4.09</c:v>
                </c:pt>
                <c:pt idx="170">
                  <c:v>7.4720000000000004</c:v>
                </c:pt>
                <c:pt idx="171">
                  <c:v>7.2960000000000003</c:v>
                </c:pt>
                <c:pt idx="172">
                  <c:v>6.3520000000000003</c:v>
                </c:pt>
                <c:pt idx="173">
                  <c:v>5.548</c:v>
                </c:pt>
                <c:pt idx="174">
                  <c:v>10.18</c:v>
                </c:pt>
                <c:pt idx="175">
                  <c:v>7.8040000000000003</c:v>
                </c:pt>
                <c:pt idx="176">
                  <c:v>6.657</c:v>
                </c:pt>
                <c:pt idx="177">
                  <c:v>6.7590000000000003</c:v>
                </c:pt>
                <c:pt idx="178">
                  <c:v>2.46</c:v>
                </c:pt>
                <c:pt idx="179">
                  <c:v>2.0870000000000002</c:v>
                </c:pt>
                <c:pt idx="180">
                  <c:v>4.6319999999999997</c:v>
                </c:pt>
                <c:pt idx="181">
                  <c:v>3.07</c:v>
                </c:pt>
                <c:pt idx="182">
                  <c:v>1.446</c:v>
                </c:pt>
                <c:pt idx="183">
                  <c:v>2.359</c:v>
                </c:pt>
                <c:pt idx="184">
                  <c:v>3.3130000000000002</c:v>
                </c:pt>
                <c:pt idx="185">
                  <c:v>1.4119999999999999</c:v>
                </c:pt>
                <c:pt idx="186">
                  <c:v>3.4820000000000002</c:v>
                </c:pt>
                <c:pt idx="187">
                  <c:v>6.7190000000000003</c:v>
                </c:pt>
                <c:pt idx="188">
                  <c:v>2.4980000000000002</c:v>
                </c:pt>
                <c:pt idx="189">
                  <c:v>3.31</c:v>
                </c:pt>
                <c:pt idx="190">
                  <c:v>4.6639999999999997</c:v>
                </c:pt>
                <c:pt idx="191">
                  <c:v>3.988</c:v>
                </c:pt>
                <c:pt idx="192">
                  <c:v>5.8769999999999998</c:v>
                </c:pt>
                <c:pt idx="193">
                  <c:v>0.45600000000000002</c:v>
                </c:pt>
                <c:pt idx="194">
                  <c:v>0.74</c:v>
                </c:pt>
                <c:pt idx="195">
                  <c:v>4.4980000000000002</c:v>
                </c:pt>
                <c:pt idx="196">
                  <c:v>7.9130000000000003</c:v>
                </c:pt>
                <c:pt idx="197">
                  <c:v>7.5039999999999996</c:v>
                </c:pt>
                <c:pt idx="198">
                  <c:v>7.0650000000000004</c:v>
                </c:pt>
                <c:pt idx="199">
                  <c:v>5.9530000000000003</c:v>
                </c:pt>
                <c:pt idx="200">
                  <c:v>8.82</c:v>
                </c:pt>
                <c:pt idx="201">
                  <c:v>7.54</c:v>
                </c:pt>
                <c:pt idx="202">
                  <c:v>11.63</c:v>
                </c:pt>
                <c:pt idx="203">
                  <c:v>9.32</c:v>
                </c:pt>
                <c:pt idx="204">
                  <c:v>7.4690000000000003</c:v>
                </c:pt>
                <c:pt idx="205">
                  <c:v>3.89</c:v>
                </c:pt>
                <c:pt idx="206">
                  <c:v>2.7360000000000002</c:v>
                </c:pt>
                <c:pt idx="207">
                  <c:v>7.54</c:v>
                </c:pt>
                <c:pt idx="208">
                  <c:v>12.65</c:v>
                </c:pt>
                <c:pt idx="209">
                  <c:v>13.09</c:v>
                </c:pt>
                <c:pt idx="210">
                  <c:v>10.79</c:v>
                </c:pt>
                <c:pt idx="211">
                  <c:v>14.78</c:v>
                </c:pt>
                <c:pt idx="212">
                  <c:v>15.36</c:v>
                </c:pt>
                <c:pt idx="213">
                  <c:v>13.9</c:v>
                </c:pt>
                <c:pt idx="214">
                  <c:v>10.34</c:v>
                </c:pt>
                <c:pt idx="215">
                  <c:v>7.3019999999999996</c:v>
                </c:pt>
                <c:pt idx="216">
                  <c:v>7.1669999999999998</c:v>
                </c:pt>
                <c:pt idx="217">
                  <c:v>11.94</c:v>
                </c:pt>
                <c:pt idx="218">
                  <c:v>3.0750000000000002</c:v>
                </c:pt>
                <c:pt idx="219">
                  <c:v>2.8010000000000002</c:v>
                </c:pt>
                <c:pt idx="220">
                  <c:v>4.798</c:v>
                </c:pt>
                <c:pt idx="221">
                  <c:v>3.6520000000000001</c:v>
                </c:pt>
                <c:pt idx="222">
                  <c:v>7.0650000000000004</c:v>
                </c:pt>
                <c:pt idx="223">
                  <c:v>4.0220000000000002</c:v>
                </c:pt>
                <c:pt idx="224">
                  <c:v>0.40100000000000002</c:v>
                </c:pt>
                <c:pt idx="225">
                  <c:v>0.876</c:v>
                </c:pt>
                <c:pt idx="226">
                  <c:v>3.931</c:v>
                </c:pt>
                <c:pt idx="227">
                  <c:v>8.39</c:v>
                </c:pt>
                <c:pt idx="228">
                  <c:v>14.14</c:v>
                </c:pt>
                <c:pt idx="229">
                  <c:v>15.12</c:v>
                </c:pt>
                <c:pt idx="230">
                  <c:v>13.22</c:v>
                </c:pt>
                <c:pt idx="231">
                  <c:v>10.65</c:v>
                </c:pt>
                <c:pt idx="232">
                  <c:v>10.61</c:v>
                </c:pt>
                <c:pt idx="233">
                  <c:v>6.827</c:v>
                </c:pt>
                <c:pt idx="234">
                  <c:v>3.5840000000000001</c:v>
                </c:pt>
                <c:pt idx="235">
                  <c:v>6.7009999999999996</c:v>
                </c:pt>
                <c:pt idx="236">
                  <c:v>6.9290000000000003</c:v>
                </c:pt>
                <c:pt idx="237">
                  <c:v>5.21</c:v>
                </c:pt>
                <c:pt idx="238">
                  <c:v>4.7690000000000001</c:v>
                </c:pt>
                <c:pt idx="239">
                  <c:v>4.8070000000000004</c:v>
                </c:pt>
                <c:pt idx="240">
                  <c:v>6.94</c:v>
                </c:pt>
                <c:pt idx="241">
                  <c:v>3.4830000000000001</c:v>
                </c:pt>
                <c:pt idx="242">
                  <c:v>0.503</c:v>
                </c:pt>
                <c:pt idx="243">
                  <c:v>2.0230000000000001</c:v>
                </c:pt>
                <c:pt idx="244">
                  <c:v>7.5659999999999998</c:v>
                </c:pt>
                <c:pt idx="245">
                  <c:v>6.8470000000000004</c:v>
                </c:pt>
                <c:pt idx="246">
                  <c:v>6.5330000000000004</c:v>
                </c:pt>
                <c:pt idx="247">
                  <c:v>11.43</c:v>
                </c:pt>
                <c:pt idx="248">
                  <c:v>12.58</c:v>
                </c:pt>
                <c:pt idx="249">
                  <c:v>8.11</c:v>
                </c:pt>
                <c:pt idx="250">
                  <c:v>3.218</c:v>
                </c:pt>
                <c:pt idx="251">
                  <c:v>1.6910000000000001</c:v>
                </c:pt>
                <c:pt idx="252">
                  <c:v>6.0590000000000002</c:v>
                </c:pt>
                <c:pt idx="253">
                  <c:v>8.86</c:v>
                </c:pt>
                <c:pt idx="254">
                  <c:v>11.43</c:v>
                </c:pt>
                <c:pt idx="255">
                  <c:v>11.77</c:v>
                </c:pt>
                <c:pt idx="256">
                  <c:v>9.16</c:v>
                </c:pt>
                <c:pt idx="257">
                  <c:v>7.0830000000000002</c:v>
                </c:pt>
                <c:pt idx="258">
                  <c:v>8.14</c:v>
                </c:pt>
                <c:pt idx="259">
                  <c:v>9.3000000000000007</c:v>
                </c:pt>
                <c:pt idx="260">
                  <c:v>10.79</c:v>
                </c:pt>
                <c:pt idx="261">
                  <c:v>8.11</c:v>
                </c:pt>
                <c:pt idx="262">
                  <c:v>5.0339999999999998</c:v>
                </c:pt>
                <c:pt idx="263">
                  <c:v>3.68</c:v>
                </c:pt>
                <c:pt idx="264">
                  <c:v>3.1429999999999998</c:v>
                </c:pt>
                <c:pt idx="265">
                  <c:v>4.5979999999999999</c:v>
                </c:pt>
                <c:pt idx="266">
                  <c:v>2.1779999999999999</c:v>
                </c:pt>
                <c:pt idx="267">
                  <c:v>0.97799999999999998</c:v>
                </c:pt>
                <c:pt idx="268">
                  <c:v>0.129</c:v>
                </c:pt>
                <c:pt idx="269">
                  <c:v>-7.0000000000000001E-3</c:v>
                </c:pt>
                <c:pt idx="270">
                  <c:v>-0.88400000000000001</c:v>
                </c:pt>
                <c:pt idx="271">
                  <c:v>4.7370000000000001</c:v>
                </c:pt>
                <c:pt idx="272">
                  <c:v>8.2899999999999991</c:v>
                </c:pt>
                <c:pt idx="273">
                  <c:v>8.66</c:v>
                </c:pt>
                <c:pt idx="274">
                  <c:v>9.75</c:v>
                </c:pt>
                <c:pt idx="275">
                  <c:v>9.5</c:v>
                </c:pt>
                <c:pt idx="276">
                  <c:v>8.1199999999999992</c:v>
                </c:pt>
                <c:pt idx="277">
                  <c:v>5.2759999999999998</c:v>
                </c:pt>
                <c:pt idx="278">
                  <c:v>4.633</c:v>
                </c:pt>
                <c:pt idx="279">
                  <c:v>7.9130000000000003</c:v>
                </c:pt>
                <c:pt idx="280">
                  <c:v>5.8780000000000001</c:v>
                </c:pt>
                <c:pt idx="281">
                  <c:v>4.4950000000000001</c:v>
                </c:pt>
                <c:pt idx="282">
                  <c:v>4.2569999999999997</c:v>
                </c:pt>
                <c:pt idx="283">
                  <c:v>-1.772</c:v>
                </c:pt>
                <c:pt idx="284">
                  <c:v>-2.6869999999999998</c:v>
                </c:pt>
                <c:pt idx="285">
                  <c:v>-3.4590000000000001</c:v>
                </c:pt>
                <c:pt idx="286">
                  <c:v>-3.5649999999999999</c:v>
                </c:pt>
                <c:pt idx="287">
                  <c:v>-3.226</c:v>
                </c:pt>
                <c:pt idx="288">
                  <c:v>-3.3620000000000001</c:v>
                </c:pt>
                <c:pt idx="289">
                  <c:v>-2.621</c:v>
                </c:pt>
                <c:pt idx="290">
                  <c:v>-4.883</c:v>
                </c:pt>
                <c:pt idx="291">
                  <c:v>-4.4420000000000002</c:v>
                </c:pt>
                <c:pt idx="292">
                  <c:v>-3.3959999999999999</c:v>
                </c:pt>
                <c:pt idx="293">
                  <c:v>-4.5780000000000003</c:v>
                </c:pt>
                <c:pt idx="294">
                  <c:v>-10.77</c:v>
                </c:pt>
                <c:pt idx="295">
                  <c:v>-11.05</c:v>
                </c:pt>
                <c:pt idx="296">
                  <c:v>-9.2899999999999991</c:v>
                </c:pt>
                <c:pt idx="297">
                  <c:v>-13.93</c:v>
                </c:pt>
                <c:pt idx="298">
                  <c:v>-16.13</c:v>
                </c:pt>
                <c:pt idx="299">
                  <c:v>-7.8959999999999999</c:v>
                </c:pt>
                <c:pt idx="300">
                  <c:v>-2.7789999999999999</c:v>
                </c:pt>
                <c:pt idx="301">
                  <c:v>2.4300000000000002</c:v>
                </c:pt>
                <c:pt idx="302">
                  <c:v>1.823</c:v>
                </c:pt>
                <c:pt idx="303">
                  <c:v>-3.9319999999999999</c:v>
                </c:pt>
                <c:pt idx="304">
                  <c:v>-6.74</c:v>
                </c:pt>
                <c:pt idx="305">
                  <c:v>-0.60499999999999998</c:v>
                </c:pt>
                <c:pt idx="306">
                  <c:v>0.23200000000000001</c:v>
                </c:pt>
                <c:pt idx="307">
                  <c:v>0.46200000000000002</c:v>
                </c:pt>
                <c:pt idx="308">
                  <c:v>0.86899999999999999</c:v>
                </c:pt>
                <c:pt idx="309">
                  <c:v>-6.468</c:v>
                </c:pt>
                <c:pt idx="310">
                  <c:v>-6.6719999999999997</c:v>
                </c:pt>
                <c:pt idx="311">
                  <c:v>-10.3</c:v>
                </c:pt>
                <c:pt idx="312">
                  <c:v>-13.39</c:v>
                </c:pt>
                <c:pt idx="313">
                  <c:v>-12.67</c:v>
                </c:pt>
                <c:pt idx="314">
                  <c:v>-8.91</c:v>
                </c:pt>
                <c:pt idx="315">
                  <c:v>-9.42</c:v>
                </c:pt>
                <c:pt idx="316">
                  <c:v>-9.36</c:v>
                </c:pt>
                <c:pt idx="317">
                  <c:v>-8.34</c:v>
                </c:pt>
                <c:pt idx="318">
                  <c:v>-8.51</c:v>
                </c:pt>
                <c:pt idx="319">
                  <c:v>-6.774</c:v>
                </c:pt>
                <c:pt idx="320">
                  <c:v>-6.7069999999999999</c:v>
                </c:pt>
                <c:pt idx="321">
                  <c:v>-2.0099999999999998</c:v>
                </c:pt>
                <c:pt idx="322">
                  <c:v>-3.9710000000000001</c:v>
                </c:pt>
                <c:pt idx="323">
                  <c:v>-8.7799999999999994</c:v>
                </c:pt>
                <c:pt idx="324">
                  <c:v>-7.6909999999999998</c:v>
                </c:pt>
                <c:pt idx="325">
                  <c:v>-7.9989999999999997</c:v>
                </c:pt>
                <c:pt idx="326">
                  <c:v>-7.6920000000000002</c:v>
                </c:pt>
                <c:pt idx="327">
                  <c:v>-7.625</c:v>
                </c:pt>
                <c:pt idx="328">
                  <c:v>-7.1879999999999997</c:v>
                </c:pt>
                <c:pt idx="329">
                  <c:v>-7.6920000000000002</c:v>
                </c:pt>
                <c:pt idx="330">
                  <c:v>-7.5220000000000002</c:v>
                </c:pt>
                <c:pt idx="331">
                  <c:v>-6.3719999999999999</c:v>
                </c:pt>
                <c:pt idx="332">
                  <c:v>-7.2839999999999998</c:v>
                </c:pt>
                <c:pt idx="333">
                  <c:v>-7.2839999999999998</c:v>
                </c:pt>
                <c:pt idx="334">
                  <c:v>-8.64</c:v>
                </c:pt>
                <c:pt idx="335">
                  <c:v>-10.06</c:v>
                </c:pt>
                <c:pt idx="336">
                  <c:v>-7.2160000000000002</c:v>
                </c:pt>
                <c:pt idx="337">
                  <c:v>-3.254</c:v>
                </c:pt>
                <c:pt idx="338">
                  <c:v>-3.044</c:v>
                </c:pt>
                <c:pt idx="339">
                  <c:v>-4.266</c:v>
                </c:pt>
                <c:pt idx="340">
                  <c:v>-4.5039999999999996</c:v>
                </c:pt>
                <c:pt idx="341">
                  <c:v>-6.2080000000000002</c:v>
                </c:pt>
                <c:pt idx="342">
                  <c:v>-4.8819999999999997</c:v>
                </c:pt>
                <c:pt idx="343">
                  <c:v>-5.4889999999999999</c:v>
                </c:pt>
                <c:pt idx="344">
                  <c:v>-8.4</c:v>
                </c:pt>
                <c:pt idx="345">
                  <c:v>-7.7270000000000003</c:v>
                </c:pt>
                <c:pt idx="346">
                  <c:v>-9.9</c:v>
                </c:pt>
                <c:pt idx="347">
                  <c:v>-10.74</c:v>
                </c:pt>
                <c:pt idx="348">
                  <c:v>-7.5579999999999998</c:v>
                </c:pt>
                <c:pt idx="349">
                  <c:v>-9.4600000000000009</c:v>
                </c:pt>
                <c:pt idx="350">
                  <c:v>-5.8970000000000002</c:v>
                </c:pt>
                <c:pt idx="351">
                  <c:v>-6.9119999999999999</c:v>
                </c:pt>
                <c:pt idx="352">
                  <c:v>-5.9989999999999997</c:v>
                </c:pt>
                <c:pt idx="353">
                  <c:v>-5.7270000000000003</c:v>
                </c:pt>
                <c:pt idx="354">
                  <c:v>-6.1349999999999998</c:v>
                </c:pt>
                <c:pt idx="355">
                  <c:v>-8.9499999999999993</c:v>
                </c:pt>
                <c:pt idx="356">
                  <c:v>-12.43</c:v>
                </c:pt>
                <c:pt idx="357">
                  <c:v>-13.07</c:v>
                </c:pt>
                <c:pt idx="358">
                  <c:v>-11.76</c:v>
                </c:pt>
                <c:pt idx="359">
                  <c:v>-10.17</c:v>
                </c:pt>
                <c:pt idx="360">
                  <c:v>-8.07</c:v>
                </c:pt>
                <c:pt idx="361">
                  <c:v>-8.3000000000000007</c:v>
                </c:pt>
                <c:pt idx="362">
                  <c:v>-10.84</c:v>
                </c:pt>
                <c:pt idx="363">
                  <c:v>-9.99</c:v>
                </c:pt>
                <c:pt idx="364">
                  <c:v>-10.78</c:v>
                </c:pt>
                <c:pt idx="365">
                  <c:v>-7.4880000000000004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-2.4910000000000001</c:v>
                </c:pt>
                <c:pt idx="1">
                  <c:v>-7.9790000000000001</c:v>
                </c:pt>
                <c:pt idx="2">
                  <c:v>-3.972</c:v>
                </c:pt>
                <c:pt idx="3">
                  <c:v>-6.0739999999999998</c:v>
                </c:pt>
                <c:pt idx="4">
                  <c:v>-7.5140000000000002</c:v>
                </c:pt>
                <c:pt idx="5">
                  <c:v>-6.4059999999999997</c:v>
                </c:pt>
                <c:pt idx="6">
                  <c:v>-2.1869999999999998</c:v>
                </c:pt>
                <c:pt idx="7">
                  <c:v>-8.61</c:v>
                </c:pt>
                <c:pt idx="8">
                  <c:v>-12.31</c:v>
                </c:pt>
                <c:pt idx="9">
                  <c:v>-11.16</c:v>
                </c:pt>
                <c:pt idx="10">
                  <c:v>-7.4249999999999998</c:v>
                </c:pt>
                <c:pt idx="11">
                  <c:v>-12.06</c:v>
                </c:pt>
                <c:pt idx="12">
                  <c:v>-24.14</c:v>
                </c:pt>
                <c:pt idx="13">
                  <c:v>-20.36</c:v>
                </c:pt>
                <c:pt idx="14">
                  <c:v>-16.21</c:v>
                </c:pt>
                <c:pt idx="15">
                  <c:v>-9.01</c:v>
                </c:pt>
                <c:pt idx="16">
                  <c:v>-11.23</c:v>
                </c:pt>
                <c:pt idx="17">
                  <c:v>-8.8800000000000008</c:v>
                </c:pt>
                <c:pt idx="18">
                  <c:v>-4.2789999999999999</c:v>
                </c:pt>
                <c:pt idx="19">
                  <c:v>-3.1349999999999998</c:v>
                </c:pt>
                <c:pt idx="20">
                  <c:v>-4.2279999999999998</c:v>
                </c:pt>
                <c:pt idx="21">
                  <c:v>-4.5650000000000004</c:v>
                </c:pt>
                <c:pt idx="22">
                  <c:v>-2.5390000000000001</c:v>
                </c:pt>
                <c:pt idx="23">
                  <c:v>-1.847</c:v>
                </c:pt>
                <c:pt idx="24">
                  <c:v>-4.4409999999999998</c:v>
                </c:pt>
                <c:pt idx="25">
                  <c:v>-3.5950000000000002</c:v>
                </c:pt>
                <c:pt idx="26">
                  <c:v>-4.617</c:v>
                </c:pt>
                <c:pt idx="27">
                  <c:v>-4.3479999999999999</c:v>
                </c:pt>
                <c:pt idx="28">
                  <c:v>-5.1520000000000001</c:v>
                </c:pt>
                <c:pt idx="29">
                  <c:v>-5.9740000000000002</c:v>
                </c:pt>
                <c:pt idx="30">
                  <c:v>-0.58199999999999996</c:v>
                </c:pt>
                <c:pt idx="31">
                  <c:v>-4.3029999999999999</c:v>
                </c:pt>
                <c:pt idx="32">
                  <c:v>-10.55</c:v>
                </c:pt>
                <c:pt idx="33">
                  <c:v>-13.17</c:v>
                </c:pt>
                <c:pt idx="34">
                  <c:v>-10.58</c:v>
                </c:pt>
                <c:pt idx="35">
                  <c:v>-4.0739999999999998</c:v>
                </c:pt>
                <c:pt idx="36">
                  <c:v>-4.133</c:v>
                </c:pt>
                <c:pt idx="37">
                  <c:v>-6.2610000000000001</c:v>
                </c:pt>
                <c:pt idx="38">
                  <c:v>-7.86</c:v>
                </c:pt>
                <c:pt idx="39">
                  <c:v>-7.4349999999999996</c:v>
                </c:pt>
                <c:pt idx="40">
                  <c:v>-6.2629999999999999</c:v>
                </c:pt>
                <c:pt idx="41">
                  <c:v>-4.7039999999999997</c:v>
                </c:pt>
                <c:pt idx="42">
                  <c:v>-5.22</c:v>
                </c:pt>
                <c:pt idx="43">
                  <c:v>-5.984</c:v>
                </c:pt>
                <c:pt idx="44">
                  <c:v>-6.657</c:v>
                </c:pt>
                <c:pt idx="45">
                  <c:v>-5.8380000000000001</c:v>
                </c:pt>
                <c:pt idx="46">
                  <c:v>-7.6429999999999998</c:v>
                </c:pt>
                <c:pt idx="47">
                  <c:v>-8.98</c:v>
                </c:pt>
                <c:pt idx="48">
                  <c:v>-10.039999999999999</c:v>
                </c:pt>
                <c:pt idx="49">
                  <c:v>-8.36</c:v>
                </c:pt>
                <c:pt idx="50">
                  <c:v>-7.1260000000000003</c:v>
                </c:pt>
                <c:pt idx="51">
                  <c:v>-4.4340000000000002</c:v>
                </c:pt>
                <c:pt idx="52">
                  <c:v>-5.8789999999999996</c:v>
                </c:pt>
                <c:pt idx="53">
                  <c:v>-6.0380000000000003</c:v>
                </c:pt>
                <c:pt idx="54">
                  <c:v>-7.5369999999999999</c:v>
                </c:pt>
                <c:pt idx="55">
                  <c:v>-6.9980000000000002</c:v>
                </c:pt>
                <c:pt idx="56">
                  <c:v>-3.3780000000000001</c:v>
                </c:pt>
                <c:pt idx="57">
                  <c:v>-1.73</c:v>
                </c:pt>
                <c:pt idx="58">
                  <c:v>-2.0609999999999999</c:v>
                </c:pt>
                <c:pt idx="59">
                  <c:v>-6.81</c:v>
                </c:pt>
                <c:pt idx="60">
                  <c:v>-7.7690000000000001</c:v>
                </c:pt>
                <c:pt idx="61">
                  <c:v>-3.694</c:v>
                </c:pt>
                <c:pt idx="62">
                  <c:v>-1.786</c:v>
                </c:pt>
                <c:pt idx="63">
                  <c:v>-6.6390000000000002</c:v>
                </c:pt>
                <c:pt idx="64">
                  <c:v>-2.9649999999999999</c:v>
                </c:pt>
                <c:pt idx="65">
                  <c:v>-3.476</c:v>
                </c:pt>
                <c:pt idx="66">
                  <c:v>-6.1369999999999996</c:v>
                </c:pt>
                <c:pt idx="67">
                  <c:v>-9.19</c:v>
                </c:pt>
                <c:pt idx="68">
                  <c:v>-9.14</c:v>
                </c:pt>
                <c:pt idx="69">
                  <c:v>-6.1180000000000003</c:v>
                </c:pt>
                <c:pt idx="70">
                  <c:v>-6.202</c:v>
                </c:pt>
                <c:pt idx="71">
                  <c:v>-8.66</c:v>
                </c:pt>
                <c:pt idx="72">
                  <c:v>-11.19</c:v>
                </c:pt>
                <c:pt idx="73">
                  <c:v>-16.079999999999998</c:v>
                </c:pt>
                <c:pt idx="74">
                  <c:v>-13.3</c:v>
                </c:pt>
                <c:pt idx="75">
                  <c:v>-3.7269999999999999</c:v>
                </c:pt>
                <c:pt idx="76">
                  <c:v>-1.7949999999999999</c:v>
                </c:pt>
                <c:pt idx="77">
                  <c:v>-2.778</c:v>
                </c:pt>
                <c:pt idx="78">
                  <c:v>-1.7370000000000001</c:v>
                </c:pt>
                <c:pt idx="79">
                  <c:v>-0.57099999999999995</c:v>
                </c:pt>
                <c:pt idx="80">
                  <c:v>-2.3940000000000001</c:v>
                </c:pt>
                <c:pt idx="81">
                  <c:v>-1.976</c:v>
                </c:pt>
                <c:pt idx="82">
                  <c:v>-4.4829999999999997</c:v>
                </c:pt>
                <c:pt idx="83">
                  <c:v>-6.5339999999999998</c:v>
                </c:pt>
                <c:pt idx="84">
                  <c:v>-7.5140000000000002</c:v>
                </c:pt>
                <c:pt idx="85">
                  <c:v>-6.0620000000000003</c:v>
                </c:pt>
                <c:pt idx="86">
                  <c:v>-3.5089999999999999</c:v>
                </c:pt>
                <c:pt idx="87">
                  <c:v>-0.96699999999999997</c:v>
                </c:pt>
                <c:pt idx="88">
                  <c:v>-1.0900000000000001</c:v>
                </c:pt>
                <c:pt idx="89">
                  <c:v>-4.6239999999999997</c:v>
                </c:pt>
                <c:pt idx="90">
                  <c:v>-7.0149999999999997</c:v>
                </c:pt>
                <c:pt idx="91">
                  <c:v>-11.37</c:v>
                </c:pt>
                <c:pt idx="92">
                  <c:v>-9.4700000000000006</c:v>
                </c:pt>
                <c:pt idx="93">
                  <c:v>-8.9499999999999993</c:v>
                </c:pt>
                <c:pt idx="94">
                  <c:v>-8.8699999999999992</c:v>
                </c:pt>
                <c:pt idx="95">
                  <c:v>-5.6879999999999997</c:v>
                </c:pt>
                <c:pt idx="96">
                  <c:v>-2.7519999999999998</c:v>
                </c:pt>
                <c:pt idx="97">
                  <c:v>-0.73099999999999998</c:v>
                </c:pt>
                <c:pt idx="98">
                  <c:v>1.4999999999999999E-2</c:v>
                </c:pt>
                <c:pt idx="99">
                  <c:v>5.46</c:v>
                </c:pt>
                <c:pt idx="100">
                  <c:v>2.6360000000000001</c:v>
                </c:pt>
                <c:pt idx="101">
                  <c:v>-6.0739999999999998</c:v>
                </c:pt>
                <c:pt idx="102">
                  <c:v>-7.069</c:v>
                </c:pt>
                <c:pt idx="103">
                  <c:v>-3</c:v>
                </c:pt>
                <c:pt idx="104">
                  <c:v>-0.74399999999999999</c:v>
                </c:pt>
                <c:pt idx="105">
                  <c:v>-1.0069999999999999</c:v>
                </c:pt>
                <c:pt idx="106">
                  <c:v>1.002</c:v>
                </c:pt>
                <c:pt idx="107">
                  <c:v>1.4790000000000001</c:v>
                </c:pt>
                <c:pt idx="108">
                  <c:v>1.272</c:v>
                </c:pt>
                <c:pt idx="109">
                  <c:v>3.1080000000000001</c:v>
                </c:pt>
                <c:pt idx="110">
                  <c:v>5.7770000000000001</c:v>
                </c:pt>
                <c:pt idx="111">
                  <c:v>2.2170000000000001</c:v>
                </c:pt>
                <c:pt idx="112">
                  <c:v>0.49199999999999999</c:v>
                </c:pt>
                <c:pt idx="113">
                  <c:v>6.5000000000000002E-2</c:v>
                </c:pt>
                <c:pt idx="114">
                  <c:v>2.5219999999999998</c:v>
                </c:pt>
                <c:pt idx="115">
                  <c:v>0.82099999999999995</c:v>
                </c:pt>
                <c:pt idx="116">
                  <c:v>1.2</c:v>
                </c:pt>
                <c:pt idx="117">
                  <c:v>1.0549999999999999</c:v>
                </c:pt>
                <c:pt idx="118">
                  <c:v>1.7350000000000001</c:v>
                </c:pt>
                <c:pt idx="119">
                  <c:v>5.9950000000000001</c:v>
                </c:pt>
                <c:pt idx="120">
                  <c:v>2.7</c:v>
                </c:pt>
                <c:pt idx="121">
                  <c:v>3.1970000000000001</c:v>
                </c:pt>
                <c:pt idx="122">
                  <c:v>3.2490000000000001</c:v>
                </c:pt>
                <c:pt idx="123">
                  <c:v>-2.2229999999999999</c:v>
                </c:pt>
                <c:pt idx="124">
                  <c:v>0.99199999999999999</c:v>
                </c:pt>
                <c:pt idx="125">
                  <c:v>4.9109999999999996</c:v>
                </c:pt>
                <c:pt idx="126">
                  <c:v>-9.4E-2</c:v>
                </c:pt>
                <c:pt idx="127">
                  <c:v>1.07</c:v>
                </c:pt>
                <c:pt idx="128">
                  <c:v>5.8579999999999997</c:v>
                </c:pt>
                <c:pt idx="129">
                  <c:v>8.65</c:v>
                </c:pt>
                <c:pt idx="130">
                  <c:v>8.5299999999999994</c:v>
                </c:pt>
                <c:pt idx="131">
                  <c:v>6.9180000000000001</c:v>
                </c:pt>
                <c:pt idx="132">
                  <c:v>3.7130000000000001</c:v>
                </c:pt>
                <c:pt idx="133">
                  <c:v>3.7709999999999999</c:v>
                </c:pt>
                <c:pt idx="134">
                  <c:v>3.2810000000000001</c:v>
                </c:pt>
                <c:pt idx="135">
                  <c:v>3.9020000000000001</c:v>
                </c:pt>
                <c:pt idx="136">
                  <c:v>3.7149999999999999</c:v>
                </c:pt>
                <c:pt idx="137">
                  <c:v>3.26</c:v>
                </c:pt>
                <c:pt idx="138">
                  <c:v>4.3339999999999996</c:v>
                </c:pt>
                <c:pt idx="139">
                  <c:v>6.7480000000000002</c:v>
                </c:pt>
                <c:pt idx="140">
                  <c:v>5.9020000000000001</c:v>
                </c:pt>
                <c:pt idx="141">
                  <c:v>0.33600000000000002</c:v>
                </c:pt>
                <c:pt idx="142">
                  <c:v>-0.48899999999999999</c:v>
                </c:pt>
                <c:pt idx="143">
                  <c:v>2.7650000000000001</c:v>
                </c:pt>
                <c:pt idx="144">
                  <c:v>5.9960000000000004</c:v>
                </c:pt>
                <c:pt idx="145">
                  <c:v>4.8099999999999996</c:v>
                </c:pt>
                <c:pt idx="146">
                  <c:v>4.7530000000000001</c:v>
                </c:pt>
                <c:pt idx="147">
                  <c:v>6.1740000000000004</c:v>
                </c:pt>
                <c:pt idx="148">
                  <c:v>10.81</c:v>
                </c:pt>
                <c:pt idx="149">
                  <c:v>14.11</c:v>
                </c:pt>
                <c:pt idx="150">
                  <c:v>11.85</c:v>
                </c:pt>
                <c:pt idx="151">
                  <c:v>2.8079999999999998</c:v>
                </c:pt>
                <c:pt idx="152">
                  <c:v>4.4320000000000004</c:v>
                </c:pt>
                <c:pt idx="153">
                  <c:v>4.3890000000000002</c:v>
                </c:pt>
                <c:pt idx="154">
                  <c:v>4.57</c:v>
                </c:pt>
                <c:pt idx="155">
                  <c:v>4.0830000000000002</c:v>
                </c:pt>
                <c:pt idx="156">
                  <c:v>6.2930000000000001</c:v>
                </c:pt>
                <c:pt idx="157">
                  <c:v>2.8330000000000002</c:v>
                </c:pt>
                <c:pt idx="158">
                  <c:v>2.4409999999999998</c:v>
                </c:pt>
                <c:pt idx="159">
                  <c:v>2.488</c:v>
                </c:pt>
                <c:pt idx="160">
                  <c:v>1.1859999999999999</c:v>
                </c:pt>
                <c:pt idx="161">
                  <c:v>7.4119999999999999</c:v>
                </c:pt>
                <c:pt idx="162">
                  <c:v>8.2899999999999991</c:v>
                </c:pt>
                <c:pt idx="163">
                  <c:v>8.4</c:v>
                </c:pt>
                <c:pt idx="164">
                  <c:v>1.583</c:v>
                </c:pt>
                <c:pt idx="165">
                  <c:v>0.60699999999999998</c:v>
                </c:pt>
                <c:pt idx="166">
                  <c:v>2.7839999999999998</c:v>
                </c:pt>
                <c:pt idx="167">
                  <c:v>5.3849999999999998</c:v>
                </c:pt>
                <c:pt idx="168">
                  <c:v>8.1199999999999992</c:v>
                </c:pt>
                <c:pt idx="169">
                  <c:v>11.1</c:v>
                </c:pt>
                <c:pt idx="170">
                  <c:v>13.63</c:v>
                </c:pt>
                <c:pt idx="171">
                  <c:v>9.91</c:v>
                </c:pt>
                <c:pt idx="172">
                  <c:v>10.54</c:v>
                </c:pt>
                <c:pt idx="173">
                  <c:v>12.66</c:v>
                </c:pt>
                <c:pt idx="174">
                  <c:v>13.75</c:v>
                </c:pt>
                <c:pt idx="175">
                  <c:v>11.02</c:v>
                </c:pt>
                <c:pt idx="176">
                  <c:v>13.56</c:v>
                </c:pt>
                <c:pt idx="177">
                  <c:v>12.45</c:v>
                </c:pt>
                <c:pt idx="178">
                  <c:v>6.181</c:v>
                </c:pt>
                <c:pt idx="179">
                  <c:v>4.5890000000000004</c:v>
                </c:pt>
                <c:pt idx="180">
                  <c:v>9.4700000000000006</c:v>
                </c:pt>
                <c:pt idx="181">
                  <c:v>5.83</c:v>
                </c:pt>
                <c:pt idx="182">
                  <c:v>3.21</c:v>
                </c:pt>
                <c:pt idx="183">
                  <c:v>6.2809999999999997</c:v>
                </c:pt>
                <c:pt idx="184">
                  <c:v>6.8869999999999996</c:v>
                </c:pt>
                <c:pt idx="185">
                  <c:v>6.9429999999999996</c:v>
                </c:pt>
                <c:pt idx="186">
                  <c:v>10.65</c:v>
                </c:pt>
                <c:pt idx="187">
                  <c:v>11.56</c:v>
                </c:pt>
                <c:pt idx="188">
                  <c:v>5.8959999999999999</c:v>
                </c:pt>
                <c:pt idx="189">
                  <c:v>8.4700000000000006</c:v>
                </c:pt>
                <c:pt idx="190">
                  <c:v>7.5389999999999997</c:v>
                </c:pt>
                <c:pt idx="191">
                  <c:v>10.14</c:v>
                </c:pt>
                <c:pt idx="192">
                  <c:v>11.3</c:v>
                </c:pt>
                <c:pt idx="193">
                  <c:v>5.26</c:v>
                </c:pt>
                <c:pt idx="194">
                  <c:v>6.72</c:v>
                </c:pt>
                <c:pt idx="195">
                  <c:v>11.48</c:v>
                </c:pt>
                <c:pt idx="196">
                  <c:v>12.91</c:v>
                </c:pt>
                <c:pt idx="197">
                  <c:v>11.84</c:v>
                </c:pt>
                <c:pt idx="198">
                  <c:v>10.4</c:v>
                </c:pt>
                <c:pt idx="199">
                  <c:v>12.04</c:v>
                </c:pt>
                <c:pt idx="200">
                  <c:v>13.01</c:v>
                </c:pt>
                <c:pt idx="201">
                  <c:v>14.23</c:v>
                </c:pt>
                <c:pt idx="202">
                  <c:v>17.3</c:v>
                </c:pt>
                <c:pt idx="203">
                  <c:v>14.94</c:v>
                </c:pt>
                <c:pt idx="204">
                  <c:v>11.81</c:v>
                </c:pt>
                <c:pt idx="205">
                  <c:v>7.4359999999999999</c:v>
                </c:pt>
                <c:pt idx="206">
                  <c:v>9.4700000000000006</c:v>
                </c:pt>
                <c:pt idx="207">
                  <c:v>14.35</c:v>
                </c:pt>
                <c:pt idx="208">
                  <c:v>19.48</c:v>
                </c:pt>
                <c:pt idx="209">
                  <c:v>18.22</c:v>
                </c:pt>
                <c:pt idx="210">
                  <c:v>18.7</c:v>
                </c:pt>
                <c:pt idx="211">
                  <c:v>21.27</c:v>
                </c:pt>
                <c:pt idx="212">
                  <c:v>21.23</c:v>
                </c:pt>
                <c:pt idx="213">
                  <c:v>19.16</c:v>
                </c:pt>
                <c:pt idx="214">
                  <c:v>16.98</c:v>
                </c:pt>
                <c:pt idx="215">
                  <c:v>12.09</c:v>
                </c:pt>
                <c:pt idx="216">
                  <c:v>15.35</c:v>
                </c:pt>
                <c:pt idx="217">
                  <c:v>17.47</c:v>
                </c:pt>
                <c:pt idx="218">
                  <c:v>8.7799999999999994</c:v>
                </c:pt>
                <c:pt idx="219">
                  <c:v>6.5960000000000001</c:v>
                </c:pt>
                <c:pt idx="220">
                  <c:v>8.16</c:v>
                </c:pt>
                <c:pt idx="221">
                  <c:v>9.57</c:v>
                </c:pt>
                <c:pt idx="222">
                  <c:v>12.07</c:v>
                </c:pt>
                <c:pt idx="223">
                  <c:v>10.48</c:v>
                </c:pt>
                <c:pt idx="224">
                  <c:v>6.8559999999999999</c:v>
                </c:pt>
                <c:pt idx="225">
                  <c:v>7.5670000000000002</c:v>
                </c:pt>
                <c:pt idx="226">
                  <c:v>11.77</c:v>
                </c:pt>
                <c:pt idx="227">
                  <c:v>16.940000000000001</c:v>
                </c:pt>
                <c:pt idx="228">
                  <c:v>20.92</c:v>
                </c:pt>
                <c:pt idx="229">
                  <c:v>21.17</c:v>
                </c:pt>
                <c:pt idx="230">
                  <c:v>19.579999999999998</c:v>
                </c:pt>
                <c:pt idx="231">
                  <c:v>15.65</c:v>
                </c:pt>
                <c:pt idx="232">
                  <c:v>13.7</c:v>
                </c:pt>
                <c:pt idx="233">
                  <c:v>12.41</c:v>
                </c:pt>
                <c:pt idx="234">
                  <c:v>10.01</c:v>
                </c:pt>
                <c:pt idx="235">
                  <c:v>12.58</c:v>
                </c:pt>
                <c:pt idx="236">
                  <c:v>9.9600000000000009</c:v>
                </c:pt>
                <c:pt idx="237">
                  <c:v>10.35</c:v>
                </c:pt>
                <c:pt idx="238">
                  <c:v>11.59</c:v>
                </c:pt>
                <c:pt idx="239">
                  <c:v>11.09</c:v>
                </c:pt>
                <c:pt idx="240">
                  <c:v>14.7</c:v>
                </c:pt>
                <c:pt idx="241">
                  <c:v>7.6989999999999998</c:v>
                </c:pt>
                <c:pt idx="242">
                  <c:v>5.2729999999999997</c:v>
                </c:pt>
                <c:pt idx="243">
                  <c:v>6.2670000000000003</c:v>
                </c:pt>
                <c:pt idx="244">
                  <c:v>13.57</c:v>
                </c:pt>
                <c:pt idx="245">
                  <c:v>11.38</c:v>
                </c:pt>
                <c:pt idx="246">
                  <c:v>14.54</c:v>
                </c:pt>
                <c:pt idx="247">
                  <c:v>18.18</c:v>
                </c:pt>
                <c:pt idx="248">
                  <c:v>16.87</c:v>
                </c:pt>
                <c:pt idx="249">
                  <c:v>14.42</c:v>
                </c:pt>
                <c:pt idx="250">
                  <c:v>7.5869999999999997</c:v>
                </c:pt>
                <c:pt idx="251">
                  <c:v>8.4</c:v>
                </c:pt>
                <c:pt idx="252">
                  <c:v>12.86</c:v>
                </c:pt>
                <c:pt idx="253">
                  <c:v>15.45</c:v>
                </c:pt>
                <c:pt idx="254">
                  <c:v>17.97</c:v>
                </c:pt>
                <c:pt idx="255">
                  <c:v>15.78</c:v>
                </c:pt>
                <c:pt idx="256">
                  <c:v>11.9</c:v>
                </c:pt>
                <c:pt idx="257">
                  <c:v>11.91</c:v>
                </c:pt>
                <c:pt idx="258">
                  <c:v>13.64</c:v>
                </c:pt>
                <c:pt idx="259">
                  <c:v>15.05</c:v>
                </c:pt>
                <c:pt idx="260">
                  <c:v>15.75</c:v>
                </c:pt>
                <c:pt idx="261">
                  <c:v>14.46</c:v>
                </c:pt>
                <c:pt idx="262">
                  <c:v>7.8719999999999999</c:v>
                </c:pt>
                <c:pt idx="263">
                  <c:v>8.23</c:v>
                </c:pt>
                <c:pt idx="264">
                  <c:v>7.7460000000000004</c:v>
                </c:pt>
                <c:pt idx="265">
                  <c:v>9.68</c:v>
                </c:pt>
                <c:pt idx="266">
                  <c:v>6.5350000000000001</c:v>
                </c:pt>
                <c:pt idx="267">
                  <c:v>3.2170000000000001</c:v>
                </c:pt>
                <c:pt idx="268">
                  <c:v>1.8049999999999999</c:v>
                </c:pt>
                <c:pt idx="269">
                  <c:v>1.5309999999999999</c:v>
                </c:pt>
                <c:pt idx="270">
                  <c:v>4.5510000000000002</c:v>
                </c:pt>
                <c:pt idx="271">
                  <c:v>11.23</c:v>
                </c:pt>
                <c:pt idx="272">
                  <c:v>13.41</c:v>
                </c:pt>
                <c:pt idx="273">
                  <c:v>13.55</c:v>
                </c:pt>
                <c:pt idx="274">
                  <c:v>13.46</c:v>
                </c:pt>
                <c:pt idx="275">
                  <c:v>14.07</c:v>
                </c:pt>
                <c:pt idx="276">
                  <c:v>13.63</c:v>
                </c:pt>
                <c:pt idx="277">
                  <c:v>9.3699999999999992</c:v>
                </c:pt>
                <c:pt idx="278">
                  <c:v>10.71</c:v>
                </c:pt>
                <c:pt idx="279">
                  <c:v>11.65</c:v>
                </c:pt>
                <c:pt idx="280">
                  <c:v>11.62</c:v>
                </c:pt>
                <c:pt idx="281">
                  <c:v>7.4850000000000003</c:v>
                </c:pt>
                <c:pt idx="282">
                  <c:v>5.7560000000000002</c:v>
                </c:pt>
                <c:pt idx="283">
                  <c:v>2.706</c:v>
                </c:pt>
                <c:pt idx="284">
                  <c:v>-0.96399999999999997</c:v>
                </c:pt>
                <c:pt idx="285">
                  <c:v>-1.61</c:v>
                </c:pt>
                <c:pt idx="286">
                  <c:v>-1.89</c:v>
                </c:pt>
                <c:pt idx="287">
                  <c:v>-1.6479999999999999</c:v>
                </c:pt>
                <c:pt idx="288">
                  <c:v>-1.623</c:v>
                </c:pt>
                <c:pt idx="289">
                  <c:v>2.6190000000000002</c:v>
                </c:pt>
                <c:pt idx="290">
                  <c:v>-3.8420000000000001</c:v>
                </c:pt>
                <c:pt idx="291">
                  <c:v>-0.72299999999999998</c:v>
                </c:pt>
                <c:pt idx="292">
                  <c:v>0.255</c:v>
                </c:pt>
                <c:pt idx="293">
                  <c:v>-2.7589999999999999</c:v>
                </c:pt>
                <c:pt idx="294">
                  <c:v>-6.5250000000000004</c:v>
                </c:pt>
                <c:pt idx="295">
                  <c:v>-8.0399999999999991</c:v>
                </c:pt>
                <c:pt idx="296">
                  <c:v>-8.0399999999999991</c:v>
                </c:pt>
                <c:pt idx="297">
                  <c:v>-11.7</c:v>
                </c:pt>
                <c:pt idx="298">
                  <c:v>-8.9</c:v>
                </c:pt>
                <c:pt idx="299">
                  <c:v>-3.2109999999999999</c:v>
                </c:pt>
                <c:pt idx="300">
                  <c:v>0.34899999999999998</c:v>
                </c:pt>
                <c:pt idx="301">
                  <c:v>3.6339999999999999</c:v>
                </c:pt>
                <c:pt idx="302">
                  <c:v>3.8380000000000001</c:v>
                </c:pt>
                <c:pt idx="303">
                  <c:v>0.22900000000000001</c:v>
                </c:pt>
                <c:pt idx="304">
                  <c:v>-1.284</c:v>
                </c:pt>
                <c:pt idx="305">
                  <c:v>3.9289999999999998</c:v>
                </c:pt>
                <c:pt idx="306">
                  <c:v>4.43</c:v>
                </c:pt>
                <c:pt idx="307">
                  <c:v>2.492</c:v>
                </c:pt>
                <c:pt idx="308">
                  <c:v>3.141</c:v>
                </c:pt>
                <c:pt idx="309">
                  <c:v>-1.4490000000000001</c:v>
                </c:pt>
                <c:pt idx="310">
                  <c:v>-5.0369999999999999</c:v>
                </c:pt>
                <c:pt idx="311">
                  <c:v>-8.86</c:v>
                </c:pt>
                <c:pt idx="312">
                  <c:v>-11</c:v>
                </c:pt>
                <c:pt idx="313">
                  <c:v>-9.06</c:v>
                </c:pt>
                <c:pt idx="314">
                  <c:v>-7.9080000000000004</c:v>
                </c:pt>
                <c:pt idx="315">
                  <c:v>-8.7899999999999991</c:v>
                </c:pt>
                <c:pt idx="316">
                  <c:v>-8.43</c:v>
                </c:pt>
                <c:pt idx="317">
                  <c:v>-6.3780000000000001</c:v>
                </c:pt>
                <c:pt idx="318">
                  <c:v>-6.9080000000000004</c:v>
                </c:pt>
                <c:pt idx="319">
                  <c:v>-5.2329999999999997</c:v>
                </c:pt>
                <c:pt idx="320">
                  <c:v>-4.3559999999999999</c:v>
                </c:pt>
                <c:pt idx="321">
                  <c:v>-8.5000000000000006E-2</c:v>
                </c:pt>
                <c:pt idx="322">
                  <c:v>-3.1920000000000002</c:v>
                </c:pt>
                <c:pt idx="323">
                  <c:v>-6.0220000000000002</c:v>
                </c:pt>
                <c:pt idx="324">
                  <c:v>-5.1660000000000004</c:v>
                </c:pt>
                <c:pt idx="325">
                  <c:v>-4.0410000000000004</c:v>
                </c:pt>
                <c:pt idx="326">
                  <c:v>-6.6130000000000004</c:v>
                </c:pt>
                <c:pt idx="327">
                  <c:v>-5.5670000000000002</c:v>
                </c:pt>
                <c:pt idx="328">
                  <c:v>-5.8079999999999998</c:v>
                </c:pt>
                <c:pt idx="329">
                  <c:v>-6.4160000000000004</c:v>
                </c:pt>
                <c:pt idx="330">
                  <c:v>-4.7119999999999997</c:v>
                </c:pt>
                <c:pt idx="331">
                  <c:v>-4.2510000000000003</c:v>
                </c:pt>
                <c:pt idx="332">
                  <c:v>-4.8310000000000004</c:v>
                </c:pt>
                <c:pt idx="333">
                  <c:v>-5.8259999999999996</c:v>
                </c:pt>
                <c:pt idx="334">
                  <c:v>-5.4729999999999999</c:v>
                </c:pt>
                <c:pt idx="335">
                  <c:v>-6.8550000000000004</c:v>
                </c:pt>
                <c:pt idx="336">
                  <c:v>-6.5000000000000002E-2</c:v>
                </c:pt>
                <c:pt idx="337">
                  <c:v>-0.93899999999999995</c:v>
                </c:pt>
                <c:pt idx="338">
                  <c:v>1.4630000000000001</c:v>
                </c:pt>
                <c:pt idx="339">
                  <c:v>0.18099999999999999</c:v>
                </c:pt>
                <c:pt idx="340">
                  <c:v>-0.53800000000000003</c:v>
                </c:pt>
                <c:pt idx="341">
                  <c:v>-3.8079999999999998</c:v>
                </c:pt>
                <c:pt idx="342">
                  <c:v>-0.02</c:v>
                </c:pt>
                <c:pt idx="343">
                  <c:v>-3.4279999999999999</c:v>
                </c:pt>
                <c:pt idx="344">
                  <c:v>-6.6070000000000002</c:v>
                </c:pt>
                <c:pt idx="345">
                  <c:v>-6.8029999999999999</c:v>
                </c:pt>
                <c:pt idx="346">
                  <c:v>-8.16</c:v>
                </c:pt>
                <c:pt idx="347">
                  <c:v>-9.18</c:v>
                </c:pt>
                <c:pt idx="348">
                  <c:v>-5.2709999999999999</c:v>
                </c:pt>
                <c:pt idx="349">
                  <c:v>-6.7510000000000003</c:v>
                </c:pt>
                <c:pt idx="350">
                  <c:v>-4.7489999999999997</c:v>
                </c:pt>
                <c:pt idx="351">
                  <c:v>-4.9219999999999997</c:v>
                </c:pt>
                <c:pt idx="352">
                  <c:v>-4.5949999999999998</c:v>
                </c:pt>
                <c:pt idx="353">
                  <c:v>-4.3049999999999997</c:v>
                </c:pt>
                <c:pt idx="354">
                  <c:v>-3.302</c:v>
                </c:pt>
                <c:pt idx="355">
                  <c:v>-6.2530000000000001</c:v>
                </c:pt>
                <c:pt idx="356">
                  <c:v>-10.65</c:v>
                </c:pt>
                <c:pt idx="357">
                  <c:v>-8.2799999999999994</c:v>
                </c:pt>
                <c:pt idx="358">
                  <c:v>-8.82</c:v>
                </c:pt>
                <c:pt idx="359">
                  <c:v>-8</c:v>
                </c:pt>
                <c:pt idx="360">
                  <c:v>-6.2270000000000003</c:v>
                </c:pt>
                <c:pt idx="361">
                  <c:v>-5.8230000000000004</c:v>
                </c:pt>
                <c:pt idx="362">
                  <c:v>-7.36</c:v>
                </c:pt>
                <c:pt idx="363">
                  <c:v>-7.6909999999999998</c:v>
                </c:pt>
                <c:pt idx="364">
                  <c:v>-8.91</c:v>
                </c:pt>
                <c:pt idx="365">
                  <c:v>-4.5289999999999999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79008"/>
        <c:axId val="236780544"/>
      </c:lineChart>
      <c:catAx>
        <c:axId val="2367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805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780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79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Data!$BG$6:$BG$371</c:f>
              <c:numCache>
                <c:formatCode>General</c:formatCode>
                <c:ptCount val="366"/>
                <c:pt idx="0">
                  <c:v>95.5</c:v>
                </c:pt>
                <c:pt idx="1">
                  <c:v>91.6</c:v>
                </c:pt>
                <c:pt idx="2">
                  <c:v>95</c:v>
                </c:pt>
                <c:pt idx="3">
                  <c:v>94.3</c:v>
                </c:pt>
                <c:pt idx="4">
                  <c:v>93.4</c:v>
                </c:pt>
                <c:pt idx="5">
                  <c:v>94.7</c:v>
                </c:pt>
                <c:pt idx="6">
                  <c:v>95.8</c:v>
                </c:pt>
                <c:pt idx="7">
                  <c:v>94.4</c:v>
                </c:pt>
                <c:pt idx="8">
                  <c:v>90.9</c:v>
                </c:pt>
                <c:pt idx="9">
                  <c:v>89</c:v>
                </c:pt>
                <c:pt idx="10">
                  <c:v>93.4</c:v>
                </c:pt>
                <c:pt idx="11">
                  <c:v>91.3</c:v>
                </c:pt>
                <c:pt idx="12">
                  <c:v>80.099999999999994</c:v>
                </c:pt>
                <c:pt idx="13">
                  <c:v>84.1</c:v>
                </c:pt>
                <c:pt idx="14">
                  <c:v>86.6</c:v>
                </c:pt>
                <c:pt idx="15">
                  <c:v>93.2</c:v>
                </c:pt>
                <c:pt idx="16">
                  <c:v>94.2</c:v>
                </c:pt>
                <c:pt idx="17">
                  <c:v>92.4</c:v>
                </c:pt>
                <c:pt idx="18">
                  <c:v>94.7</c:v>
                </c:pt>
                <c:pt idx="19">
                  <c:v>95.4</c:v>
                </c:pt>
                <c:pt idx="20">
                  <c:v>96.3</c:v>
                </c:pt>
                <c:pt idx="21">
                  <c:v>96.1</c:v>
                </c:pt>
                <c:pt idx="22">
                  <c:v>96.1</c:v>
                </c:pt>
                <c:pt idx="23">
                  <c:v>96</c:v>
                </c:pt>
                <c:pt idx="24">
                  <c:v>94.6</c:v>
                </c:pt>
                <c:pt idx="25">
                  <c:v>94.9</c:v>
                </c:pt>
                <c:pt idx="26">
                  <c:v>94.3</c:v>
                </c:pt>
                <c:pt idx="27">
                  <c:v>94.3</c:v>
                </c:pt>
                <c:pt idx="28">
                  <c:v>94.2</c:v>
                </c:pt>
                <c:pt idx="29">
                  <c:v>94.3</c:v>
                </c:pt>
                <c:pt idx="30">
                  <c:v>96.7</c:v>
                </c:pt>
                <c:pt idx="31">
                  <c:v>96.8</c:v>
                </c:pt>
                <c:pt idx="32">
                  <c:v>86.9</c:v>
                </c:pt>
                <c:pt idx="33">
                  <c:v>87.7</c:v>
                </c:pt>
                <c:pt idx="34">
                  <c:v>92.2</c:v>
                </c:pt>
                <c:pt idx="35">
                  <c:v>94.6</c:v>
                </c:pt>
                <c:pt idx="36">
                  <c:v>94.8</c:v>
                </c:pt>
                <c:pt idx="37">
                  <c:v>92.9</c:v>
                </c:pt>
                <c:pt idx="38">
                  <c:v>92.1</c:v>
                </c:pt>
                <c:pt idx="39">
                  <c:v>92.9</c:v>
                </c:pt>
                <c:pt idx="40">
                  <c:v>92.9</c:v>
                </c:pt>
                <c:pt idx="41">
                  <c:v>92.5</c:v>
                </c:pt>
                <c:pt idx="42">
                  <c:v>91.6</c:v>
                </c:pt>
                <c:pt idx="43">
                  <c:v>95</c:v>
                </c:pt>
                <c:pt idx="44">
                  <c:v>88</c:v>
                </c:pt>
                <c:pt idx="45">
                  <c:v>94</c:v>
                </c:pt>
                <c:pt idx="46">
                  <c:v>92.4</c:v>
                </c:pt>
                <c:pt idx="47">
                  <c:v>89.7</c:v>
                </c:pt>
                <c:pt idx="48">
                  <c:v>89.4</c:v>
                </c:pt>
                <c:pt idx="49">
                  <c:v>88.1</c:v>
                </c:pt>
                <c:pt idx="50">
                  <c:v>86.8</c:v>
                </c:pt>
                <c:pt idx="51">
                  <c:v>84.4</c:v>
                </c:pt>
                <c:pt idx="52">
                  <c:v>93.5</c:v>
                </c:pt>
                <c:pt idx="53">
                  <c:v>92.3</c:v>
                </c:pt>
                <c:pt idx="54">
                  <c:v>92</c:v>
                </c:pt>
                <c:pt idx="55">
                  <c:v>93.6</c:v>
                </c:pt>
                <c:pt idx="56">
                  <c:v>93.7</c:v>
                </c:pt>
                <c:pt idx="57">
                  <c:v>93</c:v>
                </c:pt>
                <c:pt idx="58">
                  <c:v>95.3</c:v>
                </c:pt>
                <c:pt idx="59">
                  <c:v>92</c:v>
                </c:pt>
                <c:pt idx="60">
                  <c:v>90.8</c:v>
                </c:pt>
                <c:pt idx="61">
                  <c:v>93.9</c:v>
                </c:pt>
                <c:pt idx="62">
                  <c:v>83.8</c:v>
                </c:pt>
                <c:pt idx="63">
                  <c:v>85.4</c:v>
                </c:pt>
                <c:pt idx="64">
                  <c:v>75.7</c:v>
                </c:pt>
                <c:pt idx="65">
                  <c:v>95.7</c:v>
                </c:pt>
                <c:pt idx="66">
                  <c:v>94.6</c:v>
                </c:pt>
                <c:pt idx="67">
                  <c:v>89.4</c:v>
                </c:pt>
                <c:pt idx="68">
                  <c:v>87.1</c:v>
                </c:pt>
                <c:pt idx="69">
                  <c:v>90.2</c:v>
                </c:pt>
                <c:pt idx="70">
                  <c:v>93.1</c:v>
                </c:pt>
                <c:pt idx="71">
                  <c:v>90.1</c:v>
                </c:pt>
                <c:pt idx="72">
                  <c:v>87.9</c:v>
                </c:pt>
                <c:pt idx="73">
                  <c:v>83.8</c:v>
                </c:pt>
                <c:pt idx="74">
                  <c:v>81.599999999999994</c:v>
                </c:pt>
                <c:pt idx="75">
                  <c:v>81.8</c:v>
                </c:pt>
                <c:pt idx="76">
                  <c:v>66.2</c:v>
                </c:pt>
                <c:pt idx="77">
                  <c:v>66.400000000000006</c:v>
                </c:pt>
                <c:pt idx="78">
                  <c:v>70.900000000000006</c:v>
                </c:pt>
                <c:pt idx="79">
                  <c:v>68.3</c:v>
                </c:pt>
                <c:pt idx="80">
                  <c:v>79.900000000000006</c:v>
                </c:pt>
                <c:pt idx="81">
                  <c:v>77.900000000000006</c:v>
                </c:pt>
                <c:pt idx="82">
                  <c:v>90.5</c:v>
                </c:pt>
                <c:pt idx="83">
                  <c:v>89.8</c:v>
                </c:pt>
                <c:pt idx="84">
                  <c:v>89.8</c:v>
                </c:pt>
                <c:pt idx="85">
                  <c:v>91.6</c:v>
                </c:pt>
                <c:pt idx="86">
                  <c:v>94.5</c:v>
                </c:pt>
                <c:pt idx="87">
                  <c:v>95.3</c:v>
                </c:pt>
                <c:pt idx="88">
                  <c:v>94.6</c:v>
                </c:pt>
                <c:pt idx="89">
                  <c:v>93.7</c:v>
                </c:pt>
                <c:pt idx="90">
                  <c:v>91.4</c:v>
                </c:pt>
                <c:pt idx="91">
                  <c:v>91.4</c:v>
                </c:pt>
                <c:pt idx="92">
                  <c:v>91</c:v>
                </c:pt>
                <c:pt idx="93">
                  <c:v>89.7</c:v>
                </c:pt>
                <c:pt idx="94">
                  <c:v>85.7</c:v>
                </c:pt>
                <c:pt idx="95">
                  <c:v>92.7</c:v>
                </c:pt>
                <c:pt idx="96">
                  <c:v>90.9</c:v>
                </c:pt>
                <c:pt idx="97">
                  <c:v>80.400000000000006</c:v>
                </c:pt>
                <c:pt idx="98">
                  <c:v>70.7</c:v>
                </c:pt>
                <c:pt idx="99">
                  <c:v>66.8</c:v>
                </c:pt>
                <c:pt idx="100">
                  <c:v>94.5</c:v>
                </c:pt>
                <c:pt idx="101">
                  <c:v>94</c:v>
                </c:pt>
                <c:pt idx="102">
                  <c:v>79.5</c:v>
                </c:pt>
                <c:pt idx="103">
                  <c:v>61.8</c:v>
                </c:pt>
                <c:pt idx="104">
                  <c:v>96.5</c:v>
                </c:pt>
                <c:pt idx="105">
                  <c:v>96.2</c:v>
                </c:pt>
                <c:pt idx="106">
                  <c:v>72.599999999999994</c:v>
                </c:pt>
                <c:pt idx="107">
                  <c:v>90.7</c:v>
                </c:pt>
                <c:pt idx="108">
                  <c:v>94.9</c:v>
                </c:pt>
                <c:pt idx="109">
                  <c:v>94.4</c:v>
                </c:pt>
                <c:pt idx="110">
                  <c:v>85.8</c:v>
                </c:pt>
                <c:pt idx="111">
                  <c:v>82</c:v>
                </c:pt>
                <c:pt idx="112">
                  <c:v>96.1</c:v>
                </c:pt>
                <c:pt idx="113">
                  <c:v>96</c:v>
                </c:pt>
                <c:pt idx="114">
                  <c:v>94.4</c:v>
                </c:pt>
                <c:pt idx="115">
                  <c:v>94.3</c:v>
                </c:pt>
                <c:pt idx="116">
                  <c:v>85</c:v>
                </c:pt>
                <c:pt idx="117">
                  <c:v>86.8</c:v>
                </c:pt>
                <c:pt idx="118">
                  <c:v>88.4</c:v>
                </c:pt>
                <c:pt idx="119">
                  <c:v>73.400000000000006</c:v>
                </c:pt>
                <c:pt idx="120">
                  <c:v>82.9</c:v>
                </c:pt>
                <c:pt idx="121">
                  <c:v>75.900000000000006</c:v>
                </c:pt>
                <c:pt idx="122">
                  <c:v>95.4</c:v>
                </c:pt>
                <c:pt idx="123">
                  <c:v>94.5</c:v>
                </c:pt>
                <c:pt idx="124">
                  <c:v>89.3</c:v>
                </c:pt>
                <c:pt idx="125">
                  <c:v>60.9</c:v>
                </c:pt>
                <c:pt idx="126">
                  <c:v>95.4</c:v>
                </c:pt>
                <c:pt idx="127">
                  <c:v>93.6</c:v>
                </c:pt>
                <c:pt idx="128">
                  <c:v>94.5</c:v>
                </c:pt>
                <c:pt idx="129">
                  <c:v>77.7</c:v>
                </c:pt>
                <c:pt idx="130">
                  <c:v>67.900000000000006</c:v>
                </c:pt>
                <c:pt idx="131">
                  <c:v>74.900000000000006</c:v>
                </c:pt>
                <c:pt idx="132">
                  <c:v>95.5</c:v>
                </c:pt>
                <c:pt idx="133">
                  <c:v>96.3</c:v>
                </c:pt>
                <c:pt idx="134">
                  <c:v>96.5</c:v>
                </c:pt>
                <c:pt idx="135">
                  <c:v>96.1</c:v>
                </c:pt>
                <c:pt idx="136">
                  <c:v>95.9</c:v>
                </c:pt>
                <c:pt idx="137">
                  <c:v>96.9</c:v>
                </c:pt>
                <c:pt idx="138">
                  <c:v>96.8</c:v>
                </c:pt>
                <c:pt idx="139">
                  <c:v>96.1</c:v>
                </c:pt>
                <c:pt idx="140">
                  <c:v>91.6</c:v>
                </c:pt>
                <c:pt idx="141">
                  <c:v>95.3</c:v>
                </c:pt>
                <c:pt idx="142">
                  <c:v>96.4</c:v>
                </c:pt>
                <c:pt idx="143">
                  <c:v>96.4</c:v>
                </c:pt>
                <c:pt idx="144">
                  <c:v>94.4</c:v>
                </c:pt>
                <c:pt idx="145">
                  <c:v>96.2</c:v>
                </c:pt>
                <c:pt idx="146">
                  <c:v>95.5</c:v>
                </c:pt>
                <c:pt idx="147">
                  <c:v>94.8</c:v>
                </c:pt>
                <c:pt idx="148">
                  <c:v>62.3</c:v>
                </c:pt>
                <c:pt idx="149">
                  <c:v>61.5</c:v>
                </c:pt>
                <c:pt idx="150">
                  <c:v>97</c:v>
                </c:pt>
                <c:pt idx="151">
                  <c:v>97.1</c:v>
                </c:pt>
                <c:pt idx="152">
                  <c:v>93.3</c:v>
                </c:pt>
                <c:pt idx="153">
                  <c:v>91.9</c:v>
                </c:pt>
                <c:pt idx="154">
                  <c:v>91.3</c:v>
                </c:pt>
                <c:pt idx="155">
                  <c:v>88.3</c:v>
                </c:pt>
                <c:pt idx="156">
                  <c:v>96</c:v>
                </c:pt>
                <c:pt idx="157">
                  <c:v>96</c:v>
                </c:pt>
                <c:pt idx="158">
                  <c:v>96.3</c:v>
                </c:pt>
                <c:pt idx="159">
                  <c:v>94.1</c:v>
                </c:pt>
                <c:pt idx="160">
                  <c:v>97.1</c:v>
                </c:pt>
                <c:pt idx="161">
                  <c:v>97.2</c:v>
                </c:pt>
                <c:pt idx="162">
                  <c:v>97.2</c:v>
                </c:pt>
                <c:pt idx="163">
                  <c:v>97.2</c:v>
                </c:pt>
                <c:pt idx="164">
                  <c:v>96.5</c:v>
                </c:pt>
                <c:pt idx="165">
                  <c:v>96.3</c:v>
                </c:pt>
                <c:pt idx="166">
                  <c:v>95.7</c:v>
                </c:pt>
                <c:pt idx="167">
                  <c:v>96.1</c:v>
                </c:pt>
                <c:pt idx="168">
                  <c:v>94.1</c:v>
                </c:pt>
                <c:pt idx="169">
                  <c:v>92.5</c:v>
                </c:pt>
                <c:pt idx="170">
                  <c:v>87.4</c:v>
                </c:pt>
                <c:pt idx="171">
                  <c:v>94.8</c:v>
                </c:pt>
                <c:pt idx="172">
                  <c:v>93.5</c:v>
                </c:pt>
                <c:pt idx="173">
                  <c:v>78.2</c:v>
                </c:pt>
                <c:pt idx="174">
                  <c:v>92.5</c:v>
                </c:pt>
                <c:pt idx="175">
                  <c:v>96.8</c:v>
                </c:pt>
                <c:pt idx="176">
                  <c:v>96.8</c:v>
                </c:pt>
                <c:pt idx="177">
                  <c:v>87.4</c:v>
                </c:pt>
                <c:pt idx="178">
                  <c:v>96.5</c:v>
                </c:pt>
                <c:pt idx="179">
                  <c:v>97.3</c:v>
                </c:pt>
                <c:pt idx="180">
                  <c:v>95.1</c:v>
                </c:pt>
                <c:pt idx="181">
                  <c:v>96.8</c:v>
                </c:pt>
                <c:pt idx="182">
                  <c:v>97</c:v>
                </c:pt>
                <c:pt idx="183">
                  <c:v>96.8</c:v>
                </c:pt>
                <c:pt idx="184">
                  <c:v>91.3</c:v>
                </c:pt>
                <c:pt idx="185">
                  <c:v>89.6</c:v>
                </c:pt>
                <c:pt idx="186">
                  <c:v>87.8</c:v>
                </c:pt>
                <c:pt idx="187">
                  <c:v>82.1</c:v>
                </c:pt>
                <c:pt idx="188">
                  <c:v>96.2</c:v>
                </c:pt>
                <c:pt idx="189">
                  <c:v>93.9</c:v>
                </c:pt>
                <c:pt idx="190">
                  <c:v>92.7</c:v>
                </c:pt>
                <c:pt idx="191">
                  <c:v>93.5</c:v>
                </c:pt>
                <c:pt idx="192">
                  <c:v>78.3</c:v>
                </c:pt>
                <c:pt idx="193">
                  <c:v>95.4</c:v>
                </c:pt>
                <c:pt idx="194">
                  <c:v>94.7</c:v>
                </c:pt>
                <c:pt idx="195">
                  <c:v>73.5</c:v>
                </c:pt>
                <c:pt idx="196">
                  <c:v>76.099999999999994</c:v>
                </c:pt>
                <c:pt idx="197">
                  <c:v>84.1</c:v>
                </c:pt>
                <c:pt idx="198">
                  <c:v>92.1</c:v>
                </c:pt>
                <c:pt idx="199">
                  <c:v>90.4</c:v>
                </c:pt>
                <c:pt idx="200">
                  <c:v>81.900000000000006</c:v>
                </c:pt>
                <c:pt idx="201">
                  <c:v>89.2</c:v>
                </c:pt>
                <c:pt idx="202">
                  <c:v>72.400000000000006</c:v>
                </c:pt>
                <c:pt idx="203">
                  <c:v>88.8</c:v>
                </c:pt>
                <c:pt idx="204">
                  <c:v>85</c:v>
                </c:pt>
                <c:pt idx="205">
                  <c:v>93.9</c:v>
                </c:pt>
                <c:pt idx="206">
                  <c:v>94.8</c:v>
                </c:pt>
                <c:pt idx="207">
                  <c:v>76.099999999999994</c:v>
                </c:pt>
                <c:pt idx="208">
                  <c:v>56.5</c:v>
                </c:pt>
                <c:pt idx="209">
                  <c:v>58.3</c:v>
                </c:pt>
                <c:pt idx="210">
                  <c:v>49.7</c:v>
                </c:pt>
                <c:pt idx="211">
                  <c:v>45.1</c:v>
                </c:pt>
                <c:pt idx="212">
                  <c:v>62.5</c:v>
                </c:pt>
                <c:pt idx="213">
                  <c:v>60.9</c:v>
                </c:pt>
                <c:pt idx="214">
                  <c:v>67.8</c:v>
                </c:pt>
                <c:pt idx="215">
                  <c:v>83.5</c:v>
                </c:pt>
                <c:pt idx="216">
                  <c:v>83.4</c:v>
                </c:pt>
                <c:pt idx="217">
                  <c:v>59.4</c:v>
                </c:pt>
                <c:pt idx="218">
                  <c:v>94.7</c:v>
                </c:pt>
                <c:pt idx="219">
                  <c:v>94.5</c:v>
                </c:pt>
                <c:pt idx="220">
                  <c:v>94.5</c:v>
                </c:pt>
                <c:pt idx="221">
                  <c:v>94.9</c:v>
                </c:pt>
                <c:pt idx="222">
                  <c:v>89.9</c:v>
                </c:pt>
                <c:pt idx="223">
                  <c:v>92</c:v>
                </c:pt>
                <c:pt idx="224">
                  <c:v>93.1</c:v>
                </c:pt>
                <c:pt idx="225">
                  <c:v>85.7</c:v>
                </c:pt>
                <c:pt idx="226">
                  <c:v>73.599999999999994</c:v>
                </c:pt>
                <c:pt idx="227">
                  <c:v>80.599999999999994</c:v>
                </c:pt>
                <c:pt idx="228">
                  <c:v>41.2</c:v>
                </c:pt>
                <c:pt idx="229">
                  <c:v>52.7</c:v>
                </c:pt>
                <c:pt idx="230">
                  <c:v>58.8</c:v>
                </c:pt>
                <c:pt idx="231">
                  <c:v>60.3</c:v>
                </c:pt>
                <c:pt idx="232">
                  <c:v>67.3</c:v>
                </c:pt>
                <c:pt idx="233">
                  <c:v>94.1</c:v>
                </c:pt>
                <c:pt idx="234">
                  <c:v>90.1</c:v>
                </c:pt>
                <c:pt idx="235">
                  <c:v>64.2</c:v>
                </c:pt>
                <c:pt idx="236">
                  <c:v>89.1</c:v>
                </c:pt>
                <c:pt idx="237">
                  <c:v>80.400000000000006</c:v>
                </c:pt>
                <c:pt idx="238">
                  <c:v>74.5</c:v>
                </c:pt>
                <c:pt idx="239">
                  <c:v>80.3</c:v>
                </c:pt>
                <c:pt idx="240">
                  <c:v>67.599999999999994</c:v>
                </c:pt>
                <c:pt idx="241">
                  <c:v>76.2</c:v>
                </c:pt>
                <c:pt idx="242">
                  <c:v>95.5</c:v>
                </c:pt>
                <c:pt idx="243">
                  <c:v>96.7</c:v>
                </c:pt>
                <c:pt idx="244">
                  <c:v>86.1</c:v>
                </c:pt>
                <c:pt idx="245">
                  <c:v>96.3</c:v>
                </c:pt>
                <c:pt idx="246">
                  <c:v>79.599999999999994</c:v>
                </c:pt>
                <c:pt idx="247">
                  <c:v>46</c:v>
                </c:pt>
                <c:pt idx="248">
                  <c:v>56.3</c:v>
                </c:pt>
                <c:pt idx="249">
                  <c:v>82.8</c:v>
                </c:pt>
                <c:pt idx="250">
                  <c:v>85.7</c:v>
                </c:pt>
                <c:pt idx="251">
                  <c:v>61.9</c:v>
                </c:pt>
                <c:pt idx="252">
                  <c:v>71.3</c:v>
                </c:pt>
                <c:pt idx="253">
                  <c:v>62.4</c:v>
                </c:pt>
                <c:pt idx="254">
                  <c:v>47.5</c:v>
                </c:pt>
                <c:pt idx="255">
                  <c:v>43.7</c:v>
                </c:pt>
                <c:pt idx="256">
                  <c:v>53.7</c:v>
                </c:pt>
                <c:pt idx="257">
                  <c:v>88.1</c:v>
                </c:pt>
                <c:pt idx="258">
                  <c:v>76.5</c:v>
                </c:pt>
                <c:pt idx="259">
                  <c:v>79.3</c:v>
                </c:pt>
                <c:pt idx="260">
                  <c:v>66.8</c:v>
                </c:pt>
                <c:pt idx="261">
                  <c:v>83.1</c:v>
                </c:pt>
                <c:pt idx="262">
                  <c:v>96.5</c:v>
                </c:pt>
                <c:pt idx="263">
                  <c:v>94.3</c:v>
                </c:pt>
                <c:pt idx="264">
                  <c:v>94.5</c:v>
                </c:pt>
                <c:pt idx="265">
                  <c:v>78.2</c:v>
                </c:pt>
                <c:pt idx="266">
                  <c:v>96.7</c:v>
                </c:pt>
                <c:pt idx="267">
                  <c:v>96</c:v>
                </c:pt>
                <c:pt idx="268">
                  <c:v>96.7</c:v>
                </c:pt>
                <c:pt idx="269">
                  <c:v>94.9</c:v>
                </c:pt>
                <c:pt idx="270">
                  <c:v>94.4</c:v>
                </c:pt>
                <c:pt idx="271">
                  <c:v>80.5</c:v>
                </c:pt>
                <c:pt idx="272">
                  <c:v>64.599999999999994</c:v>
                </c:pt>
                <c:pt idx="273">
                  <c:v>54.9</c:v>
                </c:pt>
                <c:pt idx="274">
                  <c:v>60.4</c:v>
                </c:pt>
                <c:pt idx="275">
                  <c:v>63.5</c:v>
                </c:pt>
                <c:pt idx="276">
                  <c:v>74.5</c:v>
                </c:pt>
                <c:pt idx="277">
                  <c:v>91</c:v>
                </c:pt>
                <c:pt idx="278">
                  <c:v>94.7</c:v>
                </c:pt>
                <c:pt idx="279">
                  <c:v>88.9</c:v>
                </c:pt>
                <c:pt idx="280">
                  <c:v>95.8</c:v>
                </c:pt>
                <c:pt idx="281">
                  <c:v>93.1</c:v>
                </c:pt>
                <c:pt idx="282">
                  <c:v>93.2</c:v>
                </c:pt>
                <c:pt idx="283">
                  <c:v>96</c:v>
                </c:pt>
                <c:pt idx="284">
                  <c:v>95.5</c:v>
                </c:pt>
                <c:pt idx="285">
                  <c:v>95.8</c:v>
                </c:pt>
                <c:pt idx="286">
                  <c:v>95.7</c:v>
                </c:pt>
                <c:pt idx="287">
                  <c:v>95.2</c:v>
                </c:pt>
                <c:pt idx="288">
                  <c:v>94.8</c:v>
                </c:pt>
                <c:pt idx="289">
                  <c:v>95.9</c:v>
                </c:pt>
                <c:pt idx="290">
                  <c:v>93.9</c:v>
                </c:pt>
                <c:pt idx="291">
                  <c:v>96.5</c:v>
                </c:pt>
                <c:pt idx="292">
                  <c:v>94.9</c:v>
                </c:pt>
                <c:pt idx="293">
                  <c:v>91.7</c:v>
                </c:pt>
                <c:pt idx="294">
                  <c:v>92.4</c:v>
                </c:pt>
                <c:pt idx="295">
                  <c:v>91.5</c:v>
                </c:pt>
                <c:pt idx="296">
                  <c:v>90.6</c:v>
                </c:pt>
                <c:pt idx="297">
                  <c:v>89.2</c:v>
                </c:pt>
                <c:pt idx="298">
                  <c:v>95.6</c:v>
                </c:pt>
                <c:pt idx="299">
                  <c:v>96.3</c:v>
                </c:pt>
                <c:pt idx="300">
                  <c:v>95.1</c:v>
                </c:pt>
                <c:pt idx="301">
                  <c:v>92.2</c:v>
                </c:pt>
                <c:pt idx="302">
                  <c:v>87.9</c:v>
                </c:pt>
                <c:pt idx="303">
                  <c:v>95.2</c:v>
                </c:pt>
                <c:pt idx="304">
                  <c:v>94.7</c:v>
                </c:pt>
                <c:pt idx="305">
                  <c:v>64.8</c:v>
                </c:pt>
                <c:pt idx="306">
                  <c:v>70.8</c:v>
                </c:pt>
                <c:pt idx="307">
                  <c:v>95.2</c:v>
                </c:pt>
                <c:pt idx="308">
                  <c:v>96.8</c:v>
                </c:pt>
                <c:pt idx="309">
                  <c:v>96.5</c:v>
                </c:pt>
                <c:pt idx="310">
                  <c:v>93.4</c:v>
                </c:pt>
                <c:pt idx="311">
                  <c:v>92.5</c:v>
                </c:pt>
                <c:pt idx="312">
                  <c:v>88.8</c:v>
                </c:pt>
                <c:pt idx="313">
                  <c:v>90.1</c:v>
                </c:pt>
                <c:pt idx="314">
                  <c:v>90.4</c:v>
                </c:pt>
                <c:pt idx="315">
                  <c:v>89.7</c:v>
                </c:pt>
                <c:pt idx="316">
                  <c:v>90.2</c:v>
                </c:pt>
                <c:pt idx="317">
                  <c:v>93.2</c:v>
                </c:pt>
                <c:pt idx="318">
                  <c:v>93.6</c:v>
                </c:pt>
                <c:pt idx="319">
                  <c:v>93.1</c:v>
                </c:pt>
                <c:pt idx="320">
                  <c:v>95.1</c:v>
                </c:pt>
                <c:pt idx="321">
                  <c:v>96.5</c:v>
                </c:pt>
                <c:pt idx="322">
                  <c:v>96</c:v>
                </c:pt>
                <c:pt idx="323">
                  <c:v>93.3</c:v>
                </c:pt>
                <c:pt idx="324">
                  <c:v>93.7</c:v>
                </c:pt>
                <c:pt idx="325">
                  <c:v>94.9</c:v>
                </c:pt>
                <c:pt idx="326">
                  <c:v>94.4</c:v>
                </c:pt>
                <c:pt idx="327">
                  <c:v>92.8</c:v>
                </c:pt>
                <c:pt idx="328">
                  <c:v>93.5</c:v>
                </c:pt>
                <c:pt idx="329">
                  <c:v>91.3</c:v>
                </c:pt>
                <c:pt idx="330">
                  <c:v>90.8</c:v>
                </c:pt>
                <c:pt idx="331">
                  <c:v>94.1</c:v>
                </c:pt>
                <c:pt idx="332">
                  <c:v>92.9</c:v>
                </c:pt>
                <c:pt idx="333">
                  <c:v>93.5</c:v>
                </c:pt>
                <c:pt idx="334">
                  <c:v>93</c:v>
                </c:pt>
                <c:pt idx="335">
                  <c:v>89.1</c:v>
                </c:pt>
                <c:pt idx="336">
                  <c:v>84.7</c:v>
                </c:pt>
                <c:pt idx="337">
                  <c:v>91.6</c:v>
                </c:pt>
                <c:pt idx="338">
                  <c:v>82.7</c:v>
                </c:pt>
                <c:pt idx="339">
                  <c:v>69.3</c:v>
                </c:pt>
                <c:pt idx="340">
                  <c:v>84.5</c:v>
                </c:pt>
                <c:pt idx="341">
                  <c:v>94.9</c:v>
                </c:pt>
                <c:pt idx="342">
                  <c:v>96.7</c:v>
                </c:pt>
                <c:pt idx="343">
                  <c:v>94.4</c:v>
                </c:pt>
                <c:pt idx="344">
                  <c:v>92.4</c:v>
                </c:pt>
                <c:pt idx="345">
                  <c:v>91.7</c:v>
                </c:pt>
                <c:pt idx="346">
                  <c:v>91.2</c:v>
                </c:pt>
                <c:pt idx="347">
                  <c:v>91.3</c:v>
                </c:pt>
                <c:pt idx="348">
                  <c:v>92.4</c:v>
                </c:pt>
                <c:pt idx="349">
                  <c:v>92.4</c:v>
                </c:pt>
                <c:pt idx="350">
                  <c:v>93</c:v>
                </c:pt>
                <c:pt idx="351">
                  <c:v>93</c:v>
                </c:pt>
                <c:pt idx="352">
                  <c:v>93.1</c:v>
                </c:pt>
                <c:pt idx="353">
                  <c:v>94.4</c:v>
                </c:pt>
                <c:pt idx="354">
                  <c:v>94.4</c:v>
                </c:pt>
                <c:pt idx="355">
                  <c:v>93.4</c:v>
                </c:pt>
                <c:pt idx="356">
                  <c:v>89.1</c:v>
                </c:pt>
                <c:pt idx="357">
                  <c:v>93.6</c:v>
                </c:pt>
                <c:pt idx="358">
                  <c:v>88.3</c:v>
                </c:pt>
                <c:pt idx="359">
                  <c:v>90.5</c:v>
                </c:pt>
                <c:pt idx="360">
                  <c:v>93.1</c:v>
                </c:pt>
                <c:pt idx="361">
                  <c:v>92.3</c:v>
                </c:pt>
                <c:pt idx="362">
                  <c:v>92.1</c:v>
                </c:pt>
                <c:pt idx="363">
                  <c:v>89.9</c:v>
                </c:pt>
                <c:pt idx="364">
                  <c:v>91.1</c:v>
                </c:pt>
                <c:pt idx="365">
                  <c:v>94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Data!$BI$6:$BI$371</c:f>
              <c:numCache>
                <c:formatCode>General</c:formatCode>
                <c:ptCount val="366"/>
                <c:pt idx="0">
                  <c:v>75.8</c:v>
                </c:pt>
                <c:pt idx="1">
                  <c:v>79.2</c:v>
                </c:pt>
                <c:pt idx="2">
                  <c:v>78</c:v>
                </c:pt>
                <c:pt idx="3">
                  <c:v>56.1</c:v>
                </c:pt>
                <c:pt idx="4">
                  <c:v>67.400000000000006</c:v>
                </c:pt>
                <c:pt idx="5">
                  <c:v>80.2</c:v>
                </c:pt>
                <c:pt idx="6">
                  <c:v>93.9</c:v>
                </c:pt>
                <c:pt idx="7">
                  <c:v>83.6</c:v>
                </c:pt>
                <c:pt idx="8">
                  <c:v>83.2</c:v>
                </c:pt>
                <c:pt idx="9">
                  <c:v>85.3</c:v>
                </c:pt>
                <c:pt idx="10">
                  <c:v>89</c:v>
                </c:pt>
                <c:pt idx="11">
                  <c:v>75.7</c:v>
                </c:pt>
                <c:pt idx="12">
                  <c:v>73.900000000000006</c:v>
                </c:pt>
                <c:pt idx="13">
                  <c:v>77.3</c:v>
                </c:pt>
                <c:pt idx="14">
                  <c:v>78.599999999999994</c:v>
                </c:pt>
                <c:pt idx="15">
                  <c:v>85.3</c:v>
                </c:pt>
                <c:pt idx="16">
                  <c:v>84</c:v>
                </c:pt>
                <c:pt idx="17">
                  <c:v>85.6</c:v>
                </c:pt>
                <c:pt idx="18">
                  <c:v>91</c:v>
                </c:pt>
                <c:pt idx="19">
                  <c:v>92.9</c:v>
                </c:pt>
                <c:pt idx="20">
                  <c:v>92</c:v>
                </c:pt>
                <c:pt idx="21">
                  <c:v>92</c:v>
                </c:pt>
                <c:pt idx="22">
                  <c:v>88</c:v>
                </c:pt>
                <c:pt idx="23">
                  <c:v>84.6</c:v>
                </c:pt>
                <c:pt idx="24">
                  <c:v>89</c:v>
                </c:pt>
                <c:pt idx="25">
                  <c:v>89.7</c:v>
                </c:pt>
                <c:pt idx="26">
                  <c:v>79.099999999999994</c:v>
                </c:pt>
                <c:pt idx="27">
                  <c:v>76.3</c:v>
                </c:pt>
                <c:pt idx="28">
                  <c:v>84.8</c:v>
                </c:pt>
                <c:pt idx="29">
                  <c:v>67.7</c:v>
                </c:pt>
                <c:pt idx="30">
                  <c:v>88.2</c:v>
                </c:pt>
                <c:pt idx="31">
                  <c:v>68.3</c:v>
                </c:pt>
                <c:pt idx="32">
                  <c:v>46.3</c:v>
                </c:pt>
                <c:pt idx="33">
                  <c:v>79.2</c:v>
                </c:pt>
                <c:pt idx="34">
                  <c:v>69.3</c:v>
                </c:pt>
                <c:pt idx="35">
                  <c:v>91.5</c:v>
                </c:pt>
                <c:pt idx="36">
                  <c:v>91.9</c:v>
                </c:pt>
                <c:pt idx="37">
                  <c:v>90.1</c:v>
                </c:pt>
                <c:pt idx="38">
                  <c:v>88.6</c:v>
                </c:pt>
                <c:pt idx="39">
                  <c:v>86.2</c:v>
                </c:pt>
                <c:pt idx="40">
                  <c:v>89</c:v>
                </c:pt>
                <c:pt idx="41">
                  <c:v>79</c:v>
                </c:pt>
                <c:pt idx="42">
                  <c:v>53.9</c:v>
                </c:pt>
                <c:pt idx="43">
                  <c:v>66.8</c:v>
                </c:pt>
                <c:pt idx="44">
                  <c:v>68.2</c:v>
                </c:pt>
                <c:pt idx="45">
                  <c:v>77.8</c:v>
                </c:pt>
                <c:pt idx="46">
                  <c:v>79.2</c:v>
                </c:pt>
                <c:pt idx="47">
                  <c:v>66.7</c:v>
                </c:pt>
                <c:pt idx="48">
                  <c:v>57</c:v>
                </c:pt>
                <c:pt idx="49">
                  <c:v>44.6</c:v>
                </c:pt>
                <c:pt idx="50">
                  <c:v>52.3</c:v>
                </c:pt>
                <c:pt idx="51">
                  <c:v>38.4</c:v>
                </c:pt>
                <c:pt idx="52">
                  <c:v>47.8</c:v>
                </c:pt>
                <c:pt idx="53">
                  <c:v>74.599999999999994</c:v>
                </c:pt>
                <c:pt idx="54">
                  <c:v>87.9</c:v>
                </c:pt>
                <c:pt idx="55">
                  <c:v>86.2</c:v>
                </c:pt>
                <c:pt idx="56">
                  <c:v>55.3</c:v>
                </c:pt>
                <c:pt idx="57">
                  <c:v>61.1</c:v>
                </c:pt>
                <c:pt idx="58">
                  <c:v>53</c:v>
                </c:pt>
                <c:pt idx="59">
                  <c:v>65.5</c:v>
                </c:pt>
                <c:pt idx="60">
                  <c:v>60.3</c:v>
                </c:pt>
                <c:pt idx="61">
                  <c:v>65.7</c:v>
                </c:pt>
                <c:pt idx="62">
                  <c:v>30.8</c:v>
                </c:pt>
                <c:pt idx="63">
                  <c:v>45</c:v>
                </c:pt>
                <c:pt idx="64">
                  <c:v>41.4</c:v>
                </c:pt>
                <c:pt idx="65">
                  <c:v>58.9</c:v>
                </c:pt>
                <c:pt idx="66">
                  <c:v>62.3</c:v>
                </c:pt>
                <c:pt idx="67">
                  <c:v>43</c:v>
                </c:pt>
                <c:pt idx="68">
                  <c:v>22.8</c:v>
                </c:pt>
                <c:pt idx="69">
                  <c:v>42.3</c:v>
                </c:pt>
                <c:pt idx="70">
                  <c:v>73.599999999999994</c:v>
                </c:pt>
                <c:pt idx="71">
                  <c:v>83.6</c:v>
                </c:pt>
                <c:pt idx="72">
                  <c:v>83.9</c:v>
                </c:pt>
                <c:pt idx="73">
                  <c:v>78.900000000000006</c:v>
                </c:pt>
                <c:pt idx="74">
                  <c:v>60.3</c:v>
                </c:pt>
                <c:pt idx="75">
                  <c:v>25.8</c:v>
                </c:pt>
                <c:pt idx="76">
                  <c:v>37.799999999999997</c:v>
                </c:pt>
                <c:pt idx="77">
                  <c:v>25</c:v>
                </c:pt>
                <c:pt idx="78">
                  <c:v>21.5</c:v>
                </c:pt>
                <c:pt idx="79">
                  <c:v>28.4</c:v>
                </c:pt>
                <c:pt idx="80">
                  <c:v>29.8</c:v>
                </c:pt>
                <c:pt idx="81">
                  <c:v>23.5</c:v>
                </c:pt>
                <c:pt idx="82">
                  <c:v>34.4</c:v>
                </c:pt>
                <c:pt idx="83">
                  <c:v>45</c:v>
                </c:pt>
                <c:pt idx="84">
                  <c:v>36.799999999999997</c:v>
                </c:pt>
                <c:pt idx="85">
                  <c:v>62.1</c:v>
                </c:pt>
                <c:pt idx="86">
                  <c:v>64.599999999999994</c:v>
                </c:pt>
                <c:pt idx="87">
                  <c:v>51.3</c:v>
                </c:pt>
                <c:pt idx="88">
                  <c:v>45.1</c:v>
                </c:pt>
                <c:pt idx="89">
                  <c:v>46.2</c:v>
                </c:pt>
                <c:pt idx="90">
                  <c:v>43.1</c:v>
                </c:pt>
                <c:pt idx="91">
                  <c:v>50.5</c:v>
                </c:pt>
                <c:pt idx="92">
                  <c:v>32.700000000000003</c:v>
                </c:pt>
                <c:pt idx="93">
                  <c:v>60</c:v>
                </c:pt>
                <c:pt idx="94">
                  <c:v>46.5</c:v>
                </c:pt>
                <c:pt idx="95">
                  <c:v>52.9</c:v>
                </c:pt>
                <c:pt idx="96">
                  <c:v>38.299999999999997</c:v>
                </c:pt>
                <c:pt idx="97">
                  <c:v>31.2</c:v>
                </c:pt>
                <c:pt idx="98">
                  <c:v>16.8</c:v>
                </c:pt>
                <c:pt idx="99">
                  <c:v>16.2</c:v>
                </c:pt>
                <c:pt idx="100">
                  <c:v>44.1</c:v>
                </c:pt>
                <c:pt idx="101">
                  <c:v>40.4</c:v>
                </c:pt>
                <c:pt idx="102">
                  <c:v>24.6</c:v>
                </c:pt>
                <c:pt idx="103">
                  <c:v>22.5</c:v>
                </c:pt>
                <c:pt idx="104">
                  <c:v>41.2</c:v>
                </c:pt>
                <c:pt idx="105">
                  <c:v>33.299999999999997</c:v>
                </c:pt>
                <c:pt idx="106">
                  <c:v>17.5</c:v>
                </c:pt>
                <c:pt idx="107">
                  <c:v>37.799999999999997</c:v>
                </c:pt>
                <c:pt idx="108">
                  <c:v>53.2</c:v>
                </c:pt>
                <c:pt idx="109">
                  <c:v>41.6</c:v>
                </c:pt>
                <c:pt idx="110">
                  <c:v>22.4</c:v>
                </c:pt>
                <c:pt idx="111">
                  <c:v>38.5</c:v>
                </c:pt>
                <c:pt idx="112">
                  <c:v>59.4</c:v>
                </c:pt>
                <c:pt idx="113">
                  <c:v>59.6</c:v>
                </c:pt>
                <c:pt idx="114">
                  <c:v>20.5</c:v>
                </c:pt>
                <c:pt idx="115">
                  <c:v>58.8</c:v>
                </c:pt>
                <c:pt idx="116">
                  <c:v>33.299999999999997</c:v>
                </c:pt>
                <c:pt idx="117">
                  <c:v>40.200000000000003</c:v>
                </c:pt>
                <c:pt idx="118">
                  <c:v>27.1</c:v>
                </c:pt>
                <c:pt idx="119">
                  <c:v>31.2</c:v>
                </c:pt>
                <c:pt idx="120">
                  <c:v>39.5</c:v>
                </c:pt>
                <c:pt idx="121">
                  <c:v>32.700000000000003</c:v>
                </c:pt>
                <c:pt idx="122">
                  <c:v>38.1</c:v>
                </c:pt>
                <c:pt idx="123">
                  <c:v>55.9</c:v>
                </c:pt>
                <c:pt idx="124">
                  <c:v>23.3</c:v>
                </c:pt>
                <c:pt idx="125">
                  <c:v>33.200000000000003</c:v>
                </c:pt>
                <c:pt idx="126">
                  <c:v>56.8</c:v>
                </c:pt>
                <c:pt idx="127">
                  <c:v>50.7</c:v>
                </c:pt>
                <c:pt idx="128">
                  <c:v>34.700000000000003</c:v>
                </c:pt>
                <c:pt idx="129">
                  <c:v>30.2</c:v>
                </c:pt>
                <c:pt idx="130">
                  <c:v>28</c:v>
                </c:pt>
                <c:pt idx="131">
                  <c:v>37</c:v>
                </c:pt>
                <c:pt idx="132">
                  <c:v>57.8</c:v>
                </c:pt>
                <c:pt idx="133">
                  <c:v>38.4</c:v>
                </c:pt>
                <c:pt idx="134">
                  <c:v>44.6</c:v>
                </c:pt>
                <c:pt idx="135">
                  <c:v>52.4</c:v>
                </c:pt>
                <c:pt idx="136">
                  <c:v>58.9</c:v>
                </c:pt>
                <c:pt idx="137">
                  <c:v>56.7</c:v>
                </c:pt>
                <c:pt idx="138">
                  <c:v>45.2</c:v>
                </c:pt>
                <c:pt idx="139">
                  <c:v>33.299999999999997</c:v>
                </c:pt>
                <c:pt idx="140">
                  <c:v>57.3</c:v>
                </c:pt>
                <c:pt idx="141">
                  <c:v>61.7</c:v>
                </c:pt>
                <c:pt idx="142">
                  <c:v>95.1</c:v>
                </c:pt>
                <c:pt idx="143">
                  <c:v>60</c:v>
                </c:pt>
                <c:pt idx="144">
                  <c:v>40.299999999999997</c:v>
                </c:pt>
                <c:pt idx="145">
                  <c:v>81</c:v>
                </c:pt>
                <c:pt idx="146">
                  <c:v>43.6</c:v>
                </c:pt>
                <c:pt idx="147">
                  <c:v>30.2</c:v>
                </c:pt>
                <c:pt idx="148">
                  <c:v>25.6</c:v>
                </c:pt>
                <c:pt idx="149">
                  <c:v>25.4</c:v>
                </c:pt>
                <c:pt idx="150">
                  <c:v>47.1</c:v>
                </c:pt>
                <c:pt idx="151">
                  <c:v>70.900000000000006</c:v>
                </c:pt>
                <c:pt idx="152">
                  <c:v>33.9</c:v>
                </c:pt>
                <c:pt idx="153">
                  <c:v>39.6</c:v>
                </c:pt>
                <c:pt idx="154">
                  <c:v>28.8</c:v>
                </c:pt>
                <c:pt idx="155">
                  <c:v>36.6</c:v>
                </c:pt>
                <c:pt idx="156">
                  <c:v>40.200000000000003</c:v>
                </c:pt>
                <c:pt idx="157">
                  <c:v>33.299999999999997</c:v>
                </c:pt>
                <c:pt idx="158">
                  <c:v>58.7</c:v>
                </c:pt>
                <c:pt idx="159">
                  <c:v>40.299999999999997</c:v>
                </c:pt>
                <c:pt idx="160">
                  <c:v>63.7</c:v>
                </c:pt>
                <c:pt idx="161">
                  <c:v>43</c:v>
                </c:pt>
                <c:pt idx="162">
                  <c:v>65.2</c:v>
                </c:pt>
                <c:pt idx="163">
                  <c:v>57.1</c:v>
                </c:pt>
                <c:pt idx="164">
                  <c:v>79</c:v>
                </c:pt>
                <c:pt idx="165">
                  <c:v>87.3</c:v>
                </c:pt>
                <c:pt idx="166">
                  <c:v>62.9</c:v>
                </c:pt>
                <c:pt idx="167">
                  <c:v>47.8</c:v>
                </c:pt>
                <c:pt idx="168">
                  <c:v>48</c:v>
                </c:pt>
                <c:pt idx="169">
                  <c:v>28.6</c:v>
                </c:pt>
                <c:pt idx="170">
                  <c:v>30.2</c:v>
                </c:pt>
                <c:pt idx="171">
                  <c:v>63.2</c:v>
                </c:pt>
                <c:pt idx="172">
                  <c:v>36.1</c:v>
                </c:pt>
                <c:pt idx="173">
                  <c:v>28.2</c:v>
                </c:pt>
                <c:pt idx="174">
                  <c:v>41.7</c:v>
                </c:pt>
                <c:pt idx="175">
                  <c:v>63.2</c:v>
                </c:pt>
                <c:pt idx="176">
                  <c:v>33.1</c:v>
                </c:pt>
                <c:pt idx="177">
                  <c:v>37.5</c:v>
                </c:pt>
                <c:pt idx="178">
                  <c:v>44.3</c:v>
                </c:pt>
                <c:pt idx="179">
                  <c:v>74</c:v>
                </c:pt>
                <c:pt idx="180">
                  <c:v>39.1</c:v>
                </c:pt>
                <c:pt idx="181">
                  <c:v>76.3</c:v>
                </c:pt>
                <c:pt idx="182">
                  <c:v>82.4</c:v>
                </c:pt>
                <c:pt idx="183">
                  <c:v>53.1</c:v>
                </c:pt>
                <c:pt idx="184">
                  <c:v>41.8</c:v>
                </c:pt>
                <c:pt idx="185">
                  <c:v>46.4</c:v>
                </c:pt>
                <c:pt idx="186">
                  <c:v>30.5</c:v>
                </c:pt>
                <c:pt idx="187">
                  <c:v>33.799999999999997</c:v>
                </c:pt>
                <c:pt idx="188">
                  <c:v>62.7</c:v>
                </c:pt>
                <c:pt idx="189">
                  <c:v>42.6</c:v>
                </c:pt>
                <c:pt idx="190">
                  <c:v>66.099999999999994</c:v>
                </c:pt>
                <c:pt idx="191">
                  <c:v>42.4</c:v>
                </c:pt>
                <c:pt idx="192">
                  <c:v>36.4</c:v>
                </c:pt>
                <c:pt idx="193">
                  <c:v>44.5</c:v>
                </c:pt>
                <c:pt idx="194">
                  <c:v>38.5</c:v>
                </c:pt>
                <c:pt idx="195">
                  <c:v>29.7</c:v>
                </c:pt>
                <c:pt idx="196">
                  <c:v>44</c:v>
                </c:pt>
                <c:pt idx="197">
                  <c:v>48.1</c:v>
                </c:pt>
                <c:pt idx="198">
                  <c:v>51.3</c:v>
                </c:pt>
                <c:pt idx="199">
                  <c:v>38.700000000000003</c:v>
                </c:pt>
                <c:pt idx="200">
                  <c:v>47.8</c:v>
                </c:pt>
                <c:pt idx="201">
                  <c:v>29.4</c:v>
                </c:pt>
                <c:pt idx="202">
                  <c:v>29.7</c:v>
                </c:pt>
                <c:pt idx="203">
                  <c:v>32.5</c:v>
                </c:pt>
                <c:pt idx="204">
                  <c:v>29.1</c:v>
                </c:pt>
                <c:pt idx="205">
                  <c:v>46.7</c:v>
                </c:pt>
                <c:pt idx="206">
                  <c:v>43.3</c:v>
                </c:pt>
                <c:pt idx="207">
                  <c:v>31.4</c:v>
                </c:pt>
                <c:pt idx="208">
                  <c:v>20.9</c:v>
                </c:pt>
                <c:pt idx="209">
                  <c:v>23.4</c:v>
                </c:pt>
                <c:pt idx="210">
                  <c:v>19.100000000000001</c:v>
                </c:pt>
                <c:pt idx="211">
                  <c:v>19.2</c:v>
                </c:pt>
                <c:pt idx="212">
                  <c:v>22.4</c:v>
                </c:pt>
                <c:pt idx="213">
                  <c:v>31</c:v>
                </c:pt>
                <c:pt idx="214">
                  <c:v>19.2</c:v>
                </c:pt>
                <c:pt idx="215">
                  <c:v>39.5</c:v>
                </c:pt>
                <c:pt idx="216">
                  <c:v>31.4</c:v>
                </c:pt>
                <c:pt idx="217">
                  <c:v>20.5</c:v>
                </c:pt>
                <c:pt idx="218">
                  <c:v>48.4</c:v>
                </c:pt>
                <c:pt idx="219">
                  <c:v>47.4</c:v>
                </c:pt>
                <c:pt idx="220">
                  <c:v>40.5</c:v>
                </c:pt>
                <c:pt idx="221">
                  <c:v>42.4</c:v>
                </c:pt>
                <c:pt idx="222">
                  <c:v>42</c:v>
                </c:pt>
                <c:pt idx="223">
                  <c:v>24.3</c:v>
                </c:pt>
                <c:pt idx="224">
                  <c:v>31</c:v>
                </c:pt>
                <c:pt idx="225">
                  <c:v>36.299999999999997</c:v>
                </c:pt>
                <c:pt idx="226">
                  <c:v>35.9</c:v>
                </c:pt>
                <c:pt idx="227">
                  <c:v>20.5</c:v>
                </c:pt>
                <c:pt idx="228">
                  <c:v>18</c:v>
                </c:pt>
                <c:pt idx="229">
                  <c:v>19.5</c:v>
                </c:pt>
                <c:pt idx="230">
                  <c:v>14</c:v>
                </c:pt>
                <c:pt idx="231">
                  <c:v>18</c:v>
                </c:pt>
                <c:pt idx="232">
                  <c:v>35.4</c:v>
                </c:pt>
                <c:pt idx="233">
                  <c:v>41.5</c:v>
                </c:pt>
                <c:pt idx="234">
                  <c:v>30.6</c:v>
                </c:pt>
                <c:pt idx="235">
                  <c:v>12.5</c:v>
                </c:pt>
                <c:pt idx="236">
                  <c:v>41.7</c:v>
                </c:pt>
                <c:pt idx="237">
                  <c:v>27.7</c:v>
                </c:pt>
                <c:pt idx="238">
                  <c:v>22</c:v>
                </c:pt>
                <c:pt idx="239">
                  <c:v>21.8</c:v>
                </c:pt>
                <c:pt idx="240">
                  <c:v>16.8</c:v>
                </c:pt>
                <c:pt idx="241">
                  <c:v>38.6</c:v>
                </c:pt>
                <c:pt idx="242">
                  <c:v>33.200000000000003</c:v>
                </c:pt>
                <c:pt idx="243">
                  <c:v>58.6</c:v>
                </c:pt>
                <c:pt idx="244">
                  <c:v>36.4</c:v>
                </c:pt>
                <c:pt idx="245">
                  <c:v>48.3</c:v>
                </c:pt>
                <c:pt idx="246">
                  <c:v>22</c:v>
                </c:pt>
                <c:pt idx="247">
                  <c:v>13.2</c:v>
                </c:pt>
                <c:pt idx="248">
                  <c:v>27.1</c:v>
                </c:pt>
                <c:pt idx="249">
                  <c:v>33</c:v>
                </c:pt>
                <c:pt idx="250">
                  <c:v>26.3</c:v>
                </c:pt>
                <c:pt idx="251">
                  <c:v>17.600000000000001</c:v>
                </c:pt>
                <c:pt idx="252">
                  <c:v>31.9</c:v>
                </c:pt>
                <c:pt idx="253">
                  <c:v>17.399999999999999</c:v>
                </c:pt>
                <c:pt idx="254">
                  <c:v>17.5</c:v>
                </c:pt>
                <c:pt idx="255">
                  <c:v>18.899999999999999</c:v>
                </c:pt>
                <c:pt idx="256">
                  <c:v>31.1</c:v>
                </c:pt>
                <c:pt idx="257">
                  <c:v>17.8</c:v>
                </c:pt>
                <c:pt idx="258">
                  <c:v>32.6</c:v>
                </c:pt>
                <c:pt idx="259">
                  <c:v>32.5</c:v>
                </c:pt>
                <c:pt idx="260">
                  <c:v>20.6</c:v>
                </c:pt>
                <c:pt idx="261">
                  <c:v>27.3</c:v>
                </c:pt>
                <c:pt idx="262">
                  <c:v>61</c:v>
                </c:pt>
                <c:pt idx="263">
                  <c:v>36.5</c:v>
                </c:pt>
                <c:pt idx="264">
                  <c:v>30</c:v>
                </c:pt>
                <c:pt idx="265">
                  <c:v>32.700000000000003</c:v>
                </c:pt>
                <c:pt idx="266">
                  <c:v>59.5</c:v>
                </c:pt>
                <c:pt idx="267">
                  <c:v>78.2</c:v>
                </c:pt>
                <c:pt idx="268">
                  <c:v>70.2</c:v>
                </c:pt>
                <c:pt idx="269">
                  <c:v>61.1</c:v>
                </c:pt>
                <c:pt idx="270">
                  <c:v>35.1</c:v>
                </c:pt>
                <c:pt idx="271">
                  <c:v>36.4</c:v>
                </c:pt>
                <c:pt idx="272">
                  <c:v>24.8</c:v>
                </c:pt>
                <c:pt idx="273">
                  <c:v>27.2</c:v>
                </c:pt>
                <c:pt idx="274">
                  <c:v>26.9</c:v>
                </c:pt>
                <c:pt idx="275">
                  <c:v>29.3</c:v>
                </c:pt>
                <c:pt idx="276">
                  <c:v>33.200000000000003</c:v>
                </c:pt>
                <c:pt idx="277">
                  <c:v>32.299999999999997</c:v>
                </c:pt>
                <c:pt idx="278">
                  <c:v>41.6</c:v>
                </c:pt>
                <c:pt idx="279">
                  <c:v>47.6</c:v>
                </c:pt>
                <c:pt idx="280">
                  <c:v>34.4</c:v>
                </c:pt>
                <c:pt idx="281">
                  <c:v>68.8</c:v>
                </c:pt>
                <c:pt idx="282">
                  <c:v>70.400000000000006</c:v>
                </c:pt>
                <c:pt idx="283">
                  <c:v>66.2</c:v>
                </c:pt>
                <c:pt idx="284">
                  <c:v>56.8</c:v>
                </c:pt>
                <c:pt idx="285">
                  <c:v>93.4</c:v>
                </c:pt>
                <c:pt idx="286">
                  <c:v>93.2</c:v>
                </c:pt>
                <c:pt idx="287">
                  <c:v>83.6</c:v>
                </c:pt>
                <c:pt idx="288">
                  <c:v>65.8</c:v>
                </c:pt>
                <c:pt idx="289">
                  <c:v>71.5</c:v>
                </c:pt>
                <c:pt idx="290">
                  <c:v>82.8</c:v>
                </c:pt>
                <c:pt idx="291">
                  <c:v>91.3</c:v>
                </c:pt>
                <c:pt idx="292">
                  <c:v>77.7</c:v>
                </c:pt>
                <c:pt idx="293">
                  <c:v>64</c:v>
                </c:pt>
                <c:pt idx="294">
                  <c:v>79.599999999999994</c:v>
                </c:pt>
                <c:pt idx="295">
                  <c:v>56.8</c:v>
                </c:pt>
                <c:pt idx="296">
                  <c:v>72.8</c:v>
                </c:pt>
                <c:pt idx="297">
                  <c:v>84.3</c:v>
                </c:pt>
                <c:pt idx="298">
                  <c:v>82.2</c:v>
                </c:pt>
                <c:pt idx="299">
                  <c:v>89.7</c:v>
                </c:pt>
                <c:pt idx="300">
                  <c:v>79.900000000000006</c:v>
                </c:pt>
                <c:pt idx="301">
                  <c:v>69.599999999999994</c:v>
                </c:pt>
                <c:pt idx="302">
                  <c:v>60.4</c:v>
                </c:pt>
                <c:pt idx="303">
                  <c:v>55.4</c:v>
                </c:pt>
                <c:pt idx="304">
                  <c:v>42.8</c:v>
                </c:pt>
                <c:pt idx="305">
                  <c:v>35.1</c:v>
                </c:pt>
                <c:pt idx="306">
                  <c:v>29</c:v>
                </c:pt>
                <c:pt idx="307">
                  <c:v>40.6</c:v>
                </c:pt>
                <c:pt idx="308">
                  <c:v>87.6</c:v>
                </c:pt>
                <c:pt idx="309">
                  <c:v>71</c:v>
                </c:pt>
                <c:pt idx="310">
                  <c:v>59.3</c:v>
                </c:pt>
                <c:pt idx="311">
                  <c:v>63.6</c:v>
                </c:pt>
                <c:pt idx="312">
                  <c:v>85</c:v>
                </c:pt>
                <c:pt idx="313">
                  <c:v>77.599999999999994</c:v>
                </c:pt>
                <c:pt idx="314">
                  <c:v>89.1</c:v>
                </c:pt>
                <c:pt idx="315">
                  <c:v>85.9</c:v>
                </c:pt>
                <c:pt idx="316">
                  <c:v>88</c:v>
                </c:pt>
                <c:pt idx="317">
                  <c:v>85.2</c:v>
                </c:pt>
                <c:pt idx="318">
                  <c:v>72.3</c:v>
                </c:pt>
                <c:pt idx="319">
                  <c:v>78.099999999999994</c:v>
                </c:pt>
                <c:pt idx="320">
                  <c:v>78.7</c:v>
                </c:pt>
                <c:pt idx="321">
                  <c:v>81.099999999999994</c:v>
                </c:pt>
                <c:pt idx="322">
                  <c:v>91</c:v>
                </c:pt>
                <c:pt idx="323">
                  <c:v>69.900000000000006</c:v>
                </c:pt>
                <c:pt idx="324">
                  <c:v>74.900000000000006</c:v>
                </c:pt>
                <c:pt idx="325">
                  <c:v>60.9</c:v>
                </c:pt>
                <c:pt idx="326">
                  <c:v>88.5</c:v>
                </c:pt>
                <c:pt idx="327">
                  <c:v>84.7</c:v>
                </c:pt>
                <c:pt idx="328">
                  <c:v>89.4</c:v>
                </c:pt>
                <c:pt idx="329">
                  <c:v>86.5</c:v>
                </c:pt>
                <c:pt idx="330">
                  <c:v>63.7</c:v>
                </c:pt>
                <c:pt idx="331">
                  <c:v>69.099999999999994</c:v>
                </c:pt>
                <c:pt idx="332">
                  <c:v>64.8</c:v>
                </c:pt>
                <c:pt idx="333">
                  <c:v>77.5</c:v>
                </c:pt>
                <c:pt idx="334">
                  <c:v>83.7</c:v>
                </c:pt>
                <c:pt idx="335">
                  <c:v>46.8</c:v>
                </c:pt>
                <c:pt idx="336">
                  <c:v>36.9</c:v>
                </c:pt>
                <c:pt idx="337">
                  <c:v>37.799999999999997</c:v>
                </c:pt>
                <c:pt idx="338">
                  <c:v>20.6</c:v>
                </c:pt>
                <c:pt idx="339">
                  <c:v>29.3</c:v>
                </c:pt>
                <c:pt idx="340">
                  <c:v>43.9</c:v>
                </c:pt>
                <c:pt idx="341">
                  <c:v>71.7</c:v>
                </c:pt>
                <c:pt idx="342">
                  <c:v>91.9</c:v>
                </c:pt>
                <c:pt idx="343">
                  <c:v>84</c:v>
                </c:pt>
                <c:pt idx="344">
                  <c:v>89</c:v>
                </c:pt>
                <c:pt idx="345">
                  <c:v>88.8</c:v>
                </c:pt>
                <c:pt idx="346">
                  <c:v>87.6</c:v>
                </c:pt>
                <c:pt idx="347">
                  <c:v>87.5</c:v>
                </c:pt>
                <c:pt idx="348">
                  <c:v>89.7</c:v>
                </c:pt>
                <c:pt idx="349">
                  <c:v>88.4</c:v>
                </c:pt>
                <c:pt idx="350">
                  <c:v>90.5</c:v>
                </c:pt>
                <c:pt idx="351">
                  <c:v>89.3</c:v>
                </c:pt>
                <c:pt idx="352">
                  <c:v>90.3</c:v>
                </c:pt>
                <c:pt idx="353">
                  <c:v>86.5</c:v>
                </c:pt>
                <c:pt idx="354">
                  <c:v>68.400000000000006</c:v>
                </c:pt>
                <c:pt idx="355">
                  <c:v>78.7</c:v>
                </c:pt>
                <c:pt idx="356">
                  <c:v>86.2</c:v>
                </c:pt>
                <c:pt idx="357">
                  <c:v>85.4</c:v>
                </c:pt>
                <c:pt idx="358">
                  <c:v>55.9</c:v>
                </c:pt>
                <c:pt idx="359">
                  <c:v>63.6</c:v>
                </c:pt>
                <c:pt idx="360">
                  <c:v>89.6</c:v>
                </c:pt>
                <c:pt idx="361">
                  <c:v>79</c:v>
                </c:pt>
                <c:pt idx="362">
                  <c:v>86.5</c:v>
                </c:pt>
                <c:pt idx="363">
                  <c:v>53.5</c:v>
                </c:pt>
                <c:pt idx="364">
                  <c:v>85.3</c:v>
                </c:pt>
                <c:pt idx="365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27008"/>
        <c:axId val="236828544"/>
      </c:lineChart>
      <c:catAx>
        <c:axId val="2368270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8285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828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827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Data!$BC$6:$BC$371</c:f>
              <c:numCache>
                <c:formatCode>0.000</c:formatCode>
                <c:ptCount val="366"/>
                <c:pt idx="0">
                  <c:v>0.95348837209302317</c:v>
                </c:pt>
                <c:pt idx="1">
                  <c:v>0.95172413793103439</c:v>
                </c:pt>
                <c:pt idx="2">
                  <c:v>0.95</c:v>
                </c:pt>
                <c:pt idx="3">
                  <c:v>0.89723320158102771</c:v>
                </c:pt>
                <c:pt idx="4">
                  <c:v>0.73988439306358389</c:v>
                </c:pt>
                <c:pt idx="5">
                  <c:v>0.94594594594594594</c:v>
                </c:pt>
                <c:pt idx="6">
                  <c:v>0.95419847328244267</c:v>
                </c:pt>
                <c:pt idx="7">
                  <c:v>0.95041322314049581</c:v>
                </c:pt>
                <c:pt idx="8">
                  <c:v>0.95039164490861616</c:v>
                </c:pt>
                <c:pt idx="9">
                  <c:v>0.95</c:v>
                </c:pt>
                <c:pt idx="10">
                  <c:v>0.95161290322580638</c:v>
                </c:pt>
                <c:pt idx="11">
                  <c:v>0.94545454545454544</c:v>
                </c:pt>
                <c:pt idx="12">
                  <c:v>0.950207468879668</c:v>
                </c:pt>
                <c:pt idx="13">
                  <c:v>0.95000000000000007</c:v>
                </c:pt>
                <c:pt idx="14">
                  <c:v>0.95217391304347831</c:v>
                </c:pt>
                <c:pt idx="15">
                  <c:v>0.94968553459119498</c:v>
                </c:pt>
                <c:pt idx="16">
                  <c:v>0.94959677419354838</c:v>
                </c:pt>
                <c:pt idx="17">
                  <c:v>0.95081967213114749</c:v>
                </c:pt>
                <c:pt idx="18">
                  <c:v>0.94880546075085315</c:v>
                </c:pt>
                <c:pt idx="19">
                  <c:v>0.94907407407407396</c:v>
                </c:pt>
                <c:pt idx="20">
                  <c:v>0.94972067039106145</c:v>
                </c:pt>
                <c:pt idx="21">
                  <c:v>0.94915254237288149</c:v>
                </c:pt>
                <c:pt idx="22">
                  <c:v>0.94927536231884069</c:v>
                </c:pt>
                <c:pt idx="23">
                  <c:v>0.9346733668341709</c:v>
                </c:pt>
                <c:pt idx="24">
                  <c:v>0.94607843137254899</c:v>
                </c:pt>
                <c:pt idx="25">
                  <c:v>0.95145631067961167</c:v>
                </c:pt>
                <c:pt idx="26">
                  <c:v>0.93821510297482824</c:v>
                </c:pt>
                <c:pt idx="27">
                  <c:v>0.8044280442804429</c:v>
                </c:pt>
                <c:pt idx="28">
                  <c:v>0.95384615384615379</c:v>
                </c:pt>
                <c:pt idx="29">
                  <c:v>0.94921875</c:v>
                </c:pt>
                <c:pt idx="30">
                  <c:v>0.92070484581497791</c:v>
                </c:pt>
                <c:pt idx="31">
                  <c:v>0.86376021798365121</c:v>
                </c:pt>
                <c:pt idx="32">
                  <c:v>0.75940860215053763</c:v>
                </c:pt>
                <c:pt idx="33">
                  <c:v>0.93922651933701651</c:v>
                </c:pt>
                <c:pt idx="34">
                  <c:v>0.88271604938271597</c:v>
                </c:pt>
                <c:pt idx="35">
                  <c:v>0.91999999999999993</c:v>
                </c:pt>
                <c:pt idx="36">
                  <c:v>0.94805194805194803</c:v>
                </c:pt>
                <c:pt idx="37">
                  <c:v>0.95024875621890559</c:v>
                </c:pt>
                <c:pt idx="38">
                  <c:v>0.95283018867924518</c:v>
                </c:pt>
                <c:pt idx="39">
                  <c:v>0.95024875621890559</c:v>
                </c:pt>
                <c:pt idx="40">
                  <c:v>0.95059288537549402</c:v>
                </c:pt>
                <c:pt idx="41">
                  <c:v>0.90959409594095941</c:v>
                </c:pt>
                <c:pt idx="42">
                  <c:v>0.95232558139534884</c:v>
                </c:pt>
                <c:pt idx="43">
                  <c:v>0.82783882783882778</c:v>
                </c:pt>
                <c:pt idx="44">
                  <c:v>0.85146804835924006</c:v>
                </c:pt>
                <c:pt idx="45">
                  <c:v>0.85813148788927329</c:v>
                </c:pt>
                <c:pt idx="46">
                  <c:v>0.94907407407407396</c:v>
                </c:pt>
                <c:pt idx="47">
                  <c:v>0.95</c:v>
                </c:pt>
                <c:pt idx="48">
                  <c:v>0.94981179422835638</c:v>
                </c:pt>
                <c:pt idx="49">
                  <c:v>0.95166163141993954</c:v>
                </c:pt>
                <c:pt idx="50">
                  <c:v>0.89335827876520124</c:v>
                </c:pt>
                <c:pt idx="51">
                  <c:v>0.87592788971367974</c:v>
                </c:pt>
                <c:pt idx="52">
                  <c:v>0.88818565400843874</c:v>
                </c:pt>
                <c:pt idx="53">
                  <c:v>0.87472035794183456</c:v>
                </c:pt>
                <c:pt idx="54">
                  <c:v>0.94988610478359914</c:v>
                </c:pt>
                <c:pt idx="55">
                  <c:v>0.94953271028037389</c:v>
                </c:pt>
                <c:pt idx="56">
                  <c:v>0.95809523809523811</c:v>
                </c:pt>
                <c:pt idx="57">
                  <c:v>0.8556005398110661</c:v>
                </c:pt>
                <c:pt idx="58">
                  <c:v>0.86137281292059231</c:v>
                </c:pt>
                <c:pt idx="59">
                  <c:v>0.82585278276481133</c:v>
                </c:pt>
                <c:pt idx="60">
                  <c:v>0.95127353266888159</c:v>
                </c:pt>
                <c:pt idx="61">
                  <c:v>0.88180764774044029</c:v>
                </c:pt>
                <c:pt idx="62">
                  <c:v>0.88222698072805139</c:v>
                </c:pt>
                <c:pt idx="63">
                  <c:v>0.85247747747747749</c:v>
                </c:pt>
                <c:pt idx="64">
                  <c:v>0.86105476673427994</c:v>
                </c:pt>
                <c:pt idx="65">
                  <c:v>0.83333333333333337</c:v>
                </c:pt>
                <c:pt idx="66">
                  <c:v>0.95031847133757963</c:v>
                </c:pt>
                <c:pt idx="67">
                  <c:v>0.92307692307692291</c:v>
                </c:pt>
                <c:pt idx="68">
                  <c:v>0.94873646209386286</c:v>
                </c:pt>
                <c:pt idx="69">
                  <c:v>0.92134831460674149</c:v>
                </c:pt>
                <c:pt idx="70">
                  <c:v>0.88005050505050497</c:v>
                </c:pt>
                <c:pt idx="71">
                  <c:v>0.94986807387862793</c:v>
                </c:pt>
                <c:pt idx="72">
                  <c:v>0.9155844155844155</c:v>
                </c:pt>
                <c:pt idx="73">
                  <c:v>0.92640294388224476</c:v>
                </c:pt>
                <c:pt idx="74">
                  <c:v>0.94318181818181823</c:v>
                </c:pt>
                <c:pt idx="75">
                  <c:v>0.94674922600619194</c:v>
                </c:pt>
                <c:pt idx="76">
                  <c:v>0.9014598540145986</c:v>
                </c:pt>
                <c:pt idx="77">
                  <c:v>0.9059987631416202</c:v>
                </c:pt>
                <c:pt idx="78">
                  <c:v>0.88614800759013279</c:v>
                </c:pt>
                <c:pt idx="79">
                  <c:v>0.87454323995127881</c:v>
                </c:pt>
                <c:pt idx="80">
                  <c:v>0.86273329319686942</c:v>
                </c:pt>
                <c:pt idx="81">
                  <c:v>0.77397910731244068</c:v>
                </c:pt>
                <c:pt idx="82">
                  <c:v>0.8678057553956835</c:v>
                </c:pt>
                <c:pt idx="83">
                  <c:v>0.85124999999999995</c:v>
                </c:pt>
                <c:pt idx="84">
                  <c:v>0.9152354570637119</c:v>
                </c:pt>
                <c:pt idx="85">
                  <c:v>0.824438202247191</c:v>
                </c:pt>
                <c:pt idx="86">
                  <c:v>0.80609418282548484</c:v>
                </c:pt>
                <c:pt idx="87">
                  <c:v>0.81572481572481559</c:v>
                </c:pt>
                <c:pt idx="88">
                  <c:v>0.87868284228769511</c:v>
                </c:pt>
                <c:pt idx="89">
                  <c:v>0.91336898395721922</c:v>
                </c:pt>
                <c:pt idx="90">
                  <c:v>0.89203539823008848</c:v>
                </c:pt>
                <c:pt idx="91">
                  <c:v>0.90776152980877389</c:v>
                </c:pt>
                <c:pt idx="92">
                  <c:v>0.87794299876084259</c:v>
                </c:pt>
                <c:pt idx="93">
                  <c:v>0.89771490750816108</c:v>
                </c:pt>
                <c:pt idx="94">
                  <c:v>0.84409136047666333</c:v>
                </c:pt>
                <c:pt idx="95">
                  <c:v>0.8131370328425821</c:v>
                </c:pt>
                <c:pt idx="96">
                  <c:v>0.92230296254890998</c:v>
                </c:pt>
                <c:pt idx="97">
                  <c:v>0.84409448818897626</c:v>
                </c:pt>
                <c:pt idx="98">
                  <c:v>0.80859989512323016</c:v>
                </c:pt>
                <c:pt idx="99">
                  <c:v>0.77548005908419504</c:v>
                </c:pt>
                <c:pt idx="100">
                  <c:v>0.72093023255813948</c:v>
                </c:pt>
                <c:pt idx="101">
                  <c:v>0.94475920679886694</c:v>
                </c:pt>
                <c:pt idx="102">
                  <c:v>0.87476370510396984</c:v>
                </c:pt>
                <c:pt idx="103">
                  <c:v>0.82488479262672798</c:v>
                </c:pt>
                <c:pt idx="104">
                  <c:v>0.80422264875239935</c:v>
                </c:pt>
                <c:pt idx="105">
                  <c:v>0.88865210442194997</c:v>
                </c:pt>
                <c:pt idx="106">
                  <c:v>0.77935130196436719</c:v>
                </c:pt>
                <c:pt idx="107">
                  <c:v>0.68138337012509198</c:v>
                </c:pt>
                <c:pt idx="108">
                  <c:v>0.72178157413056743</c:v>
                </c:pt>
                <c:pt idx="109">
                  <c:v>0.66713384723195512</c:v>
                </c:pt>
                <c:pt idx="110">
                  <c:v>0.67096774193548392</c:v>
                </c:pt>
                <c:pt idx="111">
                  <c:v>0.69095816464237514</c:v>
                </c:pt>
                <c:pt idx="112">
                  <c:v>0.62499999999999989</c:v>
                </c:pt>
                <c:pt idx="113">
                  <c:v>0.81529850746268651</c:v>
                </c:pt>
                <c:pt idx="114">
                  <c:v>0.66207309766327138</c:v>
                </c:pt>
                <c:pt idx="115">
                  <c:v>0.66261398176291797</c:v>
                </c:pt>
                <c:pt idx="116">
                  <c:v>0.61150234741784038</c:v>
                </c:pt>
                <c:pt idx="117">
                  <c:v>0.67458970005659302</c:v>
                </c:pt>
                <c:pt idx="118">
                  <c:v>0.61533505154639179</c:v>
                </c:pt>
                <c:pt idx="119">
                  <c:v>0.59610027855153214</c:v>
                </c:pt>
                <c:pt idx="120">
                  <c:v>0.64135407136322053</c:v>
                </c:pt>
                <c:pt idx="121">
                  <c:v>0.59638213680045227</c:v>
                </c:pt>
                <c:pt idx="122">
                  <c:v>0.61644782308223911</c:v>
                </c:pt>
                <c:pt idx="123">
                  <c:v>0.85335689045936391</c:v>
                </c:pt>
                <c:pt idx="124">
                  <c:v>0.68053749458170776</c:v>
                </c:pt>
                <c:pt idx="125">
                  <c:v>0.61435278336686783</c:v>
                </c:pt>
                <c:pt idx="126">
                  <c:v>0.94925373134328361</c:v>
                </c:pt>
                <c:pt idx="127">
                  <c:v>0.78931140801644395</c:v>
                </c:pt>
                <c:pt idx="128">
                  <c:v>0.67695390781563125</c:v>
                </c:pt>
                <c:pt idx="129">
                  <c:v>0.60815047021943569</c:v>
                </c:pt>
                <c:pt idx="130">
                  <c:v>0.57443946188340811</c:v>
                </c:pt>
                <c:pt idx="131">
                  <c:v>0.56946902654867249</c:v>
                </c:pt>
                <c:pt idx="132">
                  <c:v>0.5545977011494253</c:v>
                </c:pt>
                <c:pt idx="133">
                  <c:v>0.58057851239669422</c:v>
                </c:pt>
                <c:pt idx="134">
                  <c:v>0.5612728503723764</c:v>
                </c:pt>
                <c:pt idx="135">
                  <c:v>0.57744107744107742</c:v>
                </c:pt>
                <c:pt idx="136">
                  <c:v>0.5509977827050998</c:v>
                </c:pt>
                <c:pt idx="137">
                  <c:v>0.50789793438639119</c:v>
                </c:pt>
                <c:pt idx="138">
                  <c:v>0.5122873345935729</c:v>
                </c:pt>
                <c:pt idx="139">
                  <c:v>0.55876968143537165</c:v>
                </c:pt>
                <c:pt idx="140">
                  <c:v>0.51280558789289876</c:v>
                </c:pt>
                <c:pt idx="141">
                  <c:v>0.6103395061728395</c:v>
                </c:pt>
                <c:pt idx="142">
                  <c:v>0.87739463601532575</c:v>
                </c:pt>
                <c:pt idx="143">
                  <c:v>0.75936599423631113</c:v>
                </c:pt>
                <c:pt idx="144">
                  <c:v>0.61865482233502533</c:v>
                </c:pt>
                <c:pt idx="145">
                  <c:v>0.61058344640434192</c:v>
                </c:pt>
                <c:pt idx="146">
                  <c:v>0.564129856306546</c:v>
                </c:pt>
                <c:pt idx="147">
                  <c:v>0.54157931516422075</c:v>
                </c:pt>
                <c:pt idx="148">
                  <c:v>0.48717948717948717</c:v>
                </c:pt>
                <c:pt idx="149">
                  <c:v>0.49114260407440213</c:v>
                </c:pt>
                <c:pt idx="150">
                  <c:v>0.46619217081850534</c:v>
                </c:pt>
                <c:pt idx="151">
                  <c:v>0.43617021276595747</c:v>
                </c:pt>
                <c:pt idx="152">
                  <c:v>0.40118667275216791</c:v>
                </c:pt>
                <c:pt idx="153">
                  <c:v>0.29194427619624469</c:v>
                </c:pt>
                <c:pt idx="154">
                  <c:v>0.24228896103896103</c:v>
                </c:pt>
                <c:pt idx="155">
                  <c:v>0.19450317124735728</c:v>
                </c:pt>
                <c:pt idx="156">
                  <c:v>0.16374269005847952</c:v>
                </c:pt>
                <c:pt idx="157">
                  <c:v>0.24125514403292181</c:v>
                </c:pt>
                <c:pt idx="158">
                  <c:v>0.14111498257839722</c:v>
                </c:pt>
                <c:pt idx="159">
                  <c:v>0.14387211367673181</c:v>
                </c:pt>
                <c:pt idx="160">
                  <c:v>0.1244309559939302</c:v>
                </c:pt>
                <c:pt idx="161">
                  <c:v>0.134107027724049</c:v>
                </c:pt>
                <c:pt idx="162">
                  <c:v>0.12424849699398798</c:v>
                </c:pt>
                <c:pt idx="163">
                  <c:v>0.12617114303560273</c:v>
                </c:pt>
                <c:pt idx="164">
                  <c:v>0.22302158273381298</c:v>
                </c:pt>
                <c:pt idx="165">
                  <c:v>0.43622448979591838</c:v>
                </c:pt>
                <c:pt idx="166">
                  <c:v>0.15134255492270141</c:v>
                </c:pt>
                <c:pt idx="167">
                  <c:v>0.14072847682119202</c:v>
                </c:pt>
                <c:pt idx="168">
                  <c:v>0.13786929274843332</c:v>
                </c:pt>
                <c:pt idx="169">
                  <c:v>0.14291086874764949</c:v>
                </c:pt>
                <c:pt idx="170">
                  <c:v>0.14027849406910781</c:v>
                </c:pt>
                <c:pt idx="171">
                  <c:v>0.14093959731543623</c:v>
                </c:pt>
                <c:pt idx="172">
                  <c:v>0.15113954418232706</c:v>
                </c:pt>
                <c:pt idx="173">
                  <c:v>0.14804003336113428</c:v>
                </c:pt>
                <c:pt idx="174">
                  <c:v>0.15393794749403339</c:v>
                </c:pt>
                <c:pt idx="175">
                  <c:v>0.14923291492329149</c:v>
                </c:pt>
                <c:pt idx="176">
                  <c:v>0.1613603473227207</c:v>
                </c:pt>
                <c:pt idx="177">
                  <c:v>0.15936739659367397</c:v>
                </c:pt>
                <c:pt idx="178">
                  <c:v>0.16380655226209048</c:v>
                </c:pt>
                <c:pt idx="179">
                  <c:v>0.16978922716627637</c:v>
                </c:pt>
                <c:pt idx="180">
                  <c:v>0.16791885800150261</c:v>
                </c:pt>
                <c:pt idx="181">
                  <c:v>0.15390813859790492</c:v>
                </c:pt>
                <c:pt idx="182">
                  <c:v>0.1558974358974359</c:v>
                </c:pt>
                <c:pt idx="183">
                  <c:v>0.16589250165892502</c:v>
                </c:pt>
                <c:pt idx="184">
                  <c:v>0.16953824948311511</c:v>
                </c:pt>
                <c:pt idx="185">
                  <c:v>0.18218460298266828</c:v>
                </c:pt>
                <c:pt idx="186">
                  <c:v>0.18288590604026847</c:v>
                </c:pt>
                <c:pt idx="187">
                  <c:v>0.18417874396135267</c:v>
                </c:pt>
                <c:pt idx="188">
                  <c:v>0.19406150583244963</c:v>
                </c:pt>
                <c:pt idx="189">
                  <c:v>0.18522542096686584</c:v>
                </c:pt>
                <c:pt idx="190">
                  <c:v>0.18109452736318407</c:v>
                </c:pt>
                <c:pt idx="191">
                  <c:v>0.19283502874834146</c:v>
                </c:pt>
                <c:pt idx="192">
                  <c:v>0.18530150753768845</c:v>
                </c:pt>
                <c:pt idx="193">
                  <c:v>0.19149929939280708</c:v>
                </c:pt>
                <c:pt idx="194">
                  <c:v>0.20153061224489796</c:v>
                </c:pt>
                <c:pt idx="195">
                  <c:v>0.19146390107698444</c:v>
                </c:pt>
                <c:pt idx="196">
                  <c:v>0.18936446173800259</c:v>
                </c:pt>
                <c:pt idx="197">
                  <c:v>0.1962809917355372</c:v>
                </c:pt>
                <c:pt idx="198">
                  <c:v>0.21028938906752412</c:v>
                </c:pt>
                <c:pt idx="199">
                  <c:v>0.1955375253549696</c:v>
                </c:pt>
                <c:pt idx="200">
                  <c:v>0.20710059171597633</c:v>
                </c:pt>
                <c:pt idx="201">
                  <c:v>0.20436875231395776</c:v>
                </c:pt>
                <c:pt idx="202">
                  <c:v>0.20833333333333337</c:v>
                </c:pt>
                <c:pt idx="203">
                  <c:v>0.20297029702970298</c:v>
                </c:pt>
                <c:pt idx="204">
                  <c:v>0.21965065502183409</c:v>
                </c:pt>
                <c:pt idx="205">
                  <c:v>0.21728971962616822</c:v>
                </c:pt>
                <c:pt idx="206">
                  <c:v>0.21009651076466221</c:v>
                </c:pt>
                <c:pt idx="207">
                  <c:v>0.20958539368581208</c:v>
                </c:pt>
                <c:pt idx="208">
                  <c:v>0.20990023023791252</c:v>
                </c:pt>
                <c:pt idx="209">
                  <c:v>0.20588235294117649</c:v>
                </c:pt>
                <c:pt idx="210">
                  <c:v>0.21149425287356319</c:v>
                </c:pt>
                <c:pt idx="211">
                  <c:v>0.20928371348539418</c:v>
                </c:pt>
                <c:pt idx="212">
                  <c:v>0.21242373821408761</c:v>
                </c:pt>
                <c:pt idx="213">
                  <c:v>0.20606060606060606</c:v>
                </c:pt>
                <c:pt idx="214">
                  <c:v>0.20562681009515926</c:v>
                </c:pt>
                <c:pt idx="215">
                  <c:v>0.2124789207419899</c:v>
                </c:pt>
                <c:pt idx="216">
                  <c:v>0.21</c:v>
                </c:pt>
                <c:pt idx="217">
                  <c:v>0.20812807881773401</c:v>
                </c:pt>
                <c:pt idx="218">
                  <c:v>0.19836214740673341</c:v>
                </c:pt>
                <c:pt idx="219">
                  <c:v>0.20132610006027726</c:v>
                </c:pt>
                <c:pt idx="220">
                  <c:v>0.21060842433697347</c:v>
                </c:pt>
                <c:pt idx="221">
                  <c:v>0.20407297411964359</c:v>
                </c:pt>
                <c:pt idx="222">
                  <c:v>0.20935290918977706</c:v>
                </c:pt>
                <c:pt idx="223">
                  <c:v>0.19774011299435029</c:v>
                </c:pt>
                <c:pt idx="224">
                  <c:v>0.20560747663551404</c:v>
                </c:pt>
                <c:pt idx="225">
                  <c:v>0.2077035592393954</c:v>
                </c:pt>
                <c:pt idx="226">
                  <c:v>0.20270270270270271</c:v>
                </c:pt>
                <c:pt idx="227">
                  <c:v>0.20410783055198969</c:v>
                </c:pt>
                <c:pt idx="228">
                  <c:v>0.19562243502051985</c:v>
                </c:pt>
                <c:pt idx="229">
                  <c:v>0.19525547445255473</c:v>
                </c:pt>
                <c:pt idx="230">
                  <c:v>0.19836586472991374</c:v>
                </c:pt>
                <c:pt idx="231">
                  <c:v>0.18717201166180758</c:v>
                </c:pt>
                <c:pt idx="232">
                  <c:v>0.20719424460431654</c:v>
                </c:pt>
                <c:pt idx="233">
                  <c:v>0.19380530973451326</c:v>
                </c:pt>
                <c:pt idx="234">
                  <c:v>0.19685039370078741</c:v>
                </c:pt>
                <c:pt idx="235">
                  <c:v>0.19803006739243131</c:v>
                </c:pt>
                <c:pt idx="236">
                  <c:v>0.2120300751879699</c:v>
                </c:pt>
                <c:pt idx="237">
                  <c:v>0.19806094182825484</c:v>
                </c:pt>
                <c:pt idx="238">
                  <c:v>0.19416058394160585</c:v>
                </c:pt>
                <c:pt idx="239">
                  <c:v>0.1959869342043864</c:v>
                </c:pt>
                <c:pt idx="240">
                  <c:v>0.19574468085106383</c:v>
                </c:pt>
                <c:pt idx="241">
                  <c:v>0.20898716119828817</c:v>
                </c:pt>
                <c:pt idx="242">
                  <c:v>0.18344252531268615</c:v>
                </c:pt>
                <c:pt idx="243">
                  <c:v>0.19247311827956989</c:v>
                </c:pt>
                <c:pt idx="244">
                  <c:v>0.19100529100529101</c:v>
                </c:pt>
                <c:pt idx="245">
                  <c:v>0.19932810750279956</c:v>
                </c:pt>
                <c:pt idx="246">
                  <c:v>0.19112455874936965</c:v>
                </c:pt>
                <c:pt idx="247">
                  <c:v>0.18895966029723993</c:v>
                </c:pt>
                <c:pt idx="248">
                  <c:v>0.18916046758767269</c:v>
                </c:pt>
                <c:pt idx="249">
                  <c:v>0.18492407809110628</c:v>
                </c:pt>
                <c:pt idx="250">
                  <c:v>0.20381328073635765</c:v>
                </c:pt>
                <c:pt idx="251">
                  <c:v>0.18669527896995708</c:v>
                </c:pt>
                <c:pt idx="252">
                  <c:v>0.18780096308186192</c:v>
                </c:pt>
                <c:pt idx="253">
                  <c:v>0.18834322719913654</c:v>
                </c:pt>
                <c:pt idx="254">
                  <c:v>0.18643132928847214</c:v>
                </c:pt>
                <c:pt idx="255">
                  <c:v>0.18068535825545171</c:v>
                </c:pt>
                <c:pt idx="256">
                  <c:v>0.19842657342657344</c:v>
                </c:pt>
                <c:pt idx="257">
                  <c:v>0.1948488241881299</c:v>
                </c:pt>
                <c:pt idx="258">
                  <c:v>0.18530997304582211</c:v>
                </c:pt>
                <c:pt idx="259">
                  <c:v>0.19018867924528302</c:v>
                </c:pt>
                <c:pt idx="260">
                  <c:v>0.18991097922848665</c:v>
                </c:pt>
                <c:pt idx="261">
                  <c:v>0.18580765639589167</c:v>
                </c:pt>
                <c:pt idx="262">
                  <c:v>0.17385620915032679</c:v>
                </c:pt>
                <c:pt idx="263">
                  <c:v>0.18441196938065416</c:v>
                </c:pt>
                <c:pt idx="264">
                  <c:v>0.17664376840039256</c:v>
                </c:pt>
                <c:pt idx="265">
                  <c:v>0.18188854489164089</c:v>
                </c:pt>
                <c:pt idx="266">
                  <c:v>0.1727574750830565</c:v>
                </c:pt>
                <c:pt idx="267">
                  <c:v>0.15584415584415584</c:v>
                </c:pt>
                <c:pt idx="268">
                  <c:v>0.14705882352941177</c:v>
                </c:pt>
                <c:pt idx="269">
                  <c:v>0.16066838046272494</c:v>
                </c:pt>
                <c:pt idx="270">
                  <c:v>0.1569965870307167</c:v>
                </c:pt>
                <c:pt idx="271">
                  <c:v>0.16518163125428376</c:v>
                </c:pt>
                <c:pt idx="272">
                  <c:v>0.16408876933423</c:v>
                </c:pt>
                <c:pt idx="273">
                  <c:v>0.16525096525096528</c:v>
                </c:pt>
                <c:pt idx="274">
                  <c:v>0.16363636363636364</c:v>
                </c:pt>
                <c:pt idx="275">
                  <c:v>0.16379955123410622</c:v>
                </c:pt>
                <c:pt idx="276">
                  <c:v>0.16210045662100456</c:v>
                </c:pt>
                <c:pt idx="277">
                  <c:v>0.15517241379310348</c:v>
                </c:pt>
                <c:pt idx="278">
                  <c:v>0.1573720397249809</c:v>
                </c:pt>
                <c:pt idx="279">
                  <c:v>0.15741507870753935</c:v>
                </c:pt>
                <c:pt idx="280">
                  <c:v>0.15729483282674769</c:v>
                </c:pt>
                <c:pt idx="281">
                  <c:v>0.14285714285714285</c:v>
                </c:pt>
                <c:pt idx="282">
                  <c:v>0.13028169014084506</c:v>
                </c:pt>
                <c:pt idx="283">
                  <c:v>0.14070351758793972</c:v>
                </c:pt>
                <c:pt idx="284">
                  <c:v>0.13414634146341464</c:v>
                </c:pt>
                <c:pt idx="285">
                  <c:v>0.6044386422976501</c:v>
                </c:pt>
                <c:pt idx="286">
                  <c:v>0.68620689655172418</c:v>
                </c:pt>
                <c:pt idx="287">
                  <c:v>0.60312500000000002</c:v>
                </c:pt>
                <c:pt idx="288">
                  <c:v>0.63703703703703707</c:v>
                </c:pt>
                <c:pt idx="289">
                  <c:v>0.58865248226950351</c:v>
                </c:pt>
                <c:pt idx="290">
                  <c:v>0.95017793594306044</c:v>
                </c:pt>
                <c:pt idx="291">
                  <c:v>0.95049504950495045</c:v>
                </c:pt>
                <c:pt idx="292">
                  <c:v>0.57611940298507458</c:v>
                </c:pt>
                <c:pt idx="293">
                  <c:v>0.65227817745803363</c:v>
                </c:pt>
                <c:pt idx="294">
                  <c:v>0.95103092783505161</c:v>
                </c:pt>
                <c:pt idx="295">
                  <c:v>0.78947368421052633</c:v>
                </c:pt>
                <c:pt idx="296">
                  <c:v>0.77401129943502833</c:v>
                </c:pt>
                <c:pt idx="297">
                  <c:v>0.95013850415512469</c:v>
                </c:pt>
                <c:pt idx="298">
                  <c:v>0.92127303182579567</c:v>
                </c:pt>
                <c:pt idx="299">
                  <c:v>0.72117962466487939</c:v>
                </c:pt>
                <c:pt idx="300">
                  <c:v>0.62553802008608328</c:v>
                </c:pt>
                <c:pt idx="301">
                  <c:v>0.62340425531914889</c:v>
                </c:pt>
                <c:pt idx="302">
                  <c:v>0.56716417910447758</c:v>
                </c:pt>
                <c:pt idx="303">
                  <c:v>0.52254641909814326</c:v>
                </c:pt>
                <c:pt idx="304">
                  <c:v>0.514324693042292</c:v>
                </c:pt>
                <c:pt idx="305">
                  <c:v>0.48095238095238091</c:v>
                </c:pt>
                <c:pt idx="306">
                  <c:v>0.44444444444444442</c:v>
                </c:pt>
                <c:pt idx="307">
                  <c:v>0.55319148936170215</c:v>
                </c:pt>
                <c:pt idx="308">
                  <c:v>0.50453172205438068</c:v>
                </c:pt>
                <c:pt idx="309">
                  <c:v>0.65579710144927539</c:v>
                </c:pt>
                <c:pt idx="310">
                  <c:v>0.54172989377845215</c:v>
                </c:pt>
                <c:pt idx="311">
                  <c:v>0.60927152317880795</c:v>
                </c:pt>
                <c:pt idx="312">
                  <c:v>0.56639566395663954</c:v>
                </c:pt>
                <c:pt idx="313">
                  <c:v>0.51861042183622819</c:v>
                </c:pt>
                <c:pt idx="314">
                  <c:v>0.94736842105263153</c:v>
                </c:pt>
                <c:pt idx="315">
                  <c:v>0.94886363636363635</c:v>
                </c:pt>
                <c:pt idx="316">
                  <c:v>0.95180722891566272</c:v>
                </c:pt>
                <c:pt idx="317">
                  <c:v>0.94117647058823528</c:v>
                </c:pt>
                <c:pt idx="318">
                  <c:v>0.75505050505050508</c:v>
                </c:pt>
                <c:pt idx="319">
                  <c:v>0.77667984189723327</c:v>
                </c:pt>
                <c:pt idx="320">
                  <c:v>0.70779220779220786</c:v>
                </c:pt>
                <c:pt idx="321">
                  <c:v>0.71863117870722437</c:v>
                </c:pt>
                <c:pt idx="322">
                  <c:v>0.74999999999999989</c:v>
                </c:pt>
                <c:pt idx="323">
                  <c:v>0.94972067039106145</c:v>
                </c:pt>
                <c:pt idx="324">
                  <c:v>0.94610778443113785</c:v>
                </c:pt>
                <c:pt idx="325">
                  <c:v>0.81034482758620696</c:v>
                </c:pt>
                <c:pt idx="326">
                  <c:v>0.65771812080536907</c:v>
                </c:pt>
                <c:pt idx="327">
                  <c:v>0.85897435897435903</c:v>
                </c:pt>
                <c:pt idx="328">
                  <c:v>0.93333333333333324</c:v>
                </c:pt>
                <c:pt idx="329">
                  <c:v>0.9487179487179489</c:v>
                </c:pt>
                <c:pt idx="330">
                  <c:v>0.85303514376996803</c:v>
                </c:pt>
                <c:pt idx="331">
                  <c:v>0.62931034482758619</c:v>
                </c:pt>
                <c:pt idx="332">
                  <c:v>0.7109375</c:v>
                </c:pt>
                <c:pt idx="333">
                  <c:v>0.66522678185745143</c:v>
                </c:pt>
                <c:pt idx="334">
                  <c:v>0.92035398230088505</c:v>
                </c:pt>
                <c:pt idx="335">
                  <c:v>0.57593688362919127</c:v>
                </c:pt>
                <c:pt idx="336">
                  <c:v>0.56399999999999995</c:v>
                </c:pt>
                <c:pt idx="337">
                  <c:v>0.52894736842105261</c:v>
                </c:pt>
                <c:pt idx="338">
                  <c:v>0.55400000000000005</c:v>
                </c:pt>
                <c:pt idx="339">
                  <c:v>0.57627118644067798</c:v>
                </c:pt>
                <c:pt idx="340">
                  <c:v>0.62500000000000011</c:v>
                </c:pt>
                <c:pt idx="341">
                  <c:v>0.66871165644171793</c:v>
                </c:pt>
                <c:pt idx="342">
                  <c:v>0.66666666666666663</c:v>
                </c:pt>
                <c:pt idx="343">
                  <c:v>0.95149253731343275</c:v>
                </c:pt>
                <c:pt idx="344">
                  <c:v>0.94630872483221473</c:v>
                </c:pt>
                <c:pt idx="345">
                  <c:v>0.9505494505494505</c:v>
                </c:pt>
                <c:pt idx="346">
                  <c:v>0.9470899470899472</c:v>
                </c:pt>
                <c:pt idx="347">
                  <c:v>0.94690265486725678</c:v>
                </c:pt>
                <c:pt idx="348">
                  <c:v>0.94805194805194803</c:v>
                </c:pt>
                <c:pt idx="349">
                  <c:v>0.95035460992907816</c:v>
                </c:pt>
                <c:pt idx="350">
                  <c:v>0.94827586206896564</c:v>
                </c:pt>
                <c:pt idx="351">
                  <c:v>0.94791666666666674</c:v>
                </c:pt>
                <c:pt idx="352">
                  <c:v>0.94957983193277307</c:v>
                </c:pt>
                <c:pt idx="353">
                  <c:v>0.95061728395061729</c:v>
                </c:pt>
                <c:pt idx="354">
                  <c:v>0.94623655913978488</c:v>
                </c:pt>
                <c:pt idx="355">
                  <c:v>0.94871794871794868</c:v>
                </c:pt>
                <c:pt idx="356">
                  <c:v>0.94444444444444442</c:v>
                </c:pt>
                <c:pt idx="357">
                  <c:v>0.95</c:v>
                </c:pt>
                <c:pt idx="358">
                  <c:v>0.94861660079051391</c:v>
                </c:pt>
                <c:pt idx="359">
                  <c:v>0.94871794871794868</c:v>
                </c:pt>
                <c:pt idx="360">
                  <c:v>0.95061728395061729</c:v>
                </c:pt>
                <c:pt idx="361">
                  <c:v>0.950207468879668</c:v>
                </c:pt>
                <c:pt idx="362">
                  <c:v>0.95024875621890559</c:v>
                </c:pt>
                <c:pt idx="363">
                  <c:v>0.94936708860759489</c:v>
                </c:pt>
                <c:pt idx="364">
                  <c:v>0.94957983193277307</c:v>
                </c:pt>
                <c:pt idx="365">
                  <c:v>0.95121951219512202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39520"/>
        <c:axId val="236941312"/>
      </c:lineChart>
      <c:catAx>
        <c:axId val="2369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413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94131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39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6.673</c:v>
                </c:pt>
                <c:pt idx="1">
                  <c:v>6.4269999999999996</c:v>
                </c:pt>
                <c:pt idx="2">
                  <c:v>6.3620000000000001</c:v>
                </c:pt>
                <c:pt idx="3">
                  <c:v>7.3630000000000004</c:v>
                </c:pt>
                <c:pt idx="4">
                  <c:v>6.5810000000000004</c:v>
                </c:pt>
                <c:pt idx="5">
                  <c:v>3.3079999999999998</c:v>
                </c:pt>
                <c:pt idx="6">
                  <c:v>4.0170000000000003</c:v>
                </c:pt>
                <c:pt idx="7">
                  <c:v>4.5979999999999999</c:v>
                </c:pt>
                <c:pt idx="8">
                  <c:v>2.7240000000000002</c:v>
                </c:pt>
                <c:pt idx="9">
                  <c:v>4.1609999999999996</c:v>
                </c:pt>
                <c:pt idx="10">
                  <c:v>4.9390000000000001</c:v>
                </c:pt>
                <c:pt idx="11">
                  <c:v>4.42</c:v>
                </c:pt>
                <c:pt idx="12">
                  <c:v>4.2939999999999996</c:v>
                </c:pt>
                <c:pt idx="13">
                  <c:v>2.1949999999999998</c:v>
                </c:pt>
                <c:pt idx="14">
                  <c:v>5.7619999999999996</c:v>
                </c:pt>
                <c:pt idx="15">
                  <c:v>3.3929999999999998</c:v>
                </c:pt>
                <c:pt idx="16">
                  <c:v>2.4710000000000001</c:v>
                </c:pt>
                <c:pt idx="17">
                  <c:v>3.9489999999999998</c:v>
                </c:pt>
                <c:pt idx="18">
                  <c:v>3.3959999999999999</c:v>
                </c:pt>
                <c:pt idx="19">
                  <c:v>3.0819999999999999</c:v>
                </c:pt>
                <c:pt idx="20">
                  <c:v>3.13</c:v>
                </c:pt>
                <c:pt idx="21">
                  <c:v>2.8540000000000001</c:v>
                </c:pt>
                <c:pt idx="22">
                  <c:v>3.3079999999999998</c:v>
                </c:pt>
                <c:pt idx="23">
                  <c:v>3.5739999999999998</c:v>
                </c:pt>
                <c:pt idx="24">
                  <c:v>3.4609999999999999</c:v>
                </c:pt>
                <c:pt idx="25">
                  <c:v>4.1710000000000003</c:v>
                </c:pt>
                <c:pt idx="26">
                  <c:v>4.3319999999999999</c:v>
                </c:pt>
                <c:pt idx="27">
                  <c:v>3.8330000000000002</c:v>
                </c:pt>
                <c:pt idx="28">
                  <c:v>5.7480000000000002</c:v>
                </c:pt>
                <c:pt idx="29">
                  <c:v>5.0720000000000001</c:v>
                </c:pt>
                <c:pt idx="30">
                  <c:v>4.4820000000000002</c:v>
                </c:pt>
                <c:pt idx="31">
                  <c:v>8.8800000000000008</c:v>
                </c:pt>
                <c:pt idx="32">
                  <c:v>3.9049999999999998</c:v>
                </c:pt>
                <c:pt idx="33">
                  <c:v>3.1539999999999999</c:v>
                </c:pt>
                <c:pt idx="34">
                  <c:v>5.53</c:v>
                </c:pt>
                <c:pt idx="35">
                  <c:v>5.26</c:v>
                </c:pt>
                <c:pt idx="36">
                  <c:v>3.4540000000000002</c:v>
                </c:pt>
                <c:pt idx="37">
                  <c:v>4.1879999999999997</c:v>
                </c:pt>
                <c:pt idx="38">
                  <c:v>3.3140000000000001</c:v>
                </c:pt>
                <c:pt idx="39">
                  <c:v>4.1879999999999997</c:v>
                </c:pt>
                <c:pt idx="40">
                  <c:v>4.1100000000000003</c:v>
                </c:pt>
                <c:pt idx="41">
                  <c:v>6.82</c:v>
                </c:pt>
                <c:pt idx="42">
                  <c:v>3.1949999999999998</c:v>
                </c:pt>
                <c:pt idx="43">
                  <c:v>5.9560000000000004</c:v>
                </c:pt>
                <c:pt idx="44">
                  <c:v>5.3209999999999997</c:v>
                </c:pt>
                <c:pt idx="45">
                  <c:v>4.9969999999999999</c:v>
                </c:pt>
                <c:pt idx="46">
                  <c:v>5.024</c:v>
                </c:pt>
                <c:pt idx="47">
                  <c:v>4.9080000000000004</c:v>
                </c:pt>
                <c:pt idx="48">
                  <c:v>3.1640000000000001</c:v>
                </c:pt>
                <c:pt idx="49">
                  <c:v>3.4580000000000002</c:v>
                </c:pt>
                <c:pt idx="50">
                  <c:v>3.3889999999999998</c:v>
                </c:pt>
                <c:pt idx="51">
                  <c:v>3.2530000000000001</c:v>
                </c:pt>
                <c:pt idx="52">
                  <c:v>6.1269999999999998</c:v>
                </c:pt>
                <c:pt idx="53">
                  <c:v>5.0039999999999996</c:v>
                </c:pt>
                <c:pt idx="54">
                  <c:v>4.407</c:v>
                </c:pt>
                <c:pt idx="55">
                  <c:v>2.403</c:v>
                </c:pt>
                <c:pt idx="56">
                  <c:v>5.6459999999999999</c:v>
                </c:pt>
                <c:pt idx="57">
                  <c:v>5.2460000000000004</c:v>
                </c:pt>
                <c:pt idx="58">
                  <c:v>6.55</c:v>
                </c:pt>
                <c:pt idx="59">
                  <c:v>5.3380000000000001</c:v>
                </c:pt>
                <c:pt idx="60">
                  <c:v>5.3449999999999998</c:v>
                </c:pt>
                <c:pt idx="61">
                  <c:v>7.8639999999999999</c:v>
                </c:pt>
                <c:pt idx="62">
                  <c:v>8.92</c:v>
                </c:pt>
                <c:pt idx="63">
                  <c:v>8.9499999999999993</c:v>
                </c:pt>
                <c:pt idx="64">
                  <c:v>6.4580000000000002</c:v>
                </c:pt>
                <c:pt idx="65">
                  <c:v>2.6280000000000001</c:v>
                </c:pt>
                <c:pt idx="66">
                  <c:v>3.3719999999999999</c:v>
                </c:pt>
                <c:pt idx="67">
                  <c:v>3.8159999999999998</c:v>
                </c:pt>
                <c:pt idx="68">
                  <c:v>3.3079999999999998</c:v>
                </c:pt>
                <c:pt idx="69">
                  <c:v>4.6589999999999998</c:v>
                </c:pt>
                <c:pt idx="70">
                  <c:v>6.1639999999999997</c:v>
                </c:pt>
                <c:pt idx="71">
                  <c:v>3.6930000000000001</c:v>
                </c:pt>
                <c:pt idx="72">
                  <c:v>4.3659999999999997</c:v>
                </c:pt>
                <c:pt idx="73">
                  <c:v>5.0759999999999996</c:v>
                </c:pt>
                <c:pt idx="74">
                  <c:v>6.69</c:v>
                </c:pt>
                <c:pt idx="75">
                  <c:v>5.83</c:v>
                </c:pt>
                <c:pt idx="76">
                  <c:v>3.8639999999999999</c:v>
                </c:pt>
                <c:pt idx="77">
                  <c:v>3.7749999999999999</c:v>
                </c:pt>
                <c:pt idx="78">
                  <c:v>3.1909999999999998</c:v>
                </c:pt>
                <c:pt idx="79">
                  <c:v>3.895</c:v>
                </c:pt>
                <c:pt idx="80">
                  <c:v>4.4509999999999996</c:v>
                </c:pt>
                <c:pt idx="81">
                  <c:v>3.9319999999999999</c:v>
                </c:pt>
                <c:pt idx="82">
                  <c:v>3.8839999999999999</c:v>
                </c:pt>
                <c:pt idx="83">
                  <c:v>3.1640000000000001</c:v>
                </c:pt>
                <c:pt idx="84">
                  <c:v>4.2910000000000004</c:v>
                </c:pt>
                <c:pt idx="85">
                  <c:v>4.3449999999999998</c:v>
                </c:pt>
                <c:pt idx="86">
                  <c:v>5.1269999999999998</c:v>
                </c:pt>
                <c:pt idx="87">
                  <c:v>5.2220000000000004</c:v>
                </c:pt>
                <c:pt idx="88">
                  <c:v>4.97</c:v>
                </c:pt>
                <c:pt idx="89">
                  <c:v>6.2050000000000001</c:v>
                </c:pt>
                <c:pt idx="90">
                  <c:v>3.823</c:v>
                </c:pt>
                <c:pt idx="91">
                  <c:v>4.6870000000000003</c:v>
                </c:pt>
                <c:pt idx="92">
                  <c:v>5.12</c:v>
                </c:pt>
                <c:pt idx="93">
                  <c:v>5.3319999999999999</c:v>
                </c:pt>
                <c:pt idx="94">
                  <c:v>2.69</c:v>
                </c:pt>
                <c:pt idx="95">
                  <c:v>2.9289999999999998</c:v>
                </c:pt>
                <c:pt idx="96">
                  <c:v>5.0309999999999997</c:v>
                </c:pt>
                <c:pt idx="97">
                  <c:v>5.1849999999999996</c:v>
                </c:pt>
                <c:pt idx="98">
                  <c:v>3.5739999999999998</c:v>
                </c:pt>
                <c:pt idx="99">
                  <c:v>4.181</c:v>
                </c:pt>
                <c:pt idx="100">
                  <c:v>3.9660000000000002</c:v>
                </c:pt>
                <c:pt idx="101">
                  <c:v>4.2560000000000002</c:v>
                </c:pt>
                <c:pt idx="102">
                  <c:v>4.3419999999999996</c:v>
                </c:pt>
                <c:pt idx="103">
                  <c:v>5.274</c:v>
                </c:pt>
                <c:pt idx="104">
                  <c:v>4.3860000000000001</c:v>
                </c:pt>
                <c:pt idx="105">
                  <c:v>4.8840000000000003</c:v>
                </c:pt>
                <c:pt idx="106">
                  <c:v>3.3889999999999998</c:v>
                </c:pt>
                <c:pt idx="107">
                  <c:v>4.3280000000000003</c:v>
                </c:pt>
                <c:pt idx="108">
                  <c:v>3.1709999999999998</c:v>
                </c:pt>
                <c:pt idx="109">
                  <c:v>3.536</c:v>
                </c:pt>
                <c:pt idx="110">
                  <c:v>3.581</c:v>
                </c:pt>
                <c:pt idx="111">
                  <c:v>4.4749999999999996</c:v>
                </c:pt>
                <c:pt idx="112">
                  <c:v>3.5529999999999999</c:v>
                </c:pt>
                <c:pt idx="113">
                  <c:v>5.5880000000000001</c:v>
                </c:pt>
                <c:pt idx="114">
                  <c:v>3.4750000000000001</c:v>
                </c:pt>
                <c:pt idx="115">
                  <c:v>6.5259999999999998</c:v>
                </c:pt>
                <c:pt idx="116">
                  <c:v>5.4749999999999996</c:v>
                </c:pt>
                <c:pt idx="117">
                  <c:v>6.444</c:v>
                </c:pt>
                <c:pt idx="118">
                  <c:v>3.581</c:v>
                </c:pt>
                <c:pt idx="119">
                  <c:v>5.3209999999999997</c:v>
                </c:pt>
                <c:pt idx="120">
                  <c:v>4.9969999999999999</c:v>
                </c:pt>
                <c:pt idx="121">
                  <c:v>4.3109999999999999</c:v>
                </c:pt>
                <c:pt idx="122">
                  <c:v>5.734</c:v>
                </c:pt>
                <c:pt idx="123">
                  <c:v>4.9020000000000001</c:v>
                </c:pt>
                <c:pt idx="124">
                  <c:v>3.669</c:v>
                </c:pt>
                <c:pt idx="125">
                  <c:v>4.0110000000000001</c:v>
                </c:pt>
                <c:pt idx="126">
                  <c:v>6.5229999999999997</c:v>
                </c:pt>
                <c:pt idx="127">
                  <c:v>4.1029999999999998</c:v>
                </c:pt>
                <c:pt idx="128">
                  <c:v>4.1399999999999997</c:v>
                </c:pt>
                <c:pt idx="129">
                  <c:v>3.714</c:v>
                </c:pt>
                <c:pt idx="130">
                  <c:v>3.3519999999999999</c:v>
                </c:pt>
                <c:pt idx="131">
                  <c:v>2.9489999999999998</c:v>
                </c:pt>
                <c:pt idx="132">
                  <c:v>3.1779999999999999</c:v>
                </c:pt>
                <c:pt idx="133">
                  <c:v>4.2910000000000004</c:v>
                </c:pt>
                <c:pt idx="134">
                  <c:v>3.4470000000000001</c:v>
                </c:pt>
                <c:pt idx="135">
                  <c:v>2.6859999999999999</c:v>
                </c:pt>
                <c:pt idx="136">
                  <c:v>4.2629999999999999</c:v>
                </c:pt>
                <c:pt idx="137">
                  <c:v>4.2190000000000003</c:v>
                </c:pt>
                <c:pt idx="138">
                  <c:v>2.85</c:v>
                </c:pt>
                <c:pt idx="139">
                  <c:v>3.738</c:v>
                </c:pt>
                <c:pt idx="140">
                  <c:v>4.3689999999999998</c:v>
                </c:pt>
                <c:pt idx="141">
                  <c:v>4.9359999999999999</c:v>
                </c:pt>
                <c:pt idx="142">
                  <c:v>4.4989999999999997</c:v>
                </c:pt>
                <c:pt idx="143">
                  <c:v>3.0960000000000001</c:v>
                </c:pt>
                <c:pt idx="144">
                  <c:v>3.226</c:v>
                </c:pt>
                <c:pt idx="145">
                  <c:v>4.4539999999999997</c:v>
                </c:pt>
                <c:pt idx="146">
                  <c:v>5.4269999999999996</c:v>
                </c:pt>
                <c:pt idx="147">
                  <c:v>4.0279999999999996</c:v>
                </c:pt>
                <c:pt idx="148">
                  <c:v>3.4369999999999998</c:v>
                </c:pt>
                <c:pt idx="149">
                  <c:v>3.7650000000000001</c:v>
                </c:pt>
                <c:pt idx="150">
                  <c:v>4.3109999999999999</c:v>
                </c:pt>
                <c:pt idx="151">
                  <c:v>4.7450000000000001</c:v>
                </c:pt>
                <c:pt idx="152">
                  <c:v>3.82</c:v>
                </c:pt>
                <c:pt idx="153">
                  <c:v>6.2460000000000004</c:v>
                </c:pt>
                <c:pt idx="154">
                  <c:v>3.9420000000000002</c:v>
                </c:pt>
                <c:pt idx="155">
                  <c:v>4.2869999999999999</c:v>
                </c:pt>
                <c:pt idx="156">
                  <c:v>4.3659999999999997</c:v>
                </c:pt>
                <c:pt idx="157">
                  <c:v>4.1440000000000001</c:v>
                </c:pt>
                <c:pt idx="158">
                  <c:v>4.9660000000000002</c:v>
                </c:pt>
                <c:pt idx="159">
                  <c:v>5.5979999999999999</c:v>
                </c:pt>
                <c:pt idx="160">
                  <c:v>3.9529999999999998</c:v>
                </c:pt>
                <c:pt idx="161">
                  <c:v>4.1369999999999996</c:v>
                </c:pt>
                <c:pt idx="162">
                  <c:v>4.6109999999999998</c:v>
                </c:pt>
                <c:pt idx="163">
                  <c:v>5.3959999999999999</c:v>
                </c:pt>
                <c:pt idx="164">
                  <c:v>4.2560000000000002</c:v>
                </c:pt>
                <c:pt idx="165">
                  <c:v>4.5940000000000003</c:v>
                </c:pt>
                <c:pt idx="166">
                  <c:v>3.4990000000000001</c:v>
                </c:pt>
                <c:pt idx="167">
                  <c:v>3.5289999999999999</c:v>
                </c:pt>
                <c:pt idx="168">
                  <c:v>3.9729999999999999</c:v>
                </c:pt>
                <c:pt idx="169">
                  <c:v>3.6419999999999999</c:v>
                </c:pt>
                <c:pt idx="170">
                  <c:v>3.6520000000000001</c:v>
                </c:pt>
                <c:pt idx="171">
                  <c:v>3</c:v>
                </c:pt>
                <c:pt idx="172">
                  <c:v>4.0620000000000003</c:v>
                </c:pt>
                <c:pt idx="173">
                  <c:v>4.0449999999999999</c:v>
                </c:pt>
                <c:pt idx="174">
                  <c:v>4.4649999999999999</c:v>
                </c:pt>
                <c:pt idx="175">
                  <c:v>3.734</c:v>
                </c:pt>
                <c:pt idx="176">
                  <c:v>3.3479999999999999</c:v>
                </c:pt>
                <c:pt idx="177">
                  <c:v>6.3659999999999997</c:v>
                </c:pt>
                <c:pt idx="178">
                  <c:v>4.6109999999999998</c:v>
                </c:pt>
                <c:pt idx="179">
                  <c:v>4.4240000000000004</c:v>
                </c:pt>
                <c:pt idx="180">
                  <c:v>4.0350000000000001</c:v>
                </c:pt>
                <c:pt idx="181">
                  <c:v>3.97</c:v>
                </c:pt>
                <c:pt idx="182">
                  <c:v>5.6420000000000003</c:v>
                </c:pt>
                <c:pt idx="183">
                  <c:v>5.7990000000000004</c:v>
                </c:pt>
                <c:pt idx="184">
                  <c:v>4.1680000000000001</c:v>
                </c:pt>
                <c:pt idx="185">
                  <c:v>4.093</c:v>
                </c:pt>
                <c:pt idx="186">
                  <c:v>2.8540000000000001</c:v>
                </c:pt>
                <c:pt idx="187">
                  <c:v>4.2329999999999997</c:v>
                </c:pt>
                <c:pt idx="188">
                  <c:v>3.9729999999999999</c:v>
                </c:pt>
                <c:pt idx="189">
                  <c:v>3.68</c:v>
                </c:pt>
                <c:pt idx="190">
                  <c:v>3.3109999999999999</c:v>
                </c:pt>
                <c:pt idx="191">
                  <c:v>3.6150000000000002</c:v>
                </c:pt>
                <c:pt idx="192">
                  <c:v>5.7789999999999999</c:v>
                </c:pt>
                <c:pt idx="193">
                  <c:v>5.5019999999999998</c:v>
                </c:pt>
                <c:pt idx="194">
                  <c:v>3.157</c:v>
                </c:pt>
                <c:pt idx="195">
                  <c:v>3.4129999999999998</c:v>
                </c:pt>
                <c:pt idx="196">
                  <c:v>4.3380000000000001</c:v>
                </c:pt>
                <c:pt idx="197">
                  <c:v>4.9660000000000002</c:v>
                </c:pt>
                <c:pt idx="198">
                  <c:v>3.7480000000000002</c:v>
                </c:pt>
                <c:pt idx="199">
                  <c:v>4.359</c:v>
                </c:pt>
                <c:pt idx="200">
                  <c:v>3.2290000000000001</c:v>
                </c:pt>
                <c:pt idx="201">
                  <c:v>3.43</c:v>
                </c:pt>
                <c:pt idx="202">
                  <c:v>3.54</c:v>
                </c:pt>
                <c:pt idx="203">
                  <c:v>3.3959999999999999</c:v>
                </c:pt>
                <c:pt idx="204">
                  <c:v>4.6050000000000004</c:v>
                </c:pt>
                <c:pt idx="205">
                  <c:v>4.9080000000000004</c:v>
                </c:pt>
                <c:pt idx="206">
                  <c:v>3.2970000000000002</c:v>
                </c:pt>
                <c:pt idx="207">
                  <c:v>3.3250000000000002</c:v>
                </c:pt>
                <c:pt idx="208">
                  <c:v>3.4820000000000002</c:v>
                </c:pt>
                <c:pt idx="209">
                  <c:v>3.7240000000000002</c:v>
                </c:pt>
                <c:pt idx="210">
                  <c:v>3.3010000000000002</c:v>
                </c:pt>
                <c:pt idx="211">
                  <c:v>3.9390000000000001</c:v>
                </c:pt>
                <c:pt idx="212">
                  <c:v>3.8980000000000001</c:v>
                </c:pt>
                <c:pt idx="213">
                  <c:v>2.6859999999999999</c:v>
                </c:pt>
                <c:pt idx="214">
                  <c:v>4.1369999999999996</c:v>
                </c:pt>
                <c:pt idx="215">
                  <c:v>4.3040000000000003</c:v>
                </c:pt>
                <c:pt idx="216">
                  <c:v>3.1709999999999998</c:v>
                </c:pt>
                <c:pt idx="217">
                  <c:v>4.12</c:v>
                </c:pt>
                <c:pt idx="218">
                  <c:v>4.6970000000000001</c:v>
                </c:pt>
                <c:pt idx="219">
                  <c:v>3.9870000000000001</c:v>
                </c:pt>
                <c:pt idx="220">
                  <c:v>4.3419999999999996</c:v>
                </c:pt>
                <c:pt idx="221">
                  <c:v>3.3660000000000001</c:v>
                </c:pt>
                <c:pt idx="222">
                  <c:v>3.5430000000000001</c:v>
                </c:pt>
                <c:pt idx="223">
                  <c:v>4.157</c:v>
                </c:pt>
                <c:pt idx="224">
                  <c:v>3.7029999999999998</c:v>
                </c:pt>
                <c:pt idx="225">
                  <c:v>3.6930000000000001</c:v>
                </c:pt>
                <c:pt idx="226">
                  <c:v>3.7029999999999998</c:v>
                </c:pt>
                <c:pt idx="227">
                  <c:v>3.3039999999999998</c:v>
                </c:pt>
                <c:pt idx="228">
                  <c:v>3.9630000000000001</c:v>
                </c:pt>
                <c:pt idx="229">
                  <c:v>5.0720000000000001</c:v>
                </c:pt>
                <c:pt idx="230">
                  <c:v>3.9969999999999999</c:v>
                </c:pt>
                <c:pt idx="231">
                  <c:v>3.5329999999999999</c:v>
                </c:pt>
                <c:pt idx="232">
                  <c:v>3.028</c:v>
                </c:pt>
                <c:pt idx="233">
                  <c:v>6.5910000000000002</c:v>
                </c:pt>
                <c:pt idx="234">
                  <c:v>4.1710000000000003</c:v>
                </c:pt>
                <c:pt idx="235">
                  <c:v>3.0619999999999998</c:v>
                </c:pt>
                <c:pt idx="236">
                  <c:v>4.3789999999999996</c:v>
                </c:pt>
                <c:pt idx="237">
                  <c:v>3.3889999999999998</c:v>
                </c:pt>
                <c:pt idx="238">
                  <c:v>3.4820000000000002</c:v>
                </c:pt>
                <c:pt idx="239">
                  <c:v>3.4849999999999999</c:v>
                </c:pt>
                <c:pt idx="240">
                  <c:v>3.5259999999999998</c:v>
                </c:pt>
                <c:pt idx="241">
                  <c:v>4.1920000000000002</c:v>
                </c:pt>
                <c:pt idx="242">
                  <c:v>3.7029999999999998</c:v>
                </c:pt>
                <c:pt idx="243">
                  <c:v>3.669</c:v>
                </c:pt>
                <c:pt idx="244">
                  <c:v>6.1950000000000003</c:v>
                </c:pt>
                <c:pt idx="245">
                  <c:v>5.407</c:v>
                </c:pt>
                <c:pt idx="246">
                  <c:v>3.7650000000000001</c:v>
                </c:pt>
                <c:pt idx="247">
                  <c:v>3.0920000000000001</c:v>
                </c:pt>
                <c:pt idx="248">
                  <c:v>3.8879999999999999</c:v>
                </c:pt>
                <c:pt idx="249">
                  <c:v>4.3179999999999996</c:v>
                </c:pt>
                <c:pt idx="250">
                  <c:v>3.9830000000000001</c:v>
                </c:pt>
                <c:pt idx="251">
                  <c:v>3.7</c:v>
                </c:pt>
                <c:pt idx="252">
                  <c:v>2.976</c:v>
                </c:pt>
                <c:pt idx="253">
                  <c:v>3.9319999999999999</c:v>
                </c:pt>
                <c:pt idx="254">
                  <c:v>4.1950000000000003</c:v>
                </c:pt>
                <c:pt idx="255">
                  <c:v>3.843</c:v>
                </c:pt>
                <c:pt idx="256">
                  <c:v>3.1539999999999999</c:v>
                </c:pt>
                <c:pt idx="257">
                  <c:v>2.6589999999999998</c:v>
                </c:pt>
                <c:pt idx="258">
                  <c:v>3.335</c:v>
                </c:pt>
                <c:pt idx="259">
                  <c:v>2.4409999999999998</c:v>
                </c:pt>
                <c:pt idx="260">
                  <c:v>3.6349999999999998</c:v>
                </c:pt>
                <c:pt idx="261">
                  <c:v>3.7549999999999999</c:v>
                </c:pt>
                <c:pt idx="262">
                  <c:v>3.7480000000000002</c:v>
                </c:pt>
                <c:pt idx="263">
                  <c:v>3.3889999999999998</c:v>
                </c:pt>
                <c:pt idx="264">
                  <c:v>2.86</c:v>
                </c:pt>
                <c:pt idx="265">
                  <c:v>3.3929999999999998</c:v>
                </c:pt>
                <c:pt idx="266">
                  <c:v>5.7380000000000004</c:v>
                </c:pt>
                <c:pt idx="267">
                  <c:v>5.2160000000000002</c:v>
                </c:pt>
                <c:pt idx="268">
                  <c:v>6.4550000000000001</c:v>
                </c:pt>
                <c:pt idx="269">
                  <c:v>4.8159999999999998</c:v>
                </c:pt>
                <c:pt idx="270">
                  <c:v>2.98</c:v>
                </c:pt>
                <c:pt idx="271">
                  <c:v>2.84</c:v>
                </c:pt>
                <c:pt idx="272">
                  <c:v>2.3450000000000002</c:v>
                </c:pt>
                <c:pt idx="273">
                  <c:v>2.492</c:v>
                </c:pt>
                <c:pt idx="274">
                  <c:v>1.7070000000000001</c:v>
                </c:pt>
                <c:pt idx="275">
                  <c:v>2.6150000000000002</c:v>
                </c:pt>
                <c:pt idx="276">
                  <c:v>2.8330000000000002</c:v>
                </c:pt>
                <c:pt idx="277">
                  <c:v>3.6560000000000001</c:v>
                </c:pt>
                <c:pt idx="278">
                  <c:v>3.97</c:v>
                </c:pt>
                <c:pt idx="279">
                  <c:v>4.4580000000000002</c:v>
                </c:pt>
                <c:pt idx="280">
                  <c:v>3.359</c:v>
                </c:pt>
                <c:pt idx="281">
                  <c:v>4</c:v>
                </c:pt>
                <c:pt idx="282">
                  <c:v>4.8570000000000002</c:v>
                </c:pt>
                <c:pt idx="283">
                  <c:v>5.9560000000000004</c:v>
                </c:pt>
                <c:pt idx="284">
                  <c:v>5.2569999999999997</c:v>
                </c:pt>
                <c:pt idx="285">
                  <c:v>4.0960000000000001</c:v>
                </c:pt>
                <c:pt idx="286">
                  <c:v>5.9080000000000004</c:v>
                </c:pt>
                <c:pt idx="287">
                  <c:v>4.2910000000000004</c:v>
                </c:pt>
                <c:pt idx="288">
                  <c:v>3.3380000000000001</c:v>
                </c:pt>
                <c:pt idx="289">
                  <c:v>7.8470000000000004</c:v>
                </c:pt>
                <c:pt idx="290">
                  <c:v>0</c:v>
                </c:pt>
                <c:pt idx="291">
                  <c:v>6.25</c:v>
                </c:pt>
                <c:pt idx="292">
                  <c:v>6.6180000000000003</c:v>
                </c:pt>
                <c:pt idx="293">
                  <c:v>4.6349999999999998</c:v>
                </c:pt>
                <c:pt idx="294">
                  <c:v>3.9220000000000002</c:v>
                </c:pt>
                <c:pt idx="295">
                  <c:v>2.7029999999999998</c:v>
                </c:pt>
                <c:pt idx="296">
                  <c:v>3.8639999999999999</c:v>
                </c:pt>
                <c:pt idx="297">
                  <c:v>3.7850000000000001</c:v>
                </c:pt>
                <c:pt idx="298">
                  <c:v>3.8740000000000001</c:v>
                </c:pt>
                <c:pt idx="299">
                  <c:v>4.0449999999999999</c:v>
                </c:pt>
                <c:pt idx="300">
                  <c:v>5.9630000000000001</c:v>
                </c:pt>
                <c:pt idx="301">
                  <c:v>6.2290000000000001</c:v>
                </c:pt>
                <c:pt idx="302">
                  <c:v>5.85</c:v>
                </c:pt>
                <c:pt idx="303">
                  <c:v>6.6870000000000003</c:v>
                </c:pt>
                <c:pt idx="304">
                  <c:v>2.4470000000000001</c:v>
                </c:pt>
                <c:pt idx="305">
                  <c:v>2.9590000000000001</c:v>
                </c:pt>
                <c:pt idx="306">
                  <c:v>3.7170000000000001</c:v>
                </c:pt>
                <c:pt idx="307">
                  <c:v>3.181</c:v>
                </c:pt>
                <c:pt idx="308">
                  <c:v>4.7210000000000001</c:v>
                </c:pt>
                <c:pt idx="309">
                  <c:v>7.2160000000000002</c:v>
                </c:pt>
                <c:pt idx="310">
                  <c:v>4.6050000000000004</c:v>
                </c:pt>
                <c:pt idx="311">
                  <c:v>5.3689999999999998</c:v>
                </c:pt>
                <c:pt idx="312">
                  <c:v>6.298</c:v>
                </c:pt>
                <c:pt idx="313">
                  <c:v>2.7890000000000001</c:v>
                </c:pt>
                <c:pt idx="314">
                  <c:v>3.383</c:v>
                </c:pt>
                <c:pt idx="315">
                  <c:v>3.3079999999999998</c:v>
                </c:pt>
                <c:pt idx="316">
                  <c:v>4.25</c:v>
                </c:pt>
                <c:pt idx="317">
                  <c:v>6.1609999999999996</c:v>
                </c:pt>
                <c:pt idx="318">
                  <c:v>4.8440000000000003</c:v>
                </c:pt>
                <c:pt idx="319">
                  <c:v>5.7069999999999999</c:v>
                </c:pt>
                <c:pt idx="320">
                  <c:v>4.97</c:v>
                </c:pt>
                <c:pt idx="321">
                  <c:v>7.39</c:v>
                </c:pt>
                <c:pt idx="322">
                  <c:v>3.8090000000000002</c:v>
                </c:pt>
                <c:pt idx="323">
                  <c:v>4.5289999999999999</c:v>
                </c:pt>
                <c:pt idx="324">
                  <c:v>3.9220000000000002</c:v>
                </c:pt>
                <c:pt idx="325">
                  <c:v>5.4240000000000004</c:v>
                </c:pt>
                <c:pt idx="326">
                  <c:v>3.2490000000000001</c:v>
                </c:pt>
                <c:pt idx="327">
                  <c:v>2.0920000000000001</c:v>
                </c:pt>
                <c:pt idx="328">
                  <c:v>3.492</c:v>
                </c:pt>
                <c:pt idx="329">
                  <c:v>3.5670000000000002</c:v>
                </c:pt>
                <c:pt idx="330">
                  <c:v>4.202</c:v>
                </c:pt>
                <c:pt idx="331">
                  <c:v>3.956</c:v>
                </c:pt>
                <c:pt idx="332">
                  <c:v>4.4340000000000002</c:v>
                </c:pt>
                <c:pt idx="333">
                  <c:v>3.3519999999999999</c:v>
                </c:pt>
                <c:pt idx="334">
                  <c:v>5.1680000000000001</c:v>
                </c:pt>
                <c:pt idx="335">
                  <c:v>2.83</c:v>
                </c:pt>
                <c:pt idx="336">
                  <c:v>4.7039999999999997</c:v>
                </c:pt>
                <c:pt idx="337">
                  <c:v>4.6390000000000002</c:v>
                </c:pt>
                <c:pt idx="338">
                  <c:v>2.8330000000000002</c:v>
                </c:pt>
                <c:pt idx="339">
                  <c:v>4.4580000000000002</c:v>
                </c:pt>
                <c:pt idx="340">
                  <c:v>2.8159999999999998</c:v>
                </c:pt>
                <c:pt idx="341">
                  <c:v>4.0819999999999999</c:v>
                </c:pt>
                <c:pt idx="342">
                  <c:v>4.4820000000000002</c:v>
                </c:pt>
                <c:pt idx="343">
                  <c:v>3.2869999999999999</c:v>
                </c:pt>
                <c:pt idx="344">
                  <c:v>3.226</c:v>
                </c:pt>
                <c:pt idx="345">
                  <c:v>0.99</c:v>
                </c:pt>
                <c:pt idx="346">
                  <c:v>2.0579999999999998</c:v>
                </c:pt>
                <c:pt idx="347">
                  <c:v>2.5190000000000001</c:v>
                </c:pt>
                <c:pt idx="348">
                  <c:v>2.1269999999999998</c:v>
                </c:pt>
                <c:pt idx="349">
                  <c:v>2.5219999999999998</c:v>
                </c:pt>
                <c:pt idx="350">
                  <c:v>4.226</c:v>
                </c:pt>
                <c:pt idx="351">
                  <c:v>3.5529999999999999</c:v>
                </c:pt>
                <c:pt idx="352">
                  <c:v>3.3620000000000001</c:v>
                </c:pt>
                <c:pt idx="353">
                  <c:v>4.6079999999999997</c:v>
                </c:pt>
                <c:pt idx="354">
                  <c:v>6.577</c:v>
                </c:pt>
                <c:pt idx="355">
                  <c:v>4.6660000000000004</c:v>
                </c:pt>
                <c:pt idx="356">
                  <c:v>5.2290000000000001</c:v>
                </c:pt>
                <c:pt idx="357">
                  <c:v>3.0920000000000001</c:v>
                </c:pt>
                <c:pt idx="358">
                  <c:v>4.3040000000000003</c:v>
                </c:pt>
                <c:pt idx="359">
                  <c:v>4.093</c:v>
                </c:pt>
                <c:pt idx="360">
                  <c:v>3.8740000000000001</c:v>
                </c:pt>
                <c:pt idx="361">
                  <c:v>2.7650000000000001</c:v>
                </c:pt>
                <c:pt idx="362">
                  <c:v>3.0990000000000002</c:v>
                </c:pt>
                <c:pt idx="363">
                  <c:v>2.089</c:v>
                </c:pt>
                <c:pt idx="364">
                  <c:v>4.2389999999999999</c:v>
                </c:pt>
                <c:pt idx="365">
                  <c:v>3.2490000000000001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2.7450000000000001</c:v>
                </c:pt>
                <c:pt idx="1">
                  <c:v>1.431</c:v>
                </c:pt>
                <c:pt idx="2">
                  <c:v>1.929</c:v>
                </c:pt>
                <c:pt idx="3">
                  <c:v>2.6309999999999998</c:v>
                </c:pt>
                <c:pt idx="4">
                  <c:v>2.4060000000000001</c:v>
                </c:pt>
                <c:pt idx="5">
                  <c:v>1.0489999999999999</c:v>
                </c:pt>
                <c:pt idx="6">
                  <c:v>1.403</c:v>
                </c:pt>
                <c:pt idx="7">
                  <c:v>1.0760000000000001</c:v>
                </c:pt>
                <c:pt idx="8">
                  <c:v>0.59</c:v>
                </c:pt>
                <c:pt idx="9">
                  <c:v>1.478</c:v>
                </c:pt>
                <c:pt idx="10">
                  <c:v>1.3140000000000001</c:v>
                </c:pt>
                <c:pt idx="11">
                  <c:v>1.413</c:v>
                </c:pt>
                <c:pt idx="12">
                  <c:v>1.155</c:v>
                </c:pt>
                <c:pt idx="13">
                  <c:v>0.25900000000000001</c:v>
                </c:pt>
                <c:pt idx="14">
                  <c:v>1.8260000000000001</c:v>
                </c:pt>
                <c:pt idx="15">
                  <c:v>0.91300000000000003</c:v>
                </c:pt>
                <c:pt idx="16">
                  <c:v>0.753</c:v>
                </c:pt>
                <c:pt idx="17">
                  <c:v>1.351</c:v>
                </c:pt>
                <c:pt idx="18">
                  <c:v>1.409</c:v>
                </c:pt>
                <c:pt idx="19">
                  <c:v>0.95599999999999996</c:v>
                </c:pt>
                <c:pt idx="20">
                  <c:v>1.012</c:v>
                </c:pt>
                <c:pt idx="21">
                  <c:v>0.66700000000000004</c:v>
                </c:pt>
                <c:pt idx="22">
                  <c:v>1.2190000000000001</c:v>
                </c:pt>
                <c:pt idx="23">
                  <c:v>1.288</c:v>
                </c:pt>
                <c:pt idx="24">
                  <c:v>0.89800000000000002</c:v>
                </c:pt>
                <c:pt idx="25">
                  <c:v>1.3149999999999999</c:v>
                </c:pt>
                <c:pt idx="26">
                  <c:v>1.2390000000000001</c:v>
                </c:pt>
                <c:pt idx="27">
                  <c:v>0.93100000000000005</c:v>
                </c:pt>
                <c:pt idx="28">
                  <c:v>1.5569999999999999</c:v>
                </c:pt>
                <c:pt idx="29">
                  <c:v>1.48</c:v>
                </c:pt>
                <c:pt idx="30">
                  <c:v>1.55</c:v>
                </c:pt>
                <c:pt idx="31">
                  <c:v>2.9209999999999998</c:v>
                </c:pt>
                <c:pt idx="32">
                  <c:v>1.0309999999999999</c:v>
                </c:pt>
                <c:pt idx="33">
                  <c:v>1.0529999999999999</c:v>
                </c:pt>
                <c:pt idx="34">
                  <c:v>1.2609999999999999</c:v>
                </c:pt>
                <c:pt idx="35">
                  <c:v>1.381</c:v>
                </c:pt>
                <c:pt idx="36">
                  <c:v>0.76200000000000001</c:v>
                </c:pt>
                <c:pt idx="37">
                  <c:v>1.046</c:v>
                </c:pt>
                <c:pt idx="38">
                  <c:v>1.266</c:v>
                </c:pt>
                <c:pt idx="39">
                  <c:v>1.071</c:v>
                </c:pt>
                <c:pt idx="40">
                  <c:v>0.95599999999999996</c:v>
                </c:pt>
                <c:pt idx="41">
                  <c:v>2.1389999999999998</c:v>
                </c:pt>
                <c:pt idx="42">
                  <c:v>0.98499999999999999</c:v>
                </c:pt>
                <c:pt idx="43">
                  <c:v>1.62</c:v>
                </c:pt>
                <c:pt idx="44">
                  <c:v>2.2170000000000001</c:v>
                </c:pt>
                <c:pt idx="45">
                  <c:v>1.6439999999999999</c:v>
                </c:pt>
                <c:pt idx="46">
                  <c:v>1.7150000000000001</c:v>
                </c:pt>
                <c:pt idx="47">
                  <c:v>0.81</c:v>
                </c:pt>
                <c:pt idx="48">
                  <c:v>0.93400000000000005</c:v>
                </c:pt>
                <c:pt idx="49">
                  <c:v>0.94399999999999995</c:v>
                </c:pt>
                <c:pt idx="50">
                  <c:v>1.365</c:v>
                </c:pt>
                <c:pt idx="51">
                  <c:v>0.92800000000000005</c:v>
                </c:pt>
                <c:pt idx="52">
                  <c:v>1.1639999999999999</c:v>
                </c:pt>
                <c:pt idx="53">
                  <c:v>1.919</c:v>
                </c:pt>
                <c:pt idx="54">
                  <c:v>1.454</c:v>
                </c:pt>
                <c:pt idx="55">
                  <c:v>0.68799999999999994</c:v>
                </c:pt>
                <c:pt idx="56">
                  <c:v>1.359</c:v>
                </c:pt>
                <c:pt idx="57">
                  <c:v>1.635</c:v>
                </c:pt>
                <c:pt idx="58">
                  <c:v>1.6850000000000001</c:v>
                </c:pt>
                <c:pt idx="59">
                  <c:v>1.82</c:v>
                </c:pt>
                <c:pt idx="60">
                  <c:v>1.7130000000000001</c:v>
                </c:pt>
                <c:pt idx="61">
                  <c:v>2.7330000000000001</c:v>
                </c:pt>
                <c:pt idx="62">
                  <c:v>3.3620000000000001</c:v>
                </c:pt>
                <c:pt idx="63">
                  <c:v>2.528</c:v>
                </c:pt>
                <c:pt idx="64">
                  <c:v>2.5470000000000002</c:v>
                </c:pt>
                <c:pt idx="65">
                  <c:v>0.72099999999999997</c:v>
                </c:pt>
                <c:pt idx="66">
                  <c:v>1.0720000000000001</c:v>
                </c:pt>
                <c:pt idx="67">
                  <c:v>1.159</c:v>
                </c:pt>
                <c:pt idx="68">
                  <c:v>0.89600000000000002</c:v>
                </c:pt>
                <c:pt idx="69">
                  <c:v>1.581</c:v>
                </c:pt>
                <c:pt idx="70">
                  <c:v>1.425</c:v>
                </c:pt>
                <c:pt idx="71">
                  <c:v>0.875</c:v>
                </c:pt>
                <c:pt idx="72">
                  <c:v>2.0089999999999999</c:v>
                </c:pt>
                <c:pt idx="73">
                  <c:v>2.3559999999999999</c:v>
                </c:pt>
                <c:pt idx="74">
                  <c:v>4.1150000000000002</c:v>
                </c:pt>
                <c:pt idx="75">
                  <c:v>2.113</c:v>
                </c:pt>
                <c:pt idx="76">
                  <c:v>1.718</c:v>
                </c:pt>
                <c:pt idx="77">
                  <c:v>1.883</c:v>
                </c:pt>
                <c:pt idx="78">
                  <c:v>1.075</c:v>
                </c:pt>
                <c:pt idx="79">
                  <c:v>1.167</c:v>
                </c:pt>
                <c:pt idx="80">
                  <c:v>1.196</c:v>
                </c:pt>
                <c:pt idx="81">
                  <c:v>1.272</c:v>
                </c:pt>
                <c:pt idx="82">
                  <c:v>1.1439999999999999</c:v>
                </c:pt>
                <c:pt idx="83">
                  <c:v>0.88100000000000001</c:v>
                </c:pt>
                <c:pt idx="84">
                  <c:v>1.5589999999999999</c:v>
                </c:pt>
                <c:pt idx="85">
                  <c:v>1.6240000000000001</c:v>
                </c:pt>
                <c:pt idx="86">
                  <c:v>1.9330000000000001</c:v>
                </c:pt>
                <c:pt idx="87">
                  <c:v>1.8240000000000001</c:v>
                </c:pt>
                <c:pt idx="88">
                  <c:v>2.024</c:v>
                </c:pt>
                <c:pt idx="89">
                  <c:v>2.35</c:v>
                </c:pt>
                <c:pt idx="90">
                  <c:v>1.169</c:v>
                </c:pt>
                <c:pt idx="91">
                  <c:v>2.0939999999999999</c:v>
                </c:pt>
                <c:pt idx="92">
                  <c:v>1.2889999999999999</c:v>
                </c:pt>
                <c:pt idx="93">
                  <c:v>1.64</c:v>
                </c:pt>
                <c:pt idx="94">
                  <c:v>0.73299999999999998</c:v>
                </c:pt>
                <c:pt idx="95">
                  <c:v>0.90600000000000003</c:v>
                </c:pt>
                <c:pt idx="96">
                  <c:v>1.641</c:v>
                </c:pt>
                <c:pt idx="97">
                  <c:v>1.502</c:v>
                </c:pt>
                <c:pt idx="98">
                  <c:v>1.1850000000000001</c:v>
                </c:pt>
                <c:pt idx="99">
                  <c:v>1.196</c:v>
                </c:pt>
                <c:pt idx="100">
                  <c:v>1.333</c:v>
                </c:pt>
                <c:pt idx="101">
                  <c:v>1.175</c:v>
                </c:pt>
                <c:pt idx="102">
                  <c:v>1.052</c:v>
                </c:pt>
                <c:pt idx="103">
                  <c:v>1.0409999999999999</c:v>
                </c:pt>
                <c:pt idx="104">
                  <c:v>1.2649999999999999</c:v>
                </c:pt>
                <c:pt idx="105">
                  <c:v>1.1879999999999999</c:v>
                </c:pt>
                <c:pt idx="106">
                  <c:v>1.0469999999999999</c:v>
                </c:pt>
                <c:pt idx="107">
                  <c:v>1.1399999999999999</c:v>
                </c:pt>
                <c:pt idx="108">
                  <c:v>0.95399999999999996</c:v>
                </c:pt>
                <c:pt idx="109">
                  <c:v>0.95099999999999996</c:v>
                </c:pt>
                <c:pt idx="110">
                  <c:v>0.997</c:v>
                </c:pt>
                <c:pt idx="111">
                  <c:v>1.667</c:v>
                </c:pt>
                <c:pt idx="112">
                  <c:v>0.86699999999999999</c:v>
                </c:pt>
                <c:pt idx="113">
                  <c:v>1.0820000000000001</c:v>
                </c:pt>
                <c:pt idx="114">
                  <c:v>0.93899999999999995</c:v>
                </c:pt>
                <c:pt idx="115">
                  <c:v>2.5350000000000001</c:v>
                </c:pt>
                <c:pt idx="116">
                  <c:v>1.587</c:v>
                </c:pt>
                <c:pt idx="117">
                  <c:v>2.31</c:v>
                </c:pt>
                <c:pt idx="118">
                  <c:v>1.127</c:v>
                </c:pt>
                <c:pt idx="119">
                  <c:v>1.4650000000000001</c:v>
                </c:pt>
                <c:pt idx="120">
                  <c:v>1.383</c:v>
                </c:pt>
                <c:pt idx="121">
                  <c:v>1.381</c:v>
                </c:pt>
                <c:pt idx="122">
                  <c:v>2.0409999999999999</c:v>
                </c:pt>
                <c:pt idx="123">
                  <c:v>1.847</c:v>
                </c:pt>
                <c:pt idx="124">
                  <c:v>0.99199999999999999</c:v>
                </c:pt>
                <c:pt idx="125">
                  <c:v>1.5489999999999999</c:v>
                </c:pt>
                <c:pt idx="126">
                  <c:v>1.7190000000000001</c:v>
                </c:pt>
                <c:pt idx="127">
                  <c:v>1.1619999999999999</c:v>
                </c:pt>
                <c:pt idx="128">
                  <c:v>1.141</c:v>
                </c:pt>
                <c:pt idx="129">
                  <c:v>0.97899999999999998</c:v>
                </c:pt>
                <c:pt idx="130">
                  <c:v>0.999</c:v>
                </c:pt>
                <c:pt idx="131">
                  <c:v>0.92400000000000004</c:v>
                </c:pt>
                <c:pt idx="132">
                  <c:v>0.86599999999999999</c:v>
                </c:pt>
                <c:pt idx="133">
                  <c:v>1.167</c:v>
                </c:pt>
                <c:pt idx="134">
                  <c:v>0.74099999999999999</c:v>
                </c:pt>
                <c:pt idx="135">
                  <c:v>0.70699999999999996</c:v>
                </c:pt>
                <c:pt idx="136">
                  <c:v>2.0649999999999999</c:v>
                </c:pt>
                <c:pt idx="137">
                  <c:v>1.0669999999999999</c:v>
                </c:pt>
                <c:pt idx="138">
                  <c:v>0.68300000000000005</c:v>
                </c:pt>
                <c:pt idx="139">
                  <c:v>1.2549999999999999</c:v>
                </c:pt>
                <c:pt idx="140">
                  <c:v>1.659</c:v>
                </c:pt>
                <c:pt idx="141">
                  <c:v>1.762</c:v>
                </c:pt>
                <c:pt idx="142">
                  <c:v>1.7290000000000001</c:v>
                </c:pt>
                <c:pt idx="143">
                  <c:v>0.86099999999999999</c:v>
                </c:pt>
                <c:pt idx="144">
                  <c:v>0.88100000000000001</c:v>
                </c:pt>
                <c:pt idx="145">
                  <c:v>1.032</c:v>
                </c:pt>
                <c:pt idx="146">
                  <c:v>1.4279999999999999</c:v>
                </c:pt>
                <c:pt idx="147">
                  <c:v>1.06</c:v>
                </c:pt>
                <c:pt idx="148">
                  <c:v>1.0840000000000001</c:v>
                </c:pt>
                <c:pt idx="149">
                  <c:v>0.94599999999999995</c:v>
                </c:pt>
                <c:pt idx="150">
                  <c:v>1.486</c:v>
                </c:pt>
                <c:pt idx="151">
                  <c:v>1.2649999999999999</c:v>
                </c:pt>
                <c:pt idx="152">
                  <c:v>1.153</c:v>
                </c:pt>
                <c:pt idx="153">
                  <c:v>1.585</c:v>
                </c:pt>
                <c:pt idx="154">
                  <c:v>1.06</c:v>
                </c:pt>
                <c:pt idx="155">
                  <c:v>1.3220000000000001</c:v>
                </c:pt>
                <c:pt idx="156">
                  <c:v>1.464</c:v>
                </c:pt>
                <c:pt idx="157">
                  <c:v>1.1220000000000001</c:v>
                </c:pt>
                <c:pt idx="158">
                  <c:v>1.4390000000000001</c:v>
                </c:pt>
                <c:pt idx="159">
                  <c:v>1.659</c:v>
                </c:pt>
                <c:pt idx="160">
                  <c:v>1.2150000000000001</c:v>
                </c:pt>
                <c:pt idx="161">
                  <c:v>1.2569999999999999</c:v>
                </c:pt>
                <c:pt idx="162">
                  <c:v>1.472</c:v>
                </c:pt>
                <c:pt idx="163">
                  <c:v>1.7290000000000001</c:v>
                </c:pt>
                <c:pt idx="164">
                  <c:v>1.4910000000000001</c:v>
                </c:pt>
                <c:pt idx="165">
                  <c:v>1.34</c:v>
                </c:pt>
                <c:pt idx="166">
                  <c:v>0.90400000000000003</c:v>
                </c:pt>
                <c:pt idx="167">
                  <c:v>1.153</c:v>
                </c:pt>
                <c:pt idx="168">
                  <c:v>0.97599999999999998</c:v>
                </c:pt>
                <c:pt idx="169">
                  <c:v>0.93700000000000006</c:v>
                </c:pt>
                <c:pt idx="170">
                  <c:v>1.0640000000000001</c:v>
                </c:pt>
                <c:pt idx="171">
                  <c:v>0.97099999999999997</c:v>
                </c:pt>
                <c:pt idx="172">
                  <c:v>1.3280000000000001</c:v>
                </c:pt>
                <c:pt idx="173">
                  <c:v>1.204</c:v>
                </c:pt>
                <c:pt idx="174">
                  <c:v>1.157</c:v>
                </c:pt>
                <c:pt idx="175">
                  <c:v>1.036</c:v>
                </c:pt>
                <c:pt idx="176">
                  <c:v>1.056</c:v>
                </c:pt>
                <c:pt idx="177">
                  <c:v>1.8380000000000001</c:v>
                </c:pt>
                <c:pt idx="178">
                  <c:v>1.4390000000000001</c:v>
                </c:pt>
                <c:pt idx="179">
                  <c:v>1.19</c:v>
                </c:pt>
                <c:pt idx="180">
                  <c:v>1.4</c:v>
                </c:pt>
                <c:pt idx="181">
                  <c:v>1.1100000000000001</c:v>
                </c:pt>
                <c:pt idx="182">
                  <c:v>1.7529999999999999</c:v>
                </c:pt>
                <c:pt idx="183">
                  <c:v>1.6719999999999999</c:v>
                </c:pt>
                <c:pt idx="184">
                  <c:v>1.3240000000000001</c:v>
                </c:pt>
                <c:pt idx="185">
                  <c:v>1.391</c:v>
                </c:pt>
                <c:pt idx="186">
                  <c:v>0.82</c:v>
                </c:pt>
                <c:pt idx="187">
                  <c:v>1.4350000000000001</c:v>
                </c:pt>
                <c:pt idx="188">
                  <c:v>1.266</c:v>
                </c:pt>
                <c:pt idx="189">
                  <c:v>1.008</c:v>
                </c:pt>
                <c:pt idx="190">
                  <c:v>0.85199999999999998</c:v>
                </c:pt>
                <c:pt idx="191">
                  <c:v>1.296</c:v>
                </c:pt>
                <c:pt idx="192">
                  <c:v>1.9019999999999999</c:v>
                </c:pt>
                <c:pt idx="193">
                  <c:v>1.786</c:v>
                </c:pt>
                <c:pt idx="194">
                  <c:v>0.98599999999999999</c:v>
                </c:pt>
                <c:pt idx="195">
                  <c:v>1</c:v>
                </c:pt>
                <c:pt idx="196">
                  <c:v>0.99399999999999999</c:v>
                </c:pt>
                <c:pt idx="197">
                  <c:v>1.415</c:v>
                </c:pt>
                <c:pt idx="198">
                  <c:v>0.93100000000000005</c:v>
                </c:pt>
                <c:pt idx="199">
                  <c:v>1.036</c:v>
                </c:pt>
                <c:pt idx="200">
                  <c:v>1.1140000000000001</c:v>
                </c:pt>
                <c:pt idx="201">
                  <c:v>1.0640000000000001</c:v>
                </c:pt>
                <c:pt idx="202">
                  <c:v>1.2649999999999999</c:v>
                </c:pt>
                <c:pt idx="203">
                  <c:v>1.161</c:v>
                </c:pt>
                <c:pt idx="204">
                  <c:v>1.4930000000000001</c:v>
                </c:pt>
                <c:pt idx="205">
                  <c:v>1.3939999999999999</c:v>
                </c:pt>
                <c:pt idx="206">
                  <c:v>1.014</c:v>
                </c:pt>
                <c:pt idx="207">
                  <c:v>1.0189999999999999</c:v>
                </c:pt>
                <c:pt idx="208">
                  <c:v>0.96899999999999997</c:v>
                </c:pt>
                <c:pt idx="209">
                  <c:v>1.4319999999999999</c:v>
                </c:pt>
                <c:pt idx="210">
                  <c:v>1.208</c:v>
                </c:pt>
                <c:pt idx="211">
                  <c:v>1.0129999999999999</c:v>
                </c:pt>
                <c:pt idx="212">
                  <c:v>0.94799999999999995</c:v>
                </c:pt>
                <c:pt idx="213">
                  <c:v>0.98799999999999999</c:v>
                </c:pt>
                <c:pt idx="214">
                  <c:v>1.302</c:v>
                </c:pt>
                <c:pt idx="215">
                  <c:v>1.337</c:v>
                </c:pt>
                <c:pt idx="216">
                  <c:v>1.0049999999999999</c:v>
                </c:pt>
                <c:pt idx="217">
                  <c:v>1.1850000000000001</c:v>
                </c:pt>
                <c:pt idx="218">
                  <c:v>1.339</c:v>
                </c:pt>
                <c:pt idx="219">
                  <c:v>1.2490000000000001</c:v>
                </c:pt>
                <c:pt idx="220">
                  <c:v>1.1120000000000001</c:v>
                </c:pt>
                <c:pt idx="221">
                  <c:v>0.91100000000000003</c:v>
                </c:pt>
                <c:pt idx="222">
                  <c:v>1.117</c:v>
                </c:pt>
                <c:pt idx="223">
                  <c:v>1.202</c:v>
                </c:pt>
                <c:pt idx="224">
                  <c:v>0.99399999999999999</c:v>
                </c:pt>
                <c:pt idx="225">
                  <c:v>0.82499999999999996</c:v>
                </c:pt>
                <c:pt idx="226">
                  <c:v>0.99099999999999999</c:v>
                </c:pt>
                <c:pt idx="227">
                  <c:v>0.99199999999999999</c:v>
                </c:pt>
                <c:pt idx="228">
                  <c:v>1.3520000000000001</c:v>
                </c:pt>
                <c:pt idx="229">
                  <c:v>1.292</c:v>
                </c:pt>
                <c:pt idx="230">
                  <c:v>1.393</c:v>
                </c:pt>
                <c:pt idx="231">
                  <c:v>1.3939999999999999</c:v>
                </c:pt>
                <c:pt idx="232">
                  <c:v>1.135</c:v>
                </c:pt>
                <c:pt idx="233">
                  <c:v>1.9650000000000001</c:v>
                </c:pt>
                <c:pt idx="234">
                  <c:v>1.351</c:v>
                </c:pt>
                <c:pt idx="235">
                  <c:v>0.999</c:v>
                </c:pt>
                <c:pt idx="236">
                  <c:v>1.556</c:v>
                </c:pt>
                <c:pt idx="237">
                  <c:v>1.3720000000000001</c:v>
                </c:pt>
                <c:pt idx="238">
                  <c:v>0.98099999999999998</c:v>
                </c:pt>
                <c:pt idx="239">
                  <c:v>1.173</c:v>
                </c:pt>
                <c:pt idx="240">
                  <c:v>1.121</c:v>
                </c:pt>
                <c:pt idx="241">
                  <c:v>1.1240000000000001</c:v>
                </c:pt>
                <c:pt idx="242">
                  <c:v>1.111</c:v>
                </c:pt>
                <c:pt idx="243">
                  <c:v>0.98299999999999998</c:v>
                </c:pt>
                <c:pt idx="244">
                  <c:v>1.6180000000000001</c:v>
                </c:pt>
                <c:pt idx="245">
                  <c:v>1.4590000000000001</c:v>
                </c:pt>
                <c:pt idx="246">
                  <c:v>0.97899999999999998</c:v>
                </c:pt>
                <c:pt idx="247">
                  <c:v>0.97899999999999998</c:v>
                </c:pt>
                <c:pt idx="248">
                  <c:v>1.244</c:v>
                </c:pt>
                <c:pt idx="249">
                  <c:v>1.2629999999999999</c:v>
                </c:pt>
                <c:pt idx="250">
                  <c:v>1.0660000000000001</c:v>
                </c:pt>
                <c:pt idx="251">
                  <c:v>0.82099999999999995</c:v>
                </c:pt>
                <c:pt idx="252">
                  <c:v>0.97399999999999998</c:v>
                </c:pt>
                <c:pt idx="253">
                  <c:v>0.91400000000000003</c:v>
                </c:pt>
                <c:pt idx="254">
                  <c:v>1.109</c:v>
                </c:pt>
                <c:pt idx="255">
                  <c:v>0.92900000000000005</c:v>
                </c:pt>
                <c:pt idx="256">
                  <c:v>0.99</c:v>
                </c:pt>
                <c:pt idx="257">
                  <c:v>0.67400000000000004</c:v>
                </c:pt>
                <c:pt idx="258">
                  <c:v>0.72299999999999998</c:v>
                </c:pt>
                <c:pt idx="259">
                  <c:v>0.70499999999999996</c:v>
                </c:pt>
                <c:pt idx="260">
                  <c:v>0.80600000000000005</c:v>
                </c:pt>
                <c:pt idx="261">
                  <c:v>1.151</c:v>
                </c:pt>
                <c:pt idx="262">
                  <c:v>1.369</c:v>
                </c:pt>
                <c:pt idx="263">
                  <c:v>0.96299999999999997</c:v>
                </c:pt>
                <c:pt idx="264">
                  <c:v>0.86199999999999999</c:v>
                </c:pt>
                <c:pt idx="265">
                  <c:v>1.125</c:v>
                </c:pt>
                <c:pt idx="266">
                  <c:v>2.39</c:v>
                </c:pt>
                <c:pt idx="267">
                  <c:v>1.3959999999999999</c:v>
                </c:pt>
                <c:pt idx="268">
                  <c:v>2.11</c:v>
                </c:pt>
                <c:pt idx="269">
                  <c:v>1.5960000000000001</c:v>
                </c:pt>
                <c:pt idx="270">
                  <c:v>0.78900000000000003</c:v>
                </c:pt>
                <c:pt idx="271">
                  <c:v>0.871</c:v>
                </c:pt>
                <c:pt idx="272">
                  <c:v>0.76</c:v>
                </c:pt>
                <c:pt idx="273">
                  <c:v>0.92400000000000004</c:v>
                </c:pt>
                <c:pt idx="274">
                  <c:v>0.54600000000000004</c:v>
                </c:pt>
                <c:pt idx="275">
                  <c:v>1.1879999999999999</c:v>
                </c:pt>
                <c:pt idx="276">
                  <c:v>0.78300000000000003</c:v>
                </c:pt>
                <c:pt idx="277">
                  <c:v>0.93600000000000005</c:v>
                </c:pt>
                <c:pt idx="278">
                  <c:v>1.0349999999999999</c:v>
                </c:pt>
                <c:pt idx="279">
                  <c:v>1.278</c:v>
                </c:pt>
                <c:pt idx="280">
                  <c:v>0.86099999999999999</c:v>
                </c:pt>
                <c:pt idx="281">
                  <c:v>1.0760000000000001</c:v>
                </c:pt>
                <c:pt idx="282">
                  <c:v>1.327</c:v>
                </c:pt>
                <c:pt idx="283">
                  <c:v>2.1459999999999999</c:v>
                </c:pt>
                <c:pt idx="284">
                  <c:v>1.9279999999999999</c:v>
                </c:pt>
                <c:pt idx="285">
                  <c:v>1.2390000000000001</c:v>
                </c:pt>
                <c:pt idx="286">
                  <c:v>2.1120000000000001</c:v>
                </c:pt>
                <c:pt idx="287">
                  <c:v>1.2330000000000001</c:v>
                </c:pt>
                <c:pt idx="288">
                  <c:v>0.996</c:v>
                </c:pt>
                <c:pt idx="289">
                  <c:v>2.48</c:v>
                </c:pt>
                <c:pt idx="290">
                  <c:v>0</c:v>
                </c:pt>
                <c:pt idx="291">
                  <c:v>1.0940000000000001</c:v>
                </c:pt>
                <c:pt idx="292">
                  <c:v>2.1549999999999998</c:v>
                </c:pt>
                <c:pt idx="293">
                  <c:v>1.2210000000000001</c:v>
                </c:pt>
                <c:pt idx="294">
                  <c:v>1.0780000000000001</c:v>
                </c:pt>
                <c:pt idx="295">
                  <c:v>0.86199999999999999</c:v>
                </c:pt>
                <c:pt idx="296">
                  <c:v>1.2609999999999999</c:v>
                </c:pt>
                <c:pt idx="297">
                  <c:v>1.375</c:v>
                </c:pt>
                <c:pt idx="298">
                  <c:v>1.0840000000000001</c:v>
                </c:pt>
                <c:pt idx="299">
                  <c:v>0.92500000000000004</c:v>
                </c:pt>
                <c:pt idx="300">
                  <c:v>1.954</c:v>
                </c:pt>
                <c:pt idx="301">
                  <c:v>2.6789999999999998</c:v>
                </c:pt>
                <c:pt idx="302">
                  <c:v>1.6040000000000001</c:v>
                </c:pt>
                <c:pt idx="303">
                  <c:v>2.0129999999999999</c:v>
                </c:pt>
                <c:pt idx="304">
                  <c:v>0.66</c:v>
                </c:pt>
                <c:pt idx="305">
                  <c:v>0.93500000000000005</c:v>
                </c:pt>
                <c:pt idx="306">
                  <c:v>1.32</c:v>
                </c:pt>
                <c:pt idx="307">
                  <c:v>1.165</c:v>
                </c:pt>
                <c:pt idx="308">
                  <c:v>1.58</c:v>
                </c:pt>
                <c:pt idx="309">
                  <c:v>1.9079999999999999</c:v>
                </c:pt>
                <c:pt idx="310">
                  <c:v>2.1709999999999998</c:v>
                </c:pt>
                <c:pt idx="311">
                  <c:v>1.944</c:v>
                </c:pt>
                <c:pt idx="312">
                  <c:v>2.5470000000000002</c:v>
                </c:pt>
                <c:pt idx="313">
                  <c:v>0.86599999999999999</c:v>
                </c:pt>
                <c:pt idx="314">
                  <c:v>0.82399999999999995</c:v>
                </c:pt>
                <c:pt idx="315">
                  <c:v>0.82399999999999995</c:v>
                </c:pt>
                <c:pt idx="316">
                  <c:v>1.494</c:v>
                </c:pt>
                <c:pt idx="317">
                  <c:v>2.15</c:v>
                </c:pt>
                <c:pt idx="318">
                  <c:v>1.833</c:v>
                </c:pt>
                <c:pt idx="319">
                  <c:v>1.5549999999999999</c:v>
                </c:pt>
                <c:pt idx="320">
                  <c:v>1.476</c:v>
                </c:pt>
                <c:pt idx="321">
                  <c:v>2.7320000000000002</c:v>
                </c:pt>
                <c:pt idx="322">
                  <c:v>1.298</c:v>
                </c:pt>
                <c:pt idx="323">
                  <c:v>1.113</c:v>
                </c:pt>
                <c:pt idx="324">
                  <c:v>0.99299999999999999</c:v>
                </c:pt>
                <c:pt idx="325">
                  <c:v>1.1279999999999999</c:v>
                </c:pt>
                <c:pt idx="326">
                  <c:v>1.079</c:v>
                </c:pt>
                <c:pt idx="327">
                  <c:v>0.4</c:v>
                </c:pt>
                <c:pt idx="328">
                  <c:v>1.1639999999999999</c:v>
                </c:pt>
                <c:pt idx="329">
                  <c:v>1.0549999999999999</c:v>
                </c:pt>
                <c:pt idx="330">
                  <c:v>1.1140000000000001</c:v>
                </c:pt>
                <c:pt idx="331">
                  <c:v>1.3560000000000001</c:v>
                </c:pt>
                <c:pt idx="332">
                  <c:v>1.1419999999999999</c:v>
                </c:pt>
                <c:pt idx="333">
                  <c:v>1.4810000000000001</c:v>
                </c:pt>
                <c:pt idx="334">
                  <c:v>1.528</c:v>
                </c:pt>
                <c:pt idx="335">
                  <c:v>0.85599999999999998</c:v>
                </c:pt>
                <c:pt idx="336">
                  <c:v>1.54</c:v>
                </c:pt>
                <c:pt idx="337">
                  <c:v>1.1499999999999999</c:v>
                </c:pt>
                <c:pt idx="338">
                  <c:v>0.751</c:v>
                </c:pt>
                <c:pt idx="339">
                  <c:v>1.5940000000000001</c:v>
                </c:pt>
                <c:pt idx="340">
                  <c:v>0.93300000000000005</c:v>
                </c:pt>
                <c:pt idx="341">
                  <c:v>1.7170000000000001</c:v>
                </c:pt>
                <c:pt idx="342">
                  <c:v>0.51800000000000002</c:v>
                </c:pt>
                <c:pt idx="343">
                  <c:v>0.36499999999999999</c:v>
                </c:pt>
                <c:pt idx="344">
                  <c:v>0.86799999999999999</c:v>
                </c:pt>
                <c:pt idx="345">
                  <c:v>9.1999999999999998E-2</c:v>
                </c:pt>
                <c:pt idx="346">
                  <c:v>0.223</c:v>
                </c:pt>
                <c:pt idx="347">
                  <c:v>0.47499999999999998</c:v>
                </c:pt>
                <c:pt idx="348">
                  <c:v>0.32600000000000001</c:v>
                </c:pt>
                <c:pt idx="349">
                  <c:v>0.40100000000000002</c:v>
                </c:pt>
                <c:pt idx="350">
                  <c:v>1.2589999999999999</c:v>
                </c:pt>
                <c:pt idx="351">
                  <c:v>1.028</c:v>
                </c:pt>
                <c:pt idx="352">
                  <c:v>1.0189999999999999</c:v>
                </c:pt>
                <c:pt idx="353">
                  <c:v>1.6</c:v>
                </c:pt>
                <c:pt idx="354">
                  <c:v>2.4239999999999999</c:v>
                </c:pt>
                <c:pt idx="355">
                  <c:v>1.232</c:v>
                </c:pt>
                <c:pt idx="356">
                  <c:v>1.264</c:v>
                </c:pt>
                <c:pt idx="357">
                  <c:v>0.70099999999999996</c:v>
                </c:pt>
                <c:pt idx="358">
                  <c:v>1.6419999999999999</c:v>
                </c:pt>
                <c:pt idx="359">
                  <c:v>1.754</c:v>
                </c:pt>
                <c:pt idx="360">
                  <c:v>1.0549999999999999</c:v>
                </c:pt>
                <c:pt idx="361">
                  <c:v>0.69899999999999995</c:v>
                </c:pt>
                <c:pt idx="362">
                  <c:v>0.78</c:v>
                </c:pt>
                <c:pt idx="363">
                  <c:v>0.64700000000000002</c:v>
                </c:pt>
                <c:pt idx="364">
                  <c:v>1.321</c:v>
                </c:pt>
                <c:pt idx="365">
                  <c:v>0.60799999999999998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74848"/>
        <c:axId val="236976384"/>
      </c:lineChart>
      <c:catAx>
        <c:axId val="236974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76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976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74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0.254</c:v>
                </c:pt>
                <c:pt idx="152">
                  <c:v>0</c:v>
                </c:pt>
                <c:pt idx="153">
                  <c:v>4.5720000000000001</c:v>
                </c:pt>
                <c:pt idx="154">
                  <c:v>0</c:v>
                </c:pt>
                <c:pt idx="155">
                  <c:v>0</c:v>
                </c:pt>
                <c:pt idx="156">
                  <c:v>4.5720000000000001</c:v>
                </c:pt>
                <c:pt idx="157">
                  <c:v>12.19</c:v>
                </c:pt>
                <c:pt idx="158">
                  <c:v>1.524</c:v>
                </c:pt>
                <c:pt idx="159">
                  <c:v>0.76200000000000001</c:v>
                </c:pt>
                <c:pt idx="160">
                  <c:v>4.8259999999999996</c:v>
                </c:pt>
                <c:pt idx="161">
                  <c:v>0.254</c:v>
                </c:pt>
                <c:pt idx="162">
                  <c:v>7.8739999999999997</c:v>
                </c:pt>
                <c:pt idx="163">
                  <c:v>7.1120000000000001</c:v>
                </c:pt>
                <c:pt idx="164">
                  <c:v>10.67</c:v>
                </c:pt>
                <c:pt idx="165">
                  <c:v>12.95</c:v>
                </c:pt>
                <c:pt idx="166">
                  <c:v>0.254</c:v>
                </c:pt>
                <c:pt idx="167">
                  <c:v>1.016</c:v>
                </c:pt>
                <c:pt idx="168">
                  <c:v>0</c:v>
                </c:pt>
                <c:pt idx="169">
                  <c:v>0.254</c:v>
                </c:pt>
                <c:pt idx="170">
                  <c:v>0.50800000000000001</c:v>
                </c:pt>
                <c:pt idx="171">
                  <c:v>2.286</c:v>
                </c:pt>
                <c:pt idx="172">
                  <c:v>0.50800000000000001</c:v>
                </c:pt>
                <c:pt idx="173">
                  <c:v>0</c:v>
                </c:pt>
                <c:pt idx="174">
                  <c:v>2.032</c:v>
                </c:pt>
                <c:pt idx="175">
                  <c:v>14.73</c:v>
                </c:pt>
                <c:pt idx="176">
                  <c:v>0.254</c:v>
                </c:pt>
                <c:pt idx="177">
                  <c:v>0.76200000000000001</c:v>
                </c:pt>
                <c:pt idx="178">
                  <c:v>2.032</c:v>
                </c:pt>
                <c:pt idx="179">
                  <c:v>2.54</c:v>
                </c:pt>
                <c:pt idx="180">
                  <c:v>5.08</c:v>
                </c:pt>
                <c:pt idx="181">
                  <c:v>7.8739999999999997</c:v>
                </c:pt>
                <c:pt idx="182">
                  <c:v>14.48</c:v>
                </c:pt>
                <c:pt idx="183">
                  <c:v>5.3339999999999996</c:v>
                </c:pt>
                <c:pt idx="184">
                  <c:v>0.254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9.65</c:v>
                </c:pt>
                <c:pt idx="189">
                  <c:v>0</c:v>
                </c:pt>
                <c:pt idx="190">
                  <c:v>1.27</c:v>
                </c:pt>
                <c:pt idx="191">
                  <c:v>0</c:v>
                </c:pt>
                <c:pt idx="192">
                  <c:v>0</c:v>
                </c:pt>
                <c:pt idx="193">
                  <c:v>2.032</c:v>
                </c:pt>
                <c:pt idx="194">
                  <c:v>2.794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2.032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5.8419999999999996</c:v>
                </c:pt>
                <c:pt idx="219">
                  <c:v>1.778</c:v>
                </c:pt>
                <c:pt idx="220">
                  <c:v>2.54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1.27</c:v>
                </c:pt>
                <c:pt idx="234">
                  <c:v>0.50800000000000001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1.27</c:v>
                </c:pt>
                <c:pt idx="243">
                  <c:v>0.254</c:v>
                </c:pt>
                <c:pt idx="244">
                  <c:v>0</c:v>
                </c:pt>
                <c:pt idx="245">
                  <c:v>1.27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0.254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0.76200000000000001</c:v>
                </c:pt>
                <c:pt idx="263">
                  <c:v>0</c:v>
                </c:pt>
                <c:pt idx="264">
                  <c:v>0.254</c:v>
                </c:pt>
                <c:pt idx="265">
                  <c:v>0</c:v>
                </c:pt>
                <c:pt idx="266">
                  <c:v>8.64</c:v>
                </c:pt>
                <c:pt idx="267">
                  <c:v>0.76200000000000001</c:v>
                </c:pt>
                <c:pt idx="268">
                  <c:v>6.6040000000000001</c:v>
                </c:pt>
                <c:pt idx="269">
                  <c:v>0.50800000000000001</c:v>
                </c:pt>
                <c:pt idx="270">
                  <c:v>0.254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2.794</c:v>
                </c:pt>
                <c:pt idx="282">
                  <c:v>3.81</c:v>
                </c:pt>
                <c:pt idx="283">
                  <c:v>6.6040000000000001</c:v>
                </c:pt>
                <c:pt idx="284">
                  <c:v>0.254</c:v>
                </c:pt>
                <c:pt idx="285">
                  <c:v>0</c:v>
                </c:pt>
                <c:pt idx="286">
                  <c:v>0</c:v>
                </c:pt>
                <c:pt idx="287">
                  <c:v>0.254</c:v>
                </c:pt>
                <c:pt idx="288">
                  <c:v>0</c:v>
                </c:pt>
                <c:pt idx="289">
                  <c:v>1.778</c:v>
                </c:pt>
                <c:pt idx="290">
                  <c:v>0.254</c:v>
                </c:pt>
                <c:pt idx="291">
                  <c:v>0</c:v>
                </c:pt>
                <c:pt idx="292">
                  <c:v>0</c:v>
                </c:pt>
                <c:pt idx="293">
                  <c:v>0.254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1.524</c:v>
                </c:pt>
                <c:pt idx="302">
                  <c:v>1.27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0.254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50496"/>
        <c:axId val="237052288"/>
      </c:barChart>
      <c:catAx>
        <c:axId val="237050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522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052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5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Data!$AX$6:$AX$371</c:f>
              <c:numCache>
                <c:formatCode>General</c:formatCode>
                <c:ptCount val="366"/>
                <c:pt idx="0">
                  <c:v>0.87699999999999978</c:v>
                </c:pt>
                <c:pt idx="1">
                  <c:v>1.1119999999999999</c:v>
                </c:pt>
                <c:pt idx="2">
                  <c:v>1.0199999999999998</c:v>
                </c:pt>
                <c:pt idx="3">
                  <c:v>0.97899999999999987</c:v>
                </c:pt>
                <c:pt idx="4">
                  <c:v>0.93699999999999983</c:v>
                </c:pt>
                <c:pt idx="5">
                  <c:v>1.0699999999999998</c:v>
                </c:pt>
                <c:pt idx="6">
                  <c:v>1.0469999999999999</c:v>
                </c:pt>
                <c:pt idx="7">
                  <c:v>1.0859999999999999</c:v>
                </c:pt>
                <c:pt idx="8">
                  <c:v>1.0559999999999998</c:v>
                </c:pt>
                <c:pt idx="9">
                  <c:v>1.1819999999999997</c:v>
                </c:pt>
                <c:pt idx="10">
                  <c:v>1.2359999999999998</c:v>
                </c:pt>
                <c:pt idx="11">
                  <c:v>1.1969999999999998</c:v>
                </c:pt>
                <c:pt idx="12">
                  <c:v>1.1449999999999998</c:v>
                </c:pt>
                <c:pt idx="13">
                  <c:v>1.1269999999999998</c:v>
                </c:pt>
                <c:pt idx="14">
                  <c:v>1.2209999999999999</c:v>
                </c:pt>
                <c:pt idx="15">
                  <c:v>1.2209999999999999</c:v>
                </c:pt>
                <c:pt idx="16">
                  <c:v>1.1549999999999998</c:v>
                </c:pt>
                <c:pt idx="17">
                  <c:v>1.1469999999999998</c:v>
                </c:pt>
                <c:pt idx="18">
                  <c:v>1.1429999999999998</c:v>
                </c:pt>
                <c:pt idx="19">
                  <c:v>1.1169999999999998</c:v>
                </c:pt>
                <c:pt idx="20">
                  <c:v>1.1309999999999998</c:v>
                </c:pt>
                <c:pt idx="21">
                  <c:v>1.1609999999999998</c:v>
                </c:pt>
                <c:pt idx="22">
                  <c:v>1.1199999999999999</c:v>
                </c:pt>
                <c:pt idx="23">
                  <c:v>1.1449999999999998</c:v>
                </c:pt>
                <c:pt idx="24">
                  <c:v>1.1489999999999998</c:v>
                </c:pt>
                <c:pt idx="25">
                  <c:v>1.1379999999999999</c:v>
                </c:pt>
                <c:pt idx="26">
                  <c:v>1.1979999999999997</c:v>
                </c:pt>
                <c:pt idx="27">
                  <c:v>1.2039999999999997</c:v>
                </c:pt>
                <c:pt idx="28">
                  <c:v>1.1819999999999997</c:v>
                </c:pt>
                <c:pt idx="29">
                  <c:v>1.1519999999999999</c:v>
                </c:pt>
                <c:pt idx="30">
                  <c:v>1.1479999999999999</c:v>
                </c:pt>
                <c:pt idx="31">
                  <c:v>1.1519999999999999</c:v>
                </c:pt>
                <c:pt idx="32">
                  <c:v>1.1109999999999998</c:v>
                </c:pt>
                <c:pt idx="33">
                  <c:v>1.2579999999999998</c:v>
                </c:pt>
                <c:pt idx="34">
                  <c:v>1.2879999999999998</c:v>
                </c:pt>
                <c:pt idx="35">
                  <c:v>1.41</c:v>
                </c:pt>
                <c:pt idx="36">
                  <c:v>1.5299999999999998</c:v>
                </c:pt>
                <c:pt idx="37">
                  <c:v>1.5639999999999998</c:v>
                </c:pt>
                <c:pt idx="38">
                  <c:v>1.577</c:v>
                </c:pt>
                <c:pt idx="39">
                  <c:v>1.5299999999999998</c:v>
                </c:pt>
                <c:pt idx="40">
                  <c:v>1.4829999999999999</c:v>
                </c:pt>
                <c:pt idx="41">
                  <c:v>1.4389999999999998</c:v>
                </c:pt>
                <c:pt idx="42">
                  <c:v>1.4159999999999999</c:v>
                </c:pt>
                <c:pt idx="43">
                  <c:v>1.4109999999999998</c:v>
                </c:pt>
                <c:pt idx="44">
                  <c:v>1.3809999999999998</c:v>
                </c:pt>
                <c:pt idx="45">
                  <c:v>1.4329999999999998</c:v>
                </c:pt>
                <c:pt idx="46">
                  <c:v>1.4879999999999998</c:v>
                </c:pt>
                <c:pt idx="47">
                  <c:v>1.4709999999999999</c:v>
                </c:pt>
                <c:pt idx="48">
                  <c:v>1.4319999999999997</c:v>
                </c:pt>
                <c:pt idx="49">
                  <c:v>1.4049999999999998</c:v>
                </c:pt>
                <c:pt idx="50">
                  <c:v>1.3699999999999999</c:v>
                </c:pt>
                <c:pt idx="51">
                  <c:v>1.3509999999999998</c:v>
                </c:pt>
                <c:pt idx="52">
                  <c:v>1.3649999999999998</c:v>
                </c:pt>
                <c:pt idx="53">
                  <c:v>1.3679999999999999</c:v>
                </c:pt>
                <c:pt idx="54">
                  <c:v>1.5879999999999999</c:v>
                </c:pt>
                <c:pt idx="55">
                  <c:v>1.5619999999999998</c:v>
                </c:pt>
                <c:pt idx="56">
                  <c:v>1.5129999999999999</c:v>
                </c:pt>
                <c:pt idx="57">
                  <c:v>1.4749999999999999</c:v>
                </c:pt>
                <c:pt idx="58">
                  <c:v>1.4489999999999998</c:v>
                </c:pt>
                <c:pt idx="59">
                  <c:v>1.5359999999999998</c:v>
                </c:pt>
                <c:pt idx="60">
                  <c:v>1.5019999999999998</c:v>
                </c:pt>
                <c:pt idx="61">
                  <c:v>1.42</c:v>
                </c:pt>
                <c:pt idx="62">
                  <c:v>1.4119999999999999</c:v>
                </c:pt>
                <c:pt idx="63">
                  <c:v>1.3989999999999998</c:v>
                </c:pt>
                <c:pt idx="64">
                  <c:v>1.38</c:v>
                </c:pt>
                <c:pt idx="65">
                  <c:v>1.3709999999999998</c:v>
                </c:pt>
                <c:pt idx="66">
                  <c:v>1.4499999999999997</c:v>
                </c:pt>
                <c:pt idx="67">
                  <c:v>1.42</c:v>
                </c:pt>
                <c:pt idx="68">
                  <c:v>1.4049999999999998</c:v>
                </c:pt>
                <c:pt idx="69">
                  <c:v>1.4059999999999999</c:v>
                </c:pt>
                <c:pt idx="70">
                  <c:v>1.5029999999999999</c:v>
                </c:pt>
                <c:pt idx="71">
                  <c:v>1.4969999999999999</c:v>
                </c:pt>
                <c:pt idx="72">
                  <c:v>1.9999999999999998</c:v>
                </c:pt>
                <c:pt idx="73">
                  <c:v>1.8499999999999999</c:v>
                </c:pt>
                <c:pt idx="74">
                  <c:v>1.5499999999999998</c:v>
                </c:pt>
                <c:pt idx="75">
                  <c:v>1.4729999999999999</c:v>
                </c:pt>
                <c:pt idx="76">
                  <c:v>1.4449999999999998</c:v>
                </c:pt>
                <c:pt idx="77">
                  <c:v>1.4159999999999999</c:v>
                </c:pt>
                <c:pt idx="78">
                  <c:v>1.3989999999999998</c:v>
                </c:pt>
                <c:pt idx="79">
                  <c:v>1.3759999999999999</c:v>
                </c:pt>
                <c:pt idx="80">
                  <c:v>1.3589999999999998</c:v>
                </c:pt>
                <c:pt idx="81">
                  <c:v>1.3459999999999999</c:v>
                </c:pt>
                <c:pt idx="82">
                  <c:v>1.3499999999999999</c:v>
                </c:pt>
                <c:pt idx="83">
                  <c:v>1.3469999999999998</c:v>
                </c:pt>
                <c:pt idx="84">
                  <c:v>1.3749999999999998</c:v>
                </c:pt>
                <c:pt idx="85">
                  <c:v>1.3619999999999999</c:v>
                </c:pt>
                <c:pt idx="86">
                  <c:v>1.3729999999999998</c:v>
                </c:pt>
                <c:pt idx="87">
                  <c:v>1.3819999999999999</c:v>
                </c:pt>
                <c:pt idx="88">
                  <c:v>1.3339999999999999</c:v>
                </c:pt>
                <c:pt idx="89">
                  <c:v>1.3839999999999999</c:v>
                </c:pt>
                <c:pt idx="90">
                  <c:v>1.3639999999999999</c:v>
                </c:pt>
                <c:pt idx="91">
                  <c:v>1.3779999999999999</c:v>
                </c:pt>
                <c:pt idx="92">
                  <c:v>1.3679999999999999</c:v>
                </c:pt>
                <c:pt idx="93">
                  <c:v>1.4329999999999998</c:v>
                </c:pt>
                <c:pt idx="94">
                  <c:v>1.3709999999999998</c:v>
                </c:pt>
                <c:pt idx="95">
                  <c:v>1.4059999999999999</c:v>
                </c:pt>
                <c:pt idx="96">
                  <c:v>1.3559999999999999</c:v>
                </c:pt>
                <c:pt idx="97">
                  <c:v>1.3059999999999998</c:v>
                </c:pt>
                <c:pt idx="98">
                  <c:v>1.2949999999999999</c:v>
                </c:pt>
                <c:pt idx="99">
                  <c:v>1.2399999999999998</c:v>
                </c:pt>
                <c:pt idx="100">
                  <c:v>1.3199999999999998</c:v>
                </c:pt>
                <c:pt idx="101">
                  <c:v>1.3099999999999998</c:v>
                </c:pt>
                <c:pt idx="102">
                  <c:v>1.2769999999999999</c:v>
                </c:pt>
                <c:pt idx="103">
                  <c:v>1.2579999999999998</c:v>
                </c:pt>
                <c:pt idx="104">
                  <c:v>1.2969999999999999</c:v>
                </c:pt>
                <c:pt idx="105">
                  <c:v>1.2669999999999999</c:v>
                </c:pt>
                <c:pt idx="106">
                  <c:v>1.2469999999999999</c:v>
                </c:pt>
                <c:pt idx="107">
                  <c:v>1.2189999999999999</c:v>
                </c:pt>
                <c:pt idx="108">
                  <c:v>1.1889999999999998</c:v>
                </c:pt>
                <c:pt idx="109">
                  <c:v>1.1619999999999999</c:v>
                </c:pt>
                <c:pt idx="110">
                  <c:v>1.1229999999999998</c:v>
                </c:pt>
                <c:pt idx="111">
                  <c:v>1.0969999999999998</c:v>
                </c:pt>
                <c:pt idx="112">
                  <c:v>1.1349999999999998</c:v>
                </c:pt>
                <c:pt idx="113">
                  <c:v>1.1049999999999998</c:v>
                </c:pt>
                <c:pt idx="114">
                  <c:v>1.0879999999999999</c:v>
                </c:pt>
                <c:pt idx="115">
                  <c:v>1.0779999999999998</c:v>
                </c:pt>
                <c:pt idx="116">
                  <c:v>1.0639999999999998</c:v>
                </c:pt>
                <c:pt idx="117">
                  <c:v>1.0559999999999998</c:v>
                </c:pt>
                <c:pt idx="118">
                  <c:v>1.0299999999999998</c:v>
                </c:pt>
                <c:pt idx="119">
                  <c:v>1.0059999999999998</c:v>
                </c:pt>
                <c:pt idx="120">
                  <c:v>0.95999999999999974</c:v>
                </c:pt>
                <c:pt idx="121">
                  <c:v>0.93499999999999983</c:v>
                </c:pt>
                <c:pt idx="122">
                  <c:v>1.0269999999999999</c:v>
                </c:pt>
                <c:pt idx="123">
                  <c:v>0.94699999999999984</c:v>
                </c:pt>
                <c:pt idx="124">
                  <c:v>0.92399999999999993</c:v>
                </c:pt>
                <c:pt idx="125">
                  <c:v>0.89799999999999991</c:v>
                </c:pt>
                <c:pt idx="126">
                  <c:v>1.1759999999999997</c:v>
                </c:pt>
                <c:pt idx="127">
                  <c:v>1.0009999999999999</c:v>
                </c:pt>
                <c:pt idx="128">
                  <c:v>0.91699999999999982</c:v>
                </c:pt>
                <c:pt idx="129">
                  <c:v>0.85799999999999987</c:v>
                </c:pt>
                <c:pt idx="130">
                  <c:v>0.80399999999999983</c:v>
                </c:pt>
                <c:pt idx="131">
                  <c:v>0.74899999999999989</c:v>
                </c:pt>
                <c:pt idx="132">
                  <c:v>0.71799999999999975</c:v>
                </c:pt>
                <c:pt idx="133">
                  <c:v>0.68399999999999972</c:v>
                </c:pt>
                <c:pt idx="134">
                  <c:v>0.65199999999999991</c:v>
                </c:pt>
                <c:pt idx="135">
                  <c:v>0.62599999999999989</c:v>
                </c:pt>
                <c:pt idx="136">
                  <c:v>0.60599999999999987</c:v>
                </c:pt>
                <c:pt idx="137">
                  <c:v>0.57999999999999985</c:v>
                </c:pt>
                <c:pt idx="138">
                  <c:v>0.53799999999999981</c:v>
                </c:pt>
                <c:pt idx="139">
                  <c:v>0.47899999999999965</c:v>
                </c:pt>
                <c:pt idx="140">
                  <c:v>0.43799999999999972</c:v>
                </c:pt>
                <c:pt idx="141">
                  <c:v>0.49199999999999999</c:v>
                </c:pt>
                <c:pt idx="142">
                  <c:v>0.7699999999999998</c:v>
                </c:pt>
                <c:pt idx="143">
                  <c:v>0.59699999999999975</c:v>
                </c:pt>
                <c:pt idx="144">
                  <c:v>0.51200000000000001</c:v>
                </c:pt>
                <c:pt idx="145">
                  <c:v>0.47299999999999986</c:v>
                </c:pt>
                <c:pt idx="146">
                  <c:v>0.41299999999999981</c:v>
                </c:pt>
                <c:pt idx="147">
                  <c:v>0.34299999999999997</c:v>
                </c:pt>
                <c:pt idx="148">
                  <c:v>0.29199999999999982</c:v>
                </c:pt>
                <c:pt idx="149">
                  <c:v>0.21099999999999985</c:v>
                </c:pt>
                <c:pt idx="150">
                  <c:v>0.13099999999999978</c:v>
                </c:pt>
                <c:pt idx="151">
                  <c:v>0.10499999999999998</c:v>
                </c:pt>
                <c:pt idx="152">
                  <c:v>4.0999999999999925E-2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4.5999999999999819E-2</c:v>
                </c:pt>
                <c:pt idx="285">
                  <c:v>5.3999999999999826E-2</c:v>
                </c:pt>
                <c:pt idx="286">
                  <c:v>0.21999999999999975</c:v>
                </c:pt>
                <c:pt idx="287">
                  <c:v>0.19599999999999973</c:v>
                </c:pt>
                <c:pt idx="288">
                  <c:v>0.21399999999999997</c:v>
                </c:pt>
                <c:pt idx="289">
                  <c:v>0.1419999999999999</c:v>
                </c:pt>
                <c:pt idx="290">
                  <c:v>0.12299999999999978</c:v>
                </c:pt>
                <c:pt idx="291">
                  <c:v>0.18599999999999994</c:v>
                </c:pt>
                <c:pt idx="292">
                  <c:v>0.17399999999999993</c:v>
                </c:pt>
                <c:pt idx="293">
                  <c:v>0.16299999999999981</c:v>
                </c:pt>
                <c:pt idx="294">
                  <c:v>0.19999999999999973</c:v>
                </c:pt>
                <c:pt idx="295">
                  <c:v>0.18899999999999961</c:v>
                </c:pt>
                <c:pt idx="296">
                  <c:v>0.52699999999999969</c:v>
                </c:pt>
                <c:pt idx="297">
                  <c:v>0.54800000000000004</c:v>
                </c:pt>
                <c:pt idx="298">
                  <c:v>0.48499999999999988</c:v>
                </c:pt>
                <c:pt idx="299">
                  <c:v>0.42899999999999983</c:v>
                </c:pt>
                <c:pt idx="300">
                  <c:v>0.39500000000000002</c:v>
                </c:pt>
                <c:pt idx="301">
                  <c:v>0.26499999999999968</c:v>
                </c:pt>
                <c:pt idx="302">
                  <c:v>0.21799999999999997</c:v>
                </c:pt>
                <c:pt idx="303">
                  <c:v>0.20699999999999985</c:v>
                </c:pt>
                <c:pt idx="304">
                  <c:v>0.20599999999999996</c:v>
                </c:pt>
                <c:pt idx="305">
                  <c:v>0.21299999999999963</c:v>
                </c:pt>
                <c:pt idx="306">
                  <c:v>0.21499999999999986</c:v>
                </c:pt>
                <c:pt idx="307">
                  <c:v>0.20399999999999974</c:v>
                </c:pt>
                <c:pt idx="308">
                  <c:v>0.17399999999999993</c:v>
                </c:pt>
                <c:pt idx="309">
                  <c:v>0.19099999999999984</c:v>
                </c:pt>
                <c:pt idx="310">
                  <c:v>0.18299999999999983</c:v>
                </c:pt>
                <c:pt idx="311">
                  <c:v>0.22999999999999998</c:v>
                </c:pt>
                <c:pt idx="312">
                  <c:v>0.23799999999999999</c:v>
                </c:pt>
                <c:pt idx="313">
                  <c:v>0.2889999999999997</c:v>
                </c:pt>
                <c:pt idx="314">
                  <c:v>0.37199999999999989</c:v>
                </c:pt>
                <c:pt idx="315">
                  <c:v>0.35099999999999998</c:v>
                </c:pt>
                <c:pt idx="316">
                  <c:v>0.3969999999999998</c:v>
                </c:pt>
                <c:pt idx="317">
                  <c:v>0.53399999999999981</c:v>
                </c:pt>
                <c:pt idx="318">
                  <c:v>0.50099999999999989</c:v>
                </c:pt>
                <c:pt idx="319">
                  <c:v>0.5169999999999999</c:v>
                </c:pt>
                <c:pt idx="320">
                  <c:v>0.59899999999999975</c:v>
                </c:pt>
                <c:pt idx="321">
                  <c:v>0.55899999999999972</c:v>
                </c:pt>
                <c:pt idx="322">
                  <c:v>0.59799999999999986</c:v>
                </c:pt>
                <c:pt idx="323">
                  <c:v>0.57799999999999985</c:v>
                </c:pt>
                <c:pt idx="324">
                  <c:v>0.55699999999999972</c:v>
                </c:pt>
                <c:pt idx="325">
                  <c:v>0.54</c:v>
                </c:pt>
                <c:pt idx="326">
                  <c:v>0.5389999999999997</c:v>
                </c:pt>
                <c:pt idx="327">
                  <c:v>0.53099999999999969</c:v>
                </c:pt>
                <c:pt idx="328">
                  <c:v>0.52099999999999991</c:v>
                </c:pt>
                <c:pt idx="329">
                  <c:v>0.5299999999999998</c:v>
                </c:pt>
                <c:pt idx="330">
                  <c:v>0.50099999999999989</c:v>
                </c:pt>
                <c:pt idx="331">
                  <c:v>0.5089999999999999</c:v>
                </c:pt>
                <c:pt idx="332">
                  <c:v>0.5</c:v>
                </c:pt>
                <c:pt idx="333">
                  <c:v>0.49099999999999966</c:v>
                </c:pt>
                <c:pt idx="334">
                  <c:v>0.5089999999999999</c:v>
                </c:pt>
                <c:pt idx="335">
                  <c:v>0.49799999999999978</c:v>
                </c:pt>
                <c:pt idx="336">
                  <c:v>0.50499999999999989</c:v>
                </c:pt>
                <c:pt idx="337">
                  <c:v>0.51099999999999968</c:v>
                </c:pt>
                <c:pt idx="338">
                  <c:v>0.50199999999999978</c:v>
                </c:pt>
                <c:pt idx="339">
                  <c:v>0.50599999999999978</c:v>
                </c:pt>
                <c:pt idx="340">
                  <c:v>0.50199999999999978</c:v>
                </c:pt>
                <c:pt idx="341">
                  <c:v>0.50299999999999967</c:v>
                </c:pt>
                <c:pt idx="342">
                  <c:v>0.60199999999999987</c:v>
                </c:pt>
                <c:pt idx="343">
                  <c:v>0.64999999999999991</c:v>
                </c:pt>
                <c:pt idx="344">
                  <c:v>0.62799999999999989</c:v>
                </c:pt>
                <c:pt idx="345">
                  <c:v>0.63899999999999979</c:v>
                </c:pt>
                <c:pt idx="346">
                  <c:v>0.63699999999999979</c:v>
                </c:pt>
                <c:pt idx="347">
                  <c:v>0.67399999999999993</c:v>
                </c:pt>
                <c:pt idx="348">
                  <c:v>0.65999999999999992</c:v>
                </c:pt>
                <c:pt idx="349">
                  <c:v>0.72399999999999975</c:v>
                </c:pt>
                <c:pt idx="350">
                  <c:v>0.77499999999999991</c:v>
                </c:pt>
                <c:pt idx="351">
                  <c:v>0.7609999999999999</c:v>
                </c:pt>
                <c:pt idx="352">
                  <c:v>0.78399999999999981</c:v>
                </c:pt>
                <c:pt idx="353">
                  <c:v>0.7569999999999999</c:v>
                </c:pt>
                <c:pt idx="354">
                  <c:v>0.74099999999999988</c:v>
                </c:pt>
                <c:pt idx="355">
                  <c:v>0.97599999999999976</c:v>
                </c:pt>
                <c:pt idx="356">
                  <c:v>0.92699999999999982</c:v>
                </c:pt>
                <c:pt idx="357">
                  <c:v>0.8919999999999999</c:v>
                </c:pt>
                <c:pt idx="358">
                  <c:v>0.86999999999999988</c:v>
                </c:pt>
                <c:pt idx="359">
                  <c:v>0.88099999999999978</c:v>
                </c:pt>
                <c:pt idx="360">
                  <c:v>0.87799999999999989</c:v>
                </c:pt>
                <c:pt idx="361">
                  <c:v>0.85799999999999987</c:v>
                </c:pt>
                <c:pt idx="362">
                  <c:v>0.85099999999999976</c:v>
                </c:pt>
                <c:pt idx="363">
                  <c:v>0.85299999999999976</c:v>
                </c:pt>
                <c:pt idx="364">
                  <c:v>0.91799999999999993</c:v>
                </c:pt>
                <c:pt idx="365">
                  <c:v>0.91899999999999982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80960"/>
        <c:axId val="237082496"/>
      </c:lineChart>
      <c:catAx>
        <c:axId val="237080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824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082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8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19360"/>
        <c:axId val="237120896"/>
      </c:lineChart>
      <c:catAx>
        <c:axId val="237119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208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120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19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-0.85799999999999998</c:v>
                </c:pt>
                <c:pt idx="1">
                  <c:v>-0.72099999999999997</c:v>
                </c:pt>
                <c:pt idx="2">
                  <c:v>-0.69</c:v>
                </c:pt>
                <c:pt idx="3">
                  <c:v>-0.66300000000000003</c:v>
                </c:pt>
                <c:pt idx="4">
                  <c:v>-0.64100000000000001</c:v>
                </c:pt>
                <c:pt idx="5">
                  <c:v>-0.67600000000000005</c:v>
                </c:pt>
                <c:pt idx="6">
                  <c:v>-0.72</c:v>
                </c:pt>
                <c:pt idx="7">
                  <c:v>-0.746</c:v>
                </c:pt>
                <c:pt idx="8">
                  <c:v>-0.71399999999999997</c:v>
                </c:pt>
                <c:pt idx="9">
                  <c:v>-0.69299999999999995</c:v>
                </c:pt>
                <c:pt idx="10">
                  <c:v>-0.74099999999999999</c:v>
                </c:pt>
                <c:pt idx="11">
                  <c:v>-0.84499999999999997</c:v>
                </c:pt>
                <c:pt idx="12">
                  <c:v>-0.97299999999999998</c:v>
                </c:pt>
                <c:pt idx="13">
                  <c:v>-0.95299999999999996</c:v>
                </c:pt>
                <c:pt idx="14">
                  <c:v>-0.93</c:v>
                </c:pt>
                <c:pt idx="15">
                  <c:v>-0.92</c:v>
                </c:pt>
                <c:pt idx="16">
                  <c:v>-1.006</c:v>
                </c:pt>
                <c:pt idx="17">
                  <c:v>-0.997</c:v>
                </c:pt>
                <c:pt idx="18">
                  <c:v>-1.0069999999999999</c:v>
                </c:pt>
                <c:pt idx="19">
                  <c:v>-0.995</c:v>
                </c:pt>
                <c:pt idx="20">
                  <c:v>-0.92700000000000005</c:v>
                </c:pt>
                <c:pt idx="21">
                  <c:v>-0.82199999999999995</c:v>
                </c:pt>
                <c:pt idx="22">
                  <c:v>-0.72799999999999998</c:v>
                </c:pt>
                <c:pt idx="23">
                  <c:v>-0.66</c:v>
                </c:pt>
                <c:pt idx="24">
                  <c:v>-0.60699999999999998</c:v>
                </c:pt>
                <c:pt idx="25">
                  <c:v>-0.53700000000000003</c:v>
                </c:pt>
                <c:pt idx="26">
                  <c:v>-0.52700000000000002</c:v>
                </c:pt>
                <c:pt idx="27">
                  <c:v>-0.51500000000000001</c:v>
                </c:pt>
                <c:pt idx="28">
                  <c:v>-0.498</c:v>
                </c:pt>
                <c:pt idx="29">
                  <c:v>-0.51300000000000001</c:v>
                </c:pt>
                <c:pt idx="30">
                  <c:v>-0.497</c:v>
                </c:pt>
                <c:pt idx="31">
                  <c:v>-0.55200000000000005</c:v>
                </c:pt>
                <c:pt idx="32">
                  <c:v>-0.59099999999999997</c:v>
                </c:pt>
                <c:pt idx="33">
                  <c:v>-0.58899999999999997</c:v>
                </c:pt>
                <c:pt idx="34">
                  <c:v>-0.64100000000000001</c:v>
                </c:pt>
                <c:pt idx="35">
                  <c:v>-0.64</c:v>
                </c:pt>
                <c:pt idx="36">
                  <c:v>-0.69599999999999995</c:v>
                </c:pt>
                <c:pt idx="37">
                  <c:v>-0.71699999999999997</c:v>
                </c:pt>
                <c:pt idx="38">
                  <c:v>-0.70299999999999996</c:v>
                </c:pt>
                <c:pt idx="39">
                  <c:v>-0.66500000000000004</c:v>
                </c:pt>
                <c:pt idx="40">
                  <c:v>-0.622</c:v>
                </c:pt>
                <c:pt idx="41">
                  <c:v>-0.59</c:v>
                </c:pt>
                <c:pt idx="42">
                  <c:v>-0.58799999999999997</c:v>
                </c:pt>
                <c:pt idx="43">
                  <c:v>-0.55500000000000005</c:v>
                </c:pt>
                <c:pt idx="44">
                  <c:v>-0.54</c:v>
                </c:pt>
                <c:pt idx="45">
                  <c:v>-0.52200000000000002</c:v>
                </c:pt>
                <c:pt idx="46">
                  <c:v>-0.52</c:v>
                </c:pt>
                <c:pt idx="47">
                  <c:v>-0.52300000000000002</c:v>
                </c:pt>
                <c:pt idx="48">
                  <c:v>-0.53700000000000003</c:v>
                </c:pt>
                <c:pt idx="49">
                  <c:v>-0.56200000000000006</c:v>
                </c:pt>
                <c:pt idx="50">
                  <c:v>-0.52400000000000002</c:v>
                </c:pt>
                <c:pt idx="51">
                  <c:v>-0.5</c:v>
                </c:pt>
                <c:pt idx="52">
                  <c:v>-0.498</c:v>
                </c:pt>
                <c:pt idx="53">
                  <c:v>-0.50900000000000001</c:v>
                </c:pt>
                <c:pt idx="54">
                  <c:v>-0.51</c:v>
                </c:pt>
                <c:pt idx="55">
                  <c:v>-0.51300000000000001</c:v>
                </c:pt>
                <c:pt idx="56">
                  <c:v>-0.50900000000000001</c:v>
                </c:pt>
                <c:pt idx="57">
                  <c:v>-0.49</c:v>
                </c:pt>
                <c:pt idx="58">
                  <c:v>-0.47899999999999998</c:v>
                </c:pt>
                <c:pt idx="59">
                  <c:v>-0.46700000000000003</c:v>
                </c:pt>
                <c:pt idx="60">
                  <c:v>-0.45300000000000001</c:v>
                </c:pt>
                <c:pt idx="61">
                  <c:v>-0.42599999999999999</c:v>
                </c:pt>
                <c:pt idx="62">
                  <c:v>-0.41499999999999998</c:v>
                </c:pt>
                <c:pt idx="63">
                  <c:v>-0.40699999999999997</c:v>
                </c:pt>
                <c:pt idx="64">
                  <c:v>-0.39200000000000002</c:v>
                </c:pt>
                <c:pt idx="65">
                  <c:v>-0.374</c:v>
                </c:pt>
                <c:pt idx="66">
                  <c:v>-0.36699999999999999</c:v>
                </c:pt>
                <c:pt idx="67">
                  <c:v>-0.36699999999999999</c:v>
                </c:pt>
                <c:pt idx="68">
                  <c:v>-0.36499999999999999</c:v>
                </c:pt>
                <c:pt idx="69">
                  <c:v>-0.36299999999999999</c:v>
                </c:pt>
                <c:pt idx="70">
                  <c:v>-0.36</c:v>
                </c:pt>
                <c:pt idx="71">
                  <c:v>-0.372</c:v>
                </c:pt>
                <c:pt idx="72">
                  <c:v>-0.38300000000000001</c:v>
                </c:pt>
                <c:pt idx="73">
                  <c:v>-0.39</c:v>
                </c:pt>
                <c:pt idx="74">
                  <c:v>-0.39400000000000002</c:v>
                </c:pt>
                <c:pt idx="75">
                  <c:v>-0.41099999999999998</c:v>
                </c:pt>
                <c:pt idx="76">
                  <c:v>-0.40300000000000002</c:v>
                </c:pt>
                <c:pt idx="77">
                  <c:v>-0.39400000000000002</c:v>
                </c:pt>
                <c:pt idx="78">
                  <c:v>-0.38600000000000001</c:v>
                </c:pt>
                <c:pt idx="79">
                  <c:v>-0.36899999999999999</c:v>
                </c:pt>
                <c:pt idx="80">
                  <c:v>-0.35199999999999998</c:v>
                </c:pt>
                <c:pt idx="81">
                  <c:v>-0.34499999999999997</c:v>
                </c:pt>
                <c:pt idx="82">
                  <c:v>-0.32700000000000001</c:v>
                </c:pt>
                <c:pt idx="83">
                  <c:v>-0.33400000000000002</c:v>
                </c:pt>
                <c:pt idx="84">
                  <c:v>-0.35699999999999998</c:v>
                </c:pt>
                <c:pt idx="85">
                  <c:v>-0.35299999999999998</c:v>
                </c:pt>
                <c:pt idx="86">
                  <c:v>-0.35499999999999998</c:v>
                </c:pt>
                <c:pt idx="87">
                  <c:v>-0.35799999999999998</c:v>
                </c:pt>
                <c:pt idx="88">
                  <c:v>-0.35299999999999998</c:v>
                </c:pt>
                <c:pt idx="89">
                  <c:v>-0.35799999999999998</c:v>
                </c:pt>
                <c:pt idx="90">
                  <c:v>-0.35299999999999998</c:v>
                </c:pt>
                <c:pt idx="91">
                  <c:v>-0.35399999999999998</c:v>
                </c:pt>
                <c:pt idx="92">
                  <c:v>-0.34699999999999998</c:v>
                </c:pt>
                <c:pt idx="93">
                  <c:v>-0.33600000000000002</c:v>
                </c:pt>
                <c:pt idx="94">
                  <c:v>-0.34499999999999997</c:v>
                </c:pt>
                <c:pt idx="95">
                  <c:v>-0.35499999999999998</c:v>
                </c:pt>
                <c:pt idx="96">
                  <c:v>-0.36299999999999999</c:v>
                </c:pt>
                <c:pt idx="97">
                  <c:v>-0.36199999999999999</c:v>
                </c:pt>
                <c:pt idx="98">
                  <c:v>-0.36299999999999999</c:v>
                </c:pt>
                <c:pt idx="99">
                  <c:v>-0.34200000000000003</c:v>
                </c:pt>
                <c:pt idx="100">
                  <c:v>-0.28399999999999997</c:v>
                </c:pt>
                <c:pt idx="101">
                  <c:v>-0.254</c:v>
                </c:pt>
                <c:pt idx="102">
                  <c:v>-0.222</c:v>
                </c:pt>
                <c:pt idx="103">
                  <c:v>-0.155</c:v>
                </c:pt>
                <c:pt idx="104">
                  <c:v>-9.2999999999999999E-2</c:v>
                </c:pt>
                <c:pt idx="105">
                  <c:v>-8.1000000000000003E-2</c:v>
                </c:pt>
                <c:pt idx="106">
                  <c:v>-8.5999999999999993E-2</c:v>
                </c:pt>
                <c:pt idx="107">
                  <c:v>-7.1999999999999995E-2</c:v>
                </c:pt>
                <c:pt idx="108">
                  <c:v>-4.2999999999999997E-2</c:v>
                </c:pt>
                <c:pt idx="109">
                  <c:v>-2.7E-2</c:v>
                </c:pt>
                <c:pt idx="110">
                  <c:v>-2.1000000000000001E-2</c:v>
                </c:pt>
                <c:pt idx="111">
                  <c:v>-5.0000000000000001E-3</c:v>
                </c:pt>
                <c:pt idx="112">
                  <c:v>-1.4999999999999999E-2</c:v>
                </c:pt>
                <c:pt idx="113">
                  <c:v>-1.2E-2</c:v>
                </c:pt>
                <c:pt idx="114">
                  <c:v>-8.0000000000000002E-3</c:v>
                </c:pt>
                <c:pt idx="115">
                  <c:v>-2E-3</c:v>
                </c:pt>
                <c:pt idx="116">
                  <c:v>-1.0999999999999999E-2</c:v>
                </c:pt>
                <c:pt idx="117">
                  <c:v>5.0000000000000001E-3</c:v>
                </c:pt>
                <c:pt idx="118">
                  <c:v>-0.01</c:v>
                </c:pt>
                <c:pt idx="119">
                  <c:v>2.4E-2</c:v>
                </c:pt>
                <c:pt idx="120">
                  <c:v>1.7999999999999999E-2</c:v>
                </c:pt>
                <c:pt idx="121">
                  <c:v>-1E-3</c:v>
                </c:pt>
                <c:pt idx="122">
                  <c:v>1.0999999999999999E-2</c:v>
                </c:pt>
                <c:pt idx="123">
                  <c:v>-1.0999999999999999E-2</c:v>
                </c:pt>
                <c:pt idx="124">
                  <c:v>-1.2E-2</c:v>
                </c:pt>
                <c:pt idx="125">
                  <c:v>1.7999999999999999E-2</c:v>
                </c:pt>
                <c:pt idx="126">
                  <c:v>-3.0000000000000001E-3</c:v>
                </c:pt>
                <c:pt idx="127">
                  <c:v>1.7000000000000001E-2</c:v>
                </c:pt>
                <c:pt idx="128">
                  <c:v>1.2E-2</c:v>
                </c:pt>
                <c:pt idx="129">
                  <c:v>2.9000000000000001E-2</c:v>
                </c:pt>
                <c:pt idx="130">
                  <c:v>3.4000000000000002E-2</c:v>
                </c:pt>
                <c:pt idx="131">
                  <c:v>3.1E-2</c:v>
                </c:pt>
                <c:pt idx="132">
                  <c:v>2.4E-2</c:v>
                </c:pt>
                <c:pt idx="133">
                  <c:v>2.5000000000000001E-2</c:v>
                </c:pt>
                <c:pt idx="134">
                  <c:v>1.7999999999999999E-2</c:v>
                </c:pt>
                <c:pt idx="135">
                  <c:v>1.9E-2</c:v>
                </c:pt>
                <c:pt idx="136">
                  <c:v>2.4E-2</c:v>
                </c:pt>
                <c:pt idx="137">
                  <c:v>2.3E-2</c:v>
                </c:pt>
                <c:pt idx="138">
                  <c:v>1.4E-2</c:v>
                </c:pt>
                <c:pt idx="139">
                  <c:v>2.5999999999999999E-2</c:v>
                </c:pt>
                <c:pt idx="140">
                  <c:v>3.3000000000000002E-2</c:v>
                </c:pt>
                <c:pt idx="141">
                  <c:v>1.0999999999999999E-2</c:v>
                </c:pt>
                <c:pt idx="142">
                  <c:v>1E-3</c:v>
                </c:pt>
                <c:pt idx="143">
                  <c:v>4.2999999999999997E-2</c:v>
                </c:pt>
                <c:pt idx="144">
                  <c:v>2.1999999999999999E-2</c:v>
                </c:pt>
                <c:pt idx="145">
                  <c:v>3.3000000000000002E-2</c:v>
                </c:pt>
                <c:pt idx="146">
                  <c:v>3.3000000000000002E-2</c:v>
                </c:pt>
                <c:pt idx="147">
                  <c:v>2.4E-2</c:v>
                </c:pt>
                <c:pt idx="148">
                  <c:v>5.8999999999999997E-2</c:v>
                </c:pt>
                <c:pt idx="149">
                  <c:v>0.373</c:v>
                </c:pt>
                <c:pt idx="150">
                  <c:v>4.2220000000000004</c:v>
                </c:pt>
                <c:pt idx="151">
                  <c:v>1.7490000000000001</c:v>
                </c:pt>
                <c:pt idx="152">
                  <c:v>4.4359999999999999</c:v>
                </c:pt>
                <c:pt idx="153">
                  <c:v>3.2440000000000002</c:v>
                </c:pt>
                <c:pt idx="154">
                  <c:v>5.2469999999999999</c:v>
                </c:pt>
                <c:pt idx="155">
                  <c:v>4.8090000000000002</c:v>
                </c:pt>
                <c:pt idx="156">
                  <c:v>6.2709999999999999</c:v>
                </c:pt>
                <c:pt idx="157">
                  <c:v>3.641</c:v>
                </c:pt>
                <c:pt idx="158">
                  <c:v>3.5670000000000002</c:v>
                </c:pt>
                <c:pt idx="159">
                  <c:v>4.032</c:v>
                </c:pt>
                <c:pt idx="160">
                  <c:v>0.88400000000000001</c:v>
                </c:pt>
                <c:pt idx="161">
                  <c:v>7.66</c:v>
                </c:pt>
                <c:pt idx="162">
                  <c:v>7.8179999999999996</c:v>
                </c:pt>
                <c:pt idx="163">
                  <c:v>8.82</c:v>
                </c:pt>
                <c:pt idx="164">
                  <c:v>1.401</c:v>
                </c:pt>
                <c:pt idx="165">
                  <c:v>0.52200000000000002</c:v>
                </c:pt>
                <c:pt idx="166">
                  <c:v>2.915</c:v>
                </c:pt>
                <c:pt idx="167">
                  <c:v>6.4749999999999996</c:v>
                </c:pt>
                <c:pt idx="168">
                  <c:v>8.3800000000000008</c:v>
                </c:pt>
                <c:pt idx="169">
                  <c:v>10.44</c:v>
                </c:pt>
                <c:pt idx="170">
                  <c:v>12.41</c:v>
                </c:pt>
                <c:pt idx="171">
                  <c:v>9.68</c:v>
                </c:pt>
                <c:pt idx="172">
                  <c:v>11.55</c:v>
                </c:pt>
                <c:pt idx="173">
                  <c:v>12.56</c:v>
                </c:pt>
                <c:pt idx="174">
                  <c:v>12.43</c:v>
                </c:pt>
                <c:pt idx="175">
                  <c:v>11.2</c:v>
                </c:pt>
                <c:pt idx="176">
                  <c:v>14.28</c:v>
                </c:pt>
                <c:pt idx="177">
                  <c:v>12</c:v>
                </c:pt>
                <c:pt idx="178">
                  <c:v>7.3049999999999997</c:v>
                </c:pt>
                <c:pt idx="179">
                  <c:v>5.1139999999999999</c:v>
                </c:pt>
                <c:pt idx="180">
                  <c:v>10.64</c:v>
                </c:pt>
                <c:pt idx="181">
                  <c:v>6.4050000000000002</c:v>
                </c:pt>
                <c:pt idx="182">
                  <c:v>4.0640000000000001</c:v>
                </c:pt>
                <c:pt idx="183">
                  <c:v>7.15</c:v>
                </c:pt>
                <c:pt idx="184">
                  <c:v>6.6360000000000001</c:v>
                </c:pt>
                <c:pt idx="185">
                  <c:v>8.5500000000000007</c:v>
                </c:pt>
                <c:pt idx="186">
                  <c:v>9.7200000000000006</c:v>
                </c:pt>
                <c:pt idx="187">
                  <c:v>10.41</c:v>
                </c:pt>
                <c:pt idx="188">
                  <c:v>5.7460000000000004</c:v>
                </c:pt>
                <c:pt idx="189">
                  <c:v>9.18</c:v>
                </c:pt>
                <c:pt idx="190">
                  <c:v>6.9889999999999999</c:v>
                </c:pt>
                <c:pt idx="191">
                  <c:v>10.41</c:v>
                </c:pt>
                <c:pt idx="192">
                  <c:v>10.130000000000001</c:v>
                </c:pt>
                <c:pt idx="193">
                  <c:v>6.4930000000000003</c:v>
                </c:pt>
                <c:pt idx="194">
                  <c:v>7.3319999999999999</c:v>
                </c:pt>
                <c:pt idx="195">
                  <c:v>10.220000000000001</c:v>
                </c:pt>
                <c:pt idx="196">
                  <c:v>12.1</c:v>
                </c:pt>
                <c:pt idx="197">
                  <c:v>10.48</c:v>
                </c:pt>
                <c:pt idx="198">
                  <c:v>10.220000000000001</c:v>
                </c:pt>
                <c:pt idx="199">
                  <c:v>12.05</c:v>
                </c:pt>
                <c:pt idx="200">
                  <c:v>12.99</c:v>
                </c:pt>
                <c:pt idx="201">
                  <c:v>13.15</c:v>
                </c:pt>
                <c:pt idx="202">
                  <c:v>15.81</c:v>
                </c:pt>
                <c:pt idx="203">
                  <c:v>14.49</c:v>
                </c:pt>
                <c:pt idx="204">
                  <c:v>12.47</c:v>
                </c:pt>
                <c:pt idx="205">
                  <c:v>8.58</c:v>
                </c:pt>
                <c:pt idx="206">
                  <c:v>10.130000000000001</c:v>
                </c:pt>
                <c:pt idx="207">
                  <c:v>12.93</c:v>
                </c:pt>
                <c:pt idx="208">
                  <c:v>15.83</c:v>
                </c:pt>
                <c:pt idx="209">
                  <c:v>15.75</c:v>
                </c:pt>
                <c:pt idx="210">
                  <c:v>15.24</c:v>
                </c:pt>
                <c:pt idx="211">
                  <c:v>16.87</c:v>
                </c:pt>
                <c:pt idx="212">
                  <c:v>16.3</c:v>
                </c:pt>
                <c:pt idx="213">
                  <c:v>16.399999999999999</c:v>
                </c:pt>
                <c:pt idx="214">
                  <c:v>14.64</c:v>
                </c:pt>
                <c:pt idx="215">
                  <c:v>12.29</c:v>
                </c:pt>
                <c:pt idx="216">
                  <c:v>13.33</c:v>
                </c:pt>
                <c:pt idx="217">
                  <c:v>14.28</c:v>
                </c:pt>
                <c:pt idx="218">
                  <c:v>8.4</c:v>
                </c:pt>
                <c:pt idx="219">
                  <c:v>8.17</c:v>
                </c:pt>
                <c:pt idx="220">
                  <c:v>9.7200000000000006</c:v>
                </c:pt>
                <c:pt idx="221">
                  <c:v>9.61</c:v>
                </c:pt>
                <c:pt idx="222">
                  <c:v>11.34</c:v>
                </c:pt>
                <c:pt idx="223">
                  <c:v>9.5</c:v>
                </c:pt>
                <c:pt idx="224">
                  <c:v>6.9560000000000004</c:v>
                </c:pt>
                <c:pt idx="225">
                  <c:v>7.4930000000000003</c:v>
                </c:pt>
                <c:pt idx="226">
                  <c:v>10.58</c:v>
                </c:pt>
                <c:pt idx="227">
                  <c:v>14.34</c:v>
                </c:pt>
                <c:pt idx="228">
                  <c:v>17.12</c:v>
                </c:pt>
                <c:pt idx="229">
                  <c:v>17.82</c:v>
                </c:pt>
                <c:pt idx="230">
                  <c:v>16</c:v>
                </c:pt>
                <c:pt idx="231">
                  <c:v>13.52</c:v>
                </c:pt>
                <c:pt idx="232">
                  <c:v>12.89</c:v>
                </c:pt>
                <c:pt idx="233">
                  <c:v>11.62</c:v>
                </c:pt>
                <c:pt idx="234">
                  <c:v>9.77</c:v>
                </c:pt>
                <c:pt idx="235">
                  <c:v>11.08</c:v>
                </c:pt>
                <c:pt idx="236">
                  <c:v>9.36</c:v>
                </c:pt>
                <c:pt idx="237">
                  <c:v>10.63</c:v>
                </c:pt>
                <c:pt idx="238">
                  <c:v>10.31</c:v>
                </c:pt>
                <c:pt idx="239">
                  <c:v>10.29</c:v>
                </c:pt>
                <c:pt idx="240">
                  <c:v>13.16</c:v>
                </c:pt>
                <c:pt idx="241">
                  <c:v>7.9249999999999998</c:v>
                </c:pt>
                <c:pt idx="242">
                  <c:v>6.9349999999999996</c:v>
                </c:pt>
                <c:pt idx="243">
                  <c:v>6.9829999999999997</c:v>
                </c:pt>
                <c:pt idx="244">
                  <c:v>14.47</c:v>
                </c:pt>
                <c:pt idx="245">
                  <c:v>11.94</c:v>
                </c:pt>
                <c:pt idx="246">
                  <c:v>13.05</c:v>
                </c:pt>
                <c:pt idx="247">
                  <c:v>15.72</c:v>
                </c:pt>
                <c:pt idx="248">
                  <c:v>15.52</c:v>
                </c:pt>
                <c:pt idx="249">
                  <c:v>14.85</c:v>
                </c:pt>
                <c:pt idx="250">
                  <c:v>7.5140000000000002</c:v>
                </c:pt>
                <c:pt idx="251">
                  <c:v>7.2270000000000003</c:v>
                </c:pt>
                <c:pt idx="252">
                  <c:v>11.27</c:v>
                </c:pt>
                <c:pt idx="253">
                  <c:v>12.92</c:v>
                </c:pt>
                <c:pt idx="254">
                  <c:v>15.96</c:v>
                </c:pt>
                <c:pt idx="255">
                  <c:v>14.34</c:v>
                </c:pt>
                <c:pt idx="256">
                  <c:v>9.42</c:v>
                </c:pt>
                <c:pt idx="257">
                  <c:v>11.13</c:v>
                </c:pt>
                <c:pt idx="258">
                  <c:v>13.2</c:v>
                </c:pt>
                <c:pt idx="259">
                  <c:v>13.64</c:v>
                </c:pt>
                <c:pt idx="260">
                  <c:v>12.93</c:v>
                </c:pt>
                <c:pt idx="261">
                  <c:v>12.6</c:v>
                </c:pt>
                <c:pt idx="262">
                  <c:v>8.2899999999999991</c:v>
                </c:pt>
                <c:pt idx="263">
                  <c:v>8.4700000000000006</c:v>
                </c:pt>
                <c:pt idx="264">
                  <c:v>6.0620000000000003</c:v>
                </c:pt>
                <c:pt idx="265">
                  <c:v>9.23</c:v>
                </c:pt>
                <c:pt idx="266">
                  <c:v>6.37</c:v>
                </c:pt>
                <c:pt idx="267">
                  <c:v>2.8220000000000001</c:v>
                </c:pt>
                <c:pt idx="268">
                  <c:v>1.115</c:v>
                </c:pt>
                <c:pt idx="269">
                  <c:v>1.3560000000000001</c:v>
                </c:pt>
                <c:pt idx="270">
                  <c:v>4.2060000000000004</c:v>
                </c:pt>
                <c:pt idx="271">
                  <c:v>9.27</c:v>
                </c:pt>
                <c:pt idx="272">
                  <c:v>10.08</c:v>
                </c:pt>
                <c:pt idx="273">
                  <c:v>9.3800000000000008</c:v>
                </c:pt>
                <c:pt idx="274">
                  <c:v>9</c:v>
                </c:pt>
                <c:pt idx="275">
                  <c:v>11.24</c:v>
                </c:pt>
                <c:pt idx="276">
                  <c:v>10.119999999999999</c:v>
                </c:pt>
                <c:pt idx="277">
                  <c:v>6.6289999999999996</c:v>
                </c:pt>
                <c:pt idx="278">
                  <c:v>9</c:v>
                </c:pt>
                <c:pt idx="279">
                  <c:v>11.16</c:v>
                </c:pt>
                <c:pt idx="280">
                  <c:v>9.3000000000000007</c:v>
                </c:pt>
                <c:pt idx="281">
                  <c:v>5.2569999999999997</c:v>
                </c:pt>
                <c:pt idx="282">
                  <c:v>4.383</c:v>
                </c:pt>
                <c:pt idx="283">
                  <c:v>2.363</c:v>
                </c:pt>
                <c:pt idx="284">
                  <c:v>-0.68899999999999995</c:v>
                </c:pt>
                <c:pt idx="285">
                  <c:v>-0.17699999999999999</c:v>
                </c:pt>
                <c:pt idx="286">
                  <c:v>-0.434</c:v>
                </c:pt>
                <c:pt idx="287">
                  <c:v>-0.159</c:v>
                </c:pt>
                <c:pt idx="288">
                  <c:v>-9.1999999999999998E-2</c:v>
                </c:pt>
                <c:pt idx="289">
                  <c:v>9.5000000000000001E-2</c:v>
                </c:pt>
                <c:pt idx="290">
                  <c:v>-1.2E-2</c:v>
                </c:pt>
                <c:pt idx="291">
                  <c:v>4.3999999999999997E-2</c:v>
                </c:pt>
                <c:pt idx="292">
                  <c:v>0.104</c:v>
                </c:pt>
                <c:pt idx="293">
                  <c:v>6.2E-2</c:v>
                </c:pt>
                <c:pt idx="294">
                  <c:v>-0.20100000000000001</c:v>
                </c:pt>
                <c:pt idx="295">
                  <c:v>-1.2170000000000001</c:v>
                </c:pt>
                <c:pt idx="296">
                  <c:v>-1.131</c:v>
                </c:pt>
                <c:pt idx="297">
                  <c:v>-0.65700000000000003</c:v>
                </c:pt>
                <c:pt idx="298">
                  <c:v>-0.46</c:v>
                </c:pt>
                <c:pt idx="299">
                  <c:v>-0.19800000000000001</c:v>
                </c:pt>
                <c:pt idx="300">
                  <c:v>-1.7000000000000001E-2</c:v>
                </c:pt>
                <c:pt idx="301">
                  <c:v>0.108</c:v>
                </c:pt>
                <c:pt idx="302">
                  <c:v>0.161</c:v>
                </c:pt>
                <c:pt idx="303">
                  <c:v>0.127</c:v>
                </c:pt>
                <c:pt idx="304">
                  <c:v>0.03</c:v>
                </c:pt>
                <c:pt idx="305">
                  <c:v>-0.33900000000000002</c:v>
                </c:pt>
                <c:pt idx="306">
                  <c:v>1.2999999999999999E-2</c:v>
                </c:pt>
                <c:pt idx="307">
                  <c:v>0.111</c:v>
                </c:pt>
                <c:pt idx="308">
                  <c:v>0.16</c:v>
                </c:pt>
                <c:pt idx="309">
                  <c:v>3.2000000000000001E-2</c:v>
                </c:pt>
                <c:pt idx="310">
                  <c:v>-1.284</c:v>
                </c:pt>
                <c:pt idx="311">
                  <c:v>-2.7120000000000002</c:v>
                </c:pt>
                <c:pt idx="312">
                  <c:v>-1.0649999999999999</c:v>
                </c:pt>
                <c:pt idx="313">
                  <c:v>-1.0680000000000001</c:v>
                </c:pt>
                <c:pt idx="314">
                  <c:v>-0.69299999999999995</c:v>
                </c:pt>
                <c:pt idx="315">
                  <c:v>-0.498</c:v>
                </c:pt>
                <c:pt idx="316">
                  <c:v>-0.433</c:v>
                </c:pt>
                <c:pt idx="317">
                  <c:v>-0.38400000000000001</c:v>
                </c:pt>
                <c:pt idx="318">
                  <c:v>-0.34300000000000003</c:v>
                </c:pt>
                <c:pt idx="319">
                  <c:v>-0.28499999999999998</c:v>
                </c:pt>
                <c:pt idx="320">
                  <c:v>-0.22700000000000001</c:v>
                </c:pt>
                <c:pt idx="321">
                  <c:v>-0.128</c:v>
                </c:pt>
                <c:pt idx="322">
                  <c:v>-5.0999999999999997E-2</c:v>
                </c:pt>
                <c:pt idx="323">
                  <c:v>-4.5999999999999999E-2</c:v>
                </c:pt>
                <c:pt idx="324">
                  <c:v>-6.0000000000000001E-3</c:v>
                </c:pt>
                <c:pt idx="325">
                  <c:v>-2.8000000000000001E-2</c:v>
                </c:pt>
                <c:pt idx="326">
                  <c:v>-3.6999999999999998E-2</c:v>
                </c:pt>
                <c:pt idx="327">
                  <c:v>-2.8000000000000001E-2</c:v>
                </c:pt>
                <c:pt idx="328">
                  <c:v>-1.4E-2</c:v>
                </c:pt>
                <c:pt idx="329">
                  <c:v>0</c:v>
                </c:pt>
                <c:pt idx="330">
                  <c:v>1.6E-2</c:v>
                </c:pt>
                <c:pt idx="331">
                  <c:v>3.5000000000000003E-2</c:v>
                </c:pt>
                <c:pt idx="332">
                  <c:v>4.2000000000000003E-2</c:v>
                </c:pt>
                <c:pt idx="333">
                  <c:v>4.8000000000000001E-2</c:v>
                </c:pt>
                <c:pt idx="334">
                  <c:v>5.5E-2</c:v>
                </c:pt>
                <c:pt idx="335">
                  <c:v>8.0000000000000002E-3</c:v>
                </c:pt>
                <c:pt idx="336">
                  <c:v>1.0999999999999999E-2</c:v>
                </c:pt>
                <c:pt idx="337">
                  <c:v>-7.0000000000000001E-3</c:v>
                </c:pt>
                <c:pt idx="338">
                  <c:v>1.4999999999999999E-2</c:v>
                </c:pt>
                <c:pt idx="339">
                  <c:v>3.0000000000000001E-3</c:v>
                </c:pt>
                <c:pt idx="340">
                  <c:v>-1.6E-2</c:v>
                </c:pt>
                <c:pt idx="341">
                  <c:v>-1.2999999999999999E-2</c:v>
                </c:pt>
                <c:pt idx="342">
                  <c:v>9.5000000000000001E-2</c:v>
                </c:pt>
                <c:pt idx="343">
                  <c:v>0.08</c:v>
                </c:pt>
                <c:pt idx="344">
                  <c:v>6.8000000000000005E-2</c:v>
                </c:pt>
                <c:pt idx="345">
                  <c:v>6.7000000000000004E-2</c:v>
                </c:pt>
                <c:pt idx="346">
                  <c:v>7.0000000000000007E-2</c:v>
                </c:pt>
                <c:pt idx="347">
                  <c:v>8.1000000000000003E-2</c:v>
                </c:pt>
                <c:pt idx="348">
                  <c:v>0.11700000000000001</c:v>
                </c:pt>
                <c:pt idx="349">
                  <c:v>0.11799999999999999</c:v>
                </c:pt>
                <c:pt idx="350">
                  <c:v>0.13900000000000001</c:v>
                </c:pt>
                <c:pt idx="351">
                  <c:v>0.13700000000000001</c:v>
                </c:pt>
                <c:pt idx="352">
                  <c:v>0.156</c:v>
                </c:pt>
                <c:pt idx="353">
                  <c:v>0.159</c:v>
                </c:pt>
                <c:pt idx="354">
                  <c:v>0.17299999999999999</c:v>
                </c:pt>
                <c:pt idx="355">
                  <c:v>0.16700000000000001</c:v>
                </c:pt>
                <c:pt idx="356">
                  <c:v>0.13300000000000001</c:v>
                </c:pt>
                <c:pt idx="357">
                  <c:v>0.14499999999999999</c:v>
                </c:pt>
                <c:pt idx="358">
                  <c:v>0.14899999999999999</c:v>
                </c:pt>
                <c:pt idx="359">
                  <c:v>0.16700000000000001</c:v>
                </c:pt>
                <c:pt idx="360">
                  <c:v>0.17699999999999999</c:v>
                </c:pt>
                <c:pt idx="361">
                  <c:v>0.183</c:v>
                </c:pt>
                <c:pt idx="362">
                  <c:v>0.17199999999999999</c:v>
                </c:pt>
                <c:pt idx="363">
                  <c:v>0.17199999999999999</c:v>
                </c:pt>
                <c:pt idx="364">
                  <c:v>0.17100000000000001</c:v>
                </c:pt>
                <c:pt idx="365">
                  <c:v>0.19500000000000001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-2.0270000000000001</c:v>
                </c:pt>
                <c:pt idx="1">
                  <c:v>-1.7969999999999999</c:v>
                </c:pt>
                <c:pt idx="2">
                  <c:v>-1.77</c:v>
                </c:pt>
                <c:pt idx="3">
                  <c:v>-1.6319999999999999</c:v>
                </c:pt>
                <c:pt idx="4">
                  <c:v>-1.6619999999999999</c:v>
                </c:pt>
                <c:pt idx="5">
                  <c:v>-1.819</c:v>
                </c:pt>
                <c:pt idx="6">
                  <c:v>-1.9059999999999999</c:v>
                </c:pt>
                <c:pt idx="7">
                  <c:v>-1.7689999999999999</c:v>
                </c:pt>
                <c:pt idx="8">
                  <c:v>-1.651</c:v>
                </c:pt>
                <c:pt idx="9">
                  <c:v>-1.7490000000000001</c:v>
                </c:pt>
                <c:pt idx="10">
                  <c:v>-1.9279999999999999</c:v>
                </c:pt>
                <c:pt idx="11">
                  <c:v>-2.0499999999999998</c:v>
                </c:pt>
                <c:pt idx="12">
                  <c:v>-2.137</c:v>
                </c:pt>
                <c:pt idx="13">
                  <c:v>-2.1219999999999999</c:v>
                </c:pt>
                <c:pt idx="14">
                  <c:v>-2.1819999999999999</c:v>
                </c:pt>
                <c:pt idx="15">
                  <c:v>-2.2919999999999998</c:v>
                </c:pt>
                <c:pt idx="16">
                  <c:v>-2.419</c:v>
                </c:pt>
                <c:pt idx="17">
                  <c:v>-2.4390000000000001</c:v>
                </c:pt>
                <c:pt idx="18">
                  <c:v>-2.4729999999999999</c:v>
                </c:pt>
                <c:pt idx="19">
                  <c:v>-2.3719999999999999</c:v>
                </c:pt>
                <c:pt idx="20">
                  <c:v>-2.1320000000000001</c:v>
                </c:pt>
                <c:pt idx="21">
                  <c:v>-1.8859999999999999</c:v>
                </c:pt>
                <c:pt idx="22">
                  <c:v>-1.6930000000000001</c:v>
                </c:pt>
                <c:pt idx="23">
                  <c:v>-1.5189999999999999</c:v>
                </c:pt>
                <c:pt idx="24">
                  <c:v>-1.3380000000000001</c:v>
                </c:pt>
                <c:pt idx="25">
                  <c:v>-1.234</c:v>
                </c:pt>
                <c:pt idx="26">
                  <c:v>-1.2090000000000001</c:v>
                </c:pt>
                <c:pt idx="27">
                  <c:v>-1.171</c:v>
                </c:pt>
                <c:pt idx="28">
                  <c:v>-1.1519999999999999</c:v>
                </c:pt>
                <c:pt idx="29">
                  <c:v>-1.2010000000000001</c:v>
                </c:pt>
                <c:pt idx="30">
                  <c:v>-1.25</c:v>
                </c:pt>
                <c:pt idx="31">
                  <c:v>-1.288</c:v>
                </c:pt>
                <c:pt idx="32">
                  <c:v>-1.236</c:v>
                </c:pt>
                <c:pt idx="33">
                  <c:v>-1.3</c:v>
                </c:pt>
                <c:pt idx="34">
                  <c:v>-1.484</c:v>
                </c:pt>
                <c:pt idx="35">
                  <c:v>-1.58</c:v>
                </c:pt>
                <c:pt idx="36">
                  <c:v>-1.68</c:v>
                </c:pt>
                <c:pt idx="37">
                  <c:v>-1.671</c:v>
                </c:pt>
                <c:pt idx="38">
                  <c:v>-1.599</c:v>
                </c:pt>
                <c:pt idx="39">
                  <c:v>-1.4990000000000001</c:v>
                </c:pt>
                <c:pt idx="40">
                  <c:v>-1.41</c:v>
                </c:pt>
                <c:pt idx="41">
                  <c:v>-1.343</c:v>
                </c:pt>
                <c:pt idx="42">
                  <c:v>-1.3089999999999999</c:v>
                </c:pt>
                <c:pt idx="43">
                  <c:v>-1.248</c:v>
                </c:pt>
                <c:pt idx="44">
                  <c:v>-1.212</c:v>
                </c:pt>
                <c:pt idx="45">
                  <c:v>-1.1819999999999999</c:v>
                </c:pt>
                <c:pt idx="46">
                  <c:v>-1.1739999999999999</c:v>
                </c:pt>
                <c:pt idx="47">
                  <c:v>-1.169</c:v>
                </c:pt>
                <c:pt idx="48">
                  <c:v>-1.17</c:v>
                </c:pt>
                <c:pt idx="49">
                  <c:v>-1.18</c:v>
                </c:pt>
                <c:pt idx="50">
                  <c:v>-1.1379999999999999</c:v>
                </c:pt>
                <c:pt idx="51">
                  <c:v>-1.121</c:v>
                </c:pt>
                <c:pt idx="52">
                  <c:v>-1.1399999999999999</c:v>
                </c:pt>
                <c:pt idx="53">
                  <c:v>-1.1659999999999999</c:v>
                </c:pt>
                <c:pt idx="54">
                  <c:v>-1.173</c:v>
                </c:pt>
                <c:pt idx="55">
                  <c:v>-1.173</c:v>
                </c:pt>
                <c:pt idx="56">
                  <c:v>-1.1599999999999999</c:v>
                </c:pt>
                <c:pt idx="57">
                  <c:v>-1.1319999999999999</c:v>
                </c:pt>
                <c:pt idx="58">
                  <c:v>-1.1040000000000001</c:v>
                </c:pt>
                <c:pt idx="59">
                  <c:v>-1.0669999999999999</c:v>
                </c:pt>
                <c:pt idx="60">
                  <c:v>-1.026</c:v>
                </c:pt>
                <c:pt idx="61">
                  <c:v>-0.97899999999999998</c:v>
                </c:pt>
                <c:pt idx="62">
                  <c:v>-0.95299999999999996</c:v>
                </c:pt>
                <c:pt idx="63">
                  <c:v>-0.92800000000000005</c:v>
                </c:pt>
                <c:pt idx="64">
                  <c:v>-0.89</c:v>
                </c:pt>
                <c:pt idx="65">
                  <c:v>-0.86099999999999999</c:v>
                </c:pt>
                <c:pt idx="66">
                  <c:v>-0.85299999999999998</c:v>
                </c:pt>
                <c:pt idx="67">
                  <c:v>-0.84799999999999998</c:v>
                </c:pt>
                <c:pt idx="68">
                  <c:v>-0.83799999999999997</c:v>
                </c:pt>
                <c:pt idx="69">
                  <c:v>-0.83299999999999996</c:v>
                </c:pt>
                <c:pt idx="70">
                  <c:v>-0.84599999999999997</c:v>
                </c:pt>
                <c:pt idx="71">
                  <c:v>-0.879</c:v>
                </c:pt>
                <c:pt idx="72">
                  <c:v>-0.90500000000000003</c:v>
                </c:pt>
                <c:pt idx="73">
                  <c:v>-0.91800000000000004</c:v>
                </c:pt>
                <c:pt idx="74">
                  <c:v>-0.92600000000000005</c:v>
                </c:pt>
                <c:pt idx="75">
                  <c:v>-0.93899999999999995</c:v>
                </c:pt>
                <c:pt idx="76">
                  <c:v>-0.92500000000000004</c:v>
                </c:pt>
                <c:pt idx="77">
                  <c:v>-0.90400000000000003</c:v>
                </c:pt>
                <c:pt idx="78">
                  <c:v>-0.877</c:v>
                </c:pt>
                <c:pt idx="79">
                  <c:v>-0.84299999999999997</c:v>
                </c:pt>
                <c:pt idx="80">
                  <c:v>-0.81200000000000006</c:v>
                </c:pt>
                <c:pt idx="81">
                  <c:v>-0.79200000000000004</c:v>
                </c:pt>
                <c:pt idx="82">
                  <c:v>-0.76500000000000001</c:v>
                </c:pt>
                <c:pt idx="83">
                  <c:v>-0.77200000000000002</c:v>
                </c:pt>
                <c:pt idx="84">
                  <c:v>-0.80700000000000005</c:v>
                </c:pt>
                <c:pt idx="85">
                  <c:v>-0.82399999999999995</c:v>
                </c:pt>
                <c:pt idx="86">
                  <c:v>-0.84499999999999997</c:v>
                </c:pt>
                <c:pt idx="87">
                  <c:v>-0.86299999999999999</c:v>
                </c:pt>
                <c:pt idx="88">
                  <c:v>-0.86</c:v>
                </c:pt>
                <c:pt idx="89">
                  <c:v>-0.84699999999999998</c:v>
                </c:pt>
                <c:pt idx="90">
                  <c:v>-0.81</c:v>
                </c:pt>
                <c:pt idx="91">
                  <c:v>-0.78700000000000003</c:v>
                </c:pt>
                <c:pt idx="92">
                  <c:v>-0.77300000000000002</c:v>
                </c:pt>
                <c:pt idx="93">
                  <c:v>-0.77700000000000002</c:v>
                </c:pt>
                <c:pt idx="94">
                  <c:v>-0.81399999999999995</c:v>
                </c:pt>
                <c:pt idx="95">
                  <c:v>-0.85099999999999998</c:v>
                </c:pt>
                <c:pt idx="96">
                  <c:v>-0.879</c:v>
                </c:pt>
                <c:pt idx="97">
                  <c:v>-0.89100000000000001</c:v>
                </c:pt>
                <c:pt idx="98">
                  <c:v>-0.88900000000000001</c:v>
                </c:pt>
                <c:pt idx="99">
                  <c:v>-0.83599999999999997</c:v>
                </c:pt>
                <c:pt idx="100">
                  <c:v>-0.72</c:v>
                </c:pt>
                <c:pt idx="101">
                  <c:v>-0.59799999999999998</c:v>
                </c:pt>
                <c:pt idx="102">
                  <c:v>-0.47</c:v>
                </c:pt>
                <c:pt idx="103">
                  <c:v>-0.33200000000000002</c:v>
                </c:pt>
                <c:pt idx="104">
                  <c:v>-0.23599999999999999</c:v>
                </c:pt>
                <c:pt idx="105">
                  <c:v>-0.22500000000000001</c:v>
                </c:pt>
                <c:pt idx="106">
                  <c:v>-0.216</c:v>
                </c:pt>
                <c:pt idx="107">
                  <c:v>-0.186</c:v>
                </c:pt>
                <c:pt idx="108">
                  <c:v>-0.13700000000000001</c:v>
                </c:pt>
                <c:pt idx="109">
                  <c:v>-8.8999999999999996E-2</c:v>
                </c:pt>
                <c:pt idx="110">
                  <c:v>-5.6000000000000001E-2</c:v>
                </c:pt>
                <c:pt idx="111">
                  <c:v>-2.5000000000000001E-2</c:v>
                </c:pt>
                <c:pt idx="112">
                  <c:v>-2.5999999999999999E-2</c:v>
                </c:pt>
                <c:pt idx="113">
                  <c:v>-1.9E-2</c:v>
                </c:pt>
                <c:pt idx="114">
                  <c:v>-1.4E-2</c:v>
                </c:pt>
                <c:pt idx="115">
                  <c:v>-8.9999999999999993E-3</c:v>
                </c:pt>
                <c:pt idx="116">
                  <c:v>-1.4E-2</c:v>
                </c:pt>
                <c:pt idx="117">
                  <c:v>1E-3</c:v>
                </c:pt>
                <c:pt idx="118">
                  <c:v>-0.01</c:v>
                </c:pt>
                <c:pt idx="119">
                  <c:v>2.1999999999999999E-2</c:v>
                </c:pt>
                <c:pt idx="120">
                  <c:v>1.7000000000000001E-2</c:v>
                </c:pt>
                <c:pt idx="121">
                  <c:v>5.0000000000000001E-3</c:v>
                </c:pt>
                <c:pt idx="122">
                  <c:v>1.2999999999999999E-2</c:v>
                </c:pt>
                <c:pt idx="123">
                  <c:v>-8.9999999999999993E-3</c:v>
                </c:pt>
                <c:pt idx="124">
                  <c:v>-8.0000000000000002E-3</c:v>
                </c:pt>
                <c:pt idx="125">
                  <c:v>1.7999999999999999E-2</c:v>
                </c:pt>
                <c:pt idx="126">
                  <c:v>-3.0000000000000001E-3</c:v>
                </c:pt>
                <c:pt idx="127">
                  <c:v>1.7000000000000001E-2</c:v>
                </c:pt>
                <c:pt idx="128">
                  <c:v>1.2E-2</c:v>
                </c:pt>
                <c:pt idx="129">
                  <c:v>2.8000000000000001E-2</c:v>
                </c:pt>
                <c:pt idx="130">
                  <c:v>3.1E-2</c:v>
                </c:pt>
                <c:pt idx="131">
                  <c:v>3.1E-2</c:v>
                </c:pt>
                <c:pt idx="132">
                  <c:v>2.3E-2</c:v>
                </c:pt>
                <c:pt idx="133">
                  <c:v>2.5999999999999999E-2</c:v>
                </c:pt>
                <c:pt idx="134">
                  <c:v>1.7999999999999999E-2</c:v>
                </c:pt>
                <c:pt idx="135">
                  <c:v>1.9E-2</c:v>
                </c:pt>
                <c:pt idx="136">
                  <c:v>2.3E-2</c:v>
                </c:pt>
                <c:pt idx="137">
                  <c:v>0.02</c:v>
                </c:pt>
                <c:pt idx="138">
                  <c:v>1.4E-2</c:v>
                </c:pt>
                <c:pt idx="139">
                  <c:v>0.04</c:v>
                </c:pt>
                <c:pt idx="140">
                  <c:v>4.9000000000000002E-2</c:v>
                </c:pt>
                <c:pt idx="141">
                  <c:v>3.9E-2</c:v>
                </c:pt>
                <c:pt idx="142">
                  <c:v>2E-3</c:v>
                </c:pt>
                <c:pt idx="143">
                  <c:v>0.04</c:v>
                </c:pt>
                <c:pt idx="144">
                  <c:v>2.4E-2</c:v>
                </c:pt>
                <c:pt idx="145">
                  <c:v>3.5999999999999997E-2</c:v>
                </c:pt>
                <c:pt idx="146">
                  <c:v>9.7000000000000003E-2</c:v>
                </c:pt>
                <c:pt idx="147">
                  <c:v>0.93700000000000006</c:v>
                </c:pt>
                <c:pt idx="148">
                  <c:v>3.4060000000000001</c:v>
                </c:pt>
                <c:pt idx="149">
                  <c:v>8.58</c:v>
                </c:pt>
                <c:pt idx="150">
                  <c:v>9.56</c:v>
                </c:pt>
                <c:pt idx="151">
                  <c:v>2.073</c:v>
                </c:pt>
                <c:pt idx="152">
                  <c:v>4.3339999999999996</c:v>
                </c:pt>
                <c:pt idx="153">
                  <c:v>3.3010000000000002</c:v>
                </c:pt>
                <c:pt idx="154">
                  <c:v>4.7069999999999999</c:v>
                </c:pt>
                <c:pt idx="155">
                  <c:v>4.3869999999999996</c:v>
                </c:pt>
                <c:pt idx="156">
                  <c:v>6.1</c:v>
                </c:pt>
                <c:pt idx="157">
                  <c:v>3.0750000000000002</c:v>
                </c:pt>
                <c:pt idx="158">
                  <c:v>2.984</c:v>
                </c:pt>
                <c:pt idx="159">
                  <c:v>3.2240000000000002</c:v>
                </c:pt>
                <c:pt idx="160">
                  <c:v>0.89900000000000002</c:v>
                </c:pt>
                <c:pt idx="161">
                  <c:v>7.2869999999999999</c:v>
                </c:pt>
                <c:pt idx="162">
                  <c:v>7.7679999999999998</c:v>
                </c:pt>
                <c:pt idx="163">
                  <c:v>8.42</c:v>
                </c:pt>
                <c:pt idx="164">
                  <c:v>1.3440000000000001</c:v>
                </c:pt>
                <c:pt idx="165">
                  <c:v>0.42799999999999999</c:v>
                </c:pt>
                <c:pt idx="166">
                  <c:v>2.66</c:v>
                </c:pt>
                <c:pt idx="167">
                  <c:v>5.8719999999999999</c:v>
                </c:pt>
                <c:pt idx="168">
                  <c:v>7.9560000000000004</c:v>
                </c:pt>
                <c:pt idx="169">
                  <c:v>10.07</c:v>
                </c:pt>
                <c:pt idx="170">
                  <c:v>12.38</c:v>
                </c:pt>
                <c:pt idx="171">
                  <c:v>9.51</c:v>
                </c:pt>
                <c:pt idx="172">
                  <c:v>10.94</c:v>
                </c:pt>
                <c:pt idx="173">
                  <c:v>12.27</c:v>
                </c:pt>
                <c:pt idx="174">
                  <c:v>12.57</c:v>
                </c:pt>
                <c:pt idx="175">
                  <c:v>10.82</c:v>
                </c:pt>
                <c:pt idx="176">
                  <c:v>13.57</c:v>
                </c:pt>
                <c:pt idx="177">
                  <c:v>12.04</c:v>
                </c:pt>
                <c:pt idx="178">
                  <c:v>6.6139999999999999</c:v>
                </c:pt>
                <c:pt idx="179">
                  <c:v>4.6580000000000004</c:v>
                </c:pt>
                <c:pt idx="180">
                  <c:v>9.73</c:v>
                </c:pt>
                <c:pt idx="181">
                  <c:v>5.798</c:v>
                </c:pt>
                <c:pt idx="182">
                  <c:v>3.47</c:v>
                </c:pt>
                <c:pt idx="183">
                  <c:v>6.6260000000000003</c:v>
                </c:pt>
                <c:pt idx="184">
                  <c:v>6.5270000000000001</c:v>
                </c:pt>
                <c:pt idx="185">
                  <c:v>7.5880000000000001</c:v>
                </c:pt>
                <c:pt idx="186">
                  <c:v>9.61</c:v>
                </c:pt>
                <c:pt idx="187">
                  <c:v>10.58</c:v>
                </c:pt>
                <c:pt idx="188">
                  <c:v>5.5439999999999996</c:v>
                </c:pt>
                <c:pt idx="189">
                  <c:v>8.68</c:v>
                </c:pt>
                <c:pt idx="190">
                  <c:v>7.1180000000000003</c:v>
                </c:pt>
                <c:pt idx="191">
                  <c:v>10.09</c:v>
                </c:pt>
                <c:pt idx="192">
                  <c:v>10.45</c:v>
                </c:pt>
                <c:pt idx="193">
                  <c:v>5.9589999999999996</c:v>
                </c:pt>
                <c:pt idx="194">
                  <c:v>6.4930000000000003</c:v>
                </c:pt>
                <c:pt idx="195">
                  <c:v>10.07</c:v>
                </c:pt>
                <c:pt idx="196">
                  <c:v>11.87</c:v>
                </c:pt>
                <c:pt idx="197">
                  <c:v>10.81</c:v>
                </c:pt>
                <c:pt idx="198">
                  <c:v>10.210000000000001</c:v>
                </c:pt>
                <c:pt idx="199">
                  <c:v>11.83</c:v>
                </c:pt>
                <c:pt idx="200">
                  <c:v>12.74</c:v>
                </c:pt>
                <c:pt idx="201">
                  <c:v>13.28</c:v>
                </c:pt>
                <c:pt idx="202">
                  <c:v>16.39</c:v>
                </c:pt>
                <c:pt idx="203">
                  <c:v>14.71</c:v>
                </c:pt>
                <c:pt idx="204">
                  <c:v>12.57</c:v>
                </c:pt>
                <c:pt idx="205">
                  <c:v>8.0500000000000007</c:v>
                </c:pt>
                <c:pt idx="206">
                  <c:v>9.64</c:v>
                </c:pt>
                <c:pt idx="207">
                  <c:v>12.9</c:v>
                </c:pt>
                <c:pt idx="208">
                  <c:v>16.66</c:v>
                </c:pt>
                <c:pt idx="209">
                  <c:v>16.68</c:v>
                </c:pt>
                <c:pt idx="210">
                  <c:v>16.04</c:v>
                </c:pt>
                <c:pt idx="211">
                  <c:v>17.829999999999998</c:v>
                </c:pt>
                <c:pt idx="212">
                  <c:v>17.68</c:v>
                </c:pt>
                <c:pt idx="213">
                  <c:v>17.170000000000002</c:v>
                </c:pt>
                <c:pt idx="214">
                  <c:v>15.14</c:v>
                </c:pt>
                <c:pt idx="215">
                  <c:v>12.33</c:v>
                </c:pt>
                <c:pt idx="216">
                  <c:v>13.47</c:v>
                </c:pt>
                <c:pt idx="217">
                  <c:v>14.85</c:v>
                </c:pt>
                <c:pt idx="218">
                  <c:v>8.23</c:v>
                </c:pt>
                <c:pt idx="219">
                  <c:v>7.383</c:v>
                </c:pt>
                <c:pt idx="220">
                  <c:v>9.23</c:v>
                </c:pt>
                <c:pt idx="221">
                  <c:v>9.02</c:v>
                </c:pt>
                <c:pt idx="222">
                  <c:v>11.51</c:v>
                </c:pt>
                <c:pt idx="223">
                  <c:v>9.61</c:v>
                </c:pt>
                <c:pt idx="224">
                  <c:v>6.4850000000000003</c:v>
                </c:pt>
                <c:pt idx="225">
                  <c:v>6.6529999999999996</c:v>
                </c:pt>
                <c:pt idx="226">
                  <c:v>10.46</c:v>
                </c:pt>
                <c:pt idx="227">
                  <c:v>15.2</c:v>
                </c:pt>
                <c:pt idx="228">
                  <c:v>18.87</c:v>
                </c:pt>
                <c:pt idx="229">
                  <c:v>19.02</c:v>
                </c:pt>
                <c:pt idx="230">
                  <c:v>17</c:v>
                </c:pt>
                <c:pt idx="231">
                  <c:v>14.17</c:v>
                </c:pt>
                <c:pt idx="232">
                  <c:v>13.28</c:v>
                </c:pt>
                <c:pt idx="233">
                  <c:v>11.67</c:v>
                </c:pt>
                <c:pt idx="234">
                  <c:v>9.9</c:v>
                </c:pt>
                <c:pt idx="235">
                  <c:v>10.8</c:v>
                </c:pt>
                <c:pt idx="236">
                  <c:v>9.43</c:v>
                </c:pt>
                <c:pt idx="237">
                  <c:v>10.130000000000001</c:v>
                </c:pt>
                <c:pt idx="238">
                  <c:v>9.91</c:v>
                </c:pt>
                <c:pt idx="239">
                  <c:v>9.83</c:v>
                </c:pt>
                <c:pt idx="240">
                  <c:v>13.03</c:v>
                </c:pt>
                <c:pt idx="241">
                  <c:v>7.6959999999999997</c:v>
                </c:pt>
                <c:pt idx="242">
                  <c:v>6.0590000000000002</c:v>
                </c:pt>
                <c:pt idx="243">
                  <c:v>6.5730000000000004</c:v>
                </c:pt>
                <c:pt idx="244">
                  <c:v>14.14</c:v>
                </c:pt>
                <c:pt idx="245">
                  <c:v>11.32</c:v>
                </c:pt>
                <c:pt idx="246">
                  <c:v>12.78</c:v>
                </c:pt>
                <c:pt idx="247">
                  <c:v>15.79</c:v>
                </c:pt>
                <c:pt idx="248">
                  <c:v>15.39</c:v>
                </c:pt>
                <c:pt idx="249">
                  <c:v>14.36</c:v>
                </c:pt>
                <c:pt idx="250">
                  <c:v>7.117</c:v>
                </c:pt>
                <c:pt idx="251">
                  <c:v>6.9710000000000001</c:v>
                </c:pt>
                <c:pt idx="252">
                  <c:v>11.14</c:v>
                </c:pt>
                <c:pt idx="253">
                  <c:v>12.97</c:v>
                </c:pt>
                <c:pt idx="254">
                  <c:v>16.02</c:v>
                </c:pt>
                <c:pt idx="255">
                  <c:v>14.22</c:v>
                </c:pt>
                <c:pt idx="256">
                  <c:v>9.8000000000000007</c:v>
                </c:pt>
                <c:pt idx="257">
                  <c:v>10.96</c:v>
                </c:pt>
                <c:pt idx="258">
                  <c:v>12.76</c:v>
                </c:pt>
                <c:pt idx="259">
                  <c:v>13.52</c:v>
                </c:pt>
                <c:pt idx="260">
                  <c:v>13.24</c:v>
                </c:pt>
                <c:pt idx="261">
                  <c:v>12.84</c:v>
                </c:pt>
                <c:pt idx="262">
                  <c:v>7.97</c:v>
                </c:pt>
                <c:pt idx="263">
                  <c:v>8.23</c:v>
                </c:pt>
                <c:pt idx="264">
                  <c:v>6.18</c:v>
                </c:pt>
                <c:pt idx="265">
                  <c:v>9.02</c:v>
                </c:pt>
                <c:pt idx="266">
                  <c:v>6.2949999999999999</c:v>
                </c:pt>
                <c:pt idx="267">
                  <c:v>2.6819999999999999</c:v>
                </c:pt>
                <c:pt idx="268">
                  <c:v>1.22</c:v>
                </c:pt>
                <c:pt idx="269">
                  <c:v>1.446</c:v>
                </c:pt>
                <c:pt idx="270">
                  <c:v>3.9860000000000002</c:v>
                </c:pt>
                <c:pt idx="271">
                  <c:v>9.57</c:v>
                </c:pt>
                <c:pt idx="272">
                  <c:v>10.76</c:v>
                </c:pt>
                <c:pt idx="273">
                  <c:v>10.11</c:v>
                </c:pt>
                <c:pt idx="274">
                  <c:v>9.7899999999999991</c:v>
                </c:pt>
                <c:pt idx="275">
                  <c:v>11.81</c:v>
                </c:pt>
                <c:pt idx="276">
                  <c:v>10.63</c:v>
                </c:pt>
                <c:pt idx="277">
                  <c:v>7.101</c:v>
                </c:pt>
                <c:pt idx="278">
                  <c:v>9.32</c:v>
                </c:pt>
                <c:pt idx="279">
                  <c:v>11.19</c:v>
                </c:pt>
                <c:pt idx="280">
                  <c:v>9.6300000000000008</c:v>
                </c:pt>
                <c:pt idx="281">
                  <c:v>5.7279999999999998</c:v>
                </c:pt>
                <c:pt idx="282">
                  <c:v>4.6509999999999998</c:v>
                </c:pt>
                <c:pt idx="283">
                  <c:v>2.36</c:v>
                </c:pt>
                <c:pt idx="284">
                  <c:v>-0.876</c:v>
                </c:pt>
                <c:pt idx="285">
                  <c:v>-1.82</c:v>
                </c:pt>
                <c:pt idx="286">
                  <c:v>-1.7330000000000001</c:v>
                </c:pt>
                <c:pt idx="287">
                  <c:v>-1.33</c:v>
                </c:pt>
                <c:pt idx="288">
                  <c:v>-0.39400000000000002</c:v>
                </c:pt>
                <c:pt idx="289">
                  <c:v>1.615</c:v>
                </c:pt>
                <c:pt idx="290">
                  <c:v>-3.7589999999999999</c:v>
                </c:pt>
                <c:pt idx="291">
                  <c:v>-0.82499999999999996</c:v>
                </c:pt>
                <c:pt idx="292">
                  <c:v>-0.29699999999999999</c:v>
                </c:pt>
                <c:pt idx="293">
                  <c:v>-3.0630000000000002</c:v>
                </c:pt>
                <c:pt idx="294">
                  <c:v>-6.008</c:v>
                </c:pt>
                <c:pt idx="295">
                  <c:v>-9.58</c:v>
                </c:pt>
                <c:pt idx="296">
                  <c:v>-5.681</c:v>
                </c:pt>
                <c:pt idx="297">
                  <c:v>-2.96</c:v>
                </c:pt>
                <c:pt idx="298">
                  <c:v>-2.5169999999999999</c:v>
                </c:pt>
                <c:pt idx="299">
                  <c:v>-1.8540000000000001</c:v>
                </c:pt>
                <c:pt idx="300">
                  <c:v>-1.0669999999999999</c:v>
                </c:pt>
                <c:pt idx="301">
                  <c:v>-3.3000000000000002E-2</c:v>
                </c:pt>
                <c:pt idx="302">
                  <c:v>0.28199999999999997</c:v>
                </c:pt>
                <c:pt idx="303">
                  <c:v>-0.85399999999999998</c:v>
                </c:pt>
                <c:pt idx="304">
                  <c:v>-4.6609999999999996</c:v>
                </c:pt>
                <c:pt idx="305">
                  <c:v>0.59899999999999998</c:v>
                </c:pt>
                <c:pt idx="306">
                  <c:v>2.581</c:v>
                </c:pt>
                <c:pt idx="307">
                  <c:v>1.349</c:v>
                </c:pt>
                <c:pt idx="308">
                  <c:v>2.2069999999999999</c:v>
                </c:pt>
                <c:pt idx="309">
                  <c:v>-2.165</c:v>
                </c:pt>
                <c:pt idx="310">
                  <c:v>-5.694</c:v>
                </c:pt>
                <c:pt idx="311">
                  <c:v>-8.9</c:v>
                </c:pt>
                <c:pt idx="312">
                  <c:v>-5.9870000000000001</c:v>
                </c:pt>
                <c:pt idx="313">
                  <c:v>-6.86</c:v>
                </c:pt>
                <c:pt idx="314">
                  <c:v>-3.577</c:v>
                </c:pt>
                <c:pt idx="315">
                  <c:v>-2.6720000000000002</c:v>
                </c:pt>
                <c:pt idx="316">
                  <c:v>-2.637</c:v>
                </c:pt>
                <c:pt idx="317">
                  <c:v>-2.3839999999999999</c:v>
                </c:pt>
                <c:pt idx="318">
                  <c:v>-2.133</c:v>
                </c:pt>
                <c:pt idx="319">
                  <c:v>-1.742</c:v>
                </c:pt>
                <c:pt idx="320">
                  <c:v>-1.891</c:v>
                </c:pt>
                <c:pt idx="321">
                  <c:v>-1.117</c:v>
                </c:pt>
                <c:pt idx="322">
                  <c:v>-0.78</c:v>
                </c:pt>
                <c:pt idx="323">
                  <c:v>-0.95399999999999996</c:v>
                </c:pt>
                <c:pt idx="324">
                  <c:v>-1.651</c:v>
                </c:pt>
                <c:pt idx="325">
                  <c:v>-1.772</c:v>
                </c:pt>
                <c:pt idx="326">
                  <c:v>-1.9179999999999999</c:v>
                </c:pt>
                <c:pt idx="327">
                  <c:v>-1.9039999999999999</c:v>
                </c:pt>
                <c:pt idx="328">
                  <c:v>-1.68</c:v>
                </c:pt>
                <c:pt idx="329">
                  <c:v>-1.6870000000000001</c:v>
                </c:pt>
                <c:pt idx="330">
                  <c:v>-1.8380000000000001</c:v>
                </c:pt>
                <c:pt idx="331">
                  <c:v>-1.4830000000000001</c:v>
                </c:pt>
                <c:pt idx="332">
                  <c:v>-1.504</c:v>
                </c:pt>
                <c:pt idx="333">
                  <c:v>-2.1819999999999999</c:v>
                </c:pt>
                <c:pt idx="334">
                  <c:v>-1.653</c:v>
                </c:pt>
                <c:pt idx="335">
                  <c:v>-2.3860000000000001</c:v>
                </c:pt>
                <c:pt idx="336">
                  <c:v>-2.7290000000000001</c:v>
                </c:pt>
                <c:pt idx="337">
                  <c:v>-2.149</c:v>
                </c:pt>
                <c:pt idx="338">
                  <c:v>-2.0950000000000002</c:v>
                </c:pt>
                <c:pt idx="339">
                  <c:v>-2.2170000000000001</c:v>
                </c:pt>
                <c:pt idx="340">
                  <c:v>-2.2749999999999999</c:v>
                </c:pt>
                <c:pt idx="341">
                  <c:v>-1.8879999999999999</c:v>
                </c:pt>
                <c:pt idx="342">
                  <c:v>-0.28299999999999997</c:v>
                </c:pt>
                <c:pt idx="343">
                  <c:v>-3.5999999999999997E-2</c:v>
                </c:pt>
                <c:pt idx="344">
                  <c:v>-0.27600000000000002</c:v>
                </c:pt>
                <c:pt idx="345">
                  <c:v>-1</c:v>
                </c:pt>
                <c:pt idx="346">
                  <c:v>-1.278</c:v>
                </c:pt>
                <c:pt idx="347">
                  <c:v>-1.429</c:v>
                </c:pt>
                <c:pt idx="348">
                  <c:v>-1.5249999999999999</c:v>
                </c:pt>
                <c:pt idx="349">
                  <c:v>-1.3959999999999999</c:v>
                </c:pt>
                <c:pt idx="350">
                  <c:v>-1.2330000000000001</c:v>
                </c:pt>
                <c:pt idx="351">
                  <c:v>-1.0720000000000001</c:v>
                </c:pt>
                <c:pt idx="352">
                  <c:v>-1.0109999999999999</c:v>
                </c:pt>
                <c:pt idx="353">
                  <c:v>-0.90600000000000003</c:v>
                </c:pt>
                <c:pt idx="354">
                  <c:v>-0.81599999999999995</c:v>
                </c:pt>
                <c:pt idx="355">
                  <c:v>-0.94799999999999995</c:v>
                </c:pt>
                <c:pt idx="356">
                  <c:v>-1.1040000000000001</c:v>
                </c:pt>
                <c:pt idx="357">
                  <c:v>-1.117</c:v>
                </c:pt>
                <c:pt idx="358">
                  <c:v>-1.2709999999999999</c:v>
                </c:pt>
                <c:pt idx="359">
                  <c:v>-1.3740000000000001</c:v>
                </c:pt>
                <c:pt idx="360">
                  <c:v>-1.3879999999999999</c:v>
                </c:pt>
                <c:pt idx="361">
                  <c:v>-1.333</c:v>
                </c:pt>
                <c:pt idx="362">
                  <c:v>-1.345</c:v>
                </c:pt>
                <c:pt idx="363">
                  <c:v>-1.3620000000000001</c:v>
                </c:pt>
                <c:pt idx="364">
                  <c:v>-1.534</c:v>
                </c:pt>
                <c:pt idx="365">
                  <c:v>-1.506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-5.5E-2</c:v>
                </c:pt>
                <c:pt idx="1">
                  <c:v>-8.1000000000000003E-2</c:v>
                </c:pt>
                <c:pt idx="2">
                  <c:v>-5.8000000000000003E-2</c:v>
                </c:pt>
                <c:pt idx="3">
                  <c:v>-7.0999999999999994E-2</c:v>
                </c:pt>
                <c:pt idx="4">
                  <c:v>-6.9000000000000006E-2</c:v>
                </c:pt>
                <c:pt idx="5">
                  <c:v>-5.3999999999999999E-2</c:v>
                </c:pt>
                <c:pt idx="6">
                  <c:v>-3.5999999999999997E-2</c:v>
                </c:pt>
                <c:pt idx="7">
                  <c:v>-9.1999999999999998E-2</c:v>
                </c:pt>
                <c:pt idx="8">
                  <c:v>-0.128</c:v>
                </c:pt>
                <c:pt idx="9">
                  <c:v>-8.6999999999999994E-2</c:v>
                </c:pt>
                <c:pt idx="10">
                  <c:v>-6.3E-2</c:v>
                </c:pt>
                <c:pt idx="11">
                  <c:v>-0.11600000000000001</c:v>
                </c:pt>
                <c:pt idx="12">
                  <c:v>-0.245</c:v>
                </c:pt>
                <c:pt idx="13">
                  <c:v>-0.23300000000000001</c:v>
                </c:pt>
                <c:pt idx="14">
                  <c:v>-0.16</c:v>
                </c:pt>
                <c:pt idx="15">
                  <c:v>-8.4000000000000005E-2</c:v>
                </c:pt>
                <c:pt idx="16">
                  <c:v>-0.114</c:v>
                </c:pt>
                <c:pt idx="17">
                  <c:v>-6.8000000000000005E-2</c:v>
                </c:pt>
                <c:pt idx="18">
                  <c:v>-4.9000000000000002E-2</c:v>
                </c:pt>
                <c:pt idx="19">
                  <c:v>-4.8000000000000001E-2</c:v>
                </c:pt>
                <c:pt idx="20">
                  <c:v>-5.0999999999999997E-2</c:v>
                </c:pt>
                <c:pt idx="21">
                  <c:v>-4.7E-2</c:v>
                </c:pt>
                <c:pt idx="22">
                  <c:v>-3.5000000000000003E-2</c:v>
                </c:pt>
                <c:pt idx="23">
                  <c:v>-3.5000000000000003E-2</c:v>
                </c:pt>
                <c:pt idx="24">
                  <c:v>-5.6000000000000001E-2</c:v>
                </c:pt>
                <c:pt idx="25">
                  <c:v>-4.2999999999999997E-2</c:v>
                </c:pt>
                <c:pt idx="26">
                  <c:v>-0.05</c:v>
                </c:pt>
                <c:pt idx="27">
                  <c:v>-5.7000000000000002E-2</c:v>
                </c:pt>
                <c:pt idx="28">
                  <c:v>-5.0999999999999997E-2</c:v>
                </c:pt>
                <c:pt idx="29">
                  <c:v>-5.3999999999999999E-2</c:v>
                </c:pt>
                <c:pt idx="30">
                  <c:v>-8.0000000000000002E-3</c:v>
                </c:pt>
                <c:pt idx="31">
                  <c:v>-4.3999999999999997E-2</c:v>
                </c:pt>
                <c:pt idx="32">
                  <c:v>-0.111</c:v>
                </c:pt>
                <c:pt idx="33">
                  <c:v>-0.129</c:v>
                </c:pt>
                <c:pt idx="34">
                  <c:v>-0.10299999999999999</c:v>
                </c:pt>
                <c:pt idx="35">
                  <c:v>-2.9000000000000001E-2</c:v>
                </c:pt>
                <c:pt idx="36">
                  <c:v>-3.1E-2</c:v>
                </c:pt>
                <c:pt idx="37">
                  <c:v>-3.5000000000000003E-2</c:v>
                </c:pt>
                <c:pt idx="38">
                  <c:v>-4.1000000000000002E-2</c:v>
                </c:pt>
                <c:pt idx="39">
                  <c:v>-3.7999999999999999E-2</c:v>
                </c:pt>
                <c:pt idx="40">
                  <c:v>-0.03</c:v>
                </c:pt>
                <c:pt idx="41">
                  <c:v>-2.5999999999999999E-2</c:v>
                </c:pt>
                <c:pt idx="42">
                  <c:v>-4.8000000000000001E-2</c:v>
                </c:pt>
                <c:pt idx="43">
                  <c:v>-3.4000000000000002E-2</c:v>
                </c:pt>
                <c:pt idx="44">
                  <c:v>-3.6999999999999998E-2</c:v>
                </c:pt>
                <c:pt idx="45">
                  <c:v>-2.8000000000000001E-2</c:v>
                </c:pt>
                <c:pt idx="46">
                  <c:v>-0.03</c:v>
                </c:pt>
                <c:pt idx="47">
                  <c:v>-3.7999999999999999E-2</c:v>
                </c:pt>
                <c:pt idx="48">
                  <c:v>-0.06</c:v>
                </c:pt>
                <c:pt idx="49">
                  <c:v>-8.7999999999999995E-2</c:v>
                </c:pt>
                <c:pt idx="50">
                  <c:v>-5.8999999999999997E-2</c:v>
                </c:pt>
                <c:pt idx="51">
                  <c:v>-2.4E-2</c:v>
                </c:pt>
                <c:pt idx="52">
                  <c:v>-1.7999999999999999E-2</c:v>
                </c:pt>
                <c:pt idx="53">
                  <c:v>-1.4E-2</c:v>
                </c:pt>
                <c:pt idx="54">
                  <c:v>-5.0000000000000001E-3</c:v>
                </c:pt>
                <c:pt idx="55">
                  <c:v>-7.0000000000000001E-3</c:v>
                </c:pt>
                <c:pt idx="56">
                  <c:v>-1E-3</c:v>
                </c:pt>
                <c:pt idx="57">
                  <c:v>1.2999999999999999E-2</c:v>
                </c:pt>
                <c:pt idx="58">
                  <c:v>1.4999999999999999E-2</c:v>
                </c:pt>
                <c:pt idx="59">
                  <c:v>1.7000000000000001E-2</c:v>
                </c:pt>
                <c:pt idx="60">
                  <c:v>1.6E-2</c:v>
                </c:pt>
                <c:pt idx="61">
                  <c:v>2.5999999999999999E-2</c:v>
                </c:pt>
                <c:pt idx="62">
                  <c:v>2.4E-2</c:v>
                </c:pt>
                <c:pt idx="63">
                  <c:v>0.02</c:v>
                </c:pt>
                <c:pt idx="64">
                  <c:v>2.3E-2</c:v>
                </c:pt>
                <c:pt idx="65">
                  <c:v>2.7E-2</c:v>
                </c:pt>
                <c:pt idx="66">
                  <c:v>2.8000000000000001E-2</c:v>
                </c:pt>
                <c:pt idx="67">
                  <c:v>3.1E-2</c:v>
                </c:pt>
                <c:pt idx="68">
                  <c:v>2.4E-2</c:v>
                </c:pt>
                <c:pt idx="69">
                  <c:v>2.7E-2</c:v>
                </c:pt>
                <c:pt idx="70">
                  <c:v>3.4000000000000002E-2</c:v>
                </c:pt>
                <c:pt idx="71">
                  <c:v>3.5000000000000003E-2</c:v>
                </c:pt>
                <c:pt idx="72">
                  <c:v>3.6999999999999998E-2</c:v>
                </c:pt>
                <c:pt idx="73">
                  <c:v>3.6999999999999998E-2</c:v>
                </c:pt>
                <c:pt idx="74">
                  <c:v>3.3000000000000002E-2</c:v>
                </c:pt>
                <c:pt idx="75">
                  <c:v>2.5000000000000001E-2</c:v>
                </c:pt>
                <c:pt idx="76">
                  <c:v>2.9000000000000001E-2</c:v>
                </c:pt>
                <c:pt idx="77">
                  <c:v>3.1E-2</c:v>
                </c:pt>
                <c:pt idx="78">
                  <c:v>3.4000000000000002E-2</c:v>
                </c:pt>
                <c:pt idx="79">
                  <c:v>3.7999999999999999E-2</c:v>
                </c:pt>
                <c:pt idx="80">
                  <c:v>0.04</c:v>
                </c:pt>
                <c:pt idx="81">
                  <c:v>3.1E-2</c:v>
                </c:pt>
                <c:pt idx="82">
                  <c:v>2.9000000000000001E-2</c:v>
                </c:pt>
                <c:pt idx="83">
                  <c:v>1.9E-2</c:v>
                </c:pt>
                <c:pt idx="84">
                  <c:v>2E-3</c:v>
                </c:pt>
                <c:pt idx="85">
                  <c:v>2.1000000000000001E-2</c:v>
                </c:pt>
                <c:pt idx="86">
                  <c:v>3.4000000000000002E-2</c:v>
                </c:pt>
                <c:pt idx="87">
                  <c:v>4.2999999999999997E-2</c:v>
                </c:pt>
                <c:pt idx="88">
                  <c:v>4.9000000000000002E-2</c:v>
                </c:pt>
                <c:pt idx="89">
                  <c:v>3.6999999999999998E-2</c:v>
                </c:pt>
                <c:pt idx="90">
                  <c:v>0.03</c:v>
                </c:pt>
                <c:pt idx="91">
                  <c:v>5.0000000000000001E-3</c:v>
                </c:pt>
                <c:pt idx="92">
                  <c:v>5.0000000000000001E-3</c:v>
                </c:pt>
                <c:pt idx="93">
                  <c:v>1.7000000000000001E-2</c:v>
                </c:pt>
                <c:pt idx="94">
                  <c:v>2.1000000000000001E-2</c:v>
                </c:pt>
                <c:pt idx="95">
                  <c:v>2.5000000000000001E-2</c:v>
                </c:pt>
                <c:pt idx="96">
                  <c:v>3.1E-2</c:v>
                </c:pt>
                <c:pt idx="97">
                  <c:v>3.9E-2</c:v>
                </c:pt>
                <c:pt idx="98">
                  <c:v>4.2000000000000003E-2</c:v>
                </c:pt>
                <c:pt idx="99">
                  <c:v>4.5999999999999999E-2</c:v>
                </c:pt>
                <c:pt idx="100">
                  <c:v>6.2E-2</c:v>
                </c:pt>
                <c:pt idx="101">
                  <c:v>1.9E-2</c:v>
                </c:pt>
                <c:pt idx="102">
                  <c:v>6.0000000000000001E-3</c:v>
                </c:pt>
                <c:pt idx="103">
                  <c:v>3.4000000000000002E-2</c:v>
                </c:pt>
                <c:pt idx="104">
                  <c:v>5.8999999999999997E-2</c:v>
                </c:pt>
                <c:pt idx="105">
                  <c:v>4.8000000000000001E-2</c:v>
                </c:pt>
                <c:pt idx="106">
                  <c:v>5.2999999999999999E-2</c:v>
                </c:pt>
                <c:pt idx="107">
                  <c:v>4.8000000000000001E-2</c:v>
                </c:pt>
                <c:pt idx="108">
                  <c:v>5.3999999999999999E-2</c:v>
                </c:pt>
                <c:pt idx="109">
                  <c:v>0.06</c:v>
                </c:pt>
                <c:pt idx="110">
                  <c:v>5.8000000000000003E-2</c:v>
                </c:pt>
                <c:pt idx="111">
                  <c:v>5.2999999999999999E-2</c:v>
                </c:pt>
                <c:pt idx="112">
                  <c:v>4.7E-2</c:v>
                </c:pt>
                <c:pt idx="113">
                  <c:v>4.9000000000000002E-2</c:v>
                </c:pt>
                <c:pt idx="114">
                  <c:v>5.0999999999999997E-2</c:v>
                </c:pt>
                <c:pt idx="115">
                  <c:v>0.05</c:v>
                </c:pt>
                <c:pt idx="116">
                  <c:v>5.0999999999999997E-2</c:v>
                </c:pt>
                <c:pt idx="117">
                  <c:v>5.7000000000000002E-2</c:v>
                </c:pt>
                <c:pt idx="118">
                  <c:v>5.0999999999999997E-2</c:v>
                </c:pt>
                <c:pt idx="119">
                  <c:v>7.8E-2</c:v>
                </c:pt>
                <c:pt idx="120">
                  <c:v>7.0999999999999994E-2</c:v>
                </c:pt>
                <c:pt idx="121">
                  <c:v>6.2E-2</c:v>
                </c:pt>
                <c:pt idx="122">
                  <c:v>6.5000000000000002E-2</c:v>
                </c:pt>
                <c:pt idx="123">
                  <c:v>4.2999999999999997E-2</c:v>
                </c:pt>
                <c:pt idx="124">
                  <c:v>5.6000000000000001E-2</c:v>
                </c:pt>
                <c:pt idx="125">
                  <c:v>6.9000000000000006E-2</c:v>
                </c:pt>
                <c:pt idx="126">
                  <c:v>4.3999999999999997E-2</c:v>
                </c:pt>
                <c:pt idx="127">
                  <c:v>7.0000000000000007E-2</c:v>
                </c:pt>
                <c:pt idx="128">
                  <c:v>6.4000000000000001E-2</c:v>
                </c:pt>
                <c:pt idx="129">
                  <c:v>8.1000000000000003E-2</c:v>
                </c:pt>
                <c:pt idx="130">
                  <c:v>8.4000000000000005E-2</c:v>
                </c:pt>
                <c:pt idx="131">
                  <c:v>8.4000000000000005E-2</c:v>
                </c:pt>
                <c:pt idx="132">
                  <c:v>7.1999999999999995E-2</c:v>
                </c:pt>
                <c:pt idx="133">
                  <c:v>7.2999999999999995E-2</c:v>
                </c:pt>
                <c:pt idx="134">
                  <c:v>6.8000000000000005E-2</c:v>
                </c:pt>
                <c:pt idx="135">
                  <c:v>6.7000000000000004E-2</c:v>
                </c:pt>
                <c:pt idx="136">
                  <c:v>7.3999999999999996E-2</c:v>
                </c:pt>
                <c:pt idx="137">
                  <c:v>7.1999999999999995E-2</c:v>
                </c:pt>
                <c:pt idx="138">
                  <c:v>6.8000000000000005E-2</c:v>
                </c:pt>
                <c:pt idx="139">
                  <c:v>8.2000000000000003E-2</c:v>
                </c:pt>
                <c:pt idx="140">
                  <c:v>8.6999999999999994E-2</c:v>
                </c:pt>
                <c:pt idx="141">
                  <c:v>6.3E-2</c:v>
                </c:pt>
                <c:pt idx="142">
                  <c:v>5.5E-2</c:v>
                </c:pt>
                <c:pt idx="143">
                  <c:v>0.10199999999999999</c:v>
                </c:pt>
                <c:pt idx="144">
                  <c:v>7.2999999999999995E-2</c:v>
                </c:pt>
                <c:pt idx="145">
                  <c:v>7.6999999999999999E-2</c:v>
                </c:pt>
                <c:pt idx="146">
                  <c:v>8.4000000000000005E-2</c:v>
                </c:pt>
                <c:pt idx="147">
                  <c:v>7.2999999999999995E-2</c:v>
                </c:pt>
                <c:pt idx="148">
                  <c:v>8.6999999999999994E-2</c:v>
                </c:pt>
                <c:pt idx="149">
                  <c:v>8.8999999999999996E-2</c:v>
                </c:pt>
                <c:pt idx="150">
                  <c:v>0.11799999999999999</c:v>
                </c:pt>
                <c:pt idx="151">
                  <c:v>0.19800000000000001</c:v>
                </c:pt>
                <c:pt idx="152">
                  <c:v>1.2609999999999999</c:v>
                </c:pt>
                <c:pt idx="153">
                  <c:v>4.327</c:v>
                </c:pt>
                <c:pt idx="154">
                  <c:v>9.06</c:v>
                </c:pt>
                <c:pt idx="155">
                  <c:v>8.4499999999999993</c:v>
                </c:pt>
                <c:pt idx="156">
                  <c:v>7.508</c:v>
                </c:pt>
                <c:pt idx="157">
                  <c:v>8.08</c:v>
                </c:pt>
                <c:pt idx="158">
                  <c:v>8.56</c:v>
                </c:pt>
                <c:pt idx="159">
                  <c:v>9.18</c:v>
                </c:pt>
                <c:pt idx="160">
                  <c:v>3.1360000000000001</c:v>
                </c:pt>
                <c:pt idx="161">
                  <c:v>9.81</c:v>
                </c:pt>
                <c:pt idx="162">
                  <c:v>9.09</c:v>
                </c:pt>
                <c:pt idx="163">
                  <c:v>11.7</c:v>
                </c:pt>
                <c:pt idx="164">
                  <c:v>3.3279999999999998</c:v>
                </c:pt>
                <c:pt idx="165">
                  <c:v>1.603</c:v>
                </c:pt>
                <c:pt idx="166">
                  <c:v>6.1520000000000001</c:v>
                </c:pt>
                <c:pt idx="167">
                  <c:v>10.210000000000001</c:v>
                </c:pt>
                <c:pt idx="168">
                  <c:v>11.51</c:v>
                </c:pt>
                <c:pt idx="169">
                  <c:v>13.39</c:v>
                </c:pt>
                <c:pt idx="170">
                  <c:v>13.31</c:v>
                </c:pt>
                <c:pt idx="171">
                  <c:v>12.3</c:v>
                </c:pt>
                <c:pt idx="172">
                  <c:v>14.64</c:v>
                </c:pt>
                <c:pt idx="173">
                  <c:v>14.08</c:v>
                </c:pt>
                <c:pt idx="174">
                  <c:v>14.75</c:v>
                </c:pt>
                <c:pt idx="175">
                  <c:v>13.99</c:v>
                </c:pt>
                <c:pt idx="176">
                  <c:v>16.87</c:v>
                </c:pt>
                <c:pt idx="177">
                  <c:v>13.19</c:v>
                </c:pt>
                <c:pt idx="178">
                  <c:v>11.03</c:v>
                </c:pt>
                <c:pt idx="179">
                  <c:v>8.52</c:v>
                </c:pt>
                <c:pt idx="180">
                  <c:v>13.37</c:v>
                </c:pt>
                <c:pt idx="181">
                  <c:v>10.46</c:v>
                </c:pt>
                <c:pt idx="182">
                  <c:v>7.9660000000000002</c:v>
                </c:pt>
                <c:pt idx="183">
                  <c:v>10.33</c:v>
                </c:pt>
                <c:pt idx="184">
                  <c:v>8.94</c:v>
                </c:pt>
                <c:pt idx="185">
                  <c:v>11.84</c:v>
                </c:pt>
                <c:pt idx="186">
                  <c:v>11.51</c:v>
                </c:pt>
                <c:pt idx="187">
                  <c:v>12.06</c:v>
                </c:pt>
                <c:pt idx="188">
                  <c:v>9</c:v>
                </c:pt>
                <c:pt idx="189">
                  <c:v>11.85</c:v>
                </c:pt>
                <c:pt idx="190">
                  <c:v>10.33</c:v>
                </c:pt>
                <c:pt idx="191">
                  <c:v>13.17</c:v>
                </c:pt>
                <c:pt idx="192">
                  <c:v>10.83</c:v>
                </c:pt>
                <c:pt idx="193">
                  <c:v>10.24</c:v>
                </c:pt>
                <c:pt idx="194">
                  <c:v>11.14</c:v>
                </c:pt>
                <c:pt idx="195">
                  <c:v>12.95</c:v>
                </c:pt>
                <c:pt idx="196">
                  <c:v>14.48</c:v>
                </c:pt>
                <c:pt idx="197">
                  <c:v>12.16</c:v>
                </c:pt>
                <c:pt idx="198">
                  <c:v>13.01</c:v>
                </c:pt>
                <c:pt idx="199">
                  <c:v>14.5</c:v>
                </c:pt>
                <c:pt idx="200">
                  <c:v>15.85</c:v>
                </c:pt>
                <c:pt idx="201">
                  <c:v>15.78</c:v>
                </c:pt>
                <c:pt idx="202">
                  <c:v>17.27</c:v>
                </c:pt>
                <c:pt idx="203">
                  <c:v>16.53</c:v>
                </c:pt>
                <c:pt idx="204">
                  <c:v>15.66</c:v>
                </c:pt>
                <c:pt idx="205">
                  <c:v>12.83</c:v>
                </c:pt>
                <c:pt idx="206">
                  <c:v>14.08</c:v>
                </c:pt>
                <c:pt idx="207">
                  <c:v>15.96</c:v>
                </c:pt>
                <c:pt idx="208">
                  <c:v>18.329999999999998</c:v>
                </c:pt>
                <c:pt idx="209">
                  <c:v>18.87</c:v>
                </c:pt>
                <c:pt idx="210">
                  <c:v>18.98</c:v>
                </c:pt>
                <c:pt idx="211">
                  <c:v>19.95</c:v>
                </c:pt>
                <c:pt idx="212">
                  <c:v>18.68</c:v>
                </c:pt>
                <c:pt idx="213">
                  <c:v>18.73</c:v>
                </c:pt>
                <c:pt idx="214">
                  <c:v>18.510000000000002</c:v>
                </c:pt>
                <c:pt idx="215">
                  <c:v>17.010000000000002</c:v>
                </c:pt>
                <c:pt idx="216">
                  <c:v>17.52</c:v>
                </c:pt>
                <c:pt idx="217">
                  <c:v>18.52</c:v>
                </c:pt>
                <c:pt idx="218">
                  <c:v>11.78</c:v>
                </c:pt>
                <c:pt idx="219">
                  <c:v>11.19</c:v>
                </c:pt>
                <c:pt idx="220">
                  <c:v>12.48</c:v>
                </c:pt>
                <c:pt idx="221">
                  <c:v>12.84</c:v>
                </c:pt>
                <c:pt idx="222">
                  <c:v>13.19</c:v>
                </c:pt>
                <c:pt idx="223">
                  <c:v>12.03</c:v>
                </c:pt>
                <c:pt idx="224">
                  <c:v>10.6</c:v>
                </c:pt>
                <c:pt idx="225">
                  <c:v>11.08</c:v>
                </c:pt>
                <c:pt idx="226">
                  <c:v>13.16</c:v>
                </c:pt>
                <c:pt idx="227">
                  <c:v>16.73</c:v>
                </c:pt>
                <c:pt idx="228">
                  <c:v>18.850000000000001</c:v>
                </c:pt>
                <c:pt idx="229">
                  <c:v>20.28</c:v>
                </c:pt>
                <c:pt idx="230">
                  <c:v>18.940000000000001</c:v>
                </c:pt>
                <c:pt idx="231">
                  <c:v>16.420000000000002</c:v>
                </c:pt>
                <c:pt idx="232">
                  <c:v>15.52</c:v>
                </c:pt>
                <c:pt idx="233">
                  <c:v>13.78</c:v>
                </c:pt>
                <c:pt idx="234">
                  <c:v>12.93</c:v>
                </c:pt>
                <c:pt idx="235">
                  <c:v>13.97</c:v>
                </c:pt>
                <c:pt idx="236">
                  <c:v>12.83</c:v>
                </c:pt>
                <c:pt idx="237">
                  <c:v>16.309999999999999</c:v>
                </c:pt>
                <c:pt idx="238">
                  <c:v>15.67</c:v>
                </c:pt>
                <c:pt idx="239">
                  <c:v>16.46</c:v>
                </c:pt>
                <c:pt idx="240">
                  <c:v>17.97</c:v>
                </c:pt>
                <c:pt idx="241">
                  <c:v>13.16</c:v>
                </c:pt>
                <c:pt idx="242">
                  <c:v>12.84</c:v>
                </c:pt>
                <c:pt idx="243">
                  <c:v>10.1</c:v>
                </c:pt>
                <c:pt idx="244">
                  <c:v>17.57</c:v>
                </c:pt>
                <c:pt idx="245">
                  <c:v>17.22</c:v>
                </c:pt>
                <c:pt idx="246">
                  <c:v>18.14</c:v>
                </c:pt>
                <c:pt idx="247">
                  <c:v>20.27</c:v>
                </c:pt>
                <c:pt idx="248">
                  <c:v>20.54</c:v>
                </c:pt>
                <c:pt idx="249">
                  <c:v>20.43</c:v>
                </c:pt>
                <c:pt idx="250">
                  <c:v>14.63</c:v>
                </c:pt>
                <c:pt idx="251">
                  <c:v>14.14</c:v>
                </c:pt>
                <c:pt idx="252">
                  <c:v>17.43</c:v>
                </c:pt>
                <c:pt idx="253">
                  <c:v>18.55</c:v>
                </c:pt>
                <c:pt idx="254">
                  <c:v>20.309999999999999</c:v>
                </c:pt>
                <c:pt idx="255">
                  <c:v>18.97</c:v>
                </c:pt>
                <c:pt idx="256">
                  <c:v>13.26</c:v>
                </c:pt>
                <c:pt idx="257">
                  <c:v>13.88</c:v>
                </c:pt>
                <c:pt idx="258">
                  <c:v>17.36</c:v>
                </c:pt>
                <c:pt idx="259">
                  <c:v>17.649999999999999</c:v>
                </c:pt>
                <c:pt idx="260">
                  <c:v>16.73</c:v>
                </c:pt>
                <c:pt idx="261">
                  <c:v>14.69</c:v>
                </c:pt>
                <c:pt idx="262">
                  <c:v>11.14</c:v>
                </c:pt>
                <c:pt idx="263">
                  <c:v>13.22</c:v>
                </c:pt>
                <c:pt idx="264">
                  <c:v>8.9600000000000009</c:v>
                </c:pt>
                <c:pt idx="265">
                  <c:v>13.02</c:v>
                </c:pt>
                <c:pt idx="266">
                  <c:v>7.8440000000000003</c:v>
                </c:pt>
                <c:pt idx="267">
                  <c:v>5.2830000000000004</c:v>
                </c:pt>
                <c:pt idx="268">
                  <c:v>2.1629999999999998</c:v>
                </c:pt>
                <c:pt idx="269">
                  <c:v>3.927</c:v>
                </c:pt>
                <c:pt idx="270">
                  <c:v>7.6269999999999998</c:v>
                </c:pt>
                <c:pt idx="271">
                  <c:v>10.35</c:v>
                </c:pt>
                <c:pt idx="272">
                  <c:v>11.46</c:v>
                </c:pt>
                <c:pt idx="273">
                  <c:v>10.89</c:v>
                </c:pt>
                <c:pt idx="274">
                  <c:v>8.98</c:v>
                </c:pt>
                <c:pt idx="275">
                  <c:v>12.41</c:v>
                </c:pt>
                <c:pt idx="276">
                  <c:v>12.58</c:v>
                </c:pt>
                <c:pt idx="277">
                  <c:v>8.86</c:v>
                </c:pt>
                <c:pt idx="278">
                  <c:v>11.8</c:v>
                </c:pt>
                <c:pt idx="279">
                  <c:v>13.29</c:v>
                </c:pt>
                <c:pt idx="280">
                  <c:v>12.8</c:v>
                </c:pt>
                <c:pt idx="281">
                  <c:v>6.21</c:v>
                </c:pt>
                <c:pt idx="282">
                  <c:v>5.42</c:v>
                </c:pt>
                <c:pt idx="283">
                  <c:v>4.2389999999999999</c:v>
                </c:pt>
                <c:pt idx="284">
                  <c:v>1.4870000000000001</c:v>
                </c:pt>
                <c:pt idx="285">
                  <c:v>0.80700000000000005</c:v>
                </c:pt>
                <c:pt idx="286">
                  <c:v>0.81699999999999995</c:v>
                </c:pt>
                <c:pt idx="287">
                  <c:v>0.69899999999999995</c:v>
                </c:pt>
                <c:pt idx="288">
                  <c:v>0.70399999999999996</c:v>
                </c:pt>
                <c:pt idx="289">
                  <c:v>0.67600000000000005</c:v>
                </c:pt>
                <c:pt idx="290">
                  <c:v>0.60399999999999998</c:v>
                </c:pt>
                <c:pt idx="291">
                  <c:v>0.69099999999999995</c:v>
                </c:pt>
                <c:pt idx="292">
                  <c:v>0.69099999999999995</c:v>
                </c:pt>
                <c:pt idx="293">
                  <c:v>0.67300000000000004</c:v>
                </c:pt>
                <c:pt idx="294">
                  <c:v>0.65400000000000003</c:v>
                </c:pt>
                <c:pt idx="295">
                  <c:v>0.55000000000000004</c:v>
                </c:pt>
                <c:pt idx="296">
                  <c:v>0.378</c:v>
                </c:pt>
                <c:pt idx="297">
                  <c:v>0.435</c:v>
                </c:pt>
                <c:pt idx="298">
                  <c:v>0.50600000000000001</c:v>
                </c:pt>
                <c:pt idx="299">
                  <c:v>0.61199999999999999</c:v>
                </c:pt>
                <c:pt idx="300">
                  <c:v>0.65200000000000002</c:v>
                </c:pt>
                <c:pt idx="301">
                  <c:v>0.66300000000000003</c:v>
                </c:pt>
                <c:pt idx="302">
                  <c:v>0.57699999999999996</c:v>
                </c:pt>
                <c:pt idx="303">
                  <c:v>0.498</c:v>
                </c:pt>
                <c:pt idx="304">
                  <c:v>0.45600000000000002</c:v>
                </c:pt>
                <c:pt idx="305">
                  <c:v>0.501</c:v>
                </c:pt>
                <c:pt idx="306">
                  <c:v>0.54100000000000004</c:v>
                </c:pt>
                <c:pt idx="307">
                  <c:v>0.53500000000000003</c:v>
                </c:pt>
                <c:pt idx="308">
                  <c:v>0.52500000000000002</c:v>
                </c:pt>
                <c:pt idx="309">
                  <c:v>0.46300000000000002</c:v>
                </c:pt>
                <c:pt idx="310">
                  <c:v>0.45300000000000001</c:v>
                </c:pt>
                <c:pt idx="311">
                  <c:v>0.159</c:v>
                </c:pt>
                <c:pt idx="312">
                  <c:v>5.3999999999999999E-2</c:v>
                </c:pt>
                <c:pt idx="313">
                  <c:v>9.4E-2</c:v>
                </c:pt>
                <c:pt idx="314">
                  <c:v>0.14499999999999999</c:v>
                </c:pt>
                <c:pt idx="315">
                  <c:v>0.22</c:v>
                </c:pt>
                <c:pt idx="316">
                  <c:v>0.33700000000000002</c:v>
                </c:pt>
                <c:pt idx="317">
                  <c:v>0.41399999999999998</c:v>
                </c:pt>
                <c:pt idx="318">
                  <c:v>0.44</c:v>
                </c:pt>
                <c:pt idx="319">
                  <c:v>0.47799999999999998</c:v>
                </c:pt>
                <c:pt idx="320">
                  <c:v>0.52100000000000002</c:v>
                </c:pt>
                <c:pt idx="321">
                  <c:v>0.56699999999999995</c:v>
                </c:pt>
                <c:pt idx="322">
                  <c:v>0.56899999999999995</c:v>
                </c:pt>
                <c:pt idx="323">
                  <c:v>0.56100000000000005</c:v>
                </c:pt>
                <c:pt idx="324">
                  <c:v>0.58899999999999997</c:v>
                </c:pt>
                <c:pt idx="325">
                  <c:v>0.58499999999999996</c:v>
                </c:pt>
                <c:pt idx="326">
                  <c:v>0.59499999999999997</c:v>
                </c:pt>
                <c:pt idx="327">
                  <c:v>0.60699999999999998</c:v>
                </c:pt>
                <c:pt idx="328">
                  <c:v>0.60599999999999998</c:v>
                </c:pt>
                <c:pt idx="329">
                  <c:v>0.60099999999999998</c:v>
                </c:pt>
                <c:pt idx="330">
                  <c:v>0.60099999999999998</c:v>
                </c:pt>
                <c:pt idx="331">
                  <c:v>0.60199999999999998</c:v>
                </c:pt>
                <c:pt idx="332">
                  <c:v>0.58499999999999996</c:v>
                </c:pt>
                <c:pt idx="333">
                  <c:v>0.57899999999999996</c:v>
                </c:pt>
                <c:pt idx="334">
                  <c:v>0.57799999999999996</c:v>
                </c:pt>
                <c:pt idx="335">
                  <c:v>0.53700000000000003</c:v>
                </c:pt>
                <c:pt idx="336">
                  <c:v>0.58199999999999996</c:v>
                </c:pt>
                <c:pt idx="337">
                  <c:v>0.56100000000000005</c:v>
                </c:pt>
                <c:pt idx="338">
                  <c:v>0.55100000000000005</c:v>
                </c:pt>
                <c:pt idx="339">
                  <c:v>0.55800000000000005</c:v>
                </c:pt>
                <c:pt idx="340">
                  <c:v>0.53800000000000003</c:v>
                </c:pt>
                <c:pt idx="341">
                  <c:v>0.52100000000000002</c:v>
                </c:pt>
                <c:pt idx="342">
                  <c:v>0.55400000000000005</c:v>
                </c:pt>
                <c:pt idx="343">
                  <c:v>0.499</c:v>
                </c:pt>
                <c:pt idx="344">
                  <c:v>0.45900000000000002</c:v>
                </c:pt>
                <c:pt idx="345">
                  <c:v>0.438</c:v>
                </c:pt>
                <c:pt idx="346">
                  <c:v>0.41599999999999998</c:v>
                </c:pt>
                <c:pt idx="347">
                  <c:v>0.40699999999999997</c:v>
                </c:pt>
                <c:pt idx="348">
                  <c:v>0.42499999999999999</c:v>
                </c:pt>
                <c:pt idx="349">
                  <c:v>0.41699999999999998</c:v>
                </c:pt>
                <c:pt idx="350">
                  <c:v>0.42399999999999999</c:v>
                </c:pt>
                <c:pt idx="351">
                  <c:v>0.41199999999999998</c:v>
                </c:pt>
                <c:pt idx="352">
                  <c:v>0.41599999999999998</c:v>
                </c:pt>
                <c:pt idx="353">
                  <c:v>0.40600000000000003</c:v>
                </c:pt>
                <c:pt idx="354">
                  <c:v>0.4</c:v>
                </c:pt>
                <c:pt idx="355">
                  <c:v>0.38200000000000001</c:v>
                </c:pt>
                <c:pt idx="356">
                  <c:v>0.33200000000000002</c:v>
                </c:pt>
                <c:pt idx="357">
                  <c:v>0.33</c:v>
                </c:pt>
                <c:pt idx="358">
                  <c:v>0.32300000000000001</c:v>
                </c:pt>
                <c:pt idx="359">
                  <c:v>0.33300000000000002</c:v>
                </c:pt>
                <c:pt idx="360">
                  <c:v>0.33100000000000002</c:v>
                </c:pt>
                <c:pt idx="361">
                  <c:v>0.33300000000000002</c:v>
                </c:pt>
                <c:pt idx="362">
                  <c:v>0.317</c:v>
                </c:pt>
                <c:pt idx="363">
                  <c:v>0.316</c:v>
                </c:pt>
                <c:pt idx="364">
                  <c:v>0.313</c:v>
                </c:pt>
                <c:pt idx="365">
                  <c:v>0.33500000000000002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0.92800000000000005</c:v>
                </c:pt>
                <c:pt idx="1">
                  <c:v>0.89700000000000002</c:v>
                </c:pt>
                <c:pt idx="2">
                  <c:v>0.91500000000000004</c:v>
                </c:pt>
                <c:pt idx="3">
                  <c:v>0.90100000000000002</c:v>
                </c:pt>
                <c:pt idx="4">
                  <c:v>0.89900000000000002</c:v>
                </c:pt>
                <c:pt idx="5">
                  <c:v>0.91300000000000003</c:v>
                </c:pt>
                <c:pt idx="6">
                  <c:v>0.92900000000000005</c:v>
                </c:pt>
                <c:pt idx="7">
                  <c:v>0.871</c:v>
                </c:pt>
                <c:pt idx="8">
                  <c:v>0.83499999999999996</c:v>
                </c:pt>
                <c:pt idx="9">
                  <c:v>0.875</c:v>
                </c:pt>
                <c:pt idx="10">
                  <c:v>0.89900000000000002</c:v>
                </c:pt>
                <c:pt idx="11">
                  <c:v>0.84699999999999998</c:v>
                </c:pt>
                <c:pt idx="12">
                  <c:v>0.71699999999999997</c:v>
                </c:pt>
                <c:pt idx="13">
                  <c:v>0.72899999999999998</c:v>
                </c:pt>
                <c:pt idx="14">
                  <c:v>0.80100000000000005</c:v>
                </c:pt>
                <c:pt idx="15">
                  <c:v>0.877</c:v>
                </c:pt>
                <c:pt idx="16">
                  <c:v>0.84599999999999997</c:v>
                </c:pt>
                <c:pt idx="17">
                  <c:v>0.89300000000000002</c:v>
                </c:pt>
                <c:pt idx="18">
                  <c:v>0.91100000000000003</c:v>
                </c:pt>
                <c:pt idx="19">
                  <c:v>0.90900000000000003</c:v>
                </c:pt>
                <c:pt idx="20">
                  <c:v>0.90300000000000002</c:v>
                </c:pt>
                <c:pt idx="21">
                  <c:v>0.90400000000000003</c:v>
                </c:pt>
                <c:pt idx="22">
                  <c:v>0.91200000000000003</c:v>
                </c:pt>
                <c:pt idx="23">
                  <c:v>0.90700000000000003</c:v>
                </c:pt>
                <c:pt idx="24">
                  <c:v>0.88500000000000001</c:v>
                </c:pt>
                <c:pt idx="25">
                  <c:v>0.89600000000000002</c:v>
                </c:pt>
                <c:pt idx="26">
                  <c:v>0.88600000000000001</c:v>
                </c:pt>
                <c:pt idx="27">
                  <c:v>0.876</c:v>
                </c:pt>
                <c:pt idx="28">
                  <c:v>0.88100000000000001</c:v>
                </c:pt>
                <c:pt idx="29">
                  <c:v>0.877</c:v>
                </c:pt>
                <c:pt idx="30">
                  <c:v>0.91700000000000004</c:v>
                </c:pt>
                <c:pt idx="31">
                  <c:v>0.876</c:v>
                </c:pt>
                <c:pt idx="32">
                  <c:v>0.80800000000000005</c:v>
                </c:pt>
                <c:pt idx="33">
                  <c:v>0.78800000000000003</c:v>
                </c:pt>
                <c:pt idx="34">
                  <c:v>0.81200000000000006</c:v>
                </c:pt>
                <c:pt idx="35">
                  <c:v>0.88100000000000001</c:v>
                </c:pt>
                <c:pt idx="36">
                  <c:v>0.876</c:v>
                </c:pt>
                <c:pt idx="37">
                  <c:v>0.86599999999999999</c:v>
                </c:pt>
                <c:pt idx="38">
                  <c:v>0.85299999999999998</c:v>
                </c:pt>
                <c:pt idx="39">
                  <c:v>0.85299999999999998</c:v>
                </c:pt>
                <c:pt idx="40">
                  <c:v>0.85499999999999998</c:v>
                </c:pt>
                <c:pt idx="41">
                  <c:v>0.85499999999999998</c:v>
                </c:pt>
                <c:pt idx="42">
                  <c:v>0.82699999999999996</c:v>
                </c:pt>
                <c:pt idx="43">
                  <c:v>0.83799999999999997</c:v>
                </c:pt>
                <c:pt idx="44">
                  <c:v>0.83099999999999996</c:v>
                </c:pt>
                <c:pt idx="45">
                  <c:v>0.83499999999999996</c:v>
                </c:pt>
                <c:pt idx="46">
                  <c:v>0.82699999999999996</c:v>
                </c:pt>
                <c:pt idx="47">
                  <c:v>0.81399999999999995</c:v>
                </c:pt>
                <c:pt idx="48">
                  <c:v>0.78500000000000003</c:v>
                </c:pt>
                <c:pt idx="49">
                  <c:v>0.752</c:v>
                </c:pt>
                <c:pt idx="50">
                  <c:v>0.77700000000000002</c:v>
                </c:pt>
                <c:pt idx="51">
                  <c:v>0.80800000000000005</c:v>
                </c:pt>
                <c:pt idx="52">
                  <c:v>0.80900000000000005</c:v>
                </c:pt>
                <c:pt idx="53">
                  <c:v>0.80700000000000005</c:v>
                </c:pt>
                <c:pt idx="54">
                  <c:v>0.81</c:v>
                </c:pt>
                <c:pt idx="55">
                  <c:v>0.80500000000000005</c:v>
                </c:pt>
                <c:pt idx="56">
                  <c:v>0.80600000000000005</c:v>
                </c:pt>
                <c:pt idx="57">
                  <c:v>0.81499999999999995</c:v>
                </c:pt>
                <c:pt idx="58">
                  <c:v>0.81499999999999995</c:v>
                </c:pt>
                <c:pt idx="59">
                  <c:v>0.81100000000000005</c:v>
                </c:pt>
                <c:pt idx="60">
                  <c:v>0.80500000000000005</c:v>
                </c:pt>
                <c:pt idx="61">
                  <c:v>0.81</c:v>
                </c:pt>
                <c:pt idx="62">
                  <c:v>0.80300000000000005</c:v>
                </c:pt>
                <c:pt idx="63">
                  <c:v>0.79600000000000004</c:v>
                </c:pt>
                <c:pt idx="64">
                  <c:v>0.79600000000000004</c:v>
                </c:pt>
                <c:pt idx="65">
                  <c:v>0.79700000000000004</c:v>
                </c:pt>
                <c:pt idx="66">
                  <c:v>0.79300000000000004</c:v>
                </c:pt>
                <c:pt idx="67">
                  <c:v>0.79100000000000004</c:v>
                </c:pt>
                <c:pt idx="68">
                  <c:v>0.77700000000000002</c:v>
                </c:pt>
                <c:pt idx="69">
                  <c:v>0.77700000000000002</c:v>
                </c:pt>
                <c:pt idx="70">
                  <c:v>0.78200000000000003</c:v>
                </c:pt>
                <c:pt idx="71">
                  <c:v>0.78</c:v>
                </c:pt>
                <c:pt idx="72">
                  <c:v>0.77800000000000002</c:v>
                </c:pt>
                <c:pt idx="73">
                  <c:v>0.77600000000000002</c:v>
                </c:pt>
                <c:pt idx="74">
                  <c:v>0.76700000000000002</c:v>
                </c:pt>
                <c:pt idx="75">
                  <c:v>0.754</c:v>
                </c:pt>
                <c:pt idx="76">
                  <c:v>0.755</c:v>
                </c:pt>
                <c:pt idx="77">
                  <c:v>0.75700000000000001</c:v>
                </c:pt>
                <c:pt idx="78">
                  <c:v>0.755</c:v>
                </c:pt>
                <c:pt idx="79">
                  <c:v>0.755</c:v>
                </c:pt>
                <c:pt idx="80">
                  <c:v>0.755</c:v>
                </c:pt>
                <c:pt idx="81">
                  <c:v>0.745</c:v>
                </c:pt>
                <c:pt idx="82">
                  <c:v>0.74099999999999999</c:v>
                </c:pt>
                <c:pt idx="83">
                  <c:v>0.72799999999999998</c:v>
                </c:pt>
                <c:pt idx="84">
                  <c:v>0.70799999999999996</c:v>
                </c:pt>
                <c:pt idx="85">
                  <c:v>0.72599999999999998</c:v>
                </c:pt>
                <c:pt idx="86">
                  <c:v>0.73899999999999999</c:v>
                </c:pt>
                <c:pt idx="87">
                  <c:v>0.746</c:v>
                </c:pt>
                <c:pt idx="88">
                  <c:v>0.748</c:v>
                </c:pt>
                <c:pt idx="89">
                  <c:v>0.73499999999999999</c:v>
                </c:pt>
                <c:pt idx="90">
                  <c:v>0.72399999999999998</c:v>
                </c:pt>
                <c:pt idx="91">
                  <c:v>0.69699999999999995</c:v>
                </c:pt>
                <c:pt idx="92">
                  <c:v>0.69499999999999995</c:v>
                </c:pt>
                <c:pt idx="93">
                  <c:v>0.70599999999999996</c:v>
                </c:pt>
                <c:pt idx="94">
                  <c:v>0.70699999999999996</c:v>
                </c:pt>
                <c:pt idx="95">
                  <c:v>0.71099999999999997</c:v>
                </c:pt>
                <c:pt idx="96">
                  <c:v>0.71599999999999997</c:v>
                </c:pt>
                <c:pt idx="97">
                  <c:v>0.72199999999999998</c:v>
                </c:pt>
                <c:pt idx="98">
                  <c:v>0.72399999999999998</c:v>
                </c:pt>
                <c:pt idx="99">
                  <c:v>0.72899999999999998</c:v>
                </c:pt>
                <c:pt idx="100">
                  <c:v>0.746</c:v>
                </c:pt>
                <c:pt idx="101">
                  <c:v>0.70299999999999996</c:v>
                </c:pt>
                <c:pt idx="102">
                  <c:v>0.68799999999999994</c:v>
                </c:pt>
                <c:pt idx="103">
                  <c:v>0.71299999999999997</c:v>
                </c:pt>
                <c:pt idx="104">
                  <c:v>0.73399999999999999</c:v>
                </c:pt>
                <c:pt idx="105">
                  <c:v>0.72299999999999998</c:v>
                </c:pt>
                <c:pt idx="106">
                  <c:v>0.72599999999999998</c:v>
                </c:pt>
                <c:pt idx="107">
                  <c:v>0.72199999999999998</c:v>
                </c:pt>
                <c:pt idx="108">
                  <c:v>0.72899999999999998</c:v>
                </c:pt>
                <c:pt idx="109">
                  <c:v>0.73499999999999999</c:v>
                </c:pt>
                <c:pt idx="110">
                  <c:v>0.73499999999999999</c:v>
                </c:pt>
                <c:pt idx="111">
                  <c:v>0.72799999999999998</c:v>
                </c:pt>
                <c:pt idx="112">
                  <c:v>0.71399999999999997</c:v>
                </c:pt>
                <c:pt idx="113">
                  <c:v>0.70899999999999996</c:v>
                </c:pt>
                <c:pt idx="114">
                  <c:v>0.70399999999999996</c:v>
                </c:pt>
                <c:pt idx="115">
                  <c:v>0.69899999999999995</c:v>
                </c:pt>
                <c:pt idx="116">
                  <c:v>0.70099999999999996</c:v>
                </c:pt>
                <c:pt idx="117">
                  <c:v>0.70699999999999996</c:v>
                </c:pt>
                <c:pt idx="118">
                  <c:v>0.70599999999999996</c:v>
                </c:pt>
                <c:pt idx="119">
                  <c:v>0.73499999999999999</c:v>
                </c:pt>
                <c:pt idx="120">
                  <c:v>0.752</c:v>
                </c:pt>
                <c:pt idx="121">
                  <c:v>0.77100000000000002</c:v>
                </c:pt>
                <c:pt idx="122">
                  <c:v>0.77300000000000002</c:v>
                </c:pt>
                <c:pt idx="123">
                  <c:v>0.753</c:v>
                </c:pt>
                <c:pt idx="124">
                  <c:v>0.746</c:v>
                </c:pt>
                <c:pt idx="125">
                  <c:v>0.749</c:v>
                </c:pt>
                <c:pt idx="126">
                  <c:v>0.72</c:v>
                </c:pt>
                <c:pt idx="127">
                  <c:v>0.73899999999999999</c:v>
                </c:pt>
                <c:pt idx="128">
                  <c:v>0.73099999999999998</c:v>
                </c:pt>
                <c:pt idx="129">
                  <c:v>0.77700000000000002</c:v>
                </c:pt>
                <c:pt idx="130">
                  <c:v>0.8</c:v>
                </c:pt>
                <c:pt idx="131">
                  <c:v>0.77400000000000002</c:v>
                </c:pt>
                <c:pt idx="132">
                  <c:v>0.72599999999999998</c:v>
                </c:pt>
                <c:pt idx="133">
                  <c:v>0.71899999999999997</c:v>
                </c:pt>
                <c:pt idx="134">
                  <c:v>0.70899999999999996</c:v>
                </c:pt>
                <c:pt idx="135">
                  <c:v>0.68600000000000005</c:v>
                </c:pt>
                <c:pt idx="136">
                  <c:v>0.68799999999999994</c:v>
                </c:pt>
                <c:pt idx="137">
                  <c:v>0.69599999999999995</c:v>
                </c:pt>
                <c:pt idx="138">
                  <c:v>0.65900000000000003</c:v>
                </c:pt>
                <c:pt idx="139">
                  <c:v>0.65200000000000002</c:v>
                </c:pt>
                <c:pt idx="140">
                  <c:v>0.64900000000000002</c:v>
                </c:pt>
                <c:pt idx="141">
                  <c:v>0.61499999999999999</c:v>
                </c:pt>
                <c:pt idx="142">
                  <c:v>0.61299999999999999</c:v>
                </c:pt>
                <c:pt idx="143">
                  <c:v>0.66500000000000004</c:v>
                </c:pt>
                <c:pt idx="144">
                  <c:v>0.63400000000000001</c:v>
                </c:pt>
                <c:pt idx="145">
                  <c:v>0.64400000000000002</c:v>
                </c:pt>
                <c:pt idx="146">
                  <c:v>0.66200000000000003</c:v>
                </c:pt>
                <c:pt idx="147">
                  <c:v>0.64200000000000002</c:v>
                </c:pt>
                <c:pt idx="148">
                  <c:v>0.64100000000000001</c:v>
                </c:pt>
                <c:pt idx="149">
                  <c:v>0.66300000000000003</c:v>
                </c:pt>
                <c:pt idx="150">
                  <c:v>0.69799999999999995</c:v>
                </c:pt>
                <c:pt idx="151">
                  <c:v>0.747</c:v>
                </c:pt>
                <c:pt idx="152">
                  <c:v>0.81200000000000006</c:v>
                </c:pt>
                <c:pt idx="153">
                  <c:v>1.266</c:v>
                </c:pt>
                <c:pt idx="154">
                  <c:v>2.4159999999999999</c:v>
                </c:pt>
                <c:pt idx="155">
                  <c:v>4.165</c:v>
                </c:pt>
                <c:pt idx="156">
                  <c:v>4.6790000000000003</c:v>
                </c:pt>
                <c:pt idx="157">
                  <c:v>5.0389999999999997</c:v>
                </c:pt>
                <c:pt idx="158">
                  <c:v>5.2759999999999998</c:v>
                </c:pt>
                <c:pt idx="159">
                  <c:v>5.7880000000000003</c:v>
                </c:pt>
                <c:pt idx="160">
                  <c:v>5.0389999999999997</c:v>
                </c:pt>
                <c:pt idx="161">
                  <c:v>5.4459999999999997</c:v>
                </c:pt>
                <c:pt idx="162">
                  <c:v>6.3239999999999998</c:v>
                </c:pt>
                <c:pt idx="163">
                  <c:v>7.2850000000000001</c:v>
                </c:pt>
                <c:pt idx="164">
                  <c:v>6.48</c:v>
                </c:pt>
                <c:pt idx="165">
                  <c:v>4.335</c:v>
                </c:pt>
                <c:pt idx="166">
                  <c:v>4.056</c:v>
                </c:pt>
                <c:pt idx="167">
                  <c:v>5.548</c:v>
                </c:pt>
                <c:pt idx="168">
                  <c:v>6.8920000000000003</c:v>
                </c:pt>
                <c:pt idx="169">
                  <c:v>7.9269999999999996</c:v>
                </c:pt>
                <c:pt idx="170">
                  <c:v>8.8699999999999992</c:v>
                </c:pt>
                <c:pt idx="171">
                  <c:v>9.25</c:v>
                </c:pt>
                <c:pt idx="172">
                  <c:v>9.57</c:v>
                </c:pt>
                <c:pt idx="173">
                  <c:v>10.199999999999999</c:v>
                </c:pt>
                <c:pt idx="174">
                  <c:v>10.72</c:v>
                </c:pt>
                <c:pt idx="175">
                  <c:v>10.9</c:v>
                </c:pt>
                <c:pt idx="176">
                  <c:v>11.3</c:v>
                </c:pt>
                <c:pt idx="177">
                  <c:v>11.77</c:v>
                </c:pt>
                <c:pt idx="178">
                  <c:v>10.77</c:v>
                </c:pt>
                <c:pt idx="179">
                  <c:v>9.4700000000000006</c:v>
                </c:pt>
                <c:pt idx="180">
                  <c:v>9.6</c:v>
                </c:pt>
                <c:pt idx="181">
                  <c:v>10.050000000000001</c:v>
                </c:pt>
                <c:pt idx="182">
                  <c:v>9.1999999999999993</c:v>
                </c:pt>
                <c:pt idx="183">
                  <c:v>8.5299999999999994</c:v>
                </c:pt>
                <c:pt idx="184">
                  <c:v>8.86</c:v>
                </c:pt>
                <c:pt idx="185">
                  <c:v>9.19</c:v>
                </c:pt>
                <c:pt idx="186">
                  <c:v>9.51</c:v>
                </c:pt>
                <c:pt idx="187">
                  <c:v>9.85</c:v>
                </c:pt>
                <c:pt idx="188">
                  <c:v>9.43</c:v>
                </c:pt>
                <c:pt idx="189">
                  <c:v>9.2100000000000009</c:v>
                </c:pt>
                <c:pt idx="190">
                  <c:v>9.66</c:v>
                </c:pt>
                <c:pt idx="191">
                  <c:v>9.77</c:v>
                </c:pt>
                <c:pt idx="192">
                  <c:v>10.31</c:v>
                </c:pt>
                <c:pt idx="193">
                  <c:v>9.99</c:v>
                </c:pt>
                <c:pt idx="194">
                  <c:v>9.58</c:v>
                </c:pt>
                <c:pt idx="195">
                  <c:v>10.210000000000001</c:v>
                </c:pt>
                <c:pt idx="196">
                  <c:v>10.98</c:v>
                </c:pt>
                <c:pt idx="197">
                  <c:v>11.21</c:v>
                </c:pt>
                <c:pt idx="198">
                  <c:v>10.75</c:v>
                </c:pt>
                <c:pt idx="199">
                  <c:v>11.24</c:v>
                </c:pt>
                <c:pt idx="200">
                  <c:v>11.94</c:v>
                </c:pt>
                <c:pt idx="201">
                  <c:v>12.27</c:v>
                </c:pt>
                <c:pt idx="202">
                  <c:v>12.85</c:v>
                </c:pt>
                <c:pt idx="203">
                  <c:v>13.13</c:v>
                </c:pt>
                <c:pt idx="204">
                  <c:v>13.05</c:v>
                </c:pt>
                <c:pt idx="205">
                  <c:v>12.32</c:v>
                </c:pt>
                <c:pt idx="206">
                  <c:v>11.76</c:v>
                </c:pt>
                <c:pt idx="207">
                  <c:v>12.13</c:v>
                </c:pt>
                <c:pt idx="208">
                  <c:v>12.78</c:v>
                </c:pt>
                <c:pt idx="209">
                  <c:v>13.43</c:v>
                </c:pt>
                <c:pt idx="210">
                  <c:v>13.54</c:v>
                </c:pt>
                <c:pt idx="211">
                  <c:v>13.76</c:v>
                </c:pt>
                <c:pt idx="212">
                  <c:v>13.81</c:v>
                </c:pt>
                <c:pt idx="213">
                  <c:v>13.95</c:v>
                </c:pt>
                <c:pt idx="214">
                  <c:v>13.82</c:v>
                </c:pt>
                <c:pt idx="215">
                  <c:v>13.59</c:v>
                </c:pt>
                <c:pt idx="216">
                  <c:v>13.18</c:v>
                </c:pt>
                <c:pt idx="217">
                  <c:v>13.37</c:v>
                </c:pt>
                <c:pt idx="218">
                  <c:v>12.87</c:v>
                </c:pt>
                <c:pt idx="219">
                  <c:v>11.6</c:v>
                </c:pt>
                <c:pt idx="220">
                  <c:v>11.72</c:v>
                </c:pt>
                <c:pt idx="221">
                  <c:v>11.76</c:v>
                </c:pt>
                <c:pt idx="222">
                  <c:v>11.93</c:v>
                </c:pt>
                <c:pt idx="223">
                  <c:v>11.76</c:v>
                </c:pt>
                <c:pt idx="224">
                  <c:v>11.16</c:v>
                </c:pt>
                <c:pt idx="225">
                  <c:v>10.81</c:v>
                </c:pt>
                <c:pt idx="226">
                  <c:v>10.9</c:v>
                </c:pt>
                <c:pt idx="227">
                  <c:v>11.95</c:v>
                </c:pt>
                <c:pt idx="228">
                  <c:v>12.83</c:v>
                </c:pt>
                <c:pt idx="229">
                  <c:v>13.72</c:v>
                </c:pt>
                <c:pt idx="230">
                  <c:v>13.79</c:v>
                </c:pt>
                <c:pt idx="231">
                  <c:v>13.47</c:v>
                </c:pt>
                <c:pt idx="232">
                  <c:v>12.89</c:v>
                </c:pt>
                <c:pt idx="233">
                  <c:v>12.52</c:v>
                </c:pt>
                <c:pt idx="234">
                  <c:v>11.86</c:v>
                </c:pt>
                <c:pt idx="235">
                  <c:v>11.75</c:v>
                </c:pt>
                <c:pt idx="236">
                  <c:v>11.54</c:v>
                </c:pt>
                <c:pt idx="237">
                  <c:v>11.55</c:v>
                </c:pt>
                <c:pt idx="238">
                  <c:v>11.57</c:v>
                </c:pt>
                <c:pt idx="239">
                  <c:v>11.66</c:v>
                </c:pt>
                <c:pt idx="240">
                  <c:v>11.84</c:v>
                </c:pt>
                <c:pt idx="241">
                  <c:v>11.72</c:v>
                </c:pt>
                <c:pt idx="242">
                  <c:v>10.81</c:v>
                </c:pt>
                <c:pt idx="243">
                  <c:v>10.41</c:v>
                </c:pt>
                <c:pt idx="244">
                  <c:v>10.9</c:v>
                </c:pt>
                <c:pt idx="245">
                  <c:v>11.97</c:v>
                </c:pt>
                <c:pt idx="246">
                  <c:v>11.85</c:v>
                </c:pt>
                <c:pt idx="247">
                  <c:v>12.41</c:v>
                </c:pt>
                <c:pt idx="248">
                  <c:v>12.95</c:v>
                </c:pt>
                <c:pt idx="249">
                  <c:v>12.98</c:v>
                </c:pt>
                <c:pt idx="250">
                  <c:v>12.68</c:v>
                </c:pt>
                <c:pt idx="251">
                  <c:v>11.09</c:v>
                </c:pt>
                <c:pt idx="252">
                  <c:v>11.3</c:v>
                </c:pt>
                <c:pt idx="253">
                  <c:v>11.75</c:v>
                </c:pt>
                <c:pt idx="254">
                  <c:v>12.23</c:v>
                </c:pt>
                <c:pt idx="255">
                  <c:v>12.63</c:v>
                </c:pt>
                <c:pt idx="256">
                  <c:v>11.8</c:v>
                </c:pt>
                <c:pt idx="257">
                  <c:v>11.06</c:v>
                </c:pt>
                <c:pt idx="258">
                  <c:v>11.43</c:v>
                </c:pt>
                <c:pt idx="259">
                  <c:v>11.98</c:v>
                </c:pt>
                <c:pt idx="260">
                  <c:v>11.9</c:v>
                </c:pt>
                <c:pt idx="261">
                  <c:v>11.49</c:v>
                </c:pt>
                <c:pt idx="262">
                  <c:v>11.13</c:v>
                </c:pt>
                <c:pt idx="263">
                  <c:v>10.58</c:v>
                </c:pt>
                <c:pt idx="264">
                  <c:v>9.8000000000000007</c:v>
                </c:pt>
                <c:pt idx="265">
                  <c:v>9.4700000000000006</c:v>
                </c:pt>
                <c:pt idx="266">
                  <c:v>9.5500000000000007</c:v>
                </c:pt>
                <c:pt idx="267">
                  <c:v>8.34</c:v>
                </c:pt>
                <c:pt idx="268">
                  <c:v>7.1280000000000001</c:v>
                </c:pt>
                <c:pt idx="269">
                  <c:v>6.3650000000000002</c:v>
                </c:pt>
                <c:pt idx="270">
                  <c:v>6.7469999999999999</c:v>
                </c:pt>
                <c:pt idx="271">
                  <c:v>7.915</c:v>
                </c:pt>
                <c:pt idx="272">
                  <c:v>8.92</c:v>
                </c:pt>
                <c:pt idx="273">
                  <c:v>9.19</c:v>
                </c:pt>
                <c:pt idx="274">
                  <c:v>9.0500000000000007</c:v>
                </c:pt>
                <c:pt idx="275">
                  <c:v>9.18</c:v>
                </c:pt>
                <c:pt idx="276">
                  <c:v>9.68</c:v>
                </c:pt>
                <c:pt idx="277">
                  <c:v>9.24</c:v>
                </c:pt>
                <c:pt idx="278">
                  <c:v>8.8000000000000007</c:v>
                </c:pt>
                <c:pt idx="279">
                  <c:v>9.57</c:v>
                </c:pt>
                <c:pt idx="280">
                  <c:v>9.5399999999999991</c:v>
                </c:pt>
                <c:pt idx="281">
                  <c:v>8.91</c:v>
                </c:pt>
                <c:pt idx="282">
                  <c:v>7.5039999999999996</c:v>
                </c:pt>
                <c:pt idx="283">
                  <c:v>7.008</c:v>
                </c:pt>
                <c:pt idx="284">
                  <c:v>5.6559999999999997</c:v>
                </c:pt>
                <c:pt idx="285">
                  <c:v>4.9020000000000001</c:v>
                </c:pt>
                <c:pt idx="286">
                  <c:v>4.3380000000000001</c:v>
                </c:pt>
                <c:pt idx="287">
                  <c:v>3.9729999999999999</c:v>
                </c:pt>
                <c:pt idx="288">
                  <c:v>3.694</c:v>
                </c:pt>
                <c:pt idx="289">
                  <c:v>3.5190000000000001</c:v>
                </c:pt>
                <c:pt idx="290">
                  <c:v>3.2749999999999999</c:v>
                </c:pt>
                <c:pt idx="291">
                  <c:v>3.153</c:v>
                </c:pt>
                <c:pt idx="292">
                  <c:v>3.0190000000000001</c:v>
                </c:pt>
                <c:pt idx="293">
                  <c:v>2.883</c:v>
                </c:pt>
                <c:pt idx="294">
                  <c:v>2.7749999999999999</c:v>
                </c:pt>
                <c:pt idx="295">
                  <c:v>2.6869999999999998</c:v>
                </c:pt>
                <c:pt idx="296">
                  <c:v>2.6070000000000002</c:v>
                </c:pt>
                <c:pt idx="297">
                  <c:v>2.5049999999999999</c:v>
                </c:pt>
                <c:pt idx="298">
                  <c:v>2.4569999999999999</c:v>
                </c:pt>
                <c:pt idx="299">
                  <c:v>2.4969999999999999</c:v>
                </c:pt>
                <c:pt idx="300">
                  <c:v>2.492</c:v>
                </c:pt>
                <c:pt idx="301">
                  <c:v>2.4830000000000001</c:v>
                </c:pt>
                <c:pt idx="302">
                  <c:v>2.4009999999999998</c:v>
                </c:pt>
                <c:pt idx="303">
                  <c:v>2.3079999999999998</c:v>
                </c:pt>
                <c:pt idx="304">
                  <c:v>2.2309999999999999</c:v>
                </c:pt>
                <c:pt idx="305">
                  <c:v>2.222</c:v>
                </c:pt>
                <c:pt idx="306">
                  <c:v>2.2080000000000002</c:v>
                </c:pt>
                <c:pt idx="307">
                  <c:v>2.1669999999999998</c:v>
                </c:pt>
                <c:pt idx="308">
                  <c:v>2.1280000000000001</c:v>
                </c:pt>
                <c:pt idx="309">
                  <c:v>2.0110000000000001</c:v>
                </c:pt>
                <c:pt idx="310">
                  <c:v>1.9710000000000001</c:v>
                </c:pt>
                <c:pt idx="311">
                  <c:v>1.966</c:v>
                </c:pt>
                <c:pt idx="312">
                  <c:v>1.923</c:v>
                </c:pt>
                <c:pt idx="313">
                  <c:v>2.004</c:v>
                </c:pt>
                <c:pt idx="314">
                  <c:v>2.0259999999999998</c:v>
                </c:pt>
                <c:pt idx="315">
                  <c:v>2.0009999999999999</c:v>
                </c:pt>
                <c:pt idx="316">
                  <c:v>2.0150000000000001</c:v>
                </c:pt>
                <c:pt idx="317">
                  <c:v>2.0430000000000001</c:v>
                </c:pt>
                <c:pt idx="318">
                  <c:v>2.032</c:v>
                </c:pt>
                <c:pt idx="319">
                  <c:v>2.0419999999999998</c:v>
                </c:pt>
                <c:pt idx="320">
                  <c:v>2.0579999999999998</c:v>
                </c:pt>
                <c:pt idx="321">
                  <c:v>2.0830000000000002</c:v>
                </c:pt>
                <c:pt idx="322">
                  <c:v>2.0539999999999998</c:v>
                </c:pt>
                <c:pt idx="323">
                  <c:v>2.024</c:v>
                </c:pt>
                <c:pt idx="324">
                  <c:v>2.0310000000000001</c:v>
                </c:pt>
                <c:pt idx="325">
                  <c:v>2.0049999999999999</c:v>
                </c:pt>
                <c:pt idx="326">
                  <c:v>1.9950000000000001</c:v>
                </c:pt>
                <c:pt idx="327">
                  <c:v>1.9850000000000001</c:v>
                </c:pt>
                <c:pt idx="328">
                  <c:v>1.9710000000000001</c:v>
                </c:pt>
                <c:pt idx="329">
                  <c:v>1.9490000000000001</c:v>
                </c:pt>
                <c:pt idx="330">
                  <c:v>1.9339999999999999</c:v>
                </c:pt>
                <c:pt idx="331">
                  <c:v>1.925</c:v>
                </c:pt>
                <c:pt idx="332">
                  <c:v>1.8959999999999999</c:v>
                </c:pt>
                <c:pt idx="333">
                  <c:v>1.88</c:v>
                </c:pt>
                <c:pt idx="334">
                  <c:v>1.8680000000000001</c:v>
                </c:pt>
                <c:pt idx="335">
                  <c:v>1.8149999999999999</c:v>
                </c:pt>
                <c:pt idx="336">
                  <c:v>1.8560000000000001</c:v>
                </c:pt>
                <c:pt idx="337">
                  <c:v>1.8340000000000001</c:v>
                </c:pt>
                <c:pt idx="338">
                  <c:v>1.8089999999999999</c:v>
                </c:pt>
                <c:pt idx="339">
                  <c:v>1.8149999999999999</c:v>
                </c:pt>
                <c:pt idx="340">
                  <c:v>1.7889999999999999</c:v>
                </c:pt>
                <c:pt idx="341">
                  <c:v>1.7669999999999999</c:v>
                </c:pt>
                <c:pt idx="342">
                  <c:v>1.7829999999999999</c:v>
                </c:pt>
                <c:pt idx="343">
                  <c:v>1.728</c:v>
                </c:pt>
                <c:pt idx="344">
                  <c:v>1.69</c:v>
                </c:pt>
                <c:pt idx="345">
                  <c:v>1.6659999999999999</c:v>
                </c:pt>
                <c:pt idx="346">
                  <c:v>1.641</c:v>
                </c:pt>
                <c:pt idx="347">
                  <c:v>1.6220000000000001</c:v>
                </c:pt>
                <c:pt idx="348">
                  <c:v>1.6279999999999999</c:v>
                </c:pt>
                <c:pt idx="349">
                  <c:v>1.611</c:v>
                </c:pt>
                <c:pt idx="350">
                  <c:v>1.611</c:v>
                </c:pt>
                <c:pt idx="351">
                  <c:v>1.59</c:v>
                </c:pt>
                <c:pt idx="352">
                  <c:v>1.59</c:v>
                </c:pt>
                <c:pt idx="353">
                  <c:v>1.5740000000000001</c:v>
                </c:pt>
                <c:pt idx="354">
                  <c:v>1.5640000000000001</c:v>
                </c:pt>
                <c:pt idx="355">
                  <c:v>1.5449999999999999</c:v>
                </c:pt>
                <c:pt idx="356">
                  <c:v>1.4910000000000001</c:v>
                </c:pt>
                <c:pt idx="357">
                  <c:v>1.482</c:v>
                </c:pt>
                <c:pt idx="358">
                  <c:v>1.472</c:v>
                </c:pt>
                <c:pt idx="359">
                  <c:v>1.476</c:v>
                </c:pt>
                <c:pt idx="360">
                  <c:v>1.4670000000000001</c:v>
                </c:pt>
                <c:pt idx="361">
                  <c:v>1.4610000000000001</c:v>
                </c:pt>
                <c:pt idx="362">
                  <c:v>1.4379999999999999</c:v>
                </c:pt>
                <c:pt idx="363">
                  <c:v>1.4319999999999999</c:v>
                </c:pt>
                <c:pt idx="364">
                  <c:v>1.423</c:v>
                </c:pt>
                <c:pt idx="365">
                  <c:v>1.4350000000000001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1.7689999999999999</c:v>
                </c:pt>
                <c:pt idx="1">
                  <c:v>1.7310000000000001</c:v>
                </c:pt>
                <c:pt idx="2">
                  <c:v>1.738</c:v>
                </c:pt>
                <c:pt idx="3">
                  <c:v>1.7230000000000001</c:v>
                </c:pt>
                <c:pt idx="4">
                  <c:v>1.7090000000000001</c:v>
                </c:pt>
                <c:pt idx="5">
                  <c:v>1.7090000000000001</c:v>
                </c:pt>
                <c:pt idx="6">
                  <c:v>1.724</c:v>
                </c:pt>
                <c:pt idx="7">
                  <c:v>1.671</c:v>
                </c:pt>
                <c:pt idx="8">
                  <c:v>1.6180000000000001</c:v>
                </c:pt>
                <c:pt idx="9">
                  <c:v>1.645</c:v>
                </c:pt>
                <c:pt idx="10">
                  <c:v>1.667</c:v>
                </c:pt>
                <c:pt idx="11">
                  <c:v>1.6180000000000001</c:v>
                </c:pt>
                <c:pt idx="12">
                  <c:v>1.464</c:v>
                </c:pt>
                <c:pt idx="13">
                  <c:v>1.4730000000000001</c:v>
                </c:pt>
                <c:pt idx="14">
                  <c:v>1.538</c:v>
                </c:pt>
                <c:pt idx="15">
                  <c:v>1.6160000000000001</c:v>
                </c:pt>
                <c:pt idx="16">
                  <c:v>1.5840000000000001</c:v>
                </c:pt>
                <c:pt idx="17">
                  <c:v>1.6120000000000001</c:v>
                </c:pt>
                <c:pt idx="18">
                  <c:v>1.629</c:v>
                </c:pt>
                <c:pt idx="19">
                  <c:v>1.627</c:v>
                </c:pt>
                <c:pt idx="20">
                  <c:v>1.615</c:v>
                </c:pt>
                <c:pt idx="21">
                  <c:v>1.61</c:v>
                </c:pt>
                <c:pt idx="22">
                  <c:v>1.613</c:v>
                </c:pt>
                <c:pt idx="23">
                  <c:v>1.61</c:v>
                </c:pt>
                <c:pt idx="24">
                  <c:v>1.579</c:v>
                </c:pt>
                <c:pt idx="25">
                  <c:v>1.5860000000000001</c:v>
                </c:pt>
                <c:pt idx="26">
                  <c:v>1.575</c:v>
                </c:pt>
                <c:pt idx="27">
                  <c:v>1.5629999999999999</c:v>
                </c:pt>
                <c:pt idx="28">
                  <c:v>1.5589999999999999</c:v>
                </c:pt>
                <c:pt idx="29">
                  <c:v>1.546</c:v>
                </c:pt>
                <c:pt idx="30">
                  <c:v>1.583</c:v>
                </c:pt>
                <c:pt idx="31">
                  <c:v>1.5509999999999999</c:v>
                </c:pt>
                <c:pt idx="32">
                  <c:v>1.48</c:v>
                </c:pt>
                <c:pt idx="33">
                  <c:v>1.4570000000000001</c:v>
                </c:pt>
                <c:pt idx="34">
                  <c:v>1.46</c:v>
                </c:pt>
                <c:pt idx="35">
                  <c:v>1.532</c:v>
                </c:pt>
                <c:pt idx="36">
                  <c:v>1.528</c:v>
                </c:pt>
                <c:pt idx="37">
                  <c:v>1.5149999999999999</c:v>
                </c:pt>
                <c:pt idx="38">
                  <c:v>1.5009999999999999</c:v>
                </c:pt>
                <c:pt idx="39">
                  <c:v>1.494</c:v>
                </c:pt>
                <c:pt idx="40">
                  <c:v>1.4970000000000001</c:v>
                </c:pt>
                <c:pt idx="41">
                  <c:v>1.4970000000000001</c:v>
                </c:pt>
                <c:pt idx="42">
                  <c:v>1.4750000000000001</c:v>
                </c:pt>
                <c:pt idx="43">
                  <c:v>1.4710000000000001</c:v>
                </c:pt>
                <c:pt idx="44">
                  <c:v>1.4630000000000001</c:v>
                </c:pt>
                <c:pt idx="45">
                  <c:v>1.4630000000000001</c:v>
                </c:pt>
                <c:pt idx="46">
                  <c:v>1.456</c:v>
                </c:pt>
                <c:pt idx="47">
                  <c:v>1.4430000000000001</c:v>
                </c:pt>
                <c:pt idx="48">
                  <c:v>1.419</c:v>
                </c:pt>
                <c:pt idx="49">
                  <c:v>1.3839999999999999</c:v>
                </c:pt>
                <c:pt idx="50">
                  <c:v>1.4079999999999999</c:v>
                </c:pt>
                <c:pt idx="51">
                  <c:v>1.43</c:v>
                </c:pt>
                <c:pt idx="52">
                  <c:v>1.425</c:v>
                </c:pt>
                <c:pt idx="53">
                  <c:v>1.4179999999999999</c:v>
                </c:pt>
                <c:pt idx="54">
                  <c:v>1.419</c:v>
                </c:pt>
                <c:pt idx="55">
                  <c:v>1.41</c:v>
                </c:pt>
                <c:pt idx="56">
                  <c:v>1.413</c:v>
                </c:pt>
                <c:pt idx="57">
                  <c:v>1.4219999999999999</c:v>
                </c:pt>
                <c:pt idx="58">
                  <c:v>1.4159999999999999</c:v>
                </c:pt>
                <c:pt idx="59">
                  <c:v>1.405</c:v>
                </c:pt>
                <c:pt idx="60">
                  <c:v>1.401</c:v>
                </c:pt>
                <c:pt idx="61">
                  <c:v>1.4059999999999999</c:v>
                </c:pt>
                <c:pt idx="62">
                  <c:v>1.397</c:v>
                </c:pt>
                <c:pt idx="63">
                  <c:v>1.38</c:v>
                </c:pt>
                <c:pt idx="64">
                  <c:v>1.38</c:v>
                </c:pt>
                <c:pt idx="65">
                  <c:v>1.3819999999999999</c:v>
                </c:pt>
                <c:pt idx="66">
                  <c:v>1.3759999999999999</c:v>
                </c:pt>
                <c:pt idx="67">
                  <c:v>1.369</c:v>
                </c:pt>
                <c:pt idx="68">
                  <c:v>1.351</c:v>
                </c:pt>
                <c:pt idx="69">
                  <c:v>1.349</c:v>
                </c:pt>
                <c:pt idx="70">
                  <c:v>1.359</c:v>
                </c:pt>
                <c:pt idx="71">
                  <c:v>1.35</c:v>
                </c:pt>
                <c:pt idx="72">
                  <c:v>1.3460000000000001</c:v>
                </c:pt>
                <c:pt idx="73">
                  <c:v>1.3420000000000001</c:v>
                </c:pt>
                <c:pt idx="74">
                  <c:v>1.3320000000000001</c:v>
                </c:pt>
                <c:pt idx="75">
                  <c:v>1.319</c:v>
                </c:pt>
                <c:pt idx="76">
                  <c:v>1.3169999999999999</c:v>
                </c:pt>
                <c:pt idx="77">
                  <c:v>1.319</c:v>
                </c:pt>
                <c:pt idx="78">
                  <c:v>1.3149999999999999</c:v>
                </c:pt>
                <c:pt idx="79">
                  <c:v>1.3120000000000001</c:v>
                </c:pt>
                <c:pt idx="80">
                  <c:v>1.3089999999999999</c:v>
                </c:pt>
                <c:pt idx="81">
                  <c:v>1.2949999999999999</c:v>
                </c:pt>
                <c:pt idx="82">
                  <c:v>1.288</c:v>
                </c:pt>
                <c:pt idx="83">
                  <c:v>1.2729999999999999</c:v>
                </c:pt>
                <c:pt idx="84">
                  <c:v>1.26</c:v>
                </c:pt>
                <c:pt idx="85">
                  <c:v>1.272</c:v>
                </c:pt>
                <c:pt idx="86">
                  <c:v>1.2889999999999999</c:v>
                </c:pt>
                <c:pt idx="87">
                  <c:v>1.296</c:v>
                </c:pt>
                <c:pt idx="88">
                  <c:v>1.292</c:v>
                </c:pt>
                <c:pt idx="89">
                  <c:v>1.274</c:v>
                </c:pt>
                <c:pt idx="90">
                  <c:v>1.2629999999999999</c:v>
                </c:pt>
                <c:pt idx="91">
                  <c:v>1.238</c:v>
                </c:pt>
                <c:pt idx="92">
                  <c:v>1.2330000000000001</c:v>
                </c:pt>
                <c:pt idx="93">
                  <c:v>1.244</c:v>
                </c:pt>
                <c:pt idx="94">
                  <c:v>1.2390000000000001</c:v>
                </c:pt>
                <c:pt idx="95">
                  <c:v>1.242</c:v>
                </c:pt>
                <c:pt idx="96">
                  <c:v>1.2529999999999999</c:v>
                </c:pt>
                <c:pt idx="97">
                  <c:v>1.2549999999999999</c:v>
                </c:pt>
                <c:pt idx="98">
                  <c:v>1.258</c:v>
                </c:pt>
                <c:pt idx="99">
                  <c:v>1.2729999999999999</c:v>
                </c:pt>
                <c:pt idx="100">
                  <c:v>1.2809999999999999</c:v>
                </c:pt>
                <c:pt idx="101">
                  <c:v>1.214</c:v>
                </c:pt>
                <c:pt idx="102">
                  <c:v>1.2030000000000001</c:v>
                </c:pt>
                <c:pt idx="103">
                  <c:v>1.234</c:v>
                </c:pt>
                <c:pt idx="104">
                  <c:v>1.2470000000000001</c:v>
                </c:pt>
                <c:pt idx="105">
                  <c:v>1.246</c:v>
                </c:pt>
                <c:pt idx="106">
                  <c:v>1.252</c:v>
                </c:pt>
                <c:pt idx="107">
                  <c:v>1.2350000000000001</c:v>
                </c:pt>
                <c:pt idx="108">
                  <c:v>1.242</c:v>
                </c:pt>
                <c:pt idx="109">
                  <c:v>1.254</c:v>
                </c:pt>
                <c:pt idx="110">
                  <c:v>1.264</c:v>
                </c:pt>
                <c:pt idx="111">
                  <c:v>1.2430000000000001</c:v>
                </c:pt>
                <c:pt idx="112">
                  <c:v>1.216</c:v>
                </c:pt>
                <c:pt idx="113">
                  <c:v>1.196</c:v>
                </c:pt>
                <c:pt idx="114">
                  <c:v>1.1879999999999999</c:v>
                </c:pt>
                <c:pt idx="115">
                  <c:v>1.1819999999999999</c:v>
                </c:pt>
                <c:pt idx="116">
                  <c:v>1.1850000000000001</c:v>
                </c:pt>
                <c:pt idx="117">
                  <c:v>1.194</c:v>
                </c:pt>
                <c:pt idx="118">
                  <c:v>1.1819999999999999</c:v>
                </c:pt>
                <c:pt idx="119">
                  <c:v>1.208</c:v>
                </c:pt>
                <c:pt idx="120">
                  <c:v>1.1910000000000001</c:v>
                </c:pt>
                <c:pt idx="121">
                  <c:v>1.1180000000000001</c:v>
                </c:pt>
                <c:pt idx="122">
                  <c:v>1.1080000000000001</c:v>
                </c:pt>
                <c:pt idx="123">
                  <c:v>1.0660000000000001</c:v>
                </c:pt>
                <c:pt idx="124">
                  <c:v>1.1259999999999999</c:v>
                </c:pt>
                <c:pt idx="125">
                  <c:v>1.137</c:v>
                </c:pt>
                <c:pt idx="126">
                  <c:v>1.1060000000000001</c:v>
                </c:pt>
                <c:pt idx="127">
                  <c:v>1.149</c:v>
                </c:pt>
                <c:pt idx="128">
                  <c:v>1.137</c:v>
                </c:pt>
                <c:pt idx="129">
                  <c:v>1.0640000000000001</c:v>
                </c:pt>
                <c:pt idx="130">
                  <c:v>0.97199999999999998</c:v>
                </c:pt>
                <c:pt idx="131">
                  <c:v>0.91900000000000004</c:v>
                </c:pt>
                <c:pt idx="132">
                  <c:v>0.88500000000000001</c:v>
                </c:pt>
                <c:pt idx="133">
                  <c:v>0.90600000000000003</c:v>
                </c:pt>
                <c:pt idx="134">
                  <c:v>0.86599999999999999</c:v>
                </c:pt>
                <c:pt idx="135">
                  <c:v>0.88600000000000001</c:v>
                </c:pt>
                <c:pt idx="136">
                  <c:v>0.91300000000000003</c:v>
                </c:pt>
                <c:pt idx="137">
                  <c:v>0.86399999999999999</c:v>
                </c:pt>
                <c:pt idx="138">
                  <c:v>0.81699999999999995</c:v>
                </c:pt>
                <c:pt idx="139">
                  <c:v>0.84</c:v>
                </c:pt>
                <c:pt idx="140">
                  <c:v>0.82599999999999996</c:v>
                </c:pt>
                <c:pt idx="141">
                  <c:v>0.81200000000000006</c:v>
                </c:pt>
                <c:pt idx="142">
                  <c:v>0.85699999999999998</c:v>
                </c:pt>
                <c:pt idx="143">
                  <c:v>0.97799999999999998</c:v>
                </c:pt>
                <c:pt idx="144">
                  <c:v>0.95699999999999996</c:v>
                </c:pt>
                <c:pt idx="145">
                  <c:v>0.92200000000000004</c:v>
                </c:pt>
                <c:pt idx="146">
                  <c:v>0.87</c:v>
                </c:pt>
                <c:pt idx="147">
                  <c:v>0.84</c:v>
                </c:pt>
                <c:pt idx="148">
                  <c:v>0.84199999999999997</c:v>
                </c:pt>
                <c:pt idx="149">
                  <c:v>0.86399999999999999</c:v>
                </c:pt>
                <c:pt idx="150">
                  <c:v>0.89900000000000002</c:v>
                </c:pt>
                <c:pt idx="151">
                  <c:v>0.95599999999999996</c:v>
                </c:pt>
                <c:pt idx="152">
                  <c:v>0.995</c:v>
                </c:pt>
                <c:pt idx="153">
                  <c:v>1.218</c:v>
                </c:pt>
                <c:pt idx="154">
                  <c:v>1.6040000000000001</c:v>
                </c:pt>
                <c:pt idx="155">
                  <c:v>2.258</c:v>
                </c:pt>
                <c:pt idx="156">
                  <c:v>2.7730000000000001</c:v>
                </c:pt>
                <c:pt idx="157">
                  <c:v>3.206</c:v>
                </c:pt>
                <c:pt idx="158">
                  <c:v>3.3159999999999998</c:v>
                </c:pt>
                <c:pt idx="159">
                  <c:v>3.5680000000000001</c:v>
                </c:pt>
                <c:pt idx="160">
                  <c:v>3.9529999999999998</c:v>
                </c:pt>
                <c:pt idx="161">
                  <c:v>3.9</c:v>
                </c:pt>
                <c:pt idx="162">
                  <c:v>4.165</c:v>
                </c:pt>
                <c:pt idx="163">
                  <c:v>4.49</c:v>
                </c:pt>
                <c:pt idx="164">
                  <c:v>4.9050000000000002</c:v>
                </c:pt>
                <c:pt idx="165">
                  <c:v>4.6420000000000003</c:v>
                </c:pt>
                <c:pt idx="166">
                  <c:v>4.0330000000000004</c:v>
                </c:pt>
                <c:pt idx="167">
                  <c:v>3.9569999999999999</c:v>
                </c:pt>
                <c:pt idx="168">
                  <c:v>4.3780000000000001</c:v>
                </c:pt>
                <c:pt idx="169">
                  <c:v>4.8979999999999997</c:v>
                </c:pt>
                <c:pt idx="170">
                  <c:v>5.47</c:v>
                </c:pt>
                <c:pt idx="171">
                  <c:v>5.992</c:v>
                </c:pt>
                <c:pt idx="172">
                  <c:v>6.2759999999999998</c:v>
                </c:pt>
                <c:pt idx="173">
                  <c:v>6.6760000000000002</c:v>
                </c:pt>
                <c:pt idx="174">
                  <c:v>7.0839999999999996</c:v>
                </c:pt>
                <c:pt idx="175">
                  <c:v>7.4359999999999999</c:v>
                </c:pt>
                <c:pt idx="176">
                  <c:v>7.6619999999999999</c:v>
                </c:pt>
                <c:pt idx="177">
                  <c:v>8.07</c:v>
                </c:pt>
                <c:pt idx="178">
                  <c:v>8.16</c:v>
                </c:pt>
                <c:pt idx="179">
                  <c:v>8</c:v>
                </c:pt>
                <c:pt idx="180">
                  <c:v>7.6779999999999999</c:v>
                </c:pt>
                <c:pt idx="181">
                  <c:v>7.8</c:v>
                </c:pt>
                <c:pt idx="182">
                  <c:v>7.7809999999999997</c:v>
                </c:pt>
                <c:pt idx="183">
                  <c:v>7.5209999999999999</c:v>
                </c:pt>
                <c:pt idx="184">
                  <c:v>7.4420000000000002</c:v>
                </c:pt>
                <c:pt idx="185">
                  <c:v>7.4279999999999999</c:v>
                </c:pt>
                <c:pt idx="186">
                  <c:v>7.5869999999999997</c:v>
                </c:pt>
                <c:pt idx="187">
                  <c:v>7.73</c:v>
                </c:pt>
                <c:pt idx="188">
                  <c:v>7.8529999999999998</c:v>
                </c:pt>
                <c:pt idx="189">
                  <c:v>7.7439999999999998</c:v>
                </c:pt>
                <c:pt idx="190">
                  <c:v>7.827</c:v>
                </c:pt>
                <c:pt idx="191">
                  <c:v>7.8559999999999999</c:v>
                </c:pt>
                <c:pt idx="192">
                  <c:v>8.06</c:v>
                </c:pt>
                <c:pt idx="193">
                  <c:v>8.1199999999999992</c:v>
                </c:pt>
                <c:pt idx="194">
                  <c:v>8.09</c:v>
                </c:pt>
                <c:pt idx="195">
                  <c:v>8.11</c:v>
                </c:pt>
                <c:pt idx="196">
                  <c:v>8.32</c:v>
                </c:pt>
                <c:pt idx="197">
                  <c:v>8.6</c:v>
                </c:pt>
                <c:pt idx="198">
                  <c:v>8.67</c:v>
                </c:pt>
                <c:pt idx="199">
                  <c:v>8.7200000000000006</c:v>
                </c:pt>
                <c:pt idx="200">
                  <c:v>8.93</c:v>
                </c:pt>
                <c:pt idx="201">
                  <c:v>9.19</c:v>
                </c:pt>
                <c:pt idx="202">
                  <c:v>9.43</c:v>
                </c:pt>
                <c:pt idx="203">
                  <c:v>9.73</c:v>
                </c:pt>
                <c:pt idx="204">
                  <c:v>9.91</c:v>
                </c:pt>
                <c:pt idx="205">
                  <c:v>9.9499999999999993</c:v>
                </c:pt>
                <c:pt idx="206">
                  <c:v>9.7899999999999991</c:v>
                </c:pt>
                <c:pt idx="207">
                  <c:v>9.73</c:v>
                </c:pt>
                <c:pt idx="208">
                  <c:v>9.84</c:v>
                </c:pt>
                <c:pt idx="209">
                  <c:v>10.119999999999999</c:v>
                </c:pt>
                <c:pt idx="210">
                  <c:v>10.33</c:v>
                </c:pt>
                <c:pt idx="211">
                  <c:v>10.49</c:v>
                </c:pt>
                <c:pt idx="212">
                  <c:v>10.67</c:v>
                </c:pt>
                <c:pt idx="213">
                  <c:v>10.77</c:v>
                </c:pt>
                <c:pt idx="214">
                  <c:v>10.85</c:v>
                </c:pt>
                <c:pt idx="215">
                  <c:v>10.87</c:v>
                </c:pt>
                <c:pt idx="216">
                  <c:v>10.79</c:v>
                </c:pt>
                <c:pt idx="217">
                  <c:v>10.75</c:v>
                </c:pt>
                <c:pt idx="218">
                  <c:v>10.78</c:v>
                </c:pt>
                <c:pt idx="219">
                  <c:v>10.49</c:v>
                </c:pt>
                <c:pt idx="220">
                  <c:v>10.25</c:v>
                </c:pt>
                <c:pt idx="221">
                  <c:v>10.15</c:v>
                </c:pt>
                <c:pt idx="222">
                  <c:v>10.130000000000001</c:v>
                </c:pt>
                <c:pt idx="223">
                  <c:v>10.11</c:v>
                </c:pt>
                <c:pt idx="224">
                  <c:v>10</c:v>
                </c:pt>
                <c:pt idx="225">
                  <c:v>9.82</c:v>
                </c:pt>
                <c:pt idx="226">
                  <c:v>9.68</c:v>
                </c:pt>
                <c:pt idx="227">
                  <c:v>9.74</c:v>
                </c:pt>
                <c:pt idx="228">
                  <c:v>9.98</c:v>
                </c:pt>
                <c:pt idx="229">
                  <c:v>10.27</c:v>
                </c:pt>
                <c:pt idx="230">
                  <c:v>10.53</c:v>
                </c:pt>
                <c:pt idx="231">
                  <c:v>10.64</c:v>
                </c:pt>
                <c:pt idx="232">
                  <c:v>10.58</c:v>
                </c:pt>
                <c:pt idx="233">
                  <c:v>10.47</c:v>
                </c:pt>
                <c:pt idx="234">
                  <c:v>10.31</c:v>
                </c:pt>
                <c:pt idx="235">
                  <c:v>10.15</c:v>
                </c:pt>
                <c:pt idx="236">
                  <c:v>10.08</c:v>
                </c:pt>
                <c:pt idx="237">
                  <c:v>9.9700000000000006</c:v>
                </c:pt>
                <c:pt idx="238">
                  <c:v>9.92</c:v>
                </c:pt>
                <c:pt idx="239">
                  <c:v>9.8800000000000008</c:v>
                </c:pt>
                <c:pt idx="240">
                  <c:v>9.8699999999999992</c:v>
                </c:pt>
                <c:pt idx="241">
                  <c:v>9.8800000000000008</c:v>
                </c:pt>
                <c:pt idx="242">
                  <c:v>9.75</c:v>
                </c:pt>
                <c:pt idx="243">
                  <c:v>9.56</c:v>
                </c:pt>
                <c:pt idx="244">
                  <c:v>9.43</c:v>
                </c:pt>
                <c:pt idx="245">
                  <c:v>9.5299999999999994</c:v>
                </c:pt>
                <c:pt idx="246">
                  <c:v>9.67</c:v>
                </c:pt>
                <c:pt idx="247">
                  <c:v>9.74</c:v>
                </c:pt>
                <c:pt idx="248">
                  <c:v>9.91</c:v>
                </c:pt>
                <c:pt idx="249">
                  <c:v>10.02</c:v>
                </c:pt>
                <c:pt idx="250">
                  <c:v>10.07</c:v>
                </c:pt>
                <c:pt idx="251">
                  <c:v>9.92</c:v>
                </c:pt>
                <c:pt idx="252">
                  <c:v>9.69</c:v>
                </c:pt>
                <c:pt idx="253">
                  <c:v>9.65</c:v>
                </c:pt>
                <c:pt idx="254">
                  <c:v>9.7100000000000009</c:v>
                </c:pt>
                <c:pt idx="255">
                  <c:v>9.82</c:v>
                </c:pt>
                <c:pt idx="256">
                  <c:v>9.85</c:v>
                </c:pt>
                <c:pt idx="257">
                  <c:v>9.68</c:v>
                </c:pt>
                <c:pt idx="258">
                  <c:v>9.57</c:v>
                </c:pt>
                <c:pt idx="259">
                  <c:v>9.61</c:v>
                </c:pt>
                <c:pt idx="260">
                  <c:v>9.69</c:v>
                </c:pt>
                <c:pt idx="261">
                  <c:v>9.67</c:v>
                </c:pt>
                <c:pt idx="262">
                  <c:v>9.57</c:v>
                </c:pt>
                <c:pt idx="263">
                  <c:v>9.43</c:v>
                </c:pt>
                <c:pt idx="264">
                  <c:v>9.2899999999999991</c:v>
                </c:pt>
                <c:pt idx="265">
                  <c:v>9.0500000000000007</c:v>
                </c:pt>
                <c:pt idx="266">
                  <c:v>8.93</c:v>
                </c:pt>
                <c:pt idx="267">
                  <c:v>8.75</c:v>
                </c:pt>
                <c:pt idx="268">
                  <c:v>8.44</c:v>
                </c:pt>
                <c:pt idx="269">
                  <c:v>8.0299999999999994</c:v>
                </c:pt>
                <c:pt idx="270">
                  <c:v>7.7610000000000001</c:v>
                </c:pt>
                <c:pt idx="271">
                  <c:v>7.7350000000000003</c:v>
                </c:pt>
                <c:pt idx="272">
                  <c:v>7.9089999999999998</c:v>
                </c:pt>
                <c:pt idx="273">
                  <c:v>8.08</c:v>
                </c:pt>
                <c:pt idx="274">
                  <c:v>8.17</c:v>
                </c:pt>
                <c:pt idx="275">
                  <c:v>8.18</c:v>
                </c:pt>
                <c:pt idx="276">
                  <c:v>8.25</c:v>
                </c:pt>
                <c:pt idx="277">
                  <c:v>8.3000000000000007</c:v>
                </c:pt>
                <c:pt idx="278">
                  <c:v>8.2100000000000009</c:v>
                </c:pt>
                <c:pt idx="279">
                  <c:v>8.1999999999999993</c:v>
                </c:pt>
                <c:pt idx="280">
                  <c:v>8.2799999999999994</c:v>
                </c:pt>
                <c:pt idx="281">
                  <c:v>8.27</c:v>
                </c:pt>
                <c:pt idx="282">
                  <c:v>8.0399999999999991</c:v>
                </c:pt>
                <c:pt idx="283">
                  <c:v>7.7460000000000004</c:v>
                </c:pt>
                <c:pt idx="284">
                  <c:v>7.4050000000000002</c:v>
                </c:pt>
                <c:pt idx="285">
                  <c:v>7.0010000000000003</c:v>
                </c:pt>
                <c:pt idx="286">
                  <c:v>6.6619999999999999</c:v>
                </c:pt>
                <c:pt idx="287">
                  <c:v>6.3789999999999996</c:v>
                </c:pt>
                <c:pt idx="288">
                  <c:v>6.133</c:v>
                </c:pt>
                <c:pt idx="289">
                  <c:v>5.9580000000000002</c:v>
                </c:pt>
                <c:pt idx="290">
                  <c:v>5.7119999999999997</c:v>
                </c:pt>
                <c:pt idx="291">
                  <c:v>5.5449999999999999</c:v>
                </c:pt>
                <c:pt idx="292">
                  <c:v>5.3840000000000003</c:v>
                </c:pt>
                <c:pt idx="293">
                  <c:v>5.2140000000000004</c:v>
                </c:pt>
                <c:pt idx="294">
                  <c:v>5.0720000000000001</c:v>
                </c:pt>
                <c:pt idx="295">
                  <c:v>4.9470000000000001</c:v>
                </c:pt>
                <c:pt idx="296">
                  <c:v>4.8440000000000003</c:v>
                </c:pt>
                <c:pt idx="297">
                  <c:v>4.718</c:v>
                </c:pt>
                <c:pt idx="298">
                  <c:v>4.62</c:v>
                </c:pt>
                <c:pt idx="299">
                  <c:v>4.5999999999999996</c:v>
                </c:pt>
                <c:pt idx="300">
                  <c:v>4.5650000000000004</c:v>
                </c:pt>
                <c:pt idx="301">
                  <c:v>4.5279999999999996</c:v>
                </c:pt>
                <c:pt idx="302">
                  <c:v>4.4379999999999997</c:v>
                </c:pt>
                <c:pt idx="303">
                  <c:v>4.3380000000000001</c:v>
                </c:pt>
                <c:pt idx="304">
                  <c:v>4.2519999999999998</c:v>
                </c:pt>
                <c:pt idx="305">
                  <c:v>4.2080000000000002</c:v>
                </c:pt>
                <c:pt idx="306">
                  <c:v>4.141</c:v>
                </c:pt>
                <c:pt idx="307">
                  <c:v>4.0490000000000004</c:v>
                </c:pt>
                <c:pt idx="308">
                  <c:v>3.9860000000000002</c:v>
                </c:pt>
                <c:pt idx="309">
                  <c:v>3.8879999999999999</c:v>
                </c:pt>
                <c:pt idx="310">
                  <c:v>3.8039999999999998</c:v>
                </c:pt>
                <c:pt idx="311">
                  <c:v>3.706</c:v>
                </c:pt>
                <c:pt idx="312">
                  <c:v>3.6080000000000001</c:v>
                </c:pt>
                <c:pt idx="313">
                  <c:v>3.5379999999999998</c:v>
                </c:pt>
                <c:pt idx="314">
                  <c:v>3.4870000000000001</c:v>
                </c:pt>
                <c:pt idx="315">
                  <c:v>3.4209999999999998</c:v>
                </c:pt>
                <c:pt idx="316">
                  <c:v>3.379</c:v>
                </c:pt>
                <c:pt idx="317">
                  <c:v>3.3570000000000002</c:v>
                </c:pt>
                <c:pt idx="318">
                  <c:v>3.3130000000000002</c:v>
                </c:pt>
                <c:pt idx="319">
                  <c:v>3.2909999999999999</c:v>
                </c:pt>
                <c:pt idx="320">
                  <c:v>3.2709999999999999</c:v>
                </c:pt>
                <c:pt idx="321">
                  <c:v>3.2709999999999999</c:v>
                </c:pt>
                <c:pt idx="322">
                  <c:v>3.218</c:v>
                </c:pt>
                <c:pt idx="323">
                  <c:v>3.177</c:v>
                </c:pt>
                <c:pt idx="324">
                  <c:v>3.1539999999999999</c:v>
                </c:pt>
                <c:pt idx="325">
                  <c:v>3.1339999999999999</c:v>
                </c:pt>
                <c:pt idx="326">
                  <c:v>3.093</c:v>
                </c:pt>
                <c:pt idx="327">
                  <c:v>3.07</c:v>
                </c:pt>
                <c:pt idx="328">
                  <c:v>3.0430000000000001</c:v>
                </c:pt>
                <c:pt idx="329">
                  <c:v>3.0110000000000001</c:v>
                </c:pt>
                <c:pt idx="330">
                  <c:v>2.99</c:v>
                </c:pt>
                <c:pt idx="331">
                  <c:v>2.9729999999999999</c:v>
                </c:pt>
                <c:pt idx="332">
                  <c:v>2.9380000000000002</c:v>
                </c:pt>
                <c:pt idx="333">
                  <c:v>2.9079999999999999</c:v>
                </c:pt>
                <c:pt idx="334">
                  <c:v>2.89</c:v>
                </c:pt>
                <c:pt idx="335">
                  <c:v>2.8450000000000002</c:v>
                </c:pt>
                <c:pt idx="336">
                  <c:v>2.871</c:v>
                </c:pt>
                <c:pt idx="337">
                  <c:v>2.843</c:v>
                </c:pt>
                <c:pt idx="338">
                  <c:v>2.82</c:v>
                </c:pt>
                <c:pt idx="339">
                  <c:v>2.8130000000000002</c:v>
                </c:pt>
                <c:pt idx="340">
                  <c:v>2.7759999999999998</c:v>
                </c:pt>
                <c:pt idx="341">
                  <c:v>2.7370000000000001</c:v>
                </c:pt>
                <c:pt idx="342">
                  <c:v>2.7440000000000002</c:v>
                </c:pt>
                <c:pt idx="343">
                  <c:v>2.6920000000000002</c:v>
                </c:pt>
                <c:pt idx="344">
                  <c:v>2.65</c:v>
                </c:pt>
                <c:pt idx="345">
                  <c:v>2.6230000000000002</c:v>
                </c:pt>
                <c:pt idx="346">
                  <c:v>2.5939999999999999</c:v>
                </c:pt>
                <c:pt idx="347">
                  <c:v>2.5659999999999998</c:v>
                </c:pt>
                <c:pt idx="348">
                  <c:v>2.5680000000000001</c:v>
                </c:pt>
                <c:pt idx="349">
                  <c:v>2.5390000000000001</c:v>
                </c:pt>
                <c:pt idx="350">
                  <c:v>2.532</c:v>
                </c:pt>
                <c:pt idx="351">
                  <c:v>2.508</c:v>
                </c:pt>
                <c:pt idx="352">
                  <c:v>2.4950000000000001</c:v>
                </c:pt>
                <c:pt idx="353">
                  <c:v>2.4769999999999999</c:v>
                </c:pt>
                <c:pt idx="354">
                  <c:v>2.4649999999999999</c:v>
                </c:pt>
                <c:pt idx="355">
                  <c:v>2.4380000000000002</c:v>
                </c:pt>
                <c:pt idx="356">
                  <c:v>2.38</c:v>
                </c:pt>
                <c:pt idx="357">
                  <c:v>2.3769999999999998</c:v>
                </c:pt>
                <c:pt idx="358">
                  <c:v>2.3580000000000001</c:v>
                </c:pt>
                <c:pt idx="359">
                  <c:v>2.3490000000000002</c:v>
                </c:pt>
                <c:pt idx="360">
                  <c:v>2.339</c:v>
                </c:pt>
                <c:pt idx="361">
                  <c:v>2.3250000000000002</c:v>
                </c:pt>
                <c:pt idx="362">
                  <c:v>2.298</c:v>
                </c:pt>
                <c:pt idx="363">
                  <c:v>2.2799999999999998</c:v>
                </c:pt>
                <c:pt idx="364">
                  <c:v>2.2629999999999999</c:v>
                </c:pt>
                <c:pt idx="365">
                  <c:v>2.274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Data!$AH$6:$AH$372</c:f>
              <c:numCache>
                <c:formatCode>General</c:formatCode>
                <c:ptCount val="367"/>
                <c:pt idx="0">
                  <c:v>-3.4809999999999999</c:v>
                </c:pt>
                <c:pt idx="1">
                  <c:v>-8.33</c:v>
                </c:pt>
                <c:pt idx="2">
                  <c:v>-4.7439999999999998</c:v>
                </c:pt>
                <c:pt idx="3">
                  <c:v>-8.0500000000000007</c:v>
                </c:pt>
                <c:pt idx="4">
                  <c:v>-8.57</c:v>
                </c:pt>
                <c:pt idx="5">
                  <c:v>-6.85</c:v>
                </c:pt>
                <c:pt idx="6">
                  <c:v>-2.6989999999999998</c:v>
                </c:pt>
                <c:pt idx="7">
                  <c:v>-9.94</c:v>
                </c:pt>
                <c:pt idx="8">
                  <c:v>-15.06</c:v>
                </c:pt>
                <c:pt idx="9">
                  <c:v>-11.69</c:v>
                </c:pt>
                <c:pt idx="10">
                  <c:v>-7.883</c:v>
                </c:pt>
                <c:pt idx="11">
                  <c:v>-12.66</c:v>
                </c:pt>
                <c:pt idx="12">
                  <c:v>-24.26</c:v>
                </c:pt>
                <c:pt idx="13">
                  <c:v>-21.03</c:v>
                </c:pt>
                <c:pt idx="14">
                  <c:v>-16.940000000000001</c:v>
                </c:pt>
                <c:pt idx="15">
                  <c:v>-9.73</c:v>
                </c:pt>
                <c:pt idx="16">
                  <c:v>-13.42</c:v>
                </c:pt>
                <c:pt idx="17">
                  <c:v>-9.5299999999999994</c:v>
                </c:pt>
                <c:pt idx="18">
                  <c:v>-4.9459999999999997</c:v>
                </c:pt>
                <c:pt idx="19">
                  <c:v>-4.0730000000000004</c:v>
                </c:pt>
                <c:pt idx="20">
                  <c:v>-5.1050000000000004</c:v>
                </c:pt>
                <c:pt idx="21">
                  <c:v>-5.3440000000000003</c:v>
                </c:pt>
                <c:pt idx="22">
                  <c:v>-3.1240000000000001</c:v>
                </c:pt>
                <c:pt idx="23">
                  <c:v>-3.0110000000000001</c:v>
                </c:pt>
                <c:pt idx="24">
                  <c:v>-6.4980000000000002</c:v>
                </c:pt>
                <c:pt idx="25">
                  <c:v>-4.3929999999999998</c:v>
                </c:pt>
                <c:pt idx="26">
                  <c:v>-5.8109999999999999</c:v>
                </c:pt>
                <c:pt idx="27">
                  <c:v>-6.5750000000000002</c:v>
                </c:pt>
                <c:pt idx="28">
                  <c:v>-6.8710000000000004</c:v>
                </c:pt>
                <c:pt idx="29">
                  <c:v>-7.7409999999999997</c:v>
                </c:pt>
                <c:pt idx="30">
                  <c:v>-1.1120000000000001</c:v>
                </c:pt>
                <c:pt idx="31">
                  <c:v>-5.5620000000000003</c:v>
                </c:pt>
                <c:pt idx="32">
                  <c:v>-13.76</c:v>
                </c:pt>
                <c:pt idx="33">
                  <c:v>-15.11</c:v>
                </c:pt>
                <c:pt idx="34">
                  <c:v>-11.92</c:v>
                </c:pt>
                <c:pt idx="35">
                  <c:v>-4.5179999999999998</c:v>
                </c:pt>
                <c:pt idx="36">
                  <c:v>-4.6630000000000003</c:v>
                </c:pt>
                <c:pt idx="37">
                  <c:v>-6.923</c:v>
                </c:pt>
                <c:pt idx="38">
                  <c:v>-8.2799999999999994</c:v>
                </c:pt>
                <c:pt idx="39">
                  <c:v>-8.19</c:v>
                </c:pt>
                <c:pt idx="40">
                  <c:v>-6.9480000000000004</c:v>
                </c:pt>
                <c:pt idx="41">
                  <c:v>-5.4290000000000003</c:v>
                </c:pt>
                <c:pt idx="42">
                  <c:v>-7.7220000000000004</c:v>
                </c:pt>
                <c:pt idx="43">
                  <c:v>-7.3739999999999997</c:v>
                </c:pt>
                <c:pt idx="44">
                  <c:v>-7.4580000000000002</c:v>
                </c:pt>
                <c:pt idx="45">
                  <c:v>-6.3339999999999996</c:v>
                </c:pt>
                <c:pt idx="46">
                  <c:v>-8.16</c:v>
                </c:pt>
                <c:pt idx="47">
                  <c:v>-9.51</c:v>
                </c:pt>
                <c:pt idx="48">
                  <c:v>-12.19</c:v>
                </c:pt>
                <c:pt idx="49">
                  <c:v>-11.57</c:v>
                </c:pt>
                <c:pt idx="50">
                  <c:v>-10.31</c:v>
                </c:pt>
                <c:pt idx="51">
                  <c:v>-7.44</c:v>
                </c:pt>
                <c:pt idx="52">
                  <c:v>-7.2690000000000001</c:v>
                </c:pt>
                <c:pt idx="53">
                  <c:v>-6.6109999999999998</c:v>
                </c:pt>
                <c:pt idx="54">
                  <c:v>-8.16</c:v>
                </c:pt>
                <c:pt idx="55">
                  <c:v>-8.02</c:v>
                </c:pt>
                <c:pt idx="56">
                  <c:v>-4.6970000000000001</c:v>
                </c:pt>
                <c:pt idx="57">
                  <c:v>-3.12</c:v>
                </c:pt>
                <c:pt idx="58">
                  <c:v>-4.8620000000000001</c:v>
                </c:pt>
                <c:pt idx="59">
                  <c:v>-7.61</c:v>
                </c:pt>
                <c:pt idx="60">
                  <c:v>-8.91</c:v>
                </c:pt>
                <c:pt idx="61">
                  <c:v>-4.1520000000000001</c:v>
                </c:pt>
                <c:pt idx="62">
                  <c:v>-4.2169999999999996</c:v>
                </c:pt>
                <c:pt idx="63">
                  <c:v>-8.8000000000000007</c:v>
                </c:pt>
                <c:pt idx="64">
                  <c:v>-5.8659999999999997</c:v>
                </c:pt>
                <c:pt idx="65">
                  <c:v>-4.673</c:v>
                </c:pt>
                <c:pt idx="66">
                  <c:v>-7.03</c:v>
                </c:pt>
                <c:pt idx="67">
                  <c:v>-11.18</c:v>
                </c:pt>
                <c:pt idx="68">
                  <c:v>-13.31</c:v>
                </c:pt>
                <c:pt idx="69">
                  <c:v>-7.08</c:v>
                </c:pt>
                <c:pt idx="70">
                  <c:v>-7.2140000000000004</c:v>
                </c:pt>
                <c:pt idx="71">
                  <c:v>-10.34</c:v>
                </c:pt>
                <c:pt idx="72">
                  <c:v>-11.68</c:v>
                </c:pt>
                <c:pt idx="73">
                  <c:v>-16.8</c:v>
                </c:pt>
                <c:pt idx="74">
                  <c:v>-14.55</c:v>
                </c:pt>
                <c:pt idx="75">
                  <c:v>-6.3470000000000004</c:v>
                </c:pt>
                <c:pt idx="76">
                  <c:v>-4.75</c:v>
                </c:pt>
                <c:pt idx="77">
                  <c:v>-5.3310000000000004</c:v>
                </c:pt>
                <c:pt idx="78">
                  <c:v>-5.1349999999999998</c:v>
                </c:pt>
                <c:pt idx="79">
                  <c:v>-4.1289999999999996</c:v>
                </c:pt>
                <c:pt idx="80">
                  <c:v>-5.6740000000000004</c:v>
                </c:pt>
                <c:pt idx="81">
                  <c:v>-5.7610000000000001</c:v>
                </c:pt>
                <c:pt idx="82">
                  <c:v>-7.3079999999999998</c:v>
                </c:pt>
                <c:pt idx="83">
                  <c:v>-8.27</c:v>
                </c:pt>
                <c:pt idx="84">
                  <c:v>-9.43</c:v>
                </c:pt>
                <c:pt idx="85">
                  <c:v>-7.4989999999999997</c:v>
                </c:pt>
                <c:pt idx="86">
                  <c:v>-3.9660000000000002</c:v>
                </c:pt>
                <c:pt idx="87">
                  <c:v>-2.125</c:v>
                </c:pt>
                <c:pt idx="88">
                  <c:v>-2.1309999999999998</c:v>
                </c:pt>
                <c:pt idx="89">
                  <c:v>-5.9820000000000002</c:v>
                </c:pt>
                <c:pt idx="90">
                  <c:v>-8.6199999999999992</c:v>
                </c:pt>
                <c:pt idx="91">
                  <c:v>-11.83</c:v>
                </c:pt>
                <c:pt idx="92">
                  <c:v>-10.89</c:v>
                </c:pt>
                <c:pt idx="93">
                  <c:v>-9.93</c:v>
                </c:pt>
                <c:pt idx="94">
                  <c:v>-10.51</c:v>
                </c:pt>
                <c:pt idx="95">
                  <c:v>-6.6</c:v>
                </c:pt>
                <c:pt idx="96">
                  <c:v>-4.7430000000000003</c:v>
                </c:pt>
                <c:pt idx="97">
                  <c:v>-2.79</c:v>
                </c:pt>
                <c:pt idx="98">
                  <c:v>-2.5960000000000001</c:v>
                </c:pt>
                <c:pt idx="99">
                  <c:v>1.355</c:v>
                </c:pt>
                <c:pt idx="100">
                  <c:v>1.006</c:v>
                </c:pt>
                <c:pt idx="101">
                  <c:v>-7.7489999999999997</c:v>
                </c:pt>
                <c:pt idx="102">
                  <c:v>-10.09</c:v>
                </c:pt>
                <c:pt idx="103">
                  <c:v>-5.8630000000000004</c:v>
                </c:pt>
                <c:pt idx="104">
                  <c:v>-1.1819999999999999</c:v>
                </c:pt>
                <c:pt idx="105">
                  <c:v>-1.7929999999999999</c:v>
                </c:pt>
                <c:pt idx="106">
                  <c:v>-2.153</c:v>
                </c:pt>
                <c:pt idx="107">
                  <c:v>-0.71899999999999997</c:v>
                </c:pt>
                <c:pt idx="108">
                  <c:v>0.502</c:v>
                </c:pt>
                <c:pt idx="109">
                  <c:v>1.665</c:v>
                </c:pt>
                <c:pt idx="110">
                  <c:v>2.3290000000000002</c:v>
                </c:pt>
                <c:pt idx="111">
                  <c:v>0.51700000000000002</c:v>
                </c:pt>
                <c:pt idx="112">
                  <c:v>-0.21299999999999999</c:v>
                </c:pt>
                <c:pt idx="113">
                  <c:v>-0.67900000000000005</c:v>
                </c:pt>
                <c:pt idx="114">
                  <c:v>0.34300000000000003</c:v>
                </c:pt>
                <c:pt idx="115">
                  <c:v>-0.64500000000000002</c:v>
                </c:pt>
                <c:pt idx="116">
                  <c:v>-0.32500000000000001</c:v>
                </c:pt>
                <c:pt idx="117">
                  <c:v>-0.53600000000000003</c:v>
                </c:pt>
                <c:pt idx="118">
                  <c:v>-0.41899999999999998</c:v>
                </c:pt>
                <c:pt idx="119">
                  <c:v>2.9950000000000001</c:v>
                </c:pt>
                <c:pt idx="120">
                  <c:v>1.1890000000000001</c:v>
                </c:pt>
                <c:pt idx="121">
                  <c:v>0.46600000000000003</c:v>
                </c:pt>
                <c:pt idx="122">
                  <c:v>0.72899999999999998</c:v>
                </c:pt>
                <c:pt idx="123">
                  <c:v>-2.7989999999999999</c:v>
                </c:pt>
                <c:pt idx="124">
                  <c:v>-1.28</c:v>
                </c:pt>
                <c:pt idx="125">
                  <c:v>1.83</c:v>
                </c:pt>
                <c:pt idx="126">
                  <c:v>-0.79300000000000004</c:v>
                </c:pt>
                <c:pt idx="127">
                  <c:v>0.26900000000000002</c:v>
                </c:pt>
                <c:pt idx="128">
                  <c:v>2.7850000000000001</c:v>
                </c:pt>
                <c:pt idx="129">
                  <c:v>4.4459999999999997</c:v>
                </c:pt>
                <c:pt idx="130">
                  <c:v>4.5670000000000002</c:v>
                </c:pt>
                <c:pt idx="131">
                  <c:v>4.0419999999999998</c:v>
                </c:pt>
                <c:pt idx="132">
                  <c:v>2.1240000000000001</c:v>
                </c:pt>
                <c:pt idx="133">
                  <c:v>2.194</c:v>
                </c:pt>
                <c:pt idx="134">
                  <c:v>1.881</c:v>
                </c:pt>
                <c:pt idx="135">
                  <c:v>2.1150000000000002</c:v>
                </c:pt>
                <c:pt idx="136">
                  <c:v>1.7070000000000001</c:v>
                </c:pt>
                <c:pt idx="137">
                  <c:v>1.853</c:v>
                </c:pt>
                <c:pt idx="138">
                  <c:v>2.7029999999999998</c:v>
                </c:pt>
                <c:pt idx="139">
                  <c:v>4.03</c:v>
                </c:pt>
                <c:pt idx="140">
                  <c:v>3.194</c:v>
                </c:pt>
                <c:pt idx="141">
                  <c:v>0.124</c:v>
                </c:pt>
                <c:pt idx="142">
                  <c:v>-0.89800000000000002</c:v>
                </c:pt>
                <c:pt idx="143">
                  <c:v>1.8169999999999999</c:v>
                </c:pt>
                <c:pt idx="144">
                  <c:v>2.9430000000000001</c:v>
                </c:pt>
                <c:pt idx="145">
                  <c:v>2.6219999999999999</c:v>
                </c:pt>
                <c:pt idx="146">
                  <c:v>2.7949999999999999</c:v>
                </c:pt>
                <c:pt idx="147">
                  <c:v>3.35</c:v>
                </c:pt>
                <c:pt idx="148">
                  <c:v>5.7489999999999997</c:v>
                </c:pt>
                <c:pt idx="149">
                  <c:v>7.6829999999999998</c:v>
                </c:pt>
                <c:pt idx="150">
                  <c:v>6.2859999999999996</c:v>
                </c:pt>
                <c:pt idx="151">
                  <c:v>1.4430000000000001</c:v>
                </c:pt>
                <c:pt idx="152">
                  <c:v>2.6949999999999998</c:v>
                </c:pt>
                <c:pt idx="153">
                  <c:v>2.0840000000000001</c:v>
                </c:pt>
                <c:pt idx="154">
                  <c:v>3.2709999999999999</c:v>
                </c:pt>
                <c:pt idx="155">
                  <c:v>3.66</c:v>
                </c:pt>
                <c:pt idx="156">
                  <c:v>5.59</c:v>
                </c:pt>
                <c:pt idx="157">
                  <c:v>3.5920000000000001</c:v>
                </c:pt>
                <c:pt idx="158">
                  <c:v>4.3029999999999999</c:v>
                </c:pt>
                <c:pt idx="159">
                  <c:v>5.3369999999999997</c:v>
                </c:pt>
                <c:pt idx="160">
                  <c:v>1.6539999999999999</c:v>
                </c:pt>
                <c:pt idx="161">
                  <c:v>9</c:v>
                </c:pt>
                <c:pt idx="162">
                  <c:v>8.7200000000000006</c:v>
                </c:pt>
                <c:pt idx="163">
                  <c:v>10.01</c:v>
                </c:pt>
                <c:pt idx="164">
                  <c:v>1.38</c:v>
                </c:pt>
                <c:pt idx="165">
                  <c:v>0.248</c:v>
                </c:pt>
                <c:pt idx="166">
                  <c:v>3.88</c:v>
                </c:pt>
                <c:pt idx="167">
                  <c:v>7.3769999999999998</c:v>
                </c:pt>
                <c:pt idx="168">
                  <c:v>9.76</c:v>
                </c:pt>
                <c:pt idx="169">
                  <c:v>12.65</c:v>
                </c:pt>
                <c:pt idx="170">
                  <c:v>14.5</c:v>
                </c:pt>
                <c:pt idx="171">
                  <c:v>10.87</c:v>
                </c:pt>
                <c:pt idx="172">
                  <c:v>13.08</c:v>
                </c:pt>
                <c:pt idx="173">
                  <c:v>14.16</c:v>
                </c:pt>
                <c:pt idx="174">
                  <c:v>14.12</c:v>
                </c:pt>
                <c:pt idx="175">
                  <c:v>11.84</c:v>
                </c:pt>
                <c:pt idx="176">
                  <c:v>15.4</c:v>
                </c:pt>
                <c:pt idx="177">
                  <c:v>12.73</c:v>
                </c:pt>
                <c:pt idx="178">
                  <c:v>7.99</c:v>
                </c:pt>
                <c:pt idx="179">
                  <c:v>5.319</c:v>
                </c:pt>
                <c:pt idx="180">
                  <c:v>11.09</c:v>
                </c:pt>
                <c:pt idx="181">
                  <c:v>6.8970000000000002</c:v>
                </c:pt>
                <c:pt idx="182">
                  <c:v>4.3780000000000001</c:v>
                </c:pt>
                <c:pt idx="183">
                  <c:v>7.7030000000000003</c:v>
                </c:pt>
                <c:pt idx="184">
                  <c:v>7.7069999999999999</c:v>
                </c:pt>
                <c:pt idx="185">
                  <c:v>9.08</c:v>
                </c:pt>
                <c:pt idx="186">
                  <c:v>11.46</c:v>
                </c:pt>
                <c:pt idx="187">
                  <c:v>11.94</c:v>
                </c:pt>
                <c:pt idx="188">
                  <c:v>6.4279999999999999</c:v>
                </c:pt>
                <c:pt idx="189">
                  <c:v>9.92</c:v>
                </c:pt>
                <c:pt idx="190">
                  <c:v>8.1199999999999992</c:v>
                </c:pt>
                <c:pt idx="191">
                  <c:v>11.62</c:v>
                </c:pt>
                <c:pt idx="192">
                  <c:v>11.08</c:v>
                </c:pt>
                <c:pt idx="193">
                  <c:v>6.6929999999999996</c:v>
                </c:pt>
                <c:pt idx="194">
                  <c:v>7.9610000000000003</c:v>
                </c:pt>
                <c:pt idx="195">
                  <c:v>11.95</c:v>
                </c:pt>
                <c:pt idx="196">
                  <c:v>13.36</c:v>
                </c:pt>
                <c:pt idx="197">
                  <c:v>11.67</c:v>
                </c:pt>
                <c:pt idx="198">
                  <c:v>10.97</c:v>
                </c:pt>
                <c:pt idx="199">
                  <c:v>12.86</c:v>
                </c:pt>
                <c:pt idx="200">
                  <c:v>14.03</c:v>
                </c:pt>
                <c:pt idx="201">
                  <c:v>14.99</c:v>
                </c:pt>
                <c:pt idx="202">
                  <c:v>18.02</c:v>
                </c:pt>
                <c:pt idx="203">
                  <c:v>16.02</c:v>
                </c:pt>
                <c:pt idx="204">
                  <c:v>13.56</c:v>
                </c:pt>
                <c:pt idx="205">
                  <c:v>8.9700000000000006</c:v>
                </c:pt>
                <c:pt idx="206">
                  <c:v>11.06</c:v>
                </c:pt>
                <c:pt idx="207">
                  <c:v>14.8</c:v>
                </c:pt>
                <c:pt idx="208">
                  <c:v>19.22</c:v>
                </c:pt>
                <c:pt idx="209">
                  <c:v>18.64</c:v>
                </c:pt>
                <c:pt idx="210">
                  <c:v>18.82</c:v>
                </c:pt>
                <c:pt idx="211">
                  <c:v>20.57</c:v>
                </c:pt>
                <c:pt idx="212">
                  <c:v>19.91</c:v>
                </c:pt>
                <c:pt idx="213">
                  <c:v>19.11</c:v>
                </c:pt>
                <c:pt idx="214">
                  <c:v>17.12</c:v>
                </c:pt>
                <c:pt idx="215">
                  <c:v>13.29</c:v>
                </c:pt>
                <c:pt idx="216">
                  <c:v>15.8</c:v>
                </c:pt>
                <c:pt idx="217">
                  <c:v>17.03</c:v>
                </c:pt>
                <c:pt idx="218">
                  <c:v>9.01</c:v>
                </c:pt>
                <c:pt idx="219">
                  <c:v>7.7850000000000001</c:v>
                </c:pt>
                <c:pt idx="220">
                  <c:v>9.34</c:v>
                </c:pt>
                <c:pt idx="221">
                  <c:v>10.039999999999999</c:v>
                </c:pt>
                <c:pt idx="222">
                  <c:v>12.18</c:v>
                </c:pt>
                <c:pt idx="223">
                  <c:v>10.6</c:v>
                </c:pt>
                <c:pt idx="224">
                  <c:v>7.7539999999999996</c:v>
                </c:pt>
                <c:pt idx="225">
                  <c:v>8.32</c:v>
                </c:pt>
                <c:pt idx="226">
                  <c:v>11.93</c:v>
                </c:pt>
                <c:pt idx="227">
                  <c:v>16.670000000000002</c:v>
                </c:pt>
                <c:pt idx="228">
                  <c:v>19.38</c:v>
                </c:pt>
                <c:pt idx="229">
                  <c:v>20.02</c:v>
                </c:pt>
                <c:pt idx="230">
                  <c:v>18.399999999999999</c:v>
                </c:pt>
                <c:pt idx="231">
                  <c:v>15.3</c:v>
                </c:pt>
                <c:pt idx="232">
                  <c:v>13.84</c:v>
                </c:pt>
                <c:pt idx="233">
                  <c:v>12.17</c:v>
                </c:pt>
                <c:pt idx="234">
                  <c:v>10.41</c:v>
                </c:pt>
                <c:pt idx="235">
                  <c:v>12.23</c:v>
                </c:pt>
                <c:pt idx="236">
                  <c:v>9.89</c:v>
                </c:pt>
                <c:pt idx="237">
                  <c:v>10.71</c:v>
                </c:pt>
                <c:pt idx="238">
                  <c:v>11.13</c:v>
                </c:pt>
                <c:pt idx="239">
                  <c:v>10.84</c:v>
                </c:pt>
                <c:pt idx="240">
                  <c:v>13.9</c:v>
                </c:pt>
                <c:pt idx="241">
                  <c:v>7.851</c:v>
                </c:pt>
                <c:pt idx="242">
                  <c:v>6.1989999999999998</c:v>
                </c:pt>
                <c:pt idx="243">
                  <c:v>6.7519999999999998</c:v>
                </c:pt>
                <c:pt idx="244">
                  <c:v>13.8</c:v>
                </c:pt>
                <c:pt idx="245">
                  <c:v>11.56</c:v>
                </c:pt>
                <c:pt idx="246">
                  <c:v>13.53</c:v>
                </c:pt>
                <c:pt idx="247">
                  <c:v>16.59</c:v>
                </c:pt>
                <c:pt idx="248">
                  <c:v>15.61</c:v>
                </c:pt>
                <c:pt idx="249">
                  <c:v>14.46</c:v>
                </c:pt>
                <c:pt idx="250">
                  <c:v>7.5990000000000002</c:v>
                </c:pt>
                <c:pt idx="251">
                  <c:v>7.7329999999999997</c:v>
                </c:pt>
                <c:pt idx="252">
                  <c:v>11.93</c:v>
                </c:pt>
                <c:pt idx="253">
                  <c:v>14.05</c:v>
                </c:pt>
                <c:pt idx="254">
                  <c:v>16.32</c:v>
                </c:pt>
                <c:pt idx="255">
                  <c:v>14.17</c:v>
                </c:pt>
                <c:pt idx="256">
                  <c:v>10.36</c:v>
                </c:pt>
                <c:pt idx="257">
                  <c:v>11.5</c:v>
                </c:pt>
                <c:pt idx="258">
                  <c:v>13.13</c:v>
                </c:pt>
                <c:pt idx="259">
                  <c:v>14.13</c:v>
                </c:pt>
                <c:pt idx="260">
                  <c:v>13.95</c:v>
                </c:pt>
                <c:pt idx="261">
                  <c:v>13.07</c:v>
                </c:pt>
                <c:pt idx="262">
                  <c:v>8.1300000000000008</c:v>
                </c:pt>
                <c:pt idx="263">
                  <c:v>8.48</c:v>
                </c:pt>
                <c:pt idx="264">
                  <c:v>6.931</c:v>
                </c:pt>
                <c:pt idx="265">
                  <c:v>9.42</c:v>
                </c:pt>
                <c:pt idx="266">
                  <c:v>6.26</c:v>
                </c:pt>
                <c:pt idx="267">
                  <c:v>3.15</c:v>
                </c:pt>
                <c:pt idx="268">
                  <c:v>1.252</c:v>
                </c:pt>
                <c:pt idx="269">
                  <c:v>1.599</c:v>
                </c:pt>
                <c:pt idx="270">
                  <c:v>4.4089999999999998</c:v>
                </c:pt>
                <c:pt idx="271">
                  <c:v>9.58</c:v>
                </c:pt>
                <c:pt idx="272">
                  <c:v>11.02</c:v>
                </c:pt>
                <c:pt idx="273">
                  <c:v>10.84</c:v>
                </c:pt>
                <c:pt idx="274">
                  <c:v>11.04</c:v>
                </c:pt>
                <c:pt idx="275">
                  <c:v>11.91</c:v>
                </c:pt>
                <c:pt idx="276">
                  <c:v>11.29</c:v>
                </c:pt>
                <c:pt idx="277">
                  <c:v>7.9379999999999997</c:v>
                </c:pt>
                <c:pt idx="278">
                  <c:v>9.2799999999999994</c:v>
                </c:pt>
                <c:pt idx="279">
                  <c:v>10.89</c:v>
                </c:pt>
                <c:pt idx="280">
                  <c:v>10.02</c:v>
                </c:pt>
                <c:pt idx="281">
                  <c:v>5.875</c:v>
                </c:pt>
                <c:pt idx="282">
                  <c:v>4.9690000000000003</c:v>
                </c:pt>
                <c:pt idx="283">
                  <c:v>2.37</c:v>
                </c:pt>
                <c:pt idx="284">
                  <c:v>-0.90500000000000003</c:v>
                </c:pt>
                <c:pt idx="285">
                  <c:v>-2.2810000000000001</c:v>
                </c:pt>
                <c:pt idx="286">
                  <c:v>-2.1659999999999999</c:v>
                </c:pt>
                <c:pt idx="287">
                  <c:v>-2.3959999999999999</c:v>
                </c:pt>
                <c:pt idx="288">
                  <c:v>-1.7729999999999999</c:v>
                </c:pt>
                <c:pt idx="289">
                  <c:v>1.0469999999999999</c:v>
                </c:pt>
                <c:pt idx="290">
                  <c:v>-3.8519999999999999</c:v>
                </c:pt>
                <c:pt idx="291">
                  <c:v>-1.0920000000000001</c:v>
                </c:pt>
                <c:pt idx="292">
                  <c:v>-0.50800000000000001</c:v>
                </c:pt>
                <c:pt idx="293">
                  <c:v>-3.407</c:v>
                </c:pt>
                <c:pt idx="294">
                  <c:v>-7.6589999999999998</c:v>
                </c:pt>
                <c:pt idx="295">
                  <c:v>-11.05</c:v>
                </c:pt>
                <c:pt idx="296">
                  <c:v>-8.51</c:v>
                </c:pt>
                <c:pt idx="297">
                  <c:v>-11.96</c:v>
                </c:pt>
                <c:pt idx="298">
                  <c:v>-12.42</c:v>
                </c:pt>
                <c:pt idx="299">
                  <c:v>-4.4420000000000002</c:v>
                </c:pt>
                <c:pt idx="300">
                  <c:v>-1.385</c:v>
                </c:pt>
                <c:pt idx="301">
                  <c:v>1.694</c:v>
                </c:pt>
                <c:pt idx="302">
                  <c:v>1.508</c:v>
                </c:pt>
                <c:pt idx="303">
                  <c:v>-1.4219999999999999</c:v>
                </c:pt>
                <c:pt idx="304">
                  <c:v>-5.234</c:v>
                </c:pt>
                <c:pt idx="305">
                  <c:v>-0.57899999999999996</c:v>
                </c:pt>
                <c:pt idx="306">
                  <c:v>0.28899999999999998</c:v>
                </c:pt>
                <c:pt idx="307">
                  <c:v>0.56200000000000006</c:v>
                </c:pt>
                <c:pt idx="308">
                  <c:v>1.6359999999999999</c:v>
                </c:pt>
                <c:pt idx="309">
                  <c:v>-2.7290000000000001</c:v>
                </c:pt>
                <c:pt idx="310">
                  <c:v>-6.9189999999999996</c:v>
                </c:pt>
                <c:pt idx="311">
                  <c:v>-9.6</c:v>
                </c:pt>
                <c:pt idx="312">
                  <c:v>-12.83</c:v>
                </c:pt>
                <c:pt idx="313">
                  <c:v>-11.21</c:v>
                </c:pt>
                <c:pt idx="314">
                  <c:v>-8.19</c:v>
                </c:pt>
                <c:pt idx="315">
                  <c:v>-9.07</c:v>
                </c:pt>
                <c:pt idx="316">
                  <c:v>-8.67</c:v>
                </c:pt>
                <c:pt idx="317">
                  <c:v>-6.73</c:v>
                </c:pt>
                <c:pt idx="318">
                  <c:v>-8.41</c:v>
                </c:pt>
                <c:pt idx="319">
                  <c:v>-6.9370000000000003</c:v>
                </c:pt>
                <c:pt idx="320">
                  <c:v>-5.532</c:v>
                </c:pt>
                <c:pt idx="321">
                  <c:v>-1.07</c:v>
                </c:pt>
                <c:pt idx="322">
                  <c:v>-3.9119999999999999</c:v>
                </c:pt>
                <c:pt idx="323">
                  <c:v>-8.86</c:v>
                </c:pt>
                <c:pt idx="324">
                  <c:v>-7.2169999999999996</c:v>
                </c:pt>
                <c:pt idx="325">
                  <c:v>-7.8769999999999998</c:v>
                </c:pt>
                <c:pt idx="326">
                  <c:v>-7.2919999999999998</c:v>
                </c:pt>
                <c:pt idx="327">
                  <c:v>-6.8419999999999996</c:v>
                </c:pt>
                <c:pt idx="328">
                  <c:v>-6.2050000000000001</c:v>
                </c:pt>
                <c:pt idx="329">
                  <c:v>-7.1779999999999999</c:v>
                </c:pt>
                <c:pt idx="330">
                  <c:v>-6.867</c:v>
                </c:pt>
                <c:pt idx="331">
                  <c:v>-5.2919999999999998</c:v>
                </c:pt>
                <c:pt idx="332">
                  <c:v>-7.1829999999999998</c:v>
                </c:pt>
                <c:pt idx="333">
                  <c:v>-6.87</c:v>
                </c:pt>
                <c:pt idx="334">
                  <c:v>-6.0419999999999998</c:v>
                </c:pt>
                <c:pt idx="335">
                  <c:v>-10.91</c:v>
                </c:pt>
                <c:pt idx="336">
                  <c:v>-5.1239999999999997</c:v>
                </c:pt>
                <c:pt idx="337">
                  <c:v>-4.6310000000000002</c:v>
                </c:pt>
                <c:pt idx="338">
                  <c:v>-5.5010000000000003</c:v>
                </c:pt>
                <c:pt idx="339">
                  <c:v>-4.9969999999999999</c:v>
                </c:pt>
                <c:pt idx="340">
                  <c:v>-4.8760000000000003</c:v>
                </c:pt>
                <c:pt idx="341">
                  <c:v>-4.1440000000000001</c:v>
                </c:pt>
                <c:pt idx="342">
                  <c:v>-0.39400000000000002</c:v>
                </c:pt>
                <c:pt idx="343">
                  <c:v>-4.4800000000000004</c:v>
                </c:pt>
                <c:pt idx="344">
                  <c:v>-8.33</c:v>
                </c:pt>
                <c:pt idx="345">
                  <c:v>-7.4560000000000004</c:v>
                </c:pt>
                <c:pt idx="346">
                  <c:v>-8.57</c:v>
                </c:pt>
                <c:pt idx="347">
                  <c:v>-9.43</c:v>
                </c:pt>
                <c:pt idx="348">
                  <c:v>-5.9240000000000004</c:v>
                </c:pt>
                <c:pt idx="349">
                  <c:v>-7.2839999999999998</c:v>
                </c:pt>
                <c:pt idx="350">
                  <c:v>-5.3319999999999999</c:v>
                </c:pt>
                <c:pt idx="351">
                  <c:v>-5.5220000000000002</c:v>
                </c:pt>
                <c:pt idx="352">
                  <c:v>-5.1550000000000002</c:v>
                </c:pt>
                <c:pt idx="353">
                  <c:v>-5.4180000000000001</c:v>
                </c:pt>
                <c:pt idx="354">
                  <c:v>-4.9610000000000003</c:v>
                </c:pt>
                <c:pt idx="355">
                  <c:v>-7.0060000000000002</c:v>
                </c:pt>
                <c:pt idx="356">
                  <c:v>-11.78</c:v>
                </c:pt>
                <c:pt idx="357">
                  <c:v>-11.65</c:v>
                </c:pt>
                <c:pt idx="358">
                  <c:v>-11.22</c:v>
                </c:pt>
                <c:pt idx="359">
                  <c:v>-8.8699999999999992</c:v>
                </c:pt>
                <c:pt idx="360">
                  <c:v>-7.8680000000000003</c:v>
                </c:pt>
                <c:pt idx="361">
                  <c:v>-7.8449999999999998</c:v>
                </c:pt>
                <c:pt idx="362">
                  <c:v>-9.2799999999999994</c:v>
                </c:pt>
                <c:pt idx="363">
                  <c:v>-10.24</c:v>
                </c:pt>
                <c:pt idx="364">
                  <c:v>-9.0500000000000007</c:v>
                </c:pt>
                <c:pt idx="365">
                  <c:v>-5.54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86432"/>
        <c:axId val="237192320"/>
      </c:lineChart>
      <c:catAx>
        <c:axId val="237186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923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192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86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-1.444</c:v>
                </c:pt>
                <c:pt idx="1">
                  <c:v>-4.8390000000000004</c:v>
                </c:pt>
                <c:pt idx="2">
                  <c:v>-1.071</c:v>
                </c:pt>
                <c:pt idx="3">
                  <c:v>-3.319</c:v>
                </c:pt>
                <c:pt idx="4">
                  <c:v>-4.4260000000000002</c:v>
                </c:pt>
                <c:pt idx="5">
                  <c:v>-2.56</c:v>
                </c:pt>
                <c:pt idx="6">
                  <c:v>-0.871</c:v>
                </c:pt>
                <c:pt idx="7">
                  <c:v>-3.0880000000000001</c:v>
                </c:pt>
                <c:pt idx="8">
                  <c:v>-7.5880000000000001</c:v>
                </c:pt>
                <c:pt idx="9">
                  <c:v>-9.65</c:v>
                </c:pt>
                <c:pt idx="10">
                  <c:v>-3.4119999999999999</c:v>
                </c:pt>
                <c:pt idx="11">
                  <c:v>-7.45</c:v>
                </c:pt>
                <c:pt idx="12">
                  <c:v>-19.16</c:v>
                </c:pt>
                <c:pt idx="13">
                  <c:v>-14.88</c:v>
                </c:pt>
                <c:pt idx="14">
                  <c:v>-12.31</c:v>
                </c:pt>
                <c:pt idx="15">
                  <c:v>-4.9969999999999999</c:v>
                </c:pt>
                <c:pt idx="16">
                  <c:v>-4.1139999999999999</c:v>
                </c:pt>
                <c:pt idx="17">
                  <c:v>-5.5659999999999998</c:v>
                </c:pt>
                <c:pt idx="18">
                  <c:v>-2.5510000000000002</c:v>
                </c:pt>
                <c:pt idx="19">
                  <c:v>-2.5920000000000001</c:v>
                </c:pt>
                <c:pt idx="20">
                  <c:v>-1.282</c:v>
                </c:pt>
                <c:pt idx="21">
                  <c:v>-2.7549999999999999</c:v>
                </c:pt>
                <c:pt idx="22">
                  <c:v>2.3439999999999999</c:v>
                </c:pt>
                <c:pt idx="23">
                  <c:v>2.2240000000000002</c:v>
                </c:pt>
                <c:pt idx="24">
                  <c:v>-1.01</c:v>
                </c:pt>
                <c:pt idx="25">
                  <c:v>-0.122</c:v>
                </c:pt>
                <c:pt idx="26">
                  <c:v>-1.389</c:v>
                </c:pt>
                <c:pt idx="27">
                  <c:v>0.43</c:v>
                </c:pt>
                <c:pt idx="28">
                  <c:v>-3.5</c:v>
                </c:pt>
                <c:pt idx="29">
                  <c:v>-3.4809999999999999</c:v>
                </c:pt>
                <c:pt idx="30">
                  <c:v>1.9</c:v>
                </c:pt>
                <c:pt idx="31">
                  <c:v>0.38700000000000001</c:v>
                </c:pt>
                <c:pt idx="32">
                  <c:v>-4.3810000000000002</c:v>
                </c:pt>
                <c:pt idx="33">
                  <c:v>-7.5380000000000003</c:v>
                </c:pt>
                <c:pt idx="34">
                  <c:v>-5.9169999999999998</c:v>
                </c:pt>
                <c:pt idx="35">
                  <c:v>-2.7629999999999999</c:v>
                </c:pt>
                <c:pt idx="36">
                  <c:v>-1.5880000000000001</c:v>
                </c:pt>
                <c:pt idx="37">
                  <c:v>-4.49</c:v>
                </c:pt>
                <c:pt idx="38">
                  <c:v>-5.96</c:v>
                </c:pt>
                <c:pt idx="39">
                  <c:v>-4.6139999999999999</c:v>
                </c:pt>
                <c:pt idx="40">
                  <c:v>-2.9039999999999999</c:v>
                </c:pt>
                <c:pt idx="41">
                  <c:v>1.1399999999999999</c:v>
                </c:pt>
                <c:pt idx="42">
                  <c:v>0.316</c:v>
                </c:pt>
                <c:pt idx="43">
                  <c:v>-2.5070000000000001</c:v>
                </c:pt>
                <c:pt idx="44">
                  <c:v>-0.5</c:v>
                </c:pt>
                <c:pt idx="45">
                  <c:v>-2.09</c:v>
                </c:pt>
                <c:pt idx="46">
                  <c:v>-1.4219999999999999</c:v>
                </c:pt>
                <c:pt idx="47">
                  <c:v>-0.503</c:v>
                </c:pt>
                <c:pt idx="48">
                  <c:v>-0.99099999999999999</c:v>
                </c:pt>
                <c:pt idx="49">
                  <c:v>0.14699999999999999</c:v>
                </c:pt>
                <c:pt idx="50">
                  <c:v>-5.6000000000000001E-2</c:v>
                </c:pt>
                <c:pt idx="51">
                  <c:v>1.9590000000000001</c:v>
                </c:pt>
                <c:pt idx="52">
                  <c:v>-0.44700000000000001</c:v>
                </c:pt>
                <c:pt idx="53">
                  <c:v>-1.7050000000000001</c:v>
                </c:pt>
                <c:pt idx="54">
                  <c:v>-4.7190000000000003</c:v>
                </c:pt>
                <c:pt idx="55">
                  <c:v>0.39600000000000002</c:v>
                </c:pt>
                <c:pt idx="56">
                  <c:v>1.206</c:v>
                </c:pt>
                <c:pt idx="57">
                  <c:v>4.2149999999999999</c:v>
                </c:pt>
                <c:pt idx="58">
                  <c:v>4.3310000000000004</c:v>
                </c:pt>
                <c:pt idx="59">
                  <c:v>-0.65100000000000002</c:v>
                </c:pt>
                <c:pt idx="60">
                  <c:v>-0.47599999999999998</c:v>
                </c:pt>
                <c:pt idx="61">
                  <c:v>2.4569999999999999</c:v>
                </c:pt>
                <c:pt idx="62">
                  <c:v>4.056</c:v>
                </c:pt>
                <c:pt idx="63">
                  <c:v>-1.1160000000000001</c:v>
                </c:pt>
                <c:pt idx="64">
                  <c:v>1.909</c:v>
                </c:pt>
                <c:pt idx="65">
                  <c:v>2.097</c:v>
                </c:pt>
                <c:pt idx="66">
                  <c:v>1.27</c:v>
                </c:pt>
                <c:pt idx="67">
                  <c:v>-0.32700000000000001</c:v>
                </c:pt>
                <c:pt idx="68">
                  <c:v>0.32500000000000001</c:v>
                </c:pt>
                <c:pt idx="69">
                  <c:v>-3.9329999999999998</c:v>
                </c:pt>
                <c:pt idx="70">
                  <c:v>2.1480000000000001</c:v>
                </c:pt>
                <c:pt idx="71">
                  <c:v>-0.24099999999999999</c:v>
                </c:pt>
                <c:pt idx="72">
                  <c:v>-8.73</c:v>
                </c:pt>
                <c:pt idx="73">
                  <c:v>-8.92</c:v>
                </c:pt>
                <c:pt idx="74">
                  <c:v>-6.4290000000000003</c:v>
                </c:pt>
                <c:pt idx="75">
                  <c:v>5.7359999999999998</c:v>
                </c:pt>
                <c:pt idx="76">
                  <c:v>5.4889999999999999</c:v>
                </c:pt>
                <c:pt idx="77">
                  <c:v>3.9140000000000001</c:v>
                </c:pt>
                <c:pt idx="78">
                  <c:v>6.327</c:v>
                </c:pt>
                <c:pt idx="79">
                  <c:v>5.9749999999999996</c:v>
                </c:pt>
                <c:pt idx="80">
                  <c:v>4.4400000000000004</c:v>
                </c:pt>
                <c:pt idx="81">
                  <c:v>5.359</c:v>
                </c:pt>
                <c:pt idx="82">
                  <c:v>3.9540000000000002</c:v>
                </c:pt>
                <c:pt idx="83">
                  <c:v>2.7050000000000001</c:v>
                </c:pt>
                <c:pt idx="84">
                  <c:v>-0.72599999999999998</c:v>
                </c:pt>
                <c:pt idx="85">
                  <c:v>0.28699999999999998</c:v>
                </c:pt>
                <c:pt idx="86">
                  <c:v>0.504</c:v>
                </c:pt>
                <c:pt idx="87">
                  <c:v>5.524</c:v>
                </c:pt>
                <c:pt idx="88">
                  <c:v>5.7830000000000004</c:v>
                </c:pt>
                <c:pt idx="89">
                  <c:v>2.302</c:v>
                </c:pt>
                <c:pt idx="90">
                  <c:v>4.8159999999999998</c:v>
                </c:pt>
                <c:pt idx="91">
                  <c:v>-1.5609999999999999</c:v>
                </c:pt>
                <c:pt idx="92">
                  <c:v>1.42</c:v>
                </c:pt>
                <c:pt idx="93">
                  <c:v>0.879</c:v>
                </c:pt>
                <c:pt idx="94">
                  <c:v>-2.0939999999999999</c:v>
                </c:pt>
                <c:pt idx="95">
                  <c:v>1.103</c:v>
                </c:pt>
                <c:pt idx="96">
                  <c:v>4.93</c:v>
                </c:pt>
                <c:pt idx="97">
                  <c:v>5.53</c:v>
                </c:pt>
                <c:pt idx="98">
                  <c:v>7.4969999999999999</c:v>
                </c:pt>
                <c:pt idx="99">
                  <c:v>9.76</c:v>
                </c:pt>
                <c:pt idx="100">
                  <c:v>8.5</c:v>
                </c:pt>
                <c:pt idx="101">
                  <c:v>3.7610000000000001</c:v>
                </c:pt>
                <c:pt idx="102">
                  <c:v>3.375</c:v>
                </c:pt>
                <c:pt idx="103">
                  <c:v>5.0419999999999998</c:v>
                </c:pt>
                <c:pt idx="104">
                  <c:v>2.9729999999999999</c:v>
                </c:pt>
                <c:pt idx="105">
                  <c:v>6.4429999999999996</c:v>
                </c:pt>
                <c:pt idx="106">
                  <c:v>8.35</c:v>
                </c:pt>
                <c:pt idx="107">
                  <c:v>6.8070000000000004</c:v>
                </c:pt>
                <c:pt idx="108">
                  <c:v>7.9409999999999998</c:v>
                </c:pt>
                <c:pt idx="109">
                  <c:v>8.67</c:v>
                </c:pt>
                <c:pt idx="110">
                  <c:v>10.28</c:v>
                </c:pt>
                <c:pt idx="111">
                  <c:v>8.51</c:v>
                </c:pt>
                <c:pt idx="112">
                  <c:v>5.1580000000000004</c:v>
                </c:pt>
                <c:pt idx="113">
                  <c:v>5.1639999999999997</c:v>
                </c:pt>
                <c:pt idx="114">
                  <c:v>8.25</c:v>
                </c:pt>
                <c:pt idx="115">
                  <c:v>5.1660000000000004</c:v>
                </c:pt>
                <c:pt idx="116">
                  <c:v>7.0190000000000001</c:v>
                </c:pt>
                <c:pt idx="117">
                  <c:v>6.6239999999999997</c:v>
                </c:pt>
                <c:pt idx="118">
                  <c:v>8.2799999999999994</c:v>
                </c:pt>
                <c:pt idx="119">
                  <c:v>8.58</c:v>
                </c:pt>
                <c:pt idx="120">
                  <c:v>6.8840000000000003</c:v>
                </c:pt>
                <c:pt idx="121">
                  <c:v>9.3000000000000007</c:v>
                </c:pt>
                <c:pt idx="122">
                  <c:v>7.2809999999999997</c:v>
                </c:pt>
                <c:pt idx="123">
                  <c:v>5.968</c:v>
                </c:pt>
                <c:pt idx="124">
                  <c:v>7.944</c:v>
                </c:pt>
                <c:pt idx="125">
                  <c:v>8.6199999999999992</c:v>
                </c:pt>
                <c:pt idx="126">
                  <c:v>1.9950000000000001</c:v>
                </c:pt>
                <c:pt idx="127">
                  <c:v>8.9499999999999993</c:v>
                </c:pt>
                <c:pt idx="128">
                  <c:v>11.99</c:v>
                </c:pt>
                <c:pt idx="129">
                  <c:v>11.82</c:v>
                </c:pt>
                <c:pt idx="130">
                  <c:v>12.42</c:v>
                </c:pt>
                <c:pt idx="131">
                  <c:v>11.55</c:v>
                </c:pt>
                <c:pt idx="132">
                  <c:v>7.2939999999999996</c:v>
                </c:pt>
                <c:pt idx="133">
                  <c:v>10.210000000000001</c:v>
                </c:pt>
                <c:pt idx="134">
                  <c:v>9.7100000000000009</c:v>
                </c:pt>
                <c:pt idx="135">
                  <c:v>9.94</c:v>
                </c:pt>
                <c:pt idx="136">
                  <c:v>5.8179999999999996</c:v>
                </c:pt>
                <c:pt idx="137">
                  <c:v>10.45</c:v>
                </c:pt>
                <c:pt idx="138">
                  <c:v>11.91</c:v>
                </c:pt>
                <c:pt idx="139">
                  <c:v>11.32</c:v>
                </c:pt>
                <c:pt idx="140">
                  <c:v>8.81</c:v>
                </c:pt>
                <c:pt idx="141">
                  <c:v>6.7030000000000003</c:v>
                </c:pt>
                <c:pt idx="142">
                  <c:v>0.86899999999999999</c:v>
                </c:pt>
                <c:pt idx="143">
                  <c:v>10.34</c:v>
                </c:pt>
                <c:pt idx="144">
                  <c:v>10.28</c:v>
                </c:pt>
                <c:pt idx="145">
                  <c:v>6.6920000000000002</c:v>
                </c:pt>
                <c:pt idx="146">
                  <c:v>9.34</c:v>
                </c:pt>
                <c:pt idx="147">
                  <c:v>10.37</c:v>
                </c:pt>
                <c:pt idx="148">
                  <c:v>11.98</c:v>
                </c:pt>
                <c:pt idx="149">
                  <c:v>15.15</c:v>
                </c:pt>
                <c:pt idx="150">
                  <c:v>13.11</c:v>
                </c:pt>
                <c:pt idx="151">
                  <c:v>5.875</c:v>
                </c:pt>
                <c:pt idx="152">
                  <c:v>9.0399999999999991</c:v>
                </c:pt>
                <c:pt idx="153">
                  <c:v>9.93</c:v>
                </c:pt>
                <c:pt idx="154">
                  <c:v>12.68</c:v>
                </c:pt>
                <c:pt idx="155">
                  <c:v>14.83</c:v>
                </c:pt>
                <c:pt idx="156">
                  <c:v>14.42</c:v>
                </c:pt>
                <c:pt idx="157">
                  <c:v>19.59</c:v>
                </c:pt>
                <c:pt idx="158">
                  <c:v>16.690000000000001</c:v>
                </c:pt>
                <c:pt idx="159">
                  <c:v>20.16</c:v>
                </c:pt>
                <c:pt idx="160">
                  <c:v>6.569</c:v>
                </c:pt>
                <c:pt idx="161">
                  <c:v>24.85</c:v>
                </c:pt>
                <c:pt idx="162">
                  <c:v>18.760000000000002</c:v>
                </c:pt>
                <c:pt idx="163">
                  <c:v>26.64</c:v>
                </c:pt>
                <c:pt idx="164">
                  <c:v>5.1520000000000001</c:v>
                </c:pt>
                <c:pt idx="165">
                  <c:v>2.9060000000000001</c:v>
                </c:pt>
                <c:pt idx="166">
                  <c:v>16.940000000000001</c:v>
                </c:pt>
                <c:pt idx="167">
                  <c:v>21.88</c:v>
                </c:pt>
                <c:pt idx="168">
                  <c:v>24.39</c:v>
                </c:pt>
                <c:pt idx="169">
                  <c:v>27.24</c:v>
                </c:pt>
                <c:pt idx="170">
                  <c:v>30.62</c:v>
                </c:pt>
                <c:pt idx="171">
                  <c:v>22.67</c:v>
                </c:pt>
                <c:pt idx="172">
                  <c:v>29.57</c:v>
                </c:pt>
                <c:pt idx="173">
                  <c:v>30</c:v>
                </c:pt>
                <c:pt idx="174">
                  <c:v>32.340000000000003</c:v>
                </c:pt>
                <c:pt idx="175">
                  <c:v>22.48</c:v>
                </c:pt>
                <c:pt idx="176">
                  <c:v>28.71</c:v>
                </c:pt>
                <c:pt idx="177">
                  <c:v>25.85</c:v>
                </c:pt>
                <c:pt idx="178">
                  <c:v>22.39</c:v>
                </c:pt>
                <c:pt idx="179">
                  <c:v>16.04</c:v>
                </c:pt>
                <c:pt idx="180">
                  <c:v>26</c:v>
                </c:pt>
                <c:pt idx="181">
                  <c:v>16.71</c:v>
                </c:pt>
                <c:pt idx="182">
                  <c:v>12.25</c:v>
                </c:pt>
                <c:pt idx="183">
                  <c:v>20.89</c:v>
                </c:pt>
                <c:pt idx="184">
                  <c:v>19.690000000000001</c:v>
                </c:pt>
                <c:pt idx="185">
                  <c:v>22.73</c:v>
                </c:pt>
                <c:pt idx="186">
                  <c:v>27.14</c:v>
                </c:pt>
                <c:pt idx="187">
                  <c:v>26.75</c:v>
                </c:pt>
                <c:pt idx="188">
                  <c:v>15.88</c:v>
                </c:pt>
                <c:pt idx="189">
                  <c:v>23.62</c:v>
                </c:pt>
                <c:pt idx="190">
                  <c:v>16.18</c:v>
                </c:pt>
                <c:pt idx="191">
                  <c:v>24.6</c:v>
                </c:pt>
                <c:pt idx="192">
                  <c:v>21.13</c:v>
                </c:pt>
                <c:pt idx="193">
                  <c:v>19.72</c:v>
                </c:pt>
                <c:pt idx="194">
                  <c:v>21.32</c:v>
                </c:pt>
                <c:pt idx="195">
                  <c:v>25.29</c:v>
                </c:pt>
                <c:pt idx="196">
                  <c:v>25.85</c:v>
                </c:pt>
                <c:pt idx="197">
                  <c:v>24.92</c:v>
                </c:pt>
                <c:pt idx="198">
                  <c:v>23.21</c:v>
                </c:pt>
                <c:pt idx="199">
                  <c:v>25.65</c:v>
                </c:pt>
                <c:pt idx="200">
                  <c:v>27.11</c:v>
                </c:pt>
                <c:pt idx="201">
                  <c:v>28.26</c:v>
                </c:pt>
                <c:pt idx="202">
                  <c:v>32.159999999999997</c:v>
                </c:pt>
                <c:pt idx="203">
                  <c:v>30.93</c:v>
                </c:pt>
                <c:pt idx="204">
                  <c:v>26.64</c:v>
                </c:pt>
                <c:pt idx="205">
                  <c:v>22.58</c:v>
                </c:pt>
                <c:pt idx="206">
                  <c:v>24.65</c:v>
                </c:pt>
                <c:pt idx="207">
                  <c:v>28.28</c:v>
                </c:pt>
                <c:pt idx="208">
                  <c:v>34.409999999999997</c:v>
                </c:pt>
                <c:pt idx="209">
                  <c:v>32.340000000000003</c:v>
                </c:pt>
                <c:pt idx="210">
                  <c:v>33.14</c:v>
                </c:pt>
                <c:pt idx="211">
                  <c:v>35.979999999999997</c:v>
                </c:pt>
                <c:pt idx="212">
                  <c:v>34.130000000000003</c:v>
                </c:pt>
                <c:pt idx="213">
                  <c:v>31.49</c:v>
                </c:pt>
                <c:pt idx="214">
                  <c:v>31.45</c:v>
                </c:pt>
                <c:pt idx="215">
                  <c:v>26.88</c:v>
                </c:pt>
                <c:pt idx="216">
                  <c:v>30.4</c:v>
                </c:pt>
                <c:pt idx="217">
                  <c:v>31.74</c:v>
                </c:pt>
                <c:pt idx="218">
                  <c:v>26.12</c:v>
                </c:pt>
                <c:pt idx="219">
                  <c:v>21.42</c:v>
                </c:pt>
                <c:pt idx="220">
                  <c:v>21.13</c:v>
                </c:pt>
                <c:pt idx="221">
                  <c:v>21.15</c:v>
                </c:pt>
                <c:pt idx="222">
                  <c:v>25.36</c:v>
                </c:pt>
                <c:pt idx="223">
                  <c:v>25.16</c:v>
                </c:pt>
                <c:pt idx="224">
                  <c:v>23.63</c:v>
                </c:pt>
                <c:pt idx="225">
                  <c:v>23.55</c:v>
                </c:pt>
                <c:pt idx="226">
                  <c:v>26.1</c:v>
                </c:pt>
                <c:pt idx="227">
                  <c:v>31.83</c:v>
                </c:pt>
                <c:pt idx="228">
                  <c:v>34.68</c:v>
                </c:pt>
                <c:pt idx="229">
                  <c:v>35.54</c:v>
                </c:pt>
                <c:pt idx="230">
                  <c:v>33.85</c:v>
                </c:pt>
                <c:pt idx="231">
                  <c:v>30.3</c:v>
                </c:pt>
                <c:pt idx="232">
                  <c:v>25.88</c:v>
                </c:pt>
                <c:pt idx="233">
                  <c:v>26.67</c:v>
                </c:pt>
                <c:pt idx="234">
                  <c:v>23.62</c:v>
                </c:pt>
                <c:pt idx="235">
                  <c:v>27.76</c:v>
                </c:pt>
                <c:pt idx="236">
                  <c:v>21.21</c:v>
                </c:pt>
                <c:pt idx="237">
                  <c:v>24.38</c:v>
                </c:pt>
                <c:pt idx="238">
                  <c:v>26.63</c:v>
                </c:pt>
                <c:pt idx="239">
                  <c:v>25.43</c:v>
                </c:pt>
                <c:pt idx="240">
                  <c:v>30.26</c:v>
                </c:pt>
                <c:pt idx="241">
                  <c:v>21.35</c:v>
                </c:pt>
                <c:pt idx="242">
                  <c:v>21.31</c:v>
                </c:pt>
                <c:pt idx="243">
                  <c:v>16.850000000000001</c:v>
                </c:pt>
                <c:pt idx="244">
                  <c:v>27.52</c:v>
                </c:pt>
                <c:pt idx="245">
                  <c:v>23.55</c:v>
                </c:pt>
                <c:pt idx="246">
                  <c:v>28.16</c:v>
                </c:pt>
                <c:pt idx="247">
                  <c:v>33.17</c:v>
                </c:pt>
                <c:pt idx="248">
                  <c:v>27.4</c:v>
                </c:pt>
                <c:pt idx="249">
                  <c:v>27.56</c:v>
                </c:pt>
                <c:pt idx="250">
                  <c:v>21.67</c:v>
                </c:pt>
                <c:pt idx="251">
                  <c:v>24.08</c:v>
                </c:pt>
                <c:pt idx="252">
                  <c:v>25.66</c:v>
                </c:pt>
                <c:pt idx="253">
                  <c:v>30.39</c:v>
                </c:pt>
                <c:pt idx="254">
                  <c:v>31.77</c:v>
                </c:pt>
                <c:pt idx="255">
                  <c:v>28.8</c:v>
                </c:pt>
                <c:pt idx="256">
                  <c:v>21.61</c:v>
                </c:pt>
                <c:pt idx="257">
                  <c:v>25.25</c:v>
                </c:pt>
                <c:pt idx="258">
                  <c:v>26.02</c:v>
                </c:pt>
                <c:pt idx="259">
                  <c:v>26.6</c:v>
                </c:pt>
                <c:pt idx="260">
                  <c:v>27.1</c:v>
                </c:pt>
                <c:pt idx="261">
                  <c:v>25.91</c:v>
                </c:pt>
                <c:pt idx="262">
                  <c:v>17.649999999999999</c:v>
                </c:pt>
                <c:pt idx="263">
                  <c:v>23.79</c:v>
                </c:pt>
                <c:pt idx="264">
                  <c:v>20.49</c:v>
                </c:pt>
                <c:pt idx="265">
                  <c:v>23.89</c:v>
                </c:pt>
                <c:pt idx="266">
                  <c:v>11.77</c:v>
                </c:pt>
                <c:pt idx="267">
                  <c:v>11.5</c:v>
                </c:pt>
                <c:pt idx="268">
                  <c:v>3.8039999999999998</c:v>
                </c:pt>
                <c:pt idx="269">
                  <c:v>11.79</c:v>
                </c:pt>
                <c:pt idx="270">
                  <c:v>15.07</c:v>
                </c:pt>
                <c:pt idx="271">
                  <c:v>21.58</c:v>
                </c:pt>
                <c:pt idx="272">
                  <c:v>22.7</c:v>
                </c:pt>
                <c:pt idx="273">
                  <c:v>22.83</c:v>
                </c:pt>
                <c:pt idx="274">
                  <c:v>19.88</c:v>
                </c:pt>
                <c:pt idx="275">
                  <c:v>22.16</c:v>
                </c:pt>
                <c:pt idx="276">
                  <c:v>23.69</c:v>
                </c:pt>
                <c:pt idx="277">
                  <c:v>20.32</c:v>
                </c:pt>
                <c:pt idx="278">
                  <c:v>23.01</c:v>
                </c:pt>
                <c:pt idx="279">
                  <c:v>23.37</c:v>
                </c:pt>
                <c:pt idx="280">
                  <c:v>24.15</c:v>
                </c:pt>
                <c:pt idx="281">
                  <c:v>8.81</c:v>
                </c:pt>
                <c:pt idx="282">
                  <c:v>7.4829999999999997</c:v>
                </c:pt>
                <c:pt idx="283">
                  <c:v>6.8840000000000003</c:v>
                </c:pt>
                <c:pt idx="284">
                  <c:v>4.7210000000000001</c:v>
                </c:pt>
                <c:pt idx="285">
                  <c:v>3.1520000000000001</c:v>
                </c:pt>
                <c:pt idx="286">
                  <c:v>1.8180000000000001</c:v>
                </c:pt>
                <c:pt idx="287">
                  <c:v>4.7930000000000001</c:v>
                </c:pt>
                <c:pt idx="288">
                  <c:v>3.6040000000000001</c:v>
                </c:pt>
                <c:pt idx="289">
                  <c:v>5.484</c:v>
                </c:pt>
                <c:pt idx="290">
                  <c:v>-1.5920000000000001</c:v>
                </c:pt>
                <c:pt idx="291">
                  <c:v>1.0469999999999999</c:v>
                </c:pt>
                <c:pt idx="292">
                  <c:v>1.9550000000000001</c:v>
                </c:pt>
                <c:pt idx="293">
                  <c:v>2.81</c:v>
                </c:pt>
                <c:pt idx="294">
                  <c:v>-0.04</c:v>
                </c:pt>
                <c:pt idx="295">
                  <c:v>-2.3239999999999998</c:v>
                </c:pt>
                <c:pt idx="296">
                  <c:v>-6.6829999999999998</c:v>
                </c:pt>
                <c:pt idx="297">
                  <c:v>-8.82</c:v>
                </c:pt>
                <c:pt idx="298">
                  <c:v>-5.0289999999999999</c:v>
                </c:pt>
                <c:pt idx="299">
                  <c:v>1.885</c:v>
                </c:pt>
                <c:pt idx="300">
                  <c:v>2.726</c:v>
                </c:pt>
                <c:pt idx="301">
                  <c:v>4.5389999999999997</c:v>
                </c:pt>
                <c:pt idx="302">
                  <c:v>5.4249999999999998</c:v>
                </c:pt>
                <c:pt idx="303">
                  <c:v>3.3210000000000002</c:v>
                </c:pt>
                <c:pt idx="304">
                  <c:v>3.96</c:v>
                </c:pt>
                <c:pt idx="305">
                  <c:v>7.8339999999999996</c:v>
                </c:pt>
                <c:pt idx="306">
                  <c:v>7.2320000000000002</c:v>
                </c:pt>
                <c:pt idx="307">
                  <c:v>2.5489999999999999</c:v>
                </c:pt>
                <c:pt idx="308">
                  <c:v>3.6739999999999999</c:v>
                </c:pt>
                <c:pt idx="309">
                  <c:v>2.0579999999999998</c:v>
                </c:pt>
                <c:pt idx="310">
                  <c:v>-2.8029999999999999</c:v>
                </c:pt>
                <c:pt idx="311">
                  <c:v>-5.61</c:v>
                </c:pt>
                <c:pt idx="312">
                  <c:v>-9.7899999999999991</c:v>
                </c:pt>
                <c:pt idx="313">
                  <c:v>-5.3540000000000001</c:v>
                </c:pt>
                <c:pt idx="314">
                  <c:v>-6.5579999999999998</c:v>
                </c:pt>
                <c:pt idx="315">
                  <c:v>-4.0270000000000001</c:v>
                </c:pt>
                <c:pt idx="316">
                  <c:v>-6.08</c:v>
                </c:pt>
                <c:pt idx="317">
                  <c:v>-3.8010000000000002</c:v>
                </c:pt>
                <c:pt idx="318">
                  <c:v>-2.395</c:v>
                </c:pt>
                <c:pt idx="319">
                  <c:v>-1.9910000000000001</c:v>
                </c:pt>
                <c:pt idx="320">
                  <c:v>-1.607</c:v>
                </c:pt>
                <c:pt idx="321">
                  <c:v>0.71199999999999997</c:v>
                </c:pt>
                <c:pt idx="322">
                  <c:v>-2.319</c:v>
                </c:pt>
                <c:pt idx="323">
                  <c:v>-3.718</c:v>
                </c:pt>
                <c:pt idx="324">
                  <c:v>-4.4880000000000004</c:v>
                </c:pt>
                <c:pt idx="325">
                  <c:v>-3.1640000000000001</c:v>
                </c:pt>
                <c:pt idx="326">
                  <c:v>-4.9939999999999998</c:v>
                </c:pt>
                <c:pt idx="327">
                  <c:v>-3.7280000000000002</c:v>
                </c:pt>
                <c:pt idx="328">
                  <c:v>-4.3470000000000004</c:v>
                </c:pt>
                <c:pt idx="329">
                  <c:v>-2.206</c:v>
                </c:pt>
                <c:pt idx="330">
                  <c:v>-1.9350000000000001</c:v>
                </c:pt>
                <c:pt idx="331">
                  <c:v>-2.4569999999999999</c:v>
                </c:pt>
                <c:pt idx="332">
                  <c:v>-0.36599999999999999</c:v>
                </c:pt>
                <c:pt idx="333">
                  <c:v>-2.7810000000000001</c:v>
                </c:pt>
                <c:pt idx="334">
                  <c:v>-3.6909999999999998</c:v>
                </c:pt>
                <c:pt idx="335">
                  <c:v>-4.5819999999999999</c:v>
                </c:pt>
                <c:pt idx="336">
                  <c:v>0.47199999999999998</c:v>
                </c:pt>
                <c:pt idx="337">
                  <c:v>-0.14499999999999999</c:v>
                </c:pt>
                <c:pt idx="338">
                  <c:v>1.1639999999999999</c:v>
                </c:pt>
                <c:pt idx="339">
                  <c:v>-0.44</c:v>
                </c:pt>
                <c:pt idx="340">
                  <c:v>1.76</c:v>
                </c:pt>
                <c:pt idx="341">
                  <c:v>0.14199999999999999</c:v>
                </c:pt>
                <c:pt idx="342">
                  <c:v>1.349</c:v>
                </c:pt>
                <c:pt idx="343">
                  <c:v>-0.12</c:v>
                </c:pt>
                <c:pt idx="344">
                  <c:v>-4.859</c:v>
                </c:pt>
                <c:pt idx="345">
                  <c:v>-5.0069999999999997</c:v>
                </c:pt>
                <c:pt idx="346">
                  <c:v>-5.4459999999999997</c:v>
                </c:pt>
                <c:pt idx="347">
                  <c:v>-6.59</c:v>
                </c:pt>
                <c:pt idx="348">
                  <c:v>-2.9039999999999999</c:v>
                </c:pt>
                <c:pt idx="349">
                  <c:v>-5.0010000000000003</c:v>
                </c:pt>
                <c:pt idx="350">
                  <c:v>-4.0640000000000001</c:v>
                </c:pt>
                <c:pt idx="351">
                  <c:v>-2.996</c:v>
                </c:pt>
                <c:pt idx="352">
                  <c:v>-3.7440000000000002</c:v>
                </c:pt>
                <c:pt idx="353">
                  <c:v>-3.1840000000000002</c:v>
                </c:pt>
                <c:pt idx="354">
                  <c:v>-1.5640000000000001</c:v>
                </c:pt>
                <c:pt idx="355">
                  <c:v>-3.9449999999999998</c:v>
                </c:pt>
                <c:pt idx="356">
                  <c:v>-9.32</c:v>
                </c:pt>
                <c:pt idx="357">
                  <c:v>-3.93</c:v>
                </c:pt>
                <c:pt idx="358">
                  <c:v>-7.7709999999999999</c:v>
                </c:pt>
                <c:pt idx="359">
                  <c:v>-5.2009999999999996</c:v>
                </c:pt>
                <c:pt idx="360">
                  <c:v>-3.536</c:v>
                </c:pt>
                <c:pt idx="361">
                  <c:v>-3.2850000000000001</c:v>
                </c:pt>
                <c:pt idx="362">
                  <c:v>-4.3780000000000001</c:v>
                </c:pt>
                <c:pt idx="363">
                  <c:v>-6.29</c:v>
                </c:pt>
                <c:pt idx="364">
                  <c:v>-6.0490000000000004</c:v>
                </c:pt>
                <c:pt idx="365">
                  <c:v>-2.2189999999999999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-7.2990000000000004</c:v>
                </c:pt>
                <c:pt idx="1">
                  <c:v>-10.44</c:v>
                </c:pt>
                <c:pt idx="2">
                  <c:v>-7.55</c:v>
                </c:pt>
                <c:pt idx="3">
                  <c:v>-11.35</c:v>
                </c:pt>
                <c:pt idx="4">
                  <c:v>-12.45</c:v>
                </c:pt>
                <c:pt idx="5">
                  <c:v>-9.73</c:v>
                </c:pt>
                <c:pt idx="6">
                  <c:v>-3.6949999999999998</c:v>
                </c:pt>
                <c:pt idx="7">
                  <c:v>-22.03</c:v>
                </c:pt>
                <c:pt idx="8">
                  <c:v>-22.09</c:v>
                </c:pt>
                <c:pt idx="9">
                  <c:v>-16.84</c:v>
                </c:pt>
                <c:pt idx="10">
                  <c:v>-10.44</c:v>
                </c:pt>
                <c:pt idx="11">
                  <c:v>-26.74</c:v>
                </c:pt>
                <c:pt idx="12">
                  <c:v>-29.95</c:v>
                </c:pt>
                <c:pt idx="13">
                  <c:v>-25.42</c:v>
                </c:pt>
                <c:pt idx="14">
                  <c:v>-23.47</c:v>
                </c:pt>
                <c:pt idx="15">
                  <c:v>-15.24</c:v>
                </c:pt>
                <c:pt idx="16">
                  <c:v>-20.13</c:v>
                </c:pt>
                <c:pt idx="17">
                  <c:v>-15.12</c:v>
                </c:pt>
                <c:pt idx="18">
                  <c:v>-7.7880000000000003</c:v>
                </c:pt>
                <c:pt idx="19">
                  <c:v>-6.6050000000000004</c:v>
                </c:pt>
                <c:pt idx="20">
                  <c:v>-7.8959999999999999</c:v>
                </c:pt>
                <c:pt idx="21">
                  <c:v>-8.2899999999999991</c:v>
                </c:pt>
                <c:pt idx="22">
                  <c:v>-6.3520000000000003</c:v>
                </c:pt>
                <c:pt idx="23">
                  <c:v>-11.82</c:v>
                </c:pt>
                <c:pt idx="24">
                  <c:v>-12.51</c:v>
                </c:pt>
                <c:pt idx="25">
                  <c:v>-8.08</c:v>
                </c:pt>
                <c:pt idx="26">
                  <c:v>-10.82</c:v>
                </c:pt>
                <c:pt idx="27">
                  <c:v>-12.12</c:v>
                </c:pt>
                <c:pt idx="28">
                  <c:v>-13.61</c:v>
                </c:pt>
                <c:pt idx="29">
                  <c:v>-14.14</c:v>
                </c:pt>
                <c:pt idx="30">
                  <c:v>-3.8220000000000001</c:v>
                </c:pt>
                <c:pt idx="31">
                  <c:v>-16.100000000000001</c:v>
                </c:pt>
                <c:pt idx="32">
                  <c:v>-19.850000000000001</c:v>
                </c:pt>
                <c:pt idx="33">
                  <c:v>-23.94</c:v>
                </c:pt>
                <c:pt idx="34">
                  <c:v>-20.420000000000002</c:v>
                </c:pt>
                <c:pt idx="35">
                  <c:v>-6.9249999999999998</c:v>
                </c:pt>
                <c:pt idx="36">
                  <c:v>-6.95</c:v>
                </c:pt>
                <c:pt idx="37">
                  <c:v>-11.44</c:v>
                </c:pt>
                <c:pt idx="38">
                  <c:v>-10.85</c:v>
                </c:pt>
                <c:pt idx="39">
                  <c:v>-17.09</c:v>
                </c:pt>
                <c:pt idx="40">
                  <c:v>-11.23</c:v>
                </c:pt>
                <c:pt idx="41">
                  <c:v>-9.9700000000000006</c:v>
                </c:pt>
                <c:pt idx="42">
                  <c:v>-12.1</c:v>
                </c:pt>
                <c:pt idx="43">
                  <c:v>-11.43</c:v>
                </c:pt>
                <c:pt idx="44">
                  <c:v>-9.89</c:v>
                </c:pt>
                <c:pt idx="45">
                  <c:v>-9.6999999999999993</c:v>
                </c:pt>
                <c:pt idx="46">
                  <c:v>-11.03</c:v>
                </c:pt>
                <c:pt idx="47">
                  <c:v>-12.87</c:v>
                </c:pt>
                <c:pt idx="48">
                  <c:v>-18.7</c:v>
                </c:pt>
                <c:pt idx="49">
                  <c:v>-18.77</c:v>
                </c:pt>
                <c:pt idx="50">
                  <c:v>-16.28</c:v>
                </c:pt>
                <c:pt idx="51">
                  <c:v>-15.75</c:v>
                </c:pt>
                <c:pt idx="52">
                  <c:v>-14.39</c:v>
                </c:pt>
                <c:pt idx="53">
                  <c:v>-9.65</c:v>
                </c:pt>
                <c:pt idx="54">
                  <c:v>-15.09</c:v>
                </c:pt>
                <c:pt idx="55">
                  <c:v>-16.61</c:v>
                </c:pt>
                <c:pt idx="56">
                  <c:v>-10.76</c:v>
                </c:pt>
                <c:pt idx="57">
                  <c:v>-10.65</c:v>
                </c:pt>
                <c:pt idx="58">
                  <c:v>-11.33</c:v>
                </c:pt>
                <c:pt idx="59">
                  <c:v>-10.94</c:v>
                </c:pt>
                <c:pt idx="60">
                  <c:v>-17.43</c:v>
                </c:pt>
                <c:pt idx="61">
                  <c:v>-8.2100000000000009</c:v>
                </c:pt>
                <c:pt idx="62">
                  <c:v>-10.16</c:v>
                </c:pt>
                <c:pt idx="63">
                  <c:v>-16.71</c:v>
                </c:pt>
                <c:pt idx="64">
                  <c:v>-11.26</c:v>
                </c:pt>
                <c:pt idx="65">
                  <c:v>-11.61</c:v>
                </c:pt>
                <c:pt idx="66">
                  <c:v>-15.88</c:v>
                </c:pt>
                <c:pt idx="67">
                  <c:v>-18.600000000000001</c:v>
                </c:pt>
                <c:pt idx="68">
                  <c:v>-21.06</c:v>
                </c:pt>
                <c:pt idx="69">
                  <c:v>-16.04</c:v>
                </c:pt>
                <c:pt idx="70">
                  <c:v>-18.170000000000002</c:v>
                </c:pt>
                <c:pt idx="71">
                  <c:v>-18.22</c:v>
                </c:pt>
                <c:pt idx="72">
                  <c:v>-15.49</c:v>
                </c:pt>
                <c:pt idx="73">
                  <c:v>-21.19</c:v>
                </c:pt>
                <c:pt idx="74">
                  <c:v>-22.08</c:v>
                </c:pt>
                <c:pt idx="75">
                  <c:v>-14.79</c:v>
                </c:pt>
                <c:pt idx="76">
                  <c:v>-10.27</c:v>
                </c:pt>
                <c:pt idx="77">
                  <c:v>-12.34</c:v>
                </c:pt>
                <c:pt idx="78">
                  <c:v>-14.68</c:v>
                </c:pt>
                <c:pt idx="79">
                  <c:v>-11.46</c:v>
                </c:pt>
                <c:pt idx="80">
                  <c:v>-13.03</c:v>
                </c:pt>
                <c:pt idx="81">
                  <c:v>-13.28</c:v>
                </c:pt>
                <c:pt idx="82">
                  <c:v>-13.28</c:v>
                </c:pt>
                <c:pt idx="83">
                  <c:v>-14.17</c:v>
                </c:pt>
                <c:pt idx="84">
                  <c:v>-16.09</c:v>
                </c:pt>
                <c:pt idx="85">
                  <c:v>-15.96</c:v>
                </c:pt>
                <c:pt idx="86">
                  <c:v>-6.8120000000000003</c:v>
                </c:pt>
                <c:pt idx="87">
                  <c:v>-7.4909999999999997</c:v>
                </c:pt>
                <c:pt idx="88">
                  <c:v>-6.8090000000000002</c:v>
                </c:pt>
                <c:pt idx="89">
                  <c:v>-12.02</c:v>
                </c:pt>
                <c:pt idx="90">
                  <c:v>-14.08</c:v>
                </c:pt>
                <c:pt idx="91">
                  <c:v>-20.51</c:v>
                </c:pt>
                <c:pt idx="92">
                  <c:v>-22.38</c:v>
                </c:pt>
                <c:pt idx="93">
                  <c:v>-19.760000000000002</c:v>
                </c:pt>
                <c:pt idx="94">
                  <c:v>-17.86</c:v>
                </c:pt>
                <c:pt idx="95">
                  <c:v>-14.7</c:v>
                </c:pt>
                <c:pt idx="96">
                  <c:v>-15.03</c:v>
                </c:pt>
                <c:pt idx="97">
                  <c:v>-8.84</c:v>
                </c:pt>
                <c:pt idx="98">
                  <c:v>-12.11</c:v>
                </c:pt>
                <c:pt idx="99">
                  <c:v>-6.4960000000000004</c:v>
                </c:pt>
                <c:pt idx="100">
                  <c:v>-3.302</c:v>
                </c:pt>
                <c:pt idx="101">
                  <c:v>-17.600000000000001</c:v>
                </c:pt>
                <c:pt idx="102">
                  <c:v>-19.34</c:v>
                </c:pt>
                <c:pt idx="103">
                  <c:v>-16.48</c:v>
                </c:pt>
                <c:pt idx="104">
                  <c:v>-4.1040000000000001</c:v>
                </c:pt>
                <c:pt idx="105">
                  <c:v>-10.58</c:v>
                </c:pt>
                <c:pt idx="106">
                  <c:v>-11.83</c:v>
                </c:pt>
                <c:pt idx="107">
                  <c:v>-6.4859999999999998</c:v>
                </c:pt>
                <c:pt idx="108">
                  <c:v>-3.3260000000000001</c:v>
                </c:pt>
                <c:pt idx="109">
                  <c:v>-2.742</c:v>
                </c:pt>
                <c:pt idx="110">
                  <c:v>-4.3140000000000001</c:v>
                </c:pt>
                <c:pt idx="111">
                  <c:v>-3.3980000000000001</c:v>
                </c:pt>
                <c:pt idx="112">
                  <c:v>-3.726</c:v>
                </c:pt>
                <c:pt idx="113">
                  <c:v>-5.3470000000000004</c:v>
                </c:pt>
                <c:pt idx="114">
                  <c:v>-6.1420000000000003</c:v>
                </c:pt>
                <c:pt idx="115">
                  <c:v>-4.7539999999999996</c:v>
                </c:pt>
                <c:pt idx="116">
                  <c:v>-7.3490000000000002</c:v>
                </c:pt>
                <c:pt idx="117">
                  <c:v>-6.2640000000000002</c:v>
                </c:pt>
                <c:pt idx="118">
                  <c:v>-8.0299999999999994</c:v>
                </c:pt>
                <c:pt idx="119">
                  <c:v>-0.42099999999999999</c:v>
                </c:pt>
                <c:pt idx="120">
                  <c:v>-5.0540000000000003</c:v>
                </c:pt>
                <c:pt idx="121">
                  <c:v>-4.7249999999999996</c:v>
                </c:pt>
                <c:pt idx="122">
                  <c:v>-4.01</c:v>
                </c:pt>
                <c:pt idx="123">
                  <c:v>-8.42</c:v>
                </c:pt>
                <c:pt idx="124">
                  <c:v>-10.89</c:v>
                </c:pt>
                <c:pt idx="125">
                  <c:v>-3.6139999999999999</c:v>
                </c:pt>
                <c:pt idx="126">
                  <c:v>-3.109</c:v>
                </c:pt>
                <c:pt idx="127">
                  <c:v>-4.7919999999999998</c:v>
                </c:pt>
                <c:pt idx="128">
                  <c:v>-5.9050000000000002</c:v>
                </c:pt>
                <c:pt idx="129">
                  <c:v>-1.3740000000000001</c:v>
                </c:pt>
                <c:pt idx="130">
                  <c:v>0.26800000000000002</c:v>
                </c:pt>
                <c:pt idx="131">
                  <c:v>-0.23200000000000001</c:v>
                </c:pt>
                <c:pt idx="132">
                  <c:v>8.4000000000000005E-2</c:v>
                </c:pt>
                <c:pt idx="133">
                  <c:v>-1.276</c:v>
                </c:pt>
                <c:pt idx="134">
                  <c:v>-1.286</c:v>
                </c:pt>
                <c:pt idx="135">
                  <c:v>-2.2989999999999999</c:v>
                </c:pt>
                <c:pt idx="136">
                  <c:v>-0.84899999999999998</c:v>
                </c:pt>
                <c:pt idx="137">
                  <c:v>2.9000000000000001E-2</c:v>
                </c:pt>
                <c:pt idx="138">
                  <c:v>-1.4059999999999999</c:v>
                </c:pt>
                <c:pt idx="139">
                  <c:v>-0.45600000000000002</c:v>
                </c:pt>
                <c:pt idx="140">
                  <c:v>0.11700000000000001</c:v>
                </c:pt>
                <c:pt idx="141">
                  <c:v>-1.917</c:v>
                </c:pt>
                <c:pt idx="142">
                  <c:v>-2.0920000000000001</c:v>
                </c:pt>
                <c:pt idx="143">
                  <c:v>-1.427</c:v>
                </c:pt>
                <c:pt idx="144">
                  <c:v>-2.3980000000000001</c:v>
                </c:pt>
                <c:pt idx="145">
                  <c:v>1.329</c:v>
                </c:pt>
                <c:pt idx="146">
                  <c:v>-0.28199999999999997</c:v>
                </c:pt>
                <c:pt idx="147">
                  <c:v>-2.3889999999999998</c:v>
                </c:pt>
                <c:pt idx="148">
                  <c:v>0.79500000000000004</c:v>
                </c:pt>
                <c:pt idx="149">
                  <c:v>2.7280000000000002</c:v>
                </c:pt>
                <c:pt idx="150">
                  <c:v>3.222</c:v>
                </c:pt>
                <c:pt idx="151">
                  <c:v>-2.3010000000000002</c:v>
                </c:pt>
                <c:pt idx="152">
                  <c:v>-2.097</c:v>
                </c:pt>
                <c:pt idx="153">
                  <c:v>-2.6019999999999999</c:v>
                </c:pt>
                <c:pt idx="154">
                  <c:v>-3.673</c:v>
                </c:pt>
                <c:pt idx="155">
                  <c:v>-2.4009999999999998</c:v>
                </c:pt>
                <c:pt idx="156">
                  <c:v>-0.433</c:v>
                </c:pt>
                <c:pt idx="157">
                  <c:v>-3.7440000000000002</c:v>
                </c:pt>
                <c:pt idx="158">
                  <c:v>-8.7999999999999995E-2</c:v>
                </c:pt>
                <c:pt idx="159">
                  <c:v>-2.1720000000000002</c:v>
                </c:pt>
                <c:pt idx="160">
                  <c:v>-3.3069999999999999</c:v>
                </c:pt>
                <c:pt idx="161">
                  <c:v>2.1459999999999999</c:v>
                </c:pt>
                <c:pt idx="162">
                  <c:v>2.6789999999999998</c:v>
                </c:pt>
                <c:pt idx="163">
                  <c:v>3.048</c:v>
                </c:pt>
                <c:pt idx="164">
                  <c:v>-0.38400000000000001</c:v>
                </c:pt>
                <c:pt idx="165">
                  <c:v>-1.653</c:v>
                </c:pt>
                <c:pt idx="166">
                  <c:v>-2.5289999999999999</c:v>
                </c:pt>
                <c:pt idx="167">
                  <c:v>0.57899999999999996</c:v>
                </c:pt>
                <c:pt idx="168">
                  <c:v>0.749</c:v>
                </c:pt>
                <c:pt idx="169">
                  <c:v>1.6879999999999999</c:v>
                </c:pt>
                <c:pt idx="170">
                  <c:v>4.2380000000000004</c:v>
                </c:pt>
                <c:pt idx="171">
                  <c:v>5.3490000000000002</c:v>
                </c:pt>
                <c:pt idx="172">
                  <c:v>4.6429999999999998</c:v>
                </c:pt>
                <c:pt idx="173">
                  <c:v>2.7530000000000001</c:v>
                </c:pt>
                <c:pt idx="174">
                  <c:v>7.2439999999999998</c:v>
                </c:pt>
                <c:pt idx="175">
                  <c:v>6.3979999999999997</c:v>
                </c:pt>
                <c:pt idx="176">
                  <c:v>4.7640000000000002</c:v>
                </c:pt>
                <c:pt idx="177">
                  <c:v>4.859</c:v>
                </c:pt>
                <c:pt idx="178">
                  <c:v>2.5259999999999998</c:v>
                </c:pt>
                <c:pt idx="179">
                  <c:v>1.978</c:v>
                </c:pt>
                <c:pt idx="180">
                  <c:v>3.0409999999999999</c:v>
                </c:pt>
                <c:pt idx="181">
                  <c:v>3.29</c:v>
                </c:pt>
                <c:pt idx="182">
                  <c:v>1.5149999999999999</c:v>
                </c:pt>
                <c:pt idx="183">
                  <c:v>2.4020000000000001</c:v>
                </c:pt>
                <c:pt idx="184">
                  <c:v>1.1200000000000001</c:v>
                </c:pt>
                <c:pt idx="185">
                  <c:v>0.81499999999999995</c:v>
                </c:pt>
                <c:pt idx="186">
                  <c:v>1.587</c:v>
                </c:pt>
                <c:pt idx="187">
                  <c:v>4.3079999999999998</c:v>
                </c:pt>
                <c:pt idx="188">
                  <c:v>1.38</c:v>
                </c:pt>
                <c:pt idx="189">
                  <c:v>2.0920000000000001</c:v>
                </c:pt>
                <c:pt idx="190">
                  <c:v>3.2309999999999999</c:v>
                </c:pt>
                <c:pt idx="191">
                  <c:v>2.653</c:v>
                </c:pt>
                <c:pt idx="192">
                  <c:v>4.1390000000000002</c:v>
                </c:pt>
                <c:pt idx="193">
                  <c:v>-0.27200000000000002</c:v>
                </c:pt>
                <c:pt idx="194">
                  <c:v>-0.73799999999999999</c:v>
                </c:pt>
                <c:pt idx="195">
                  <c:v>1.859</c:v>
                </c:pt>
                <c:pt idx="196">
                  <c:v>4.6180000000000003</c:v>
                </c:pt>
                <c:pt idx="197">
                  <c:v>5.7380000000000004</c:v>
                </c:pt>
                <c:pt idx="198">
                  <c:v>4.9450000000000003</c:v>
                </c:pt>
                <c:pt idx="199">
                  <c:v>3.677</c:v>
                </c:pt>
                <c:pt idx="200">
                  <c:v>5.907</c:v>
                </c:pt>
                <c:pt idx="201">
                  <c:v>4.6749999999999998</c:v>
                </c:pt>
                <c:pt idx="202">
                  <c:v>8.42</c:v>
                </c:pt>
                <c:pt idx="203">
                  <c:v>6.9379999999999997</c:v>
                </c:pt>
                <c:pt idx="204">
                  <c:v>6.0110000000000001</c:v>
                </c:pt>
                <c:pt idx="205">
                  <c:v>2.37</c:v>
                </c:pt>
                <c:pt idx="206">
                  <c:v>0.47499999999999998</c:v>
                </c:pt>
                <c:pt idx="207">
                  <c:v>4.641</c:v>
                </c:pt>
                <c:pt idx="208">
                  <c:v>8.1199999999999992</c:v>
                </c:pt>
                <c:pt idx="209">
                  <c:v>9.59</c:v>
                </c:pt>
                <c:pt idx="210">
                  <c:v>7.3490000000000002</c:v>
                </c:pt>
                <c:pt idx="211">
                  <c:v>10.210000000000001</c:v>
                </c:pt>
                <c:pt idx="212">
                  <c:v>11.21</c:v>
                </c:pt>
                <c:pt idx="213">
                  <c:v>9.9600000000000009</c:v>
                </c:pt>
                <c:pt idx="214">
                  <c:v>8.61</c:v>
                </c:pt>
                <c:pt idx="215">
                  <c:v>4.7089999999999996</c:v>
                </c:pt>
                <c:pt idx="216">
                  <c:v>4.2169999999999996</c:v>
                </c:pt>
                <c:pt idx="217">
                  <c:v>7.2489999999999997</c:v>
                </c:pt>
                <c:pt idx="218">
                  <c:v>1.7989999999999999</c:v>
                </c:pt>
                <c:pt idx="219">
                  <c:v>2.6240000000000001</c:v>
                </c:pt>
                <c:pt idx="220">
                  <c:v>4.0090000000000003</c:v>
                </c:pt>
                <c:pt idx="221">
                  <c:v>1.421</c:v>
                </c:pt>
                <c:pt idx="222">
                  <c:v>4.2009999999999996</c:v>
                </c:pt>
                <c:pt idx="223">
                  <c:v>1.32</c:v>
                </c:pt>
                <c:pt idx="224">
                  <c:v>-1.6359999999999999</c:v>
                </c:pt>
                <c:pt idx="225">
                  <c:v>-1.159</c:v>
                </c:pt>
                <c:pt idx="226">
                  <c:v>0.45200000000000001</c:v>
                </c:pt>
                <c:pt idx="227">
                  <c:v>5.423</c:v>
                </c:pt>
                <c:pt idx="228">
                  <c:v>9.51</c:v>
                </c:pt>
                <c:pt idx="229">
                  <c:v>10.68</c:v>
                </c:pt>
                <c:pt idx="230">
                  <c:v>8.6</c:v>
                </c:pt>
                <c:pt idx="231">
                  <c:v>7.4489999999999998</c:v>
                </c:pt>
                <c:pt idx="232">
                  <c:v>8.4</c:v>
                </c:pt>
                <c:pt idx="233">
                  <c:v>5.3959999999999999</c:v>
                </c:pt>
                <c:pt idx="234">
                  <c:v>1.5069999999999999</c:v>
                </c:pt>
                <c:pt idx="235">
                  <c:v>2.7160000000000002</c:v>
                </c:pt>
                <c:pt idx="236">
                  <c:v>5.335</c:v>
                </c:pt>
                <c:pt idx="237">
                  <c:v>3.028</c:v>
                </c:pt>
                <c:pt idx="238">
                  <c:v>0.69899999999999995</c:v>
                </c:pt>
                <c:pt idx="239">
                  <c:v>0.88800000000000001</c:v>
                </c:pt>
                <c:pt idx="240">
                  <c:v>2.96</c:v>
                </c:pt>
                <c:pt idx="241">
                  <c:v>0.314</c:v>
                </c:pt>
                <c:pt idx="242">
                  <c:v>-1.8859999999999999</c:v>
                </c:pt>
                <c:pt idx="243">
                  <c:v>2.0179999999999998</c:v>
                </c:pt>
                <c:pt idx="244">
                  <c:v>5.19</c:v>
                </c:pt>
                <c:pt idx="245">
                  <c:v>4.0049999999999999</c:v>
                </c:pt>
                <c:pt idx="246">
                  <c:v>3.0009999999999999</c:v>
                </c:pt>
                <c:pt idx="247">
                  <c:v>6.5960000000000001</c:v>
                </c:pt>
                <c:pt idx="248">
                  <c:v>8.2899999999999991</c:v>
                </c:pt>
                <c:pt idx="249">
                  <c:v>6.0149999999999997</c:v>
                </c:pt>
                <c:pt idx="250">
                  <c:v>-1.294</c:v>
                </c:pt>
                <c:pt idx="251">
                  <c:v>-2.6989999999999998</c:v>
                </c:pt>
                <c:pt idx="252">
                  <c:v>2.1040000000000001</c:v>
                </c:pt>
                <c:pt idx="253">
                  <c:v>4.24</c:v>
                </c:pt>
                <c:pt idx="254">
                  <c:v>6.383</c:v>
                </c:pt>
                <c:pt idx="255">
                  <c:v>6.71</c:v>
                </c:pt>
                <c:pt idx="256">
                  <c:v>4.1210000000000004</c:v>
                </c:pt>
                <c:pt idx="257">
                  <c:v>6.0949999999999998</c:v>
                </c:pt>
                <c:pt idx="258">
                  <c:v>4.9009999999999998</c:v>
                </c:pt>
                <c:pt idx="259">
                  <c:v>6.3920000000000003</c:v>
                </c:pt>
                <c:pt idx="260">
                  <c:v>6.1390000000000002</c:v>
                </c:pt>
                <c:pt idx="261">
                  <c:v>5.5709999999999997</c:v>
                </c:pt>
                <c:pt idx="262">
                  <c:v>3.4750000000000001</c:v>
                </c:pt>
                <c:pt idx="263">
                  <c:v>1.4990000000000001</c:v>
                </c:pt>
                <c:pt idx="264">
                  <c:v>-0.28799999999999998</c:v>
                </c:pt>
                <c:pt idx="265">
                  <c:v>2.0379999999999998</c:v>
                </c:pt>
                <c:pt idx="266">
                  <c:v>0.80500000000000005</c:v>
                </c:pt>
                <c:pt idx="267">
                  <c:v>-0.495</c:v>
                </c:pt>
                <c:pt idx="268">
                  <c:v>-0.79400000000000004</c:v>
                </c:pt>
                <c:pt idx="269">
                  <c:v>-0.68899999999999995</c:v>
                </c:pt>
                <c:pt idx="270">
                  <c:v>-2.0750000000000002</c:v>
                </c:pt>
                <c:pt idx="271">
                  <c:v>1.585</c:v>
                </c:pt>
                <c:pt idx="272">
                  <c:v>3.6549999999999998</c:v>
                </c:pt>
                <c:pt idx="273">
                  <c:v>3.915</c:v>
                </c:pt>
                <c:pt idx="274">
                  <c:v>5.391</c:v>
                </c:pt>
                <c:pt idx="275">
                  <c:v>5.2640000000000002</c:v>
                </c:pt>
                <c:pt idx="276">
                  <c:v>4.2220000000000004</c:v>
                </c:pt>
                <c:pt idx="277">
                  <c:v>1.9379999999999999</c:v>
                </c:pt>
                <c:pt idx="278">
                  <c:v>1.4490000000000001</c:v>
                </c:pt>
                <c:pt idx="279">
                  <c:v>5.0119999999999996</c:v>
                </c:pt>
                <c:pt idx="280">
                  <c:v>2.9319999999999999</c:v>
                </c:pt>
                <c:pt idx="281">
                  <c:v>1.847</c:v>
                </c:pt>
                <c:pt idx="282">
                  <c:v>2.218</c:v>
                </c:pt>
                <c:pt idx="283">
                  <c:v>-2.2879999999999998</c:v>
                </c:pt>
                <c:pt idx="284">
                  <c:v>-3.2</c:v>
                </c:pt>
                <c:pt idx="285">
                  <c:v>-6.1879999999999997</c:v>
                </c:pt>
                <c:pt idx="286">
                  <c:v>-3.84</c:v>
                </c:pt>
                <c:pt idx="287">
                  <c:v>-6.6219999999999999</c:v>
                </c:pt>
                <c:pt idx="288">
                  <c:v>-3.948</c:v>
                </c:pt>
                <c:pt idx="289">
                  <c:v>-2.8620000000000001</c:v>
                </c:pt>
                <c:pt idx="290">
                  <c:v>-5.0759999999999996</c:v>
                </c:pt>
                <c:pt idx="291">
                  <c:v>-4.6180000000000003</c:v>
                </c:pt>
                <c:pt idx="292">
                  <c:v>-4.0410000000000004</c:v>
                </c:pt>
                <c:pt idx="293">
                  <c:v>-6.35</c:v>
                </c:pt>
                <c:pt idx="294">
                  <c:v>-16.87</c:v>
                </c:pt>
                <c:pt idx="295">
                  <c:v>-16.670000000000002</c:v>
                </c:pt>
                <c:pt idx="296">
                  <c:v>-11.07</c:v>
                </c:pt>
                <c:pt idx="297">
                  <c:v>-14.24</c:v>
                </c:pt>
                <c:pt idx="298">
                  <c:v>-22.74</c:v>
                </c:pt>
                <c:pt idx="299">
                  <c:v>-8.58</c:v>
                </c:pt>
                <c:pt idx="300">
                  <c:v>-6.8609999999999998</c:v>
                </c:pt>
                <c:pt idx="301">
                  <c:v>1.0129999999999999</c:v>
                </c:pt>
                <c:pt idx="302">
                  <c:v>-1.2350000000000001</c:v>
                </c:pt>
                <c:pt idx="303">
                  <c:v>-7.7759999999999998</c:v>
                </c:pt>
                <c:pt idx="304">
                  <c:v>-11.28</c:v>
                </c:pt>
                <c:pt idx="305">
                  <c:v>-5.7430000000000003</c:v>
                </c:pt>
                <c:pt idx="306">
                  <c:v>-3.5350000000000001</c:v>
                </c:pt>
                <c:pt idx="307">
                  <c:v>-0.89100000000000001</c:v>
                </c:pt>
                <c:pt idx="308">
                  <c:v>-0.14599999999999999</c:v>
                </c:pt>
                <c:pt idx="309">
                  <c:v>-10.36</c:v>
                </c:pt>
                <c:pt idx="310">
                  <c:v>-11.41</c:v>
                </c:pt>
                <c:pt idx="311">
                  <c:v>-11.6</c:v>
                </c:pt>
                <c:pt idx="312">
                  <c:v>-16.23</c:v>
                </c:pt>
                <c:pt idx="313">
                  <c:v>-18.75</c:v>
                </c:pt>
                <c:pt idx="314">
                  <c:v>-9.17</c:v>
                </c:pt>
                <c:pt idx="315">
                  <c:v>-11.59</c:v>
                </c:pt>
                <c:pt idx="316">
                  <c:v>-9.8699999999999992</c:v>
                </c:pt>
                <c:pt idx="317">
                  <c:v>-8.59</c:v>
                </c:pt>
                <c:pt idx="318">
                  <c:v>-12.26</c:v>
                </c:pt>
                <c:pt idx="319">
                  <c:v>-12.35</c:v>
                </c:pt>
                <c:pt idx="320">
                  <c:v>-11.19</c:v>
                </c:pt>
                <c:pt idx="321">
                  <c:v>-3.7360000000000002</c:v>
                </c:pt>
                <c:pt idx="322">
                  <c:v>-8.18</c:v>
                </c:pt>
                <c:pt idx="323">
                  <c:v>-14.71</c:v>
                </c:pt>
                <c:pt idx="324">
                  <c:v>-12.53</c:v>
                </c:pt>
                <c:pt idx="325">
                  <c:v>-13.26</c:v>
                </c:pt>
                <c:pt idx="326">
                  <c:v>-9.27</c:v>
                </c:pt>
                <c:pt idx="327">
                  <c:v>-11.35</c:v>
                </c:pt>
                <c:pt idx="328">
                  <c:v>-10.67</c:v>
                </c:pt>
                <c:pt idx="329">
                  <c:v>-10.97</c:v>
                </c:pt>
                <c:pt idx="330">
                  <c:v>-12.6</c:v>
                </c:pt>
                <c:pt idx="331">
                  <c:v>-8.44</c:v>
                </c:pt>
                <c:pt idx="332">
                  <c:v>-12.8</c:v>
                </c:pt>
                <c:pt idx="333">
                  <c:v>-11.06</c:v>
                </c:pt>
                <c:pt idx="334">
                  <c:v>-12.85</c:v>
                </c:pt>
                <c:pt idx="335">
                  <c:v>-15.11</c:v>
                </c:pt>
                <c:pt idx="336">
                  <c:v>-12.22</c:v>
                </c:pt>
                <c:pt idx="337">
                  <c:v>-7.8220000000000001</c:v>
                </c:pt>
                <c:pt idx="338">
                  <c:v>-9.51</c:v>
                </c:pt>
                <c:pt idx="339">
                  <c:v>-8.8699999999999992</c:v>
                </c:pt>
                <c:pt idx="340">
                  <c:v>-9.93</c:v>
                </c:pt>
                <c:pt idx="341">
                  <c:v>-7.0860000000000003</c:v>
                </c:pt>
                <c:pt idx="342">
                  <c:v>-4.5149999999999997</c:v>
                </c:pt>
                <c:pt idx="343">
                  <c:v>-9.5</c:v>
                </c:pt>
                <c:pt idx="344">
                  <c:v>-14.7</c:v>
                </c:pt>
                <c:pt idx="345">
                  <c:v>-10.220000000000001</c:v>
                </c:pt>
                <c:pt idx="346">
                  <c:v>-10.15</c:v>
                </c:pt>
                <c:pt idx="347">
                  <c:v>-10.95</c:v>
                </c:pt>
                <c:pt idx="348">
                  <c:v>-9.67</c:v>
                </c:pt>
                <c:pt idx="349">
                  <c:v>-9.74</c:v>
                </c:pt>
                <c:pt idx="350">
                  <c:v>-6.3739999999999997</c:v>
                </c:pt>
                <c:pt idx="351">
                  <c:v>-8.69</c:v>
                </c:pt>
                <c:pt idx="352">
                  <c:v>-6.9569999999999999</c:v>
                </c:pt>
                <c:pt idx="353">
                  <c:v>-8.85</c:v>
                </c:pt>
                <c:pt idx="354">
                  <c:v>-8.81</c:v>
                </c:pt>
                <c:pt idx="355">
                  <c:v>-10.11</c:v>
                </c:pt>
                <c:pt idx="356">
                  <c:v>-17.559999999999999</c:v>
                </c:pt>
                <c:pt idx="357">
                  <c:v>-17.809999999999999</c:v>
                </c:pt>
                <c:pt idx="358">
                  <c:v>-14.77</c:v>
                </c:pt>
                <c:pt idx="359">
                  <c:v>-13.29</c:v>
                </c:pt>
                <c:pt idx="360">
                  <c:v>-12.31</c:v>
                </c:pt>
                <c:pt idx="361">
                  <c:v>-12.98</c:v>
                </c:pt>
                <c:pt idx="362">
                  <c:v>-16.62</c:v>
                </c:pt>
                <c:pt idx="363">
                  <c:v>-15.62</c:v>
                </c:pt>
                <c:pt idx="364">
                  <c:v>-10.94</c:v>
                </c:pt>
                <c:pt idx="365">
                  <c:v>-9.48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-3.4809999999999999</c:v>
                </c:pt>
                <c:pt idx="1">
                  <c:v>-8.33</c:v>
                </c:pt>
                <c:pt idx="2">
                  <c:v>-4.7439999999999998</c:v>
                </c:pt>
                <c:pt idx="3">
                  <c:v>-8.0500000000000007</c:v>
                </c:pt>
                <c:pt idx="4">
                  <c:v>-8.57</c:v>
                </c:pt>
                <c:pt idx="5">
                  <c:v>-6.85</c:v>
                </c:pt>
                <c:pt idx="6">
                  <c:v>-2.6989999999999998</c:v>
                </c:pt>
                <c:pt idx="7">
                  <c:v>-9.94</c:v>
                </c:pt>
                <c:pt idx="8">
                  <c:v>-15.06</c:v>
                </c:pt>
                <c:pt idx="9">
                  <c:v>-11.69</c:v>
                </c:pt>
                <c:pt idx="10">
                  <c:v>-7.883</c:v>
                </c:pt>
                <c:pt idx="11">
                  <c:v>-12.66</c:v>
                </c:pt>
                <c:pt idx="12">
                  <c:v>-24.26</c:v>
                </c:pt>
                <c:pt idx="13">
                  <c:v>-21.03</c:v>
                </c:pt>
                <c:pt idx="14">
                  <c:v>-16.940000000000001</c:v>
                </c:pt>
                <c:pt idx="15">
                  <c:v>-9.73</c:v>
                </c:pt>
                <c:pt idx="16">
                  <c:v>-13.42</c:v>
                </c:pt>
                <c:pt idx="17">
                  <c:v>-9.5299999999999994</c:v>
                </c:pt>
                <c:pt idx="18">
                  <c:v>-4.9459999999999997</c:v>
                </c:pt>
                <c:pt idx="19">
                  <c:v>-4.0730000000000004</c:v>
                </c:pt>
                <c:pt idx="20">
                  <c:v>-5.1050000000000004</c:v>
                </c:pt>
                <c:pt idx="21">
                  <c:v>-5.3440000000000003</c:v>
                </c:pt>
                <c:pt idx="22">
                  <c:v>-3.1240000000000001</c:v>
                </c:pt>
                <c:pt idx="23">
                  <c:v>-3.0110000000000001</c:v>
                </c:pt>
                <c:pt idx="24">
                  <c:v>-6.4980000000000002</c:v>
                </c:pt>
                <c:pt idx="25">
                  <c:v>-4.3929999999999998</c:v>
                </c:pt>
                <c:pt idx="26">
                  <c:v>-5.8109999999999999</c:v>
                </c:pt>
                <c:pt idx="27">
                  <c:v>-6.5750000000000002</c:v>
                </c:pt>
                <c:pt idx="28">
                  <c:v>-6.8710000000000004</c:v>
                </c:pt>
                <c:pt idx="29">
                  <c:v>-7.7409999999999997</c:v>
                </c:pt>
                <c:pt idx="30">
                  <c:v>-1.1120000000000001</c:v>
                </c:pt>
                <c:pt idx="31">
                  <c:v>-5.5620000000000003</c:v>
                </c:pt>
                <c:pt idx="32">
                  <c:v>-13.76</c:v>
                </c:pt>
                <c:pt idx="33">
                  <c:v>-15.11</c:v>
                </c:pt>
                <c:pt idx="34">
                  <c:v>-11.92</c:v>
                </c:pt>
                <c:pt idx="35">
                  <c:v>-4.5179999999999998</c:v>
                </c:pt>
                <c:pt idx="36">
                  <c:v>-4.6630000000000003</c:v>
                </c:pt>
                <c:pt idx="37">
                  <c:v>-6.923</c:v>
                </c:pt>
                <c:pt idx="38">
                  <c:v>-8.2799999999999994</c:v>
                </c:pt>
                <c:pt idx="39">
                  <c:v>-8.19</c:v>
                </c:pt>
                <c:pt idx="40">
                  <c:v>-6.9480000000000004</c:v>
                </c:pt>
                <c:pt idx="41">
                  <c:v>-5.4290000000000003</c:v>
                </c:pt>
                <c:pt idx="42">
                  <c:v>-7.7220000000000004</c:v>
                </c:pt>
                <c:pt idx="43">
                  <c:v>-7.3739999999999997</c:v>
                </c:pt>
                <c:pt idx="44">
                  <c:v>-7.4580000000000002</c:v>
                </c:pt>
                <c:pt idx="45">
                  <c:v>-6.3339999999999996</c:v>
                </c:pt>
                <c:pt idx="46">
                  <c:v>-8.16</c:v>
                </c:pt>
                <c:pt idx="47">
                  <c:v>-9.51</c:v>
                </c:pt>
                <c:pt idx="48">
                  <c:v>-12.19</c:v>
                </c:pt>
                <c:pt idx="49">
                  <c:v>-11.57</c:v>
                </c:pt>
                <c:pt idx="50">
                  <c:v>-10.31</c:v>
                </c:pt>
                <c:pt idx="51">
                  <c:v>-7.44</c:v>
                </c:pt>
                <c:pt idx="52">
                  <c:v>-7.2690000000000001</c:v>
                </c:pt>
                <c:pt idx="53">
                  <c:v>-6.6109999999999998</c:v>
                </c:pt>
                <c:pt idx="54">
                  <c:v>-8.16</c:v>
                </c:pt>
                <c:pt idx="55">
                  <c:v>-8.02</c:v>
                </c:pt>
                <c:pt idx="56">
                  <c:v>-4.6970000000000001</c:v>
                </c:pt>
                <c:pt idx="57">
                  <c:v>-3.12</c:v>
                </c:pt>
                <c:pt idx="58">
                  <c:v>-4.8620000000000001</c:v>
                </c:pt>
                <c:pt idx="59">
                  <c:v>-7.61</c:v>
                </c:pt>
                <c:pt idx="60">
                  <c:v>-8.91</c:v>
                </c:pt>
                <c:pt idx="61">
                  <c:v>-4.1520000000000001</c:v>
                </c:pt>
                <c:pt idx="62">
                  <c:v>-4.2169999999999996</c:v>
                </c:pt>
                <c:pt idx="63">
                  <c:v>-8.8000000000000007</c:v>
                </c:pt>
                <c:pt idx="64">
                  <c:v>-5.8659999999999997</c:v>
                </c:pt>
                <c:pt idx="65">
                  <c:v>-4.673</c:v>
                </c:pt>
                <c:pt idx="66">
                  <c:v>-7.03</c:v>
                </c:pt>
                <c:pt idx="67">
                  <c:v>-11.18</c:v>
                </c:pt>
                <c:pt idx="68">
                  <c:v>-13.31</c:v>
                </c:pt>
                <c:pt idx="69">
                  <c:v>-7.08</c:v>
                </c:pt>
                <c:pt idx="70">
                  <c:v>-7.2140000000000004</c:v>
                </c:pt>
                <c:pt idx="71">
                  <c:v>-10.34</c:v>
                </c:pt>
                <c:pt idx="72">
                  <c:v>-11.68</c:v>
                </c:pt>
                <c:pt idx="73">
                  <c:v>-16.8</c:v>
                </c:pt>
                <c:pt idx="74">
                  <c:v>-14.55</c:v>
                </c:pt>
                <c:pt idx="75">
                  <c:v>-6.3470000000000004</c:v>
                </c:pt>
                <c:pt idx="76">
                  <c:v>-4.75</c:v>
                </c:pt>
                <c:pt idx="77">
                  <c:v>-5.3310000000000004</c:v>
                </c:pt>
                <c:pt idx="78">
                  <c:v>-5.1349999999999998</c:v>
                </c:pt>
                <c:pt idx="79">
                  <c:v>-4.1289999999999996</c:v>
                </c:pt>
                <c:pt idx="80">
                  <c:v>-5.6740000000000004</c:v>
                </c:pt>
                <c:pt idx="81">
                  <c:v>-5.7610000000000001</c:v>
                </c:pt>
                <c:pt idx="82">
                  <c:v>-7.3079999999999998</c:v>
                </c:pt>
                <c:pt idx="83">
                  <c:v>-8.27</c:v>
                </c:pt>
                <c:pt idx="84">
                  <c:v>-9.43</c:v>
                </c:pt>
                <c:pt idx="85">
                  <c:v>-7.4989999999999997</c:v>
                </c:pt>
                <c:pt idx="86">
                  <c:v>-3.9660000000000002</c:v>
                </c:pt>
                <c:pt idx="87">
                  <c:v>-2.125</c:v>
                </c:pt>
                <c:pt idx="88">
                  <c:v>-2.1309999999999998</c:v>
                </c:pt>
                <c:pt idx="89">
                  <c:v>-5.9820000000000002</c:v>
                </c:pt>
                <c:pt idx="90">
                  <c:v>-8.6199999999999992</c:v>
                </c:pt>
                <c:pt idx="91">
                  <c:v>-11.83</c:v>
                </c:pt>
                <c:pt idx="92">
                  <c:v>-10.89</c:v>
                </c:pt>
                <c:pt idx="93">
                  <c:v>-9.93</c:v>
                </c:pt>
                <c:pt idx="94">
                  <c:v>-10.51</c:v>
                </c:pt>
                <c:pt idx="95">
                  <c:v>-6.6</c:v>
                </c:pt>
                <c:pt idx="96">
                  <c:v>-4.7430000000000003</c:v>
                </c:pt>
                <c:pt idx="97">
                  <c:v>-2.79</c:v>
                </c:pt>
                <c:pt idx="98">
                  <c:v>-2.5960000000000001</c:v>
                </c:pt>
                <c:pt idx="99">
                  <c:v>1.355</c:v>
                </c:pt>
                <c:pt idx="100">
                  <c:v>1.006</c:v>
                </c:pt>
                <c:pt idx="101">
                  <c:v>-7.7489999999999997</c:v>
                </c:pt>
                <c:pt idx="102">
                  <c:v>-10.09</c:v>
                </c:pt>
                <c:pt idx="103">
                  <c:v>-5.8630000000000004</c:v>
                </c:pt>
                <c:pt idx="104">
                  <c:v>-1.1819999999999999</c:v>
                </c:pt>
                <c:pt idx="105">
                  <c:v>-1.7929999999999999</c:v>
                </c:pt>
                <c:pt idx="106">
                  <c:v>-2.153</c:v>
                </c:pt>
                <c:pt idx="107">
                  <c:v>-0.71899999999999997</c:v>
                </c:pt>
                <c:pt idx="108">
                  <c:v>0.502</c:v>
                </c:pt>
                <c:pt idx="109">
                  <c:v>1.665</c:v>
                </c:pt>
                <c:pt idx="110">
                  <c:v>2.3290000000000002</c:v>
                </c:pt>
                <c:pt idx="111">
                  <c:v>0.51700000000000002</c:v>
                </c:pt>
                <c:pt idx="112">
                  <c:v>-0.21299999999999999</c:v>
                </c:pt>
                <c:pt idx="113">
                  <c:v>-0.67900000000000005</c:v>
                </c:pt>
                <c:pt idx="114">
                  <c:v>0.34300000000000003</c:v>
                </c:pt>
                <c:pt idx="115">
                  <c:v>-0.64500000000000002</c:v>
                </c:pt>
                <c:pt idx="116">
                  <c:v>-0.32500000000000001</c:v>
                </c:pt>
                <c:pt idx="117">
                  <c:v>-0.53600000000000003</c:v>
                </c:pt>
                <c:pt idx="118">
                  <c:v>-0.41899999999999998</c:v>
                </c:pt>
                <c:pt idx="119">
                  <c:v>2.9950000000000001</c:v>
                </c:pt>
                <c:pt idx="120">
                  <c:v>1.1890000000000001</c:v>
                </c:pt>
                <c:pt idx="121">
                  <c:v>0.46600000000000003</c:v>
                </c:pt>
                <c:pt idx="122">
                  <c:v>0.72899999999999998</c:v>
                </c:pt>
                <c:pt idx="123">
                  <c:v>-2.7989999999999999</c:v>
                </c:pt>
                <c:pt idx="124">
                  <c:v>-1.28</c:v>
                </c:pt>
                <c:pt idx="125">
                  <c:v>1.83</c:v>
                </c:pt>
                <c:pt idx="126">
                  <c:v>-0.79300000000000004</c:v>
                </c:pt>
                <c:pt idx="127">
                  <c:v>0.26900000000000002</c:v>
                </c:pt>
                <c:pt idx="128">
                  <c:v>2.7850000000000001</c:v>
                </c:pt>
                <c:pt idx="129">
                  <c:v>4.4459999999999997</c:v>
                </c:pt>
                <c:pt idx="130">
                  <c:v>4.5670000000000002</c:v>
                </c:pt>
                <c:pt idx="131">
                  <c:v>4.0419999999999998</c:v>
                </c:pt>
                <c:pt idx="132">
                  <c:v>2.1240000000000001</c:v>
                </c:pt>
                <c:pt idx="133">
                  <c:v>2.194</c:v>
                </c:pt>
                <c:pt idx="134">
                  <c:v>1.881</c:v>
                </c:pt>
                <c:pt idx="135">
                  <c:v>2.1150000000000002</c:v>
                </c:pt>
                <c:pt idx="136">
                  <c:v>1.7070000000000001</c:v>
                </c:pt>
                <c:pt idx="137">
                  <c:v>1.853</c:v>
                </c:pt>
                <c:pt idx="138">
                  <c:v>2.7029999999999998</c:v>
                </c:pt>
                <c:pt idx="139">
                  <c:v>4.03</c:v>
                </c:pt>
                <c:pt idx="140">
                  <c:v>3.194</c:v>
                </c:pt>
                <c:pt idx="141">
                  <c:v>0.124</c:v>
                </c:pt>
                <c:pt idx="142">
                  <c:v>-0.89800000000000002</c:v>
                </c:pt>
                <c:pt idx="143">
                  <c:v>1.8169999999999999</c:v>
                </c:pt>
                <c:pt idx="144">
                  <c:v>2.9430000000000001</c:v>
                </c:pt>
                <c:pt idx="145">
                  <c:v>2.6219999999999999</c:v>
                </c:pt>
                <c:pt idx="146">
                  <c:v>2.7949999999999999</c:v>
                </c:pt>
                <c:pt idx="147">
                  <c:v>3.35</c:v>
                </c:pt>
                <c:pt idx="148">
                  <c:v>5.7489999999999997</c:v>
                </c:pt>
                <c:pt idx="149">
                  <c:v>7.6829999999999998</c:v>
                </c:pt>
                <c:pt idx="150">
                  <c:v>6.2859999999999996</c:v>
                </c:pt>
                <c:pt idx="151">
                  <c:v>1.4430000000000001</c:v>
                </c:pt>
                <c:pt idx="152">
                  <c:v>2.6949999999999998</c:v>
                </c:pt>
                <c:pt idx="153">
                  <c:v>2.0840000000000001</c:v>
                </c:pt>
                <c:pt idx="154">
                  <c:v>3.2709999999999999</c:v>
                </c:pt>
                <c:pt idx="155">
                  <c:v>3.66</c:v>
                </c:pt>
                <c:pt idx="156">
                  <c:v>5.59</c:v>
                </c:pt>
                <c:pt idx="157">
                  <c:v>3.5920000000000001</c:v>
                </c:pt>
                <c:pt idx="158">
                  <c:v>4.3029999999999999</c:v>
                </c:pt>
                <c:pt idx="159">
                  <c:v>5.3369999999999997</c:v>
                </c:pt>
                <c:pt idx="160">
                  <c:v>1.6539999999999999</c:v>
                </c:pt>
                <c:pt idx="161">
                  <c:v>9</c:v>
                </c:pt>
                <c:pt idx="162">
                  <c:v>8.7200000000000006</c:v>
                </c:pt>
                <c:pt idx="163">
                  <c:v>10.01</c:v>
                </c:pt>
                <c:pt idx="164">
                  <c:v>1.38</c:v>
                </c:pt>
                <c:pt idx="165">
                  <c:v>0.248</c:v>
                </c:pt>
                <c:pt idx="166">
                  <c:v>3.88</c:v>
                </c:pt>
                <c:pt idx="167">
                  <c:v>7.3769999999999998</c:v>
                </c:pt>
                <c:pt idx="168">
                  <c:v>9.76</c:v>
                </c:pt>
                <c:pt idx="169">
                  <c:v>12.65</c:v>
                </c:pt>
                <c:pt idx="170">
                  <c:v>14.5</c:v>
                </c:pt>
                <c:pt idx="171">
                  <c:v>10.87</c:v>
                </c:pt>
                <c:pt idx="172">
                  <c:v>13.08</c:v>
                </c:pt>
                <c:pt idx="173">
                  <c:v>14.16</c:v>
                </c:pt>
                <c:pt idx="174">
                  <c:v>14.12</c:v>
                </c:pt>
                <c:pt idx="175">
                  <c:v>11.84</c:v>
                </c:pt>
                <c:pt idx="176">
                  <c:v>15.4</c:v>
                </c:pt>
                <c:pt idx="177">
                  <c:v>12.73</c:v>
                </c:pt>
                <c:pt idx="178">
                  <c:v>7.99</c:v>
                </c:pt>
                <c:pt idx="179">
                  <c:v>5.319</c:v>
                </c:pt>
                <c:pt idx="180">
                  <c:v>11.09</c:v>
                </c:pt>
                <c:pt idx="181">
                  <c:v>6.8970000000000002</c:v>
                </c:pt>
                <c:pt idx="182">
                  <c:v>4.3780000000000001</c:v>
                </c:pt>
                <c:pt idx="183">
                  <c:v>7.7030000000000003</c:v>
                </c:pt>
                <c:pt idx="184">
                  <c:v>7.7069999999999999</c:v>
                </c:pt>
                <c:pt idx="185">
                  <c:v>9.08</c:v>
                </c:pt>
                <c:pt idx="186">
                  <c:v>11.46</c:v>
                </c:pt>
                <c:pt idx="187">
                  <c:v>11.94</c:v>
                </c:pt>
                <c:pt idx="188">
                  <c:v>6.4279999999999999</c:v>
                </c:pt>
                <c:pt idx="189">
                  <c:v>9.92</c:v>
                </c:pt>
                <c:pt idx="190">
                  <c:v>8.1199999999999992</c:v>
                </c:pt>
                <c:pt idx="191">
                  <c:v>11.62</c:v>
                </c:pt>
                <c:pt idx="192">
                  <c:v>11.08</c:v>
                </c:pt>
                <c:pt idx="193">
                  <c:v>6.6929999999999996</c:v>
                </c:pt>
                <c:pt idx="194">
                  <c:v>7.9610000000000003</c:v>
                </c:pt>
                <c:pt idx="195">
                  <c:v>11.95</c:v>
                </c:pt>
                <c:pt idx="196">
                  <c:v>13.36</c:v>
                </c:pt>
                <c:pt idx="197">
                  <c:v>11.67</c:v>
                </c:pt>
                <c:pt idx="198">
                  <c:v>10.97</c:v>
                </c:pt>
                <c:pt idx="199">
                  <c:v>12.86</c:v>
                </c:pt>
                <c:pt idx="200">
                  <c:v>14.03</c:v>
                </c:pt>
                <c:pt idx="201">
                  <c:v>14.99</c:v>
                </c:pt>
                <c:pt idx="202">
                  <c:v>18.02</c:v>
                </c:pt>
                <c:pt idx="203">
                  <c:v>16.02</c:v>
                </c:pt>
                <c:pt idx="204">
                  <c:v>13.56</c:v>
                </c:pt>
                <c:pt idx="205">
                  <c:v>8.9700000000000006</c:v>
                </c:pt>
                <c:pt idx="206">
                  <c:v>11.06</c:v>
                </c:pt>
                <c:pt idx="207">
                  <c:v>14.8</c:v>
                </c:pt>
                <c:pt idx="208">
                  <c:v>19.22</c:v>
                </c:pt>
                <c:pt idx="209">
                  <c:v>18.64</c:v>
                </c:pt>
                <c:pt idx="210">
                  <c:v>18.82</c:v>
                </c:pt>
                <c:pt idx="211">
                  <c:v>20.57</c:v>
                </c:pt>
                <c:pt idx="212">
                  <c:v>19.91</c:v>
                </c:pt>
                <c:pt idx="213">
                  <c:v>19.11</c:v>
                </c:pt>
                <c:pt idx="214">
                  <c:v>17.12</c:v>
                </c:pt>
                <c:pt idx="215">
                  <c:v>13.29</c:v>
                </c:pt>
                <c:pt idx="216">
                  <c:v>15.8</c:v>
                </c:pt>
                <c:pt idx="217">
                  <c:v>17.03</c:v>
                </c:pt>
                <c:pt idx="218">
                  <c:v>9.01</c:v>
                </c:pt>
                <c:pt idx="219">
                  <c:v>7.7850000000000001</c:v>
                </c:pt>
                <c:pt idx="220">
                  <c:v>9.34</c:v>
                </c:pt>
                <c:pt idx="221">
                  <c:v>10.039999999999999</c:v>
                </c:pt>
                <c:pt idx="222">
                  <c:v>12.18</c:v>
                </c:pt>
                <c:pt idx="223">
                  <c:v>10.6</c:v>
                </c:pt>
                <c:pt idx="224">
                  <c:v>7.7539999999999996</c:v>
                </c:pt>
                <c:pt idx="225">
                  <c:v>8.32</c:v>
                </c:pt>
                <c:pt idx="226">
                  <c:v>11.93</c:v>
                </c:pt>
                <c:pt idx="227">
                  <c:v>16.670000000000002</c:v>
                </c:pt>
                <c:pt idx="228">
                  <c:v>19.38</c:v>
                </c:pt>
                <c:pt idx="229">
                  <c:v>20.02</c:v>
                </c:pt>
                <c:pt idx="230">
                  <c:v>18.399999999999999</c:v>
                </c:pt>
                <c:pt idx="231">
                  <c:v>15.3</c:v>
                </c:pt>
                <c:pt idx="232">
                  <c:v>13.84</c:v>
                </c:pt>
                <c:pt idx="233">
                  <c:v>12.17</c:v>
                </c:pt>
                <c:pt idx="234">
                  <c:v>10.41</c:v>
                </c:pt>
                <c:pt idx="235">
                  <c:v>12.23</c:v>
                </c:pt>
                <c:pt idx="236">
                  <c:v>9.89</c:v>
                </c:pt>
                <c:pt idx="237">
                  <c:v>10.71</c:v>
                </c:pt>
                <c:pt idx="238">
                  <c:v>11.13</c:v>
                </c:pt>
                <c:pt idx="239">
                  <c:v>10.84</c:v>
                </c:pt>
                <c:pt idx="240">
                  <c:v>13.9</c:v>
                </c:pt>
                <c:pt idx="241">
                  <c:v>7.851</c:v>
                </c:pt>
                <c:pt idx="242">
                  <c:v>6.1989999999999998</c:v>
                </c:pt>
                <c:pt idx="243">
                  <c:v>6.7519999999999998</c:v>
                </c:pt>
                <c:pt idx="244">
                  <c:v>13.8</c:v>
                </c:pt>
                <c:pt idx="245">
                  <c:v>11.56</c:v>
                </c:pt>
                <c:pt idx="246">
                  <c:v>13.53</c:v>
                </c:pt>
                <c:pt idx="247">
                  <c:v>16.59</c:v>
                </c:pt>
                <c:pt idx="248">
                  <c:v>15.61</c:v>
                </c:pt>
                <c:pt idx="249">
                  <c:v>14.46</c:v>
                </c:pt>
                <c:pt idx="250">
                  <c:v>7.5990000000000002</c:v>
                </c:pt>
                <c:pt idx="251">
                  <c:v>7.7329999999999997</c:v>
                </c:pt>
                <c:pt idx="252">
                  <c:v>11.93</c:v>
                </c:pt>
                <c:pt idx="253">
                  <c:v>14.05</c:v>
                </c:pt>
                <c:pt idx="254">
                  <c:v>16.32</c:v>
                </c:pt>
                <c:pt idx="255">
                  <c:v>14.17</c:v>
                </c:pt>
                <c:pt idx="256">
                  <c:v>10.36</c:v>
                </c:pt>
                <c:pt idx="257">
                  <c:v>11.5</c:v>
                </c:pt>
                <c:pt idx="258">
                  <c:v>13.13</c:v>
                </c:pt>
                <c:pt idx="259">
                  <c:v>14.13</c:v>
                </c:pt>
                <c:pt idx="260">
                  <c:v>13.95</c:v>
                </c:pt>
                <c:pt idx="261">
                  <c:v>13.07</c:v>
                </c:pt>
                <c:pt idx="262">
                  <c:v>8.1300000000000008</c:v>
                </c:pt>
                <c:pt idx="263">
                  <c:v>8.48</c:v>
                </c:pt>
                <c:pt idx="264">
                  <c:v>6.931</c:v>
                </c:pt>
                <c:pt idx="265">
                  <c:v>9.42</c:v>
                </c:pt>
                <c:pt idx="266">
                  <c:v>6.26</c:v>
                </c:pt>
                <c:pt idx="267">
                  <c:v>3.15</c:v>
                </c:pt>
                <c:pt idx="268">
                  <c:v>1.252</c:v>
                </c:pt>
                <c:pt idx="269">
                  <c:v>1.599</c:v>
                </c:pt>
                <c:pt idx="270">
                  <c:v>4.4089999999999998</c:v>
                </c:pt>
                <c:pt idx="271">
                  <c:v>9.58</c:v>
                </c:pt>
                <c:pt idx="272">
                  <c:v>11.02</c:v>
                </c:pt>
                <c:pt idx="273">
                  <c:v>10.84</c:v>
                </c:pt>
                <c:pt idx="274">
                  <c:v>11.04</c:v>
                </c:pt>
                <c:pt idx="275">
                  <c:v>11.91</c:v>
                </c:pt>
                <c:pt idx="276">
                  <c:v>11.29</c:v>
                </c:pt>
                <c:pt idx="277">
                  <c:v>7.9379999999999997</c:v>
                </c:pt>
                <c:pt idx="278">
                  <c:v>9.2799999999999994</c:v>
                </c:pt>
                <c:pt idx="279">
                  <c:v>10.89</c:v>
                </c:pt>
                <c:pt idx="280">
                  <c:v>10.02</c:v>
                </c:pt>
                <c:pt idx="281">
                  <c:v>5.875</c:v>
                </c:pt>
                <c:pt idx="282">
                  <c:v>4.9690000000000003</c:v>
                </c:pt>
                <c:pt idx="283">
                  <c:v>2.37</c:v>
                </c:pt>
                <c:pt idx="284">
                  <c:v>-0.90500000000000003</c:v>
                </c:pt>
                <c:pt idx="285">
                  <c:v>-2.2810000000000001</c:v>
                </c:pt>
                <c:pt idx="286">
                  <c:v>-2.1659999999999999</c:v>
                </c:pt>
                <c:pt idx="287">
                  <c:v>-2.3959999999999999</c:v>
                </c:pt>
                <c:pt idx="288">
                  <c:v>-1.7729999999999999</c:v>
                </c:pt>
                <c:pt idx="289">
                  <c:v>1.0469999999999999</c:v>
                </c:pt>
                <c:pt idx="290">
                  <c:v>-3.8519999999999999</c:v>
                </c:pt>
                <c:pt idx="291">
                  <c:v>-1.0920000000000001</c:v>
                </c:pt>
                <c:pt idx="292">
                  <c:v>-0.50800000000000001</c:v>
                </c:pt>
                <c:pt idx="293">
                  <c:v>-3.407</c:v>
                </c:pt>
                <c:pt idx="294">
                  <c:v>-7.6589999999999998</c:v>
                </c:pt>
                <c:pt idx="295">
                  <c:v>-11.05</c:v>
                </c:pt>
                <c:pt idx="296">
                  <c:v>-8.51</c:v>
                </c:pt>
                <c:pt idx="297">
                  <c:v>-11.96</c:v>
                </c:pt>
                <c:pt idx="298">
                  <c:v>-12.42</c:v>
                </c:pt>
                <c:pt idx="299">
                  <c:v>-4.4420000000000002</c:v>
                </c:pt>
                <c:pt idx="300">
                  <c:v>-1.385</c:v>
                </c:pt>
                <c:pt idx="301">
                  <c:v>1.694</c:v>
                </c:pt>
                <c:pt idx="302">
                  <c:v>1.508</c:v>
                </c:pt>
                <c:pt idx="303">
                  <c:v>-1.4219999999999999</c:v>
                </c:pt>
                <c:pt idx="304">
                  <c:v>-5.234</c:v>
                </c:pt>
                <c:pt idx="305">
                  <c:v>-0.57899999999999996</c:v>
                </c:pt>
                <c:pt idx="306">
                  <c:v>0.28899999999999998</c:v>
                </c:pt>
                <c:pt idx="307">
                  <c:v>0.56200000000000006</c:v>
                </c:pt>
                <c:pt idx="308">
                  <c:v>1.6359999999999999</c:v>
                </c:pt>
                <c:pt idx="309">
                  <c:v>-2.7290000000000001</c:v>
                </c:pt>
                <c:pt idx="310">
                  <c:v>-6.9189999999999996</c:v>
                </c:pt>
                <c:pt idx="311">
                  <c:v>-9.6</c:v>
                </c:pt>
                <c:pt idx="312">
                  <c:v>-12.83</c:v>
                </c:pt>
                <c:pt idx="313">
                  <c:v>-11.21</c:v>
                </c:pt>
                <c:pt idx="314">
                  <c:v>-8.19</c:v>
                </c:pt>
                <c:pt idx="315">
                  <c:v>-9.07</c:v>
                </c:pt>
                <c:pt idx="316">
                  <c:v>-8.67</c:v>
                </c:pt>
                <c:pt idx="317">
                  <c:v>-6.73</c:v>
                </c:pt>
                <c:pt idx="318">
                  <c:v>-8.41</c:v>
                </c:pt>
                <c:pt idx="319">
                  <c:v>-6.9370000000000003</c:v>
                </c:pt>
                <c:pt idx="320">
                  <c:v>-5.532</c:v>
                </c:pt>
                <c:pt idx="321">
                  <c:v>-1.07</c:v>
                </c:pt>
                <c:pt idx="322">
                  <c:v>-3.9119999999999999</c:v>
                </c:pt>
                <c:pt idx="323">
                  <c:v>-8.86</c:v>
                </c:pt>
                <c:pt idx="324">
                  <c:v>-7.2169999999999996</c:v>
                </c:pt>
                <c:pt idx="325">
                  <c:v>-7.8769999999999998</c:v>
                </c:pt>
                <c:pt idx="326">
                  <c:v>-7.2919999999999998</c:v>
                </c:pt>
                <c:pt idx="327">
                  <c:v>-6.8419999999999996</c:v>
                </c:pt>
                <c:pt idx="328">
                  <c:v>-6.2050000000000001</c:v>
                </c:pt>
                <c:pt idx="329">
                  <c:v>-7.1779999999999999</c:v>
                </c:pt>
                <c:pt idx="330">
                  <c:v>-6.867</c:v>
                </c:pt>
                <c:pt idx="331">
                  <c:v>-5.2919999999999998</c:v>
                </c:pt>
                <c:pt idx="332">
                  <c:v>-7.1829999999999998</c:v>
                </c:pt>
                <c:pt idx="333">
                  <c:v>-6.87</c:v>
                </c:pt>
                <c:pt idx="334">
                  <c:v>-6.0419999999999998</c:v>
                </c:pt>
                <c:pt idx="335">
                  <c:v>-10.91</c:v>
                </c:pt>
                <c:pt idx="336">
                  <c:v>-5.1239999999999997</c:v>
                </c:pt>
                <c:pt idx="337">
                  <c:v>-4.6310000000000002</c:v>
                </c:pt>
                <c:pt idx="338">
                  <c:v>-5.5010000000000003</c:v>
                </c:pt>
                <c:pt idx="339">
                  <c:v>-4.9969999999999999</c:v>
                </c:pt>
                <c:pt idx="340">
                  <c:v>-4.8760000000000003</c:v>
                </c:pt>
                <c:pt idx="341">
                  <c:v>-4.1440000000000001</c:v>
                </c:pt>
                <c:pt idx="342">
                  <c:v>-0.39400000000000002</c:v>
                </c:pt>
                <c:pt idx="343">
                  <c:v>-4.4800000000000004</c:v>
                </c:pt>
                <c:pt idx="344">
                  <c:v>-8.33</c:v>
                </c:pt>
                <c:pt idx="345">
                  <c:v>-7.4560000000000004</c:v>
                </c:pt>
                <c:pt idx="346">
                  <c:v>-8.57</c:v>
                </c:pt>
                <c:pt idx="347">
                  <c:v>-9.43</c:v>
                </c:pt>
                <c:pt idx="348">
                  <c:v>-5.9240000000000004</c:v>
                </c:pt>
                <c:pt idx="349">
                  <c:v>-7.2839999999999998</c:v>
                </c:pt>
                <c:pt idx="350">
                  <c:v>-5.3319999999999999</c:v>
                </c:pt>
                <c:pt idx="351">
                  <c:v>-5.5220000000000002</c:v>
                </c:pt>
                <c:pt idx="352">
                  <c:v>-5.1550000000000002</c:v>
                </c:pt>
                <c:pt idx="353">
                  <c:v>-5.4180000000000001</c:v>
                </c:pt>
                <c:pt idx="354">
                  <c:v>-4.9610000000000003</c:v>
                </c:pt>
                <c:pt idx="355">
                  <c:v>-7.0060000000000002</c:v>
                </c:pt>
                <c:pt idx="356">
                  <c:v>-11.78</c:v>
                </c:pt>
                <c:pt idx="357">
                  <c:v>-11.65</c:v>
                </c:pt>
                <c:pt idx="358">
                  <c:v>-11.22</c:v>
                </c:pt>
                <c:pt idx="359">
                  <c:v>-8.8699999999999992</c:v>
                </c:pt>
                <c:pt idx="360">
                  <c:v>-7.8680000000000003</c:v>
                </c:pt>
                <c:pt idx="361">
                  <c:v>-7.8449999999999998</c:v>
                </c:pt>
                <c:pt idx="362">
                  <c:v>-9.2799999999999994</c:v>
                </c:pt>
                <c:pt idx="363">
                  <c:v>-10.24</c:v>
                </c:pt>
                <c:pt idx="364">
                  <c:v>-9.0500000000000007</c:v>
                </c:pt>
                <c:pt idx="365">
                  <c:v>-5.54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47872"/>
        <c:axId val="237266048"/>
      </c:lineChart>
      <c:catAx>
        <c:axId val="237247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66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266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47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13</c:v>
                </c:pt>
                <c:pt idx="1">
                  <c:v>13.05</c:v>
                </c:pt>
                <c:pt idx="2">
                  <c:v>13.04</c:v>
                </c:pt>
                <c:pt idx="3">
                  <c:v>13.05</c:v>
                </c:pt>
                <c:pt idx="4">
                  <c:v>12.94</c:v>
                </c:pt>
                <c:pt idx="5">
                  <c:v>12.87</c:v>
                </c:pt>
                <c:pt idx="6">
                  <c:v>12.9</c:v>
                </c:pt>
                <c:pt idx="7">
                  <c:v>12.87</c:v>
                </c:pt>
                <c:pt idx="8">
                  <c:v>13.08</c:v>
                </c:pt>
                <c:pt idx="9">
                  <c:v>12.98</c:v>
                </c:pt>
                <c:pt idx="10">
                  <c:v>13.04</c:v>
                </c:pt>
                <c:pt idx="11">
                  <c:v>12.89</c:v>
                </c:pt>
                <c:pt idx="12">
                  <c:v>13.02</c:v>
                </c:pt>
                <c:pt idx="13">
                  <c:v>13.05</c:v>
                </c:pt>
                <c:pt idx="14">
                  <c:v>12.87</c:v>
                </c:pt>
                <c:pt idx="15">
                  <c:v>12.93</c:v>
                </c:pt>
                <c:pt idx="16">
                  <c:v>13.1</c:v>
                </c:pt>
                <c:pt idx="17">
                  <c:v>12.98</c:v>
                </c:pt>
                <c:pt idx="18">
                  <c:v>13.08</c:v>
                </c:pt>
                <c:pt idx="19">
                  <c:v>13.07</c:v>
                </c:pt>
                <c:pt idx="20">
                  <c:v>13.02</c:v>
                </c:pt>
                <c:pt idx="21">
                  <c:v>13.05</c:v>
                </c:pt>
                <c:pt idx="22">
                  <c:v>13.07</c:v>
                </c:pt>
                <c:pt idx="23">
                  <c:v>13.04</c:v>
                </c:pt>
                <c:pt idx="24">
                  <c:v>13.03</c:v>
                </c:pt>
                <c:pt idx="25">
                  <c:v>13.05</c:v>
                </c:pt>
                <c:pt idx="26">
                  <c:v>13.05</c:v>
                </c:pt>
                <c:pt idx="27">
                  <c:v>13.05</c:v>
                </c:pt>
                <c:pt idx="28">
                  <c:v>12.93</c:v>
                </c:pt>
                <c:pt idx="29">
                  <c:v>13.04</c:v>
                </c:pt>
                <c:pt idx="30">
                  <c:v>13.02</c:v>
                </c:pt>
                <c:pt idx="31">
                  <c:v>13.04</c:v>
                </c:pt>
                <c:pt idx="32">
                  <c:v>13.04</c:v>
                </c:pt>
                <c:pt idx="33">
                  <c:v>13.03</c:v>
                </c:pt>
                <c:pt idx="34">
                  <c:v>12.94</c:v>
                </c:pt>
                <c:pt idx="35">
                  <c:v>12.88</c:v>
                </c:pt>
                <c:pt idx="36">
                  <c:v>12.87</c:v>
                </c:pt>
                <c:pt idx="37">
                  <c:v>12.84</c:v>
                </c:pt>
                <c:pt idx="38">
                  <c:v>12.84</c:v>
                </c:pt>
                <c:pt idx="39">
                  <c:v>12.83</c:v>
                </c:pt>
                <c:pt idx="40">
                  <c:v>12.83</c:v>
                </c:pt>
                <c:pt idx="41">
                  <c:v>12.88</c:v>
                </c:pt>
                <c:pt idx="42">
                  <c:v>13.18</c:v>
                </c:pt>
                <c:pt idx="43">
                  <c:v>13.1</c:v>
                </c:pt>
                <c:pt idx="44">
                  <c:v>13.12</c:v>
                </c:pt>
                <c:pt idx="45">
                  <c:v>13.08</c:v>
                </c:pt>
                <c:pt idx="46">
                  <c:v>13.04</c:v>
                </c:pt>
                <c:pt idx="47">
                  <c:v>12.97</c:v>
                </c:pt>
                <c:pt idx="48">
                  <c:v>13.09</c:v>
                </c:pt>
                <c:pt idx="49">
                  <c:v>13.1</c:v>
                </c:pt>
                <c:pt idx="50">
                  <c:v>13.09</c:v>
                </c:pt>
                <c:pt idx="51">
                  <c:v>13.06</c:v>
                </c:pt>
                <c:pt idx="52">
                  <c:v>13.05</c:v>
                </c:pt>
                <c:pt idx="53">
                  <c:v>13.03</c:v>
                </c:pt>
                <c:pt idx="54">
                  <c:v>13.03</c:v>
                </c:pt>
                <c:pt idx="55">
                  <c:v>13.04</c:v>
                </c:pt>
                <c:pt idx="56">
                  <c:v>13.03</c:v>
                </c:pt>
                <c:pt idx="57">
                  <c:v>13.02</c:v>
                </c:pt>
                <c:pt idx="58">
                  <c:v>13.04</c:v>
                </c:pt>
                <c:pt idx="59">
                  <c:v>12.99</c:v>
                </c:pt>
                <c:pt idx="60">
                  <c:v>13.01</c:v>
                </c:pt>
                <c:pt idx="61">
                  <c:v>12.99</c:v>
                </c:pt>
                <c:pt idx="62">
                  <c:v>13.02</c:v>
                </c:pt>
                <c:pt idx="63">
                  <c:v>13.03</c:v>
                </c:pt>
                <c:pt idx="64">
                  <c:v>13.01</c:v>
                </c:pt>
                <c:pt idx="65">
                  <c:v>12.98</c:v>
                </c:pt>
                <c:pt idx="66">
                  <c:v>12.98</c:v>
                </c:pt>
                <c:pt idx="67">
                  <c:v>13.03</c:v>
                </c:pt>
                <c:pt idx="68">
                  <c:v>13.02</c:v>
                </c:pt>
                <c:pt idx="69">
                  <c:v>12.96</c:v>
                </c:pt>
                <c:pt idx="70">
                  <c:v>12.98</c:v>
                </c:pt>
                <c:pt idx="71">
                  <c:v>13</c:v>
                </c:pt>
                <c:pt idx="72">
                  <c:v>13</c:v>
                </c:pt>
                <c:pt idx="73">
                  <c:v>13.01</c:v>
                </c:pt>
                <c:pt idx="74">
                  <c:v>13.02</c:v>
                </c:pt>
                <c:pt idx="75">
                  <c:v>13.01</c:v>
                </c:pt>
                <c:pt idx="76">
                  <c:v>13.01</c:v>
                </c:pt>
                <c:pt idx="77">
                  <c:v>13.01</c:v>
                </c:pt>
                <c:pt idx="78">
                  <c:v>13.01</c:v>
                </c:pt>
                <c:pt idx="79">
                  <c:v>13.01</c:v>
                </c:pt>
                <c:pt idx="80">
                  <c:v>13.01</c:v>
                </c:pt>
                <c:pt idx="81">
                  <c:v>13.01</c:v>
                </c:pt>
                <c:pt idx="82">
                  <c:v>13.01</c:v>
                </c:pt>
                <c:pt idx="83">
                  <c:v>13</c:v>
                </c:pt>
                <c:pt idx="84">
                  <c:v>13.01</c:v>
                </c:pt>
                <c:pt idx="85">
                  <c:v>12.97</c:v>
                </c:pt>
                <c:pt idx="86">
                  <c:v>12.96</c:v>
                </c:pt>
                <c:pt idx="87">
                  <c:v>12.94</c:v>
                </c:pt>
                <c:pt idx="88">
                  <c:v>13.01</c:v>
                </c:pt>
                <c:pt idx="89">
                  <c:v>13.01</c:v>
                </c:pt>
                <c:pt idx="90">
                  <c:v>13.01</c:v>
                </c:pt>
                <c:pt idx="91">
                  <c:v>13</c:v>
                </c:pt>
                <c:pt idx="92">
                  <c:v>12.99</c:v>
                </c:pt>
                <c:pt idx="93">
                  <c:v>12.99</c:v>
                </c:pt>
                <c:pt idx="94">
                  <c:v>13.02</c:v>
                </c:pt>
                <c:pt idx="95">
                  <c:v>12.98</c:v>
                </c:pt>
                <c:pt idx="96">
                  <c:v>13.01</c:v>
                </c:pt>
                <c:pt idx="97">
                  <c:v>13.02</c:v>
                </c:pt>
                <c:pt idx="98">
                  <c:v>13.02</c:v>
                </c:pt>
                <c:pt idx="99">
                  <c:v>13.02</c:v>
                </c:pt>
                <c:pt idx="100">
                  <c:v>12.99</c:v>
                </c:pt>
                <c:pt idx="101">
                  <c:v>13.03</c:v>
                </c:pt>
                <c:pt idx="102">
                  <c:v>13.04</c:v>
                </c:pt>
                <c:pt idx="103">
                  <c:v>12.99</c:v>
                </c:pt>
                <c:pt idx="104">
                  <c:v>12.91</c:v>
                </c:pt>
                <c:pt idx="105">
                  <c:v>13.02</c:v>
                </c:pt>
                <c:pt idx="106">
                  <c:v>13.03</c:v>
                </c:pt>
                <c:pt idx="107">
                  <c:v>13.01</c:v>
                </c:pt>
                <c:pt idx="108">
                  <c:v>13.03</c:v>
                </c:pt>
                <c:pt idx="109">
                  <c:v>13</c:v>
                </c:pt>
                <c:pt idx="110">
                  <c:v>13.04</c:v>
                </c:pt>
                <c:pt idx="111">
                  <c:v>13.04</c:v>
                </c:pt>
                <c:pt idx="112">
                  <c:v>12.99</c:v>
                </c:pt>
                <c:pt idx="113">
                  <c:v>13.02</c:v>
                </c:pt>
                <c:pt idx="114">
                  <c:v>13.04</c:v>
                </c:pt>
                <c:pt idx="115">
                  <c:v>13.06</c:v>
                </c:pt>
                <c:pt idx="116">
                  <c:v>13.05</c:v>
                </c:pt>
                <c:pt idx="117">
                  <c:v>13.06</c:v>
                </c:pt>
                <c:pt idx="118">
                  <c:v>12.97</c:v>
                </c:pt>
                <c:pt idx="119">
                  <c:v>13.04</c:v>
                </c:pt>
                <c:pt idx="120">
                  <c:v>13.07</c:v>
                </c:pt>
                <c:pt idx="121">
                  <c:v>13.06</c:v>
                </c:pt>
                <c:pt idx="122">
                  <c:v>13</c:v>
                </c:pt>
                <c:pt idx="123">
                  <c:v>13.07</c:v>
                </c:pt>
                <c:pt idx="124">
                  <c:v>13.09</c:v>
                </c:pt>
                <c:pt idx="125">
                  <c:v>13.06</c:v>
                </c:pt>
                <c:pt idx="126">
                  <c:v>13.02</c:v>
                </c:pt>
                <c:pt idx="127">
                  <c:v>13.09</c:v>
                </c:pt>
                <c:pt idx="128">
                  <c:v>13.09</c:v>
                </c:pt>
                <c:pt idx="129">
                  <c:v>13.09</c:v>
                </c:pt>
                <c:pt idx="130">
                  <c:v>13.09</c:v>
                </c:pt>
                <c:pt idx="131">
                  <c:v>13.09</c:v>
                </c:pt>
                <c:pt idx="132">
                  <c:v>13.03</c:v>
                </c:pt>
                <c:pt idx="133">
                  <c:v>12.96</c:v>
                </c:pt>
                <c:pt idx="134">
                  <c:v>13.09</c:v>
                </c:pt>
                <c:pt idx="135">
                  <c:v>13.11</c:v>
                </c:pt>
                <c:pt idx="136">
                  <c:v>12.98</c:v>
                </c:pt>
                <c:pt idx="137">
                  <c:v>12.94</c:v>
                </c:pt>
                <c:pt idx="138">
                  <c:v>13.05</c:v>
                </c:pt>
                <c:pt idx="139">
                  <c:v>13.06</c:v>
                </c:pt>
                <c:pt idx="140">
                  <c:v>13.06</c:v>
                </c:pt>
                <c:pt idx="141">
                  <c:v>12.97</c:v>
                </c:pt>
                <c:pt idx="142">
                  <c:v>12.97</c:v>
                </c:pt>
                <c:pt idx="143">
                  <c:v>13.1</c:v>
                </c:pt>
                <c:pt idx="144">
                  <c:v>13</c:v>
                </c:pt>
                <c:pt idx="145">
                  <c:v>13.01</c:v>
                </c:pt>
                <c:pt idx="146">
                  <c:v>13.04</c:v>
                </c:pt>
                <c:pt idx="147">
                  <c:v>13.02</c:v>
                </c:pt>
                <c:pt idx="148">
                  <c:v>13.02</c:v>
                </c:pt>
                <c:pt idx="149">
                  <c:v>13.05</c:v>
                </c:pt>
                <c:pt idx="150">
                  <c:v>12.97</c:v>
                </c:pt>
                <c:pt idx="151">
                  <c:v>13.07</c:v>
                </c:pt>
                <c:pt idx="152">
                  <c:v>13.02</c:v>
                </c:pt>
                <c:pt idx="153">
                  <c:v>13.05</c:v>
                </c:pt>
                <c:pt idx="154">
                  <c:v>12.96</c:v>
                </c:pt>
                <c:pt idx="155">
                  <c:v>13.04</c:v>
                </c:pt>
                <c:pt idx="156">
                  <c:v>12.95</c:v>
                </c:pt>
                <c:pt idx="157">
                  <c:v>12.98</c:v>
                </c:pt>
                <c:pt idx="158">
                  <c:v>12.99</c:v>
                </c:pt>
                <c:pt idx="159">
                  <c:v>13.03</c:v>
                </c:pt>
                <c:pt idx="160">
                  <c:v>13</c:v>
                </c:pt>
                <c:pt idx="161">
                  <c:v>13.01</c:v>
                </c:pt>
                <c:pt idx="162">
                  <c:v>12.96</c:v>
                </c:pt>
                <c:pt idx="163">
                  <c:v>13.02</c:v>
                </c:pt>
                <c:pt idx="164">
                  <c:v>12.97</c:v>
                </c:pt>
                <c:pt idx="165">
                  <c:v>13.12</c:v>
                </c:pt>
                <c:pt idx="166">
                  <c:v>13.01</c:v>
                </c:pt>
                <c:pt idx="167">
                  <c:v>12.98</c:v>
                </c:pt>
                <c:pt idx="168">
                  <c:v>13.02</c:v>
                </c:pt>
                <c:pt idx="169">
                  <c:v>12.99</c:v>
                </c:pt>
                <c:pt idx="170">
                  <c:v>12.99</c:v>
                </c:pt>
                <c:pt idx="171">
                  <c:v>13</c:v>
                </c:pt>
                <c:pt idx="172">
                  <c:v>12.99</c:v>
                </c:pt>
                <c:pt idx="173">
                  <c:v>12.98</c:v>
                </c:pt>
                <c:pt idx="174">
                  <c:v>12.98</c:v>
                </c:pt>
                <c:pt idx="175">
                  <c:v>12.98</c:v>
                </c:pt>
                <c:pt idx="176">
                  <c:v>13</c:v>
                </c:pt>
                <c:pt idx="177">
                  <c:v>12.98</c:v>
                </c:pt>
                <c:pt idx="178">
                  <c:v>12.99</c:v>
                </c:pt>
                <c:pt idx="179">
                  <c:v>13.03</c:v>
                </c:pt>
                <c:pt idx="180">
                  <c:v>12.97</c:v>
                </c:pt>
                <c:pt idx="181">
                  <c:v>12.94</c:v>
                </c:pt>
                <c:pt idx="182">
                  <c:v>12.99</c:v>
                </c:pt>
                <c:pt idx="183">
                  <c:v>13</c:v>
                </c:pt>
                <c:pt idx="184">
                  <c:v>12.97</c:v>
                </c:pt>
                <c:pt idx="185">
                  <c:v>13</c:v>
                </c:pt>
                <c:pt idx="186">
                  <c:v>13</c:v>
                </c:pt>
                <c:pt idx="187">
                  <c:v>12.97</c:v>
                </c:pt>
                <c:pt idx="188">
                  <c:v>13.02</c:v>
                </c:pt>
                <c:pt idx="189">
                  <c:v>13</c:v>
                </c:pt>
                <c:pt idx="190">
                  <c:v>13.01</c:v>
                </c:pt>
                <c:pt idx="191">
                  <c:v>12.98</c:v>
                </c:pt>
                <c:pt idx="192">
                  <c:v>12.97</c:v>
                </c:pt>
                <c:pt idx="193">
                  <c:v>12.95</c:v>
                </c:pt>
                <c:pt idx="194">
                  <c:v>12.98</c:v>
                </c:pt>
                <c:pt idx="195">
                  <c:v>12.97</c:v>
                </c:pt>
                <c:pt idx="196">
                  <c:v>12.98</c:v>
                </c:pt>
                <c:pt idx="197">
                  <c:v>13</c:v>
                </c:pt>
                <c:pt idx="198">
                  <c:v>12.98</c:v>
                </c:pt>
                <c:pt idx="199">
                  <c:v>12.98</c:v>
                </c:pt>
                <c:pt idx="200">
                  <c:v>12.98</c:v>
                </c:pt>
                <c:pt idx="201">
                  <c:v>12.98</c:v>
                </c:pt>
                <c:pt idx="202">
                  <c:v>12.98</c:v>
                </c:pt>
                <c:pt idx="203">
                  <c:v>12.98</c:v>
                </c:pt>
                <c:pt idx="204">
                  <c:v>12.98</c:v>
                </c:pt>
                <c:pt idx="205">
                  <c:v>12.99</c:v>
                </c:pt>
                <c:pt idx="206">
                  <c:v>12.98</c:v>
                </c:pt>
                <c:pt idx="207">
                  <c:v>12.97</c:v>
                </c:pt>
                <c:pt idx="208">
                  <c:v>12.98</c:v>
                </c:pt>
                <c:pt idx="209">
                  <c:v>12.99</c:v>
                </c:pt>
                <c:pt idx="210">
                  <c:v>12.98</c:v>
                </c:pt>
                <c:pt idx="211">
                  <c:v>12.98</c:v>
                </c:pt>
                <c:pt idx="212">
                  <c:v>12.99</c:v>
                </c:pt>
                <c:pt idx="213">
                  <c:v>12.99</c:v>
                </c:pt>
                <c:pt idx="214">
                  <c:v>12.99</c:v>
                </c:pt>
                <c:pt idx="215">
                  <c:v>12.98</c:v>
                </c:pt>
                <c:pt idx="216">
                  <c:v>12.98</c:v>
                </c:pt>
                <c:pt idx="217">
                  <c:v>12.98</c:v>
                </c:pt>
                <c:pt idx="218">
                  <c:v>12.97</c:v>
                </c:pt>
                <c:pt idx="219">
                  <c:v>12.97</c:v>
                </c:pt>
                <c:pt idx="220">
                  <c:v>12.98</c:v>
                </c:pt>
                <c:pt idx="221">
                  <c:v>12.99</c:v>
                </c:pt>
                <c:pt idx="222">
                  <c:v>12.98</c:v>
                </c:pt>
                <c:pt idx="223">
                  <c:v>12.96</c:v>
                </c:pt>
                <c:pt idx="224">
                  <c:v>12.98</c:v>
                </c:pt>
                <c:pt idx="225">
                  <c:v>12.97</c:v>
                </c:pt>
                <c:pt idx="226">
                  <c:v>12.98</c:v>
                </c:pt>
                <c:pt idx="227">
                  <c:v>12.97</c:v>
                </c:pt>
                <c:pt idx="228">
                  <c:v>12.98</c:v>
                </c:pt>
                <c:pt idx="229">
                  <c:v>12.98</c:v>
                </c:pt>
                <c:pt idx="230">
                  <c:v>12.99</c:v>
                </c:pt>
                <c:pt idx="231">
                  <c:v>12.97</c:v>
                </c:pt>
                <c:pt idx="232">
                  <c:v>12.98</c:v>
                </c:pt>
                <c:pt idx="233">
                  <c:v>12.99</c:v>
                </c:pt>
                <c:pt idx="234">
                  <c:v>12.98</c:v>
                </c:pt>
                <c:pt idx="235">
                  <c:v>12.98</c:v>
                </c:pt>
                <c:pt idx="236">
                  <c:v>12.99</c:v>
                </c:pt>
                <c:pt idx="237">
                  <c:v>12.97</c:v>
                </c:pt>
                <c:pt idx="238">
                  <c:v>12.97</c:v>
                </c:pt>
                <c:pt idx="239">
                  <c:v>12.97</c:v>
                </c:pt>
                <c:pt idx="240">
                  <c:v>12.97</c:v>
                </c:pt>
                <c:pt idx="241">
                  <c:v>12.97</c:v>
                </c:pt>
                <c:pt idx="242">
                  <c:v>12.95</c:v>
                </c:pt>
                <c:pt idx="243">
                  <c:v>12.99</c:v>
                </c:pt>
                <c:pt idx="244">
                  <c:v>12.99</c:v>
                </c:pt>
                <c:pt idx="245">
                  <c:v>12.98</c:v>
                </c:pt>
                <c:pt idx="246">
                  <c:v>12.97</c:v>
                </c:pt>
                <c:pt idx="247">
                  <c:v>12.97</c:v>
                </c:pt>
                <c:pt idx="248">
                  <c:v>12.97</c:v>
                </c:pt>
                <c:pt idx="249">
                  <c:v>12.97</c:v>
                </c:pt>
                <c:pt idx="250">
                  <c:v>12.96</c:v>
                </c:pt>
                <c:pt idx="251">
                  <c:v>12.97</c:v>
                </c:pt>
                <c:pt idx="252">
                  <c:v>12.96</c:v>
                </c:pt>
                <c:pt idx="253">
                  <c:v>12.96</c:v>
                </c:pt>
                <c:pt idx="254">
                  <c:v>12.97</c:v>
                </c:pt>
                <c:pt idx="255">
                  <c:v>12.96</c:v>
                </c:pt>
                <c:pt idx="256">
                  <c:v>12.96</c:v>
                </c:pt>
                <c:pt idx="257">
                  <c:v>12.97</c:v>
                </c:pt>
                <c:pt idx="258">
                  <c:v>12.99</c:v>
                </c:pt>
                <c:pt idx="259">
                  <c:v>12.97</c:v>
                </c:pt>
                <c:pt idx="260">
                  <c:v>12.97</c:v>
                </c:pt>
                <c:pt idx="261">
                  <c:v>12.98</c:v>
                </c:pt>
                <c:pt idx="262">
                  <c:v>12.98</c:v>
                </c:pt>
                <c:pt idx="263">
                  <c:v>12.98</c:v>
                </c:pt>
                <c:pt idx="264">
                  <c:v>12.97</c:v>
                </c:pt>
                <c:pt idx="265">
                  <c:v>12.97</c:v>
                </c:pt>
                <c:pt idx="266">
                  <c:v>12.89</c:v>
                </c:pt>
                <c:pt idx="267">
                  <c:v>13</c:v>
                </c:pt>
                <c:pt idx="268">
                  <c:v>12.82</c:v>
                </c:pt>
                <c:pt idx="269">
                  <c:v>13.02</c:v>
                </c:pt>
                <c:pt idx="270">
                  <c:v>12.99</c:v>
                </c:pt>
                <c:pt idx="271">
                  <c:v>12.99</c:v>
                </c:pt>
                <c:pt idx="272">
                  <c:v>12.98</c:v>
                </c:pt>
                <c:pt idx="273">
                  <c:v>12.97</c:v>
                </c:pt>
                <c:pt idx="274">
                  <c:v>12.97</c:v>
                </c:pt>
                <c:pt idx="275">
                  <c:v>12.98</c:v>
                </c:pt>
                <c:pt idx="276">
                  <c:v>12.97</c:v>
                </c:pt>
                <c:pt idx="277">
                  <c:v>12.97</c:v>
                </c:pt>
                <c:pt idx="278">
                  <c:v>12.98</c:v>
                </c:pt>
                <c:pt idx="279">
                  <c:v>12.98</c:v>
                </c:pt>
                <c:pt idx="280">
                  <c:v>12.97</c:v>
                </c:pt>
                <c:pt idx="281">
                  <c:v>12.85</c:v>
                </c:pt>
                <c:pt idx="282">
                  <c:v>12.89</c:v>
                </c:pt>
                <c:pt idx="283">
                  <c:v>13.03</c:v>
                </c:pt>
                <c:pt idx="284">
                  <c:v>12.99</c:v>
                </c:pt>
                <c:pt idx="285">
                  <c:v>13.01</c:v>
                </c:pt>
                <c:pt idx="286">
                  <c:v>13</c:v>
                </c:pt>
                <c:pt idx="287">
                  <c:v>12.99</c:v>
                </c:pt>
                <c:pt idx="288">
                  <c:v>12.99</c:v>
                </c:pt>
                <c:pt idx="289">
                  <c:v>12.97</c:v>
                </c:pt>
                <c:pt idx="290">
                  <c:v>12.99</c:v>
                </c:pt>
                <c:pt idx="291">
                  <c:v>12.98</c:v>
                </c:pt>
                <c:pt idx="292">
                  <c:v>12.98</c:v>
                </c:pt>
                <c:pt idx="293">
                  <c:v>12.98</c:v>
                </c:pt>
                <c:pt idx="294">
                  <c:v>12.97</c:v>
                </c:pt>
                <c:pt idx="295">
                  <c:v>12.97</c:v>
                </c:pt>
                <c:pt idx="296">
                  <c:v>12.95</c:v>
                </c:pt>
                <c:pt idx="297">
                  <c:v>12.99</c:v>
                </c:pt>
                <c:pt idx="298">
                  <c:v>12.99</c:v>
                </c:pt>
                <c:pt idx="299">
                  <c:v>12.98</c:v>
                </c:pt>
                <c:pt idx="300">
                  <c:v>12.98</c:v>
                </c:pt>
                <c:pt idx="301">
                  <c:v>12.97</c:v>
                </c:pt>
                <c:pt idx="302">
                  <c:v>12.97</c:v>
                </c:pt>
                <c:pt idx="303">
                  <c:v>12.96</c:v>
                </c:pt>
                <c:pt idx="304">
                  <c:v>12.96</c:v>
                </c:pt>
                <c:pt idx="305">
                  <c:v>12.97</c:v>
                </c:pt>
                <c:pt idx="306">
                  <c:v>12.97</c:v>
                </c:pt>
                <c:pt idx="307">
                  <c:v>12.83</c:v>
                </c:pt>
                <c:pt idx="308">
                  <c:v>13</c:v>
                </c:pt>
                <c:pt idx="309">
                  <c:v>12.9</c:v>
                </c:pt>
                <c:pt idx="310">
                  <c:v>12.99</c:v>
                </c:pt>
                <c:pt idx="311">
                  <c:v>12.97</c:v>
                </c:pt>
                <c:pt idx="312">
                  <c:v>13</c:v>
                </c:pt>
                <c:pt idx="313">
                  <c:v>12.98</c:v>
                </c:pt>
                <c:pt idx="314">
                  <c:v>12.87</c:v>
                </c:pt>
                <c:pt idx="315">
                  <c:v>13</c:v>
                </c:pt>
                <c:pt idx="316">
                  <c:v>12.97</c:v>
                </c:pt>
                <c:pt idx="317">
                  <c:v>12.81</c:v>
                </c:pt>
                <c:pt idx="318">
                  <c:v>13.03</c:v>
                </c:pt>
                <c:pt idx="319">
                  <c:v>13.01</c:v>
                </c:pt>
                <c:pt idx="320">
                  <c:v>12.9</c:v>
                </c:pt>
                <c:pt idx="321">
                  <c:v>13.03</c:v>
                </c:pt>
                <c:pt idx="322">
                  <c:v>12.84</c:v>
                </c:pt>
                <c:pt idx="323">
                  <c:v>13.04</c:v>
                </c:pt>
                <c:pt idx="324">
                  <c:v>13</c:v>
                </c:pt>
                <c:pt idx="325">
                  <c:v>13.02</c:v>
                </c:pt>
                <c:pt idx="326">
                  <c:v>13</c:v>
                </c:pt>
                <c:pt idx="327">
                  <c:v>12.92</c:v>
                </c:pt>
                <c:pt idx="328">
                  <c:v>12.94</c:v>
                </c:pt>
                <c:pt idx="329">
                  <c:v>13.03</c:v>
                </c:pt>
                <c:pt idx="330">
                  <c:v>13.03</c:v>
                </c:pt>
                <c:pt idx="331">
                  <c:v>13.02</c:v>
                </c:pt>
                <c:pt idx="332">
                  <c:v>13.01</c:v>
                </c:pt>
                <c:pt idx="333">
                  <c:v>13.01</c:v>
                </c:pt>
                <c:pt idx="334">
                  <c:v>12.87</c:v>
                </c:pt>
                <c:pt idx="335">
                  <c:v>13.02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12.99</c:v>
                </c:pt>
                <c:pt idx="340">
                  <c:v>12.98</c:v>
                </c:pt>
                <c:pt idx="341">
                  <c:v>12.85</c:v>
                </c:pt>
                <c:pt idx="342">
                  <c:v>12.83</c:v>
                </c:pt>
                <c:pt idx="343">
                  <c:v>13.06</c:v>
                </c:pt>
                <c:pt idx="344">
                  <c:v>12.97</c:v>
                </c:pt>
                <c:pt idx="345">
                  <c:v>13.02</c:v>
                </c:pt>
                <c:pt idx="346">
                  <c:v>13.04</c:v>
                </c:pt>
                <c:pt idx="347">
                  <c:v>12.88</c:v>
                </c:pt>
                <c:pt idx="348">
                  <c:v>12.94</c:v>
                </c:pt>
                <c:pt idx="349">
                  <c:v>12.9</c:v>
                </c:pt>
                <c:pt idx="350">
                  <c:v>12.84</c:v>
                </c:pt>
                <c:pt idx="351">
                  <c:v>13.01</c:v>
                </c:pt>
                <c:pt idx="352">
                  <c:v>12.86</c:v>
                </c:pt>
                <c:pt idx="353">
                  <c:v>12.98</c:v>
                </c:pt>
                <c:pt idx="354">
                  <c:v>13.06</c:v>
                </c:pt>
                <c:pt idx="355">
                  <c:v>12.83</c:v>
                </c:pt>
                <c:pt idx="356">
                  <c:v>12.82</c:v>
                </c:pt>
                <c:pt idx="357">
                  <c:v>13.12</c:v>
                </c:pt>
                <c:pt idx="358">
                  <c:v>13.08</c:v>
                </c:pt>
                <c:pt idx="359">
                  <c:v>13</c:v>
                </c:pt>
                <c:pt idx="360">
                  <c:v>13.06</c:v>
                </c:pt>
                <c:pt idx="361">
                  <c:v>13.04</c:v>
                </c:pt>
                <c:pt idx="362">
                  <c:v>13.05</c:v>
                </c:pt>
                <c:pt idx="363">
                  <c:v>12.97</c:v>
                </c:pt>
                <c:pt idx="364">
                  <c:v>12.91</c:v>
                </c:pt>
                <c:pt idx="365">
                  <c:v>13.04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78720"/>
        <c:axId val="237280256"/>
      </c:lineChart>
      <c:catAx>
        <c:axId val="2372787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802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280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78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Data!$CS$6:$CS$371</c:f>
              <c:numCache>
                <c:formatCode>General</c:formatCode>
                <c:ptCount val="366"/>
                <c:pt idx="0">
                  <c:v>-0.39999999999999991</c:v>
                </c:pt>
                <c:pt idx="1">
                  <c:v>0.10000000000000053</c:v>
                </c:pt>
                <c:pt idx="2">
                  <c:v>9.9999999999999867E-2</c:v>
                </c:pt>
                <c:pt idx="3">
                  <c:v>-0.89999999999999991</c:v>
                </c:pt>
                <c:pt idx="4">
                  <c:v>0.59999999999999964</c:v>
                </c:pt>
                <c:pt idx="5">
                  <c:v>-0.5</c:v>
                </c:pt>
                <c:pt idx="6">
                  <c:v>-0.60000000000000009</c:v>
                </c:pt>
                <c:pt idx="7">
                  <c:v>-0.5</c:v>
                </c:pt>
                <c:pt idx="8">
                  <c:v>0.20000000000000018</c:v>
                </c:pt>
                <c:pt idx="9">
                  <c:v>0</c:v>
                </c:pt>
                <c:pt idx="10">
                  <c:v>0.89999999999999991</c:v>
                </c:pt>
                <c:pt idx="11">
                  <c:v>-0.79999999999999982</c:v>
                </c:pt>
                <c:pt idx="12">
                  <c:v>-0.59999999999999787</c:v>
                </c:pt>
                <c:pt idx="13">
                  <c:v>0.40000000000000036</c:v>
                </c:pt>
                <c:pt idx="14">
                  <c:v>-0.30000000000000071</c:v>
                </c:pt>
                <c:pt idx="15">
                  <c:v>-0.40000000000000036</c:v>
                </c:pt>
                <c:pt idx="16">
                  <c:v>0.5</c:v>
                </c:pt>
                <c:pt idx="17">
                  <c:v>-0.79999999999999982</c:v>
                </c:pt>
                <c:pt idx="18">
                  <c:v>-0.5</c:v>
                </c:pt>
                <c:pt idx="19">
                  <c:v>-1.2000000000000002</c:v>
                </c:pt>
                <c:pt idx="20">
                  <c:v>-1.4000000000000001</c:v>
                </c:pt>
                <c:pt idx="21">
                  <c:v>-1.7999999999999998</c:v>
                </c:pt>
                <c:pt idx="22">
                  <c:v>-0.10000000000000009</c:v>
                </c:pt>
                <c:pt idx="23">
                  <c:v>-0.5</c:v>
                </c:pt>
                <c:pt idx="24">
                  <c:v>0.5</c:v>
                </c:pt>
                <c:pt idx="25">
                  <c:v>-0.1</c:v>
                </c:pt>
                <c:pt idx="26">
                  <c:v>-0.59999999999999987</c:v>
                </c:pt>
                <c:pt idx="27">
                  <c:v>-0.79999999999999993</c:v>
                </c:pt>
                <c:pt idx="28">
                  <c:v>-0.5</c:v>
                </c:pt>
                <c:pt idx="29">
                  <c:v>-0.5</c:v>
                </c:pt>
                <c:pt idx="30">
                  <c:v>0.7</c:v>
                </c:pt>
                <c:pt idx="31">
                  <c:v>-0.4</c:v>
                </c:pt>
                <c:pt idx="32">
                  <c:v>0.89999999999999947</c:v>
                </c:pt>
                <c:pt idx="33">
                  <c:v>2.5999999999999996</c:v>
                </c:pt>
                <c:pt idx="34">
                  <c:v>-0.20000000000000018</c:v>
                </c:pt>
                <c:pt idx="35">
                  <c:v>-0.39999999999999991</c:v>
                </c:pt>
                <c:pt idx="36">
                  <c:v>0.39999999999999991</c:v>
                </c:pt>
                <c:pt idx="37">
                  <c:v>9.9999999999999645E-2</c:v>
                </c:pt>
                <c:pt idx="38">
                  <c:v>-0.29999999999999982</c:v>
                </c:pt>
                <c:pt idx="39">
                  <c:v>-0.19999999999999929</c:v>
                </c:pt>
                <c:pt idx="40">
                  <c:v>1.6</c:v>
                </c:pt>
                <c:pt idx="41">
                  <c:v>3.1</c:v>
                </c:pt>
                <c:pt idx="42">
                  <c:v>-0.3</c:v>
                </c:pt>
                <c:pt idx="43">
                  <c:v>0.89999999999999991</c:v>
                </c:pt>
                <c:pt idx="44">
                  <c:v>3.2</c:v>
                </c:pt>
                <c:pt idx="45">
                  <c:v>1.2999999999999998</c:v>
                </c:pt>
                <c:pt idx="46">
                  <c:v>3.1999999999999997</c:v>
                </c:pt>
                <c:pt idx="47">
                  <c:v>3.9000000000000004</c:v>
                </c:pt>
                <c:pt idx="48">
                  <c:v>4.3</c:v>
                </c:pt>
                <c:pt idx="49">
                  <c:v>-1.7999999999999998</c:v>
                </c:pt>
                <c:pt idx="50">
                  <c:v>-0.5</c:v>
                </c:pt>
                <c:pt idx="51">
                  <c:v>-0.20000000000000018</c:v>
                </c:pt>
                <c:pt idx="52">
                  <c:v>2.8000000000000003</c:v>
                </c:pt>
                <c:pt idx="53">
                  <c:v>1.5999999999999999</c:v>
                </c:pt>
                <c:pt idx="54">
                  <c:v>1</c:v>
                </c:pt>
                <c:pt idx="55">
                  <c:v>2.5</c:v>
                </c:pt>
                <c:pt idx="56">
                  <c:v>-0.10000000000000009</c:v>
                </c:pt>
                <c:pt idx="58">
                  <c:v>-0.29999999999999982</c:v>
                </c:pt>
                <c:pt idx="59">
                  <c:v>3.5</c:v>
                </c:pt>
                <c:pt idx="60">
                  <c:v>3</c:v>
                </c:pt>
                <c:pt idx="61">
                  <c:v>2.8</c:v>
                </c:pt>
                <c:pt idx="62">
                  <c:v>-0.10000000000000053</c:v>
                </c:pt>
                <c:pt idx="63">
                  <c:v>1.6999999999999997</c:v>
                </c:pt>
                <c:pt idx="64">
                  <c:v>-1.4</c:v>
                </c:pt>
                <c:pt idx="65">
                  <c:v>1.8</c:v>
                </c:pt>
                <c:pt idx="66">
                  <c:v>3.5999999999999996</c:v>
                </c:pt>
                <c:pt idx="67">
                  <c:v>3.3000000000000003</c:v>
                </c:pt>
                <c:pt idx="68">
                  <c:v>1</c:v>
                </c:pt>
                <c:pt idx="69">
                  <c:v>-0.60000000000000009</c:v>
                </c:pt>
                <c:pt idx="70">
                  <c:v>4.9000000000000004</c:v>
                </c:pt>
                <c:pt idx="71">
                  <c:v>4.2</c:v>
                </c:pt>
                <c:pt idx="72">
                  <c:v>0.60000000000000142</c:v>
                </c:pt>
                <c:pt idx="73">
                  <c:v>2.5</c:v>
                </c:pt>
                <c:pt idx="74">
                  <c:v>1</c:v>
                </c:pt>
                <c:pt idx="75">
                  <c:v>-1.2000000000000002</c:v>
                </c:pt>
                <c:pt idx="76">
                  <c:v>1.7000000000000002</c:v>
                </c:pt>
                <c:pt idx="77">
                  <c:v>1.2999999999999998</c:v>
                </c:pt>
                <c:pt idx="78">
                  <c:v>-0.90000000000000036</c:v>
                </c:pt>
                <c:pt idx="79">
                  <c:v>0.20000000000000018</c:v>
                </c:pt>
                <c:pt idx="80">
                  <c:v>1.4000000000000004</c:v>
                </c:pt>
                <c:pt idx="81">
                  <c:v>-0.29999999999999982</c:v>
                </c:pt>
                <c:pt idx="82">
                  <c:v>3</c:v>
                </c:pt>
                <c:pt idx="83">
                  <c:v>3.6</c:v>
                </c:pt>
                <c:pt idx="84">
                  <c:v>1.4000000000000001</c:v>
                </c:pt>
                <c:pt idx="85">
                  <c:v>2.5</c:v>
                </c:pt>
                <c:pt idx="86">
                  <c:v>0.7</c:v>
                </c:pt>
                <c:pt idx="87">
                  <c:v>1.2999999999999998</c:v>
                </c:pt>
                <c:pt idx="88">
                  <c:v>2</c:v>
                </c:pt>
                <c:pt idx="89">
                  <c:v>3.4</c:v>
                </c:pt>
                <c:pt idx="90">
                  <c:v>5.5</c:v>
                </c:pt>
                <c:pt idx="91">
                  <c:v>4.5999999999999996</c:v>
                </c:pt>
                <c:pt idx="92">
                  <c:v>3.3</c:v>
                </c:pt>
                <c:pt idx="93">
                  <c:v>4.6000000000000005</c:v>
                </c:pt>
                <c:pt idx="94">
                  <c:v>1.7999999999999998</c:v>
                </c:pt>
                <c:pt idx="95">
                  <c:v>3.1</c:v>
                </c:pt>
                <c:pt idx="96">
                  <c:v>0.90000000000000036</c:v>
                </c:pt>
                <c:pt idx="97">
                  <c:v>0.5</c:v>
                </c:pt>
                <c:pt idx="98">
                  <c:v>0.79999999999999982</c:v>
                </c:pt>
                <c:pt idx="99">
                  <c:v>-2.6999999999999993</c:v>
                </c:pt>
                <c:pt idx="100">
                  <c:v>1</c:v>
                </c:pt>
                <c:pt idx="101">
                  <c:v>5.0999999999999996</c:v>
                </c:pt>
                <c:pt idx="102">
                  <c:v>3.4</c:v>
                </c:pt>
                <c:pt idx="103">
                  <c:v>1</c:v>
                </c:pt>
                <c:pt idx="104">
                  <c:v>0.20000000000000018</c:v>
                </c:pt>
                <c:pt idx="105">
                  <c:v>2.3000000000000007</c:v>
                </c:pt>
                <c:pt idx="106">
                  <c:v>0.20000000000000107</c:v>
                </c:pt>
                <c:pt idx="107">
                  <c:v>-0.29999999999999982</c:v>
                </c:pt>
                <c:pt idx="108">
                  <c:v>1.3000000000000007</c:v>
                </c:pt>
                <c:pt idx="109">
                  <c:v>0.19999999999999929</c:v>
                </c:pt>
                <c:pt idx="110">
                  <c:v>-3.5</c:v>
                </c:pt>
                <c:pt idx="111">
                  <c:v>-1.4000000000000004</c:v>
                </c:pt>
                <c:pt idx="112">
                  <c:v>0.29999999999999982</c:v>
                </c:pt>
                <c:pt idx="113">
                  <c:v>0.70000000000000018</c:v>
                </c:pt>
                <c:pt idx="114">
                  <c:v>-1.5999999999999996</c:v>
                </c:pt>
                <c:pt idx="115">
                  <c:v>-0.70000000000000018</c:v>
                </c:pt>
                <c:pt idx="116">
                  <c:v>0.20000000000000018</c:v>
                </c:pt>
                <c:pt idx="117">
                  <c:v>0.29999999999999982</c:v>
                </c:pt>
                <c:pt idx="118">
                  <c:v>-2.0999999999999996</c:v>
                </c:pt>
                <c:pt idx="119">
                  <c:v>-4.3000000000000007</c:v>
                </c:pt>
                <c:pt idx="120">
                  <c:v>0.60000000000000053</c:v>
                </c:pt>
                <c:pt idx="121">
                  <c:v>-1.5999999999999996</c:v>
                </c:pt>
                <c:pt idx="122">
                  <c:v>-2.8999999999999995</c:v>
                </c:pt>
                <c:pt idx="123">
                  <c:v>3.1</c:v>
                </c:pt>
                <c:pt idx="124">
                  <c:v>-1.2999999999999989</c:v>
                </c:pt>
                <c:pt idx="125">
                  <c:v>-2.5</c:v>
                </c:pt>
                <c:pt idx="126">
                  <c:v>-2.5999999999999996</c:v>
                </c:pt>
                <c:pt idx="127">
                  <c:v>2</c:v>
                </c:pt>
                <c:pt idx="128">
                  <c:v>-2.5999999999999996</c:v>
                </c:pt>
                <c:pt idx="129">
                  <c:v>-4</c:v>
                </c:pt>
                <c:pt idx="130">
                  <c:v>-3.9999999999999982</c:v>
                </c:pt>
                <c:pt idx="131">
                  <c:v>-1.9000000000000004</c:v>
                </c:pt>
                <c:pt idx="132">
                  <c:v>-0.70000000000000018</c:v>
                </c:pt>
                <c:pt idx="133">
                  <c:v>-1.1000000000000014</c:v>
                </c:pt>
                <c:pt idx="134">
                  <c:v>-0.70000000000000107</c:v>
                </c:pt>
                <c:pt idx="135">
                  <c:v>0</c:v>
                </c:pt>
                <c:pt idx="136">
                  <c:v>-2.2999999999999998</c:v>
                </c:pt>
                <c:pt idx="137">
                  <c:v>-0.90000000000000036</c:v>
                </c:pt>
                <c:pt idx="138">
                  <c:v>0.70000000000000107</c:v>
                </c:pt>
                <c:pt idx="139">
                  <c:v>-2</c:v>
                </c:pt>
                <c:pt idx="140">
                  <c:v>-2</c:v>
                </c:pt>
                <c:pt idx="141">
                  <c:v>1.7000000000000002</c:v>
                </c:pt>
                <c:pt idx="142">
                  <c:v>9.9999999999999978E-2</c:v>
                </c:pt>
                <c:pt idx="143">
                  <c:v>0.20000000000000107</c:v>
                </c:pt>
                <c:pt idx="144">
                  <c:v>-2.2999999999999989</c:v>
                </c:pt>
                <c:pt idx="145">
                  <c:v>-0.29999999999999982</c:v>
                </c:pt>
                <c:pt idx="146">
                  <c:v>-0.5</c:v>
                </c:pt>
                <c:pt idx="147">
                  <c:v>-3</c:v>
                </c:pt>
                <c:pt idx="148">
                  <c:v>-5.3000000000000007</c:v>
                </c:pt>
                <c:pt idx="149">
                  <c:v>-6.9000000000000021</c:v>
                </c:pt>
                <c:pt idx="150">
                  <c:v>-5.0999999999999996</c:v>
                </c:pt>
                <c:pt idx="151">
                  <c:v>-0.79999999999999982</c:v>
                </c:pt>
                <c:pt idx="152">
                  <c:v>-1.1999999999999993</c:v>
                </c:pt>
                <c:pt idx="153">
                  <c:v>-2.6999999999999993</c:v>
                </c:pt>
                <c:pt idx="154">
                  <c:v>0.89999999999999858</c:v>
                </c:pt>
                <c:pt idx="155">
                  <c:v>4.3000000000000007</c:v>
                </c:pt>
                <c:pt idx="156">
                  <c:v>2.8000000000000007</c:v>
                </c:pt>
                <c:pt idx="157">
                  <c:v>9.2000000000000011</c:v>
                </c:pt>
                <c:pt idx="158">
                  <c:v>9.2999999999999989</c:v>
                </c:pt>
                <c:pt idx="159">
                  <c:v>12.1</c:v>
                </c:pt>
                <c:pt idx="160">
                  <c:v>2.6999999999999997</c:v>
                </c:pt>
                <c:pt idx="161">
                  <c:v>9.6999999999999993</c:v>
                </c:pt>
                <c:pt idx="162">
                  <c:v>6.3000000000000007</c:v>
                </c:pt>
                <c:pt idx="163">
                  <c:v>10.5</c:v>
                </c:pt>
                <c:pt idx="164">
                  <c:v>0.5</c:v>
                </c:pt>
                <c:pt idx="165">
                  <c:v>0.89999999999999991</c:v>
                </c:pt>
                <c:pt idx="166">
                  <c:v>8.7999999999999989</c:v>
                </c:pt>
                <c:pt idx="167">
                  <c:v>10.299999999999999</c:v>
                </c:pt>
                <c:pt idx="168">
                  <c:v>11.2</c:v>
                </c:pt>
                <c:pt idx="169">
                  <c:v>9.3000000000000007</c:v>
                </c:pt>
                <c:pt idx="170">
                  <c:v>10.3</c:v>
                </c:pt>
                <c:pt idx="171">
                  <c:v>8.3999999999999986</c:v>
                </c:pt>
                <c:pt idx="172">
                  <c:v>11.900000000000002</c:v>
                </c:pt>
                <c:pt idx="173">
                  <c:v>10.5</c:v>
                </c:pt>
                <c:pt idx="174">
                  <c:v>11.399999999999999</c:v>
                </c:pt>
                <c:pt idx="175">
                  <c:v>7.8000000000000007</c:v>
                </c:pt>
                <c:pt idx="176">
                  <c:v>7.5999999999999979</c:v>
                </c:pt>
                <c:pt idx="177">
                  <c:v>8.1999999999999993</c:v>
                </c:pt>
                <c:pt idx="178">
                  <c:v>9.9999999999999982</c:v>
                </c:pt>
                <c:pt idx="179">
                  <c:v>6.4</c:v>
                </c:pt>
                <c:pt idx="180">
                  <c:v>9</c:v>
                </c:pt>
                <c:pt idx="181">
                  <c:v>7.5</c:v>
                </c:pt>
                <c:pt idx="182">
                  <c:v>6.2000000000000011</c:v>
                </c:pt>
                <c:pt idx="183">
                  <c:v>8.6999999999999993</c:v>
                </c:pt>
                <c:pt idx="184">
                  <c:v>8.1</c:v>
                </c:pt>
                <c:pt idx="185">
                  <c:v>9.7999999999999989</c:v>
                </c:pt>
                <c:pt idx="186">
                  <c:v>8.8000000000000007</c:v>
                </c:pt>
                <c:pt idx="187">
                  <c:v>7.8000000000000007</c:v>
                </c:pt>
                <c:pt idx="188">
                  <c:v>5.5</c:v>
                </c:pt>
                <c:pt idx="189">
                  <c:v>8.1000000000000014</c:v>
                </c:pt>
                <c:pt idx="190">
                  <c:v>5.6999999999999993</c:v>
                </c:pt>
                <c:pt idx="191">
                  <c:v>7.7000000000000028</c:v>
                </c:pt>
                <c:pt idx="192">
                  <c:v>4.8000000000000007</c:v>
                </c:pt>
                <c:pt idx="193">
                  <c:v>8.8999999999999986</c:v>
                </c:pt>
                <c:pt idx="194">
                  <c:v>7.8000000000000007</c:v>
                </c:pt>
                <c:pt idx="195">
                  <c:v>7.4000000000000021</c:v>
                </c:pt>
                <c:pt idx="196">
                  <c:v>7.0999999999999979</c:v>
                </c:pt>
                <c:pt idx="197">
                  <c:v>8.7999999999999972</c:v>
                </c:pt>
                <c:pt idx="198">
                  <c:v>7.3999999999999986</c:v>
                </c:pt>
                <c:pt idx="199">
                  <c:v>7.3000000000000007</c:v>
                </c:pt>
                <c:pt idx="200">
                  <c:v>8.7000000000000028</c:v>
                </c:pt>
                <c:pt idx="201">
                  <c:v>7.6000000000000014</c:v>
                </c:pt>
                <c:pt idx="202">
                  <c:v>7.9000000000000021</c:v>
                </c:pt>
                <c:pt idx="203">
                  <c:v>8.3999999999999986</c:v>
                </c:pt>
                <c:pt idx="204">
                  <c:v>8.1000000000000014</c:v>
                </c:pt>
                <c:pt idx="205">
                  <c:v>10.000000000000002</c:v>
                </c:pt>
                <c:pt idx="206">
                  <c:v>8.3000000000000007</c:v>
                </c:pt>
                <c:pt idx="207">
                  <c:v>7.1999999999999993</c:v>
                </c:pt>
                <c:pt idx="208">
                  <c:v>7</c:v>
                </c:pt>
                <c:pt idx="209">
                  <c:v>6.7999999999999972</c:v>
                </c:pt>
                <c:pt idx="210">
                  <c:v>6.9000000000000021</c:v>
                </c:pt>
                <c:pt idx="211">
                  <c:v>7.3000000000000007</c:v>
                </c:pt>
                <c:pt idx="212">
                  <c:v>5.3000000000000007</c:v>
                </c:pt>
                <c:pt idx="213">
                  <c:v>6.5</c:v>
                </c:pt>
                <c:pt idx="214">
                  <c:v>6.8000000000000007</c:v>
                </c:pt>
                <c:pt idx="215">
                  <c:v>8.7999999999999972</c:v>
                </c:pt>
                <c:pt idx="216">
                  <c:v>7.1999999999999993</c:v>
                </c:pt>
                <c:pt idx="217">
                  <c:v>6.6999999999999993</c:v>
                </c:pt>
                <c:pt idx="218">
                  <c:v>8.8000000000000007</c:v>
                </c:pt>
                <c:pt idx="219">
                  <c:v>7.5999999999999979</c:v>
                </c:pt>
                <c:pt idx="220">
                  <c:v>7.1000000000000014</c:v>
                </c:pt>
                <c:pt idx="221">
                  <c:v>5.5</c:v>
                </c:pt>
                <c:pt idx="222">
                  <c:v>6.5999999999999979</c:v>
                </c:pt>
                <c:pt idx="223">
                  <c:v>6.3999999999999986</c:v>
                </c:pt>
                <c:pt idx="224">
                  <c:v>8.6000000000000014</c:v>
                </c:pt>
                <c:pt idx="225">
                  <c:v>8.2000000000000011</c:v>
                </c:pt>
                <c:pt idx="226">
                  <c:v>6.1000000000000014</c:v>
                </c:pt>
                <c:pt idx="227">
                  <c:v>5.8000000000000007</c:v>
                </c:pt>
                <c:pt idx="228">
                  <c:v>5.2000000000000028</c:v>
                </c:pt>
                <c:pt idx="229">
                  <c:v>6.1999999999999993</c:v>
                </c:pt>
                <c:pt idx="230">
                  <c:v>5.5999999999999979</c:v>
                </c:pt>
                <c:pt idx="231">
                  <c:v>6.6999999999999993</c:v>
                </c:pt>
                <c:pt idx="232">
                  <c:v>6.0999999999999979</c:v>
                </c:pt>
                <c:pt idx="233">
                  <c:v>7</c:v>
                </c:pt>
                <c:pt idx="234">
                  <c:v>5.5</c:v>
                </c:pt>
                <c:pt idx="235">
                  <c:v>6.3000000000000007</c:v>
                </c:pt>
                <c:pt idx="236">
                  <c:v>6.5</c:v>
                </c:pt>
                <c:pt idx="237">
                  <c:v>6.5999999999999979</c:v>
                </c:pt>
                <c:pt idx="238">
                  <c:v>6.6000000000000014</c:v>
                </c:pt>
                <c:pt idx="239">
                  <c:v>7.0999999999999979</c:v>
                </c:pt>
                <c:pt idx="240">
                  <c:v>6</c:v>
                </c:pt>
                <c:pt idx="241">
                  <c:v>7.8999999999999986</c:v>
                </c:pt>
                <c:pt idx="242">
                  <c:v>8.3000000000000007</c:v>
                </c:pt>
                <c:pt idx="243">
                  <c:v>5.8999999999999986</c:v>
                </c:pt>
                <c:pt idx="244">
                  <c:v>6</c:v>
                </c:pt>
                <c:pt idx="245">
                  <c:v>6.9000000000000021</c:v>
                </c:pt>
                <c:pt idx="246">
                  <c:v>5.3000000000000007</c:v>
                </c:pt>
                <c:pt idx="247">
                  <c:v>6.0000000000000036</c:v>
                </c:pt>
                <c:pt idx="248">
                  <c:v>5</c:v>
                </c:pt>
                <c:pt idx="249">
                  <c:v>6.2000000000000028</c:v>
                </c:pt>
                <c:pt idx="250">
                  <c:v>7.6999999999999993</c:v>
                </c:pt>
                <c:pt idx="251">
                  <c:v>8.3000000000000007</c:v>
                </c:pt>
                <c:pt idx="252">
                  <c:v>5.5</c:v>
                </c:pt>
                <c:pt idx="253">
                  <c:v>5.7999999999999972</c:v>
                </c:pt>
                <c:pt idx="254">
                  <c:v>5.3000000000000007</c:v>
                </c:pt>
                <c:pt idx="255">
                  <c:v>6.3000000000000007</c:v>
                </c:pt>
                <c:pt idx="256">
                  <c:v>5.6000000000000014</c:v>
                </c:pt>
                <c:pt idx="257">
                  <c:v>5.4000000000000021</c:v>
                </c:pt>
                <c:pt idx="258">
                  <c:v>5</c:v>
                </c:pt>
                <c:pt idx="259">
                  <c:v>4.5</c:v>
                </c:pt>
                <c:pt idx="260">
                  <c:v>4.7000000000000028</c:v>
                </c:pt>
                <c:pt idx="261">
                  <c:v>4.5</c:v>
                </c:pt>
                <c:pt idx="262">
                  <c:v>5.3999999999999986</c:v>
                </c:pt>
                <c:pt idx="263">
                  <c:v>8</c:v>
                </c:pt>
                <c:pt idx="264">
                  <c:v>5.6999999999999993</c:v>
                </c:pt>
                <c:pt idx="265">
                  <c:v>5.8999999999999986</c:v>
                </c:pt>
                <c:pt idx="266">
                  <c:v>2.7000000000000011</c:v>
                </c:pt>
                <c:pt idx="267">
                  <c:v>4.4000000000000004</c:v>
                </c:pt>
                <c:pt idx="268">
                  <c:v>0.39999999999999991</c:v>
                </c:pt>
                <c:pt idx="269">
                  <c:v>6.1000000000000005</c:v>
                </c:pt>
                <c:pt idx="270">
                  <c:v>3.5</c:v>
                </c:pt>
                <c:pt idx="271">
                  <c:v>2.2000000000000028</c:v>
                </c:pt>
                <c:pt idx="272">
                  <c:v>2.0999999999999979</c:v>
                </c:pt>
                <c:pt idx="273">
                  <c:v>1.6000000000000014</c:v>
                </c:pt>
                <c:pt idx="274">
                  <c:v>2.0999999999999979</c:v>
                </c:pt>
                <c:pt idx="275">
                  <c:v>2.5</c:v>
                </c:pt>
                <c:pt idx="276">
                  <c:v>2</c:v>
                </c:pt>
                <c:pt idx="277">
                  <c:v>4.6000000000000014</c:v>
                </c:pt>
                <c:pt idx="278">
                  <c:v>4</c:v>
                </c:pt>
                <c:pt idx="279">
                  <c:v>5.5999999999999979</c:v>
                </c:pt>
                <c:pt idx="280">
                  <c:v>4.0999999999999979</c:v>
                </c:pt>
                <c:pt idx="281">
                  <c:v>-1.2999999999999989</c:v>
                </c:pt>
                <c:pt idx="282">
                  <c:v>0</c:v>
                </c:pt>
                <c:pt idx="283">
                  <c:v>-9.9999999999999645E-2</c:v>
                </c:pt>
                <c:pt idx="284">
                  <c:v>2.5</c:v>
                </c:pt>
                <c:pt idx="285">
                  <c:v>2.7</c:v>
                </c:pt>
                <c:pt idx="286">
                  <c:v>1.4</c:v>
                </c:pt>
                <c:pt idx="287">
                  <c:v>3.0999999999999996</c:v>
                </c:pt>
                <c:pt idx="288">
                  <c:v>1.2000000000000002</c:v>
                </c:pt>
                <c:pt idx="289">
                  <c:v>-2.2999999999999998</c:v>
                </c:pt>
                <c:pt idx="290">
                  <c:v>0.89999999999999991</c:v>
                </c:pt>
                <c:pt idx="291">
                  <c:v>-0.8</c:v>
                </c:pt>
                <c:pt idx="292">
                  <c:v>-0.60000000000000009</c:v>
                </c:pt>
                <c:pt idx="293">
                  <c:v>1.9</c:v>
                </c:pt>
                <c:pt idx="294">
                  <c:v>3.1</c:v>
                </c:pt>
                <c:pt idx="295">
                  <c:v>0.70000000000000018</c:v>
                </c:pt>
                <c:pt idx="296">
                  <c:v>-0.40000000000000036</c:v>
                </c:pt>
                <c:pt idx="297">
                  <c:v>-0.30000000000000071</c:v>
                </c:pt>
                <c:pt idx="298">
                  <c:v>-5.0999999999999996</c:v>
                </c:pt>
                <c:pt idx="299">
                  <c:v>1.5999999999999999</c:v>
                </c:pt>
                <c:pt idx="300">
                  <c:v>-0.29999999999999982</c:v>
                </c:pt>
                <c:pt idx="301">
                  <c:v>-2.0999999999999996</c:v>
                </c:pt>
                <c:pt idx="302">
                  <c:v>-2.9000000000000004</c:v>
                </c:pt>
                <c:pt idx="303">
                  <c:v>-0.20000000000000018</c:v>
                </c:pt>
                <c:pt idx="304">
                  <c:v>-1.2999999999999998</c:v>
                </c:pt>
                <c:pt idx="305">
                  <c:v>-4.8999999999999995</c:v>
                </c:pt>
                <c:pt idx="306">
                  <c:v>-5.7</c:v>
                </c:pt>
                <c:pt idx="307">
                  <c:v>-1.9000000000000004</c:v>
                </c:pt>
                <c:pt idx="308">
                  <c:v>-1.2000000000000002</c:v>
                </c:pt>
                <c:pt idx="309">
                  <c:v>-1.9</c:v>
                </c:pt>
                <c:pt idx="310">
                  <c:v>-0.99999999999999978</c:v>
                </c:pt>
                <c:pt idx="311">
                  <c:v>0.10000000000000053</c:v>
                </c:pt>
                <c:pt idx="312">
                  <c:v>-1.8000000000000007</c:v>
                </c:pt>
                <c:pt idx="313">
                  <c:v>0.69999999999999929</c:v>
                </c:pt>
                <c:pt idx="314">
                  <c:v>0.40000000000000036</c:v>
                </c:pt>
                <c:pt idx="315">
                  <c:v>2</c:v>
                </c:pt>
                <c:pt idx="316">
                  <c:v>0.20000000000000018</c:v>
                </c:pt>
                <c:pt idx="317">
                  <c:v>-0.39999999999999991</c:v>
                </c:pt>
                <c:pt idx="318">
                  <c:v>0.89999999999999991</c:v>
                </c:pt>
                <c:pt idx="319">
                  <c:v>0.89999999999999991</c:v>
                </c:pt>
                <c:pt idx="320">
                  <c:v>-0.30000000000000004</c:v>
                </c:pt>
                <c:pt idx="321">
                  <c:v>-0.7</c:v>
                </c:pt>
                <c:pt idx="322">
                  <c:v>-0.69999999999999973</c:v>
                </c:pt>
                <c:pt idx="323">
                  <c:v>-1.3000000000000003</c:v>
                </c:pt>
                <c:pt idx="324">
                  <c:v>-1.2999999999999998</c:v>
                </c:pt>
                <c:pt idx="325">
                  <c:v>-4.5</c:v>
                </c:pt>
                <c:pt idx="326">
                  <c:v>0</c:v>
                </c:pt>
                <c:pt idx="327">
                  <c:v>0</c:v>
                </c:pt>
                <c:pt idx="328">
                  <c:v>-0.20000000000000018</c:v>
                </c:pt>
                <c:pt idx="329">
                  <c:v>0.79999999999999982</c:v>
                </c:pt>
                <c:pt idx="330">
                  <c:v>-1.9</c:v>
                </c:pt>
                <c:pt idx="331">
                  <c:v>-1.7</c:v>
                </c:pt>
                <c:pt idx="332">
                  <c:v>0.29999999999999993</c:v>
                </c:pt>
                <c:pt idx="333">
                  <c:v>1.2999999999999998</c:v>
                </c:pt>
                <c:pt idx="334">
                  <c:v>0</c:v>
                </c:pt>
                <c:pt idx="335">
                  <c:v>-3.1999999999999997</c:v>
                </c:pt>
                <c:pt idx="336">
                  <c:v>-4.5999999999999996</c:v>
                </c:pt>
                <c:pt idx="337">
                  <c:v>-2.4</c:v>
                </c:pt>
                <c:pt idx="338">
                  <c:v>-7.6000000000000005</c:v>
                </c:pt>
                <c:pt idx="339">
                  <c:v>-5.5</c:v>
                </c:pt>
                <c:pt idx="340">
                  <c:v>-3.2</c:v>
                </c:pt>
                <c:pt idx="341">
                  <c:v>-0.1</c:v>
                </c:pt>
                <c:pt idx="342">
                  <c:v>-1.0999999999999999</c:v>
                </c:pt>
                <c:pt idx="343">
                  <c:v>0.9</c:v>
                </c:pt>
                <c:pt idx="344">
                  <c:v>-0.10000000000000053</c:v>
                </c:pt>
                <c:pt idx="345">
                  <c:v>-0.79999999999999982</c:v>
                </c:pt>
                <c:pt idx="346">
                  <c:v>-0.70000000000000018</c:v>
                </c:pt>
                <c:pt idx="347">
                  <c:v>-0.39999999999999947</c:v>
                </c:pt>
                <c:pt idx="348">
                  <c:v>0.30000000000000027</c:v>
                </c:pt>
                <c:pt idx="349">
                  <c:v>-0.90000000000000036</c:v>
                </c:pt>
                <c:pt idx="350">
                  <c:v>-0.49999999999999956</c:v>
                </c:pt>
                <c:pt idx="351">
                  <c:v>0.39999999999999991</c:v>
                </c:pt>
                <c:pt idx="352">
                  <c:v>-0.90000000000000036</c:v>
                </c:pt>
                <c:pt idx="353">
                  <c:v>-0.5</c:v>
                </c:pt>
                <c:pt idx="354">
                  <c:v>-0.10000000000000009</c:v>
                </c:pt>
                <c:pt idx="355">
                  <c:v>-0.39999999999999991</c:v>
                </c:pt>
                <c:pt idx="356">
                  <c:v>-0.40000000000000036</c:v>
                </c:pt>
                <c:pt idx="357">
                  <c:v>-2.7</c:v>
                </c:pt>
                <c:pt idx="358">
                  <c:v>-2.0999999999999996</c:v>
                </c:pt>
                <c:pt idx="359">
                  <c:v>-0.5</c:v>
                </c:pt>
                <c:pt idx="360">
                  <c:v>-1.1000000000000001</c:v>
                </c:pt>
                <c:pt idx="361">
                  <c:v>-2.0999999999999996</c:v>
                </c:pt>
                <c:pt idx="362">
                  <c:v>-0.30000000000000071</c:v>
                </c:pt>
                <c:pt idx="363">
                  <c:v>-1.5</c:v>
                </c:pt>
                <c:pt idx="364">
                  <c:v>0.70000000000000018</c:v>
                </c:pt>
                <c:pt idx="365">
                  <c:v>-0.50000000000000022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Data!$CT$6:$CT$371</c:f>
              <c:numCache>
                <c:formatCode>General</c:formatCode>
                <c:ptCount val="366"/>
                <c:pt idx="0">
                  <c:v>-2.2999999999999998</c:v>
                </c:pt>
                <c:pt idx="1">
                  <c:v>-1.0999999999999996</c:v>
                </c:pt>
                <c:pt idx="2">
                  <c:v>-0.19999999999999929</c:v>
                </c:pt>
                <c:pt idx="3">
                  <c:v>-3.6000000000000005</c:v>
                </c:pt>
                <c:pt idx="4">
                  <c:v>-3.1999999999999993</c:v>
                </c:pt>
                <c:pt idx="5">
                  <c:v>-0.19999999999999929</c:v>
                </c:pt>
                <c:pt idx="6">
                  <c:v>-0.40000000000000036</c:v>
                </c:pt>
                <c:pt idx="7">
                  <c:v>-6.1999999999999993</c:v>
                </c:pt>
                <c:pt idx="8">
                  <c:v>-6.1000000000000014</c:v>
                </c:pt>
                <c:pt idx="9">
                  <c:v>-3.2000000000000011</c:v>
                </c:pt>
                <c:pt idx="10">
                  <c:v>-0.70000000000000107</c:v>
                </c:pt>
                <c:pt idx="11">
                  <c:v>-0.30000000000000071</c:v>
                </c:pt>
                <c:pt idx="12">
                  <c:v>-0.60000000000000142</c:v>
                </c:pt>
                <c:pt idx="13">
                  <c:v>-2.6999999999999993</c:v>
                </c:pt>
                <c:pt idx="14">
                  <c:v>-3.1999999999999993</c:v>
                </c:pt>
                <c:pt idx="15">
                  <c:v>-1.5999999999999996</c:v>
                </c:pt>
                <c:pt idx="16">
                  <c:v>-5.4000000000000021</c:v>
                </c:pt>
                <c:pt idx="17">
                  <c:v>-1.5999999999999996</c:v>
                </c:pt>
                <c:pt idx="18">
                  <c:v>-0.70000000000000018</c:v>
                </c:pt>
                <c:pt idx="19">
                  <c:v>-2.0999999999999996</c:v>
                </c:pt>
                <c:pt idx="20">
                  <c:v>-2.2000000000000002</c:v>
                </c:pt>
                <c:pt idx="21">
                  <c:v>-2.5000000000000009</c:v>
                </c:pt>
                <c:pt idx="22">
                  <c:v>-1</c:v>
                </c:pt>
                <c:pt idx="23">
                  <c:v>-5.7000000000000011</c:v>
                </c:pt>
                <c:pt idx="24">
                  <c:v>-5.4</c:v>
                </c:pt>
                <c:pt idx="25">
                  <c:v>-3</c:v>
                </c:pt>
                <c:pt idx="26">
                  <c:v>-4.3000000000000007</c:v>
                </c:pt>
                <c:pt idx="27">
                  <c:v>-4.8</c:v>
                </c:pt>
                <c:pt idx="28">
                  <c:v>-6</c:v>
                </c:pt>
                <c:pt idx="29">
                  <c:v>-5.4</c:v>
                </c:pt>
                <c:pt idx="30">
                  <c:v>-0.69999999999999973</c:v>
                </c:pt>
                <c:pt idx="31">
                  <c:v>-4.3000000000000007</c:v>
                </c:pt>
                <c:pt idx="32">
                  <c:v>-5.5999999999999979</c:v>
                </c:pt>
                <c:pt idx="33">
                  <c:v>-6.0999999999999979</c:v>
                </c:pt>
                <c:pt idx="34">
                  <c:v>-4.8999999999999986</c:v>
                </c:pt>
                <c:pt idx="35">
                  <c:v>-0.60000000000000053</c:v>
                </c:pt>
                <c:pt idx="36">
                  <c:v>-1</c:v>
                </c:pt>
                <c:pt idx="37">
                  <c:v>-3.3000000000000007</c:v>
                </c:pt>
                <c:pt idx="38">
                  <c:v>-0.80000000000000071</c:v>
                </c:pt>
                <c:pt idx="39">
                  <c:v>-4.4000000000000021</c:v>
                </c:pt>
                <c:pt idx="40">
                  <c:v>-3.2999999999999989</c:v>
                </c:pt>
                <c:pt idx="41">
                  <c:v>-3.5999999999999996</c:v>
                </c:pt>
                <c:pt idx="42">
                  <c:v>-4.3</c:v>
                </c:pt>
                <c:pt idx="43">
                  <c:v>-3.0999999999999996</c:v>
                </c:pt>
                <c:pt idx="44">
                  <c:v>-1.5999999999999996</c:v>
                </c:pt>
                <c:pt idx="45">
                  <c:v>-1.5999999999999996</c:v>
                </c:pt>
                <c:pt idx="46">
                  <c:v>-2.0999999999999996</c:v>
                </c:pt>
                <c:pt idx="47">
                  <c:v>-2.5</c:v>
                </c:pt>
                <c:pt idx="48">
                  <c:v>-4.6999999999999993</c:v>
                </c:pt>
                <c:pt idx="49">
                  <c:v>-4.8000000000000007</c:v>
                </c:pt>
                <c:pt idx="50">
                  <c:v>-5.4</c:v>
                </c:pt>
                <c:pt idx="51">
                  <c:v>-5.6000000000000014</c:v>
                </c:pt>
                <c:pt idx="52">
                  <c:v>-4.5999999999999996</c:v>
                </c:pt>
                <c:pt idx="53">
                  <c:v>-1.5999999999999996</c:v>
                </c:pt>
                <c:pt idx="54">
                  <c:v>-4.2999999999999989</c:v>
                </c:pt>
                <c:pt idx="55">
                  <c:v>-3.9000000000000021</c:v>
                </c:pt>
                <c:pt idx="56">
                  <c:v>-4.4000000000000004</c:v>
                </c:pt>
                <c:pt idx="58">
                  <c:v>-5.0000000000000009</c:v>
                </c:pt>
                <c:pt idx="59">
                  <c:v>-2.2000000000000011</c:v>
                </c:pt>
                <c:pt idx="60">
                  <c:v>-5.8999999999999986</c:v>
                </c:pt>
                <c:pt idx="61">
                  <c:v>-2.0999999999999996</c:v>
                </c:pt>
                <c:pt idx="62">
                  <c:v>-5.0999999999999996</c:v>
                </c:pt>
                <c:pt idx="63">
                  <c:v>-5.2999999999999989</c:v>
                </c:pt>
                <c:pt idx="64">
                  <c:v>-3.5000000000000009</c:v>
                </c:pt>
                <c:pt idx="65">
                  <c:v>-4.5999999999999996</c:v>
                </c:pt>
                <c:pt idx="66">
                  <c:v>-4.4000000000000004</c:v>
                </c:pt>
                <c:pt idx="67">
                  <c:v>-5.6000000000000014</c:v>
                </c:pt>
                <c:pt idx="68">
                  <c:v>-5.6000000000000014</c:v>
                </c:pt>
                <c:pt idx="69">
                  <c:v>-5.0999999999999996</c:v>
                </c:pt>
                <c:pt idx="70">
                  <c:v>-6.1999999999999993</c:v>
                </c:pt>
                <c:pt idx="71">
                  <c:v>-6.1999999999999993</c:v>
                </c:pt>
                <c:pt idx="72">
                  <c:v>-0.80000000000000071</c:v>
                </c:pt>
                <c:pt idx="73">
                  <c:v>-2.3000000000000007</c:v>
                </c:pt>
                <c:pt idx="74">
                  <c:v>-2.9000000000000021</c:v>
                </c:pt>
                <c:pt idx="75">
                  <c:v>-3.4000000000000004</c:v>
                </c:pt>
                <c:pt idx="76">
                  <c:v>-4.9000000000000004</c:v>
                </c:pt>
                <c:pt idx="77">
                  <c:v>-5.6000000000000005</c:v>
                </c:pt>
                <c:pt idx="78">
                  <c:v>-5.2999999999999989</c:v>
                </c:pt>
                <c:pt idx="79">
                  <c:v>-6.2</c:v>
                </c:pt>
                <c:pt idx="80">
                  <c:v>-5.9</c:v>
                </c:pt>
                <c:pt idx="81">
                  <c:v>-5.2000000000000011</c:v>
                </c:pt>
                <c:pt idx="82">
                  <c:v>-4.8000000000000007</c:v>
                </c:pt>
                <c:pt idx="83">
                  <c:v>-4.5999999999999996</c:v>
                </c:pt>
                <c:pt idx="84">
                  <c:v>-4.6000000000000014</c:v>
                </c:pt>
                <c:pt idx="85">
                  <c:v>-4.9000000000000004</c:v>
                </c:pt>
                <c:pt idx="86">
                  <c:v>-0.59999999999999964</c:v>
                </c:pt>
                <c:pt idx="87">
                  <c:v>-3.5</c:v>
                </c:pt>
                <c:pt idx="88">
                  <c:v>-2.7</c:v>
                </c:pt>
                <c:pt idx="89">
                  <c:v>-3.6999999999999993</c:v>
                </c:pt>
                <c:pt idx="90">
                  <c:v>-3.1999999999999993</c:v>
                </c:pt>
                <c:pt idx="91">
                  <c:v>-4.6999999999999993</c:v>
                </c:pt>
                <c:pt idx="92">
                  <c:v>-5.1999999999999993</c:v>
                </c:pt>
                <c:pt idx="93">
                  <c:v>-5.5</c:v>
                </c:pt>
                <c:pt idx="94">
                  <c:v>-3.6999999999999993</c:v>
                </c:pt>
                <c:pt idx="95">
                  <c:v>-4.3999999999999986</c:v>
                </c:pt>
                <c:pt idx="96">
                  <c:v>-5</c:v>
                </c:pt>
                <c:pt idx="97">
                  <c:v>-4.1000000000000005</c:v>
                </c:pt>
                <c:pt idx="98">
                  <c:v>-4.5</c:v>
                </c:pt>
                <c:pt idx="99">
                  <c:v>-4.5</c:v>
                </c:pt>
                <c:pt idx="100">
                  <c:v>-0.29999999999999982</c:v>
                </c:pt>
                <c:pt idx="101">
                  <c:v>-6.4000000000000021</c:v>
                </c:pt>
                <c:pt idx="102">
                  <c:v>-6.1000000000000014</c:v>
                </c:pt>
                <c:pt idx="103">
                  <c:v>-6</c:v>
                </c:pt>
                <c:pt idx="104">
                  <c:v>-0.49999999999999956</c:v>
                </c:pt>
                <c:pt idx="105">
                  <c:v>-3.8999999999999995</c:v>
                </c:pt>
                <c:pt idx="106">
                  <c:v>-4.7000000000000011</c:v>
                </c:pt>
                <c:pt idx="107">
                  <c:v>-4.4000000000000004</c:v>
                </c:pt>
                <c:pt idx="108">
                  <c:v>-2.2999999999999998</c:v>
                </c:pt>
                <c:pt idx="109">
                  <c:v>-3</c:v>
                </c:pt>
                <c:pt idx="110">
                  <c:v>-3.3</c:v>
                </c:pt>
                <c:pt idx="111">
                  <c:v>-1.7999999999999998</c:v>
                </c:pt>
                <c:pt idx="112">
                  <c:v>-1.4000000000000004</c:v>
                </c:pt>
                <c:pt idx="113">
                  <c:v>-3.0999999999999996</c:v>
                </c:pt>
                <c:pt idx="114">
                  <c:v>-2.2999999999999998</c:v>
                </c:pt>
                <c:pt idx="115">
                  <c:v>-2.2999999999999998</c:v>
                </c:pt>
                <c:pt idx="116">
                  <c:v>-2.7</c:v>
                </c:pt>
                <c:pt idx="117">
                  <c:v>-3.3</c:v>
                </c:pt>
                <c:pt idx="118">
                  <c:v>-3</c:v>
                </c:pt>
                <c:pt idx="119">
                  <c:v>-2.2000000000000002</c:v>
                </c:pt>
                <c:pt idx="120">
                  <c:v>-2.1999999999999997</c:v>
                </c:pt>
                <c:pt idx="121">
                  <c:v>-2.6</c:v>
                </c:pt>
                <c:pt idx="122">
                  <c:v>-2</c:v>
                </c:pt>
                <c:pt idx="123">
                  <c:v>-3</c:v>
                </c:pt>
                <c:pt idx="124">
                  <c:v>-3.5</c:v>
                </c:pt>
                <c:pt idx="125">
                  <c:v>-3.5</c:v>
                </c:pt>
                <c:pt idx="126">
                  <c:v>-0.80000000000000027</c:v>
                </c:pt>
                <c:pt idx="127">
                  <c:v>-2.1999999999999997</c:v>
                </c:pt>
                <c:pt idx="128">
                  <c:v>-3.9000000000000004</c:v>
                </c:pt>
                <c:pt idx="129">
                  <c:v>-4.4000000000000004</c:v>
                </c:pt>
                <c:pt idx="130">
                  <c:v>-4.1000000000000005</c:v>
                </c:pt>
                <c:pt idx="131">
                  <c:v>-2.6</c:v>
                </c:pt>
                <c:pt idx="132">
                  <c:v>-0.6</c:v>
                </c:pt>
                <c:pt idx="133">
                  <c:v>-2.4000000000000004</c:v>
                </c:pt>
                <c:pt idx="134">
                  <c:v>-1</c:v>
                </c:pt>
                <c:pt idx="135">
                  <c:v>-1.9</c:v>
                </c:pt>
                <c:pt idx="136">
                  <c:v>-2.2000000000000002</c:v>
                </c:pt>
                <c:pt idx="137">
                  <c:v>-0.8</c:v>
                </c:pt>
                <c:pt idx="138">
                  <c:v>-0.89999999999999991</c:v>
                </c:pt>
                <c:pt idx="139">
                  <c:v>-2.8</c:v>
                </c:pt>
                <c:pt idx="140">
                  <c:v>-1.2999999999999998</c:v>
                </c:pt>
                <c:pt idx="141">
                  <c:v>-0.19999999999999996</c:v>
                </c:pt>
                <c:pt idx="142">
                  <c:v>-0.40000000000000013</c:v>
                </c:pt>
                <c:pt idx="143">
                  <c:v>-0.59999999999999987</c:v>
                </c:pt>
                <c:pt idx="144">
                  <c:v>-3.0999999999999996</c:v>
                </c:pt>
                <c:pt idx="145">
                  <c:v>-1.9999999999999998</c:v>
                </c:pt>
                <c:pt idx="146">
                  <c:v>-1.2</c:v>
                </c:pt>
                <c:pt idx="147">
                  <c:v>-2.5</c:v>
                </c:pt>
                <c:pt idx="148">
                  <c:v>-4</c:v>
                </c:pt>
                <c:pt idx="149">
                  <c:v>-4.7</c:v>
                </c:pt>
                <c:pt idx="150">
                  <c:v>-2.7</c:v>
                </c:pt>
                <c:pt idx="151">
                  <c:v>-1.5999999999999999</c:v>
                </c:pt>
                <c:pt idx="152">
                  <c:v>-1.7000000000000002</c:v>
                </c:pt>
                <c:pt idx="153">
                  <c:v>-2</c:v>
                </c:pt>
                <c:pt idx="154">
                  <c:v>-2</c:v>
                </c:pt>
                <c:pt idx="155">
                  <c:v>-1.7999999999999998</c:v>
                </c:pt>
                <c:pt idx="156">
                  <c:v>-1.5</c:v>
                </c:pt>
                <c:pt idx="157">
                  <c:v>-2.7</c:v>
                </c:pt>
                <c:pt idx="158">
                  <c:v>-0.5</c:v>
                </c:pt>
                <c:pt idx="159">
                  <c:v>-1.1000000000000001</c:v>
                </c:pt>
                <c:pt idx="160">
                  <c:v>-0.89999999999999991</c:v>
                </c:pt>
                <c:pt idx="161">
                  <c:v>-0.89999999999999991</c:v>
                </c:pt>
                <c:pt idx="162">
                  <c:v>-2.3999999999999995</c:v>
                </c:pt>
                <c:pt idx="163">
                  <c:v>-0.5</c:v>
                </c:pt>
                <c:pt idx="164">
                  <c:v>-0.30000000000000004</c:v>
                </c:pt>
                <c:pt idx="165">
                  <c:v>-1</c:v>
                </c:pt>
                <c:pt idx="166">
                  <c:v>-1.2</c:v>
                </c:pt>
                <c:pt idx="167">
                  <c:v>-0.30000000000000004</c:v>
                </c:pt>
                <c:pt idx="168">
                  <c:v>-2.0999999999999996</c:v>
                </c:pt>
                <c:pt idx="169">
                  <c:v>-2.3999999999999995</c:v>
                </c:pt>
                <c:pt idx="170">
                  <c:v>-3.3</c:v>
                </c:pt>
                <c:pt idx="171">
                  <c:v>-2</c:v>
                </c:pt>
                <c:pt idx="172">
                  <c:v>-1.8000000000000007</c:v>
                </c:pt>
                <c:pt idx="173">
                  <c:v>-2.7</c:v>
                </c:pt>
                <c:pt idx="174">
                  <c:v>-2.9999999999999991</c:v>
                </c:pt>
                <c:pt idx="175">
                  <c:v>-1.3999999999999995</c:v>
                </c:pt>
                <c:pt idx="176">
                  <c:v>-1.9000000000000004</c:v>
                </c:pt>
                <c:pt idx="177">
                  <c:v>-1.8999999999999995</c:v>
                </c:pt>
                <c:pt idx="178">
                  <c:v>0</c:v>
                </c:pt>
                <c:pt idx="179">
                  <c:v>-0.10000000000000009</c:v>
                </c:pt>
                <c:pt idx="180">
                  <c:v>-1.5999999999999996</c:v>
                </c:pt>
                <c:pt idx="181">
                  <c:v>0.19999999999999973</c:v>
                </c:pt>
                <c:pt idx="182">
                  <c:v>0.10000000000000009</c:v>
                </c:pt>
                <c:pt idx="183">
                  <c:v>0</c:v>
                </c:pt>
                <c:pt idx="184">
                  <c:v>-2.1999999999999997</c:v>
                </c:pt>
                <c:pt idx="185">
                  <c:v>-0.59999999999999987</c:v>
                </c:pt>
                <c:pt idx="186">
                  <c:v>-1.9</c:v>
                </c:pt>
                <c:pt idx="187">
                  <c:v>-2.4000000000000004</c:v>
                </c:pt>
                <c:pt idx="188">
                  <c:v>-1.1000000000000001</c:v>
                </c:pt>
                <c:pt idx="189">
                  <c:v>-1.1999999999999997</c:v>
                </c:pt>
                <c:pt idx="190">
                  <c:v>-1.5</c:v>
                </c:pt>
                <c:pt idx="191">
                  <c:v>-1.2999999999999998</c:v>
                </c:pt>
                <c:pt idx="192">
                  <c:v>-1.8000000000000007</c:v>
                </c:pt>
                <c:pt idx="193">
                  <c:v>-0.8</c:v>
                </c:pt>
                <c:pt idx="194">
                  <c:v>-1.4</c:v>
                </c:pt>
                <c:pt idx="195">
                  <c:v>-2.6</c:v>
                </c:pt>
                <c:pt idx="196">
                  <c:v>-3.3000000000000007</c:v>
                </c:pt>
                <c:pt idx="197">
                  <c:v>-1.7999999999999998</c:v>
                </c:pt>
                <c:pt idx="198">
                  <c:v>-2.1999999999999993</c:v>
                </c:pt>
                <c:pt idx="199">
                  <c:v>-2.2999999999999998</c:v>
                </c:pt>
                <c:pt idx="200">
                  <c:v>-2.9000000000000004</c:v>
                </c:pt>
                <c:pt idx="201">
                  <c:v>-2.8</c:v>
                </c:pt>
                <c:pt idx="202">
                  <c:v>-3.1999999999999993</c:v>
                </c:pt>
                <c:pt idx="203">
                  <c:v>-2.4000000000000004</c:v>
                </c:pt>
                <c:pt idx="204">
                  <c:v>-1.5</c:v>
                </c:pt>
                <c:pt idx="205">
                  <c:v>-1.5</c:v>
                </c:pt>
                <c:pt idx="206">
                  <c:v>-2.2000000000000002</c:v>
                </c:pt>
                <c:pt idx="207">
                  <c:v>-2.9000000000000004</c:v>
                </c:pt>
                <c:pt idx="208">
                  <c:v>-4.5999999999999996</c:v>
                </c:pt>
                <c:pt idx="209">
                  <c:v>-3.5</c:v>
                </c:pt>
                <c:pt idx="210">
                  <c:v>-3.5000000000000009</c:v>
                </c:pt>
                <c:pt idx="211">
                  <c:v>-4.6000000000000014</c:v>
                </c:pt>
                <c:pt idx="212">
                  <c:v>-4.2000000000000011</c:v>
                </c:pt>
                <c:pt idx="213">
                  <c:v>-3.9000000000000004</c:v>
                </c:pt>
                <c:pt idx="214">
                  <c:v>-1.7000000000000011</c:v>
                </c:pt>
                <c:pt idx="215">
                  <c:v>-2.5999999999999996</c:v>
                </c:pt>
                <c:pt idx="216">
                  <c:v>-3</c:v>
                </c:pt>
                <c:pt idx="217">
                  <c:v>-4.7</c:v>
                </c:pt>
                <c:pt idx="218">
                  <c:v>-1.3</c:v>
                </c:pt>
                <c:pt idx="219">
                  <c:v>-0.19999999999999973</c:v>
                </c:pt>
                <c:pt idx="220">
                  <c:v>-0.79999999999999982</c:v>
                </c:pt>
                <c:pt idx="221">
                  <c:v>-2.3000000000000003</c:v>
                </c:pt>
                <c:pt idx="222">
                  <c:v>-2.8999999999999995</c:v>
                </c:pt>
                <c:pt idx="223">
                  <c:v>-2.7</c:v>
                </c:pt>
                <c:pt idx="224">
                  <c:v>-2</c:v>
                </c:pt>
                <c:pt idx="225">
                  <c:v>-2.1</c:v>
                </c:pt>
                <c:pt idx="226">
                  <c:v>-3.4</c:v>
                </c:pt>
                <c:pt idx="227">
                  <c:v>-3</c:v>
                </c:pt>
                <c:pt idx="228">
                  <c:v>-4.5999999999999996</c:v>
                </c:pt>
                <c:pt idx="229">
                  <c:v>-4.4000000000000004</c:v>
                </c:pt>
                <c:pt idx="230">
                  <c:v>-4.5999999999999996</c:v>
                </c:pt>
                <c:pt idx="231">
                  <c:v>-3.2999999999999989</c:v>
                </c:pt>
                <c:pt idx="232">
                  <c:v>-2.1999999999999993</c:v>
                </c:pt>
                <c:pt idx="233">
                  <c:v>-1.3999999999999995</c:v>
                </c:pt>
                <c:pt idx="234">
                  <c:v>-2.1</c:v>
                </c:pt>
                <c:pt idx="235">
                  <c:v>-4</c:v>
                </c:pt>
                <c:pt idx="236">
                  <c:v>-1.6000000000000005</c:v>
                </c:pt>
                <c:pt idx="237">
                  <c:v>-2.2000000000000002</c:v>
                </c:pt>
                <c:pt idx="238">
                  <c:v>-4.0999999999999996</c:v>
                </c:pt>
                <c:pt idx="239">
                  <c:v>-3.9</c:v>
                </c:pt>
                <c:pt idx="240">
                  <c:v>-3.9000000000000004</c:v>
                </c:pt>
                <c:pt idx="241">
                  <c:v>-3.2</c:v>
                </c:pt>
                <c:pt idx="242">
                  <c:v>-2.4</c:v>
                </c:pt>
                <c:pt idx="243">
                  <c:v>0</c:v>
                </c:pt>
                <c:pt idx="244">
                  <c:v>-2.3999999999999995</c:v>
                </c:pt>
                <c:pt idx="245">
                  <c:v>-2.8</c:v>
                </c:pt>
                <c:pt idx="246">
                  <c:v>-3.5</c:v>
                </c:pt>
                <c:pt idx="247">
                  <c:v>-4.8000000000000007</c:v>
                </c:pt>
                <c:pt idx="248">
                  <c:v>-4.2999999999999989</c:v>
                </c:pt>
                <c:pt idx="249">
                  <c:v>-2.0999999999999996</c:v>
                </c:pt>
                <c:pt idx="250">
                  <c:v>-4.5</c:v>
                </c:pt>
                <c:pt idx="251">
                  <c:v>-4.4000000000000004</c:v>
                </c:pt>
                <c:pt idx="252">
                  <c:v>-3.9999999999999996</c:v>
                </c:pt>
                <c:pt idx="253">
                  <c:v>-4.7</c:v>
                </c:pt>
                <c:pt idx="254">
                  <c:v>-5</c:v>
                </c:pt>
                <c:pt idx="255">
                  <c:v>-5.1000000000000005</c:v>
                </c:pt>
                <c:pt idx="256">
                  <c:v>-5.0999999999999996</c:v>
                </c:pt>
                <c:pt idx="257">
                  <c:v>-1</c:v>
                </c:pt>
                <c:pt idx="258">
                  <c:v>-3.1999999999999993</c:v>
                </c:pt>
                <c:pt idx="259">
                  <c:v>-2.9000000000000004</c:v>
                </c:pt>
                <c:pt idx="260">
                  <c:v>-4.7000000000000011</c:v>
                </c:pt>
                <c:pt idx="261">
                  <c:v>-2.5</c:v>
                </c:pt>
                <c:pt idx="262">
                  <c:v>-1.5</c:v>
                </c:pt>
                <c:pt idx="263">
                  <c:v>-2.2000000000000002</c:v>
                </c:pt>
                <c:pt idx="264">
                  <c:v>-3.4</c:v>
                </c:pt>
                <c:pt idx="265">
                  <c:v>-2.5999999999999996</c:v>
                </c:pt>
                <c:pt idx="266">
                  <c:v>-1.4000000000000001</c:v>
                </c:pt>
                <c:pt idx="267">
                  <c:v>-1.5</c:v>
                </c:pt>
                <c:pt idx="268">
                  <c:v>-0.9</c:v>
                </c:pt>
                <c:pt idx="269">
                  <c:v>-0.7</c:v>
                </c:pt>
                <c:pt idx="270">
                  <c:v>-1.2000000000000002</c:v>
                </c:pt>
                <c:pt idx="271">
                  <c:v>-3.1</c:v>
                </c:pt>
                <c:pt idx="272">
                  <c:v>-4.6000000000000005</c:v>
                </c:pt>
                <c:pt idx="273">
                  <c:v>-4.7999999999999989</c:v>
                </c:pt>
                <c:pt idx="274">
                  <c:v>-4.4000000000000004</c:v>
                </c:pt>
                <c:pt idx="275">
                  <c:v>-4.2</c:v>
                </c:pt>
                <c:pt idx="276">
                  <c:v>-3.8999999999999995</c:v>
                </c:pt>
                <c:pt idx="277">
                  <c:v>-3.4</c:v>
                </c:pt>
                <c:pt idx="278">
                  <c:v>-3.1999999999999997</c:v>
                </c:pt>
                <c:pt idx="279">
                  <c:v>-2.9000000000000004</c:v>
                </c:pt>
                <c:pt idx="280">
                  <c:v>-3.0000000000000004</c:v>
                </c:pt>
                <c:pt idx="281">
                  <c:v>-2.7</c:v>
                </c:pt>
                <c:pt idx="282">
                  <c:v>-2.0999999999999996</c:v>
                </c:pt>
                <c:pt idx="283">
                  <c:v>-0.49999999999999978</c:v>
                </c:pt>
                <c:pt idx="284">
                  <c:v>-0.5</c:v>
                </c:pt>
                <c:pt idx="285">
                  <c:v>-2.7</c:v>
                </c:pt>
                <c:pt idx="286">
                  <c:v>-0.19999999999999973</c:v>
                </c:pt>
                <c:pt idx="287">
                  <c:v>-3.3999999999999995</c:v>
                </c:pt>
                <c:pt idx="288">
                  <c:v>-0.5</c:v>
                </c:pt>
                <c:pt idx="289">
                  <c:v>-0.29999999999999982</c:v>
                </c:pt>
                <c:pt idx="290">
                  <c:v>-0.19999999999999929</c:v>
                </c:pt>
                <c:pt idx="291">
                  <c:v>-0.19999999999999929</c:v>
                </c:pt>
                <c:pt idx="292">
                  <c:v>-0.60000000000000009</c:v>
                </c:pt>
                <c:pt idx="293">
                  <c:v>-1.8000000000000007</c:v>
                </c:pt>
                <c:pt idx="294">
                  <c:v>-6.0999999999999979</c:v>
                </c:pt>
                <c:pt idx="295">
                  <c:v>-5.6</c:v>
                </c:pt>
                <c:pt idx="296">
                  <c:v>-1.7999999999999989</c:v>
                </c:pt>
                <c:pt idx="297">
                  <c:v>-0.29999999999999893</c:v>
                </c:pt>
                <c:pt idx="298">
                  <c:v>-6.5999999999999979</c:v>
                </c:pt>
                <c:pt idx="299">
                  <c:v>-0.69999999999999929</c:v>
                </c:pt>
                <c:pt idx="300">
                  <c:v>-4.1000000000000005</c:v>
                </c:pt>
                <c:pt idx="301">
                  <c:v>-1.4</c:v>
                </c:pt>
                <c:pt idx="302">
                  <c:v>-3</c:v>
                </c:pt>
                <c:pt idx="303">
                  <c:v>-3.9</c:v>
                </c:pt>
                <c:pt idx="304">
                  <c:v>-4.6000000000000005</c:v>
                </c:pt>
                <c:pt idx="305">
                  <c:v>-5.1000000000000005</c:v>
                </c:pt>
                <c:pt idx="306">
                  <c:v>-3.7</c:v>
                </c:pt>
                <c:pt idx="307">
                  <c:v>-1.4</c:v>
                </c:pt>
                <c:pt idx="308">
                  <c:v>-1</c:v>
                </c:pt>
                <c:pt idx="309">
                  <c:v>-3.9000000000000004</c:v>
                </c:pt>
                <c:pt idx="310">
                  <c:v>-4.7</c:v>
                </c:pt>
                <c:pt idx="311">
                  <c:v>-1.2999999999999989</c:v>
                </c:pt>
                <c:pt idx="312">
                  <c:v>-2.7999999999999989</c:v>
                </c:pt>
                <c:pt idx="313">
                  <c:v>-6.1000000000000014</c:v>
                </c:pt>
                <c:pt idx="314">
                  <c:v>-0.29999999999999893</c:v>
                </c:pt>
                <c:pt idx="315">
                  <c:v>-2.1999999999999993</c:v>
                </c:pt>
                <c:pt idx="316">
                  <c:v>-0.5</c:v>
                </c:pt>
                <c:pt idx="317">
                  <c:v>-0.29999999999999893</c:v>
                </c:pt>
                <c:pt idx="318">
                  <c:v>-3.8000000000000007</c:v>
                </c:pt>
                <c:pt idx="319">
                  <c:v>-5.6000000000000005</c:v>
                </c:pt>
                <c:pt idx="320">
                  <c:v>-4.4999999999999991</c:v>
                </c:pt>
                <c:pt idx="321">
                  <c:v>-1.7000000000000002</c:v>
                </c:pt>
                <c:pt idx="322">
                  <c:v>-4.1999999999999993</c:v>
                </c:pt>
                <c:pt idx="323">
                  <c:v>-5.8999999999999986</c:v>
                </c:pt>
                <c:pt idx="324">
                  <c:v>-4.8</c:v>
                </c:pt>
                <c:pt idx="325">
                  <c:v>-5.3000000000000007</c:v>
                </c:pt>
                <c:pt idx="326">
                  <c:v>-1.6000000000000005</c:v>
                </c:pt>
                <c:pt idx="327">
                  <c:v>-3.8000000000000007</c:v>
                </c:pt>
                <c:pt idx="328">
                  <c:v>-3.4999999999999991</c:v>
                </c:pt>
                <c:pt idx="329">
                  <c:v>-3.3</c:v>
                </c:pt>
                <c:pt idx="330">
                  <c:v>-5.0999999999999996</c:v>
                </c:pt>
                <c:pt idx="331">
                  <c:v>-2</c:v>
                </c:pt>
                <c:pt idx="332">
                  <c:v>-5.5000000000000009</c:v>
                </c:pt>
                <c:pt idx="333">
                  <c:v>-3.8</c:v>
                </c:pt>
                <c:pt idx="334">
                  <c:v>-4.3000000000000007</c:v>
                </c:pt>
                <c:pt idx="335">
                  <c:v>-5</c:v>
                </c:pt>
                <c:pt idx="336">
                  <c:v>-4.9999999999999991</c:v>
                </c:pt>
                <c:pt idx="337">
                  <c:v>-4.5</c:v>
                </c:pt>
                <c:pt idx="338">
                  <c:v>-6.5</c:v>
                </c:pt>
                <c:pt idx="339">
                  <c:v>-4.6000000000000005</c:v>
                </c:pt>
                <c:pt idx="340">
                  <c:v>-5.4</c:v>
                </c:pt>
                <c:pt idx="341">
                  <c:v>-0.89999999999999947</c:v>
                </c:pt>
                <c:pt idx="342">
                  <c:v>0.40000000000000036</c:v>
                </c:pt>
                <c:pt idx="343">
                  <c:v>-4</c:v>
                </c:pt>
                <c:pt idx="344">
                  <c:v>-6.2999999999999989</c:v>
                </c:pt>
                <c:pt idx="345">
                  <c:v>-2.4999999999999991</c:v>
                </c:pt>
                <c:pt idx="346">
                  <c:v>-0.29999999999999893</c:v>
                </c:pt>
                <c:pt idx="347">
                  <c:v>-0.30000000000000071</c:v>
                </c:pt>
                <c:pt idx="348">
                  <c:v>-2.0999999999999996</c:v>
                </c:pt>
                <c:pt idx="349">
                  <c:v>-0.19999999999999929</c:v>
                </c:pt>
                <c:pt idx="350">
                  <c:v>-0.5</c:v>
                </c:pt>
                <c:pt idx="351">
                  <c:v>-1.7999999999999989</c:v>
                </c:pt>
                <c:pt idx="352">
                  <c:v>-1</c:v>
                </c:pt>
                <c:pt idx="353">
                  <c:v>-3.2</c:v>
                </c:pt>
                <c:pt idx="354">
                  <c:v>-2.7000000000000011</c:v>
                </c:pt>
                <c:pt idx="355">
                  <c:v>-1.0999999999999996</c:v>
                </c:pt>
                <c:pt idx="356">
                  <c:v>-5.2000000000000011</c:v>
                </c:pt>
                <c:pt idx="357">
                  <c:v>-4.7000000000000011</c:v>
                </c:pt>
                <c:pt idx="358">
                  <c:v>-3</c:v>
                </c:pt>
                <c:pt idx="359">
                  <c:v>-3.1000000000000014</c:v>
                </c:pt>
                <c:pt idx="360">
                  <c:v>-4.2000000000000011</c:v>
                </c:pt>
                <c:pt idx="361">
                  <c:v>-4.6999999999999993</c:v>
                </c:pt>
                <c:pt idx="362">
                  <c:v>-5.8000000000000007</c:v>
                </c:pt>
                <c:pt idx="363">
                  <c:v>-5.6</c:v>
                </c:pt>
                <c:pt idx="364">
                  <c:v>-9.9999999999999645E-2</c:v>
                </c:pt>
                <c:pt idx="365">
                  <c:v>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330432"/>
        <c:axId val="237331968"/>
      </c:lineChart>
      <c:catAx>
        <c:axId val="23733043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373319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331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33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Data!$G$6:$G$128</c:f>
              <c:numCache>
                <c:formatCode>General</c:formatCode>
                <c:ptCount val="123"/>
                <c:pt idx="0">
                  <c:v>-2.4910000000000001</c:v>
                </c:pt>
                <c:pt idx="1">
                  <c:v>-7.9790000000000001</c:v>
                </c:pt>
                <c:pt idx="2">
                  <c:v>-3.972</c:v>
                </c:pt>
                <c:pt idx="3">
                  <c:v>-6.0739999999999998</c:v>
                </c:pt>
                <c:pt idx="4">
                  <c:v>-7.5140000000000002</c:v>
                </c:pt>
                <c:pt idx="5">
                  <c:v>-6.4059999999999997</c:v>
                </c:pt>
                <c:pt idx="6">
                  <c:v>-2.1869999999999998</c:v>
                </c:pt>
                <c:pt idx="7">
                  <c:v>-8.61</c:v>
                </c:pt>
                <c:pt idx="8">
                  <c:v>-12.31</c:v>
                </c:pt>
                <c:pt idx="9">
                  <c:v>-11.16</c:v>
                </c:pt>
                <c:pt idx="10">
                  <c:v>-7.4249999999999998</c:v>
                </c:pt>
                <c:pt idx="11">
                  <c:v>-12.06</c:v>
                </c:pt>
                <c:pt idx="12">
                  <c:v>-24.14</c:v>
                </c:pt>
                <c:pt idx="13">
                  <c:v>-20.36</c:v>
                </c:pt>
                <c:pt idx="14">
                  <c:v>-16.21</c:v>
                </c:pt>
                <c:pt idx="15">
                  <c:v>-9.01</c:v>
                </c:pt>
                <c:pt idx="16">
                  <c:v>-11.23</c:v>
                </c:pt>
                <c:pt idx="17">
                  <c:v>-8.8800000000000008</c:v>
                </c:pt>
                <c:pt idx="18">
                  <c:v>-4.2789999999999999</c:v>
                </c:pt>
                <c:pt idx="19">
                  <c:v>-3.1349999999999998</c:v>
                </c:pt>
                <c:pt idx="20">
                  <c:v>-4.2279999999999998</c:v>
                </c:pt>
                <c:pt idx="21">
                  <c:v>-4.5650000000000004</c:v>
                </c:pt>
                <c:pt idx="22">
                  <c:v>-2.5390000000000001</c:v>
                </c:pt>
                <c:pt idx="23">
                  <c:v>-1.847</c:v>
                </c:pt>
                <c:pt idx="24">
                  <c:v>-4.4409999999999998</c:v>
                </c:pt>
                <c:pt idx="25">
                  <c:v>-3.5950000000000002</c:v>
                </c:pt>
                <c:pt idx="26">
                  <c:v>-4.617</c:v>
                </c:pt>
                <c:pt idx="27">
                  <c:v>-4.3479999999999999</c:v>
                </c:pt>
                <c:pt idx="28">
                  <c:v>-5.1520000000000001</c:v>
                </c:pt>
                <c:pt idx="29">
                  <c:v>-5.9740000000000002</c:v>
                </c:pt>
                <c:pt idx="30">
                  <c:v>-0.58199999999999996</c:v>
                </c:pt>
                <c:pt idx="31">
                  <c:v>-4.3029999999999999</c:v>
                </c:pt>
                <c:pt idx="32">
                  <c:v>-10.55</c:v>
                </c:pt>
                <c:pt idx="33">
                  <c:v>-13.17</c:v>
                </c:pt>
                <c:pt idx="34">
                  <c:v>-10.58</c:v>
                </c:pt>
                <c:pt idx="35">
                  <c:v>-4.0739999999999998</c:v>
                </c:pt>
                <c:pt idx="36">
                  <c:v>-4.133</c:v>
                </c:pt>
                <c:pt idx="37">
                  <c:v>-6.2610000000000001</c:v>
                </c:pt>
                <c:pt idx="38">
                  <c:v>-7.86</c:v>
                </c:pt>
                <c:pt idx="39">
                  <c:v>-7.4349999999999996</c:v>
                </c:pt>
                <c:pt idx="40">
                  <c:v>-6.2629999999999999</c:v>
                </c:pt>
                <c:pt idx="41">
                  <c:v>-4.7039999999999997</c:v>
                </c:pt>
                <c:pt idx="42">
                  <c:v>-5.22</c:v>
                </c:pt>
                <c:pt idx="43">
                  <c:v>-5.984</c:v>
                </c:pt>
                <c:pt idx="44">
                  <c:v>-6.657</c:v>
                </c:pt>
                <c:pt idx="45">
                  <c:v>-5.8380000000000001</c:v>
                </c:pt>
                <c:pt idx="46">
                  <c:v>-7.6429999999999998</c:v>
                </c:pt>
                <c:pt idx="47">
                  <c:v>-8.98</c:v>
                </c:pt>
                <c:pt idx="48">
                  <c:v>-10.039999999999999</c:v>
                </c:pt>
                <c:pt idx="49">
                  <c:v>-8.36</c:v>
                </c:pt>
                <c:pt idx="50">
                  <c:v>-7.1260000000000003</c:v>
                </c:pt>
                <c:pt idx="51">
                  <c:v>-4.4340000000000002</c:v>
                </c:pt>
                <c:pt idx="52">
                  <c:v>-5.8789999999999996</c:v>
                </c:pt>
                <c:pt idx="53">
                  <c:v>-6.0380000000000003</c:v>
                </c:pt>
                <c:pt idx="54">
                  <c:v>-7.5369999999999999</c:v>
                </c:pt>
                <c:pt idx="55">
                  <c:v>-6.9980000000000002</c:v>
                </c:pt>
                <c:pt idx="56">
                  <c:v>-3.3780000000000001</c:v>
                </c:pt>
                <c:pt idx="57">
                  <c:v>-1.73</c:v>
                </c:pt>
                <c:pt idx="58">
                  <c:v>-2.0609999999999999</c:v>
                </c:pt>
                <c:pt idx="59">
                  <c:v>-6.81</c:v>
                </c:pt>
                <c:pt idx="60">
                  <c:v>-7.7690000000000001</c:v>
                </c:pt>
                <c:pt idx="61">
                  <c:v>-3.694</c:v>
                </c:pt>
                <c:pt idx="62">
                  <c:v>-1.786</c:v>
                </c:pt>
                <c:pt idx="63">
                  <c:v>-6.6390000000000002</c:v>
                </c:pt>
                <c:pt idx="64">
                  <c:v>-2.9649999999999999</c:v>
                </c:pt>
                <c:pt idx="65">
                  <c:v>-3.476</c:v>
                </c:pt>
                <c:pt idx="66">
                  <c:v>-6.1369999999999996</c:v>
                </c:pt>
                <c:pt idx="67">
                  <c:v>-9.19</c:v>
                </c:pt>
                <c:pt idx="68">
                  <c:v>-9.14</c:v>
                </c:pt>
                <c:pt idx="69">
                  <c:v>-6.1180000000000003</c:v>
                </c:pt>
                <c:pt idx="70">
                  <c:v>-6.202</c:v>
                </c:pt>
                <c:pt idx="71">
                  <c:v>-8.66</c:v>
                </c:pt>
                <c:pt idx="72">
                  <c:v>-11.19</c:v>
                </c:pt>
                <c:pt idx="73">
                  <c:v>-16.079999999999998</c:v>
                </c:pt>
                <c:pt idx="74">
                  <c:v>-13.3</c:v>
                </c:pt>
                <c:pt idx="75">
                  <c:v>-3.7269999999999999</c:v>
                </c:pt>
                <c:pt idx="76">
                  <c:v>-1.7949999999999999</c:v>
                </c:pt>
                <c:pt idx="77">
                  <c:v>-2.778</c:v>
                </c:pt>
                <c:pt idx="78">
                  <c:v>-1.7370000000000001</c:v>
                </c:pt>
                <c:pt idx="79">
                  <c:v>-0.57099999999999995</c:v>
                </c:pt>
                <c:pt idx="80">
                  <c:v>-2.3940000000000001</c:v>
                </c:pt>
                <c:pt idx="81">
                  <c:v>-1.976</c:v>
                </c:pt>
                <c:pt idx="82">
                  <c:v>-4.4829999999999997</c:v>
                </c:pt>
                <c:pt idx="83">
                  <c:v>-6.5339999999999998</c:v>
                </c:pt>
                <c:pt idx="84">
                  <c:v>-7.5140000000000002</c:v>
                </c:pt>
                <c:pt idx="85">
                  <c:v>-6.0620000000000003</c:v>
                </c:pt>
                <c:pt idx="86">
                  <c:v>-3.5089999999999999</c:v>
                </c:pt>
                <c:pt idx="87">
                  <c:v>-0.96699999999999997</c:v>
                </c:pt>
                <c:pt idx="88">
                  <c:v>-1.0900000000000001</c:v>
                </c:pt>
                <c:pt idx="89">
                  <c:v>-4.6239999999999997</c:v>
                </c:pt>
                <c:pt idx="90">
                  <c:v>-7.0149999999999997</c:v>
                </c:pt>
                <c:pt idx="91">
                  <c:v>-11.37</c:v>
                </c:pt>
                <c:pt idx="92">
                  <c:v>-9.4700000000000006</c:v>
                </c:pt>
                <c:pt idx="93">
                  <c:v>-8.9499999999999993</c:v>
                </c:pt>
                <c:pt idx="94">
                  <c:v>-8.8699999999999992</c:v>
                </c:pt>
                <c:pt idx="95">
                  <c:v>-5.6879999999999997</c:v>
                </c:pt>
                <c:pt idx="96">
                  <c:v>-2.7519999999999998</c:v>
                </c:pt>
                <c:pt idx="97">
                  <c:v>-0.73099999999999998</c:v>
                </c:pt>
                <c:pt idx="98">
                  <c:v>1.4999999999999999E-2</c:v>
                </c:pt>
                <c:pt idx="99">
                  <c:v>5.46</c:v>
                </c:pt>
                <c:pt idx="100">
                  <c:v>2.6360000000000001</c:v>
                </c:pt>
                <c:pt idx="101">
                  <c:v>-6.0739999999999998</c:v>
                </c:pt>
                <c:pt idx="102">
                  <c:v>-7.069</c:v>
                </c:pt>
                <c:pt idx="103">
                  <c:v>-3</c:v>
                </c:pt>
                <c:pt idx="104">
                  <c:v>-0.74399999999999999</c:v>
                </c:pt>
                <c:pt idx="105">
                  <c:v>-1.0069999999999999</c:v>
                </c:pt>
                <c:pt idx="106">
                  <c:v>1.002</c:v>
                </c:pt>
                <c:pt idx="107">
                  <c:v>1.4790000000000001</c:v>
                </c:pt>
                <c:pt idx="108">
                  <c:v>1.272</c:v>
                </c:pt>
                <c:pt idx="109">
                  <c:v>3.1080000000000001</c:v>
                </c:pt>
                <c:pt idx="110">
                  <c:v>5.7770000000000001</c:v>
                </c:pt>
                <c:pt idx="111">
                  <c:v>2.2170000000000001</c:v>
                </c:pt>
                <c:pt idx="112">
                  <c:v>0.49199999999999999</c:v>
                </c:pt>
                <c:pt idx="113">
                  <c:v>6.5000000000000002E-2</c:v>
                </c:pt>
                <c:pt idx="114">
                  <c:v>2.5219999999999998</c:v>
                </c:pt>
                <c:pt idx="115">
                  <c:v>0.82099999999999995</c:v>
                </c:pt>
                <c:pt idx="116">
                  <c:v>1.2</c:v>
                </c:pt>
                <c:pt idx="117">
                  <c:v>1.0549999999999999</c:v>
                </c:pt>
                <c:pt idx="118">
                  <c:v>1.7350000000000001</c:v>
                </c:pt>
                <c:pt idx="119">
                  <c:v>5.9950000000000001</c:v>
                </c:pt>
                <c:pt idx="120">
                  <c:v>2.7</c:v>
                </c:pt>
                <c:pt idx="121">
                  <c:v>3.1970000000000001</c:v>
                </c:pt>
                <c:pt idx="122">
                  <c:v>3.2490000000000001</c:v>
                </c:pt>
              </c:numCache>
            </c:numRef>
          </c:xVal>
          <c:yVal>
            <c:numRef>
              <c:f>Data!$AH$6:$AH$128</c:f>
              <c:numCache>
                <c:formatCode>General</c:formatCode>
                <c:ptCount val="123"/>
                <c:pt idx="0">
                  <c:v>-3.4809999999999999</c:v>
                </c:pt>
                <c:pt idx="1">
                  <c:v>-8.33</c:v>
                </c:pt>
                <c:pt idx="2">
                  <c:v>-4.7439999999999998</c:v>
                </c:pt>
                <c:pt idx="3">
                  <c:v>-8.0500000000000007</c:v>
                </c:pt>
                <c:pt idx="4">
                  <c:v>-8.57</c:v>
                </c:pt>
                <c:pt idx="5">
                  <c:v>-6.85</c:v>
                </c:pt>
                <c:pt idx="6">
                  <c:v>-2.6989999999999998</c:v>
                </c:pt>
                <c:pt idx="7">
                  <c:v>-9.94</c:v>
                </c:pt>
                <c:pt idx="8">
                  <c:v>-15.06</c:v>
                </c:pt>
                <c:pt idx="9">
                  <c:v>-11.69</c:v>
                </c:pt>
                <c:pt idx="10">
                  <c:v>-7.883</c:v>
                </c:pt>
                <c:pt idx="11">
                  <c:v>-12.66</c:v>
                </c:pt>
                <c:pt idx="12">
                  <c:v>-24.26</c:v>
                </c:pt>
                <c:pt idx="13">
                  <c:v>-21.03</c:v>
                </c:pt>
                <c:pt idx="14">
                  <c:v>-16.940000000000001</c:v>
                </c:pt>
                <c:pt idx="15">
                  <c:v>-9.73</c:v>
                </c:pt>
                <c:pt idx="16">
                  <c:v>-13.42</c:v>
                </c:pt>
                <c:pt idx="17">
                  <c:v>-9.5299999999999994</c:v>
                </c:pt>
                <c:pt idx="18">
                  <c:v>-4.9459999999999997</c:v>
                </c:pt>
                <c:pt idx="19">
                  <c:v>-4.0730000000000004</c:v>
                </c:pt>
                <c:pt idx="20">
                  <c:v>-5.1050000000000004</c:v>
                </c:pt>
                <c:pt idx="21">
                  <c:v>-5.3440000000000003</c:v>
                </c:pt>
                <c:pt idx="22">
                  <c:v>-3.1240000000000001</c:v>
                </c:pt>
                <c:pt idx="23">
                  <c:v>-3.0110000000000001</c:v>
                </c:pt>
                <c:pt idx="24">
                  <c:v>-6.4980000000000002</c:v>
                </c:pt>
                <c:pt idx="25">
                  <c:v>-4.3929999999999998</c:v>
                </c:pt>
                <c:pt idx="26">
                  <c:v>-5.8109999999999999</c:v>
                </c:pt>
                <c:pt idx="27">
                  <c:v>-6.5750000000000002</c:v>
                </c:pt>
                <c:pt idx="28">
                  <c:v>-6.8710000000000004</c:v>
                </c:pt>
                <c:pt idx="29">
                  <c:v>-7.7409999999999997</c:v>
                </c:pt>
                <c:pt idx="30">
                  <c:v>-1.1120000000000001</c:v>
                </c:pt>
                <c:pt idx="31">
                  <c:v>-5.5620000000000003</c:v>
                </c:pt>
                <c:pt idx="32">
                  <c:v>-13.76</c:v>
                </c:pt>
                <c:pt idx="33">
                  <c:v>-15.11</c:v>
                </c:pt>
                <c:pt idx="34">
                  <c:v>-11.92</c:v>
                </c:pt>
                <c:pt idx="35">
                  <c:v>-4.5179999999999998</c:v>
                </c:pt>
                <c:pt idx="36">
                  <c:v>-4.6630000000000003</c:v>
                </c:pt>
                <c:pt idx="37">
                  <c:v>-6.923</c:v>
                </c:pt>
                <c:pt idx="38">
                  <c:v>-8.2799999999999994</c:v>
                </c:pt>
                <c:pt idx="39">
                  <c:v>-8.19</c:v>
                </c:pt>
                <c:pt idx="40">
                  <c:v>-6.9480000000000004</c:v>
                </c:pt>
                <c:pt idx="41">
                  <c:v>-5.4290000000000003</c:v>
                </c:pt>
                <c:pt idx="42">
                  <c:v>-7.7220000000000004</c:v>
                </c:pt>
                <c:pt idx="43">
                  <c:v>-7.3739999999999997</c:v>
                </c:pt>
                <c:pt idx="44">
                  <c:v>-7.4580000000000002</c:v>
                </c:pt>
                <c:pt idx="45">
                  <c:v>-6.3339999999999996</c:v>
                </c:pt>
                <c:pt idx="46">
                  <c:v>-8.16</c:v>
                </c:pt>
                <c:pt idx="47">
                  <c:v>-9.51</c:v>
                </c:pt>
                <c:pt idx="48">
                  <c:v>-12.19</c:v>
                </c:pt>
                <c:pt idx="49">
                  <c:v>-11.57</c:v>
                </c:pt>
                <c:pt idx="50">
                  <c:v>-10.31</c:v>
                </c:pt>
                <c:pt idx="51">
                  <c:v>-7.44</c:v>
                </c:pt>
                <c:pt idx="52">
                  <c:v>-7.2690000000000001</c:v>
                </c:pt>
                <c:pt idx="53">
                  <c:v>-6.6109999999999998</c:v>
                </c:pt>
                <c:pt idx="54">
                  <c:v>-8.16</c:v>
                </c:pt>
                <c:pt idx="55">
                  <c:v>-8.02</c:v>
                </c:pt>
                <c:pt idx="56">
                  <c:v>-4.6970000000000001</c:v>
                </c:pt>
                <c:pt idx="57">
                  <c:v>-3.12</c:v>
                </c:pt>
                <c:pt idx="58">
                  <c:v>-4.8620000000000001</c:v>
                </c:pt>
                <c:pt idx="59">
                  <c:v>-7.61</c:v>
                </c:pt>
                <c:pt idx="60">
                  <c:v>-8.91</c:v>
                </c:pt>
                <c:pt idx="61">
                  <c:v>-4.1520000000000001</c:v>
                </c:pt>
                <c:pt idx="62">
                  <c:v>-4.2169999999999996</c:v>
                </c:pt>
                <c:pt idx="63">
                  <c:v>-8.8000000000000007</c:v>
                </c:pt>
                <c:pt idx="64">
                  <c:v>-5.8659999999999997</c:v>
                </c:pt>
                <c:pt idx="65">
                  <c:v>-4.673</c:v>
                </c:pt>
                <c:pt idx="66">
                  <c:v>-7.03</c:v>
                </c:pt>
                <c:pt idx="67">
                  <c:v>-11.18</c:v>
                </c:pt>
                <c:pt idx="68">
                  <c:v>-13.31</c:v>
                </c:pt>
                <c:pt idx="69">
                  <c:v>-7.08</c:v>
                </c:pt>
                <c:pt idx="70">
                  <c:v>-7.2140000000000004</c:v>
                </c:pt>
                <c:pt idx="71">
                  <c:v>-10.34</c:v>
                </c:pt>
                <c:pt idx="72">
                  <c:v>-11.68</c:v>
                </c:pt>
                <c:pt idx="73">
                  <c:v>-16.8</c:v>
                </c:pt>
                <c:pt idx="74">
                  <c:v>-14.55</c:v>
                </c:pt>
                <c:pt idx="75">
                  <c:v>-6.3470000000000004</c:v>
                </c:pt>
                <c:pt idx="76">
                  <c:v>-4.75</c:v>
                </c:pt>
                <c:pt idx="77">
                  <c:v>-5.3310000000000004</c:v>
                </c:pt>
                <c:pt idx="78">
                  <c:v>-5.1349999999999998</c:v>
                </c:pt>
                <c:pt idx="79">
                  <c:v>-4.1289999999999996</c:v>
                </c:pt>
                <c:pt idx="80">
                  <c:v>-5.6740000000000004</c:v>
                </c:pt>
                <c:pt idx="81">
                  <c:v>-5.7610000000000001</c:v>
                </c:pt>
                <c:pt idx="82">
                  <c:v>-7.3079999999999998</c:v>
                </c:pt>
                <c:pt idx="83">
                  <c:v>-8.27</c:v>
                </c:pt>
                <c:pt idx="84">
                  <c:v>-9.43</c:v>
                </c:pt>
                <c:pt idx="85">
                  <c:v>-7.4989999999999997</c:v>
                </c:pt>
                <c:pt idx="86">
                  <c:v>-3.9660000000000002</c:v>
                </c:pt>
                <c:pt idx="87">
                  <c:v>-2.125</c:v>
                </c:pt>
                <c:pt idx="88">
                  <c:v>-2.1309999999999998</c:v>
                </c:pt>
                <c:pt idx="89">
                  <c:v>-5.9820000000000002</c:v>
                </c:pt>
                <c:pt idx="90">
                  <c:v>-8.6199999999999992</c:v>
                </c:pt>
                <c:pt idx="91">
                  <c:v>-11.83</c:v>
                </c:pt>
                <c:pt idx="92">
                  <c:v>-10.89</c:v>
                </c:pt>
                <c:pt idx="93">
                  <c:v>-9.93</c:v>
                </c:pt>
                <c:pt idx="94">
                  <c:v>-10.51</c:v>
                </c:pt>
                <c:pt idx="95">
                  <c:v>-6.6</c:v>
                </c:pt>
                <c:pt idx="96">
                  <c:v>-4.7430000000000003</c:v>
                </c:pt>
                <c:pt idx="97">
                  <c:v>-2.79</c:v>
                </c:pt>
                <c:pt idx="98">
                  <c:v>-2.5960000000000001</c:v>
                </c:pt>
                <c:pt idx="99">
                  <c:v>1.355</c:v>
                </c:pt>
                <c:pt idx="100">
                  <c:v>1.006</c:v>
                </c:pt>
                <c:pt idx="101">
                  <c:v>-7.7489999999999997</c:v>
                </c:pt>
                <c:pt idx="102">
                  <c:v>-10.09</c:v>
                </c:pt>
                <c:pt idx="103">
                  <c:v>-5.8630000000000004</c:v>
                </c:pt>
                <c:pt idx="104">
                  <c:v>-1.1819999999999999</c:v>
                </c:pt>
                <c:pt idx="105">
                  <c:v>-1.7929999999999999</c:v>
                </c:pt>
                <c:pt idx="106">
                  <c:v>-2.153</c:v>
                </c:pt>
                <c:pt idx="107">
                  <c:v>-0.71899999999999997</c:v>
                </c:pt>
                <c:pt idx="108">
                  <c:v>0.502</c:v>
                </c:pt>
                <c:pt idx="109">
                  <c:v>1.665</c:v>
                </c:pt>
                <c:pt idx="110">
                  <c:v>2.3290000000000002</c:v>
                </c:pt>
                <c:pt idx="111">
                  <c:v>0.51700000000000002</c:v>
                </c:pt>
                <c:pt idx="112">
                  <c:v>-0.21299999999999999</c:v>
                </c:pt>
                <c:pt idx="113">
                  <c:v>-0.67900000000000005</c:v>
                </c:pt>
                <c:pt idx="114">
                  <c:v>0.34300000000000003</c:v>
                </c:pt>
                <c:pt idx="115">
                  <c:v>-0.64500000000000002</c:v>
                </c:pt>
                <c:pt idx="116">
                  <c:v>-0.32500000000000001</c:v>
                </c:pt>
                <c:pt idx="117">
                  <c:v>-0.53600000000000003</c:v>
                </c:pt>
                <c:pt idx="118">
                  <c:v>-0.41899999999999998</c:v>
                </c:pt>
                <c:pt idx="119">
                  <c:v>2.9950000000000001</c:v>
                </c:pt>
                <c:pt idx="120">
                  <c:v>1.1890000000000001</c:v>
                </c:pt>
                <c:pt idx="121">
                  <c:v>0.46600000000000003</c:v>
                </c:pt>
                <c:pt idx="122">
                  <c:v>0.72899999999999998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451904"/>
        <c:axId val="237462272"/>
      </c:scatterChart>
      <c:valAx>
        <c:axId val="23745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7462272"/>
        <c:crosses val="autoZero"/>
        <c:crossBetween val="midCat"/>
      </c:valAx>
      <c:valAx>
        <c:axId val="237462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451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0.29699999999999999</c:v>
                </c:pt>
                <c:pt idx="1">
                  <c:v>0.87</c:v>
                </c:pt>
                <c:pt idx="2">
                  <c:v>0.66400000000000003</c:v>
                </c:pt>
                <c:pt idx="3">
                  <c:v>3.3380000000000001</c:v>
                </c:pt>
                <c:pt idx="4">
                  <c:v>1.73</c:v>
                </c:pt>
                <c:pt idx="5">
                  <c:v>0.253</c:v>
                </c:pt>
                <c:pt idx="6">
                  <c:v>0.28199999999999997</c:v>
                </c:pt>
                <c:pt idx="7">
                  <c:v>0.255</c:v>
                </c:pt>
                <c:pt idx="8">
                  <c:v>1.4370000000000001</c:v>
                </c:pt>
                <c:pt idx="9">
                  <c:v>0.222</c:v>
                </c:pt>
                <c:pt idx="10">
                  <c:v>0.42899999999999999</c:v>
                </c:pt>
                <c:pt idx="11">
                  <c:v>0.216</c:v>
                </c:pt>
                <c:pt idx="12">
                  <c:v>0.54900000000000004</c:v>
                </c:pt>
                <c:pt idx="13">
                  <c:v>0.59499999999999997</c:v>
                </c:pt>
                <c:pt idx="14">
                  <c:v>0.49</c:v>
                </c:pt>
                <c:pt idx="15">
                  <c:v>0.31900000000000001</c:v>
                </c:pt>
                <c:pt idx="16">
                  <c:v>1.9450000000000001</c:v>
                </c:pt>
                <c:pt idx="17">
                  <c:v>0.22500000000000001</c:v>
                </c:pt>
                <c:pt idx="18">
                  <c:v>0.57499999999999996</c:v>
                </c:pt>
                <c:pt idx="19">
                  <c:v>0.45700000000000002</c:v>
                </c:pt>
                <c:pt idx="20">
                  <c:v>0.34699999999999998</c:v>
                </c:pt>
                <c:pt idx="21">
                  <c:v>0.35499999999999998</c:v>
                </c:pt>
                <c:pt idx="22">
                  <c:v>1.8779999999999999</c:v>
                </c:pt>
                <c:pt idx="23">
                  <c:v>2.2589999999999999</c:v>
                </c:pt>
                <c:pt idx="24">
                  <c:v>0.98899999999999999</c:v>
                </c:pt>
                <c:pt idx="25">
                  <c:v>1.4550000000000001</c:v>
                </c:pt>
                <c:pt idx="26">
                  <c:v>2.4</c:v>
                </c:pt>
                <c:pt idx="27">
                  <c:v>4.0910000000000002</c:v>
                </c:pt>
                <c:pt idx="28">
                  <c:v>0.98799999999999999</c:v>
                </c:pt>
                <c:pt idx="29">
                  <c:v>1.875</c:v>
                </c:pt>
                <c:pt idx="30">
                  <c:v>1.5089999999999999</c:v>
                </c:pt>
                <c:pt idx="31">
                  <c:v>3.6419999999999999</c:v>
                </c:pt>
                <c:pt idx="32">
                  <c:v>7.4359999999999999</c:v>
                </c:pt>
                <c:pt idx="33">
                  <c:v>4.1459999999999999</c:v>
                </c:pt>
                <c:pt idx="34">
                  <c:v>1.169</c:v>
                </c:pt>
                <c:pt idx="35">
                  <c:v>0.748</c:v>
                </c:pt>
                <c:pt idx="36">
                  <c:v>0.60299999999999998</c:v>
                </c:pt>
                <c:pt idx="37">
                  <c:v>0.34399999999999997</c:v>
                </c:pt>
                <c:pt idx="38">
                  <c:v>0.95599999999999996</c:v>
                </c:pt>
                <c:pt idx="39">
                  <c:v>0.69299999999999995</c:v>
                </c:pt>
                <c:pt idx="40">
                  <c:v>1.9890000000000001</c:v>
                </c:pt>
                <c:pt idx="41">
                  <c:v>4.4130000000000003</c:v>
                </c:pt>
                <c:pt idx="42">
                  <c:v>8.0399999999999991</c:v>
                </c:pt>
                <c:pt idx="43">
                  <c:v>2.7269999999999999</c:v>
                </c:pt>
                <c:pt idx="44">
                  <c:v>5.7919999999999998</c:v>
                </c:pt>
                <c:pt idx="45">
                  <c:v>2.6709999999999998</c:v>
                </c:pt>
                <c:pt idx="46">
                  <c:v>2.7890000000000001</c:v>
                </c:pt>
                <c:pt idx="47">
                  <c:v>1.4530000000000001</c:v>
                </c:pt>
                <c:pt idx="48">
                  <c:v>2.9769999999999999</c:v>
                </c:pt>
                <c:pt idx="49">
                  <c:v>8.5500000000000007</c:v>
                </c:pt>
                <c:pt idx="50">
                  <c:v>10.31</c:v>
                </c:pt>
                <c:pt idx="51">
                  <c:v>9.43</c:v>
                </c:pt>
                <c:pt idx="52">
                  <c:v>4.74</c:v>
                </c:pt>
                <c:pt idx="53">
                  <c:v>4.407</c:v>
                </c:pt>
                <c:pt idx="54">
                  <c:v>1.6990000000000001</c:v>
                </c:pt>
                <c:pt idx="55">
                  <c:v>3.149</c:v>
                </c:pt>
                <c:pt idx="56">
                  <c:v>9.15</c:v>
                </c:pt>
                <c:pt idx="57">
                  <c:v>7.4139999999999997</c:v>
                </c:pt>
                <c:pt idx="58">
                  <c:v>7.2229999999999999</c:v>
                </c:pt>
                <c:pt idx="59">
                  <c:v>5.5650000000000004</c:v>
                </c:pt>
                <c:pt idx="60">
                  <c:v>5.8620000000000001</c:v>
                </c:pt>
                <c:pt idx="61">
                  <c:v>8.6300000000000008</c:v>
                </c:pt>
                <c:pt idx="62">
                  <c:v>9.35</c:v>
                </c:pt>
                <c:pt idx="63">
                  <c:v>8.5</c:v>
                </c:pt>
                <c:pt idx="64">
                  <c:v>9.86</c:v>
                </c:pt>
                <c:pt idx="65">
                  <c:v>4.6829999999999998</c:v>
                </c:pt>
                <c:pt idx="66">
                  <c:v>4.4569999999999999</c:v>
                </c:pt>
                <c:pt idx="67">
                  <c:v>5.4139999999999997</c:v>
                </c:pt>
                <c:pt idx="68">
                  <c:v>12.16</c:v>
                </c:pt>
                <c:pt idx="69">
                  <c:v>3.028</c:v>
                </c:pt>
                <c:pt idx="70">
                  <c:v>7.8970000000000002</c:v>
                </c:pt>
                <c:pt idx="71">
                  <c:v>2.5339999999999998</c:v>
                </c:pt>
                <c:pt idx="72">
                  <c:v>4.0350000000000001</c:v>
                </c:pt>
                <c:pt idx="73">
                  <c:v>10.87</c:v>
                </c:pt>
                <c:pt idx="74">
                  <c:v>15.32</c:v>
                </c:pt>
                <c:pt idx="75">
                  <c:v>15.33</c:v>
                </c:pt>
                <c:pt idx="76">
                  <c:v>13.34</c:v>
                </c:pt>
                <c:pt idx="77">
                  <c:v>15.83</c:v>
                </c:pt>
                <c:pt idx="78">
                  <c:v>15.63</c:v>
                </c:pt>
                <c:pt idx="79">
                  <c:v>16.16</c:v>
                </c:pt>
                <c:pt idx="80">
                  <c:v>16.37</c:v>
                </c:pt>
                <c:pt idx="81">
                  <c:v>10.53</c:v>
                </c:pt>
                <c:pt idx="82">
                  <c:v>10.81</c:v>
                </c:pt>
                <c:pt idx="83">
                  <c:v>8</c:v>
                </c:pt>
                <c:pt idx="84">
                  <c:v>17.39</c:v>
                </c:pt>
                <c:pt idx="85">
                  <c:v>7.1219999999999999</c:v>
                </c:pt>
                <c:pt idx="86">
                  <c:v>7.2169999999999996</c:v>
                </c:pt>
                <c:pt idx="87">
                  <c:v>8.14</c:v>
                </c:pt>
                <c:pt idx="88">
                  <c:v>11.4</c:v>
                </c:pt>
                <c:pt idx="89">
                  <c:v>9.3000000000000007</c:v>
                </c:pt>
                <c:pt idx="90">
                  <c:v>11.27</c:v>
                </c:pt>
                <c:pt idx="91">
                  <c:v>17.78</c:v>
                </c:pt>
                <c:pt idx="92">
                  <c:v>16.14</c:v>
                </c:pt>
                <c:pt idx="93">
                  <c:v>9.07</c:v>
                </c:pt>
                <c:pt idx="94">
                  <c:v>10.07</c:v>
                </c:pt>
                <c:pt idx="95">
                  <c:v>8.7899999999999991</c:v>
                </c:pt>
                <c:pt idx="96">
                  <c:v>17.39</c:v>
                </c:pt>
                <c:pt idx="97">
                  <c:v>19.05</c:v>
                </c:pt>
                <c:pt idx="98">
                  <c:v>19.07</c:v>
                </c:pt>
                <c:pt idx="99">
                  <c:v>20.309999999999999</c:v>
                </c:pt>
                <c:pt idx="100">
                  <c:v>16.34</c:v>
                </c:pt>
                <c:pt idx="101">
                  <c:v>6.8339999999999996</c:v>
                </c:pt>
                <c:pt idx="102">
                  <c:v>21.16</c:v>
                </c:pt>
                <c:pt idx="103">
                  <c:v>19.53</c:v>
                </c:pt>
                <c:pt idx="104">
                  <c:v>5.2110000000000003</c:v>
                </c:pt>
                <c:pt idx="105">
                  <c:v>17.010000000000002</c:v>
                </c:pt>
                <c:pt idx="106">
                  <c:v>21.89</c:v>
                </c:pt>
                <c:pt idx="107">
                  <c:v>13.59</c:v>
                </c:pt>
                <c:pt idx="108">
                  <c:v>16.39</c:v>
                </c:pt>
                <c:pt idx="109">
                  <c:v>14.27</c:v>
                </c:pt>
                <c:pt idx="110">
                  <c:v>21.7</c:v>
                </c:pt>
                <c:pt idx="111">
                  <c:v>14.82</c:v>
                </c:pt>
                <c:pt idx="112">
                  <c:v>10.88</c:v>
                </c:pt>
                <c:pt idx="113">
                  <c:v>9.58</c:v>
                </c:pt>
                <c:pt idx="114">
                  <c:v>16.690000000000001</c:v>
                </c:pt>
                <c:pt idx="115">
                  <c:v>9.8699999999999992</c:v>
                </c:pt>
                <c:pt idx="116">
                  <c:v>17.04</c:v>
                </c:pt>
                <c:pt idx="117">
                  <c:v>17.670000000000002</c:v>
                </c:pt>
                <c:pt idx="118">
                  <c:v>15.52</c:v>
                </c:pt>
                <c:pt idx="119">
                  <c:v>14.36</c:v>
                </c:pt>
                <c:pt idx="120">
                  <c:v>21.87</c:v>
                </c:pt>
                <c:pt idx="121">
                  <c:v>17.690000000000001</c:v>
                </c:pt>
                <c:pt idx="122">
                  <c:v>14.48</c:v>
                </c:pt>
                <c:pt idx="123">
                  <c:v>15.21</c:v>
                </c:pt>
                <c:pt idx="124">
                  <c:v>23.07</c:v>
                </c:pt>
                <c:pt idx="125">
                  <c:v>14.91</c:v>
                </c:pt>
                <c:pt idx="126">
                  <c:v>1.931</c:v>
                </c:pt>
                <c:pt idx="127">
                  <c:v>18.38</c:v>
                </c:pt>
                <c:pt idx="128">
                  <c:v>24.95</c:v>
                </c:pt>
                <c:pt idx="129">
                  <c:v>25.52</c:v>
                </c:pt>
                <c:pt idx="130">
                  <c:v>22.3</c:v>
                </c:pt>
                <c:pt idx="131">
                  <c:v>22.6</c:v>
                </c:pt>
                <c:pt idx="132">
                  <c:v>10.44</c:v>
                </c:pt>
                <c:pt idx="133">
                  <c:v>14.52</c:v>
                </c:pt>
                <c:pt idx="134">
                  <c:v>14.77</c:v>
                </c:pt>
                <c:pt idx="135">
                  <c:v>11.88</c:v>
                </c:pt>
                <c:pt idx="136">
                  <c:v>9.02</c:v>
                </c:pt>
                <c:pt idx="137">
                  <c:v>8.23</c:v>
                </c:pt>
                <c:pt idx="138">
                  <c:v>15.87</c:v>
                </c:pt>
                <c:pt idx="139">
                  <c:v>27.31</c:v>
                </c:pt>
                <c:pt idx="140">
                  <c:v>17.18</c:v>
                </c:pt>
                <c:pt idx="141">
                  <c:v>12.96</c:v>
                </c:pt>
                <c:pt idx="142">
                  <c:v>4.9809999999999999</c:v>
                </c:pt>
                <c:pt idx="143">
                  <c:v>13.07</c:v>
                </c:pt>
                <c:pt idx="144">
                  <c:v>15.76</c:v>
                </c:pt>
                <c:pt idx="145">
                  <c:v>7.367</c:v>
                </c:pt>
                <c:pt idx="146">
                  <c:v>18.79</c:v>
                </c:pt>
                <c:pt idx="147">
                  <c:v>28.62</c:v>
                </c:pt>
                <c:pt idx="148">
                  <c:v>20.28</c:v>
                </c:pt>
                <c:pt idx="149">
                  <c:v>22.59</c:v>
                </c:pt>
                <c:pt idx="150">
                  <c:v>11.23</c:v>
                </c:pt>
                <c:pt idx="151">
                  <c:v>6.5830000000000002</c:v>
                </c:pt>
                <c:pt idx="152">
                  <c:v>21.91</c:v>
                </c:pt>
                <c:pt idx="153">
                  <c:v>16.510000000000002</c:v>
                </c:pt>
                <c:pt idx="154">
                  <c:v>24.64</c:v>
                </c:pt>
                <c:pt idx="155">
                  <c:v>18.920000000000002</c:v>
                </c:pt>
                <c:pt idx="156">
                  <c:v>15.39</c:v>
                </c:pt>
                <c:pt idx="157">
                  <c:v>19.3</c:v>
                </c:pt>
                <c:pt idx="158">
                  <c:v>17.22</c:v>
                </c:pt>
                <c:pt idx="159">
                  <c:v>22.52</c:v>
                </c:pt>
                <c:pt idx="160">
                  <c:v>6.5910000000000002</c:v>
                </c:pt>
                <c:pt idx="161">
                  <c:v>15.51</c:v>
                </c:pt>
                <c:pt idx="162">
                  <c:v>9.98</c:v>
                </c:pt>
                <c:pt idx="163">
                  <c:v>16.010000000000002</c:v>
                </c:pt>
                <c:pt idx="164">
                  <c:v>4.1719999999999997</c:v>
                </c:pt>
                <c:pt idx="165">
                  <c:v>7.7009999999999996</c:v>
                </c:pt>
                <c:pt idx="166">
                  <c:v>12.3</c:v>
                </c:pt>
                <c:pt idx="167">
                  <c:v>18.12</c:v>
                </c:pt>
                <c:pt idx="168">
                  <c:v>22.34</c:v>
                </c:pt>
                <c:pt idx="169">
                  <c:v>26.59</c:v>
                </c:pt>
                <c:pt idx="170">
                  <c:v>19.39</c:v>
                </c:pt>
                <c:pt idx="171">
                  <c:v>10.43</c:v>
                </c:pt>
                <c:pt idx="172">
                  <c:v>25.01</c:v>
                </c:pt>
                <c:pt idx="173">
                  <c:v>23.98</c:v>
                </c:pt>
                <c:pt idx="174">
                  <c:v>16.760000000000002</c:v>
                </c:pt>
                <c:pt idx="175">
                  <c:v>14.34</c:v>
                </c:pt>
                <c:pt idx="176">
                  <c:v>27.65</c:v>
                </c:pt>
                <c:pt idx="177">
                  <c:v>16.440000000000001</c:v>
                </c:pt>
                <c:pt idx="178">
                  <c:v>19.23</c:v>
                </c:pt>
                <c:pt idx="179">
                  <c:v>8.5399999999999991</c:v>
                </c:pt>
                <c:pt idx="180">
                  <c:v>26.62</c:v>
                </c:pt>
                <c:pt idx="181">
                  <c:v>12.41</c:v>
                </c:pt>
                <c:pt idx="182">
                  <c:v>9.75</c:v>
                </c:pt>
                <c:pt idx="183">
                  <c:v>15.07</c:v>
                </c:pt>
                <c:pt idx="184">
                  <c:v>14.51</c:v>
                </c:pt>
                <c:pt idx="185">
                  <c:v>24.81</c:v>
                </c:pt>
                <c:pt idx="186">
                  <c:v>17.87</c:v>
                </c:pt>
                <c:pt idx="187">
                  <c:v>16.559999999999999</c:v>
                </c:pt>
                <c:pt idx="188">
                  <c:v>9.43</c:v>
                </c:pt>
                <c:pt idx="189">
                  <c:v>18.41</c:v>
                </c:pt>
                <c:pt idx="190">
                  <c:v>10.050000000000001</c:v>
                </c:pt>
                <c:pt idx="191">
                  <c:v>22.61</c:v>
                </c:pt>
                <c:pt idx="192">
                  <c:v>15.92</c:v>
                </c:pt>
                <c:pt idx="193">
                  <c:v>21.41</c:v>
                </c:pt>
                <c:pt idx="194">
                  <c:v>23.52</c:v>
                </c:pt>
                <c:pt idx="195">
                  <c:v>25.07</c:v>
                </c:pt>
                <c:pt idx="196">
                  <c:v>23.13</c:v>
                </c:pt>
                <c:pt idx="197">
                  <c:v>14.52</c:v>
                </c:pt>
                <c:pt idx="198">
                  <c:v>15.55</c:v>
                </c:pt>
                <c:pt idx="199">
                  <c:v>24.65</c:v>
                </c:pt>
                <c:pt idx="200">
                  <c:v>23.66</c:v>
                </c:pt>
                <c:pt idx="201">
                  <c:v>27.01</c:v>
                </c:pt>
                <c:pt idx="202">
                  <c:v>24.72</c:v>
                </c:pt>
                <c:pt idx="203">
                  <c:v>22.22</c:v>
                </c:pt>
                <c:pt idx="204">
                  <c:v>22.9</c:v>
                </c:pt>
                <c:pt idx="205">
                  <c:v>17.12</c:v>
                </c:pt>
                <c:pt idx="206">
                  <c:v>26.94</c:v>
                </c:pt>
                <c:pt idx="207">
                  <c:v>26.28</c:v>
                </c:pt>
                <c:pt idx="208">
                  <c:v>26.06</c:v>
                </c:pt>
                <c:pt idx="209">
                  <c:v>24.82</c:v>
                </c:pt>
                <c:pt idx="210">
                  <c:v>26.11</c:v>
                </c:pt>
                <c:pt idx="211">
                  <c:v>24.99</c:v>
                </c:pt>
                <c:pt idx="212">
                  <c:v>18.03</c:v>
                </c:pt>
                <c:pt idx="213">
                  <c:v>19.8</c:v>
                </c:pt>
                <c:pt idx="214">
                  <c:v>24.17</c:v>
                </c:pt>
                <c:pt idx="215">
                  <c:v>23.72</c:v>
                </c:pt>
                <c:pt idx="216">
                  <c:v>24.99</c:v>
                </c:pt>
                <c:pt idx="217">
                  <c:v>24.36</c:v>
                </c:pt>
                <c:pt idx="218">
                  <c:v>10.99</c:v>
                </c:pt>
                <c:pt idx="219">
                  <c:v>16.59</c:v>
                </c:pt>
                <c:pt idx="220">
                  <c:v>19.23</c:v>
                </c:pt>
                <c:pt idx="221">
                  <c:v>23.57</c:v>
                </c:pt>
                <c:pt idx="222">
                  <c:v>18.39</c:v>
                </c:pt>
                <c:pt idx="223">
                  <c:v>19.47</c:v>
                </c:pt>
                <c:pt idx="224">
                  <c:v>21.4</c:v>
                </c:pt>
                <c:pt idx="225">
                  <c:v>20.51</c:v>
                </c:pt>
                <c:pt idx="226">
                  <c:v>22.94</c:v>
                </c:pt>
                <c:pt idx="227">
                  <c:v>23.37</c:v>
                </c:pt>
                <c:pt idx="228">
                  <c:v>21.93</c:v>
                </c:pt>
                <c:pt idx="229">
                  <c:v>21.92</c:v>
                </c:pt>
                <c:pt idx="230">
                  <c:v>22.03</c:v>
                </c:pt>
                <c:pt idx="231">
                  <c:v>17.149999999999999</c:v>
                </c:pt>
                <c:pt idx="232">
                  <c:v>13.9</c:v>
                </c:pt>
                <c:pt idx="233">
                  <c:v>11.3</c:v>
                </c:pt>
                <c:pt idx="234">
                  <c:v>21.59</c:v>
                </c:pt>
                <c:pt idx="235">
                  <c:v>19.29</c:v>
                </c:pt>
                <c:pt idx="236">
                  <c:v>13.3</c:v>
                </c:pt>
                <c:pt idx="237">
                  <c:v>21.66</c:v>
                </c:pt>
                <c:pt idx="238">
                  <c:v>20.55</c:v>
                </c:pt>
                <c:pt idx="239">
                  <c:v>21.43</c:v>
                </c:pt>
                <c:pt idx="240">
                  <c:v>21.15</c:v>
                </c:pt>
                <c:pt idx="241">
                  <c:v>14.02</c:v>
                </c:pt>
                <c:pt idx="242">
                  <c:v>16.79</c:v>
                </c:pt>
                <c:pt idx="243">
                  <c:v>9.3000000000000007</c:v>
                </c:pt>
                <c:pt idx="244">
                  <c:v>18.899999999999999</c:v>
                </c:pt>
                <c:pt idx="245">
                  <c:v>17.86</c:v>
                </c:pt>
                <c:pt idx="246">
                  <c:v>19.829999999999998</c:v>
                </c:pt>
                <c:pt idx="247">
                  <c:v>18.84</c:v>
                </c:pt>
                <c:pt idx="248">
                  <c:v>18.809999999999999</c:v>
                </c:pt>
                <c:pt idx="249">
                  <c:v>18.440000000000001</c:v>
                </c:pt>
                <c:pt idx="250">
                  <c:v>15.21</c:v>
                </c:pt>
                <c:pt idx="251">
                  <c:v>18.64</c:v>
                </c:pt>
                <c:pt idx="252">
                  <c:v>18.690000000000001</c:v>
                </c:pt>
                <c:pt idx="253">
                  <c:v>18.53</c:v>
                </c:pt>
                <c:pt idx="254">
                  <c:v>18.13</c:v>
                </c:pt>
                <c:pt idx="255">
                  <c:v>16.05</c:v>
                </c:pt>
                <c:pt idx="256">
                  <c:v>11.44</c:v>
                </c:pt>
                <c:pt idx="257">
                  <c:v>8.93</c:v>
                </c:pt>
                <c:pt idx="258">
                  <c:v>14.84</c:v>
                </c:pt>
                <c:pt idx="259">
                  <c:v>13.25</c:v>
                </c:pt>
                <c:pt idx="260">
                  <c:v>13.48</c:v>
                </c:pt>
                <c:pt idx="261">
                  <c:v>10.71</c:v>
                </c:pt>
                <c:pt idx="262">
                  <c:v>7.6459999999999999</c:v>
                </c:pt>
                <c:pt idx="263">
                  <c:v>14.37</c:v>
                </c:pt>
                <c:pt idx="264">
                  <c:v>10.19</c:v>
                </c:pt>
                <c:pt idx="265">
                  <c:v>12.92</c:v>
                </c:pt>
                <c:pt idx="266">
                  <c:v>3.0110000000000001</c:v>
                </c:pt>
                <c:pt idx="267">
                  <c:v>5.3869999999999996</c:v>
                </c:pt>
                <c:pt idx="268">
                  <c:v>1.3620000000000001</c:v>
                </c:pt>
                <c:pt idx="269">
                  <c:v>7.78</c:v>
                </c:pt>
                <c:pt idx="270">
                  <c:v>14.65</c:v>
                </c:pt>
                <c:pt idx="271">
                  <c:v>14.59</c:v>
                </c:pt>
                <c:pt idx="272">
                  <c:v>14.87</c:v>
                </c:pt>
                <c:pt idx="273">
                  <c:v>12.95</c:v>
                </c:pt>
                <c:pt idx="274">
                  <c:v>6.0529999999999999</c:v>
                </c:pt>
                <c:pt idx="275">
                  <c:v>13.37</c:v>
                </c:pt>
                <c:pt idx="276">
                  <c:v>13.14</c:v>
                </c:pt>
                <c:pt idx="277">
                  <c:v>8.6999999999999993</c:v>
                </c:pt>
                <c:pt idx="278">
                  <c:v>13.09</c:v>
                </c:pt>
                <c:pt idx="279">
                  <c:v>12.07</c:v>
                </c:pt>
                <c:pt idx="280">
                  <c:v>13.16</c:v>
                </c:pt>
                <c:pt idx="281">
                  <c:v>2.3079999999999998</c:v>
                </c:pt>
                <c:pt idx="282">
                  <c:v>2.84</c:v>
                </c:pt>
                <c:pt idx="283">
                  <c:v>3.976</c:v>
                </c:pt>
                <c:pt idx="284">
                  <c:v>6.5590000000000002</c:v>
                </c:pt>
                <c:pt idx="285">
                  <c:v>7.657</c:v>
                </c:pt>
                <c:pt idx="286">
                  <c:v>2.9009999999999998</c:v>
                </c:pt>
                <c:pt idx="287">
                  <c:v>9.6</c:v>
                </c:pt>
                <c:pt idx="288">
                  <c:v>8.1</c:v>
                </c:pt>
                <c:pt idx="289">
                  <c:v>2.8180000000000001</c:v>
                </c:pt>
                <c:pt idx="290">
                  <c:v>1.3720000000000001</c:v>
                </c:pt>
                <c:pt idx="291">
                  <c:v>0.47599999999999998</c:v>
                </c:pt>
                <c:pt idx="292">
                  <c:v>3.3460000000000001</c:v>
                </c:pt>
                <c:pt idx="293">
                  <c:v>4.1660000000000004</c:v>
                </c:pt>
                <c:pt idx="294">
                  <c:v>3.056</c:v>
                </c:pt>
                <c:pt idx="295">
                  <c:v>5.3220000000000001</c:v>
                </c:pt>
                <c:pt idx="296">
                  <c:v>1.6379999999999999</c:v>
                </c:pt>
                <c:pt idx="297">
                  <c:v>2.2389999999999999</c:v>
                </c:pt>
                <c:pt idx="298">
                  <c:v>4.9029999999999996</c:v>
                </c:pt>
                <c:pt idx="299">
                  <c:v>3.734</c:v>
                </c:pt>
                <c:pt idx="300">
                  <c:v>6.9749999999999996</c:v>
                </c:pt>
                <c:pt idx="301">
                  <c:v>4.6959999999999997</c:v>
                </c:pt>
                <c:pt idx="302">
                  <c:v>6.0259999999999998</c:v>
                </c:pt>
                <c:pt idx="303">
                  <c:v>7.5439999999999996</c:v>
                </c:pt>
                <c:pt idx="304">
                  <c:v>7.3280000000000003</c:v>
                </c:pt>
                <c:pt idx="305">
                  <c:v>8.4</c:v>
                </c:pt>
                <c:pt idx="306">
                  <c:v>7.7389999999999999</c:v>
                </c:pt>
                <c:pt idx="307">
                  <c:v>1.8839999999999999</c:v>
                </c:pt>
                <c:pt idx="308">
                  <c:v>3.31</c:v>
                </c:pt>
                <c:pt idx="309">
                  <c:v>2.7570000000000001</c:v>
                </c:pt>
                <c:pt idx="310">
                  <c:v>6.59</c:v>
                </c:pt>
                <c:pt idx="311">
                  <c:v>3.016</c:v>
                </c:pt>
                <c:pt idx="312">
                  <c:v>7.3780000000000001</c:v>
                </c:pt>
                <c:pt idx="313">
                  <c:v>4.0270000000000001</c:v>
                </c:pt>
                <c:pt idx="314">
                  <c:v>0.29199999999999998</c:v>
                </c:pt>
                <c:pt idx="315">
                  <c:v>1.04</c:v>
                </c:pt>
                <c:pt idx="316">
                  <c:v>0.42699999999999999</c:v>
                </c:pt>
                <c:pt idx="317">
                  <c:v>0.31900000000000001</c:v>
                </c:pt>
                <c:pt idx="318">
                  <c:v>3.9569999999999999</c:v>
                </c:pt>
                <c:pt idx="319">
                  <c:v>4.8600000000000003</c:v>
                </c:pt>
                <c:pt idx="320">
                  <c:v>1.544</c:v>
                </c:pt>
                <c:pt idx="321">
                  <c:v>2.633</c:v>
                </c:pt>
                <c:pt idx="322">
                  <c:v>1.089</c:v>
                </c:pt>
                <c:pt idx="323">
                  <c:v>1.4390000000000001</c:v>
                </c:pt>
                <c:pt idx="324">
                  <c:v>1.0960000000000001</c:v>
                </c:pt>
                <c:pt idx="325">
                  <c:v>3.8370000000000002</c:v>
                </c:pt>
                <c:pt idx="326">
                  <c:v>2.9790000000000001</c:v>
                </c:pt>
                <c:pt idx="327">
                  <c:v>1.5589999999999999</c:v>
                </c:pt>
                <c:pt idx="328">
                  <c:v>1.504</c:v>
                </c:pt>
                <c:pt idx="329">
                  <c:v>1.6639999999999999</c:v>
                </c:pt>
                <c:pt idx="330">
                  <c:v>3.0219999999999998</c:v>
                </c:pt>
                <c:pt idx="331">
                  <c:v>4.6440000000000001</c:v>
                </c:pt>
                <c:pt idx="332">
                  <c:v>2.56</c:v>
                </c:pt>
                <c:pt idx="333">
                  <c:v>4.6269999999999998</c:v>
                </c:pt>
                <c:pt idx="334">
                  <c:v>1.034</c:v>
                </c:pt>
                <c:pt idx="335">
                  <c:v>5.0510000000000002</c:v>
                </c:pt>
                <c:pt idx="336">
                  <c:v>4.9720000000000004</c:v>
                </c:pt>
                <c:pt idx="337">
                  <c:v>3.8010000000000002</c:v>
                </c:pt>
                <c:pt idx="338">
                  <c:v>4.9800000000000004</c:v>
                </c:pt>
                <c:pt idx="339">
                  <c:v>4.7009999999999996</c:v>
                </c:pt>
                <c:pt idx="340">
                  <c:v>3.76</c:v>
                </c:pt>
                <c:pt idx="341">
                  <c:v>1.63</c:v>
                </c:pt>
                <c:pt idx="342">
                  <c:v>0.63400000000000001</c:v>
                </c:pt>
                <c:pt idx="343">
                  <c:v>0.63900000000000001</c:v>
                </c:pt>
                <c:pt idx="344">
                  <c:v>0.20599999999999999</c:v>
                </c:pt>
                <c:pt idx="345">
                  <c:v>0.24399999999999999</c:v>
                </c:pt>
                <c:pt idx="346">
                  <c:v>0.28199999999999997</c:v>
                </c:pt>
                <c:pt idx="347">
                  <c:v>0.15</c:v>
                </c:pt>
                <c:pt idx="348">
                  <c:v>0.193</c:v>
                </c:pt>
                <c:pt idx="349">
                  <c:v>0.16300000000000001</c:v>
                </c:pt>
                <c:pt idx="350">
                  <c:v>0.13</c:v>
                </c:pt>
                <c:pt idx="351">
                  <c:v>0.23599999999999999</c:v>
                </c:pt>
                <c:pt idx="352">
                  <c:v>0.124</c:v>
                </c:pt>
                <c:pt idx="353">
                  <c:v>0.255</c:v>
                </c:pt>
                <c:pt idx="354">
                  <c:v>0.254</c:v>
                </c:pt>
                <c:pt idx="355">
                  <c:v>9.2999999999999999E-2</c:v>
                </c:pt>
                <c:pt idx="356">
                  <c:v>0.10299999999999999</c:v>
                </c:pt>
                <c:pt idx="357">
                  <c:v>0.78</c:v>
                </c:pt>
                <c:pt idx="358">
                  <c:v>0.59599999999999997</c:v>
                </c:pt>
                <c:pt idx="359">
                  <c:v>0.29799999999999999</c:v>
                </c:pt>
                <c:pt idx="360">
                  <c:v>0.72699999999999998</c:v>
                </c:pt>
                <c:pt idx="361">
                  <c:v>0.626</c:v>
                </c:pt>
                <c:pt idx="362">
                  <c:v>0.49299999999999999</c:v>
                </c:pt>
                <c:pt idx="363">
                  <c:v>0.29499999999999998</c:v>
                </c:pt>
                <c:pt idx="364">
                  <c:v>0.22800000000000001</c:v>
                </c:pt>
                <c:pt idx="365">
                  <c:v>0.46300000000000002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1.7789999999999999</c:v>
                </c:pt>
                <c:pt idx="1">
                  <c:v>3</c:v>
                </c:pt>
                <c:pt idx="2">
                  <c:v>2.4820000000000002</c:v>
                </c:pt>
                <c:pt idx="3">
                  <c:v>2.4700000000000002</c:v>
                </c:pt>
                <c:pt idx="4">
                  <c:v>1.395</c:v>
                </c:pt>
                <c:pt idx="5">
                  <c:v>0.76200000000000001</c:v>
                </c:pt>
                <c:pt idx="6">
                  <c:v>1.355</c:v>
                </c:pt>
                <c:pt idx="7">
                  <c:v>1.248</c:v>
                </c:pt>
                <c:pt idx="8">
                  <c:v>3.9569999999999999</c:v>
                </c:pt>
                <c:pt idx="9">
                  <c:v>1.034</c:v>
                </c:pt>
                <c:pt idx="10">
                  <c:v>1.9259999999999999</c:v>
                </c:pt>
                <c:pt idx="11">
                  <c:v>1.133</c:v>
                </c:pt>
                <c:pt idx="12">
                  <c:v>2.4860000000000002</c:v>
                </c:pt>
                <c:pt idx="13">
                  <c:v>2.6869999999999998</c:v>
                </c:pt>
                <c:pt idx="14">
                  <c:v>2.3759999999999999</c:v>
                </c:pt>
                <c:pt idx="15">
                  <c:v>1.645</c:v>
                </c:pt>
                <c:pt idx="16">
                  <c:v>5.1230000000000002</c:v>
                </c:pt>
                <c:pt idx="17">
                  <c:v>1.262</c:v>
                </c:pt>
                <c:pt idx="18">
                  <c:v>3.0249999999999999</c:v>
                </c:pt>
                <c:pt idx="19">
                  <c:v>2.2330000000000001</c:v>
                </c:pt>
                <c:pt idx="20">
                  <c:v>1.849</c:v>
                </c:pt>
                <c:pt idx="21">
                  <c:v>2.4369999999999998</c:v>
                </c:pt>
                <c:pt idx="22">
                  <c:v>4.2770000000000001</c:v>
                </c:pt>
                <c:pt idx="23">
                  <c:v>4.0469999999999997</c:v>
                </c:pt>
                <c:pt idx="24">
                  <c:v>2.1019999999999999</c:v>
                </c:pt>
                <c:pt idx="25">
                  <c:v>3.1920000000000002</c:v>
                </c:pt>
                <c:pt idx="26">
                  <c:v>4.4509999999999996</c:v>
                </c:pt>
                <c:pt idx="27">
                  <c:v>4.7350000000000003</c:v>
                </c:pt>
                <c:pt idx="28">
                  <c:v>1.345</c:v>
                </c:pt>
                <c:pt idx="29">
                  <c:v>2.64</c:v>
                </c:pt>
                <c:pt idx="30">
                  <c:v>2.2749999999999999</c:v>
                </c:pt>
                <c:pt idx="31">
                  <c:v>3.444</c:v>
                </c:pt>
                <c:pt idx="32">
                  <c:v>6.14</c:v>
                </c:pt>
                <c:pt idx="33">
                  <c:v>7.3959999999999999</c:v>
                </c:pt>
                <c:pt idx="34">
                  <c:v>1.5529999999999999</c:v>
                </c:pt>
                <c:pt idx="35">
                  <c:v>1.246</c:v>
                </c:pt>
                <c:pt idx="36">
                  <c:v>2.3849999999999998</c:v>
                </c:pt>
                <c:pt idx="37">
                  <c:v>2.0720000000000001</c:v>
                </c:pt>
                <c:pt idx="38">
                  <c:v>3.2890000000000001</c:v>
                </c:pt>
                <c:pt idx="39">
                  <c:v>2.0720000000000001</c:v>
                </c:pt>
                <c:pt idx="40">
                  <c:v>5.2249999999999996</c:v>
                </c:pt>
                <c:pt idx="41">
                  <c:v>5.3529999999999998</c:v>
                </c:pt>
                <c:pt idx="42">
                  <c:v>8.9</c:v>
                </c:pt>
                <c:pt idx="43">
                  <c:v>2.4510000000000001</c:v>
                </c:pt>
                <c:pt idx="44">
                  <c:v>5.3609999999999998</c:v>
                </c:pt>
                <c:pt idx="45">
                  <c:v>2.6890000000000001</c:v>
                </c:pt>
                <c:pt idx="46">
                  <c:v>4.4589999999999996</c:v>
                </c:pt>
                <c:pt idx="47">
                  <c:v>6.4039999999999999</c:v>
                </c:pt>
                <c:pt idx="48">
                  <c:v>8.23</c:v>
                </c:pt>
                <c:pt idx="49">
                  <c:v>10.27</c:v>
                </c:pt>
                <c:pt idx="50">
                  <c:v>10.38</c:v>
                </c:pt>
                <c:pt idx="51">
                  <c:v>8.98</c:v>
                </c:pt>
                <c:pt idx="52">
                  <c:v>4.5810000000000004</c:v>
                </c:pt>
                <c:pt idx="53">
                  <c:v>4.2530000000000001</c:v>
                </c:pt>
                <c:pt idx="54">
                  <c:v>4.53</c:v>
                </c:pt>
                <c:pt idx="55">
                  <c:v>5.5209999999999999</c:v>
                </c:pt>
                <c:pt idx="56">
                  <c:v>10.94</c:v>
                </c:pt>
                <c:pt idx="57">
                  <c:v>6.891</c:v>
                </c:pt>
                <c:pt idx="58">
                  <c:v>6.9550000000000001</c:v>
                </c:pt>
                <c:pt idx="59">
                  <c:v>5.0039999999999996</c:v>
                </c:pt>
                <c:pt idx="60">
                  <c:v>9.34</c:v>
                </c:pt>
                <c:pt idx="61">
                  <c:v>8.2799999999999994</c:v>
                </c:pt>
                <c:pt idx="62">
                  <c:v>8.9600000000000009</c:v>
                </c:pt>
                <c:pt idx="63">
                  <c:v>8.23</c:v>
                </c:pt>
                <c:pt idx="64">
                  <c:v>9.23</c:v>
                </c:pt>
                <c:pt idx="65">
                  <c:v>4.51</c:v>
                </c:pt>
                <c:pt idx="66">
                  <c:v>8.11</c:v>
                </c:pt>
                <c:pt idx="67">
                  <c:v>8.74</c:v>
                </c:pt>
                <c:pt idx="68">
                  <c:v>14.28</c:v>
                </c:pt>
                <c:pt idx="69">
                  <c:v>3.5630000000000002</c:v>
                </c:pt>
                <c:pt idx="70">
                  <c:v>7.5750000000000002</c:v>
                </c:pt>
                <c:pt idx="71">
                  <c:v>7.8220000000000001</c:v>
                </c:pt>
                <c:pt idx="72">
                  <c:v>6.1340000000000003</c:v>
                </c:pt>
                <c:pt idx="73">
                  <c:v>10.94</c:v>
                </c:pt>
                <c:pt idx="74">
                  <c:v>17.14</c:v>
                </c:pt>
                <c:pt idx="75">
                  <c:v>16.62</c:v>
                </c:pt>
                <c:pt idx="76">
                  <c:v>13.42</c:v>
                </c:pt>
                <c:pt idx="77">
                  <c:v>15.93</c:v>
                </c:pt>
                <c:pt idx="78">
                  <c:v>15.22</c:v>
                </c:pt>
                <c:pt idx="79">
                  <c:v>15.61</c:v>
                </c:pt>
                <c:pt idx="80">
                  <c:v>15.57</c:v>
                </c:pt>
                <c:pt idx="81">
                  <c:v>8.86</c:v>
                </c:pt>
                <c:pt idx="82">
                  <c:v>10.49</c:v>
                </c:pt>
                <c:pt idx="83">
                  <c:v>7.4029999999999996</c:v>
                </c:pt>
                <c:pt idx="84">
                  <c:v>17.96</c:v>
                </c:pt>
                <c:pt idx="85">
                  <c:v>6.3840000000000003</c:v>
                </c:pt>
                <c:pt idx="86">
                  <c:v>6.3220000000000001</c:v>
                </c:pt>
                <c:pt idx="87">
                  <c:v>7.218</c:v>
                </c:pt>
                <c:pt idx="88">
                  <c:v>11.02</c:v>
                </c:pt>
                <c:pt idx="89">
                  <c:v>9.2899999999999991</c:v>
                </c:pt>
                <c:pt idx="90">
                  <c:v>10.96</c:v>
                </c:pt>
                <c:pt idx="91">
                  <c:v>17.54</c:v>
                </c:pt>
                <c:pt idx="92">
                  <c:v>15.4</c:v>
                </c:pt>
                <c:pt idx="93">
                  <c:v>8.9700000000000006</c:v>
                </c:pt>
                <c:pt idx="94">
                  <c:v>9.24</c:v>
                </c:pt>
                <c:pt idx="95">
                  <c:v>7.806</c:v>
                </c:pt>
                <c:pt idx="96">
                  <c:v>17.93</c:v>
                </c:pt>
                <c:pt idx="97">
                  <c:v>17.48</c:v>
                </c:pt>
                <c:pt idx="98">
                  <c:v>16.760000000000002</c:v>
                </c:pt>
                <c:pt idx="99">
                  <c:v>17.12</c:v>
                </c:pt>
                <c:pt idx="100">
                  <c:v>12.8</c:v>
                </c:pt>
                <c:pt idx="101">
                  <c:v>14.5</c:v>
                </c:pt>
                <c:pt idx="102">
                  <c:v>20.12</c:v>
                </c:pt>
                <c:pt idx="103">
                  <c:v>17.510000000000002</c:v>
                </c:pt>
                <c:pt idx="104">
                  <c:v>4.5490000000000004</c:v>
                </c:pt>
                <c:pt idx="105">
                  <c:v>18.13</c:v>
                </c:pt>
                <c:pt idx="106">
                  <c:v>18.55</c:v>
                </c:pt>
                <c:pt idx="107">
                  <c:v>10.06</c:v>
                </c:pt>
                <c:pt idx="108">
                  <c:v>12.86</c:v>
                </c:pt>
                <c:pt idx="109">
                  <c:v>10.35</c:v>
                </c:pt>
                <c:pt idx="110">
                  <c:v>15.83</c:v>
                </c:pt>
                <c:pt idx="111">
                  <c:v>11.13</c:v>
                </c:pt>
                <c:pt idx="112">
                  <c:v>7.3869999999999996</c:v>
                </c:pt>
                <c:pt idx="113">
                  <c:v>9.5</c:v>
                </c:pt>
                <c:pt idx="114">
                  <c:v>12.02</c:v>
                </c:pt>
                <c:pt idx="115">
                  <c:v>7.11</c:v>
                </c:pt>
                <c:pt idx="116">
                  <c:v>11.33</c:v>
                </c:pt>
                <c:pt idx="117">
                  <c:v>12.95</c:v>
                </c:pt>
                <c:pt idx="118">
                  <c:v>10.39</c:v>
                </c:pt>
                <c:pt idx="119">
                  <c:v>9.3000000000000007</c:v>
                </c:pt>
                <c:pt idx="120">
                  <c:v>15.24</c:v>
                </c:pt>
                <c:pt idx="121">
                  <c:v>11.47</c:v>
                </c:pt>
                <c:pt idx="122">
                  <c:v>9.6999999999999993</c:v>
                </c:pt>
                <c:pt idx="123">
                  <c:v>15.75</c:v>
                </c:pt>
                <c:pt idx="124">
                  <c:v>17.07</c:v>
                </c:pt>
                <c:pt idx="125">
                  <c:v>9.9600000000000009</c:v>
                </c:pt>
                <c:pt idx="126">
                  <c:v>6.9169999999999998</c:v>
                </c:pt>
                <c:pt idx="127">
                  <c:v>16.690000000000001</c:v>
                </c:pt>
                <c:pt idx="128">
                  <c:v>18.36</c:v>
                </c:pt>
                <c:pt idx="129">
                  <c:v>16.87</c:v>
                </c:pt>
                <c:pt idx="130">
                  <c:v>13.92</c:v>
                </c:pt>
                <c:pt idx="131">
                  <c:v>13.99</c:v>
                </c:pt>
                <c:pt idx="132">
                  <c:v>6.2990000000000004</c:v>
                </c:pt>
                <c:pt idx="133">
                  <c:v>9.16</c:v>
                </c:pt>
                <c:pt idx="134">
                  <c:v>9.01</c:v>
                </c:pt>
                <c:pt idx="135">
                  <c:v>7.4530000000000003</c:v>
                </c:pt>
                <c:pt idx="136">
                  <c:v>5.4029999999999996</c:v>
                </c:pt>
                <c:pt idx="137">
                  <c:v>4.5460000000000003</c:v>
                </c:pt>
                <c:pt idx="138">
                  <c:v>8.84</c:v>
                </c:pt>
                <c:pt idx="139">
                  <c:v>16.59</c:v>
                </c:pt>
                <c:pt idx="140">
                  <c:v>9.57</c:v>
                </c:pt>
                <c:pt idx="141">
                  <c:v>8.6</c:v>
                </c:pt>
                <c:pt idx="142">
                  <c:v>4.9800000000000004</c:v>
                </c:pt>
                <c:pt idx="143">
                  <c:v>11.46</c:v>
                </c:pt>
                <c:pt idx="144">
                  <c:v>10.6</c:v>
                </c:pt>
                <c:pt idx="145">
                  <c:v>4.8929999999999998</c:v>
                </c:pt>
                <c:pt idx="146">
                  <c:v>11.52</c:v>
                </c:pt>
                <c:pt idx="147">
                  <c:v>16.850000000000001</c:v>
                </c:pt>
                <c:pt idx="148">
                  <c:v>10.74</c:v>
                </c:pt>
                <c:pt idx="149">
                  <c:v>12.05</c:v>
                </c:pt>
                <c:pt idx="150">
                  <c:v>5.694</c:v>
                </c:pt>
                <c:pt idx="151">
                  <c:v>3.125</c:v>
                </c:pt>
                <c:pt idx="152">
                  <c:v>9.5500000000000007</c:v>
                </c:pt>
                <c:pt idx="153">
                  <c:v>5.2380000000000004</c:v>
                </c:pt>
                <c:pt idx="154">
                  <c:v>6.492</c:v>
                </c:pt>
                <c:pt idx="155">
                  <c:v>3.9969999999999999</c:v>
                </c:pt>
                <c:pt idx="156">
                  <c:v>2.7410000000000001</c:v>
                </c:pt>
                <c:pt idx="157">
                  <c:v>5.0999999999999996</c:v>
                </c:pt>
                <c:pt idx="158">
                  <c:v>2.64</c:v>
                </c:pt>
                <c:pt idx="159">
                  <c:v>3.5219999999999998</c:v>
                </c:pt>
                <c:pt idx="160">
                  <c:v>0.89200000000000002</c:v>
                </c:pt>
                <c:pt idx="161">
                  <c:v>2.2669999999999999</c:v>
                </c:pt>
                <c:pt idx="162">
                  <c:v>1.353</c:v>
                </c:pt>
                <c:pt idx="163">
                  <c:v>2.198</c:v>
                </c:pt>
                <c:pt idx="164">
                  <c:v>1.0149999999999999</c:v>
                </c:pt>
                <c:pt idx="165">
                  <c:v>3.7189999999999999</c:v>
                </c:pt>
                <c:pt idx="166">
                  <c:v>2.02</c:v>
                </c:pt>
                <c:pt idx="167">
                  <c:v>2.7679999999999998</c:v>
                </c:pt>
                <c:pt idx="168">
                  <c:v>3.3479999999999999</c:v>
                </c:pt>
                <c:pt idx="169">
                  <c:v>4.133</c:v>
                </c:pt>
                <c:pt idx="170">
                  <c:v>2.9620000000000002</c:v>
                </c:pt>
                <c:pt idx="171">
                  <c:v>1.599</c:v>
                </c:pt>
                <c:pt idx="172">
                  <c:v>4.1120000000000001</c:v>
                </c:pt>
                <c:pt idx="173">
                  <c:v>3.855</c:v>
                </c:pt>
                <c:pt idx="174">
                  <c:v>2.81</c:v>
                </c:pt>
                <c:pt idx="175">
                  <c:v>2.3260000000000001</c:v>
                </c:pt>
                <c:pt idx="176">
                  <c:v>4.8490000000000002</c:v>
                </c:pt>
                <c:pt idx="177">
                  <c:v>2.8439999999999999</c:v>
                </c:pt>
                <c:pt idx="178">
                  <c:v>3.4220000000000002</c:v>
                </c:pt>
                <c:pt idx="179">
                  <c:v>1.5760000000000001</c:v>
                </c:pt>
                <c:pt idx="180">
                  <c:v>4.8639999999999999</c:v>
                </c:pt>
                <c:pt idx="181">
                  <c:v>2.0720000000000001</c:v>
                </c:pt>
                <c:pt idx="182">
                  <c:v>1.6539999999999999</c:v>
                </c:pt>
                <c:pt idx="183">
                  <c:v>2.7149999999999999</c:v>
                </c:pt>
                <c:pt idx="184">
                  <c:v>2.6789999999999998</c:v>
                </c:pt>
                <c:pt idx="185">
                  <c:v>4.9080000000000004</c:v>
                </c:pt>
                <c:pt idx="186">
                  <c:v>3.5550000000000002</c:v>
                </c:pt>
                <c:pt idx="187">
                  <c:v>3.3159999999999998</c:v>
                </c:pt>
                <c:pt idx="188">
                  <c:v>1.986</c:v>
                </c:pt>
                <c:pt idx="189">
                  <c:v>3.7029999999999998</c:v>
                </c:pt>
                <c:pt idx="190">
                  <c:v>1.974</c:v>
                </c:pt>
                <c:pt idx="191">
                  <c:v>4.7359999999999998</c:v>
                </c:pt>
                <c:pt idx="192">
                  <c:v>3.2029999999999998</c:v>
                </c:pt>
                <c:pt idx="193">
                  <c:v>4.4530000000000003</c:v>
                </c:pt>
                <c:pt idx="194">
                  <c:v>5.15</c:v>
                </c:pt>
                <c:pt idx="195">
                  <c:v>5.2210000000000001</c:v>
                </c:pt>
                <c:pt idx="196">
                  <c:v>4.7619999999999996</c:v>
                </c:pt>
                <c:pt idx="197">
                  <c:v>3.101</c:v>
                </c:pt>
                <c:pt idx="198">
                  <c:v>3.5550000000000002</c:v>
                </c:pt>
                <c:pt idx="199">
                  <c:v>5.2350000000000003</c:v>
                </c:pt>
                <c:pt idx="200">
                  <c:v>5.327</c:v>
                </c:pt>
                <c:pt idx="201">
                  <c:v>6.0049999999999999</c:v>
                </c:pt>
                <c:pt idx="202">
                  <c:v>5.5970000000000004</c:v>
                </c:pt>
                <c:pt idx="203">
                  <c:v>4.8979999999999997</c:v>
                </c:pt>
                <c:pt idx="204">
                  <c:v>5.4720000000000004</c:v>
                </c:pt>
                <c:pt idx="205">
                  <c:v>4.0439999999999996</c:v>
                </c:pt>
                <c:pt idx="206">
                  <c:v>6.157</c:v>
                </c:pt>
                <c:pt idx="207">
                  <c:v>5.9930000000000003</c:v>
                </c:pt>
                <c:pt idx="208">
                  <c:v>5.9429999999999996</c:v>
                </c:pt>
                <c:pt idx="209">
                  <c:v>5.556</c:v>
                </c:pt>
                <c:pt idx="210">
                  <c:v>6.0019999999999998</c:v>
                </c:pt>
                <c:pt idx="211">
                  <c:v>5.6829999999999998</c:v>
                </c:pt>
                <c:pt idx="212">
                  <c:v>4.1669999999999998</c:v>
                </c:pt>
                <c:pt idx="213">
                  <c:v>4.4370000000000003</c:v>
                </c:pt>
                <c:pt idx="214">
                  <c:v>5.4039999999999999</c:v>
                </c:pt>
                <c:pt idx="215">
                  <c:v>5.4749999999999996</c:v>
                </c:pt>
                <c:pt idx="216">
                  <c:v>5.7080000000000002</c:v>
                </c:pt>
                <c:pt idx="217">
                  <c:v>5.5110000000000001</c:v>
                </c:pt>
                <c:pt idx="218">
                  <c:v>2.3690000000000002</c:v>
                </c:pt>
                <c:pt idx="219">
                  <c:v>3.633</c:v>
                </c:pt>
                <c:pt idx="220">
                  <c:v>4.4009999999999998</c:v>
                </c:pt>
                <c:pt idx="221">
                  <c:v>5.2290000000000001</c:v>
                </c:pt>
                <c:pt idx="222">
                  <c:v>4.1890000000000001</c:v>
                </c:pt>
                <c:pt idx="223">
                  <c:v>4.1879999999999997</c:v>
                </c:pt>
                <c:pt idx="224">
                  <c:v>4.7859999999999996</c:v>
                </c:pt>
                <c:pt idx="225">
                  <c:v>4.6319999999999997</c:v>
                </c:pt>
                <c:pt idx="226">
                  <c:v>5.0510000000000002</c:v>
                </c:pt>
                <c:pt idx="227">
                  <c:v>5.1840000000000002</c:v>
                </c:pt>
                <c:pt idx="228">
                  <c:v>4.6609999999999996</c:v>
                </c:pt>
                <c:pt idx="229">
                  <c:v>4.6550000000000002</c:v>
                </c:pt>
                <c:pt idx="230">
                  <c:v>4.7469999999999999</c:v>
                </c:pt>
                <c:pt idx="231">
                  <c:v>3.484</c:v>
                </c:pt>
                <c:pt idx="232">
                  <c:v>3.13</c:v>
                </c:pt>
                <c:pt idx="233">
                  <c:v>2.3820000000000001</c:v>
                </c:pt>
                <c:pt idx="234">
                  <c:v>4.617</c:v>
                </c:pt>
                <c:pt idx="235">
                  <c:v>4.1539999999999999</c:v>
                </c:pt>
                <c:pt idx="236">
                  <c:v>3.0640000000000001</c:v>
                </c:pt>
                <c:pt idx="237">
                  <c:v>4.6639999999999997</c:v>
                </c:pt>
                <c:pt idx="238">
                  <c:v>4.3410000000000002</c:v>
                </c:pt>
                <c:pt idx="239">
                  <c:v>4.5609999999999999</c:v>
                </c:pt>
                <c:pt idx="240">
                  <c:v>4.4969999999999999</c:v>
                </c:pt>
                <c:pt idx="241">
                  <c:v>3.1850000000000001</c:v>
                </c:pt>
                <c:pt idx="242">
                  <c:v>3.351</c:v>
                </c:pt>
                <c:pt idx="243">
                  <c:v>1.9450000000000001</c:v>
                </c:pt>
                <c:pt idx="244">
                  <c:v>3.9249999999999998</c:v>
                </c:pt>
                <c:pt idx="245">
                  <c:v>3.8719999999999999</c:v>
                </c:pt>
                <c:pt idx="246">
                  <c:v>4.1180000000000003</c:v>
                </c:pt>
                <c:pt idx="247">
                  <c:v>3.8730000000000002</c:v>
                </c:pt>
                <c:pt idx="248">
                  <c:v>3.8650000000000002</c:v>
                </c:pt>
                <c:pt idx="249">
                  <c:v>3.702</c:v>
                </c:pt>
                <c:pt idx="250">
                  <c:v>3.3650000000000002</c:v>
                </c:pt>
                <c:pt idx="251">
                  <c:v>3.7850000000000001</c:v>
                </c:pt>
                <c:pt idx="252">
                  <c:v>3.8140000000000001</c:v>
                </c:pt>
                <c:pt idx="253">
                  <c:v>3.7890000000000001</c:v>
                </c:pt>
                <c:pt idx="254">
                  <c:v>3.6720000000000002</c:v>
                </c:pt>
                <c:pt idx="255">
                  <c:v>3.15</c:v>
                </c:pt>
                <c:pt idx="256">
                  <c:v>2.4670000000000001</c:v>
                </c:pt>
                <c:pt idx="257">
                  <c:v>1.8919999999999999</c:v>
                </c:pt>
                <c:pt idx="258">
                  <c:v>2.99</c:v>
                </c:pt>
                <c:pt idx="259">
                  <c:v>2.7360000000000002</c:v>
                </c:pt>
                <c:pt idx="260">
                  <c:v>2.7789999999999999</c:v>
                </c:pt>
                <c:pt idx="261">
                  <c:v>2.165</c:v>
                </c:pt>
                <c:pt idx="262">
                  <c:v>1.45</c:v>
                </c:pt>
                <c:pt idx="263">
                  <c:v>2.88</c:v>
                </c:pt>
                <c:pt idx="264">
                  <c:v>1.958</c:v>
                </c:pt>
                <c:pt idx="265">
                  <c:v>2.5489999999999999</c:v>
                </c:pt>
                <c:pt idx="266">
                  <c:v>0.56000000000000005</c:v>
                </c:pt>
                <c:pt idx="267">
                  <c:v>0.91</c:v>
                </c:pt>
                <c:pt idx="268">
                  <c:v>0.217</c:v>
                </c:pt>
                <c:pt idx="269">
                  <c:v>1.3560000000000001</c:v>
                </c:pt>
                <c:pt idx="270">
                  <c:v>2.4980000000000002</c:v>
                </c:pt>
                <c:pt idx="271">
                  <c:v>2.62</c:v>
                </c:pt>
                <c:pt idx="272">
                  <c:v>2.6579999999999999</c:v>
                </c:pt>
                <c:pt idx="273">
                  <c:v>2.33</c:v>
                </c:pt>
                <c:pt idx="274">
                  <c:v>1.073</c:v>
                </c:pt>
                <c:pt idx="275">
                  <c:v>2.38</c:v>
                </c:pt>
                <c:pt idx="276">
                  <c:v>2.3130000000000002</c:v>
                </c:pt>
                <c:pt idx="277">
                  <c:v>1.464</c:v>
                </c:pt>
                <c:pt idx="278">
                  <c:v>2.2360000000000002</c:v>
                </c:pt>
                <c:pt idx="279">
                  <c:v>2.0619999999999998</c:v>
                </c:pt>
                <c:pt idx="280">
                  <c:v>2.254</c:v>
                </c:pt>
                <c:pt idx="281">
                  <c:v>0.36299999999999999</c:v>
                </c:pt>
                <c:pt idx="282">
                  <c:v>0.40300000000000002</c:v>
                </c:pt>
                <c:pt idx="283">
                  <c:v>0.61</c:v>
                </c:pt>
                <c:pt idx="284">
                  <c:v>0.95299999999999996</c:v>
                </c:pt>
                <c:pt idx="285">
                  <c:v>5.0359999999999996</c:v>
                </c:pt>
                <c:pt idx="286">
                  <c:v>2.1589999999999998</c:v>
                </c:pt>
                <c:pt idx="287">
                  <c:v>6.2969999999999997</c:v>
                </c:pt>
                <c:pt idx="288">
                  <c:v>5.61</c:v>
                </c:pt>
                <c:pt idx="289">
                  <c:v>1.8080000000000001</c:v>
                </c:pt>
                <c:pt idx="290">
                  <c:v>2.8969999999999998</c:v>
                </c:pt>
                <c:pt idx="291">
                  <c:v>2.09</c:v>
                </c:pt>
                <c:pt idx="292">
                  <c:v>2.0950000000000002</c:v>
                </c:pt>
                <c:pt idx="293">
                  <c:v>2.9529999999999998</c:v>
                </c:pt>
                <c:pt idx="294">
                  <c:v>4.0119999999999996</c:v>
                </c:pt>
                <c:pt idx="295">
                  <c:v>4.5629999999999997</c:v>
                </c:pt>
                <c:pt idx="296">
                  <c:v>1.49</c:v>
                </c:pt>
                <c:pt idx="297">
                  <c:v>3.7240000000000002</c:v>
                </c:pt>
                <c:pt idx="298">
                  <c:v>5.9740000000000002</c:v>
                </c:pt>
                <c:pt idx="299">
                  <c:v>2.9220000000000002</c:v>
                </c:pt>
                <c:pt idx="300">
                  <c:v>4.7359999999999998</c:v>
                </c:pt>
                <c:pt idx="301">
                  <c:v>3.1859999999999999</c:v>
                </c:pt>
                <c:pt idx="302">
                  <c:v>3.718</c:v>
                </c:pt>
                <c:pt idx="303">
                  <c:v>4.2779999999999996</c:v>
                </c:pt>
                <c:pt idx="304">
                  <c:v>4.0960000000000001</c:v>
                </c:pt>
                <c:pt idx="305">
                  <c:v>4.3940000000000001</c:v>
                </c:pt>
                <c:pt idx="306">
                  <c:v>3.74</c:v>
                </c:pt>
                <c:pt idx="307">
                  <c:v>1.1259999999999999</c:v>
                </c:pt>
                <c:pt idx="308">
                  <c:v>1.8160000000000001</c:v>
                </c:pt>
                <c:pt idx="309">
                  <c:v>1.968</c:v>
                </c:pt>
                <c:pt idx="310">
                  <c:v>3.8769999999999998</c:v>
                </c:pt>
                <c:pt idx="311">
                  <c:v>1.9990000000000001</c:v>
                </c:pt>
                <c:pt idx="312">
                  <c:v>4.5469999999999997</c:v>
                </c:pt>
                <c:pt idx="313">
                  <c:v>2.2709999999999999</c:v>
                </c:pt>
                <c:pt idx="314">
                  <c:v>1.371</c:v>
                </c:pt>
                <c:pt idx="315">
                  <c:v>3.6349999999999998</c:v>
                </c:pt>
                <c:pt idx="316">
                  <c:v>1.7150000000000001</c:v>
                </c:pt>
                <c:pt idx="317">
                  <c:v>0.7</c:v>
                </c:pt>
                <c:pt idx="318">
                  <c:v>3.2519999999999998</c:v>
                </c:pt>
                <c:pt idx="319">
                  <c:v>4.2720000000000002</c:v>
                </c:pt>
                <c:pt idx="320">
                  <c:v>1.1879999999999999</c:v>
                </c:pt>
                <c:pt idx="321">
                  <c:v>2.0529999999999999</c:v>
                </c:pt>
                <c:pt idx="322">
                  <c:v>0.91200000000000003</c:v>
                </c:pt>
                <c:pt idx="323">
                  <c:v>3.6960000000000002</c:v>
                </c:pt>
                <c:pt idx="324">
                  <c:v>1.722</c:v>
                </c:pt>
                <c:pt idx="325">
                  <c:v>3.5790000000000002</c:v>
                </c:pt>
                <c:pt idx="326">
                  <c:v>2.1269999999999998</c:v>
                </c:pt>
                <c:pt idx="327">
                  <c:v>1.4550000000000001</c:v>
                </c:pt>
                <c:pt idx="328">
                  <c:v>1.524</c:v>
                </c:pt>
                <c:pt idx="329">
                  <c:v>2.4180000000000001</c:v>
                </c:pt>
                <c:pt idx="330">
                  <c:v>2.903</c:v>
                </c:pt>
                <c:pt idx="331">
                  <c:v>3.17</c:v>
                </c:pt>
                <c:pt idx="332">
                  <c:v>1.976</c:v>
                </c:pt>
                <c:pt idx="333">
                  <c:v>3.351</c:v>
                </c:pt>
                <c:pt idx="334">
                  <c:v>1.1319999999999999</c:v>
                </c:pt>
                <c:pt idx="335">
                  <c:v>3.17</c:v>
                </c:pt>
                <c:pt idx="336">
                  <c:v>3.0680000000000001</c:v>
                </c:pt>
                <c:pt idx="337">
                  <c:v>2.1800000000000002</c:v>
                </c:pt>
                <c:pt idx="338">
                  <c:v>3.0139999999999998</c:v>
                </c:pt>
                <c:pt idx="339">
                  <c:v>2.9580000000000002</c:v>
                </c:pt>
                <c:pt idx="340">
                  <c:v>2.5550000000000002</c:v>
                </c:pt>
                <c:pt idx="341">
                  <c:v>1.1879999999999999</c:v>
                </c:pt>
                <c:pt idx="342">
                  <c:v>0.47499999999999998</c:v>
                </c:pt>
                <c:pt idx="343">
                  <c:v>2.7690000000000001</c:v>
                </c:pt>
                <c:pt idx="344">
                  <c:v>1.5329999999999999</c:v>
                </c:pt>
                <c:pt idx="345">
                  <c:v>1.883</c:v>
                </c:pt>
                <c:pt idx="346">
                  <c:v>1.9490000000000001</c:v>
                </c:pt>
                <c:pt idx="347">
                  <c:v>1.1619999999999999</c:v>
                </c:pt>
                <c:pt idx="348">
                  <c:v>1.5860000000000001</c:v>
                </c:pt>
                <c:pt idx="349">
                  <c:v>1.4570000000000001</c:v>
                </c:pt>
                <c:pt idx="350">
                  <c:v>1.2010000000000001</c:v>
                </c:pt>
                <c:pt idx="351">
                  <c:v>1.9790000000000001</c:v>
                </c:pt>
                <c:pt idx="352">
                  <c:v>1.232</c:v>
                </c:pt>
                <c:pt idx="353">
                  <c:v>1.671</c:v>
                </c:pt>
                <c:pt idx="354">
                  <c:v>1.9179999999999999</c:v>
                </c:pt>
                <c:pt idx="355">
                  <c:v>0.80800000000000005</c:v>
                </c:pt>
                <c:pt idx="356">
                  <c:v>0.92500000000000004</c:v>
                </c:pt>
                <c:pt idx="357">
                  <c:v>3.3039999999999998</c:v>
                </c:pt>
                <c:pt idx="358">
                  <c:v>2.609</c:v>
                </c:pt>
                <c:pt idx="359">
                  <c:v>1.611</c:v>
                </c:pt>
                <c:pt idx="360">
                  <c:v>2.5099999999999998</c:v>
                </c:pt>
                <c:pt idx="361">
                  <c:v>2.4860000000000002</c:v>
                </c:pt>
                <c:pt idx="362">
                  <c:v>2.0750000000000002</c:v>
                </c:pt>
                <c:pt idx="363">
                  <c:v>1.631</c:v>
                </c:pt>
                <c:pt idx="364">
                  <c:v>1.2290000000000001</c:v>
                </c:pt>
                <c:pt idx="365">
                  <c:v>2.1150000000000002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501056"/>
        <c:axId val="239935872"/>
      </c:lineChart>
      <c:catAx>
        <c:axId val="237501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9358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9935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501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95.5</c:v>
                </c:pt>
                <c:pt idx="1">
                  <c:v>91.6</c:v>
                </c:pt>
                <c:pt idx="2">
                  <c:v>95</c:v>
                </c:pt>
                <c:pt idx="3">
                  <c:v>94.3</c:v>
                </c:pt>
                <c:pt idx="4">
                  <c:v>93.4</c:v>
                </c:pt>
                <c:pt idx="5">
                  <c:v>94.7</c:v>
                </c:pt>
                <c:pt idx="6">
                  <c:v>95.8</c:v>
                </c:pt>
                <c:pt idx="7">
                  <c:v>94.4</c:v>
                </c:pt>
                <c:pt idx="8">
                  <c:v>90.9</c:v>
                </c:pt>
                <c:pt idx="9">
                  <c:v>89</c:v>
                </c:pt>
                <c:pt idx="10">
                  <c:v>93.4</c:v>
                </c:pt>
                <c:pt idx="11">
                  <c:v>91.3</c:v>
                </c:pt>
                <c:pt idx="12">
                  <c:v>80.099999999999994</c:v>
                </c:pt>
                <c:pt idx="13">
                  <c:v>84.1</c:v>
                </c:pt>
                <c:pt idx="14">
                  <c:v>86.6</c:v>
                </c:pt>
                <c:pt idx="15">
                  <c:v>93.2</c:v>
                </c:pt>
                <c:pt idx="16">
                  <c:v>94.2</c:v>
                </c:pt>
                <c:pt idx="17">
                  <c:v>92.4</c:v>
                </c:pt>
                <c:pt idx="18">
                  <c:v>94.7</c:v>
                </c:pt>
                <c:pt idx="19">
                  <c:v>95.4</c:v>
                </c:pt>
                <c:pt idx="20">
                  <c:v>96.3</c:v>
                </c:pt>
                <c:pt idx="21">
                  <c:v>96.1</c:v>
                </c:pt>
                <c:pt idx="22">
                  <c:v>96.1</c:v>
                </c:pt>
                <c:pt idx="23">
                  <c:v>96</c:v>
                </c:pt>
                <c:pt idx="24">
                  <c:v>94.6</c:v>
                </c:pt>
                <c:pt idx="25">
                  <c:v>94.9</c:v>
                </c:pt>
                <c:pt idx="26">
                  <c:v>94.3</c:v>
                </c:pt>
                <c:pt idx="27">
                  <c:v>94.3</c:v>
                </c:pt>
                <c:pt idx="28">
                  <c:v>94.2</c:v>
                </c:pt>
                <c:pt idx="29">
                  <c:v>94.3</c:v>
                </c:pt>
                <c:pt idx="30">
                  <c:v>96.7</c:v>
                </c:pt>
                <c:pt idx="31">
                  <c:v>96.8</c:v>
                </c:pt>
                <c:pt idx="32">
                  <c:v>86.9</c:v>
                </c:pt>
                <c:pt idx="33">
                  <c:v>87.7</c:v>
                </c:pt>
                <c:pt idx="34">
                  <c:v>92.2</c:v>
                </c:pt>
                <c:pt idx="35">
                  <c:v>94.6</c:v>
                </c:pt>
                <c:pt idx="36">
                  <c:v>94.8</c:v>
                </c:pt>
                <c:pt idx="37">
                  <c:v>92.9</c:v>
                </c:pt>
                <c:pt idx="38">
                  <c:v>92.1</c:v>
                </c:pt>
                <c:pt idx="39">
                  <c:v>92.9</c:v>
                </c:pt>
                <c:pt idx="40">
                  <c:v>92.9</c:v>
                </c:pt>
                <c:pt idx="41">
                  <c:v>92.5</c:v>
                </c:pt>
                <c:pt idx="42">
                  <c:v>91.6</c:v>
                </c:pt>
                <c:pt idx="43">
                  <c:v>95</c:v>
                </c:pt>
                <c:pt idx="44">
                  <c:v>88</c:v>
                </c:pt>
                <c:pt idx="45">
                  <c:v>94</c:v>
                </c:pt>
                <c:pt idx="46">
                  <c:v>92.4</c:v>
                </c:pt>
                <c:pt idx="47">
                  <c:v>89.7</c:v>
                </c:pt>
                <c:pt idx="48">
                  <c:v>89.4</c:v>
                </c:pt>
                <c:pt idx="49">
                  <c:v>88.1</c:v>
                </c:pt>
                <c:pt idx="50">
                  <c:v>86.8</c:v>
                </c:pt>
                <c:pt idx="51">
                  <c:v>84.4</c:v>
                </c:pt>
                <c:pt idx="52">
                  <c:v>93.5</c:v>
                </c:pt>
                <c:pt idx="53">
                  <c:v>92.3</c:v>
                </c:pt>
                <c:pt idx="54">
                  <c:v>92</c:v>
                </c:pt>
                <c:pt idx="55">
                  <c:v>93.6</c:v>
                </c:pt>
                <c:pt idx="56">
                  <c:v>93.7</c:v>
                </c:pt>
                <c:pt idx="57">
                  <c:v>93</c:v>
                </c:pt>
                <c:pt idx="58">
                  <c:v>95.3</c:v>
                </c:pt>
                <c:pt idx="59">
                  <c:v>92</c:v>
                </c:pt>
                <c:pt idx="60">
                  <c:v>90.8</c:v>
                </c:pt>
                <c:pt idx="61">
                  <c:v>93.9</c:v>
                </c:pt>
                <c:pt idx="62">
                  <c:v>83.8</c:v>
                </c:pt>
                <c:pt idx="63">
                  <c:v>85.4</c:v>
                </c:pt>
                <c:pt idx="64">
                  <c:v>75.66</c:v>
                </c:pt>
                <c:pt idx="65">
                  <c:v>95.7</c:v>
                </c:pt>
                <c:pt idx="66">
                  <c:v>94.6</c:v>
                </c:pt>
                <c:pt idx="67">
                  <c:v>89.4</c:v>
                </c:pt>
                <c:pt idx="68">
                  <c:v>87.1</c:v>
                </c:pt>
                <c:pt idx="69">
                  <c:v>90.2</c:v>
                </c:pt>
                <c:pt idx="70">
                  <c:v>93.1</c:v>
                </c:pt>
                <c:pt idx="71">
                  <c:v>90.1</c:v>
                </c:pt>
                <c:pt idx="72">
                  <c:v>87.9</c:v>
                </c:pt>
                <c:pt idx="73">
                  <c:v>83.8</c:v>
                </c:pt>
                <c:pt idx="74">
                  <c:v>81.599999999999994</c:v>
                </c:pt>
                <c:pt idx="75">
                  <c:v>81.8</c:v>
                </c:pt>
                <c:pt idx="76">
                  <c:v>66.239999999999995</c:v>
                </c:pt>
                <c:pt idx="77">
                  <c:v>66.430000000000007</c:v>
                </c:pt>
                <c:pt idx="78">
                  <c:v>70.89</c:v>
                </c:pt>
                <c:pt idx="79">
                  <c:v>68.27</c:v>
                </c:pt>
                <c:pt idx="80">
                  <c:v>79.89</c:v>
                </c:pt>
                <c:pt idx="81">
                  <c:v>77.89</c:v>
                </c:pt>
                <c:pt idx="82">
                  <c:v>90.5</c:v>
                </c:pt>
                <c:pt idx="83">
                  <c:v>89.8</c:v>
                </c:pt>
                <c:pt idx="84">
                  <c:v>89.8</c:v>
                </c:pt>
                <c:pt idx="85">
                  <c:v>91.6</c:v>
                </c:pt>
                <c:pt idx="86">
                  <c:v>94.5</c:v>
                </c:pt>
                <c:pt idx="87">
                  <c:v>95.3</c:v>
                </c:pt>
                <c:pt idx="88">
                  <c:v>94.6</c:v>
                </c:pt>
                <c:pt idx="89">
                  <c:v>93.7</c:v>
                </c:pt>
                <c:pt idx="90">
                  <c:v>91.4</c:v>
                </c:pt>
                <c:pt idx="91">
                  <c:v>91.4</c:v>
                </c:pt>
                <c:pt idx="92">
                  <c:v>91</c:v>
                </c:pt>
                <c:pt idx="93">
                  <c:v>89.7</c:v>
                </c:pt>
                <c:pt idx="94">
                  <c:v>85.7</c:v>
                </c:pt>
                <c:pt idx="95">
                  <c:v>92.7</c:v>
                </c:pt>
                <c:pt idx="96">
                  <c:v>90.9</c:v>
                </c:pt>
                <c:pt idx="97">
                  <c:v>80.400000000000006</c:v>
                </c:pt>
                <c:pt idx="98">
                  <c:v>70.650000000000006</c:v>
                </c:pt>
                <c:pt idx="99">
                  <c:v>66.819999999999993</c:v>
                </c:pt>
                <c:pt idx="100">
                  <c:v>94.5</c:v>
                </c:pt>
                <c:pt idx="101">
                  <c:v>94</c:v>
                </c:pt>
                <c:pt idx="102">
                  <c:v>79.510000000000005</c:v>
                </c:pt>
                <c:pt idx="103">
                  <c:v>61.75</c:v>
                </c:pt>
                <c:pt idx="104">
                  <c:v>96.5</c:v>
                </c:pt>
                <c:pt idx="105">
                  <c:v>96.2</c:v>
                </c:pt>
                <c:pt idx="106">
                  <c:v>72.63</c:v>
                </c:pt>
                <c:pt idx="107">
                  <c:v>90.7</c:v>
                </c:pt>
                <c:pt idx="108">
                  <c:v>94.9</c:v>
                </c:pt>
                <c:pt idx="109">
                  <c:v>94.4</c:v>
                </c:pt>
                <c:pt idx="110">
                  <c:v>85.8</c:v>
                </c:pt>
                <c:pt idx="111">
                  <c:v>82</c:v>
                </c:pt>
                <c:pt idx="112">
                  <c:v>96.1</c:v>
                </c:pt>
                <c:pt idx="113">
                  <c:v>96</c:v>
                </c:pt>
                <c:pt idx="114">
                  <c:v>94.4</c:v>
                </c:pt>
                <c:pt idx="115">
                  <c:v>94.3</c:v>
                </c:pt>
                <c:pt idx="116">
                  <c:v>85</c:v>
                </c:pt>
                <c:pt idx="117">
                  <c:v>86.8</c:v>
                </c:pt>
                <c:pt idx="118">
                  <c:v>88.4</c:v>
                </c:pt>
                <c:pt idx="119">
                  <c:v>73.39</c:v>
                </c:pt>
                <c:pt idx="120">
                  <c:v>82.9</c:v>
                </c:pt>
                <c:pt idx="121">
                  <c:v>75.900000000000006</c:v>
                </c:pt>
                <c:pt idx="122">
                  <c:v>95.4</c:v>
                </c:pt>
                <c:pt idx="123">
                  <c:v>94.5</c:v>
                </c:pt>
                <c:pt idx="124">
                  <c:v>89.3</c:v>
                </c:pt>
                <c:pt idx="125">
                  <c:v>60.89</c:v>
                </c:pt>
                <c:pt idx="126">
                  <c:v>95.4</c:v>
                </c:pt>
                <c:pt idx="127">
                  <c:v>93.6</c:v>
                </c:pt>
                <c:pt idx="128">
                  <c:v>94.5</c:v>
                </c:pt>
                <c:pt idx="129">
                  <c:v>77.709999999999994</c:v>
                </c:pt>
                <c:pt idx="130">
                  <c:v>67.930000000000007</c:v>
                </c:pt>
                <c:pt idx="131">
                  <c:v>74.849999999999994</c:v>
                </c:pt>
                <c:pt idx="132">
                  <c:v>95.5</c:v>
                </c:pt>
                <c:pt idx="133">
                  <c:v>96.3</c:v>
                </c:pt>
                <c:pt idx="134">
                  <c:v>96.5</c:v>
                </c:pt>
                <c:pt idx="135">
                  <c:v>96.1</c:v>
                </c:pt>
                <c:pt idx="136">
                  <c:v>95.9</c:v>
                </c:pt>
                <c:pt idx="137">
                  <c:v>96.9</c:v>
                </c:pt>
                <c:pt idx="138">
                  <c:v>96.8</c:v>
                </c:pt>
                <c:pt idx="139">
                  <c:v>96.1</c:v>
                </c:pt>
                <c:pt idx="140">
                  <c:v>91.6</c:v>
                </c:pt>
                <c:pt idx="141">
                  <c:v>95.3</c:v>
                </c:pt>
                <c:pt idx="142">
                  <c:v>96.4</c:v>
                </c:pt>
                <c:pt idx="143">
                  <c:v>96.4</c:v>
                </c:pt>
                <c:pt idx="144">
                  <c:v>94.4</c:v>
                </c:pt>
                <c:pt idx="145">
                  <c:v>96.2</c:v>
                </c:pt>
                <c:pt idx="146">
                  <c:v>95.5</c:v>
                </c:pt>
                <c:pt idx="147">
                  <c:v>94.8</c:v>
                </c:pt>
                <c:pt idx="148">
                  <c:v>62.3</c:v>
                </c:pt>
                <c:pt idx="149">
                  <c:v>61.53</c:v>
                </c:pt>
                <c:pt idx="150">
                  <c:v>97</c:v>
                </c:pt>
                <c:pt idx="151">
                  <c:v>97.1</c:v>
                </c:pt>
                <c:pt idx="152">
                  <c:v>93.3</c:v>
                </c:pt>
                <c:pt idx="153">
                  <c:v>91.9</c:v>
                </c:pt>
                <c:pt idx="154">
                  <c:v>91.3</c:v>
                </c:pt>
                <c:pt idx="155">
                  <c:v>88.3</c:v>
                </c:pt>
                <c:pt idx="156">
                  <c:v>96</c:v>
                </c:pt>
                <c:pt idx="157">
                  <c:v>96</c:v>
                </c:pt>
                <c:pt idx="158">
                  <c:v>96.3</c:v>
                </c:pt>
                <c:pt idx="159">
                  <c:v>94.1</c:v>
                </c:pt>
                <c:pt idx="160">
                  <c:v>97.1</c:v>
                </c:pt>
                <c:pt idx="161">
                  <c:v>97.2</c:v>
                </c:pt>
                <c:pt idx="162">
                  <c:v>97.2</c:v>
                </c:pt>
                <c:pt idx="163">
                  <c:v>97.2</c:v>
                </c:pt>
                <c:pt idx="164">
                  <c:v>96.5</c:v>
                </c:pt>
                <c:pt idx="165">
                  <c:v>96.3</c:v>
                </c:pt>
                <c:pt idx="166">
                  <c:v>95.7</c:v>
                </c:pt>
                <c:pt idx="167">
                  <c:v>96.1</c:v>
                </c:pt>
                <c:pt idx="168">
                  <c:v>94.1</c:v>
                </c:pt>
                <c:pt idx="169">
                  <c:v>92.5</c:v>
                </c:pt>
                <c:pt idx="170">
                  <c:v>87.4</c:v>
                </c:pt>
                <c:pt idx="171">
                  <c:v>94.8</c:v>
                </c:pt>
                <c:pt idx="172">
                  <c:v>93.5</c:v>
                </c:pt>
                <c:pt idx="173">
                  <c:v>78.150000000000006</c:v>
                </c:pt>
                <c:pt idx="174">
                  <c:v>92.5</c:v>
                </c:pt>
                <c:pt idx="175">
                  <c:v>96.8</c:v>
                </c:pt>
                <c:pt idx="176">
                  <c:v>96.8</c:v>
                </c:pt>
                <c:pt idx="177">
                  <c:v>87.4</c:v>
                </c:pt>
                <c:pt idx="178">
                  <c:v>96.5</c:v>
                </c:pt>
                <c:pt idx="179">
                  <c:v>97.3</c:v>
                </c:pt>
                <c:pt idx="180">
                  <c:v>95.1</c:v>
                </c:pt>
                <c:pt idx="181">
                  <c:v>96.8</c:v>
                </c:pt>
                <c:pt idx="182">
                  <c:v>97</c:v>
                </c:pt>
                <c:pt idx="183">
                  <c:v>96.8</c:v>
                </c:pt>
                <c:pt idx="184">
                  <c:v>91.3</c:v>
                </c:pt>
                <c:pt idx="185">
                  <c:v>89.6</c:v>
                </c:pt>
                <c:pt idx="186">
                  <c:v>87.8</c:v>
                </c:pt>
                <c:pt idx="187">
                  <c:v>82.1</c:v>
                </c:pt>
                <c:pt idx="188">
                  <c:v>96.2</c:v>
                </c:pt>
                <c:pt idx="189">
                  <c:v>93.9</c:v>
                </c:pt>
                <c:pt idx="190">
                  <c:v>92.7</c:v>
                </c:pt>
                <c:pt idx="191">
                  <c:v>93.5</c:v>
                </c:pt>
                <c:pt idx="192">
                  <c:v>78.319999999999993</c:v>
                </c:pt>
                <c:pt idx="193">
                  <c:v>95.4</c:v>
                </c:pt>
                <c:pt idx="194">
                  <c:v>94.7</c:v>
                </c:pt>
                <c:pt idx="195">
                  <c:v>73.45</c:v>
                </c:pt>
                <c:pt idx="196">
                  <c:v>76.06</c:v>
                </c:pt>
                <c:pt idx="197">
                  <c:v>84.1</c:v>
                </c:pt>
                <c:pt idx="198">
                  <c:v>92.1</c:v>
                </c:pt>
                <c:pt idx="199">
                  <c:v>90.4</c:v>
                </c:pt>
                <c:pt idx="200">
                  <c:v>81.900000000000006</c:v>
                </c:pt>
                <c:pt idx="201">
                  <c:v>89.2</c:v>
                </c:pt>
                <c:pt idx="202">
                  <c:v>72.42</c:v>
                </c:pt>
                <c:pt idx="203">
                  <c:v>88.8</c:v>
                </c:pt>
                <c:pt idx="204">
                  <c:v>85</c:v>
                </c:pt>
                <c:pt idx="205">
                  <c:v>93.9</c:v>
                </c:pt>
                <c:pt idx="206">
                  <c:v>94.8</c:v>
                </c:pt>
                <c:pt idx="207">
                  <c:v>76.08</c:v>
                </c:pt>
                <c:pt idx="208">
                  <c:v>56.45</c:v>
                </c:pt>
                <c:pt idx="209">
                  <c:v>58.28</c:v>
                </c:pt>
                <c:pt idx="210">
                  <c:v>49.66</c:v>
                </c:pt>
                <c:pt idx="211">
                  <c:v>45.12</c:v>
                </c:pt>
                <c:pt idx="212">
                  <c:v>62.53</c:v>
                </c:pt>
                <c:pt idx="213">
                  <c:v>60.9</c:v>
                </c:pt>
                <c:pt idx="214">
                  <c:v>67.81</c:v>
                </c:pt>
                <c:pt idx="215">
                  <c:v>83.5</c:v>
                </c:pt>
                <c:pt idx="216">
                  <c:v>83.4</c:v>
                </c:pt>
                <c:pt idx="217">
                  <c:v>59.44</c:v>
                </c:pt>
                <c:pt idx="218">
                  <c:v>94.7</c:v>
                </c:pt>
                <c:pt idx="219">
                  <c:v>94.5</c:v>
                </c:pt>
                <c:pt idx="220">
                  <c:v>94.5</c:v>
                </c:pt>
                <c:pt idx="221">
                  <c:v>94.9</c:v>
                </c:pt>
                <c:pt idx="222">
                  <c:v>89.9</c:v>
                </c:pt>
                <c:pt idx="223">
                  <c:v>92</c:v>
                </c:pt>
                <c:pt idx="224">
                  <c:v>93.1</c:v>
                </c:pt>
                <c:pt idx="225">
                  <c:v>85.7</c:v>
                </c:pt>
                <c:pt idx="226">
                  <c:v>73.569999999999993</c:v>
                </c:pt>
                <c:pt idx="227">
                  <c:v>80.599999999999994</c:v>
                </c:pt>
                <c:pt idx="228">
                  <c:v>41.21</c:v>
                </c:pt>
                <c:pt idx="229">
                  <c:v>52.65</c:v>
                </c:pt>
                <c:pt idx="230">
                  <c:v>58.79</c:v>
                </c:pt>
                <c:pt idx="231">
                  <c:v>60.31</c:v>
                </c:pt>
                <c:pt idx="232">
                  <c:v>67.33</c:v>
                </c:pt>
                <c:pt idx="233">
                  <c:v>94.1</c:v>
                </c:pt>
                <c:pt idx="234">
                  <c:v>90.1</c:v>
                </c:pt>
                <c:pt idx="235">
                  <c:v>64.150000000000006</c:v>
                </c:pt>
                <c:pt idx="236">
                  <c:v>89.1</c:v>
                </c:pt>
                <c:pt idx="237">
                  <c:v>80.400000000000006</c:v>
                </c:pt>
                <c:pt idx="238">
                  <c:v>74.540000000000006</c:v>
                </c:pt>
                <c:pt idx="239">
                  <c:v>80.3</c:v>
                </c:pt>
                <c:pt idx="240">
                  <c:v>67.61</c:v>
                </c:pt>
                <c:pt idx="241">
                  <c:v>76.23</c:v>
                </c:pt>
                <c:pt idx="242">
                  <c:v>95.5</c:v>
                </c:pt>
                <c:pt idx="243">
                  <c:v>96.7</c:v>
                </c:pt>
                <c:pt idx="244">
                  <c:v>86.1</c:v>
                </c:pt>
                <c:pt idx="245">
                  <c:v>96.3</c:v>
                </c:pt>
                <c:pt idx="246">
                  <c:v>79.56</c:v>
                </c:pt>
                <c:pt idx="247">
                  <c:v>46</c:v>
                </c:pt>
                <c:pt idx="248">
                  <c:v>56.34</c:v>
                </c:pt>
                <c:pt idx="249">
                  <c:v>82.8</c:v>
                </c:pt>
                <c:pt idx="250">
                  <c:v>85.7</c:v>
                </c:pt>
                <c:pt idx="251">
                  <c:v>61.9</c:v>
                </c:pt>
                <c:pt idx="252">
                  <c:v>71.28</c:v>
                </c:pt>
                <c:pt idx="253">
                  <c:v>62.44</c:v>
                </c:pt>
                <c:pt idx="254">
                  <c:v>47.46</c:v>
                </c:pt>
                <c:pt idx="255">
                  <c:v>43.73</c:v>
                </c:pt>
                <c:pt idx="256">
                  <c:v>53.66</c:v>
                </c:pt>
                <c:pt idx="257">
                  <c:v>88.1</c:v>
                </c:pt>
                <c:pt idx="258">
                  <c:v>76.52</c:v>
                </c:pt>
                <c:pt idx="259">
                  <c:v>79.290000000000006</c:v>
                </c:pt>
                <c:pt idx="260">
                  <c:v>66.84</c:v>
                </c:pt>
                <c:pt idx="261">
                  <c:v>83.1</c:v>
                </c:pt>
                <c:pt idx="262">
                  <c:v>96.5</c:v>
                </c:pt>
                <c:pt idx="263">
                  <c:v>94.3</c:v>
                </c:pt>
                <c:pt idx="264">
                  <c:v>94.5</c:v>
                </c:pt>
                <c:pt idx="265">
                  <c:v>78.2</c:v>
                </c:pt>
                <c:pt idx="266">
                  <c:v>96.7</c:v>
                </c:pt>
                <c:pt idx="267">
                  <c:v>96</c:v>
                </c:pt>
                <c:pt idx="268">
                  <c:v>96.7</c:v>
                </c:pt>
                <c:pt idx="269">
                  <c:v>94.9</c:v>
                </c:pt>
                <c:pt idx="270">
                  <c:v>94.4</c:v>
                </c:pt>
                <c:pt idx="271">
                  <c:v>80.5</c:v>
                </c:pt>
                <c:pt idx="272">
                  <c:v>64.569999999999993</c:v>
                </c:pt>
                <c:pt idx="273">
                  <c:v>54.92</c:v>
                </c:pt>
                <c:pt idx="274">
                  <c:v>60.39</c:v>
                </c:pt>
                <c:pt idx="275">
                  <c:v>63.52</c:v>
                </c:pt>
                <c:pt idx="276">
                  <c:v>74.45</c:v>
                </c:pt>
                <c:pt idx="277">
                  <c:v>91</c:v>
                </c:pt>
                <c:pt idx="278">
                  <c:v>94.7</c:v>
                </c:pt>
                <c:pt idx="279">
                  <c:v>88.9</c:v>
                </c:pt>
                <c:pt idx="280">
                  <c:v>95.8</c:v>
                </c:pt>
                <c:pt idx="281">
                  <c:v>93.1</c:v>
                </c:pt>
                <c:pt idx="282">
                  <c:v>93.2</c:v>
                </c:pt>
                <c:pt idx="283">
                  <c:v>96</c:v>
                </c:pt>
                <c:pt idx="284">
                  <c:v>95.5</c:v>
                </c:pt>
                <c:pt idx="285">
                  <c:v>95.8</c:v>
                </c:pt>
                <c:pt idx="286">
                  <c:v>95.7</c:v>
                </c:pt>
                <c:pt idx="287">
                  <c:v>95.2</c:v>
                </c:pt>
                <c:pt idx="288">
                  <c:v>94.8</c:v>
                </c:pt>
                <c:pt idx="289">
                  <c:v>95.9</c:v>
                </c:pt>
                <c:pt idx="290">
                  <c:v>93.9</c:v>
                </c:pt>
                <c:pt idx="291">
                  <c:v>96.5</c:v>
                </c:pt>
                <c:pt idx="292">
                  <c:v>94.9</c:v>
                </c:pt>
                <c:pt idx="293">
                  <c:v>91.7</c:v>
                </c:pt>
                <c:pt idx="294">
                  <c:v>92.4</c:v>
                </c:pt>
                <c:pt idx="295">
                  <c:v>91.5</c:v>
                </c:pt>
                <c:pt idx="296">
                  <c:v>90.6</c:v>
                </c:pt>
                <c:pt idx="297">
                  <c:v>89.2</c:v>
                </c:pt>
                <c:pt idx="298">
                  <c:v>95.6</c:v>
                </c:pt>
                <c:pt idx="299">
                  <c:v>96.3</c:v>
                </c:pt>
                <c:pt idx="300">
                  <c:v>95.1</c:v>
                </c:pt>
                <c:pt idx="301">
                  <c:v>92.2</c:v>
                </c:pt>
                <c:pt idx="302">
                  <c:v>87.9</c:v>
                </c:pt>
                <c:pt idx="303">
                  <c:v>95.2</c:v>
                </c:pt>
                <c:pt idx="304">
                  <c:v>94.7</c:v>
                </c:pt>
                <c:pt idx="305">
                  <c:v>64.78</c:v>
                </c:pt>
                <c:pt idx="306">
                  <c:v>70.84</c:v>
                </c:pt>
                <c:pt idx="307">
                  <c:v>95.2</c:v>
                </c:pt>
                <c:pt idx="308">
                  <c:v>96.8</c:v>
                </c:pt>
                <c:pt idx="309">
                  <c:v>96.5</c:v>
                </c:pt>
                <c:pt idx="310">
                  <c:v>93.4</c:v>
                </c:pt>
                <c:pt idx="311">
                  <c:v>92.5</c:v>
                </c:pt>
                <c:pt idx="312">
                  <c:v>88.8</c:v>
                </c:pt>
                <c:pt idx="313">
                  <c:v>90.1</c:v>
                </c:pt>
                <c:pt idx="314">
                  <c:v>90.4</c:v>
                </c:pt>
                <c:pt idx="315">
                  <c:v>89.7</c:v>
                </c:pt>
                <c:pt idx="316">
                  <c:v>90.2</c:v>
                </c:pt>
                <c:pt idx="317">
                  <c:v>93.2</c:v>
                </c:pt>
                <c:pt idx="318">
                  <c:v>93.6</c:v>
                </c:pt>
                <c:pt idx="319">
                  <c:v>93.1</c:v>
                </c:pt>
                <c:pt idx="320">
                  <c:v>95.1</c:v>
                </c:pt>
                <c:pt idx="321">
                  <c:v>96.5</c:v>
                </c:pt>
                <c:pt idx="322">
                  <c:v>96</c:v>
                </c:pt>
                <c:pt idx="323">
                  <c:v>93.3</c:v>
                </c:pt>
                <c:pt idx="324">
                  <c:v>93.7</c:v>
                </c:pt>
                <c:pt idx="325">
                  <c:v>94.9</c:v>
                </c:pt>
                <c:pt idx="326">
                  <c:v>94.4</c:v>
                </c:pt>
                <c:pt idx="327">
                  <c:v>92.8</c:v>
                </c:pt>
                <c:pt idx="328">
                  <c:v>93.5</c:v>
                </c:pt>
                <c:pt idx="329">
                  <c:v>91.3</c:v>
                </c:pt>
                <c:pt idx="330">
                  <c:v>90.8</c:v>
                </c:pt>
                <c:pt idx="331">
                  <c:v>94.1</c:v>
                </c:pt>
                <c:pt idx="332">
                  <c:v>92.9</c:v>
                </c:pt>
                <c:pt idx="333">
                  <c:v>93.5</c:v>
                </c:pt>
                <c:pt idx="334">
                  <c:v>93</c:v>
                </c:pt>
                <c:pt idx="335">
                  <c:v>89.1</c:v>
                </c:pt>
                <c:pt idx="336">
                  <c:v>84.7</c:v>
                </c:pt>
                <c:pt idx="337">
                  <c:v>91.6</c:v>
                </c:pt>
                <c:pt idx="338">
                  <c:v>82.7</c:v>
                </c:pt>
                <c:pt idx="339">
                  <c:v>69.319999999999993</c:v>
                </c:pt>
                <c:pt idx="340">
                  <c:v>84.5</c:v>
                </c:pt>
                <c:pt idx="341">
                  <c:v>94.9</c:v>
                </c:pt>
                <c:pt idx="342">
                  <c:v>96.7</c:v>
                </c:pt>
                <c:pt idx="343">
                  <c:v>94.4</c:v>
                </c:pt>
                <c:pt idx="344">
                  <c:v>92.4</c:v>
                </c:pt>
                <c:pt idx="345">
                  <c:v>91.7</c:v>
                </c:pt>
                <c:pt idx="346">
                  <c:v>91.2</c:v>
                </c:pt>
                <c:pt idx="347">
                  <c:v>91.3</c:v>
                </c:pt>
                <c:pt idx="348">
                  <c:v>92.4</c:v>
                </c:pt>
                <c:pt idx="349">
                  <c:v>92.4</c:v>
                </c:pt>
                <c:pt idx="350">
                  <c:v>93</c:v>
                </c:pt>
                <c:pt idx="351">
                  <c:v>93</c:v>
                </c:pt>
                <c:pt idx="352">
                  <c:v>93.1</c:v>
                </c:pt>
                <c:pt idx="353">
                  <c:v>94.4</c:v>
                </c:pt>
                <c:pt idx="354">
                  <c:v>94.4</c:v>
                </c:pt>
                <c:pt idx="355">
                  <c:v>93.4</c:v>
                </c:pt>
                <c:pt idx="356">
                  <c:v>89.1</c:v>
                </c:pt>
                <c:pt idx="357">
                  <c:v>93.6</c:v>
                </c:pt>
                <c:pt idx="358">
                  <c:v>88.3</c:v>
                </c:pt>
                <c:pt idx="359">
                  <c:v>90.5</c:v>
                </c:pt>
                <c:pt idx="360">
                  <c:v>93.1</c:v>
                </c:pt>
                <c:pt idx="361">
                  <c:v>92.3</c:v>
                </c:pt>
                <c:pt idx="362">
                  <c:v>92.1</c:v>
                </c:pt>
                <c:pt idx="363">
                  <c:v>89.9</c:v>
                </c:pt>
                <c:pt idx="364">
                  <c:v>91.1</c:v>
                </c:pt>
                <c:pt idx="365">
                  <c:v>94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75.8</c:v>
                </c:pt>
                <c:pt idx="1">
                  <c:v>79.17</c:v>
                </c:pt>
                <c:pt idx="2">
                  <c:v>78.03</c:v>
                </c:pt>
                <c:pt idx="3">
                  <c:v>56.08</c:v>
                </c:pt>
                <c:pt idx="4">
                  <c:v>67.41</c:v>
                </c:pt>
                <c:pt idx="5">
                  <c:v>80.2</c:v>
                </c:pt>
                <c:pt idx="6">
                  <c:v>93.9</c:v>
                </c:pt>
                <c:pt idx="7">
                  <c:v>83.6</c:v>
                </c:pt>
                <c:pt idx="8">
                  <c:v>83.2</c:v>
                </c:pt>
                <c:pt idx="9">
                  <c:v>85.3</c:v>
                </c:pt>
                <c:pt idx="10">
                  <c:v>89</c:v>
                </c:pt>
                <c:pt idx="11">
                  <c:v>75.680000000000007</c:v>
                </c:pt>
                <c:pt idx="12">
                  <c:v>73.87</c:v>
                </c:pt>
                <c:pt idx="13">
                  <c:v>77.290000000000006</c:v>
                </c:pt>
                <c:pt idx="14">
                  <c:v>78.64</c:v>
                </c:pt>
                <c:pt idx="15">
                  <c:v>85.3</c:v>
                </c:pt>
                <c:pt idx="16">
                  <c:v>84</c:v>
                </c:pt>
                <c:pt idx="17">
                  <c:v>85.6</c:v>
                </c:pt>
                <c:pt idx="18">
                  <c:v>91</c:v>
                </c:pt>
                <c:pt idx="19">
                  <c:v>92.9</c:v>
                </c:pt>
                <c:pt idx="20">
                  <c:v>92</c:v>
                </c:pt>
                <c:pt idx="21">
                  <c:v>92</c:v>
                </c:pt>
                <c:pt idx="22">
                  <c:v>88</c:v>
                </c:pt>
                <c:pt idx="23">
                  <c:v>84.6</c:v>
                </c:pt>
                <c:pt idx="24">
                  <c:v>89</c:v>
                </c:pt>
                <c:pt idx="25">
                  <c:v>89.7</c:v>
                </c:pt>
                <c:pt idx="26">
                  <c:v>79.14</c:v>
                </c:pt>
                <c:pt idx="27">
                  <c:v>76.27</c:v>
                </c:pt>
                <c:pt idx="28">
                  <c:v>84.8</c:v>
                </c:pt>
                <c:pt idx="29">
                  <c:v>67.709999999999994</c:v>
                </c:pt>
                <c:pt idx="30">
                  <c:v>88.2</c:v>
                </c:pt>
                <c:pt idx="31">
                  <c:v>68.31</c:v>
                </c:pt>
                <c:pt idx="32">
                  <c:v>46.32</c:v>
                </c:pt>
                <c:pt idx="33">
                  <c:v>79.180000000000007</c:v>
                </c:pt>
                <c:pt idx="34">
                  <c:v>69.28</c:v>
                </c:pt>
                <c:pt idx="35">
                  <c:v>91.5</c:v>
                </c:pt>
                <c:pt idx="36">
                  <c:v>91.9</c:v>
                </c:pt>
                <c:pt idx="37">
                  <c:v>90.1</c:v>
                </c:pt>
                <c:pt idx="38">
                  <c:v>88.6</c:v>
                </c:pt>
                <c:pt idx="39">
                  <c:v>86.2</c:v>
                </c:pt>
                <c:pt idx="40">
                  <c:v>89</c:v>
                </c:pt>
                <c:pt idx="41">
                  <c:v>78.97</c:v>
                </c:pt>
                <c:pt idx="42">
                  <c:v>53.94</c:v>
                </c:pt>
                <c:pt idx="43">
                  <c:v>66.75</c:v>
                </c:pt>
                <c:pt idx="44">
                  <c:v>68.22</c:v>
                </c:pt>
                <c:pt idx="45">
                  <c:v>77.8</c:v>
                </c:pt>
                <c:pt idx="46">
                  <c:v>79.16</c:v>
                </c:pt>
                <c:pt idx="47">
                  <c:v>66.709999999999994</c:v>
                </c:pt>
                <c:pt idx="48">
                  <c:v>56.96</c:v>
                </c:pt>
                <c:pt idx="49">
                  <c:v>44.61</c:v>
                </c:pt>
                <c:pt idx="50">
                  <c:v>52.29</c:v>
                </c:pt>
                <c:pt idx="51">
                  <c:v>38.4</c:v>
                </c:pt>
                <c:pt idx="52">
                  <c:v>47.78</c:v>
                </c:pt>
                <c:pt idx="53">
                  <c:v>74.61</c:v>
                </c:pt>
                <c:pt idx="54">
                  <c:v>87.9</c:v>
                </c:pt>
                <c:pt idx="55">
                  <c:v>86.2</c:v>
                </c:pt>
                <c:pt idx="56">
                  <c:v>55.3</c:v>
                </c:pt>
                <c:pt idx="57">
                  <c:v>61.08</c:v>
                </c:pt>
                <c:pt idx="58">
                  <c:v>53.03</c:v>
                </c:pt>
                <c:pt idx="59">
                  <c:v>65.540000000000006</c:v>
                </c:pt>
                <c:pt idx="60">
                  <c:v>60.27</c:v>
                </c:pt>
                <c:pt idx="61">
                  <c:v>65.73</c:v>
                </c:pt>
                <c:pt idx="62">
                  <c:v>30.83</c:v>
                </c:pt>
                <c:pt idx="63">
                  <c:v>44.96</c:v>
                </c:pt>
                <c:pt idx="64">
                  <c:v>41.43</c:v>
                </c:pt>
                <c:pt idx="65">
                  <c:v>58.88</c:v>
                </c:pt>
                <c:pt idx="66">
                  <c:v>62.27</c:v>
                </c:pt>
                <c:pt idx="67">
                  <c:v>43.02</c:v>
                </c:pt>
                <c:pt idx="68">
                  <c:v>22.78</c:v>
                </c:pt>
                <c:pt idx="69">
                  <c:v>42.26</c:v>
                </c:pt>
                <c:pt idx="70">
                  <c:v>73.62</c:v>
                </c:pt>
                <c:pt idx="71">
                  <c:v>83.6</c:v>
                </c:pt>
                <c:pt idx="72">
                  <c:v>83.9</c:v>
                </c:pt>
                <c:pt idx="73">
                  <c:v>78.930000000000007</c:v>
                </c:pt>
                <c:pt idx="74">
                  <c:v>60.29</c:v>
                </c:pt>
                <c:pt idx="75">
                  <c:v>25.84</c:v>
                </c:pt>
                <c:pt idx="76">
                  <c:v>37.76</c:v>
                </c:pt>
                <c:pt idx="77">
                  <c:v>25.02</c:v>
                </c:pt>
                <c:pt idx="78">
                  <c:v>21.46</c:v>
                </c:pt>
                <c:pt idx="79">
                  <c:v>28.38</c:v>
                </c:pt>
                <c:pt idx="80">
                  <c:v>29.84</c:v>
                </c:pt>
                <c:pt idx="81">
                  <c:v>23.46</c:v>
                </c:pt>
                <c:pt idx="82">
                  <c:v>34.36</c:v>
                </c:pt>
                <c:pt idx="83">
                  <c:v>45.03</c:v>
                </c:pt>
                <c:pt idx="84">
                  <c:v>36.840000000000003</c:v>
                </c:pt>
                <c:pt idx="85">
                  <c:v>62.14</c:v>
                </c:pt>
                <c:pt idx="86">
                  <c:v>64.64</c:v>
                </c:pt>
                <c:pt idx="87">
                  <c:v>51.33</c:v>
                </c:pt>
                <c:pt idx="88">
                  <c:v>45.08</c:v>
                </c:pt>
                <c:pt idx="89">
                  <c:v>46.24</c:v>
                </c:pt>
                <c:pt idx="90">
                  <c:v>43.1</c:v>
                </c:pt>
                <c:pt idx="91">
                  <c:v>50.47</c:v>
                </c:pt>
                <c:pt idx="92">
                  <c:v>32.69</c:v>
                </c:pt>
                <c:pt idx="93">
                  <c:v>59.95</c:v>
                </c:pt>
                <c:pt idx="94">
                  <c:v>46.53</c:v>
                </c:pt>
                <c:pt idx="95">
                  <c:v>52.89</c:v>
                </c:pt>
                <c:pt idx="96">
                  <c:v>38.299999999999997</c:v>
                </c:pt>
                <c:pt idx="97">
                  <c:v>31.16</c:v>
                </c:pt>
                <c:pt idx="98">
                  <c:v>16.77</c:v>
                </c:pt>
                <c:pt idx="99">
                  <c:v>16.22</c:v>
                </c:pt>
                <c:pt idx="100">
                  <c:v>44.1</c:v>
                </c:pt>
                <c:pt idx="101">
                  <c:v>40.36</c:v>
                </c:pt>
                <c:pt idx="102">
                  <c:v>24.58</c:v>
                </c:pt>
                <c:pt idx="103">
                  <c:v>22.47</c:v>
                </c:pt>
                <c:pt idx="104">
                  <c:v>41.15</c:v>
                </c:pt>
                <c:pt idx="105">
                  <c:v>33.29</c:v>
                </c:pt>
                <c:pt idx="106">
                  <c:v>17.510000000000002</c:v>
                </c:pt>
                <c:pt idx="107">
                  <c:v>37.79</c:v>
                </c:pt>
                <c:pt idx="108">
                  <c:v>53.23</c:v>
                </c:pt>
                <c:pt idx="109">
                  <c:v>41.59</c:v>
                </c:pt>
                <c:pt idx="110">
                  <c:v>22.38</c:v>
                </c:pt>
                <c:pt idx="111">
                  <c:v>38.47</c:v>
                </c:pt>
                <c:pt idx="112">
                  <c:v>59.43</c:v>
                </c:pt>
                <c:pt idx="113">
                  <c:v>59.59</c:v>
                </c:pt>
                <c:pt idx="114">
                  <c:v>20.52</c:v>
                </c:pt>
                <c:pt idx="115">
                  <c:v>58.75</c:v>
                </c:pt>
                <c:pt idx="116">
                  <c:v>33.28</c:v>
                </c:pt>
                <c:pt idx="117">
                  <c:v>40.24</c:v>
                </c:pt>
                <c:pt idx="118">
                  <c:v>27.14</c:v>
                </c:pt>
                <c:pt idx="119">
                  <c:v>31.24</c:v>
                </c:pt>
                <c:pt idx="120">
                  <c:v>39.49</c:v>
                </c:pt>
                <c:pt idx="121">
                  <c:v>32.67</c:v>
                </c:pt>
                <c:pt idx="122">
                  <c:v>38.07</c:v>
                </c:pt>
                <c:pt idx="123">
                  <c:v>55.92</c:v>
                </c:pt>
                <c:pt idx="124">
                  <c:v>23.34</c:v>
                </c:pt>
                <c:pt idx="125">
                  <c:v>33.18</c:v>
                </c:pt>
                <c:pt idx="126">
                  <c:v>56.82</c:v>
                </c:pt>
                <c:pt idx="127">
                  <c:v>50.72</c:v>
                </c:pt>
                <c:pt idx="128">
                  <c:v>34.69</c:v>
                </c:pt>
                <c:pt idx="129">
                  <c:v>30.15</c:v>
                </c:pt>
                <c:pt idx="130">
                  <c:v>28.01</c:v>
                </c:pt>
                <c:pt idx="131">
                  <c:v>37.03</c:v>
                </c:pt>
                <c:pt idx="132">
                  <c:v>57.77</c:v>
                </c:pt>
                <c:pt idx="133">
                  <c:v>38.4</c:v>
                </c:pt>
                <c:pt idx="134">
                  <c:v>44.61</c:v>
                </c:pt>
                <c:pt idx="135">
                  <c:v>52.44</c:v>
                </c:pt>
                <c:pt idx="136">
                  <c:v>58.9</c:v>
                </c:pt>
                <c:pt idx="137">
                  <c:v>56.65</c:v>
                </c:pt>
                <c:pt idx="138">
                  <c:v>45.18</c:v>
                </c:pt>
                <c:pt idx="139">
                  <c:v>33.299999999999997</c:v>
                </c:pt>
                <c:pt idx="140">
                  <c:v>57.29</c:v>
                </c:pt>
                <c:pt idx="141">
                  <c:v>61.69</c:v>
                </c:pt>
                <c:pt idx="142">
                  <c:v>95.1</c:v>
                </c:pt>
                <c:pt idx="143">
                  <c:v>59.97</c:v>
                </c:pt>
                <c:pt idx="144">
                  <c:v>40.25</c:v>
                </c:pt>
                <c:pt idx="145">
                  <c:v>81</c:v>
                </c:pt>
                <c:pt idx="146">
                  <c:v>43.59</c:v>
                </c:pt>
                <c:pt idx="147">
                  <c:v>30.22</c:v>
                </c:pt>
                <c:pt idx="148">
                  <c:v>25.56</c:v>
                </c:pt>
                <c:pt idx="149">
                  <c:v>25.42</c:v>
                </c:pt>
                <c:pt idx="150">
                  <c:v>47.13</c:v>
                </c:pt>
                <c:pt idx="151">
                  <c:v>70.91</c:v>
                </c:pt>
                <c:pt idx="152">
                  <c:v>33.89</c:v>
                </c:pt>
                <c:pt idx="153">
                  <c:v>39.57</c:v>
                </c:pt>
                <c:pt idx="154">
                  <c:v>28.83</c:v>
                </c:pt>
                <c:pt idx="155">
                  <c:v>36.630000000000003</c:v>
                </c:pt>
                <c:pt idx="156">
                  <c:v>40.22</c:v>
                </c:pt>
                <c:pt idx="157">
                  <c:v>33.31</c:v>
                </c:pt>
                <c:pt idx="158">
                  <c:v>58.69</c:v>
                </c:pt>
                <c:pt idx="159">
                  <c:v>40.299999999999997</c:v>
                </c:pt>
                <c:pt idx="160">
                  <c:v>63.66</c:v>
                </c:pt>
                <c:pt idx="161">
                  <c:v>43.03</c:v>
                </c:pt>
                <c:pt idx="162">
                  <c:v>65.16</c:v>
                </c:pt>
                <c:pt idx="163">
                  <c:v>57.1</c:v>
                </c:pt>
                <c:pt idx="164">
                  <c:v>79.02</c:v>
                </c:pt>
                <c:pt idx="165">
                  <c:v>87.3</c:v>
                </c:pt>
                <c:pt idx="166">
                  <c:v>62.92</c:v>
                </c:pt>
                <c:pt idx="167">
                  <c:v>47.81</c:v>
                </c:pt>
                <c:pt idx="168">
                  <c:v>48.02</c:v>
                </c:pt>
                <c:pt idx="169">
                  <c:v>28.64</c:v>
                </c:pt>
                <c:pt idx="170">
                  <c:v>30.17</c:v>
                </c:pt>
                <c:pt idx="171">
                  <c:v>63.17</c:v>
                </c:pt>
                <c:pt idx="172">
                  <c:v>36.1</c:v>
                </c:pt>
                <c:pt idx="173">
                  <c:v>28.16</c:v>
                </c:pt>
                <c:pt idx="174">
                  <c:v>41.66</c:v>
                </c:pt>
                <c:pt idx="175">
                  <c:v>63.16</c:v>
                </c:pt>
                <c:pt idx="176">
                  <c:v>33.119999999999997</c:v>
                </c:pt>
                <c:pt idx="177">
                  <c:v>37.450000000000003</c:v>
                </c:pt>
                <c:pt idx="178">
                  <c:v>44.29</c:v>
                </c:pt>
                <c:pt idx="179">
                  <c:v>73.98</c:v>
                </c:pt>
                <c:pt idx="180">
                  <c:v>39.08</c:v>
                </c:pt>
                <c:pt idx="181">
                  <c:v>76.260000000000005</c:v>
                </c:pt>
                <c:pt idx="182">
                  <c:v>82.4</c:v>
                </c:pt>
                <c:pt idx="183">
                  <c:v>53.1</c:v>
                </c:pt>
                <c:pt idx="184">
                  <c:v>41.79</c:v>
                </c:pt>
                <c:pt idx="185">
                  <c:v>46.39</c:v>
                </c:pt>
                <c:pt idx="186">
                  <c:v>30.54</c:v>
                </c:pt>
                <c:pt idx="187">
                  <c:v>33.76</c:v>
                </c:pt>
                <c:pt idx="188">
                  <c:v>62.69</c:v>
                </c:pt>
                <c:pt idx="189">
                  <c:v>42.55</c:v>
                </c:pt>
                <c:pt idx="190">
                  <c:v>66.08</c:v>
                </c:pt>
                <c:pt idx="191">
                  <c:v>42.41</c:v>
                </c:pt>
                <c:pt idx="192">
                  <c:v>36.42</c:v>
                </c:pt>
                <c:pt idx="193">
                  <c:v>44.49</c:v>
                </c:pt>
                <c:pt idx="194">
                  <c:v>38.49</c:v>
                </c:pt>
                <c:pt idx="195">
                  <c:v>29.72</c:v>
                </c:pt>
                <c:pt idx="196">
                  <c:v>43.97</c:v>
                </c:pt>
                <c:pt idx="197">
                  <c:v>48.08</c:v>
                </c:pt>
                <c:pt idx="198">
                  <c:v>51.31</c:v>
                </c:pt>
                <c:pt idx="199">
                  <c:v>38.68</c:v>
                </c:pt>
                <c:pt idx="200">
                  <c:v>47.8</c:v>
                </c:pt>
                <c:pt idx="201">
                  <c:v>29.39</c:v>
                </c:pt>
                <c:pt idx="202">
                  <c:v>29.69</c:v>
                </c:pt>
                <c:pt idx="203">
                  <c:v>32.54</c:v>
                </c:pt>
                <c:pt idx="204">
                  <c:v>29.08</c:v>
                </c:pt>
                <c:pt idx="205">
                  <c:v>46.73</c:v>
                </c:pt>
                <c:pt idx="206">
                  <c:v>43.32</c:v>
                </c:pt>
                <c:pt idx="207">
                  <c:v>31.37</c:v>
                </c:pt>
                <c:pt idx="208">
                  <c:v>20.87</c:v>
                </c:pt>
                <c:pt idx="209">
                  <c:v>23.38</c:v>
                </c:pt>
                <c:pt idx="210">
                  <c:v>19.11</c:v>
                </c:pt>
                <c:pt idx="211">
                  <c:v>19.18</c:v>
                </c:pt>
                <c:pt idx="212">
                  <c:v>22.37</c:v>
                </c:pt>
                <c:pt idx="213">
                  <c:v>31.02</c:v>
                </c:pt>
                <c:pt idx="214">
                  <c:v>19.18</c:v>
                </c:pt>
                <c:pt idx="215">
                  <c:v>39.46</c:v>
                </c:pt>
                <c:pt idx="216">
                  <c:v>31.39</c:v>
                </c:pt>
                <c:pt idx="217">
                  <c:v>20.54</c:v>
                </c:pt>
                <c:pt idx="218">
                  <c:v>48.39</c:v>
                </c:pt>
                <c:pt idx="219">
                  <c:v>47.37</c:v>
                </c:pt>
                <c:pt idx="220">
                  <c:v>40.49</c:v>
                </c:pt>
                <c:pt idx="221">
                  <c:v>42.38</c:v>
                </c:pt>
                <c:pt idx="222">
                  <c:v>42.03</c:v>
                </c:pt>
                <c:pt idx="223">
                  <c:v>24.29</c:v>
                </c:pt>
                <c:pt idx="224">
                  <c:v>30.99</c:v>
                </c:pt>
                <c:pt idx="225">
                  <c:v>36.32</c:v>
                </c:pt>
                <c:pt idx="226">
                  <c:v>35.9</c:v>
                </c:pt>
                <c:pt idx="227">
                  <c:v>20.5</c:v>
                </c:pt>
                <c:pt idx="228">
                  <c:v>18.03</c:v>
                </c:pt>
                <c:pt idx="229">
                  <c:v>19.52</c:v>
                </c:pt>
                <c:pt idx="230">
                  <c:v>13.96</c:v>
                </c:pt>
                <c:pt idx="231">
                  <c:v>18.03</c:v>
                </c:pt>
                <c:pt idx="232">
                  <c:v>35.43</c:v>
                </c:pt>
                <c:pt idx="233">
                  <c:v>41.46</c:v>
                </c:pt>
                <c:pt idx="234">
                  <c:v>30.64</c:v>
                </c:pt>
                <c:pt idx="235">
                  <c:v>12.54</c:v>
                </c:pt>
                <c:pt idx="236">
                  <c:v>41.66</c:v>
                </c:pt>
                <c:pt idx="237">
                  <c:v>27.73</c:v>
                </c:pt>
                <c:pt idx="238">
                  <c:v>21.97</c:v>
                </c:pt>
                <c:pt idx="239">
                  <c:v>21.83</c:v>
                </c:pt>
                <c:pt idx="240">
                  <c:v>16.809999999999999</c:v>
                </c:pt>
                <c:pt idx="241">
                  <c:v>38.56</c:v>
                </c:pt>
                <c:pt idx="242">
                  <c:v>33.159999999999997</c:v>
                </c:pt>
                <c:pt idx="243">
                  <c:v>58.55</c:v>
                </c:pt>
                <c:pt idx="244">
                  <c:v>36.369999999999997</c:v>
                </c:pt>
                <c:pt idx="245">
                  <c:v>48.28</c:v>
                </c:pt>
                <c:pt idx="246">
                  <c:v>22</c:v>
                </c:pt>
                <c:pt idx="247">
                  <c:v>13.15</c:v>
                </c:pt>
                <c:pt idx="248">
                  <c:v>27.07</c:v>
                </c:pt>
                <c:pt idx="249">
                  <c:v>33.020000000000003</c:v>
                </c:pt>
                <c:pt idx="250">
                  <c:v>26.31</c:v>
                </c:pt>
                <c:pt idx="251">
                  <c:v>17.57</c:v>
                </c:pt>
                <c:pt idx="252">
                  <c:v>31.86</c:v>
                </c:pt>
                <c:pt idx="253">
                  <c:v>17.39</c:v>
                </c:pt>
                <c:pt idx="254">
                  <c:v>17.52</c:v>
                </c:pt>
                <c:pt idx="255">
                  <c:v>18.920000000000002</c:v>
                </c:pt>
                <c:pt idx="256">
                  <c:v>31.08</c:v>
                </c:pt>
                <c:pt idx="257">
                  <c:v>17.760000000000002</c:v>
                </c:pt>
                <c:pt idx="258">
                  <c:v>32.61</c:v>
                </c:pt>
                <c:pt idx="259">
                  <c:v>32.54</c:v>
                </c:pt>
                <c:pt idx="260">
                  <c:v>20.64</c:v>
                </c:pt>
                <c:pt idx="261">
                  <c:v>27.25</c:v>
                </c:pt>
                <c:pt idx="262">
                  <c:v>60.96</c:v>
                </c:pt>
                <c:pt idx="263">
                  <c:v>36.520000000000003</c:v>
                </c:pt>
                <c:pt idx="264">
                  <c:v>30.04</c:v>
                </c:pt>
                <c:pt idx="265">
                  <c:v>32.68</c:v>
                </c:pt>
                <c:pt idx="266">
                  <c:v>59.45</c:v>
                </c:pt>
                <c:pt idx="267">
                  <c:v>78.19</c:v>
                </c:pt>
                <c:pt idx="268">
                  <c:v>70.2</c:v>
                </c:pt>
                <c:pt idx="269">
                  <c:v>61.09</c:v>
                </c:pt>
                <c:pt idx="270">
                  <c:v>35.11</c:v>
                </c:pt>
                <c:pt idx="271">
                  <c:v>36.409999999999997</c:v>
                </c:pt>
                <c:pt idx="272">
                  <c:v>24.81</c:v>
                </c:pt>
                <c:pt idx="273">
                  <c:v>27.22</c:v>
                </c:pt>
                <c:pt idx="274">
                  <c:v>26.85</c:v>
                </c:pt>
                <c:pt idx="275">
                  <c:v>29.25</c:v>
                </c:pt>
                <c:pt idx="276">
                  <c:v>33.22</c:v>
                </c:pt>
                <c:pt idx="277">
                  <c:v>32.33</c:v>
                </c:pt>
                <c:pt idx="278">
                  <c:v>41.63</c:v>
                </c:pt>
                <c:pt idx="279">
                  <c:v>47.6</c:v>
                </c:pt>
                <c:pt idx="280">
                  <c:v>34.44</c:v>
                </c:pt>
                <c:pt idx="281">
                  <c:v>68.84</c:v>
                </c:pt>
                <c:pt idx="282">
                  <c:v>70.44</c:v>
                </c:pt>
                <c:pt idx="283">
                  <c:v>66.209999999999994</c:v>
                </c:pt>
                <c:pt idx="284">
                  <c:v>56.75</c:v>
                </c:pt>
                <c:pt idx="285">
                  <c:v>93.4</c:v>
                </c:pt>
                <c:pt idx="286">
                  <c:v>93.2</c:v>
                </c:pt>
                <c:pt idx="287">
                  <c:v>83.6</c:v>
                </c:pt>
                <c:pt idx="288">
                  <c:v>65.81</c:v>
                </c:pt>
                <c:pt idx="289">
                  <c:v>71.52</c:v>
                </c:pt>
                <c:pt idx="290">
                  <c:v>82.8</c:v>
                </c:pt>
                <c:pt idx="291">
                  <c:v>91.3</c:v>
                </c:pt>
                <c:pt idx="292">
                  <c:v>77.7</c:v>
                </c:pt>
                <c:pt idx="293">
                  <c:v>64</c:v>
                </c:pt>
                <c:pt idx="294">
                  <c:v>79.55</c:v>
                </c:pt>
                <c:pt idx="295">
                  <c:v>56.77</c:v>
                </c:pt>
                <c:pt idx="296">
                  <c:v>72.77</c:v>
                </c:pt>
                <c:pt idx="297">
                  <c:v>84.3</c:v>
                </c:pt>
                <c:pt idx="298">
                  <c:v>82.2</c:v>
                </c:pt>
                <c:pt idx="299">
                  <c:v>89.7</c:v>
                </c:pt>
                <c:pt idx="300">
                  <c:v>79.900000000000006</c:v>
                </c:pt>
                <c:pt idx="301">
                  <c:v>69.62</c:v>
                </c:pt>
                <c:pt idx="302">
                  <c:v>60.36</c:v>
                </c:pt>
                <c:pt idx="303">
                  <c:v>55.38</c:v>
                </c:pt>
                <c:pt idx="304">
                  <c:v>42.79</c:v>
                </c:pt>
                <c:pt idx="305">
                  <c:v>35.130000000000003</c:v>
                </c:pt>
                <c:pt idx="306">
                  <c:v>29.04</c:v>
                </c:pt>
                <c:pt idx="307">
                  <c:v>40.56</c:v>
                </c:pt>
                <c:pt idx="308">
                  <c:v>87.6</c:v>
                </c:pt>
                <c:pt idx="309">
                  <c:v>70.959999999999994</c:v>
                </c:pt>
                <c:pt idx="310">
                  <c:v>59.32</c:v>
                </c:pt>
                <c:pt idx="311">
                  <c:v>63.56</c:v>
                </c:pt>
                <c:pt idx="312">
                  <c:v>85</c:v>
                </c:pt>
                <c:pt idx="313">
                  <c:v>77.58</c:v>
                </c:pt>
                <c:pt idx="314">
                  <c:v>89.1</c:v>
                </c:pt>
                <c:pt idx="315">
                  <c:v>85.9</c:v>
                </c:pt>
                <c:pt idx="316">
                  <c:v>88</c:v>
                </c:pt>
                <c:pt idx="317">
                  <c:v>85.2</c:v>
                </c:pt>
                <c:pt idx="318">
                  <c:v>72.27</c:v>
                </c:pt>
                <c:pt idx="319">
                  <c:v>78.06</c:v>
                </c:pt>
                <c:pt idx="320">
                  <c:v>78.66</c:v>
                </c:pt>
                <c:pt idx="321">
                  <c:v>81.099999999999994</c:v>
                </c:pt>
                <c:pt idx="322">
                  <c:v>91</c:v>
                </c:pt>
                <c:pt idx="323">
                  <c:v>69.92</c:v>
                </c:pt>
                <c:pt idx="324">
                  <c:v>74.86</c:v>
                </c:pt>
                <c:pt idx="325">
                  <c:v>60.87</c:v>
                </c:pt>
                <c:pt idx="326">
                  <c:v>88.5</c:v>
                </c:pt>
                <c:pt idx="327">
                  <c:v>84.7</c:v>
                </c:pt>
                <c:pt idx="328">
                  <c:v>89.4</c:v>
                </c:pt>
                <c:pt idx="329">
                  <c:v>86.5</c:v>
                </c:pt>
                <c:pt idx="330">
                  <c:v>63.73</c:v>
                </c:pt>
                <c:pt idx="331">
                  <c:v>69.13</c:v>
                </c:pt>
                <c:pt idx="332">
                  <c:v>64.790000000000006</c:v>
                </c:pt>
                <c:pt idx="333">
                  <c:v>77.52</c:v>
                </c:pt>
                <c:pt idx="334">
                  <c:v>83.7</c:v>
                </c:pt>
                <c:pt idx="335">
                  <c:v>46.82</c:v>
                </c:pt>
                <c:pt idx="336">
                  <c:v>36.89</c:v>
                </c:pt>
                <c:pt idx="337">
                  <c:v>37.82</c:v>
                </c:pt>
                <c:pt idx="338">
                  <c:v>20.6</c:v>
                </c:pt>
                <c:pt idx="339">
                  <c:v>29.3</c:v>
                </c:pt>
                <c:pt idx="340">
                  <c:v>43.86</c:v>
                </c:pt>
                <c:pt idx="341">
                  <c:v>71.650000000000006</c:v>
                </c:pt>
                <c:pt idx="342">
                  <c:v>91.9</c:v>
                </c:pt>
                <c:pt idx="343">
                  <c:v>84</c:v>
                </c:pt>
                <c:pt idx="344">
                  <c:v>89</c:v>
                </c:pt>
                <c:pt idx="345">
                  <c:v>88.8</c:v>
                </c:pt>
                <c:pt idx="346">
                  <c:v>87.6</c:v>
                </c:pt>
                <c:pt idx="347">
                  <c:v>87.5</c:v>
                </c:pt>
                <c:pt idx="348">
                  <c:v>89.7</c:v>
                </c:pt>
                <c:pt idx="349">
                  <c:v>88.4</c:v>
                </c:pt>
                <c:pt idx="350">
                  <c:v>90.5</c:v>
                </c:pt>
                <c:pt idx="351">
                  <c:v>89.3</c:v>
                </c:pt>
                <c:pt idx="352">
                  <c:v>90.3</c:v>
                </c:pt>
                <c:pt idx="353">
                  <c:v>86.5</c:v>
                </c:pt>
                <c:pt idx="354">
                  <c:v>68.44</c:v>
                </c:pt>
                <c:pt idx="355">
                  <c:v>78.7</c:v>
                </c:pt>
                <c:pt idx="356">
                  <c:v>86.2</c:v>
                </c:pt>
                <c:pt idx="357">
                  <c:v>85.4</c:v>
                </c:pt>
                <c:pt idx="358">
                  <c:v>55.85</c:v>
                </c:pt>
                <c:pt idx="359">
                  <c:v>63.61</c:v>
                </c:pt>
                <c:pt idx="360">
                  <c:v>89.6</c:v>
                </c:pt>
                <c:pt idx="361">
                  <c:v>78.97</c:v>
                </c:pt>
                <c:pt idx="362">
                  <c:v>86.5</c:v>
                </c:pt>
                <c:pt idx="363">
                  <c:v>53.53</c:v>
                </c:pt>
                <c:pt idx="364">
                  <c:v>85.3</c:v>
                </c:pt>
                <c:pt idx="365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969408"/>
        <c:axId val="239970944"/>
      </c:lineChart>
      <c:catAx>
        <c:axId val="23996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970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9970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969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Data!$CJ$375:$CQ$375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Data!$CJ$374:$CQ$374</c:f>
              <c:numCache>
                <c:formatCode>General</c:formatCode>
                <c:ptCount val="8"/>
                <c:pt idx="0">
                  <c:v>9.9</c:v>
                </c:pt>
                <c:pt idx="1">
                  <c:v>9.1999999999999993</c:v>
                </c:pt>
                <c:pt idx="2">
                  <c:v>10.8</c:v>
                </c:pt>
                <c:pt idx="3">
                  <c:v>7.6</c:v>
                </c:pt>
                <c:pt idx="4">
                  <c:v>11.4</c:v>
                </c:pt>
                <c:pt idx="5">
                  <c:v>16</c:v>
                </c:pt>
                <c:pt idx="6">
                  <c:v>19.8</c:v>
                </c:pt>
                <c:pt idx="7">
                  <c:v>15.3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024576"/>
        <c:axId val="240026368"/>
      </c:radarChart>
      <c:catAx>
        <c:axId val="24002457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40026368"/>
        <c:crosses val="autoZero"/>
        <c:auto val="1"/>
        <c:lblAlgn val="ctr"/>
        <c:lblOffset val="100"/>
        <c:noMultiLvlLbl val="0"/>
      </c:catAx>
      <c:valAx>
        <c:axId val="2400263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40024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Data!$AO$375:$AV$375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Data!$AO$374:$AV$374</c:f>
              <c:numCache>
                <c:formatCode>General</c:formatCode>
                <c:ptCount val="8"/>
                <c:pt idx="0">
                  <c:v>12.5</c:v>
                </c:pt>
                <c:pt idx="1">
                  <c:v>13.4</c:v>
                </c:pt>
                <c:pt idx="2">
                  <c:v>12.1</c:v>
                </c:pt>
                <c:pt idx="3">
                  <c:v>6.3</c:v>
                </c:pt>
                <c:pt idx="4">
                  <c:v>9.3000000000000007</c:v>
                </c:pt>
                <c:pt idx="5">
                  <c:v>14.6</c:v>
                </c:pt>
                <c:pt idx="6">
                  <c:v>16.600000000000001</c:v>
                </c:pt>
                <c:pt idx="7">
                  <c:v>15.1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054656"/>
        <c:axId val="240056192"/>
      </c:radarChart>
      <c:catAx>
        <c:axId val="2400546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40056192"/>
        <c:crosses val="autoZero"/>
        <c:auto val="1"/>
        <c:lblAlgn val="ctr"/>
        <c:lblOffset val="100"/>
        <c:noMultiLvlLbl val="0"/>
      </c:catAx>
      <c:valAx>
        <c:axId val="240056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40054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Data!$BJ$6:$BJ$371</c:f>
              <c:numCache>
                <c:formatCode>General</c:formatCode>
                <c:ptCount val="366"/>
                <c:pt idx="0">
                  <c:v>0.43</c:v>
                </c:pt>
                <c:pt idx="1">
                  <c:v>0.33700000000000002</c:v>
                </c:pt>
                <c:pt idx="2">
                  <c:v>0.435</c:v>
                </c:pt>
                <c:pt idx="3">
                  <c:v>0.28699999999999998</c:v>
                </c:pt>
                <c:pt idx="4">
                  <c:v>0.28299999999999997</c:v>
                </c:pt>
                <c:pt idx="5">
                  <c:v>0.41799999999999998</c:v>
                </c:pt>
                <c:pt idx="6">
                  <c:v>0.55900000000000005</c:v>
                </c:pt>
                <c:pt idx="7">
                  <c:v>0.42299999999999999</c:v>
                </c:pt>
                <c:pt idx="8">
                  <c:v>0.28199999999999997</c:v>
                </c:pt>
                <c:pt idx="9">
                  <c:v>0.25</c:v>
                </c:pt>
                <c:pt idx="10">
                  <c:v>0.39500000000000002</c:v>
                </c:pt>
                <c:pt idx="11">
                  <c:v>0.27900000000000003</c:v>
                </c:pt>
                <c:pt idx="12">
                  <c:v>0.104</c:v>
                </c:pt>
                <c:pt idx="13">
                  <c:v>0.14399999999999999</c:v>
                </c:pt>
                <c:pt idx="14">
                  <c:v>0.191</c:v>
                </c:pt>
                <c:pt idx="15">
                  <c:v>0.371</c:v>
                </c:pt>
                <c:pt idx="16">
                  <c:v>0.36399999999999999</c:v>
                </c:pt>
                <c:pt idx="17">
                  <c:v>0.36599999999999999</c:v>
                </c:pt>
                <c:pt idx="18">
                  <c:v>0.47599999999999998</c:v>
                </c:pt>
                <c:pt idx="19">
                  <c:v>0.51200000000000001</c:v>
                </c:pt>
                <c:pt idx="20">
                  <c:v>0.56699999999999995</c:v>
                </c:pt>
                <c:pt idx="21">
                  <c:v>0.52200000000000002</c:v>
                </c:pt>
                <c:pt idx="22">
                  <c:v>0.63800000000000001</c:v>
                </c:pt>
                <c:pt idx="23">
                  <c:v>0.627</c:v>
                </c:pt>
                <c:pt idx="24">
                  <c:v>0.48699999999999999</c:v>
                </c:pt>
                <c:pt idx="25">
                  <c:v>0.54600000000000004</c:v>
                </c:pt>
                <c:pt idx="26">
                  <c:v>0.45500000000000002</c:v>
                </c:pt>
                <c:pt idx="27">
                  <c:v>0.51</c:v>
                </c:pt>
                <c:pt idx="28">
                  <c:v>0.41499999999999998</c:v>
                </c:pt>
                <c:pt idx="29">
                  <c:v>0.33200000000000002</c:v>
                </c:pt>
                <c:pt idx="30">
                  <c:v>0.58799999999999997</c:v>
                </c:pt>
                <c:pt idx="31">
                  <c:v>0.441</c:v>
                </c:pt>
                <c:pt idx="32">
                  <c:v>0.191</c:v>
                </c:pt>
                <c:pt idx="33">
                  <c:v>0.224</c:v>
                </c:pt>
                <c:pt idx="34">
                  <c:v>0.27700000000000002</c:v>
                </c:pt>
                <c:pt idx="35">
                  <c:v>0.46800000000000003</c:v>
                </c:pt>
                <c:pt idx="36">
                  <c:v>0.48299999999999998</c:v>
                </c:pt>
                <c:pt idx="37">
                  <c:v>0.39100000000000001</c:v>
                </c:pt>
                <c:pt idx="38">
                  <c:v>0.35299999999999998</c:v>
                </c:pt>
                <c:pt idx="39">
                  <c:v>0.379</c:v>
                </c:pt>
                <c:pt idx="40">
                  <c:v>0.39</c:v>
                </c:pt>
                <c:pt idx="41">
                  <c:v>0.41599999999999998</c:v>
                </c:pt>
                <c:pt idx="42">
                  <c:v>0.34399999999999997</c:v>
                </c:pt>
                <c:pt idx="43">
                  <c:v>0.318</c:v>
                </c:pt>
                <c:pt idx="44">
                  <c:v>0.317</c:v>
                </c:pt>
                <c:pt idx="45">
                  <c:v>0.36899999999999999</c:v>
                </c:pt>
                <c:pt idx="46">
                  <c:v>0.34300000000000003</c:v>
                </c:pt>
                <c:pt idx="47">
                  <c:v>0.29299999999999998</c:v>
                </c:pt>
                <c:pt idx="48">
                  <c:v>0.23499999999999999</c:v>
                </c:pt>
                <c:pt idx="49">
                  <c:v>0.312</c:v>
                </c:pt>
                <c:pt idx="50">
                  <c:v>0.32800000000000001</c:v>
                </c:pt>
                <c:pt idx="51">
                  <c:v>0.27500000000000002</c:v>
                </c:pt>
                <c:pt idx="52">
                  <c:v>0.23100000000000001</c:v>
                </c:pt>
                <c:pt idx="53">
                  <c:v>0.35699999999999998</c:v>
                </c:pt>
                <c:pt idx="54">
                  <c:v>0.35199999999999998</c:v>
                </c:pt>
                <c:pt idx="55">
                  <c:v>0.45100000000000001</c:v>
                </c:pt>
                <c:pt idx="56">
                  <c:v>0.371</c:v>
                </c:pt>
                <c:pt idx="57">
                  <c:v>0.46100000000000002</c:v>
                </c:pt>
                <c:pt idx="58">
                  <c:v>0.45</c:v>
                </c:pt>
                <c:pt idx="59">
                  <c:v>0.29399999999999998</c:v>
                </c:pt>
                <c:pt idx="60">
                  <c:v>0.28399999999999997</c:v>
                </c:pt>
                <c:pt idx="61">
                  <c:v>0.39300000000000002</c:v>
                </c:pt>
                <c:pt idx="62">
                  <c:v>0.254</c:v>
                </c:pt>
                <c:pt idx="63">
                  <c:v>0.223</c:v>
                </c:pt>
                <c:pt idx="64">
                  <c:v>0.32100000000000001</c:v>
                </c:pt>
                <c:pt idx="65">
                  <c:v>0.36699999999999999</c:v>
                </c:pt>
                <c:pt idx="66">
                  <c:v>0.32200000000000001</c:v>
                </c:pt>
                <c:pt idx="67">
                  <c:v>0.20100000000000001</c:v>
                </c:pt>
                <c:pt idx="68">
                  <c:v>0.13200000000000001</c:v>
                </c:pt>
                <c:pt idx="69">
                  <c:v>0.20200000000000001</c:v>
                </c:pt>
                <c:pt idx="70">
                  <c:v>0.36699999999999999</c:v>
                </c:pt>
                <c:pt idx="71">
                  <c:v>0.36799999999999999</c:v>
                </c:pt>
                <c:pt idx="72">
                  <c:v>0.253</c:v>
                </c:pt>
                <c:pt idx="73">
                  <c:v>0.20100000000000001</c:v>
                </c:pt>
                <c:pt idx="74">
                  <c:v>0.21199999999999999</c:v>
                </c:pt>
                <c:pt idx="75">
                  <c:v>0.25700000000000001</c:v>
                </c:pt>
                <c:pt idx="76">
                  <c:v>0.30399999999999999</c:v>
                </c:pt>
                <c:pt idx="77">
                  <c:v>0.185</c:v>
                </c:pt>
                <c:pt idx="78">
                  <c:v>0.218</c:v>
                </c:pt>
                <c:pt idx="79">
                  <c:v>0.26200000000000001</c:v>
                </c:pt>
                <c:pt idx="80">
                  <c:v>0.22600000000000001</c:v>
                </c:pt>
                <c:pt idx="81">
                  <c:v>0.215</c:v>
                </c:pt>
                <c:pt idx="82">
                  <c:v>0.22600000000000001</c:v>
                </c:pt>
                <c:pt idx="83">
                  <c:v>0.25800000000000001</c:v>
                </c:pt>
                <c:pt idx="84">
                  <c:v>0.192</c:v>
                </c:pt>
                <c:pt idx="85">
                  <c:v>0.32200000000000001</c:v>
                </c:pt>
                <c:pt idx="86">
                  <c:v>0.38900000000000001</c:v>
                </c:pt>
                <c:pt idx="87">
                  <c:v>0.42399999999999999</c:v>
                </c:pt>
                <c:pt idx="88">
                  <c:v>0.36</c:v>
                </c:pt>
                <c:pt idx="89">
                  <c:v>0.26</c:v>
                </c:pt>
                <c:pt idx="90">
                  <c:v>0.249</c:v>
                </c:pt>
                <c:pt idx="91">
                  <c:v>0.193</c:v>
                </c:pt>
                <c:pt idx="92">
                  <c:v>0.17299999999999999</c:v>
                </c:pt>
                <c:pt idx="93">
                  <c:v>0.28000000000000003</c:v>
                </c:pt>
                <c:pt idx="94">
                  <c:v>0.21299999999999999</c:v>
                </c:pt>
                <c:pt idx="95">
                  <c:v>0.28000000000000003</c:v>
                </c:pt>
                <c:pt idx="96">
                  <c:v>0.311</c:v>
                </c:pt>
                <c:pt idx="97">
                  <c:v>0.27200000000000002</c:v>
                </c:pt>
                <c:pt idx="98">
                  <c:v>0.16500000000000001</c:v>
                </c:pt>
                <c:pt idx="99">
                  <c:v>0.23499999999999999</c:v>
                </c:pt>
                <c:pt idx="100">
                  <c:v>0.45800000000000002</c:v>
                </c:pt>
                <c:pt idx="101">
                  <c:v>0.224</c:v>
                </c:pt>
                <c:pt idx="102">
                  <c:v>0.15</c:v>
                </c:pt>
                <c:pt idx="103">
                  <c:v>0.183</c:v>
                </c:pt>
                <c:pt idx="104">
                  <c:v>0.308</c:v>
                </c:pt>
                <c:pt idx="105">
                  <c:v>0.27400000000000002</c:v>
                </c:pt>
                <c:pt idx="106">
                  <c:v>0.191</c:v>
                </c:pt>
                <c:pt idx="107">
                  <c:v>0.38200000000000001</c:v>
                </c:pt>
                <c:pt idx="108">
                  <c:v>0.51900000000000002</c:v>
                </c:pt>
                <c:pt idx="109">
                  <c:v>0.46300000000000002</c:v>
                </c:pt>
                <c:pt idx="110">
                  <c:v>0.35199999999999998</c:v>
                </c:pt>
                <c:pt idx="111">
                  <c:v>0.47</c:v>
                </c:pt>
                <c:pt idx="112">
                  <c:v>0.51500000000000001</c:v>
                </c:pt>
                <c:pt idx="113">
                  <c:v>0.5</c:v>
                </c:pt>
                <c:pt idx="114">
                  <c:v>0.249</c:v>
                </c:pt>
                <c:pt idx="115">
                  <c:v>0.54700000000000004</c:v>
                </c:pt>
                <c:pt idx="116">
                  <c:v>0.32800000000000001</c:v>
                </c:pt>
                <c:pt idx="117">
                  <c:v>0.38500000000000001</c:v>
                </c:pt>
                <c:pt idx="118">
                  <c:v>0.34200000000000003</c:v>
                </c:pt>
                <c:pt idx="119">
                  <c:v>0.46300000000000002</c:v>
                </c:pt>
                <c:pt idx="120">
                  <c:v>0.378</c:v>
                </c:pt>
                <c:pt idx="121">
                  <c:v>0.42499999999999999</c:v>
                </c:pt>
                <c:pt idx="122">
                  <c:v>0.47299999999999998</c:v>
                </c:pt>
                <c:pt idx="123">
                  <c:v>0.42</c:v>
                </c:pt>
                <c:pt idx="124">
                  <c:v>0.27</c:v>
                </c:pt>
                <c:pt idx="125">
                  <c:v>0.439</c:v>
                </c:pt>
                <c:pt idx="126">
                  <c:v>0.48</c:v>
                </c:pt>
                <c:pt idx="127">
                  <c:v>0.50600000000000001</c:v>
                </c:pt>
                <c:pt idx="128">
                  <c:v>0.57799999999999996</c:v>
                </c:pt>
                <c:pt idx="129">
                  <c:v>0.54100000000000004</c:v>
                </c:pt>
                <c:pt idx="130">
                  <c:v>0.52300000000000002</c:v>
                </c:pt>
                <c:pt idx="131">
                  <c:v>0.57199999999999995</c:v>
                </c:pt>
                <c:pt idx="132">
                  <c:v>0.61899999999999999</c:v>
                </c:pt>
                <c:pt idx="133">
                  <c:v>0.51300000000000001</c:v>
                </c:pt>
                <c:pt idx="134">
                  <c:v>0.56399999999999995</c:v>
                </c:pt>
                <c:pt idx="135">
                  <c:v>0.63800000000000001</c:v>
                </c:pt>
                <c:pt idx="136">
                  <c:v>0.63600000000000001</c:v>
                </c:pt>
                <c:pt idx="137">
                  <c:v>0.76600000000000001</c:v>
                </c:pt>
                <c:pt idx="138">
                  <c:v>0.60099999999999998</c:v>
                </c:pt>
                <c:pt idx="139">
                  <c:v>0.50900000000000001</c:v>
                </c:pt>
                <c:pt idx="140">
                  <c:v>0.74399999999999999</c:v>
                </c:pt>
                <c:pt idx="141">
                  <c:v>0.53900000000000003</c:v>
                </c:pt>
                <c:pt idx="142">
                  <c:v>0.61699999999999999</c:v>
                </c:pt>
                <c:pt idx="143">
                  <c:v>0.74299999999999999</c:v>
                </c:pt>
                <c:pt idx="144">
                  <c:v>0.58799999999999997</c:v>
                </c:pt>
                <c:pt idx="145">
                  <c:v>0.81299999999999994</c:v>
                </c:pt>
                <c:pt idx="146">
                  <c:v>0.52800000000000002</c:v>
                </c:pt>
                <c:pt idx="147">
                  <c:v>0.46400000000000002</c:v>
                </c:pt>
                <c:pt idx="148">
                  <c:v>0.504</c:v>
                </c:pt>
                <c:pt idx="149">
                  <c:v>0.67700000000000005</c:v>
                </c:pt>
                <c:pt idx="150">
                  <c:v>0.98399999999999999</c:v>
                </c:pt>
                <c:pt idx="151">
                  <c:v>0.69499999999999995</c:v>
                </c:pt>
                <c:pt idx="152">
                  <c:v>0.42199999999999999</c:v>
                </c:pt>
                <c:pt idx="153">
                  <c:v>0.57599999999999996</c:v>
                </c:pt>
                <c:pt idx="154">
                  <c:v>0.39900000000000002</c:v>
                </c:pt>
                <c:pt idx="155">
                  <c:v>0.46500000000000002</c:v>
                </c:pt>
                <c:pt idx="156">
                  <c:v>0.54700000000000004</c:v>
                </c:pt>
                <c:pt idx="157">
                  <c:v>0.41899999999999998</c:v>
                </c:pt>
                <c:pt idx="158">
                  <c:v>0.60499999999999998</c:v>
                </c:pt>
                <c:pt idx="159">
                  <c:v>0.434</c:v>
                </c:pt>
                <c:pt idx="160">
                  <c:v>0.51400000000000001</c:v>
                </c:pt>
                <c:pt idx="161">
                  <c:v>0.74099999999999999</c:v>
                </c:pt>
                <c:pt idx="162">
                  <c:v>0.94499999999999995</c:v>
                </c:pt>
                <c:pt idx="163">
                  <c:v>1.0449999999999999</c:v>
                </c:pt>
                <c:pt idx="164">
                  <c:v>0.67600000000000005</c:v>
                </c:pt>
                <c:pt idx="165">
                  <c:v>0.61699999999999999</c:v>
                </c:pt>
                <c:pt idx="166">
                  <c:v>0.67900000000000005</c:v>
                </c:pt>
                <c:pt idx="167">
                  <c:v>0.65400000000000003</c:v>
                </c:pt>
                <c:pt idx="168">
                  <c:v>0.72699999999999998</c:v>
                </c:pt>
                <c:pt idx="169">
                  <c:v>0.58799999999999997</c:v>
                </c:pt>
                <c:pt idx="170">
                  <c:v>0.72</c:v>
                </c:pt>
                <c:pt idx="171">
                  <c:v>1.0289999999999999</c:v>
                </c:pt>
                <c:pt idx="172">
                  <c:v>0.72899999999999998</c:v>
                </c:pt>
                <c:pt idx="173">
                  <c:v>0.63800000000000001</c:v>
                </c:pt>
                <c:pt idx="174">
                  <c:v>1.032</c:v>
                </c:pt>
                <c:pt idx="175">
                  <c:v>1.054</c:v>
                </c:pt>
                <c:pt idx="176">
                  <c:v>0.82599999999999996</c:v>
                </c:pt>
                <c:pt idx="177">
                  <c:v>0.75700000000000001</c:v>
                </c:pt>
                <c:pt idx="178">
                  <c:v>0.63600000000000001</c:v>
                </c:pt>
                <c:pt idx="179">
                  <c:v>0.88400000000000001</c:v>
                </c:pt>
                <c:pt idx="180">
                  <c:v>0.755</c:v>
                </c:pt>
                <c:pt idx="181">
                  <c:v>0.88500000000000001</c:v>
                </c:pt>
                <c:pt idx="182">
                  <c:v>0.77800000000000002</c:v>
                </c:pt>
                <c:pt idx="183">
                  <c:v>0.755</c:v>
                </c:pt>
                <c:pt idx="184">
                  <c:v>0.57199999999999995</c:v>
                </c:pt>
                <c:pt idx="185">
                  <c:v>0.69199999999999995</c:v>
                </c:pt>
                <c:pt idx="186">
                  <c:v>0.64</c:v>
                </c:pt>
                <c:pt idx="187">
                  <c:v>0.74199999999999999</c:v>
                </c:pt>
                <c:pt idx="188">
                  <c:v>0.78900000000000003</c:v>
                </c:pt>
                <c:pt idx="189">
                  <c:v>0.752</c:v>
                </c:pt>
                <c:pt idx="190">
                  <c:v>0.84</c:v>
                </c:pt>
                <c:pt idx="191">
                  <c:v>0.81699999999999995</c:v>
                </c:pt>
                <c:pt idx="192">
                  <c:v>0.67500000000000004</c:v>
                </c:pt>
                <c:pt idx="193">
                  <c:v>0.57699999999999996</c:v>
                </c:pt>
                <c:pt idx="194">
                  <c:v>0.59499999999999997</c:v>
                </c:pt>
                <c:pt idx="195">
                  <c:v>0.61</c:v>
                </c:pt>
                <c:pt idx="196">
                  <c:v>0.95199999999999996</c:v>
                </c:pt>
                <c:pt idx="197">
                  <c:v>0.88</c:v>
                </c:pt>
                <c:pt idx="198">
                  <c:v>0.91800000000000004</c:v>
                </c:pt>
                <c:pt idx="199">
                  <c:v>0.81899999999999995</c:v>
                </c:pt>
                <c:pt idx="200">
                  <c:v>1.012</c:v>
                </c:pt>
                <c:pt idx="201">
                  <c:v>0.71799999999999997</c:v>
                </c:pt>
                <c:pt idx="202">
                  <c:v>0.90100000000000002</c:v>
                </c:pt>
                <c:pt idx="203">
                  <c:v>0.88500000000000001</c:v>
                </c:pt>
                <c:pt idx="204">
                  <c:v>0.62</c:v>
                </c:pt>
                <c:pt idx="205">
                  <c:v>0.68200000000000005</c:v>
                </c:pt>
                <c:pt idx="206">
                  <c:v>0.80800000000000005</c:v>
                </c:pt>
                <c:pt idx="207">
                  <c:v>0.78300000000000003</c:v>
                </c:pt>
                <c:pt idx="208">
                  <c:v>0.76400000000000001</c:v>
                </c:pt>
                <c:pt idx="209">
                  <c:v>0.76200000000000001</c:v>
                </c:pt>
                <c:pt idx="210">
                  <c:v>0.64800000000000002</c:v>
                </c:pt>
                <c:pt idx="211">
                  <c:v>0.75700000000000001</c:v>
                </c:pt>
                <c:pt idx="212">
                  <c:v>0.88500000000000001</c:v>
                </c:pt>
                <c:pt idx="213">
                  <c:v>0.97899999999999998</c:v>
                </c:pt>
                <c:pt idx="214">
                  <c:v>0.59599999999999997</c:v>
                </c:pt>
                <c:pt idx="215">
                  <c:v>0.81899999999999995</c:v>
                </c:pt>
                <c:pt idx="216">
                  <c:v>0.89300000000000002</c:v>
                </c:pt>
                <c:pt idx="217">
                  <c:v>0.64800000000000002</c:v>
                </c:pt>
                <c:pt idx="218">
                  <c:v>0.95599999999999996</c:v>
                </c:pt>
                <c:pt idx="219">
                  <c:v>0.747</c:v>
                </c:pt>
                <c:pt idx="220">
                  <c:v>0.64800000000000002</c:v>
                </c:pt>
                <c:pt idx="221">
                  <c:v>0.75600000000000001</c:v>
                </c:pt>
                <c:pt idx="222">
                  <c:v>0.90800000000000003</c:v>
                </c:pt>
                <c:pt idx="223">
                  <c:v>0.52600000000000002</c:v>
                </c:pt>
                <c:pt idx="224">
                  <c:v>0.53</c:v>
                </c:pt>
                <c:pt idx="225">
                  <c:v>0.63400000000000001</c:v>
                </c:pt>
                <c:pt idx="226">
                  <c:v>0.83799999999999997</c:v>
                </c:pt>
                <c:pt idx="227">
                  <c:v>0.68799999999999994</c:v>
                </c:pt>
                <c:pt idx="228">
                  <c:v>0.74099999999999999</c:v>
                </c:pt>
                <c:pt idx="229">
                  <c:v>0.79600000000000004</c:v>
                </c:pt>
                <c:pt idx="230">
                  <c:v>0.53800000000000003</c:v>
                </c:pt>
                <c:pt idx="231">
                  <c:v>0.52400000000000002</c:v>
                </c:pt>
                <c:pt idx="232">
                  <c:v>0.81699999999999995</c:v>
                </c:pt>
                <c:pt idx="233">
                  <c:v>0.95199999999999996</c:v>
                </c:pt>
                <c:pt idx="234">
                  <c:v>0.63400000000000001</c:v>
                </c:pt>
                <c:pt idx="235">
                  <c:v>0.32</c:v>
                </c:pt>
                <c:pt idx="236">
                  <c:v>0.69699999999999995</c:v>
                </c:pt>
                <c:pt idx="237">
                  <c:v>0.56299999999999994</c:v>
                </c:pt>
                <c:pt idx="238">
                  <c:v>0.51400000000000001</c:v>
                </c:pt>
                <c:pt idx="239">
                  <c:v>0.45900000000000002</c:v>
                </c:pt>
                <c:pt idx="240">
                  <c:v>0.51200000000000001</c:v>
                </c:pt>
                <c:pt idx="241">
                  <c:v>0.59799999999999998</c:v>
                </c:pt>
                <c:pt idx="242">
                  <c:v>0.497</c:v>
                </c:pt>
                <c:pt idx="243">
                  <c:v>0.76800000000000002</c:v>
                </c:pt>
                <c:pt idx="244">
                  <c:v>0.93100000000000005</c:v>
                </c:pt>
                <c:pt idx="245">
                  <c:v>0.91900000000000004</c:v>
                </c:pt>
                <c:pt idx="246">
                  <c:v>0.61499999999999999</c:v>
                </c:pt>
                <c:pt idx="247">
                  <c:v>0.47699999999999998</c:v>
                </c:pt>
                <c:pt idx="248">
                  <c:v>0.73399999999999999</c:v>
                </c:pt>
                <c:pt idx="249">
                  <c:v>0.84199999999999997</c:v>
                </c:pt>
                <c:pt idx="250">
                  <c:v>0.42</c:v>
                </c:pt>
                <c:pt idx="251">
                  <c:v>0.315</c:v>
                </c:pt>
                <c:pt idx="252">
                  <c:v>0.755</c:v>
                </c:pt>
                <c:pt idx="253">
                  <c:v>0.53700000000000003</c:v>
                </c:pt>
                <c:pt idx="254">
                  <c:v>0.60599999999999998</c:v>
                </c:pt>
                <c:pt idx="255">
                  <c:v>0.51500000000000001</c:v>
                </c:pt>
                <c:pt idx="256">
                  <c:v>0.56599999999999995</c:v>
                </c:pt>
                <c:pt idx="257">
                  <c:v>0.41499999999999998</c:v>
                </c:pt>
                <c:pt idx="258">
                  <c:v>0.81</c:v>
                </c:pt>
                <c:pt idx="259">
                  <c:v>0.86399999999999999</c:v>
                </c:pt>
                <c:pt idx="260">
                  <c:v>0.55800000000000005</c:v>
                </c:pt>
                <c:pt idx="261">
                  <c:v>0.69599999999999995</c:v>
                </c:pt>
                <c:pt idx="262">
                  <c:v>0.873</c:v>
                </c:pt>
                <c:pt idx="263">
                  <c:v>0.65700000000000003</c:v>
                </c:pt>
                <c:pt idx="264">
                  <c:v>0.50600000000000001</c:v>
                </c:pt>
                <c:pt idx="265">
                  <c:v>0.67500000000000004</c:v>
                </c:pt>
                <c:pt idx="266">
                  <c:v>0.68700000000000006</c:v>
                </c:pt>
                <c:pt idx="267">
                  <c:v>0.78800000000000003</c:v>
                </c:pt>
                <c:pt idx="268">
                  <c:v>0.54900000000000004</c:v>
                </c:pt>
                <c:pt idx="269">
                  <c:v>0.56000000000000005</c:v>
                </c:pt>
                <c:pt idx="270">
                  <c:v>0.47899999999999998</c:v>
                </c:pt>
                <c:pt idx="271">
                  <c:v>0.81899999999999995</c:v>
                </c:pt>
                <c:pt idx="272">
                  <c:v>0.60299999999999998</c:v>
                </c:pt>
                <c:pt idx="273">
                  <c:v>0.68500000000000005</c:v>
                </c:pt>
                <c:pt idx="274">
                  <c:v>0.54900000000000004</c:v>
                </c:pt>
                <c:pt idx="275">
                  <c:v>0.67400000000000004</c:v>
                </c:pt>
                <c:pt idx="276">
                  <c:v>0.86099999999999999</c:v>
                </c:pt>
                <c:pt idx="277">
                  <c:v>0.57399999999999995</c:v>
                </c:pt>
                <c:pt idx="278">
                  <c:v>0.91100000000000003</c:v>
                </c:pt>
                <c:pt idx="279">
                  <c:v>0.97</c:v>
                </c:pt>
                <c:pt idx="280">
                  <c:v>0.80900000000000005</c:v>
                </c:pt>
                <c:pt idx="281">
                  <c:v>0.84699999999999998</c:v>
                </c:pt>
                <c:pt idx="282">
                  <c:v>0.72799999999999998</c:v>
                </c:pt>
                <c:pt idx="283">
                  <c:v>0.66100000000000003</c:v>
                </c:pt>
                <c:pt idx="284">
                  <c:v>0.40699999999999997</c:v>
                </c:pt>
                <c:pt idx="285">
                  <c:v>0.59</c:v>
                </c:pt>
                <c:pt idx="286">
                  <c:v>0.58399999999999996</c:v>
                </c:pt>
                <c:pt idx="287">
                  <c:v>0.57599999999999996</c:v>
                </c:pt>
                <c:pt idx="288">
                  <c:v>0.47699999999999998</c:v>
                </c:pt>
                <c:pt idx="289">
                  <c:v>0.755</c:v>
                </c:pt>
                <c:pt idx="290">
                  <c:v>0.42099999999999999</c:v>
                </c:pt>
                <c:pt idx="291">
                  <c:v>0.63600000000000001</c:v>
                </c:pt>
                <c:pt idx="292">
                  <c:v>0.57299999999999995</c:v>
                </c:pt>
                <c:pt idx="293">
                  <c:v>0.41799999999999998</c:v>
                </c:pt>
                <c:pt idx="294">
                  <c:v>0.38600000000000001</c:v>
                </c:pt>
                <c:pt idx="295">
                  <c:v>0.27800000000000002</c:v>
                </c:pt>
                <c:pt idx="296">
                  <c:v>0.27700000000000002</c:v>
                </c:pt>
                <c:pt idx="297">
                  <c:v>0.27200000000000002</c:v>
                </c:pt>
                <c:pt idx="298">
                  <c:v>0.50700000000000001</c:v>
                </c:pt>
                <c:pt idx="299">
                  <c:v>0.56100000000000005</c:v>
                </c:pt>
                <c:pt idx="300">
                  <c:v>0.60399999999999998</c:v>
                </c:pt>
                <c:pt idx="301">
                  <c:v>0.67900000000000005</c:v>
                </c:pt>
                <c:pt idx="302">
                  <c:v>0.66</c:v>
                </c:pt>
                <c:pt idx="303">
                  <c:v>0.434</c:v>
                </c:pt>
                <c:pt idx="304">
                  <c:v>0.38100000000000001</c:v>
                </c:pt>
                <c:pt idx="305">
                  <c:v>0.51700000000000002</c:v>
                </c:pt>
                <c:pt idx="306">
                  <c:v>0.432</c:v>
                </c:pt>
                <c:pt idx="307">
                  <c:v>0.33900000000000002</c:v>
                </c:pt>
                <c:pt idx="308">
                  <c:v>0.76</c:v>
                </c:pt>
                <c:pt idx="309">
                  <c:v>0.57699999999999996</c:v>
                </c:pt>
                <c:pt idx="310">
                  <c:v>0.318</c:v>
                </c:pt>
                <c:pt idx="311">
                  <c:v>0.253</c:v>
                </c:pt>
                <c:pt idx="312">
                  <c:v>0.28399999999999997</c:v>
                </c:pt>
                <c:pt idx="313">
                  <c:v>0.3</c:v>
                </c:pt>
                <c:pt idx="314">
                  <c:v>0.32300000000000001</c:v>
                </c:pt>
                <c:pt idx="315">
                  <c:v>0.33500000000000002</c:v>
                </c:pt>
                <c:pt idx="316">
                  <c:v>0.33400000000000002</c:v>
                </c:pt>
                <c:pt idx="317">
                  <c:v>0.40500000000000003</c:v>
                </c:pt>
                <c:pt idx="318">
                  <c:v>0.34499999999999997</c:v>
                </c:pt>
                <c:pt idx="319">
                  <c:v>0.38400000000000001</c:v>
                </c:pt>
                <c:pt idx="320">
                  <c:v>0.438</c:v>
                </c:pt>
                <c:pt idx="321">
                  <c:v>0.54800000000000004</c:v>
                </c:pt>
                <c:pt idx="322">
                  <c:v>0.49299999999999999</c:v>
                </c:pt>
                <c:pt idx="323">
                  <c:v>0.35699999999999998</c:v>
                </c:pt>
                <c:pt idx="324">
                  <c:v>0.36099999999999999</c:v>
                </c:pt>
                <c:pt idx="325">
                  <c:v>0.40899999999999997</c:v>
                </c:pt>
                <c:pt idx="326">
                  <c:v>0.372</c:v>
                </c:pt>
                <c:pt idx="327">
                  <c:v>0.39300000000000002</c:v>
                </c:pt>
                <c:pt idx="328">
                  <c:v>0.40300000000000002</c:v>
                </c:pt>
                <c:pt idx="329">
                  <c:v>0.42399999999999999</c:v>
                </c:pt>
                <c:pt idx="330">
                  <c:v>0.39</c:v>
                </c:pt>
                <c:pt idx="331">
                  <c:v>0.39900000000000002</c:v>
                </c:pt>
                <c:pt idx="332">
                  <c:v>0.376</c:v>
                </c:pt>
                <c:pt idx="333">
                  <c:v>0.34799999999999998</c:v>
                </c:pt>
                <c:pt idx="334">
                  <c:v>0.39</c:v>
                </c:pt>
                <c:pt idx="335">
                  <c:v>0.25800000000000001</c:v>
                </c:pt>
                <c:pt idx="336">
                  <c:v>0.32400000000000001</c:v>
                </c:pt>
                <c:pt idx="337">
                  <c:v>0.27200000000000002</c:v>
                </c:pt>
                <c:pt idx="338">
                  <c:v>0.23400000000000001</c:v>
                </c:pt>
                <c:pt idx="339">
                  <c:v>0.25700000000000001</c:v>
                </c:pt>
                <c:pt idx="340">
                  <c:v>0.38300000000000001</c:v>
                </c:pt>
                <c:pt idx="341">
                  <c:v>0.44500000000000001</c:v>
                </c:pt>
                <c:pt idx="342">
                  <c:v>0.66800000000000004</c:v>
                </c:pt>
                <c:pt idx="343">
                  <c:v>0.47599999999999998</c:v>
                </c:pt>
                <c:pt idx="344">
                  <c:v>0.379</c:v>
                </c:pt>
                <c:pt idx="345">
                  <c:v>0.39800000000000002</c:v>
                </c:pt>
                <c:pt idx="346">
                  <c:v>0.378</c:v>
                </c:pt>
                <c:pt idx="347">
                  <c:v>0.33500000000000002</c:v>
                </c:pt>
                <c:pt idx="348">
                  <c:v>0.432</c:v>
                </c:pt>
                <c:pt idx="349">
                  <c:v>0.39700000000000002</c:v>
                </c:pt>
                <c:pt idx="350">
                  <c:v>0.42499999999999999</c:v>
                </c:pt>
                <c:pt idx="351">
                  <c:v>0.42399999999999999</c:v>
                </c:pt>
                <c:pt idx="352">
                  <c:v>0.44800000000000001</c:v>
                </c:pt>
                <c:pt idx="353">
                  <c:v>0.432</c:v>
                </c:pt>
                <c:pt idx="354">
                  <c:v>0.374</c:v>
                </c:pt>
                <c:pt idx="355">
                  <c:v>0.37</c:v>
                </c:pt>
                <c:pt idx="356">
                  <c:v>0.26900000000000002</c:v>
                </c:pt>
                <c:pt idx="357">
                  <c:v>0.47699999999999998</c:v>
                </c:pt>
                <c:pt idx="358">
                  <c:v>0.224</c:v>
                </c:pt>
                <c:pt idx="359">
                  <c:v>0.27400000000000002</c:v>
                </c:pt>
                <c:pt idx="360">
                  <c:v>0.45900000000000002</c:v>
                </c:pt>
                <c:pt idx="361">
                  <c:v>0.442</c:v>
                </c:pt>
                <c:pt idx="362">
                  <c:v>0.38900000000000001</c:v>
                </c:pt>
                <c:pt idx="363">
                  <c:v>0.22800000000000001</c:v>
                </c:pt>
                <c:pt idx="364">
                  <c:v>0.315</c:v>
                </c:pt>
                <c:pt idx="365">
                  <c:v>0.48499999999999999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Data!$BK$6:$BK$371</c:f>
              <c:numCache>
                <c:formatCode>General</c:formatCode>
                <c:ptCount val="366"/>
                <c:pt idx="0">
                  <c:v>0.13700000000000001</c:v>
                </c:pt>
                <c:pt idx="1">
                  <c:v>8.8999999999999996E-2</c:v>
                </c:pt>
                <c:pt idx="2">
                  <c:v>0.123</c:v>
                </c:pt>
                <c:pt idx="3">
                  <c:v>0.22500000000000001</c:v>
                </c:pt>
                <c:pt idx="4">
                  <c:v>0.13700000000000001</c:v>
                </c:pt>
                <c:pt idx="5">
                  <c:v>0.10299999999999999</c:v>
                </c:pt>
                <c:pt idx="6">
                  <c:v>3.5999999999999997E-2</c:v>
                </c:pt>
                <c:pt idx="7">
                  <c:v>8.3000000000000004E-2</c:v>
                </c:pt>
                <c:pt idx="8">
                  <c:v>5.7000000000000002E-2</c:v>
                </c:pt>
                <c:pt idx="9">
                  <c:v>4.2999999999999997E-2</c:v>
                </c:pt>
                <c:pt idx="10">
                  <c:v>4.9000000000000002E-2</c:v>
                </c:pt>
                <c:pt idx="11">
                  <c:v>0.09</c:v>
                </c:pt>
                <c:pt idx="12">
                  <c:v>3.6999999999999998E-2</c:v>
                </c:pt>
                <c:pt idx="13">
                  <c:v>4.2000000000000003E-2</c:v>
                </c:pt>
                <c:pt idx="14">
                  <c:v>5.1999999999999998E-2</c:v>
                </c:pt>
                <c:pt idx="15">
                  <c:v>6.4000000000000001E-2</c:v>
                </c:pt>
                <c:pt idx="16">
                  <c:v>6.9000000000000006E-2</c:v>
                </c:pt>
                <c:pt idx="17">
                  <c:v>6.2E-2</c:v>
                </c:pt>
                <c:pt idx="18">
                  <c:v>4.7E-2</c:v>
                </c:pt>
                <c:pt idx="19">
                  <c:v>3.9E-2</c:v>
                </c:pt>
                <c:pt idx="20">
                  <c:v>4.9000000000000002E-2</c:v>
                </c:pt>
                <c:pt idx="21">
                  <c:v>4.4999999999999998E-2</c:v>
                </c:pt>
                <c:pt idx="22">
                  <c:v>8.6999999999999994E-2</c:v>
                </c:pt>
                <c:pt idx="23">
                  <c:v>0.114</c:v>
                </c:pt>
                <c:pt idx="24">
                  <c:v>0.06</c:v>
                </c:pt>
                <c:pt idx="25">
                  <c:v>6.3E-2</c:v>
                </c:pt>
                <c:pt idx="26">
                  <c:v>0.12</c:v>
                </c:pt>
                <c:pt idx="27">
                  <c:v>0.158</c:v>
                </c:pt>
                <c:pt idx="28">
                  <c:v>7.3999999999999996E-2</c:v>
                </c:pt>
                <c:pt idx="29">
                  <c:v>0.158</c:v>
                </c:pt>
                <c:pt idx="30">
                  <c:v>7.9000000000000001E-2</c:v>
                </c:pt>
                <c:pt idx="31">
                  <c:v>0.20499999999999999</c:v>
                </c:pt>
                <c:pt idx="32">
                  <c:v>0.222</c:v>
                </c:pt>
                <c:pt idx="33">
                  <c:v>5.8999999999999997E-2</c:v>
                </c:pt>
                <c:pt idx="34">
                  <c:v>0.123</c:v>
                </c:pt>
                <c:pt idx="35">
                  <c:v>4.2999999999999997E-2</c:v>
                </c:pt>
                <c:pt idx="36">
                  <c:v>4.2999999999999997E-2</c:v>
                </c:pt>
                <c:pt idx="37">
                  <c:v>4.2999999999999997E-2</c:v>
                </c:pt>
                <c:pt idx="38">
                  <c:v>4.4999999999999998E-2</c:v>
                </c:pt>
                <c:pt idx="39">
                  <c:v>6.0999999999999999E-2</c:v>
                </c:pt>
                <c:pt idx="40">
                  <c:v>4.8000000000000001E-2</c:v>
                </c:pt>
                <c:pt idx="41">
                  <c:v>0.111</c:v>
                </c:pt>
                <c:pt idx="42">
                  <c:v>0.29399999999999998</c:v>
                </c:pt>
                <c:pt idx="43">
                  <c:v>0.158</c:v>
                </c:pt>
                <c:pt idx="44">
                  <c:v>0.14799999999999999</c:v>
                </c:pt>
                <c:pt idx="45">
                  <c:v>0.105</c:v>
                </c:pt>
                <c:pt idx="46">
                  <c:v>0.09</c:v>
                </c:pt>
                <c:pt idx="47">
                  <c:v>0.14599999999999999</c:v>
                </c:pt>
                <c:pt idx="48">
                  <c:v>0.17699999999999999</c:v>
                </c:pt>
                <c:pt idx="49">
                  <c:v>0.38800000000000001</c:v>
                </c:pt>
                <c:pt idx="50">
                  <c:v>0.29899999999999999</c:v>
                </c:pt>
                <c:pt idx="51">
                  <c:v>0.441</c:v>
                </c:pt>
                <c:pt idx="52">
                  <c:v>0.252</c:v>
                </c:pt>
                <c:pt idx="53">
                  <c:v>0.122</c:v>
                </c:pt>
                <c:pt idx="54">
                  <c:v>4.8000000000000001E-2</c:v>
                </c:pt>
                <c:pt idx="55">
                  <c:v>7.1999999999999995E-2</c:v>
                </c:pt>
                <c:pt idx="56">
                  <c:v>0.3</c:v>
                </c:pt>
                <c:pt idx="57">
                  <c:v>0.29399999999999998</c:v>
                </c:pt>
                <c:pt idx="58">
                  <c:v>0.39900000000000002</c:v>
                </c:pt>
                <c:pt idx="59">
                  <c:v>0.155</c:v>
                </c:pt>
                <c:pt idx="60">
                  <c:v>0.187</c:v>
                </c:pt>
                <c:pt idx="61">
                  <c:v>0.20499999999999999</c:v>
                </c:pt>
                <c:pt idx="62">
                  <c:v>0.57099999999999995</c:v>
                </c:pt>
                <c:pt idx="63">
                  <c:v>0.27300000000000002</c:v>
                </c:pt>
                <c:pt idx="64">
                  <c:v>0.45400000000000001</c:v>
                </c:pt>
                <c:pt idx="65">
                  <c:v>0.25600000000000001</c:v>
                </c:pt>
                <c:pt idx="66">
                  <c:v>0.19500000000000001</c:v>
                </c:pt>
                <c:pt idx="67">
                  <c:v>0.26600000000000001</c:v>
                </c:pt>
                <c:pt idx="68">
                  <c:v>0.44700000000000001</c:v>
                </c:pt>
                <c:pt idx="69">
                  <c:v>0.27600000000000002</c:v>
                </c:pt>
                <c:pt idx="70">
                  <c:v>0.13200000000000001</c:v>
                </c:pt>
                <c:pt idx="71">
                  <c:v>7.1999999999999995E-2</c:v>
                </c:pt>
                <c:pt idx="72">
                  <c:v>4.9000000000000002E-2</c:v>
                </c:pt>
                <c:pt idx="73">
                  <c:v>5.3999999999999999E-2</c:v>
                </c:pt>
                <c:pt idx="74">
                  <c:v>0.14000000000000001</c:v>
                </c:pt>
                <c:pt idx="75">
                  <c:v>0.73899999999999999</c:v>
                </c:pt>
                <c:pt idx="76">
                  <c:v>0.5</c:v>
                </c:pt>
                <c:pt idx="77">
                  <c:v>0.55500000000000005</c:v>
                </c:pt>
                <c:pt idx="78">
                  <c:v>0.79600000000000004</c:v>
                </c:pt>
                <c:pt idx="79">
                  <c:v>0.66100000000000003</c:v>
                </c:pt>
                <c:pt idx="80">
                  <c:v>0.53200000000000003</c:v>
                </c:pt>
                <c:pt idx="81">
                  <c:v>0.7</c:v>
                </c:pt>
                <c:pt idx="82">
                  <c:v>0.43099999999999999</c:v>
                </c:pt>
                <c:pt idx="83">
                  <c:v>0.315</c:v>
                </c:pt>
                <c:pt idx="84">
                  <c:v>0.33</c:v>
                </c:pt>
                <c:pt idx="85">
                  <c:v>0.19700000000000001</c:v>
                </c:pt>
                <c:pt idx="86">
                  <c:v>0.21299999999999999</c:v>
                </c:pt>
                <c:pt idx="87">
                  <c:v>0.40300000000000002</c:v>
                </c:pt>
                <c:pt idx="88">
                  <c:v>0.438</c:v>
                </c:pt>
                <c:pt idx="89">
                  <c:v>0.30299999999999999</c:v>
                </c:pt>
                <c:pt idx="90">
                  <c:v>0.32900000000000001</c:v>
                </c:pt>
                <c:pt idx="91">
                  <c:v>0.189</c:v>
                </c:pt>
                <c:pt idx="92">
                  <c:v>0.35599999999999998</c:v>
                </c:pt>
                <c:pt idx="93">
                  <c:v>0.187</c:v>
                </c:pt>
                <c:pt idx="94">
                  <c:v>0.245</c:v>
                </c:pt>
                <c:pt idx="95">
                  <c:v>0.249</c:v>
                </c:pt>
                <c:pt idx="96">
                  <c:v>0.501</c:v>
                </c:pt>
                <c:pt idx="97">
                  <c:v>0.6</c:v>
                </c:pt>
                <c:pt idx="98">
                  <c:v>0.81699999999999995</c:v>
                </c:pt>
                <c:pt idx="99">
                  <c:v>1.216</c:v>
                </c:pt>
                <c:pt idx="100">
                  <c:v>0.58099999999999996</c:v>
                </c:pt>
                <c:pt idx="101">
                  <c:v>0.33</c:v>
                </c:pt>
                <c:pt idx="102">
                  <c:v>0.46</c:v>
                </c:pt>
                <c:pt idx="103">
                  <c:v>0.63</c:v>
                </c:pt>
                <c:pt idx="104">
                  <c:v>0.44</c:v>
                </c:pt>
                <c:pt idx="105">
                  <c:v>0.54900000000000004</c:v>
                </c:pt>
                <c:pt idx="106">
                  <c:v>0.9</c:v>
                </c:pt>
                <c:pt idx="107">
                  <c:v>0.629</c:v>
                </c:pt>
                <c:pt idx="108">
                  <c:v>0.45700000000000002</c:v>
                </c:pt>
                <c:pt idx="109">
                  <c:v>0.65</c:v>
                </c:pt>
                <c:pt idx="110">
                  <c:v>1.2190000000000001</c:v>
                </c:pt>
                <c:pt idx="111">
                  <c:v>0.751</c:v>
                </c:pt>
                <c:pt idx="112">
                  <c:v>0.35199999999999998</c:v>
                </c:pt>
                <c:pt idx="113">
                  <c:v>0.33900000000000002</c:v>
                </c:pt>
                <c:pt idx="114">
                  <c:v>0.96599999999999997</c:v>
                </c:pt>
                <c:pt idx="115">
                  <c:v>0.38300000000000001</c:v>
                </c:pt>
                <c:pt idx="116">
                  <c:v>0.65700000000000003</c:v>
                </c:pt>
                <c:pt idx="117">
                  <c:v>0.57299999999999995</c:v>
                </c:pt>
                <c:pt idx="118">
                  <c:v>0.92</c:v>
                </c:pt>
                <c:pt idx="119">
                  <c:v>1.0209999999999999</c:v>
                </c:pt>
                <c:pt idx="120">
                  <c:v>0.57899999999999996</c:v>
                </c:pt>
                <c:pt idx="121">
                  <c:v>0.875</c:v>
                </c:pt>
                <c:pt idx="122">
                  <c:v>0.76800000000000002</c:v>
                </c:pt>
                <c:pt idx="123">
                  <c:v>0.33100000000000002</c:v>
                </c:pt>
                <c:pt idx="124">
                  <c:v>0.88900000000000001</c:v>
                </c:pt>
                <c:pt idx="125">
                  <c:v>0.88300000000000001</c:v>
                </c:pt>
                <c:pt idx="126">
                  <c:v>0.36499999999999999</c:v>
                </c:pt>
                <c:pt idx="127">
                  <c:v>0.49199999999999999</c:v>
                </c:pt>
                <c:pt idx="128">
                  <c:v>1.0880000000000001</c:v>
                </c:pt>
                <c:pt idx="129">
                  <c:v>1.25</c:v>
                </c:pt>
                <c:pt idx="130">
                  <c:v>1.345</c:v>
                </c:pt>
                <c:pt idx="131">
                  <c:v>0.97399999999999998</c:v>
                </c:pt>
                <c:pt idx="132">
                  <c:v>0.45200000000000001</c:v>
                </c:pt>
                <c:pt idx="133">
                  <c:v>0.82299999999999995</c:v>
                </c:pt>
                <c:pt idx="134">
                  <c:v>0.70099999999999996</c:v>
                </c:pt>
                <c:pt idx="135">
                  <c:v>0.57999999999999996</c:v>
                </c:pt>
                <c:pt idx="136">
                  <c:v>0.44400000000000001</c:v>
                </c:pt>
                <c:pt idx="137">
                  <c:v>0.58499999999999996</c:v>
                </c:pt>
                <c:pt idx="138">
                  <c:v>0.72899999999999998</c:v>
                </c:pt>
                <c:pt idx="139">
                  <c:v>1.02</c:v>
                </c:pt>
                <c:pt idx="140">
                  <c:v>0.55400000000000005</c:v>
                </c:pt>
                <c:pt idx="141">
                  <c:v>0.33500000000000002</c:v>
                </c:pt>
                <c:pt idx="142">
                  <c:v>3.2000000000000001E-2</c:v>
                </c:pt>
                <c:pt idx="143">
                  <c:v>0.495</c:v>
                </c:pt>
                <c:pt idx="144">
                  <c:v>0.871</c:v>
                </c:pt>
                <c:pt idx="145">
                  <c:v>0.191</c:v>
                </c:pt>
                <c:pt idx="146">
                  <c:v>0.68300000000000005</c:v>
                </c:pt>
                <c:pt idx="147">
                  <c:v>1.0720000000000001</c:v>
                </c:pt>
                <c:pt idx="148">
                  <c:v>1.4650000000000001</c:v>
                </c:pt>
                <c:pt idx="149">
                  <c:v>1.988</c:v>
                </c:pt>
                <c:pt idx="150">
                  <c:v>1.105</c:v>
                </c:pt>
                <c:pt idx="151">
                  <c:v>0.28499999999999998</c:v>
                </c:pt>
                <c:pt idx="152">
                  <c:v>0.82299999999999995</c:v>
                </c:pt>
                <c:pt idx="153">
                  <c:v>0.879</c:v>
                </c:pt>
                <c:pt idx="154">
                  <c:v>0.98599999999999999</c:v>
                </c:pt>
                <c:pt idx="155">
                  <c:v>0.80500000000000005</c:v>
                </c:pt>
                <c:pt idx="156">
                  <c:v>0.81399999999999995</c:v>
                </c:pt>
                <c:pt idx="157">
                  <c:v>0.83899999999999997</c:v>
                </c:pt>
                <c:pt idx="158">
                  <c:v>0.42599999999999999</c:v>
                </c:pt>
                <c:pt idx="159">
                  <c:v>0.64300000000000002</c:v>
                </c:pt>
                <c:pt idx="160">
                  <c:v>0.29299999999999998</c:v>
                </c:pt>
                <c:pt idx="161">
                  <c:v>0.98199999999999998</c:v>
                </c:pt>
                <c:pt idx="162">
                  <c:v>0.504</c:v>
                </c:pt>
                <c:pt idx="163">
                  <c:v>0.78500000000000003</c:v>
                </c:pt>
                <c:pt idx="164">
                  <c:v>0.18</c:v>
                </c:pt>
                <c:pt idx="165">
                  <c:v>0.09</c:v>
                </c:pt>
                <c:pt idx="166">
                  <c:v>0.4</c:v>
                </c:pt>
                <c:pt idx="167">
                  <c:v>0.71399999999999997</c:v>
                </c:pt>
                <c:pt idx="168">
                  <c:v>0.78800000000000003</c:v>
                </c:pt>
                <c:pt idx="169">
                  <c:v>1.468</c:v>
                </c:pt>
                <c:pt idx="170">
                  <c:v>1.6639999999999999</c:v>
                </c:pt>
                <c:pt idx="171">
                  <c:v>0.59899999999999998</c:v>
                </c:pt>
                <c:pt idx="172">
                  <c:v>1.29</c:v>
                </c:pt>
                <c:pt idx="173">
                  <c:v>1.6240000000000001</c:v>
                </c:pt>
                <c:pt idx="174">
                  <c:v>1.4430000000000001</c:v>
                </c:pt>
                <c:pt idx="175">
                  <c:v>0.61399999999999999</c:v>
                </c:pt>
                <c:pt idx="176">
                  <c:v>1.669</c:v>
                </c:pt>
                <c:pt idx="177">
                  <c:v>1.262</c:v>
                </c:pt>
                <c:pt idx="178">
                  <c:v>0.8</c:v>
                </c:pt>
                <c:pt idx="179">
                  <c:v>0.311</c:v>
                </c:pt>
                <c:pt idx="180">
                  <c:v>1.1759999999999999</c:v>
                </c:pt>
                <c:pt idx="181">
                  <c:v>0.27500000000000002</c:v>
                </c:pt>
                <c:pt idx="182">
                  <c:v>0.16600000000000001</c:v>
                </c:pt>
                <c:pt idx="183">
                  <c:v>0.66700000000000004</c:v>
                </c:pt>
                <c:pt idx="184">
                  <c:v>0.79600000000000004</c:v>
                </c:pt>
                <c:pt idx="185">
                  <c:v>0.79900000000000004</c:v>
                </c:pt>
                <c:pt idx="186">
                  <c:v>1.458</c:v>
                </c:pt>
                <c:pt idx="187">
                  <c:v>1.4530000000000001</c:v>
                </c:pt>
                <c:pt idx="188">
                  <c:v>0.46899999999999997</c:v>
                </c:pt>
                <c:pt idx="189">
                  <c:v>1.0129999999999999</c:v>
                </c:pt>
                <c:pt idx="190">
                  <c:v>0.43099999999999999</c:v>
                </c:pt>
                <c:pt idx="191">
                  <c:v>1.1100000000000001</c:v>
                </c:pt>
                <c:pt idx="192">
                  <c:v>1.179</c:v>
                </c:pt>
                <c:pt idx="193">
                  <c:v>0.72</c:v>
                </c:pt>
                <c:pt idx="194">
                  <c:v>0.95</c:v>
                </c:pt>
                <c:pt idx="195">
                  <c:v>1.444</c:v>
                </c:pt>
                <c:pt idx="196">
                  <c:v>1.212</c:v>
                </c:pt>
                <c:pt idx="197">
                  <c:v>0.95</c:v>
                </c:pt>
                <c:pt idx="198">
                  <c:v>0.871</c:v>
                </c:pt>
                <c:pt idx="199">
                  <c:v>1.2969999999999999</c:v>
                </c:pt>
                <c:pt idx="200">
                  <c:v>1.105</c:v>
                </c:pt>
                <c:pt idx="201">
                  <c:v>1.724</c:v>
                </c:pt>
                <c:pt idx="202">
                  <c:v>2.133</c:v>
                </c:pt>
                <c:pt idx="203">
                  <c:v>1.8380000000000001</c:v>
                </c:pt>
                <c:pt idx="204">
                  <c:v>1.5109999999999999</c:v>
                </c:pt>
                <c:pt idx="205">
                  <c:v>0.77800000000000002</c:v>
                </c:pt>
                <c:pt idx="206">
                  <c:v>1.0580000000000001</c:v>
                </c:pt>
                <c:pt idx="207">
                  <c:v>1.7110000000000001</c:v>
                </c:pt>
                <c:pt idx="208">
                  <c:v>2.8919999999999999</c:v>
                </c:pt>
                <c:pt idx="209">
                  <c:v>2.4940000000000002</c:v>
                </c:pt>
                <c:pt idx="210">
                  <c:v>2.7450000000000001</c:v>
                </c:pt>
                <c:pt idx="211">
                  <c:v>3.1859999999999999</c:v>
                </c:pt>
                <c:pt idx="212">
                  <c:v>3.0659999999999998</c:v>
                </c:pt>
                <c:pt idx="213">
                  <c:v>2.1789999999999998</c:v>
                </c:pt>
                <c:pt idx="214">
                  <c:v>2.508</c:v>
                </c:pt>
                <c:pt idx="215">
                  <c:v>1.254</c:v>
                </c:pt>
                <c:pt idx="216">
                  <c:v>1.9510000000000001</c:v>
                </c:pt>
                <c:pt idx="217">
                  <c:v>2.5129999999999999</c:v>
                </c:pt>
                <c:pt idx="218">
                  <c:v>1.0189999999999999</c:v>
                </c:pt>
                <c:pt idx="219">
                  <c:v>0.82899999999999996</c:v>
                </c:pt>
                <c:pt idx="220">
                  <c:v>0.95199999999999996</c:v>
                </c:pt>
                <c:pt idx="221">
                  <c:v>1.0269999999999999</c:v>
                </c:pt>
                <c:pt idx="222">
                  <c:v>1.254</c:v>
                </c:pt>
                <c:pt idx="223">
                  <c:v>1.639</c:v>
                </c:pt>
                <c:pt idx="224">
                  <c:v>1.18</c:v>
                </c:pt>
                <c:pt idx="225">
                  <c:v>1.113</c:v>
                </c:pt>
                <c:pt idx="226">
                  <c:v>1.496</c:v>
                </c:pt>
                <c:pt idx="227">
                  <c:v>2.6680000000000001</c:v>
                </c:pt>
                <c:pt idx="228">
                  <c:v>3.3759999999999999</c:v>
                </c:pt>
                <c:pt idx="229">
                  <c:v>3.286</c:v>
                </c:pt>
                <c:pt idx="230">
                  <c:v>3.3050000000000002</c:v>
                </c:pt>
                <c:pt idx="231">
                  <c:v>2.387</c:v>
                </c:pt>
                <c:pt idx="232">
                  <c:v>1.4910000000000001</c:v>
                </c:pt>
                <c:pt idx="233">
                  <c:v>1.3420000000000001</c:v>
                </c:pt>
                <c:pt idx="234">
                  <c:v>1.4379999999999999</c:v>
                </c:pt>
                <c:pt idx="235">
                  <c:v>2.2400000000000002</c:v>
                </c:pt>
                <c:pt idx="236">
                  <c:v>0.97399999999999998</c:v>
                </c:pt>
                <c:pt idx="237">
                  <c:v>1.4690000000000001</c:v>
                </c:pt>
                <c:pt idx="238">
                  <c:v>1.8220000000000001</c:v>
                </c:pt>
                <c:pt idx="239">
                  <c:v>1.647</c:v>
                </c:pt>
                <c:pt idx="240">
                  <c:v>2.536</c:v>
                </c:pt>
                <c:pt idx="241">
                  <c:v>0.95099999999999996</c:v>
                </c:pt>
                <c:pt idx="242">
                  <c:v>1</c:v>
                </c:pt>
                <c:pt idx="243">
                  <c:v>0.54300000000000004</c:v>
                </c:pt>
                <c:pt idx="244">
                  <c:v>1.627</c:v>
                </c:pt>
                <c:pt idx="245">
                  <c:v>0.98399999999999999</c:v>
                </c:pt>
                <c:pt idx="246">
                  <c:v>2.1800000000000002</c:v>
                </c:pt>
                <c:pt idx="247">
                  <c:v>3.137</c:v>
                </c:pt>
                <c:pt idx="248">
                  <c:v>1.974</c:v>
                </c:pt>
                <c:pt idx="249">
                  <c:v>1.71</c:v>
                </c:pt>
                <c:pt idx="250">
                  <c:v>1.177</c:v>
                </c:pt>
                <c:pt idx="251">
                  <c:v>1.4750000000000001</c:v>
                </c:pt>
                <c:pt idx="252">
                  <c:v>1.6120000000000001</c:v>
                </c:pt>
                <c:pt idx="253">
                  <c:v>2.5489999999999999</c:v>
                </c:pt>
                <c:pt idx="254">
                  <c:v>2.8570000000000002</c:v>
                </c:pt>
                <c:pt idx="255">
                  <c:v>2.21</c:v>
                </c:pt>
                <c:pt idx="256">
                  <c:v>1.254</c:v>
                </c:pt>
                <c:pt idx="257">
                  <c:v>1.9159999999999999</c:v>
                </c:pt>
                <c:pt idx="258">
                  <c:v>1.675</c:v>
                </c:pt>
                <c:pt idx="259">
                  <c:v>1.794</c:v>
                </c:pt>
                <c:pt idx="260">
                  <c:v>2.1509999999999998</c:v>
                </c:pt>
                <c:pt idx="261">
                  <c:v>1.853</c:v>
                </c:pt>
                <c:pt idx="262">
                  <c:v>0.55800000000000005</c:v>
                </c:pt>
                <c:pt idx="263">
                  <c:v>1.143</c:v>
                </c:pt>
                <c:pt idx="264">
                  <c:v>1.181</c:v>
                </c:pt>
                <c:pt idx="265">
                  <c:v>1.389</c:v>
                </c:pt>
                <c:pt idx="266">
                  <c:v>0.46800000000000003</c:v>
                </c:pt>
                <c:pt idx="267">
                  <c:v>0.22</c:v>
                </c:pt>
                <c:pt idx="268">
                  <c:v>0.23300000000000001</c:v>
                </c:pt>
                <c:pt idx="269">
                  <c:v>0.35699999999999998</c:v>
                </c:pt>
                <c:pt idx="270">
                  <c:v>0.88600000000000001</c:v>
                </c:pt>
                <c:pt idx="271">
                  <c:v>1.431</c:v>
                </c:pt>
                <c:pt idx="272">
                  <c:v>1.8280000000000001</c:v>
                </c:pt>
                <c:pt idx="273">
                  <c:v>1.833</c:v>
                </c:pt>
                <c:pt idx="274">
                  <c:v>1.492</c:v>
                </c:pt>
                <c:pt idx="275">
                  <c:v>1.6259999999999999</c:v>
                </c:pt>
                <c:pt idx="276">
                  <c:v>1.732</c:v>
                </c:pt>
                <c:pt idx="277">
                  <c:v>1.2030000000000001</c:v>
                </c:pt>
                <c:pt idx="278">
                  <c:v>1.2789999999999999</c:v>
                </c:pt>
                <c:pt idx="279">
                  <c:v>1.0680000000000001</c:v>
                </c:pt>
                <c:pt idx="280">
                  <c:v>1.5429999999999999</c:v>
                </c:pt>
                <c:pt idx="281">
                  <c:v>0.38400000000000001</c:v>
                </c:pt>
                <c:pt idx="282">
                  <c:v>0.30599999999999999</c:v>
                </c:pt>
                <c:pt idx="283">
                  <c:v>0.33700000000000002</c:v>
                </c:pt>
                <c:pt idx="284">
                  <c:v>0.31</c:v>
                </c:pt>
                <c:pt idx="285">
                  <c:v>4.2000000000000003E-2</c:v>
                </c:pt>
                <c:pt idx="286">
                  <c:v>4.2999999999999997E-2</c:v>
                </c:pt>
                <c:pt idx="287">
                  <c:v>0.113</c:v>
                </c:pt>
                <c:pt idx="288">
                  <c:v>0.248</c:v>
                </c:pt>
                <c:pt idx="289">
                  <c:v>0.30099999999999999</c:v>
                </c:pt>
                <c:pt idx="290">
                  <c:v>8.6999999999999994E-2</c:v>
                </c:pt>
                <c:pt idx="291">
                  <c:v>6.0999999999999999E-2</c:v>
                </c:pt>
                <c:pt idx="292">
                  <c:v>0.16400000000000001</c:v>
                </c:pt>
                <c:pt idx="293">
                  <c:v>0.23499999999999999</c:v>
                </c:pt>
                <c:pt idx="294">
                  <c:v>9.9000000000000005E-2</c:v>
                </c:pt>
                <c:pt idx="295">
                  <c:v>0.21099999999999999</c:v>
                </c:pt>
                <c:pt idx="296">
                  <c:v>0.10299999999999999</c:v>
                </c:pt>
                <c:pt idx="297">
                  <c:v>5.0999999999999997E-2</c:v>
                </c:pt>
                <c:pt idx="298">
                  <c:v>0.11</c:v>
                </c:pt>
                <c:pt idx="299">
                  <c:v>6.4000000000000001E-2</c:v>
                </c:pt>
                <c:pt idx="300">
                  <c:v>0.152</c:v>
                </c:pt>
                <c:pt idx="301">
                  <c:v>0.29699999999999999</c:v>
                </c:pt>
                <c:pt idx="302">
                  <c:v>0.433</c:v>
                </c:pt>
                <c:pt idx="303">
                  <c:v>0.34899999999999998</c:v>
                </c:pt>
                <c:pt idx="304">
                  <c:v>0.50900000000000001</c:v>
                </c:pt>
                <c:pt idx="305">
                  <c:v>0.95599999999999996</c:v>
                </c:pt>
                <c:pt idx="306">
                  <c:v>1.0580000000000001</c:v>
                </c:pt>
                <c:pt idx="307">
                  <c:v>0.496</c:v>
                </c:pt>
                <c:pt idx="308">
                  <c:v>0.108</c:v>
                </c:pt>
                <c:pt idx="309">
                  <c:v>0.23599999999999999</c:v>
                </c:pt>
                <c:pt idx="310">
                  <c:v>0.218</c:v>
                </c:pt>
                <c:pt idx="311">
                  <c:v>0.14499999999999999</c:v>
                </c:pt>
                <c:pt idx="312">
                  <c:v>0.05</c:v>
                </c:pt>
                <c:pt idx="313">
                  <c:v>8.6999999999999994E-2</c:v>
                </c:pt>
                <c:pt idx="314">
                  <c:v>0.04</c:v>
                </c:pt>
                <c:pt idx="315">
                  <c:v>5.5E-2</c:v>
                </c:pt>
                <c:pt idx="316">
                  <c:v>4.5999999999999999E-2</c:v>
                </c:pt>
                <c:pt idx="317">
                  <c:v>7.0000000000000007E-2</c:v>
                </c:pt>
                <c:pt idx="318">
                  <c:v>0.13200000000000001</c:v>
                </c:pt>
                <c:pt idx="319">
                  <c:v>0.108</c:v>
                </c:pt>
                <c:pt idx="320">
                  <c:v>0.11899999999999999</c:v>
                </c:pt>
                <c:pt idx="321">
                  <c:v>0.128</c:v>
                </c:pt>
                <c:pt idx="322">
                  <c:v>4.9000000000000002E-2</c:v>
                </c:pt>
                <c:pt idx="323">
                  <c:v>0.154</c:v>
                </c:pt>
                <c:pt idx="324">
                  <c:v>0.121</c:v>
                </c:pt>
                <c:pt idx="325">
                  <c:v>0.26300000000000001</c:v>
                </c:pt>
                <c:pt idx="326">
                  <c:v>4.8000000000000001E-2</c:v>
                </c:pt>
                <c:pt idx="327">
                  <c:v>7.0999999999999994E-2</c:v>
                </c:pt>
                <c:pt idx="328">
                  <c:v>4.8000000000000001E-2</c:v>
                </c:pt>
                <c:pt idx="329">
                  <c:v>6.6000000000000003E-2</c:v>
                </c:pt>
                <c:pt idx="330">
                  <c:v>0.222</c:v>
                </c:pt>
                <c:pt idx="331">
                  <c:v>0.17799999999999999</c:v>
                </c:pt>
                <c:pt idx="332">
                  <c:v>0.20399999999999999</c:v>
                </c:pt>
                <c:pt idx="333">
                  <c:v>0.10100000000000001</c:v>
                </c:pt>
                <c:pt idx="334">
                  <c:v>7.5999999999999998E-2</c:v>
                </c:pt>
                <c:pt idx="335">
                  <c:v>0.29299999999999998</c:v>
                </c:pt>
                <c:pt idx="336">
                  <c:v>0.55400000000000005</c:v>
                </c:pt>
                <c:pt idx="337">
                  <c:v>0.44800000000000001</c:v>
                </c:pt>
                <c:pt idx="338">
                  <c:v>0.90200000000000002</c:v>
                </c:pt>
                <c:pt idx="339">
                  <c:v>0.62</c:v>
                </c:pt>
                <c:pt idx="340">
                  <c:v>0.48899999999999999</c:v>
                </c:pt>
                <c:pt idx="341">
                  <c:v>0.17599999999999999</c:v>
                </c:pt>
                <c:pt idx="342">
                  <c:v>5.8999999999999997E-2</c:v>
                </c:pt>
                <c:pt idx="343">
                  <c:v>9.0999999999999998E-2</c:v>
                </c:pt>
                <c:pt idx="344">
                  <c:v>4.7E-2</c:v>
                </c:pt>
                <c:pt idx="345">
                  <c:v>0.05</c:v>
                </c:pt>
                <c:pt idx="346">
                  <c:v>5.3999999999999999E-2</c:v>
                </c:pt>
                <c:pt idx="347">
                  <c:v>4.8000000000000001E-2</c:v>
                </c:pt>
                <c:pt idx="348">
                  <c:v>0.05</c:v>
                </c:pt>
                <c:pt idx="349">
                  <c:v>5.1999999999999998E-2</c:v>
                </c:pt>
                <c:pt idx="350">
                  <c:v>4.4999999999999998E-2</c:v>
                </c:pt>
                <c:pt idx="351">
                  <c:v>5.0999999999999997E-2</c:v>
                </c:pt>
                <c:pt idx="352">
                  <c:v>4.8000000000000001E-2</c:v>
                </c:pt>
                <c:pt idx="353">
                  <c:v>6.7000000000000004E-2</c:v>
                </c:pt>
                <c:pt idx="354">
                  <c:v>0.17299999999999999</c:v>
                </c:pt>
                <c:pt idx="355">
                  <c:v>0.1</c:v>
                </c:pt>
                <c:pt idx="356">
                  <c:v>4.2999999999999997E-2</c:v>
                </c:pt>
                <c:pt idx="357">
                  <c:v>8.2000000000000003E-2</c:v>
                </c:pt>
                <c:pt idx="358">
                  <c:v>0.17699999999999999</c:v>
                </c:pt>
                <c:pt idx="359">
                  <c:v>0.157</c:v>
                </c:pt>
                <c:pt idx="360">
                  <c:v>5.2999999999999999E-2</c:v>
                </c:pt>
                <c:pt idx="361">
                  <c:v>0.11700000000000001</c:v>
                </c:pt>
                <c:pt idx="362">
                  <c:v>6.0999999999999999E-2</c:v>
                </c:pt>
                <c:pt idx="363">
                  <c:v>0.19800000000000001</c:v>
                </c:pt>
                <c:pt idx="364">
                  <c:v>5.3999999999999999E-2</c:v>
                </c:pt>
                <c:pt idx="365">
                  <c:v>5.3999999999999999E-2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093440"/>
        <c:axId val="240095232"/>
      </c:lineChart>
      <c:catAx>
        <c:axId val="2400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0095232"/>
        <c:crosses val="autoZero"/>
        <c:auto val="1"/>
        <c:lblAlgn val="ctr"/>
        <c:lblOffset val="100"/>
        <c:noMultiLvlLbl val="0"/>
      </c:catAx>
      <c:valAx>
        <c:axId val="240095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009344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Precipitation - Rain and snowfall</a:t>
            </a:r>
          </a:p>
        </c:rich>
      </c:tx>
      <c:layout>
        <c:manualLayout>
          <c:xMode val="edge"/>
          <c:yMode val="edge"/>
          <c:x val="0.22742567633380378"/>
          <c:y val="2.3590469743875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Data!$BV$6:$BV$371</c:f>
              <c:numCache>
                <c:formatCode>0.0</c:formatCode>
                <c:ptCount val="366"/>
                <c:pt idx="0">
                  <c:v>0</c:v>
                </c:pt>
                <c:pt idx="1">
                  <c:v>24.5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14.9</c:v>
                </c:pt>
                <c:pt idx="6">
                  <c:v>4.3</c:v>
                </c:pt>
                <c:pt idx="7">
                  <c:v>5.5</c:v>
                </c:pt>
                <c:pt idx="8">
                  <c:v>1.1000000000000001</c:v>
                </c:pt>
                <c:pt idx="9">
                  <c:v>17.399999999999999</c:v>
                </c:pt>
                <c:pt idx="10">
                  <c:v>10</c:v>
                </c:pt>
                <c:pt idx="11">
                  <c:v>8.6999999999999993</c:v>
                </c:pt>
                <c:pt idx="12">
                  <c:v>0</c:v>
                </c:pt>
                <c:pt idx="13">
                  <c:v>0</c:v>
                </c:pt>
                <c:pt idx="14">
                  <c:v>10.6</c:v>
                </c:pt>
                <c:pt idx="15">
                  <c:v>3.8</c:v>
                </c:pt>
                <c:pt idx="16">
                  <c:v>0</c:v>
                </c:pt>
                <c:pt idx="17">
                  <c:v>2.2000000000000002</c:v>
                </c:pt>
                <c:pt idx="18">
                  <c:v>0</c:v>
                </c:pt>
                <c:pt idx="19">
                  <c:v>0</c:v>
                </c:pt>
                <c:pt idx="20">
                  <c:v>2.1</c:v>
                </c:pt>
                <c:pt idx="21">
                  <c:v>4</c:v>
                </c:pt>
                <c:pt idx="22">
                  <c:v>0</c:v>
                </c:pt>
                <c:pt idx="23">
                  <c:v>4.5999999999999996</c:v>
                </c:pt>
                <c:pt idx="24">
                  <c:v>1.1000000000000001</c:v>
                </c:pt>
                <c:pt idx="25">
                  <c:v>2.2000000000000002</c:v>
                </c:pt>
                <c:pt idx="26">
                  <c:v>8.5</c:v>
                </c:pt>
                <c:pt idx="27">
                  <c:v>3.3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5.3</c:v>
                </c:pt>
                <c:pt idx="32">
                  <c:v>0</c:v>
                </c:pt>
                <c:pt idx="33">
                  <c:v>16.100000000000001</c:v>
                </c:pt>
                <c:pt idx="34">
                  <c:v>6</c:v>
                </c:pt>
                <c:pt idx="35">
                  <c:v>14.6</c:v>
                </c:pt>
                <c:pt idx="36">
                  <c:v>13.1</c:v>
                </c:pt>
                <c:pt idx="37">
                  <c:v>7.5</c:v>
                </c:pt>
                <c:pt idx="38">
                  <c:v>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6.6</c:v>
                </c:pt>
                <c:pt idx="46">
                  <c:v>6.6</c:v>
                </c:pt>
                <c:pt idx="47">
                  <c:v>3.1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2.7</c:v>
                </c:pt>
                <c:pt idx="53">
                  <c:v>3.7</c:v>
                </c:pt>
                <c:pt idx="54">
                  <c:v>26.6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10.6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10.199999999999999</c:v>
                </c:pt>
                <c:pt idx="67">
                  <c:v>0</c:v>
                </c:pt>
                <c:pt idx="68">
                  <c:v>0</c:v>
                </c:pt>
                <c:pt idx="69">
                  <c:v>2.2000000000000002</c:v>
                </c:pt>
                <c:pt idx="70">
                  <c:v>13.4</c:v>
                </c:pt>
                <c:pt idx="71">
                  <c:v>3.8</c:v>
                </c:pt>
                <c:pt idx="72">
                  <c:v>49.8</c:v>
                </c:pt>
                <c:pt idx="73">
                  <c:v>1.2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</c:v>
                </c:pt>
                <c:pt idx="84">
                  <c:v>2.6</c:v>
                </c:pt>
                <c:pt idx="85">
                  <c:v>0</c:v>
                </c:pt>
                <c:pt idx="86">
                  <c:v>2.9</c:v>
                </c:pt>
                <c:pt idx="87">
                  <c:v>4.2</c:v>
                </c:pt>
                <c:pt idx="88">
                  <c:v>0</c:v>
                </c:pt>
                <c:pt idx="89">
                  <c:v>6.7</c:v>
                </c:pt>
                <c:pt idx="90">
                  <c:v>0</c:v>
                </c:pt>
                <c:pt idx="91">
                  <c:v>0</c:v>
                </c:pt>
                <c:pt idx="92">
                  <c:v>1.4</c:v>
                </c:pt>
                <c:pt idx="93">
                  <c:v>3.5</c:v>
                </c:pt>
                <c:pt idx="94">
                  <c:v>0</c:v>
                </c:pt>
                <c:pt idx="95">
                  <c:v>6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14.6</c:v>
                </c:pt>
                <c:pt idx="101">
                  <c:v>5.5</c:v>
                </c:pt>
                <c:pt idx="102">
                  <c:v>0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4.3</c:v>
                </c:pt>
                <c:pt idx="113">
                  <c:v>0</c:v>
                </c:pt>
                <c:pt idx="114">
                  <c:v>0</c:v>
                </c:pt>
                <c:pt idx="115">
                  <c:v>2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13.7</c:v>
                </c:pt>
                <c:pt idx="123">
                  <c:v>3.2</c:v>
                </c:pt>
                <c:pt idx="124">
                  <c:v>1</c:v>
                </c:pt>
                <c:pt idx="125">
                  <c:v>0</c:v>
                </c:pt>
                <c:pt idx="126">
                  <c:v>32.6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24</c:v>
                </c:pt>
                <c:pt idx="138">
                  <c:v>3</c:v>
                </c:pt>
                <c:pt idx="139">
                  <c:v>1</c:v>
                </c:pt>
                <c:pt idx="140">
                  <c:v>0</c:v>
                </c:pt>
                <c:pt idx="141">
                  <c:v>13</c:v>
                </c:pt>
                <c:pt idx="142">
                  <c:v>48</c:v>
                </c:pt>
                <c:pt idx="143">
                  <c:v>4</c:v>
                </c:pt>
                <c:pt idx="144">
                  <c:v>0</c:v>
                </c:pt>
                <c:pt idx="145">
                  <c:v>15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</c:v>
                </c:pt>
                <c:pt idx="151">
                  <c:v>4.2539999999999996</c:v>
                </c:pt>
                <c:pt idx="152">
                  <c:v>0</c:v>
                </c:pt>
                <c:pt idx="153">
                  <c:v>4.5720000000000001</c:v>
                </c:pt>
                <c:pt idx="154">
                  <c:v>0</c:v>
                </c:pt>
                <c:pt idx="155">
                  <c:v>0</c:v>
                </c:pt>
                <c:pt idx="156">
                  <c:v>4.5720000000000001</c:v>
                </c:pt>
                <c:pt idx="157">
                  <c:v>12.192</c:v>
                </c:pt>
                <c:pt idx="158">
                  <c:v>1.524</c:v>
                </c:pt>
                <c:pt idx="159">
                  <c:v>0.76200000000000001</c:v>
                </c:pt>
                <c:pt idx="160">
                  <c:v>4.8259999999999996</c:v>
                </c:pt>
                <c:pt idx="161">
                  <c:v>0.254</c:v>
                </c:pt>
                <c:pt idx="162">
                  <c:v>7.8739999999999997</c:v>
                </c:pt>
                <c:pt idx="163">
                  <c:v>7.1120000000000001</c:v>
                </c:pt>
                <c:pt idx="164">
                  <c:v>10.667999999999999</c:v>
                </c:pt>
                <c:pt idx="165">
                  <c:v>12.954000000000001</c:v>
                </c:pt>
                <c:pt idx="166">
                  <c:v>0.254</c:v>
                </c:pt>
                <c:pt idx="167">
                  <c:v>1.016</c:v>
                </c:pt>
                <c:pt idx="168">
                  <c:v>0</c:v>
                </c:pt>
                <c:pt idx="169">
                  <c:v>0.254</c:v>
                </c:pt>
                <c:pt idx="170">
                  <c:v>0.50800000000000001</c:v>
                </c:pt>
                <c:pt idx="171">
                  <c:v>2.286</c:v>
                </c:pt>
                <c:pt idx="172">
                  <c:v>0.50800000000000001</c:v>
                </c:pt>
                <c:pt idx="173">
                  <c:v>0</c:v>
                </c:pt>
                <c:pt idx="174">
                  <c:v>2.032</c:v>
                </c:pt>
                <c:pt idx="175">
                  <c:v>14.731999999999999</c:v>
                </c:pt>
                <c:pt idx="176">
                  <c:v>0.254</c:v>
                </c:pt>
                <c:pt idx="177">
                  <c:v>0.76200000000000001</c:v>
                </c:pt>
                <c:pt idx="178">
                  <c:v>2.032</c:v>
                </c:pt>
                <c:pt idx="179">
                  <c:v>2.54</c:v>
                </c:pt>
                <c:pt idx="180">
                  <c:v>5.08</c:v>
                </c:pt>
                <c:pt idx="181">
                  <c:v>7.8739999999999997</c:v>
                </c:pt>
                <c:pt idx="182">
                  <c:v>14.478</c:v>
                </c:pt>
                <c:pt idx="183">
                  <c:v>5.3339999999999996</c:v>
                </c:pt>
                <c:pt idx="184">
                  <c:v>0.254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9.6519999999999992</c:v>
                </c:pt>
                <c:pt idx="189">
                  <c:v>0</c:v>
                </c:pt>
                <c:pt idx="190">
                  <c:v>1.27</c:v>
                </c:pt>
                <c:pt idx="191">
                  <c:v>0</c:v>
                </c:pt>
                <c:pt idx="192">
                  <c:v>0</c:v>
                </c:pt>
                <c:pt idx="193">
                  <c:v>2.032</c:v>
                </c:pt>
                <c:pt idx="194">
                  <c:v>2.794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2.032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5.8419999999999996</c:v>
                </c:pt>
                <c:pt idx="219">
                  <c:v>1.778</c:v>
                </c:pt>
                <c:pt idx="220">
                  <c:v>2.54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1.27</c:v>
                </c:pt>
                <c:pt idx="234">
                  <c:v>0.50800000000000001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1.27</c:v>
                </c:pt>
                <c:pt idx="243">
                  <c:v>0.254</c:v>
                </c:pt>
                <c:pt idx="244">
                  <c:v>0</c:v>
                </c:pt>
                <c:pt idx="245">
                  <c:v>1.27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0.254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0.76200000000000001</c:v>
                </c:pt>
                <c:pt idx="263">
                  <c:v>0</c:v>
                </c:pt>
                <c:pt idx="264">
                  <c:v>0.254</c:v>
                </c:pt>
                <c:pt idx="265">
                  <c:v>0</c:v>
                </c:pt>
                <c:pt idx="266">
                  <c:v>8.6359999999999992</c:v>
                </c:pt>
                <c:pt idx="267">
                  <c:v>0.76200000000000001</c:v>
                </c:pt>
                <c:pt idx="268">
                  <c:v>6.6040000000000001</c:v>
                </c:pt>
                <c:pt idx="269">
                  <c:v>0.50800000000000001</c:v>
                </c:pt>
                <c:pt idx="270">
                  <c:v>0.254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2.794</c:v>
                </c:pt>
                <c:pt idx="282">
                  <c:v>3.81</c:v>
                </c:pt>
                <c:pt idx="283">
                  <c:v>6.6040000000000001</c:v>
                </c:pt>
                <c:pt idx="284">
                  <c:v>6</c:v>
                </c:pt>
                <c:pt idx="285">
                  <c:v>1</c:v>
                </c:pt>
                <c:pt idx="286">
                  <c:v>21.6</c:v>
                </c:pt>
                <c:pt idx="287">
                  <c:v>0</c:v>
                </c:pt>
                <c:pt idx="288">
                  <c:v>2.2999999999999998</c:v>
                </c:pt>
                <c:pt idx="289">
                  <c:v>0</c:v>
                </c:pt>
                <c:pt idx="290">
                  <c:v>0</c:v>
                </c:pt>
                <c:pt idx="291">
                  <c:v>8.1999999999999993</c:v>
                </c:pt>
                <c:pt idx="292">
                  <c:v>0</c:v>
                </c:pt>
                <c:pt idx="293">
                  <c:v>0</c:v>
                </c:pt>
                <c:pt idx="294">
                  <c:v>4.8</c:v>
                </c:pt>
                <c:pt idx="295">
                  <c:v>0</c:v>
                </c:pt>
                <c:pt idx="296">
                  <c:v>43.9</c:v>
                </c:pt>
                <c:pt idx="297">
                  <c:v>2.7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0.9</c:v>
                </c:pt>
                <c:pt idx="306">
                  <c:v>0.3</c:v>
                </c:pt>
                <c:pt idx="307">
                  <c:v>0</c:v>
                </c:pt>
                <c:pt idx="308">
                  <c:v>0</c:v>
                </c:pt>
                <c:pt idx="309">
                  <c:v>2.2000000000000002</c:v>
                </c:pt>
                <c:pt idx="310">
                  <c:v>0</c:v>
                </c:pt>
                <c:pt idx="311">
                  <c:v>6.1</c:v>
                </c:pt>
                <c:pt idx="312">
                  <c:v>1</c:v>
                </c:pt>
                <c:pt idx="313">
                  <c:v>6.6</c:v>
                </c:pt>
                <c:pt idx="314">
                  <c:v>10.8</c:v>
                </c:pt>
                <c:pt idx="315">
                  <c:v>0</c:v>
                </c:pt>
                <c:pt idx="316">
                  <c:v>6</c:v>
                </c:pt>
                <c:pt idx="317">
                  <c:v>17.8</c:v>
                </c:pt>
                <c:pt idx="318">
                  <c:v>0</c:v>
                </c:pt>
                <c:pt idx="319">
                  <c:v>2.1</c:v>
                </c:pt>
                <c:pt idx="320">
                  <c:v>10.7</c:v>
                </c:pt>
                <c:pt idx="321">
                  <c:v>0</c:v>
                </c:pt>
                <c:pt idx="322">
                  <c:v>5.0999999999999996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1.2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2.2999999999999998</c:v>
                </c:pt>
                <c:pt idx="335">
                  <c:v>0</c:v>
                </c:pt>
                <c:pt idx="336">
                  <c:v>0.9</c:v>
                </c:pt>
                <c:pt idx="337">
                  <c:v>0.8</c:v>
                </c:pt>
                <c:pt idx="338">
                  <c:v>0</c:v>
                </c:pt>
                <c:pt idx="339">
                  <c:v>0.5</c:v>
                </c:pt>
                <c:pt idx="340">
                  <c:v>0</c:v>
                </c:pt>
                <c:pt idx="341">
                  <c:v>0.1</c:v>
                </c:pt>
                <c:pt idx="342">
                  <c:v>12.9</c:v>
                </c:pt>
                <c:pt idx="343">
                  <c:v>6.2</c:v>
                </c:pt>
                <c:pt idx="344">
                  <c:v>0</c:v>
                </c:pt>
                <c:pt idx="345">
                  <c:v>1.4</c:v>
                </c:pt>
                <c:pt idx="346">
                  <c:v>0</c:v>
                </c:pt>
                <c:pt idx="347">
                  <c:v>4.8</c:v>
                </c:pt>
                <c:pt idx="348">
                  <c:v>0</c:v>
                </c:pt>
                <c:pt idx="349">
                  <c:v>8.3000000000000007</c:v>
                </c:pt>
                <c:pt idx="350">
                  <c:v>6.6</c:v>
                </c:pt>
                <c:pt idx="351">
                  <c:v>0</c:v>
                </c:pt>
                <c:pt idx="352">
                  <c:v>3</c:v>
                </c:pt>
                <c:pt idx="353">
                  <c:v>0</c:v>
                </c:pt>
                <c:pt idx="354">
                  <c:v>0</c:v>
                </c:pt>
                <c:pt idx="355">
                  <c:v>30.6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1.4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0.3</c:v>
                </c:pt>
                <c:pt idx="364">
                  <c:v>8.5</c:v>
                </c:pt>
                <c:pt idx="36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128384"/>
        <c:axId val="240129920"/>
      </c:barChart>
      <c:catAx>
        <c:axId val="2401283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1299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0129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391668802695627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128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165</xdr:row>
      <xdr:rowOff>80962</xdr:rowOff>
    </xdr:from>
    <xdr:to>
      <xdr:col>8</xdr:col>
      <xdr:colOff>514350</xdr:colOff>
      <xdr:row>183</xdr:row>
      <xdr:rowOff>76200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190501</xdr:colOff>
      <xdr:row>164</xdr:row>
      <xdr:rowOff>80961</xdr:rowOff>
    </xdr:from>
    <xdr:to>
      <xdr:col>17</xdr:col>
      <xdr:colOff>447675</xdr:colOff>
      <xdr:row>183</xdr:row>
      <xdr:rowOff>95250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66675</xdr:colOff>
      <xdr:row>144</xdr:row>
      <xdr:rowOff>133350</xdr:rowOff>
    </xdr:from>
    <xdr:to>
      <xdr:col>8</xdr:col>
      <xdr:colOff>600075</xdr:colOff>
      <xdr:row>164</xdr:row>
      <xdr:rowOff>133350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104775</xdr:colOff>
      <xdr:row>103</xdr:row>
      <xdr:rowOff>38100</xdr:rowOff>
    </xdr:from>
    <xdr:to>
      <xdr:col>18</xdr:col>
      <xdr:colOff>1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114300</xdr:colOff>
      <xdr:row>124</xdr:row>
      <xdr:rowOff>28575</xdr:rowOff>
    </xdr:from>
    <xdr:to>
      <xdr:col>18</xdr:col>
      <xdr:colOff>123824</xdr:colOff>
      <xdr:row>143</xdr:row>
      <xdr:rowOff>133350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2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7" width="6.7109375" customWidth="1"/>
    <col min="58" max="73" width="6.7109375" style="1" customWidth="1"/>
    <col min="74" max="75" width="6.7109375" style="2" customWidth="1"/>
    <col min="76" max="98" width="6.7109375" style="1" customWidth="1"/>
    <col min="99" max="16384" width="9.140625" style="1"/>
  </cols>
  <sheetData>
    <row r="1" spans="1:98" x14ac:dyDescent="0.2">
      <c r="A1" s="1" t="s">
        <v>143</v>
      </c>
      <c r="G1" s="24" t="s">
        <v>42</v>
      </c>
      <c r="AH1" s="1"/>
      <c r="AI1" s="1"/>
      <c r="AJ1" s="1"/>
      <c r="AX1" s="1">
        <v>2.5499999999999998</v>
      </c>
      <c r="BA1" s="1" t="s">
        <v>42</v>
      </c>
      <c r="BE1" s="29" t="s">
        <v>144</v>
      </c>
      <c r="BG1" s="1">
        <f>MAX(BG6:BG371)</f>
        <v>97.3</v>
      </c>
      <c r="BH1" s="1">
        <v>1</v>
      </c>
      <c r="BI1" s="1" t="s">
        <v>74</v>
      </c>
      <c r="BM1" s="1" t="str">
        <f>A1</f>
        <v>Penticton Creek Site PB 2020, Daily data</v>
      </c>
    </row>
    <row r="2" spans="1:98" x14ac:dyDescent="0.2">
      <c r="A2" s="1" t="s">
        <v>163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19" t="s">
        <v>97</v>
      </c>
      <c r="BF2" s="19"/>
      <c r="BG2" s="1" t="s">
        <v>85</v>
      </c>
      <c r="BH2" s="1">
        <v>0</v>
      </c>
      <c r="BJ2" s="1" t="s">
        <v>73</v>
      </c>
      <c r="BM2" s="1" t="s">
        <v>107</v>
      </c>
      <c r="CJ2" s="1" t="s">
        <v>95</v>
      </c>
      <c r="CS2" s="1" t="s">
        <v>114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116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116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116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120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E3" s="19" t="s">
        <v>53</v>
      </c>
      <c r="BF3" s="19" t="s">
        <v>58</v>
      </c>
      <c r="BG3" s="3" t="s">
        <v>87</v>
      </c>
      <c r="BH3" s="3" t="s">
        <v>86</v>
      </c>
      <c r="BI3" s="3" t="s">
        <v>84</v>
      </c>
      <c r="BJ3" s="1" t="s">
        <v>93</v>
      </c>
      <c r="BK3" s="1" t="s">
        <v>94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115</v>
      </c>
      <c r="BV3" s="2" t="s">
        <v>89</v>
      </c>
      <c r="BW3" s="2" t="s">
        <v>102</v>
      </c>
      <c r="BX3" s="1" t="s">
        <v>90</v>
      </c>
      <c r="BY3" s="1" t="s">
        <v>117</v>
      </c>
      <c r="BZ3" s="1" t="s">
        <v>118</v>
      </c>
      <c r="CA3" s="1" t="s">
        <v>119</v>
      </c>
      <c r="CB3" s="3" t="s">
        <v>116</v>
      </c>
      <c r="CC3" s="3" t="s">
        <v>13</v>
      </c>
      <c r="CD3" s="1" t="s">
        <v>14</v>
      </c>
      <c r="CE3" s="4" t="s">
        <v>120</v>
      </c>
      <c r="CF3" s="1" t="s">
        <v>73</v>
      </c>
      <c r="CG3" s="1" t="s">
        <v>94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121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E4" s="19" t="s">
        <v>17</v>
      </c>
      <c r="BF4" s="19" t="s">
        <v>17</v>
      </c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1" t="s">
        <v>17</v>
      </c>
      <c r="BW4" s="31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121</v>
      </c>
      <c r="CF4" s="1" t="s">
        <v>72</v>
      </c>
      <c r="CG4" s="1" t="s">
        <v>72</v>
      </c>
      <c r="CI4" s="1" t="s">
        <v>96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Z5" s="5"/>
      <c r="BA5" s="5"/>
      <c r="BB5" s="5"/>
      <c r="BC5" s="5"/>
      <c r="BW5" s="32"/>
    </row>
    <row r="6" spans="1:98" x14ac:dyDescent="0.2">
      <c r="A6" s="8">
        <v>43831</v>
      </c>
      <c r="B6" s="1">
        <v>1</v>
      </c>
      <c r="C6" s="1">
        <v>11</v>
      </c>
      <c r="D6" s="2">
        <v>13</v>
      </c>
      <c r="E6" s="2">
        <v>-1.46</v>
      </c>
      <c r="F6" s="2">
        <v>-5.2210000000000001</v>
      </c>
      <c r="G6" s="2">
        <v>-2.4910000000000001</v>
      </c>
      <c r="H6" s="2">
        <v>90.1</v>
      </c>
      <c r="I6" s="2">
        <v>-0.85799999999999998</v>
      </c>
      <c r="J6" s="2">
        <v>-2.0270000000000001</v>
      </c>
      <c r="K6" s="2">
        <v>-5.5E-2</v>
      </c>
      <c r="L6" s="2">
        <v>0.92800000000000005</v>
      </c>
      <c r="M6" s="2">
        <v>1.7689999999999999</v>
      </c>
      <c r="N6" s="2">
        <v>-0.99099999999999999</v>
      </c>
      <c r="O6" s="2">
        <v>95.5</v>
      </c>
      <c r="P6" s="2">
        <v>-0.72</v>
      </c>
      <c r="Q6" s="2">
        <v>-1.7170000000000001</v>
      </c>
      <c r="R6" s="2">
        <v>0.03</v>
      </c>
      <c r="S6" s="2">
        <v>1.012</v>
      </c>
      <c r="T6" s="2">
        <v>1.849</v>
      </c>
      <c r="U6" s="2">
        <v>-4.9859999999999998</v>
      </c>
      <c r="V6" s="2">
        <v>75.8</v>
      </c>
      <c r="W6" s="2">
        <v>-1.0069999999999999</v>
      </c>
      <c r="X6" s="2">
        <v>-2.3940000000000001</v>
      </c>
      <c r="Y6" s="2">
        <v>-0.151</v>
      </c>
      <c r="Z6" s="2">
        <v>0.84699999999999998</v>
      </c>
      <c r="AA6" s="2">
        <v>1.6919999999999999</v>
      </c>
      <c r="AB6" s="2">
        <v>1.673</v>
      </c>
      <c r="AC6" s="2">
        <v>0</v>
      </c>
      <c r="AD6" s="2">
        <v>0.29699999999999999</v>
      </c>
      <c r="AE6" s="2">
        <v>1.7789999999999999</v>
      </c>
      <c r="AF6" s="2">
        <v>2.7450000000000001</v>
      </c>
      <c r="AG6" s="2">
        <v>6.673</v>
      </c>
      <c r="AH6" s="2">
        <v>-3.4809999999999999</v>
      </c>
      <c r="AI6" s="2">
        <v>-1.444</v>
      </c>
      <c r="AJ6" s="2">
        <v>-7.2990000000000004</v>
      </c>
      <c r="AK6" s="2">
        <v>-1.1060000000000001</v>
      </c>
      <c r="AL6" s="2">
        <v>-5.1440000000000001</v>
      </c>
      <c r="AM6" s="2">
        <v>1.6879999999999999</v>
      </c>
      <c r="AN6" s="2" t="s">
        <v>122</v>
      </c>
      <c r="AO6" s="2">
        <v>490</v>
      </c>
      <c r="AP6" s="2">
        <v>50</v>
      </c>
      <c r="AQ6" s="2">
        <v>4</v>
      </c>
      <c r="AR6" s="2">
        <v>4</v>
      </c>
      <c r="AS6" s="2">
        <v>17</v>
      </c>
      <c r="AT6" s="2">
        <v>115</v>
      </c>
      <c r="AU6" s="2">
        <v>807</v>
      </c>
      <c r="AV6" s="2">
        <v>1393</v>
      </c>
      <c r="AW6" s="2"/>
      <c r="AX6" s="1">
        <f t="shared" ref="AX6:AX37" si="0">AX$1-AB6</f>
        <v>0.87699999999999978</v>
      </c>
      <c r="AY6" s="21">
        <f t="shared" ref="AY6:AY37" si="1">ROUND(AVERAGE(I6:K6),1)</f>
        <v>-1</v>
      </c>
      <c r="AZ6" s="5">
        <v>5.14</v>
      </c>
      <c r="BA6" s="1">
        <v>1.72</v>
      </c>
      <c r="BB6" s="1">
        <v>1.64</v>
      </c>
      <c r="BC6" s="6">
        <f>BB6/BA6</f>
        <v>0.95348837209302317</v>
      </c>
      <c r="BE6" s="30">
        <v>0</v>
      </c>
      <c r="BF6" s="27">
        <v>916.99999999999977</v>
      </c>
      <c r="BG6" s="1">
        <f t="shared" ref="BG6:BG69" si="2">ROUND(BH$1*O6+BH$2,1)</f>
        <v>95.5</v>
      </c>
      <c r="BH6" s="1">
        <f t="shared" ref="BH6:BH69" si="3">ROUND(H6*BH$1+BH$2,1)</f>
        <v>90.1</v>
      </c>
      <c r="BI6" s="1">
        <f t="shared" ref="BI6:BI69" si="4">ROUND(V6*BH$1+BH$2,1)</f>
        <v>75.8</v>
      </c>
      <c r="BJ6" s="7">
        <f t="shared" ref="BJ6:BJ69" si="5">ROUND((0.6105*(EXP((17.273*N6)/(N6+237.3))))*BI6/100,3)</f>
        <v>0.43</v>
      </c>
      <c r="BK6" s="7">
        <f t="shared" ref="BK6:BK69" si="6">ROUND(BJ6/BI6*(100-BI6),3)</f>
        <v>0.13700000000000001</v>
      </c>
      <c r="BM6" s="5">
        <f t="shared" ref="BM6:BM69" si="7">BA6</f>
        <v>1.72</v>
      </c>
      <c r="BN6" s="5">
        <f t="shared" ref="BN6:BN69" si="8">BB6</f>
        <v>1.64</v>
      </c>
      <c r="BO6" s="1">
        <f t="shared" ref="BO6:BO69" si="9">ROUND(G6,1)</f>
        <v>-2.5</v>
      </c>
      <c r="BP6" s="1">
        <f t="shared" ref="BP6:BP69" si="10">ROUND(N6,1)</f>
        <v>-1</v>
      </c>
      <c r="BQ6" s="1">
        <f t="shared" ref="BQ6:BQ69" si="11">ROUND(U6,1)</f>
        <v>-5</v>
      </c>
      <c r="BR6" s="1">
        <f t="shared" ref="BR6:BR69" si="12">BH6</f>
        <v>90.1</v>
      </c>
      <c r="BS6" s="1">
        <f t="shared" ref="BS6:BS69" si="13">BI6</f>
        <v>75.8</v>
      </c>
      <c r="BT6" s="1">
        <f t="shared" ref="BT6:BT69" si="14">ROUND(AF6,1)</f>
        <v>2.7</v>
      </c>
      <c r="BU6" s="1">
        <f t="shared" ref="BU6:BU69" si="15">ROUND(AG6,1)</f>
        <v>6.7</v>
      </c>
      <c r="BV6" s="33">
        <f t="shared" ref="BV6:BV69" si="16">BE6</f>
        <v>0</v>
      </c>
      <c r="BW6" s="34">
        <f t="shared" ref="BW6:BW37" si="17">ROUND(BF6/1000,3)</f>
        <v>0.91700000000000004</v>
      </c>
      <c r="BX6" s="20">
        <f t="shared" ref="BX6:BX69" si="18">IF(AY6="","NAN",AY6)</f>
        <v>-1</v>
      </c>
      <c r="BY6" s="1">
        <f t="shared" ref="BY6:BY69" si="19">IF(AH6="NAN", "NAN", ROUND(AH6,1))</f>
        <v>-3.5</v>
      </c>
      <c r="BZ6" s="1">
        <f t="shared" ref="BZ6:BZ69" si="20">IF(AI6="NAN", "NAN", ROUND(AI6,1))</f>
        <v>-1.4</v>
      </c>
      <c r="CA6" s="1">
        <f t="shared" ref="CA6:CA69" si="21">IF(AJ6="NAN", "NAN", ROUND(AJ6,1))</f>
        <v>-7.3</v>
      </c>
      <c r="CB6" s="1">
        <f t="shared" ref="CB6:CB69" si="22">ROUND(K6,1)</f>
        <v>-0.1</v>
      </c>
      <c r="CC6" s="1">
        <f t="shared" ref="CC6:CC69" si="23">ROUND(L6,1)</f>
        <v>0.9</v>
      </c>
      <c r="CD6" s="1">
        <f t="shared" ref="CD6:CD69" si="24">ROUND(M6,1)</f>
        <v>1.8</v>
      </c>
      <c r="CE6" s="1" t="str">
        <f t="shared" ref="CE6:CE69" si="25">AN6</f>
        <v>NAN</v>
      </c>
      <c r="CF6" s="1">
        <f>BJ6</f>
        <v>0.43</v>
      </c>
      <c r="CG6" s="1">
        <f>BK6</f>
        <v>0.13700000000000001</v>
      </c>
      <c r="CI6" s="1">
        <f t="shared" ref="CI6:CI37" si="26">SUM(AO6:AV6)</f>
        <v>2880</v>
      </c>
      <c r="CJ6" s="1">
        <f t="shared" ref="CJ6:CJ37" si="27">ROUND(AO6/$CI6,3)</f>
        <v>0.17</v>
      </c>
      <c r="CK6" s="1">
        <f t="shared" ref="CK6:CK37" si="28">ROUND(AP6/$CI6,3)</f>
        <v>1.7000000000000001E-2</v>
      </c>
      <c r="CL6" s="1">
        <f t="shared" ref="CL6:CL37" si="29">ROUND(AQ6/$CI6,3)</f>
        <v>1E-3</v>
      </c>
      <c r="CM6" s="1">
        <f t="shared" ref="CM6:CM37" si="30">ROUND(AR6/$CI6,3)</f>
        <v>1E-3</v>
      </c>
      <c r="CN6" s="1">
        <f t="shared" ref="CN6:CN37" si="31">ROUND(AS6/$CI6,3)</f>
        <v>6.0000000000000001E-3</v>
      </c>
      <c r="CO6" s="1">
        <f t="shared" ref="CO6:CO37" si="32">ROUND(AT6/$CI6,3)</f>
        <v>0.04</v>
      </c>
      <c r="CP6" s="1">
        <f t="shared" ref="CP6:CP37" si="33">ROUND(AU6/$CI6,3)</f>
        <v>0.28000000000000003</v>
      </c>
      <c r="CQ6" s="1">
        <f t="shared" ref="CQ6:CQ37" si="34">ROUND(AV6/$CI6,3)</f>
        <v>0.48399999999999999</v>
      </c>
      <c r="CS6" s="1">
        <f>IF(BZ6="NAN","NAN",BZ6-BP6)</f>
        <v>-0.39999999999999991</v>
      </c>
      <c r="CT6" s="1">
        <f>IF(CA6="NAN","NAN",CA6-BQ6)</f>
        <v>-2.2999999999999998</v>
      </c>
    </row>
    <row r="7" spans="1:98" x14ac:dyDescent="0.2">
      <c r="A7" s="8">
        <f>A6+1</f>
        <v>43832</v>
      </c>
      <c r="B7" s="1">
        <v>2</v>
      </c>
      <c r="C7" s="1">
        <v>11</v>
      </c>
      <c r="D7" s="2">
        <v>13.05</v>
      </c>
      <c r="E7" s="2">
        <v>-5.2210000000000001</v>
      </c>
      <c r="F7" s="2">
        <v>-9.41</v>
      </c>
      <c r="G7" s="2">
        <v>-7.9790000000000001</v>
      </c>
      <c r="H7" s="2">
        <v>88.8</v>
      </c>
      <c r="I7" s="2">
        <v>-0.72099999999999997</v>
      </c>
      <c r="J7" s="2">
        <v>-1.7969999999999999</v>
      </c>
      <c r="K7" s="2">
        <v>-8.1000000000000003E-2</v>
      </c>
      <c r="L7" s="2">
        <v>0.89700000000000002</v>
      </c>
      <c r="M7" s="2">
        <v>1.7310000000000001</v>
      </c>
      <c r="N7" s="2">
        <v>-4.8499999999999996</v>
      </c>
      <c r="O7" s="2">
        <v>91.6</v>
      </c>
      <c r="P7" s="2">
        <v>-0.63400000000000001</v>
      </c>
      <c r="Q7" s="2">
        <v>-1.6950000000000001</v>
      </c>
      <c r="R7" s="2">
        <v>0</v>
      </c>
      <c r="S7" s="2">
        <v>0.97899999999999998</v>
      </c>
      <c r="T7" s="2">
        <v>1.8109999999999999</v>
      </c>
      <c r="U7" s="2">
        <v>-9.32</v>
      </c>
      <c r="V7" s="2">
        <v>79.17</v>
      </c>
      <c r="W7" s="2">
        <v>-0.82599999999999996</v>
      </c>
      <c r="X7" s="2">
        <v>-1.8839999999999999</v>
      </c>
      <c r="Y7" s="2">
        <v>-0.16700000000000001</v>
      </c>
      <c r="Z7" s="2">
        <v>0.81799999999999995</v>
      </c>
      <c r="AA7" s="2">
        <v>1.65</v>
      </c>
      <c r="AB7" s="2">
        <v>1.4379999999999999</v>
      </c>
      <c r="AC7" s="2">
        <v>0</v>
      </c>
      <c r="AD7" s="2">
        <v>0.87</v>
      </c>
      <c r="AE7" s="2">
        <v>3</v>
      </c>
      <c r="AF7" s="2">
        <v>1.431</v>
      </c>
      <c r="AG7" s="2">
        <v>6.4269999999999996</v>
      </c>
      <c r="AH7" s="2">
        <v>-8.33</v>
      </c>
      <c r="AI7" s="2">
        <v>-4.8390000000000004</v>
      </c>
      <c r="AJ7" s="2">
        <v>-10.44</v>
      </c>
      <c r="AK7" s="2">
        <v>-4.6689999999999996</v>
      </c>
      <c r="AL7" s="2">
        <v>-9.5299999999999994</v>
      </c>
      <c r="AM7" s="2">
        <v>1.456</v>
      </c>
      <c r="AN7" s="2" t="s">
        <v>122</v>
      </c>
      <c r="AO7" s="2">
        <v>619</v>
      </c>
      <c r="AP7" s="2">
        <v>159</v>
      </c>
      <c r="AQ7" s="2">
        <v>41</v>
      </c>
      <c r="AR7" s="2">
        <v>91</v>
      </c>
      <c r="AS7" s="2">
        <v>341</v>
      </c>
      <c r="AT7" s="2">
        <v>440</v>
      </c>
      <c r="AU7" s="2">
        <v>375</v>
      </c>
      <c r="AV7" s="2">
        <v>814</v>
      </c>
      <c r="AW7" s="2"/>
      <c r="AX7" s="1">
        <f t="shared" si="0"/>
        <v>1.1119999999999999</v>
      </c>
      <c r="AY7" s="21">
        <f t="shared" si="1"/>
        <v>-0.9</v>
      </c>
      <c r="AZ7" s="5">
        <v>5.18</v>
      </c>
      <c r="BA7" s="1">
        <v>2.9</v>
      </c>
      <c r="BB7" s="1">
        <v>2.76</v>
      </c>
      <c r="BC7" s="6">
        <f t="shared" ref="BC7:BC71" si="35">BB7/BA7</f>
        <v>0.95172413793103439</v>
      </c>
      <c r="BE7" s="30">
        <v>24.5</v>
      </c>
      <c r="BF7" s="27">
        <v>1152</v>
      </c>
      <c r="BG7" s="1">
        <f t="shared" si="2"/>
        <v>91.6</v>
      </c>
      <c r="BH7" s="1">
        <f t="shared" si="3"/>
        <v>88.8</v>
      </c>
      <c r="BI7" s="1">
        <f t="shared" si="4"/>
        <v>79.2</v>
      </c>
      <c r="BJ7" s="7">
        <f t="shared" si="5"/>
        <v>0.33700000000000002</v>
      </c>
      <c r="BK7" s="7">
        <f t="shared" si="6"/>
        <v>8.8999999999999996E-2</v>
      </c>
      <c r="BM7" s="5">
        <f t="shared" si="7"/>
        <v>2.9</v>
      </c>
      <c r="BN7" s="5">
        <f t="shared" si="8"/>
        <v>2.76</v>
      </c>
      <c r="BO7" s="1">
        <f t="shared" si="9"/>
        <v>-8</v>
      </c>
      <c r="BP7" s="1">
        <f t="shared" si="10"/>
        <v>-4.9000000000000004</v>
      </c>
      <c r="BQ7" s="1">
        <f t="shared" si="11"/>
        <v>-9.3000000000000007</v>
      </c>
      <c r="BR7" s="1">
        <f t="shared" si="12"/>
        <v>88.8</v>
      </c>
      <c r="BS7" s="1">
        <f t="shared" si="13"/>
        <v>79.2</v>
      </c>
      <c r="BT7" s="1">
        <f t="shared" si="14"/>
        <v>1.4</v>
      </c>
      <c r="BU7" s="1">
        <f t="shared" si="15"/>
        <v>6.4</v>
      </c>
      <c r="BV7" s="33">
        <f t="shared" si="16"/>
        <v>24.5</v>
      </c>
      <c r="BW7" s="34">
        <f t="shared" si="17"/>
        <v>1.1519999999999999</v>
      </c>
      <c r="BX7" s="20">
        <f t="shared" si="18"/>
        <v>-0.9</v>
      </c>
      <c r="BY7" s="1">
        <f t="shared" si="19"/>
        <v>-8.3000000000000007</v>
      </c>
      <c r="BZ7" s="1">
        <f t="shared" si="20"/>
        <v>-4.8</v>
      </c>
      <c r="CA7" s="1">
        <f t="shared" si="21"/>
        <v>-10.4</v>
      </c>
      <c r="CB7" s="1">
        <f t="shared" si="22"/>
        <v>-0.1</v>
      </c>
      <c r="CC7" s="1">
        <f t="shared" si="23"/>
        <v>0.9</v>
      </c>
      <c r="CD7" s="1">
        <f t="shared" si="24"/>
        <v>1.7</v>
      </c>
      <c r="CE7" s="1" t="str">
        <f t="shared" si="25"/>
        <v>NAN</v>
      </c>
      <c r="CF7" s="1">
        <f t="shared" ref="CF7:CF70" si="36">BJ7</f>
        <v>0.33700000000000002</v>
      </c>
      <c r="CG7" s="1">
        <f t="shared" ref="CG7:CG70" si="37">BK7</f>
        <v>8.8999999999999996E-2</v>
      </c>
      <c r="CI7" s="1">
        <f t="shared" si="26"/>
        <v>2880</v>
      </c>
      <c r="CJ7" s="1">
        <f t="shared" si="27"/>
        <v>0.215</v>
      </c>
      <c r="CK7" s="1">
        <f t="shared" si="28"/>
        <v>5.5E-2</v>
      </c>
      <c r="CL7" s="1">
        <f t="shared" si="29"/>
        <v>1.4E-2</v>
      </c>
      <c r="CM7" s="1">
        <f t="shared" si="30"/>
        <v>3.2000000000000001E-2</v>
      </c>
      <c r="CN7" s="1">
        <f t="shared" si="31"/>
        <v>0.11799999999999999</v>
      </c>
      <c r="CO7" s="1">
        <f t="shared" si="32"/>
        <v>0.153</v>
      </c>
      <c r="CP7" s="1">
        <f t="shared" si="33"/>
        <v>0.13</v>
      </c>
      <c r="CQ7" s="1">
        <f t="shared" si="34"/>
        <v>0.28299999999999997</v>
      </c>
      <c r="CS7" s="1">
        <f t="shared" ref="CS7:CS71" si="38">IF(BZ7="NAN","NAN",BZ7-BP7)</f>
        <v>0.10000000000000053</v>
      </c>
      <c r="CT7" s="1">
        <f t="shared" ref="CT7:CT71" si="39">IF(CA7="NAN","NAN",CA7-BQ7)</f>
        <v>-1.0999999999999996</v>
      </c>
    </row>
    <row r="8" spans="1:98" x14ac:dyDescent="0.2">
      <c r="A8" s="8">
        <f t="shared" ref="A8:A71" si="40">A7+1</f>
        <v>43833</v>
      </c>
      <c r="B8" s="1">
        <v>3</v>
      </c>
      <c r="C8" s="1">
        <v>11</v>
      </c>
      <c r="D8" s="2">
        <v>13.04</v>
      </c>
      <c r="E8" s="2">
        <v>-1.821</v>
      </c>
      <c r="F8" s="2">
        <v>-7.1509999999999998</v>
      </c>
      <c r="G8" s="2">
        <v>-3.972</v>
      </c>
      <c r="H8" s="2">
        <v>92.6</v>
      </c>
      <c r="I8" s="2">
        <v>-0.69</v>
      </c>
      <c r="J8" s="2">
        <v>-1.77</v>
      </c>
      <c r="K8" s="2">
        <v>-5.8000000000000003E-2</v>
      </c>
      <c r="L8" s="2">
        <v>0.91500000000000004</v>
      </c>
      <c r="M8" s="2">
        <v>1.738</v>
      </c>
      <c r="N8" s="2">
        <v>-1.2270000000000001</v>
      </c>
      <c r="O8" s="2">
        <v>95</v>
      </c>
      <c r="P8" s="2">
        <v>-0.623</v>
      </c>
      <c r="Q8" s="2">
        <v>-1.667</v>
      </c>
      <c r="R8" s="2">
        <v>2.9000000000000001E-2</v>
      </c>
      <c r="S8" s="2">
        <v>1.0009999999999999</v>
      </c>
      <c r="T8" s="2">
        <v>1.8180000000000001</v>
      </c>
      <c r="U8" s="2">
        <v>-7.3570000000000002</v>
      </c>
      <c r="V8" s="2">
        <v>78.03</v>
      </c>
      <c r="W8" s="2">
        <v>-0.76500000000000001</v>
      </c>
      <c r="X8" s="2">
        <v>-1.889</v>
      </c>
      <c r="Y8" s="2">
        <v>-0.14000000000000001</v>
      </c>
      <c r="Z8" s="2">
        <v>0.84</v>
      </c>
      <c r="AA8" s="2">
        <v>1.6659999999999999</v>
      </c>
      <c r="AB8" s="2">
        <v>1.53</v>
      </c>
      <c r="AC8" s="2">
        <v>0</v>
      </c>
      <c r="AD8" s="2">
        <v>0.66400000000000003</v>
      </c>
      <c r="AE8" s="2">
        <v>2.4820000000000002</v>
      </c>
      <c r="AF8" s="2">
        <v>1.929</v>
      </c>
      <c r="AG8" s="2">
        <v>6.3620000000000001</v>
      </c>
      <c r="AH8" s="2">
        <v>-4.7439999999999998</v>
      </c>
      <c r="AI8" s="2">
        <v>-1.071</v>
      </c>
      <c r="AJ8" s="2">
        <v>-7.55</v>
      </c>
      <c r="AK8" s="2">
        <v>-0.998</v>
      </c>
      <c r="AL8" s="2">
        <v>-7.532</v>
      </c>
      <c r="AM8" s="2">
        <v>1.5389999999999999</v>
      </c>
      <c r="AN8" s="2" t="s">
        <v>122</v>
      </c>
      <c r="AO8" s="2">
        <v>19</v>
      </c>
      <c r="AP8" s="2">
        <v>21</v>
      </c>
      <c r="AQ8" s="2">
        <v>115</v>
      </c>
      <c r="AR8" s="2">
        <v>486</v>
      </c>
      <c r="AS8" s="2">
        <v>982</v>
      </c>
      <c r="AT8" s="2">
        <v>945</v>
      </c>
      <c r="AU8" s="2">
        <v>276</v>
      </c>
      <c r="AV8" s="2">
        <v>36</v>
      </c>
      <c r="AW8" s="2"/>
      <c r="AX8" s="1">
        <f t="shared" si="0"/>
        <v>1.0199999999999998</v>
      </c>
      <c r="AY8" s="21">
        <f t="shared" si="1"/>
        <v>-0.8</v>
      </c>
      <c r="AZ8" s="5">
        <v>5.22</v>
      </c>
      <c r="BA8" s="1">
        <v>2.4</v>
      </c>
      <c r="BB8" s="1">
        <v>2.2799999999999998</v>
      </c>
      <c r="BC8" s="6">
        <f t="shared" si="35"/>
        <v>0.95</v>
      </c>
      <c r="BE8" s="30">
        <v>0</v>
      </c>
      <c r="BF8" s="27">
        <v>1059.9999999999998</v>
      </c>
      <c r="BG8" s="1">
        <f t="shared" si="2"/>
        <v>95</v>
      </c>
      <c r="BH8" s="1">
        <f t="shared" si="3"/>
        <v>92.6</v>
      </c>
      <c r="BI8" s="1">
        <f t="shared" si="4"/>
        <v>78</v>
      </c>
      <c r="BJ8" s="7">
        <f t="shared" si="5"/>
        <v>0.435</v>
      </c>
      <c r="BK8" s="7">
        <f t="shared" si="6"/>
        <v>0.123</v>
      </c>
      <c r="BM8" s="5">
        <f t="shared" si="7"/>
        <v>2.4</v>
      </c>
      <c r="BN8" s="5">
        <f t="shared" si="8"/>
        <v>2.2799999999999998</v>
      </c>
      <c r="BO8" s="1">
        <f t="shared" si="9"/>
        <v>-4</v>
      </c>
      <c r="BP8" s="1">
        <f t="shared" si="10"/>
        <v>-1.2</v>
      </c>
      <c r="BQ8" s="1">
        <f t="shared" si="11"/>
        <v>-7.4</v>
      </c>
      <c r="BR8" s="1">
        <f t="shared" si="12"/>
        <v>92.6</v>
      </c>
      <c r="BS8" s="1">
        <f t="shared" si="13"/>
        <v>78</v>
      </c>
      <c r="BT8" s="1">
        <f t="shared" si="14"/>
        <v>1.9</v>
      </c>
      <c r="BU8" s="1">
        <f t="shared" si="15"/>
        <v>6.4</v>
      </c>
      <c r="BV8" s="33">
        <f t="shared" si="16"/>
        <v>0</v>
      </c>
      <c r="BW8" s="34">
        <f t="shared" si="17"/>
        <v>1.06</v>
      </c>
      <c r="BX8" s="20">
        <f t="shared" si="18"/>
        <v>-0.8</v>
      </c>
      <c r="BY8" s="1">
        <f t="shared" si="19"/>
        <v>-4.7</v>
      </c>
      <c r="BZ8" s="1">
        <f t="shared" si="20"/>
        <v>-1.1000000000000001</v>
      </c>
      <c r="CA8" s="1">
        <f t="shared" si="21"/>
        <v>-7.6</v>
      </c>
      <c r="CB8" s="1">
        <f t="shared" si="22"/>
        <v>-0.1</v>
      </c>
      <c r="CC8" s="1">
        <f t="shared" si="23"/>
        <v>0.9</v>
      </c>
      <c r="CD8" s="1">
        <f t="shared" si="24"/>
        <v>1.7</v>
      </c>
      <c r="CE8" s="1" t="str">
        <f t="shared" si="25"/>
        <v>NAN</v>
      </c>
      <c r="CF8" s="1">
        <f t="shared" si="36"/>
        <v>0.435</v>
      </c>
      <c r="CG8" s="1">
        <f t="shared" si="37"/>
        <v>0.123</v>
      </c>
      <c r="CI8" s="1">
        <f t="shared" si="26"/>
        <v>2880</v>
      </c>
      <c r="CJ8" s="1">
        <f t="shared" si="27"/>
        <v>7.0000000000000001E-3</v>
      </c>
      <c r="CK8" s="1">
        <f t="shared" si="28"/>
        <v>7.0000000000000001E-3</v>
      </c>
      <c r="CL8" s="1">
        <f t="shared" si="29"/>
        <v>0.04</v>
      </c>
      <c r="CM8" s="1">
        <f t="shared" si="30"/>
        <v>0.16900000000000001</v>
      </c>
      <c r="CN8" s="1">
        <f t="shared" si="31"/>
        <v>0.34100000000000003</v>
      </c>
      <c r="CO8" s="1">
        <f t="shared" si="32"/>
        <v>0.32800000000000001</v>
      </c>
      <c r="CP8" s="1">
        <f t="shared" si="33"/>
        <v>9.6000000000000002E-2</v>
      </c>
      <c r="CQ8" s="1">
        <f t="shared" si="34"/>
        <v>1.2999999999999999E-2</v>
      </c>
      <c r="CS8" s="1">
        <f t="shared" si="38"/>
        <v>9.9999999999999867E-2</v>
      </c>
      <c r="CT8" s="1">
        <f t="shared" si="39"/>
        <v>-0.19999999999999929</v>
      </c>
    </row>
    <row r="9" spans="1:98" x14ac:dyDescent="0.2">
      <c r="A9" s="8">
        <f t="shared" si="40"/>
        <v>43834</v>
      </c>
      <c r="B9" s="1">
        <v>4</v>
      </c>
      <c r="C9" s="1">
        <v>11</v>
      </c>
      <c r="D9" s="2">
        <v>13.05</v>
      </c>
      <c r="E9" s="2">
        <v>-3.3210000000000002</v>
      </c>
      <c r="F9" s="2">
        <v>-8.8699999999999992</v>
      </c>
      <c r="G9" s="2">
        <v>-6.0739999999999998</v>
      </c>
      <c r="H9" s="2">
        <v>73.58</v>
      </c>
      <c r="I9" s="2">
        <v>-0.66300000000000003</v>
      </c>
      <c r="J9" s="2">
        <v>-1.6319999999999999</v>
      </c>
      <c r="K9" s="2">
        <v>-7.0999999999999994E-2</v>
      </c>
      <c r="L9" s="2">
        <v>0.90100000000000002</v>
      </c>
      <c r="M9" s="2">
        <v>1.7230000000000001</v>
      </c>
      <c r="N9" s="2">
        <v>-2.411</v>
      </c>
      <c r="O9" s="2">
        <v>94.3</v>
      </c>
      <c r="P9" s="2">
        <v>-0.58399999999999996</v>
      </c>
      <c r="Q9" s="2">
        <v>-1.5209999999999999</v>
      </c>
      <c r="R9" s="2">
        <v>2.3E-2</v>
      </c>
      <c r="S9" s="2">
        <v>0.98399999999999999</v>
      </c>
      <c r="T9" s="2">
        <v>1.798</v>
      </c>
      <c r="U9" s="2">
        <v>-7.7939999999999996</v>
      </c>
      <c r="V9" s="2">
        <v>56.08</v>
      </c>
      <c r="W9" s="2">
        <v>-0.73899999999999999</v>
      </c>
      <c r="X9" s="2">
        <v>-1.764</v>
      </c>
      <c r="Y9" s="2">
        <v>-0.159</v>
      </c>
      <c r="Z9" s="2">
        <v>0.80800000000000005</v>
      </c>
      <c r="AA9" s="2">
        <v>1.629</v>
      </c>
      <c r="AB9" s="2">
        <v>1.571</v>
      </c>
      <c r="AC9" s="2">
        <v>0</v>
      </c>
      <c r="AD9" s="2">
        <v>3.3380000000000001</v>
      </c>
      <c r="AE9" s="2">
        <v>2.4700000000000002</v>
      </c>
      <c r="AF9" s="2">
        <v>2.6309999999999998</v>
      </c>
      <c r="AG9" s="2">
        <v>7.3630000000000004</v>
      </c>
      <c r="AH9" s="2">
        <v>-8.0500000000000007</v>
      </c>
      <c r="AI9" s="2">
        <v>-3.319</v>
      </c>
      <c r="AJ9" s="2">
        <v>-11.35</v>
      </c>
      <c r="AK9" s="2">
        <v>-3.0819999999999999</v>
      </c>
      <c r="AL9" s="2">
        <v>-8.4700000000000006</v>
      </c>
      <c r="AM9" s="2">
        <v>1.5920000000000001</v>
      </c>
      <c r="AN9" s="2" t="s">
        <v>122</v>
      </c>
      <c r="AO9" s="2">
        <v>298</v>
      </c>
      <c r="AP9" s="2">
        <v>19</v>
      </c>
      <c r="AQ9" s="2">
        <v>6</v>
      </c>
      <c r="AR9" s="2">
        <v>13</v>
      </c>
      <c r="AS9" s="2">
        <v>118</v>
      </c>
      <c r="AT9" s="2">
        <v>630</v>
      </c>
      <c r="AU9" s="2">
        <v>934</v>
      </c>
      <c r="AV9" s="2">
        <v>862</v>
      </c>
      <c r="AW9" s="2"/>
      <c r="AX9" s="1">
        <f t="shared" si="0"/>
        <v>0.97899999999999987</v>
      </c>
      <c r="AY9" s="21">
        <f t="shared" si="1"/>
        <v>-0.8</v>
      </c>
      <c r="AZ9" s="5">
        <v>5.27</v>
      </c>
      <c r="BA9" s="1">
        <v>2.5299999999999998</v>
      </c>
      <c r="BB9" s="1">
        <v>2.27</v>
      </c>
      <c r="BC9" s="6">
        <f t="shared" si="35"/>
        <v>0.89723320158102771</v>
      </c>
      <c r="BE9" s="30">
        <v>0</v>
      </c>
      <c r="BF9" s="27">
        <v>1018.9999999999999</v>
      </c>
      <c r="BG9" s="1">
        <f t="shared" si="2"/>
        <v>94.3</v>
      </c>
      <c r="BH9" s="1">
        <f t="shared" si="3"/>
        <v>73.599999999999994</v>
      </c>
      <c r="BI9" s="1">
        <f t="shared" si="4"/>
        <v>56.1</v>
      </c>
      <c r="BJ9" s="7">
        <f t="shared" si="5"/>
        <v>0.28699999999999998</v>
      </c>
      <c r="BK9" s="7">
        <f t="shared" si="6"/>
        <v>0.22500000000000001</v>
      </c>
      <c r="BM9" s="5">
        <f t="shared" si="7"/>
        <v>2.5299999999999998</v>
      </c>
      <c r="BN9" s="5">
        <f t="shared" si="8"/>
        <v>2.27</v>
      </c>
      <c r="BO9" s="1">
        <f t="shared" si="9"/>
        <v>-6.1</v>
      </c>
      <c r="BP9" s="1">
        <f t="shared" si="10"/>
        <v>-2.4</v>
      </c>
      <c r="BQ9" s="1">
        <f t="shared" si="11"/>
        <v>-7.8</v>
      </c>
      <c r="BR9" s="1">
        <f t="shared" si="12"/>
        <v>73.599999999999994</v>
      </c>
      <c r="BS9" s="1">
        <f t="shared" si="13"/>
        <v>56.1</v>
      </c>
      <c r="BT9" s="1">
        <f t="shared" si="14"/>
        <v>2.6</v>
      </c>
      <c r="BU9" s="1">
        <f t="shared" si="15"/>
        <v>7.4</v>
      </c>
      <c r="BV9" s="33">
        <f t="shared" si="16"/>
        <v>0</v>
      </c>
      <c r="BW9" s="34">
        <f t="shared" si="17"/>
        <v>1.0189999999999999</v>
      </c>
      <c r="BX9" s="20">
        <f t="shared" si="18"/>
        <v>-0.8</v>
      </c>
      <c r="BY9" s="1">
        <f t="shared" si="19"/>
        <v>-8.1</v>
      </c>
      <c r="BZ9" s="1">
        <f t="shared" si="20"/>
        <v>-3.3</v>
      </c>
      <c r="CA9" s="1">
        <f t="shared" si="21"/>
        <v>-11.4</v>
      </c>
      <c r="CB9" s="1">
        <f t="shared" si="22"/>
        <v>-0.1</v>
      </c>
      <c r="CC9" s="1">
        <f t="shared" si="23"/>
        <v>0.9</v>
      </c>
      <c r="CD9" s="1">
        <f t="shared" si="24"/>
        <v>1.7</v>
      </c>
      <c r="CE9" s="1" t="str">
        <f t="shared" si="25"/>
        <v>NAN</v>
      </c>
      <c r="CF9" s="1">
        <f t="shared" si="36"/>
        <v>0.28699999999999998</v>
      </c>
      <c r="CG9" s="1">
        <f t="shared" si="37"/>
        <v>0.22500000000000001</v>
      </c>
      <c r="CI9" s="1">
        <f t="shared" si="26"/>
        <v>2880</v>
      </c>
      <c r="CJ9" s="1">
        <f t="shared" si="27"/>
        <v>0.10299999999999999</v>
      </c>
      <c r="CK9" s="1">
        <f t="shared" si="28"/>
        <v>7.0000000000000001E-3</v>
      </c>
      <c r="CL9" s="1">
        <f t="shared" si="29"/>
        <v>2E-3</v>
      </c>
      <c r="CM9" s="1">
        <f t="shared" si="30"/>
        <v>5.0000000000000001E-3</v>
      </c>
      <c r="CN9" s="1">
        <f t="shared" si="31"/>
        <v>4.1000000000000002E-2</v>
      </c>
      <c r="CO9" s="1">
        <f t="shared" si="32"/>
        <v>0.219</v>
      </c>
      <c r="CP9" s="1">
        <f t="shared" si="33"/>
        <v>0.32400000000000001</v>
      </c>
      <c r="CQ9" s="1">
        <f t="shared" si="34"/>
        <v>0.29899999999999999</v>
      </c>
      <c r="CS9" s="1">
        <f t="shared" si="38"/>
        <v>-0.89999999999999991</v>
      </c>
      <c r="CT9" s="1">
        <f t="shared" si="39"/>
        <v>-3.6000000000000005</v>
      </c>
    </row>
    <row r="10" spans="1:98" x14ac:dyDescent="0.2">
      <c r="A10" s="8">
        <f t="shared" si="40"/>
        <v>43835</v>
      </c>
      <c r="B10" s="1">
        <v>5</v>
      </c>
      <c r="C10" s="1">
        <v>11</v>
      </c>
      <c r="D10" s="2">
        <v>12.94</v>
      </c>
      <c r="E10" s="2">
        <v>-5.657</v>
      </c>
      <c r="F10" s="2">
        <v>-10.14</v>
      </c>
      <c r="G10" s="2">
        <v>-7.5140000000000002</v>
      </c>
      <c r="H10" s="2">
        <v>86.2</v>
      </c>
      <c r="I10" s="2">
        <v>-0.64100000000000001</v>
      </c>
      <c r="J10" s="2">
        <v>-1.6619999999999999</v>
      </c>
      <c r="K10" s="2">
        <v>-6.9000000000000006E-2</v>
      </c>
      <c r="L10" s="2">
        <v>0.89900000000000002</v>
      </c>
      <c r="M10" s="2">
        <v>1.7090000000000001</v>
      </c>
      <c r="N10" s="2">
        <v>-5.0469999999999997</v>
      </c>
      <c r="O10" s="2">
        <v>93.4</v>
      </c>
      <c r="P10" s="2">
        <v>-0.56100000000000005</v>
      </c>
      <c r="Q10" s="2">
        <v>-1.524</v>
      </c>
      <c r="R10" s="2">
        <v>1.9E-2</v>
      </c>
      <c r="S10" s="2">
        <v>0.97499999999999998</v>
      </c>
      <c r="T10" s="2">
        <v>1.782</v>
      </c>
      <c r="U10" s="2">
        <v>-9.2899999999999991</v>
      </c>
      <c r="V10" s="2">
        <v>67.41</v>
      </c>
      <c r="W10" s="2">
        <v>-0.74199999999999999</v>
      </c>
      <c r="X10" s="2">
        <v>-1.8280000000000001</v>
      </c>
      <c r="Y10" s="2">
        <v>-0.159</v>
      </c>
      <c r="Z10" s="2">
        <v>0.80100000000000005</v>
      </c>
      <c r="AA10" s="2">
        <v>1.6240000000000001</v>
      </c>
      <c r="AB10" s="2">
        <v>1.613</v>
      </c>
      <c r="AC10" s="2">
        <v>0</v>
      </c>
      <c r="AD10" s="2">
        <v>1.73</v>
      </c>
      <c r="AE10" s="2">
        <v>1.395</v>
      </c>
      <c r="AF10" s="2">
        <v>2.4060000000000001</v>
      </c>
      <c r="AG10" s="2">
        <v>6.5810000000000004</v>
      </c>
      <c r="AH10" s="2">
        <v>-8.57</v>
      </c>
      <c r="AI10" s="2">
        <v>-4.4260000000000002</v>
      </c>
      <c r="AJ10" s="2">
        <v>-12.45</v>
      </c>
      <c r="AK10" s="2">
        <v>-4.2389999999999999</v>
      </c>
      <c r="AL10" s="2">
        <v>-9.73</v>
      </c>
      <c r="AM10" s="2">
        <v>1.639</v>
      </c>
      <c r="AN10" s="2" t="s">
        <v>122</v>
      </c>
      <c r="AO10" s="2">
        <v>165</v>
      </c>
      <c r="AP10" s="2">
        <v>29</v>
      </c>
      <c r="AQ10" s="2">
        <v>12</v>
      </c>
      <c r="AR10" s="2">
        <v>106</v>
      </c>
      <c r="AS10" s="2">
        <v>580</v>
      </c>
      <c r="AT10" s="2">
        <v>966</v>
      </c>
      <c r="AU10" s="2">
        <v>609</v>
      </c>
      <c r="AV10" s="2">
        <v>413</v>
      </c>
      <c r="AW10" s="2"/>
      <c r="AX10" s="1">
        <f t="shared" si="0"/>
        <v>0.93699999999999983</v>
      </c>
      <c r="AY10" s="21">
        <f t="shared" si="1"/>
        <v>-0.8</v>
      </c>
      <c r="AZ10" s="5">
        <v>5.32</v>
      </c>
      <c r="BA10" s="1">
        <v>1.73</v>
      </c>
      <c r="BB10" s="1">
        <v>1.28</v>
      </c>
      <c r="BC10" s="6">
        <f t="shared" si="35"/>
        <v>0.73988439306358389</v>
      </c>
      <c r="BE10" s="30">
        <v>0</v>
      </c>
      <c r="BF10" s="27">
        <v>976.99999999999989</v>
      </c>
      <c r="BG10" s="1">
        <f t="shared" si="2"/>
        <v>93.4</v>
      </c>
      <c r="BH10" s="1">
        <f t="shared" si="3"/>
        <v>86.2</v>
      </c>
      <c r="BI10" s="1">
        <f t="shared" si="4"/>
        <v>67.400000000000006</v>
      </c>
      <c r="BJ10" s="7">
        <f t="shared" si="5"/>
        <v>0.28299999999999997</v>
      </c>
      <c r="BK10" s="7">
        <f t="shared" si="6"/>
        <v>0.13700000000000001</v>
      </c>
      <c r="BM10" s="5">
        <f t="shared" si="7"/>
        <v>1.73</v>
      </c>
      <c r="BN10" s="5">
        <f t="shared" si="8"/>
        <v>1.28</v>
      </c>
      <c r="BO10" s="1">
        <f t="shared" si="9"/>
        <v>-7.5</v>
      </c>
      <c r="BP10" s="1">
        <f t="shared" si="10"/>
        <v>-5</v>
      </c>
      <c r="BQ10" s="1">
        <f t="shared" si="11"/>
        <v>-9.3000000000000007</v>
      </c>
      <c r="BR10" s="1">
        <f t="shared" si="12"/>
        <v>86.2</v>
      </c>
      <c r="BS10" s="1">
        <f t="shared" si="13"/>
        <v>67.400000000000006</v>
      </c>
      <c r="BT10" s="1">
        <f t="shared" si="14"/>
        <v>2.4</v>
      </c>
      <c r="BU10" s="1">
        <f t="shared" si="15"/>
        <v>6.6</v>
      </c>
      <c r="BV10" s="33">
        <f t="shared" si="16"/>
        <v>0</v>
      </c>
      <c r="BW10" s="34">
        <f t="shared" si="17"/>
        <v>0.97699999999999998</v>
      </c>
      <c r="BX10" s="20">
        <f t="shared" si="18"/>
        <v>-0.8</v>
      </c>
      <c r="BY10" s="1">
        <f t="shared" si="19"/>
        <v>-8.6</v>
      </c>
      <c r="BZ10" s="1">
        <f t="shared" si="20"/>
        <v>-4.4000000000000004</v>
      </c>
      <c r="CA10" s="1">
        <f t="shared" si="21"/>
        <v>-12.5</v>
      </c>
      <c r="CB10" s="1">
        <f t="shared" si="22"/>
        <v>-0.1</v>
      </c>
      <c r="CC10" s="1">
        <f t="shared" si="23"/>
        <v>0.9</v>
      </c>
      <c r="CD10" s="1">
        <f t="shared" si="24"/>
        <v>1.7</v>
      </c>
      <c r="CE10" s="1" t="str">
        <f t="shared" si="25"/>
        <v>NAN</v>
      </c>
      <c r="CF10" s="1">
        <f t="shared" si="36"/>
        <v>0.28299999999999997</v>
      </c>
      <c r="CG10" s="1">
        <f t="shared" si="37"/>
        <v>0.13700000000000001</v>
      </c>
      <c r="CI10" s="1">
        <f t="shared" si="26"/>
        <v>2880</v>
      </c>
      <c r="CJ10" s="1">
        <f t="shared" si="27"/>
        <v>5.7000000000000002E-2</v>
      </c>
      <c r="CK10" s="1">
        <f t="shared" si="28"/>
        <v>0.01</v>
      </c>
      <c r="CL10" s="1">
        <f t="shared" si="29"/>
        <v>4.0000000000000001E-3</v>
      </c>
      <c r="CM10" s="1">
        <f t="shared" si="30"/>
        <v>3.6999999999999998E-2</v>
      </c>
      <c r="CN10" s="1">
        <f t="shared" si="31"/>
        <v>0.20100000000000001</v>
      </c>
      <c r="CO10" s="1">
        <f t="shared" si="32"/>
        <v>0.33500000000000002</v>
      </c>
      <c r="CP10" s="1">
        <f t="shared" si="33"/>
        <v>0.21099999999999999</v>
      </c>
      <c r="CQ10" s="1">
        <f t="shared" si="34"/>
        <v>0.14299999999999999</v>
      </c>
      <c r="CS10" s="1">
        <f t="shared" si="38"/>
        <v>0.59999999999999964</v>
      </c>
      <c r="CT10" s="1">
        <f t="shared" si="39"/>
        <v>-3.1999999999999993</v>
      </c>
    </row>
    <row r="11" spans="1:98" x14ac:dyDescent="0.2">
      <c r="A11" s="8">
        <f t="shared" si="40"/>
        <v>43836</v>
      </c>
      <c r="B11" s="1">
        <v>6</v>
      </c>
      <c r="C11" s="1">
        <v>11</v>
      </c>
      <c r="D11" s="2">
        <v>12.87</v>
      </c>
      <c r="E11" s="2">
        <v>-2.827</v>
      </c>
      <c r="F11" s="2">
        <v>-9.7100000000000009</v>
      </c>
      <c r="G11" s="2">
        <v>-6.4059999999999997</v>
      </c>
      <c r="H11" s="2">
        <v>90.9</v>
      </c>
      <c r="I11" s="2">
        <v>-0.67600000000000005</v>
      </c>
      <c r="J11" s="2">
        <v>-1.819</v>
      </c>
      <c r="K11" s="2">
        <v>-5.3999999999999999E-2</v>
      </c>
      <c r="L11" s="2">
        <v>0.91300000000000003</v>
      </c>
      <c r="M11" s="2">
        <v>1.7090000000000001</v>
      </c>
      <c r="N11" s="2">
        <v>-2.14</v>
      </c>
      <c r="O11" s="2">
        <v>94.7</v>
      </c>
      <c r="P11" s="2">
        <v>-0.61199999999999999</v>
      </c>
      <c r="Q11" s="2">
        <v>-1.7</v>
      </c>
      <c r="R11" s="2">
        <v>0.04</v>
      </c>
      <c r="S11" s="2">
        <v>1.0049999999999999</v>
      </c>
      <c r="T11" s="2">
        <v>1.8</v>
      </c>
      <c r="U11" s="2">
        <v>-9.4600000000000009</v>
      </c>
      <c r="V11" s="2">
        <v>80.2</v>
      </c>
      <c r="W11" s="2">
        <v>-0.745</v>
      </c>
      <c r="X11" s="2">
        <v>-1.9590000000000001</v>
      </c>
      <c r="Y11" s="2">
        <v>-0.14799999999999999</v>
      </c>
      <c r="Z11" s="2">
        <v>0.82299999999999995</v>
      </c>
      <c r="AA11" s="2">
        <v>1.635</v>
      </c>
      <c r="AB11" s="2">
        <v>1.48</v>
      </c>
      <c r="AC11" s="2">
        <v>0</v>
      </c>
      <c r="AD11" s="2">
        <v>0.253</v>
      </c>
      <c r="AE11" s="2">
        <v>0.76200000000000001</v>
      </c>
      <c r="AF11" s="2">
        <v>1.0489999999999999</v>
      </c>
      <c r="AG11" s="2">
        <v>3.3079999999999998</v>
      </c>
      <c r="AH11" s="2">
        <v>-6.85</v>
      </c>
      <c r="AI11" s="2">
        <v>-2.56</v>
      </c>
      <c r="AJ11" s="2">
        <v>-9.73</v>
      </c>
      <c r="AK11" s="2">
        <v>-2.4510000000000001</v>
      </c>
      <c r="AL11" s="2">
        <v>-9.58</v>
      </c>
      <c r="AM11" s="2">
        <v>1.488</v>
      </c>
      <c r="AN11" s="2" t="s">
        <v>122</v>
      </c>
      <c r="AO11" s="2">
        <v>166</v>
      </c>
      <c r="AP11" s="2">
        <v>14</v>
      </c>
      <c r="AQ11" s="2">
        <v>17</v>
      </c>
      <c r="AR11" s="2">
        <v>162</v>
      </c>
      <c r="AS11" s="2">
        <v>486</v>
      </c>
      <c r="AT11" s="2">
        <v>448</v>
      </c>
      <c r="AU11" s="2">
        <v>704</v>
      </c>
      <c r="AV11" s="2">
        <v>883</v>
      </c>
      <c r="AW11" s="2"/>
      <c r="AX11" s="1">
        <f t="shared" si="0"/>
        <v>1.0699999999999998</v>
      </c>
      <c r="AY11" s="21">
        <f t="shared" si="1"/>
        <v>-0.8</v>
      </c>
      <c r="AZ11" s="5">
        <v>5.37</v>
      </c>
      <c r="BA11" s="1">
        <v>0.74</v>
      </c>
      <c r="BB11" s="1">
        <v>0.7</v>
      </c>
      <c r="BC11" s="6">
        <f t="shared" si="35"/>
        <v>0.94594594594594594</v>
      </c>
      <c r="BE11" s="30">
        <v>14.9</v>
      </c>
      <c r="BF11" s="27">
        <v>1109.9999999999998</v>
      </c>
      <c r="BG11" s="1">
        <f t="shared" si="2"/>
        <v>94.7</v>
      </c>
      <c r="BH11" s="1">
        <f t="shared" si="3"/>
        <v>90.9</v>
      </c>
      <c r="BI11" s="1">
        <f t="shared" si="4"/>
        <v>80.2</v>
      </c>
      <c r="BJ11" s="7">
        <f t="shared" si="5"/>
        <v>0.41799999999999998</v>
      </c>
      <c r="BK11" s="7">
        <f t="shared" si="6"/>
        <v>0.10299999999999999</v>
      </c>
      <c r="BM11" s="5">
        <f t="shared" si="7"/>
        <v>0.74</v>
      </c>
      <c r="BN11" s="5">
        <f t="shared" si="8"/>
        <v>0.7</v>
      </c>
      <c r="BO11" s="1">
        <f t="shared" si="9"/>
        <v>-6.4</v>
      </c>
      <c r="BP11" s="1">
        <f t="shared" si="10"/>
        <v>-2.1</v>
      </c>
      <c r="BQ11" s="1">
        <f t="shared" si="11"/>
        <v>-9.5</v>
      </c>
      <c r="BR11" s="1">
        <f t="shared" si="12"/>
        <v>90.9</v>
      </c>
      <c r="BS11" s="1">
        <f t="shared" si="13"/>
        <v>80.2</v>
      </c>
      <c r="BT11" s="1">
        <f t="shared" si="14"/>
        <v>1</v>
      </c>
      <c r="BU11" s="1">
        <f t="shared" si="15"/>
        <v>3.3</v>
      </c>
      <c r="BV11" s="33">
        <f t="shared" si="16"/>
        <v>14.9</v>
      </c>
      <c r="BW11" s="34">
        <f t="shared" si="17"/>
        <v>1.1100000000000001</v>
      </c>
      <c r="BX11" s="20">
        <f t="shared" si="18"/>
        <v>-0.8</v>
      </c>
      <c r="BY11" s="1">
        <f t="shared" si="19"/>
        <v>-6.9</v>
      </c>
      <c r="BZ11" s="1">
        <f t="shared" si="20"/>
        <v>-2.6</v>
      </c>
      <c r="CA11" s="1">
        <f t="shared" si="21"/>
        <v>-9.6999999999999993</v>
      </c>
      <c r="CB11" s="1">
        <f t="shared" si="22"/>
        <v>-0.1</v>
      </c>
      <c r="CC11" s="1">
        <f t="shared" si="23"/>
        <v>0.9</v>
      </c>
      <c r="CD11" s="1">
        <f t="shared" si="24"/>
        <v>1.7</v>
      </c>
      <c r="CE11" s="1" t="str">
        <f t="shared" si="25"/>
        <v>NAN</v>
      </c>
      <c r="CF11" s="1">
        <f t="shared" si="36"/>
        <v>0.41799999999999998</v>
      </c>
      <c r="CG11" s="1">
        <f t="shared" si="37"/>
        <v>0.10299999999999999</v>
      </c>
      <c r="CI11" s="1">
        <f t="shared" si="26"/>
        <v>2880</v>
      </c>
      <c r="CJ11" s="1">
        <f t="shared" si="27"/>
        <v>5.8000000000000003E-2</v>
      </c>
      <c r="CK11" s="1">
        <f t="shared" si="28"/>
        <v>5.0000000000000001E-3</v>
      </c>
      <c r="CL11" s="1">
        <f t="shared" si="29"/>
        <v>6.0000000000000001E-3</v>
      </c>
      <c r="CM11" s="1">
        <f t="shared" si="30"/>
        <v>5.6000000000000001E-2</v>
      </c>
      <c r="CN11" s="1">
        <f t="shared" si="31"/>
        <v>0.16900000000000001</v>
      </c>
      <c r="CO11" s="1">
        <f t="shared" si="32"/>
        <v>0.156</v>
      </c>
      <c r="CP11" s="1">
        <f t="shared" si="33"/>
        <v>0.24399999999999999</v>
      </c>
      <c r="CQ11" s="1">
        <f t="shared" si="34"/>
        <v>0.307</v>
      </c>
      <c r="CS11" s="1">
        <f t="shared" si="38"/>
        <v>-0.5</v>
      </c>
      <c r="CT11" s="1">
        <f t="shared" si="39"/>
        <v>-0.19999999999999929</v>
      </c>
    </row>
    <row r="12" spans="1:98" x14ac:dyDescent="0.2">
      <c r="A12" s="8">
        <f t="shared" si="40"/>
        <v>43837</v>
      </c>
      <c r="B12" s="1">
        <v>7</v>
      </c>
      <c r="C12" s="1">
        <v>11</v>
      </c>
      <c r="D12" s="2">
        <v>12.9</v>
      </c>
      <c r="E12" s="2">
        <v>-1.0329999999999999</v>
      </c>
      <c r="F12" s="2">
        <v>-3.3420000000000001</v>
      </c>
      <c r="G12" s="2">
        <v>-2.1869999999999998</v>
      </c>
      <c r="H12" s="2">
        <v>94.7</v>
      </c>
      <c r="I12" s="2">
        <v>-0.72</v>
      </c>
      <c r="J12" s="2">
        <v>-1.9059999999999999</v>
      </c>
      <c r="K12" s="2">
        <v>-3.5999999999999997E-2</v>
      </c>
      <c r="L12" s="2">
        <v>0.92900000000000005</v>
      </c>
      <c r="M12" s="2">
        <v>1.724</v>
      </c>
      <c r="N12" s="2">
        <v>-0.34599999999999997</v>
      </c>
      <c r="O12" s="2">
        <v>95.8</v>
      </c>
      <c r="P12" s="2">
        <v>-0.6</v>
      </c>
      <c r="Q12" s="2">
        <v>-1.8169999999999999</v>
      </c>
      <c r="R12" s="2">
        <v>3.3000000000000002E-2</v>
      </c>
      <c r="S12" s="2">
        <v>1.004</v>
      </c>
      <c r="T12" s="2">
        <v>1.7969999999999999</v>
      </c>
      <c r="U12" s="2">
        <v>-3.26</v>
      </c>
      <c r="V12" s="2">
        <v>93.9</v>
      </c>
      <c r="W12" s="2">
        <v>-0.80500000000000005</v>
      </c>
      <c r="X12" s="2">
        <v>-1.99</v>
      </c>
      <c r="Y12" s="2">
        <v>-0.108</v>
      </c>
      <c r="Z12" s="2">
        <v>0.84199999999999997</v>
      </c>
      <c r="AA12" s="2">
        <v>1.6419999999999999</v>
      </c>
      <c r="AB12" s="2">
        <v>1.5029999999999999</v>
      </c>
      <c r="AC12" s="2">
        <v>0</v>
      </c>
      <c r="AD12" s="2">
        <v>0.28199999999999997</v>
      </c>
      <c r="AE12" s="2">
        <v>1.355</v>
      </c>
      <c r="AF12" s="2">
        <v>1.403</v>
      </c>
      <c r="AG12" s="2">
        <v>4.0170000000000003</v>
      </c>
      <c r="AH12" s="2">
        <v>-2.6989999999999998</v>
      </c>
      <c r="AI12" s="2">
        <v>-0.871</v>
      </c>
      <c r="AJ12" s="2">
        <v>-3.6949999999999998</v>
      </c>
      <c r="AK12" s="2">
        <v>-0.57899999999999996</v>
      </c>
      <c r="AL12" s="2">
        <v>-3.5640000000000001</v>
      </c>
      <c r="AM12" s="2">
        <v>1.51</v>
      </c>
      <c r="AN12" s="2" t="s">
        <v>122</v>
      </c>
      <c r="AO12" s="2">
        <v>9</v>
      </c>
      <c r="AP12" s="2">
        <v>1</v>
      </c>
      <c r="AQ12" s="2">
        <v>11</v>
      </c>
      <c r="AR12" s="2">
        <v>63</v>
      </c>
      <c r="AS12" s="2">
        <v>462</v>
      </c>
      <c r="AT12" s="2">
        <v>1261</v>
      </c>
      <c r="AU12" s="2">
        <v>911</v>
      </c>
      <c r="AV12" s="2">
        <v>162</v>
      </c>
      <c r="AW12" s="2"/>
      <c r="AX12" s="1">
        <f t="shared" si="0"/>
        <v>1.0469999999999999</v>
      </c>
      <c r="AY12" s="21">
        <f t="shared" si="1"/>
        <v>-0.9</v>
      </c>
      <c r="AZ12" s="5">
        <v>5.43</v>
      </c>
      <c r="BA12" s="1">
        <v>1.31</v>
      </c>
      <c r="BB12" s="1">
        <v>1.25</v>
      </c>
      <c r="BC12" s="6">
        <f t="shared" si="35"/>
        <v>0.95419847328244267</v>
      </c>
      <c r="BE12" s="30">
        <v>4.3</v>
      </c>
      <c r="BF12" s="27">
        <v>1087</v>
      </c>
      <c r="BG12" s="1">
        <f t="shared" si="2"/>
        <v>95.8</v>
      </c>
      <c r="BH12" s="1">
        <f t="shared" si="3"/>
        <v>94.7</v>
      </c>
      <c r="BI12" s="1">
        <f t="shared" si="4"/>
        <v>93.9</v>
      </c>
      <c r="BJ12" s="7">
        <f t="shared" si="5"/>
        <v>0.55900000000000005</v>
      </c>
      <c r="BK12" s="7">
        <f t="shared" si="6"/>
        <v>3.5999999999999997E-2</v>
      </c>
      <c r="BM12" s="5">
        <f t="shared" si="7"/>
        <v>1.31</v>
      </c>
      <c r="BN12" s="5">
        <f t="shared" si="8"/>
        <v>1.25</v>
      </c>
      <c r="BO12" s="1">
        <f t="shared" si="9"/>
        <v>-2.2000000000000002</v>
      </c>
      <c r="BP12" s="1">
        <f t="shared" si="10"/>
        <v>-0.3</v>
      </c>
      <c r="BQ12" s="1">
        <f t="shared" si="11"/>
        <v>-3.3</v>
      </c>
      <c r="BR12" s="1">
        <f t="shared" si="12"/>
        <v>94.7</v>
      </c>
      <c r="BS12" s="1">
        <f t="shared" si="13"/>
        <v>93.9</v>
      </c>
      <c r="BT12" s="1">
        <f t="shared" si="14"/>
        <v>1.4</v>
      </c>
      <c r="BU12" s="1">
        <f t="shared" si="15"/>
        <v>4</v>
      </c>
      <c r="BV12" s="33">
        <f t="shared" si="16"/>
        <v>4.3</v>
      </c>
      <c r="BW12" s="34">
        <f t="shared" si="17"/>
        <v>1.087</v>
      </c>
      <c r="BX12" s="20">
        <f t="shared" si="18"/>
        <v>-0.9</v>
      </c>
      <c r="BY12" s="1">
        <f t="shared" si="19"/>
        <v>-2.7</v>
      </c>
      <c r="BZ12" s="1">
        <f t="shared" si="20"/>
        <v>-0.9</v>
      </c>
      <c r="CA12" s="1">
        <f t="shared" si="21"/>
        <v>-3.7</v>
      </c>
      <c r="CB12" s="1">
        <f t="shared" si="22"/>
        <v>0</v>
      </c>
      <c r="CC12" s="1">
        <f t="shared" si="23"/>
        <v>0.9</v>
      </c>
      <c r="CD12" s="1">
        <f t="shared" si="24"/>
        <v>1.7</v>
      </c>
      <c r="CE12" s="1" t="str">
        <f t="shared" si="25"/>
        <v>NAN</v>
      </c>
      <c r="CF12" s="1">
        <f t="shared" si="36"/>
        <v>0.55900000000000005</v>
      </c>
      <c r="CG12" s="1">
        <f t="shared" si="37"/>
        <v>3.5999999999999997E-2</v>
      </c>
      <c r="CI12" s="1">
        <f t="shared" si="26"/>
        <v>2880</v>
      </c>
      <c r="CJ12" s="1">
        <f t="shared" si="27"/>
        <v>3.0000000000000001E-3</v>
      </c>
      <c r="CK12" s="1">
        <f t="shared" si="28"/>
        <v>0</v>
      </c>
      <c r="CL12" s="1">
        <f t="shared" si="29"/>
        <v>4.0000000000000001E-3</v>
      </c>
      <c r="CM12" s="1">
        <f t="shared" si="30"/>
        <v>2.1999999999999999E-2</v>
      </c>
      <c r="CN12" s="1">
        <f t="shared" si="31"/>
        <v>0.16</v>
      </c>
      <c r="CO12" s="1">
        <f t="shared" si="32"/>
        <v>0.438</v>
      </c>
      <c r="CP12" s="1">
        <f t="shared" si="33"/>
        <v>0.316</v>
      </c>
      <c r="CQ12" s="1">
        <f t="shared" si="34"/>
        <v>5.6000000000000001E-2</v>
      </c>
      <c r="CS12" s="1">
        <f t="shared" si="38"/>
        <v>-0.60000000000000009</v>
      </c>
      <c r="CT12" s="1">
        <f t="shared" si="39"/>
        <v>-0.40000000000000036</v>
      </c>
    </row>
    <row r="13" spans="1:98" x14ac:dyDescent="0.2">
      <c r="A13" s="8">
        <f t="shared" si="40"/>
        <v>43838</v>
      </c>
      <c r="B13" s="1">
        <v>8</v>
      </c>
      <c r="C13" s="1">
        <v>11</v>
      </c>
      <c r="D13" s="2">
        <v>12.87</v>
      </c>
      <c r="E13" s="2">
        <v>-2.72</v>
      </c>
      <c r="F13" s="2">
        <v>-18.07</v>
      </c>
      <c r="G13" s="2">
        <v>-8.61</v>
      </c>
      <c r="H13" s="2">
        <v>89.7</v>
      </c>
      <c r="I13" s="2">
        <v>-0.746</v>
      </c>
      <c r="J13" s="2">
        <v>-1.7689999999999999</v>
      </c>
      <c r="K13" s="2">
        <v>-9.1999999999999998E-2</v>
      </c>
      <c r="L13" s="2">
        <v>0.871</v>
      </c>
      <c r="M13" s="2">
        <v>1.671</v>
      </c>
      <c r="N13" s="2">
        <v>-2.5529999999999999</v>
      </c>
      <c r="O13" s="2">
        <v>94.4</v>
      </c>
      <c r="P13" s="2">
        <v>-0.66700000000000004</v>
      </c>
      <c r="Q13" s="2">
        <v>-1.6319999999999999</v>
      </c>
      <c r="R13" s="2">
        <v>0.02</v>
      </c>
      <c r="S13" s="2">
        <v>0.97799999999999998</v>
      </c>
      <c r="T13" s="2">
        <v>1.79</v>
      </c>
      <c r="U13" s="2">
        <v>-15.79</v>
      </c>
      <c r="V13" s="2">
        <v>83.6</v>
      </c>
      <c r="W13" s="2">
        <v>-0.92900000000000005</v>
      </c>
      <c r="X13" s="2">
        <v>-1.901</v>
      </c>
      <c r="Y13" s="2">
        <v>-0.318</v>
      </c>
      <c r="Z13" s="2">
        <v>0.65200000000000002</v>
      </c>
      <c r="AA13" s="2">
        <v>1.4550000000000001</v>
      </c>
      <c r="AB13" s="2">
        <v>1.464</v>
      </c>
      <c r="AC13" s="2">
        <v>0</v>
      </c>
      <c r="AD13" s="2">
        <v>0.255</v>
      </c>
      <c r="AE13" s="2">
        <v>1.248</v>
      </c>
      <c r="AF13" s="2">
        <v>1.0760000000000001</v>
      </c>
      <c r="AG13" s="2">
        <v>4.5979999999999999</v>
      </c>
      <c r="AH13" s="2">
        <v>-9.94</v>
      </c>
      <c r="AI13" s="2">
        <v>-3.0880000000000001</v>
      </c>
      <c r="AJ13" s="2">
        <v>-22.03</v>
      </c>
      <c r="AK13" s="2">
        <v>-2.9790000000000001</v>
      </c>
      <c r="AL13" s="2">
        <v>-17.48</v>
      </c>
      <c r="AM13" s="2">
        <v>1.5069999999999999</v>
      </c>
      <c r="AN13" s="2" t="s">
        <v>122</v>
      </c>
      <c r="AO13" s="2">
        <v>744</v>
      </c>
      <c r="AP13" s="2">
        <v>458</v>
      </c>
      <c r="AQ13" s="2">
        <v>168</v>
      </c>
      <c r="AR13" s="2">
        <v>31</v>
      </c>
      <c r="AS13" s="2">
        <v>39</v>
      </c>
      <c r="AT13" s="2">
        <v>171</v>
      </c>
      <c r="AU13" s="2">
        <v>486</v>
      </c>
      <c r="AV13" s="2">
        <v>783</v>
      </c>
      <c r="AW13" s="2"/>
      <c r="AX13" s="1">
        <f t="shared" si="0"/>
        <v>1.0859999999999999</v>
      </c>
      <c r="AY13" s="21">
        <f t="shared" si="1"/>
        <v>-0.9</v>
      </c>
      <c r="AZ13" s="5">
        <v>5.49</v>
      </c>
      <c r="BA13" s="1">
        <v>1.21</v>
      </c>
      <c r="BB13" s="1">
        <v>1.1499999999999999</v>
      </c>
      <c r="BC13" s="6">
        <f t="shared" si="35"/>
        <v>0.95041322314049581</v>
      </c>
      <c r="BE13" s="30">
        <v>5.5</v>
      </c>
      <c r="BF13" s="27">
        <v>1126</v>
      </c>
      <c r="BG13" s="1">
        <f t="shared" si="2"/>
        <v>94.4</v>
      </c>
      <c r="BH13" s="1">
        <f t="shared" si="3"/>
        <v>89.7</v>
      </c>
      <c r="BI13" s="1">
        <f t="shared" si="4"/>
        <v>83.6</v>
      </c>
      <c r="BJ13" s="7">
        <f t="shared" si="5"/>
        <v>0.42299999999999999</v>
      </c>
      <c r="BK13" s="7">
        <f t="shared" si="6"/>
        <v>8.3000000000000004E-2</v>
      </c>
      <c r="BM13" s="5">
        <f t="shared" si="7"/>
        <v>1.21</v>
      </c>
      <c r="BN13" s="5">
        <f t="shared" si="8"/>
        <v>1.1499999999999999</v>
      </c>
      <c r="BO13" s="1">
        <f t="shared" si="9"/>
        <v>-8.6</v>
      </c>
      <c r="BP13" s="1">
        <f t="shared" si="10"/>
        <v>-2.6</v>
      </c>
      <c r="BQ13" s="1">
        <f t="shared" si="11"/>
        <v>-15.8</v>
      </c>
      <c r="BR13" s="1">
        <f t="shared" si="12"/>
        <v>89.7</v>
      </c>
      <c r="BS13" s="1">
        <f t="shared" si="13"/>
        <v>83.6</v>
      </c>
      <c r="BT13" s="1">
        <f t="shared" si="14"/>
        <v>1.1000000000000001</v>
      </c>
      <c r="BU13" s="1">
        <f t="shared" si="15"/>
        <v>4.5999999999999996</v>
      </c>
      <c r="BV13" s="33">
        <f t="shared" si="16"/>
        <v>5.5</v>
      </c>
      <c r="BW13" s="34">
        <f t="shared" si="17"/>
        <v>1.1259999999999999</v>
      </c>
      <c r="BX13" s="20">
        <f t="shared" si="18"/>
        <v>-0.9</v>
      </c>
      <c r="BY13" s="1">
        <f t="shared" si="19"/>
        <v>-9.9</v>
      </c>
      <c r="BZ13" s="1">
        <f t="shared" si="20"/>
        <v>-3.1</v>
      </c>
      <c r="CA13" s="1">
        <f t="shared" si="21"/>
        <v>-22</v>
      </c>
      <c r="CB13" s="1">
        <f t="shared" si="22"/>
        <v>-0.1</v>
      </c>
      <c r="CC13" s="1">
        <f t="shared" si="23"/>
        <v>0.9</v>
      </c>
      <c r="CD13" s="1">
        <f t="shared" si="24"/>
        <v>1.7</v>
      </c>
      <c r="CE13" s="1" t="str">
        <f t="shared" si="25"/>
        <v>NAN</v>
      </c>
      <c r="CF13" s="1">
        <f t="shared" si="36"/>
        <v>0.42299999999999999</v>
      </c>
      <c r="CG13" s="1">
        <f t="shared" si="37"/>
        <v>8.3000000000000004E-2</v>
      </c>
      <c r="CI13" s="1">
        <f t="shared" si="26"/>
        <v>2880</v>
      </c>
      <c r="CJ13" s="1">
        <f t="shared" si="27"/>
        <v>0.25800000000000001</v>
      </c>
      <c r="CK13" s="1">
        <f t="shared" si="28"/>
        <v>0.159</v>
      </c>
      <c r="CL13" s="1">
        <f t="shared" si="29"/>
        <v>5.8000000000000003E-2</v>
      </c>
      <c r="CM13" s="1">
        <f t="shared" si="30"/>
        <v>1.0999999999999999E-2</v>
      </c>
      <c r="CN13" s="1">
        <f t="shared" si="31"/>
        <v>1.4E-2</v>
      </c>
      <c r="CO13" s="1">
        <f t="shared" si="32"/>
        <v>5.8999999999999997E-2</v>
      </c>
      <c r="CP13" s="1">
        <f t="shared" si="33"/>
        <v>0.16900000000000001</v>
      </c>
      <c r="CQ13" s="1">
        <f t="shared" si="34"/>
        <v>0.27200000000000002</v>
      </c>
      <c r="CS13" s="1">
        <f t="shared" si="38"/>
        <v>-0.5</v>
      </c>
      <c r="CT13" s="1">
        <f t="shared" si="39"/>
        <v>-6.1999999999999993</v>
      </c>
    </row>
    <row r="14" spans="1:98" x14ac:dyDescent="0.2">
      <c r="A14" s="8">
        <f t="shared" si="40"/>
        <v>43839</v>
      </c>
      <c r="B14" s="1">
        <v>9</v>
      </c>
      <c r="C14" s="1">
        <v>11</v>
      </c>
      <c r="D14" s="2">
        <v>13.08</v>
      </c>
      <c r="E14" s="2">
        <v>-8.64</v>
      </c>
      <c r="F14" s="2">
        <v>-18.8</v>
      </c>
      <c r="G14" s="2">
        <v>-12.31</v>
      </c>
      <c r="H14" s="2">
        <v>86.6</v>
      </c>
      <c r="I14" s="2">
        <v>-0.71399999999999997</v>
      </c>
      <c r="J14" s="2">
        <v>-1.651</v>
      </c>
      <c r="K14" s="2">
        <v>-0.128</v>
      </c>
      <c r="L14" s="2">
        <v>0.83499999999999996</v>
      </c>
      <c r="M14" s="2">
        <v>1.6180000000000001</v>
      </c>
      <c r="N14" s="2">
        <v>-7.827</v>
      </c>
      <c r="O14" s="2">
        <v>90.9</v>
      </c>
      <c r="P14" s="2">
        <v>-0.61699999999999999</v>
      </c>
      <c r="Q14" s="2">
        <v>-1.522</v>
      </c>
      <c r="R14" s="2">
        <v>-1.4E-2</v>
      </c>
      <c r="S14" s="2">
        <v>0.95599999999999996</v>
      </c>
      <c r="T14" s="2">
        <v>1.73</v>
      </c>
      <c r="U14" s="2">
        <v>-15.96</v>
      </c>
      <c r="V14" s="2">
        <v>83.2</v>
      </c>
      <c r="W14" s="2">
        <v>-0.91200000000000003</v>
      </c>
      <c r="X14" s="2">
        <v>-1.84</v>
      </c>
      <c r="Y14" s="2">
        <v>-0.28999999999999998</v>
      </c>
      <c r="Z14" s="2">
        <v>0.67600000000000005</v>
      </c>
      <c r="AA14" s="2">
        <v>1.4470000000000001</v>
      </c>
      <c r="AB14" s="2">
        <v>1.494</v>
      </c>
      <c r="AC14" s="2">
        <v>0</v>
      </c>
      <c r="AD14" s="2">
        <v>1.4370000000000001</v>
      </c>
      <c r="AE14" s="2">
        <v>3.9569999999999999</v>
      </c>
      <c r="AF14" s="2">
        <v>0.59</v>
      </c>
      <c r="AG14" s="2">
        <v>2.7240000000000002</v>
      </c>
      <c r="AH14" s="2">
        <v>-15.06</v>
      </c>
      <c r="AI14" s="2">
        <v>-7.5880000000000001</v>
      </c>
      <c r="AJ14" s="2">
        <v>-22.09</v>
      </c>
      <c r="AK14" s="2">
        <v>-5.0890000000000004</v>
      </c>
      <c r="AL14" s="2">
        <v>-17.39</v>
      </c>
      <c r="AM14" s="2">
        <v>1.532</v>
      </c>
      <c r="AN14" s="2" t="s">
        <v>122</v>
      </c>
      <c r="AO14" s="2">
        <v>526</v>
      </c>
      <c r="AP14" s="2">
        <v>318</v>
      </c>
      <c r="AQ14" s="2">
        <v>296</v>
      </c>
      <c r="AR14" s="2">
        <v>198</v>
      </c>
      <c r="AS14" s="2">
        <v>123</v>
      </c>
      <c r="AT14" s="2">
        <v>226</v>
      </c>
      <c r="AU14" s="2">
        <v>488</v>
      </c>
      <c r="AV14" s="2">
        <v>705</v>
      </c>
      <c r="AW14" s="2"/>
      <c r="AX14" s="1">
        <f t="shared" si="0"/>
        <v>1.0559999999999998</v>
      </c>
      <c r="AY14" s="21">
        <f t="shared" si="1"/>
        <v>-0.8</v>
      </c>
      <c r="AZ14" s="5">
        <v>5.56</v>
      </c>
      <c r="BA14" s="1">
        <v>3.83</v>
      </c>
      <c r="BB14" s="1">
        <v>3.64</v>
      </c>
      <c r="BC14" s="6">
        <f t="shared" si="35"/>
        <v>0.95039164490861616</v>
      </c>
      <c r="BE14" s="30">
        <v>1.1000000000000001</v>
      </c>
      <c r="BF14" s="27">
        <v>1095.9999999999998</v>
      </c>
      <c r="BG14" s="1">
        <f t="shared" si="2"/>
        <v>90.9</v>
      </c>
      <c r="BH14" s="1">
        <f t="shared" si="3"/>
        <v>86.6</v>
      </c>
      <c r="BI14" s="1">
        <f t="shared" si="4"/>
        <v>83.2</v>
      </c>
      <c r="BJ14" s="7">
        <f t="shared" si="5"/>
        <v>0.28199999999999997</v>
      </c>
      <c r="BK14" s="7">
        <f t="shared" si="6"/>
        <v>5.7000000000000002E-2</v>
      </c>
      <c r="BM14" s="5">
        <f t="shared" si="7"/>
        <v>3.83</v>
      </c>
      <c r="BN14" s="5">
        <f t="shared" si="8"/>
        <v>3.64</v>
      </c>
      <c r="BO14" s="1">
        <f t="shared" si="9"/>
        <v>-12.3</v>
      </c>
      <c r="BP14" s="1">
        <f t="shared" si="10"/>
        <v>-7.8</v>
      </c>
      <c r="BQ14" s="1">
        <f t="shared" si="11"/>
        <v>-16</v>
      </c>
      <c r="BR14" s="1">
        <f t="shared" si="12"/>
        <v>86.6</v>
      </c>
      <c r="BS14" s="1">
        <f t="shared" si="13"/>
        <v>83.2</v>
      </c>
      <c r="BT14" s="1">
        <f t="shared" si="14"/>
        <v>0.6</v>
      </c>
      <c r="BU14" s="1">
        <f t="shared" si="15"/>
        <v>2.7</v>
      </c>
      <c r="BV14" s="33">
        <f t="shared" si="16"/>
        <v>1.1000000000000001</v>
      </c>
      <c r="BW14" s="34">
        <f t="shared" si="17"/>
        <v>1.0960000000000001</v>
      </c>
      <c r="BX14" s="20">
        <f t="shared" si="18"/>
        <v>-0.8</v>
      </c>
      <c r="BY14" s="1">
        <f t="shared" si="19"/>
        <v>-15.1</v>
      </c>
      <c r="BZ14" s="1">
        <f t="shared" si="20"/>
        <v>-7.6</v>
      </c>
      <c r="CA14" s="1">
        <f t="shared" si="21"/>
        <v>-22.1</v>
      </c>
      <c r="CB14" s="1">
        <f t="shared" si="22"/>
        <v>-0.1</v>
      </c>
      <c r="CC14" s="1">
        <f t="shared" si="23"/>
        <v>0.8</v>
      </c>
      <c r="CD14" s="1">
        <f t="shared" si="24"/>
        <v>1.6</v>
      </c>
      <c r="CE14" s="1" t="str">
        <f t="shared" si="25"/>
        <v>NAN</v>
      </c>
      <c r="CF14" s="1">
        <f t="shared" si="36"/>
        <v>0.28199999999999997</v>
      </c>
      <c r="CG14" s="1">
        <f t="shared" si="37"/>
        <v>5.7000000000000002E-2</v>
      </c>
      <c r="CI14" s="1">
        <f t="shared" si="26"/>
        <v>2880</v>
      </c>
      <c r="CJ14" s="1">
        <f t="shared" si="27"/>
        <v>0.183</v>
      </c>
      <c r="CK14" s="1">
        <f t="shared" si="28"/>
        <v>0.11</v>
      </c>
      <c r="CL14" s="1">
        <f t="shared" si="29"/>
        <v>0.10299999999999999</v>
      </c>
      <c r="CM14" s="1">
        <f t="shared" si="30"/>
        <v>6.9000000000000006E-2</v>
      </c>
      <c r="CN14" s="1">
        <f t="shared" si="31"/>
        <v>4.2999999999999997E-2</v>
      </c>
      <c r="CO14" s="1">
        <f t="shared" si="32"/>
        <v>7.8E-2</v>
      </c>
      <c r="CP14" s="1">
        <f t="shared" si="33"/>
        <v>0.16900000000000001</v>
      </c>
      <c r="CQ14" s="1">
        <f t="shared" si="34"/>
        <v>0.245</v>
      </c>
      <c r="CS14" s="1">
        <f t="shared" si="38"/>
        <v>0.20000000000000018</v>
      </c>
      <c r="CT14" s="1">
        <f t="shared" si="39"/>
        <v>-6.1000000000000014</v>
      </c>
    </row>
    <row r="15" spans="1:98" x14ac:dyDescent="0.2">
      <c r="A15" s="8">
        <f t="shared" si="40"/>
        <v>43840</v>
      </c>
      <c r="B15" s="1">
        <v>10</v>
      </c>
      <c r="C15" s="1">
        <v>11</v>
      </c>
      <c r="D15" s="2">
        <v>12.98</v>
      </c>
      <c r="E15" s="2">
        <v>-10.07</v>
      </c>
      <c r="F15" s="2">
        <v>-15.19</v>
      </c>
      <c r="G15" s="2">
        <v>-11.16</v>
      </c>
      <c r="H15" s="2">
        <v>87.6</v>
      </c>
      <c r="I15" s="2">
        <v>-0.69299999999999995</v>
      </c>
      <c r="J15" s="2">
        <v>-1.7490000000000001</v>
      </c>
      <c r="K15" s="2">
        <v>-8.6999999999999994E-2</v>
      </c>
      <c r="L15" s="2">
        <v>0.875</v>
      </c>
      <c r="M15" s="2">
        <v>1.645</v>
      </c>
      <c r="N15" s="2">
        <v>-9.69</v>
      </c>
      <c r="O15" s="2">
        <v>89</v>
      </c>
      <c r="P15" s="2">
        <v>-0.60099999999999998</v>
      </c>
      <c r="Q15" s="2">
        <v>-1.609</v>
      </c>
      <c r="R15" s="2">
        <v>-2.3E-2</v>
      </c>
      <c r="S15" s="2">
        <v>0.94299999999999995</v>
      </c>
      <c r="T15" s="2">
        <v>1.712</v>
      </c>
      <c r="U15" s="2">
        <v>-13.58</v>
      </c>
      <c r="V15" s="2">
        <v>85.3</v>
      </c>
      <c r="W15" s="2">
        <v>-0.79300000000000004</v>
      </c>
      <c r="X15" s="2">
        <v>-1.91</v>
      </c>
      <c r="Y15" s="2">
        <v>-0.18</v>
      </c>
      <c r="Z15" s="2">
        <v>0.78500000000000003</v>
      </c>
      <c r="AA15" s="2">
        <v>1.5660000000000001</v>
      </c>
      <c r="AB15" s="2">
        <v>1.3680000000000001</v>
      </c>
      <c r="AC15" s="2">
        <v>0</v>
      </c>
      <c r="AD15" s="2">
        <v>0.222</v>
      </c>
      <c r="AE15" s="2">
        <v>1.034</v>
      </c>
      <c r="AF15" s="2">
        <v>1.478</v>
      </c>
      <c r="AG15" s="2">
        <v>4.1609999999999996</v>
      </c>
      <c r="AH15" s="2">
        <v>-11.69</v>
      </c>
      <c r="AI15" s="2">
        <v>-9.65</v>
      </c>
      <c r="AJ15" s="2">
        <v>-16.84</v>
      </c>
      <c r="AK15" s="2">
        <v>-9.77</v>
      </c>
      <c r="AL15" s="2">
        <v>-14.13</v>
      </c>
      <c r="AM15" s="2">
        <v>1.393</v>
      </c>
      <c r="AN15" s="2" t="s">
        <v>122</v>
      </c>
      <c r="AO15" s="2">
        <v>17</v>
      </c>
      <c r="AP15" s="2">
        <v>18</v>
      </c>
      <c r="AQ15" s="2">
        <v>59</v>
      </c>
      <c r="AR15" s="2">
        <v>347</v>
      </c>
      <c r="AS15" s="2">
        <v>1076</v>
      </c>
      <c r="AT15" s="2">
        <v>1023</v>
      </c>
      <c r="AU15" s="2">
        <v>267</v>
      </c>
      <c r="AV15" s="2">
        <v>73</v>
      </c>
      <c r="AW15" s="2"/>
      <c r="AX15" s="1">
        <f t="shared" si="0"/>
        <v>1.1819999999999997</v>
      </c>
      <c r="AY15" s="21">
        <f t="shared" si="1"/>
        <v>-0.8</v>
      </c>
      <c r="AZ15" s="5">
        <v>5.63</v>
      </c>
      <c r="BA15" s="1">
        <v>1</v>
      </c>
      <c r="BB15" s="1">
        <v>0.95</v>
      </c>
      <c r="BC15" s="6">
        <f t="shared" si="35"/>
        <v>0.95</v>
      </c>
      <c r="BE15" s="30">
        <v>17.399999999999999</v>
      </c>
      <c r="BF15" s="27">
        <v>1221.9999999999998</v>
      </c>
      <c r="BG15" s="1">
        <f t="shared" si="2"/>
        <v>89</v>
      </c>
      <c r="BH15" s="1">
        <f t="shared" si="3"/>
        <v>87.6</v>
      </c>
      <c r="BI15" s="1">
        <f t="shared" si="4"/>
        <v>85.3</v>
      </c>
      <c r="BJ15" s="7">
        <f t="shared" si="5"/>
        <v>0.25</v>
      </c>
      <c r="BK15" s="7">
        <f t="shared" si="6"/>
        <v>4.2999999999999997E-2</v>
      </c>
      <c r="BM15" s="5">
        <f t="shared" si="7"/>
        <v>1</v>
      </c>
      <c r="BN15" s="5">
        <f t="shared" si="8"/>
        <v>0.95</v>
      </c>
      <c r="BO15" s="1">
        <f t="shared" si="9"/>
        <v>-11.2</v>
      </c>
      <c r="BP15" s="1">
        <f t="shared" si="10"/>
        <v>-9.6999999999999993</v>
      </c>
      <c r="BQ15" s="1">
        <f t="shared" si="11"/>
        <v>-13.6</v>
      </c>
      <c r="BR15" s="1">
        <f t="shared" si="12"/>
        <v>87.6</v>
      </c>
      <c r="BS15" s="1">
        <f t="shared" si="13"/>
        <v>85.3</v>
      </c>
      <c r="BT15" s="1">
        <f t="shared" si="14"/>
        <v>1.5</v>
      </c>
      <c r="BU15" s="1">
        <f t="shared" si="15"/>
        <v>4.2</v>
      </c>
      <c r="BV15" s="33">
        <f t="shared" si="16"/>
        <v>17.399999999999999</v>
      </c>
      <c r="BW15" s="34">
        <f t="shared" si="17"/>
        <v>1.222</v>
      </c>
      <c r="BX15" s="20">
        <f t="shared" si="18"/>
        <v>-0.8</v>
      </c>
      <c r="BY15" s="1">
        <f t="shared" si="19"/>
        <v>-11.7</v>
      </c>
      <c r="BZ15" s="1">
        <f t="shared" si="20"/>
        <v>-9.6999999999999993</v>
      </c>
      <c r="CA15" s="1">
        <f t="shared" si="21"/>
        <v>-16.8</v>
      </c>
      <c r="CB15" s="1">
        <f t="shared" si="22"/>
        <v>-0.1</v>
      </c>
      <c r="CC15" s="1">
        <f t="shared" si="23"/>
        <v>0.9</v>
      </c>
      <c r="CD15" s="1">
        <f t="shared" si="24"/>
        <v>1.6</v>
      </c>
      <c r="CE15" s="1" t="str">
        <f t="shared" si="25"/>
        <v>NAN</v>
      </c>
      <c r="CF15" s="1">
        <f t="shared" si="36"/>
        <v>0.25</v>
      </c>
      <c r="CG15" s="1">
        <f t="shared" si="37"/>
        <v>4.2999999999999997E-2</v>
      </c>
      <c r="CI15" s="1">
        <f t="shared" si="26"/>
        <v>2880</v>
      </c>
      <c r="CJ15" s="1">
        <f t="shared" si="27"/>
        <v>6.0000000000000001E-3</v>
      </c>
      <c r="CK15" s="1">
        <f t="shared" si="28"/>
        <v>6.0000000000000001E-3</v>
      </c>
      <c r="CL15" s="1">
        <f t="shared" si="29"/>
        <v>0.02</v>
      </c>
      <c r="CM15" s="1">
        <f t="shared" si="30"/>
        <v>0.12</v>
      </c>
      <c r="CN15" s="1">
        <f t="shared" si="31"/>
        <v>0.374</v>
      </c>
      <c r="CO15" s="1">
        <f t="shared" si="32"/>
        <v>0.35499999999999998</v>
      </c>
      <c r="CP15" s="1">
        <f t="shared" si="33"/>
        <v>9.2999999999999999E-2</v>
      </c>
      <c r="CQ15" s="1">
        <f t="shared" si="34"/>
        <v>2.5000000000000001E-2</v>
      </c>
      <c r="CS15" s="1">
        <f t="shared" si="38"/>
        <v>0</v>
      </c>
      <c r="CT15" s="1">
        <f t="shared" si="39"/>
        <v>-3.2000000000000011</v>
      </c>
    </row>
    <row r="16" spans="1:98" x14ac:dyDescent="0.2">
      <c r="A16" s="8">
        <f t="shared" si="40"/>
        <v>43841</v>
      </c>
      <c r="B16" s="1">
        <v>11</v>
      </c>
      <c r="C16" s="1">
        <v>11</v>
      </c>
      <c r="D16" s="2">
        <v>13.04</v>
      </c>
      <c r="E16" s="2">
        <v>-4.4400000000000004</v>
      </c>
      <c r="F16" s="2">
        <v>-10.07</v>
      </c>
      <c r="G16" s="2">
        <v>-7.4249999999999998</v>
      </c>
      <c r="H16" s="2">
        <v>90.6</v>
      </c>
      <c r="I16" s="2">
        <v>-0.74099999999999999</v>
      </c>
      <c r="J16" s="2">
        <v>-1.9279999999999999</v>
      </c>
      <c r="K16" s="2">
        <v>-6.3E-2</v>
      </c>
      <c r="L16" s="2">
        <v>0.89900000000000002</v>
      </c>
      <c r="M16" s="2">
        <v>1.667</v>
      </c>
      <c r="N16" s="2">
        <v>-4.3010000000000002</v>
      </c>
      <c r="O16" s="2">
        <v>93.4</v>
      </c>
      <c r="P16" s="2">
        <v>-0.64600000000000002</v>
      </c>
      <c r="Q16" s="2">
        <v>-1.804</v>
      </c>
      <c r="R16" s="2">
        <v>2.9000000000000001E-2</v>
      </c>
      <c r="S16" s="2">
        <v>0.98</v>
      </c>
      <c r="T16" s="2">
        <v>1.7390000000000001</v>
      </c>
      <c r="U16" s="2">
        <v>-9.69</v>
      </c>
      <c r="V16" s="2">
        <v>89</v>
      </c>
      <c r="W16" s="2">
        <v>-0.84599999999999997</v>
      </c>
      <c r="X16" s="2">
        <v>-2.06</v>
      </c>
      <c r="Y16" s="2">
        <v>-0.14899999999999999</v>
      </c>
      <c r="Z16" s="2">
        <v>0.81699999999999995</v>
      </c>
      <c r="AA16" s="2">
        <v>1.5740000000000001</v>
      </c>
      <c r="AB16" s="2">
        <v>1.3140000000000001</v>
      </c>
      <c r="AC16" s="2">
        <v>0</v>
      </c>
      <c r="AD16" s="2">
        <v>0.42899999999999999</v>
      </c>
      <c r="AE16" s="2">
        <v>1.9259999999999999</v>
      </c>
      <c r="AF16" s="2">
        <v>1.3140000000000001</v>
      </c>
      <c r="AG16" s="2">
        <v>4.9390000000000001</v>
      </c>
      <c r="AH16" s="2">
        <v>-7.883</v>
      </c>
      <c r="AI16" s="2">
        <v>-3.4119999999999999</v>
      </c>
      <c r="AJ16" s="2">
        <v>-10.44</v>
      </c>
      <c r="AK16" s="2">
        <v>-3.7749999999999999</v>
      </c>
      <c r="AL16" s="2">
        <v>-9.84</v>
      </c>
      <c r="AM16" s="2">
        <v>1.337</v>
      </c>
      <c r="AN16" s="2" t="s">
        <v>122</v>
      </c>
      <c r="AO16" s="2">
        <v>409</v>
      </c>
      <c r="AP16" s="2">
        <v>56</v>
      </c>
      <c r="AQ16" s="2">
        <v>13</v>
      </c>
      <c r="AR16" s="2">
        <v>83</v>
      </c>
      <c r="AS16" s="2">
        <v>249</v>
      </c>
      <c r="AT16" s="2">
        <v>363</v>
      </c>
      <c r="AU16" s="2">
        <v>668</v>
      </c>
      <c r="AV16" s="2">
        <v>1039</v>
      </c>
      <c r="AW16" s="2"/>
      <c r="AX16" s="1">
        <f t="shared" si="0"/>
        <v>1.2359999999999998</v>
      </c>
      <c r="AY16" s="21">
        <f t="shared" si="1"/>
        <v>-0.9</v>
      </c>
      <c r="AZ16" s="5">
        <v>5.7</v>
      </c>
      <c r="BA16" s="1">
        <v>1.86</v>
      </c>
      <c r="BB16" s="1">
        <v>1.77</v>
      </c>
      <c r="BC16" s="6">
        <f t="shared" si="35"/>
        <v>0.95161290322580638</v>
      </c>
      <c r="BE16" s="30">
        <v>10</v>
      </c>
      <c r="BF16" s="27">
        <v>1275.9999999999998</v>
      </c>
      <c r="BG16" s="1">
        <f t="shared" si="2"/>
        <v>93.4</v>
      </c>
      <c r="BH16" s="1">
        <f t="shared" si="3"/>
        <v>90.6</v>
      </c>
      <c r="BI16" s="1">
        <f t="shared" si="4"/>
        <v>89</v>
      </c>
      <c r="BJ16" s="7">
        <f t="shared" si="5"/>
        <v>0.39500000000000002</v>
      </c>
      <c r="BK16" s="7">
        <f t="shared" si="6"/>
        <v>4.9000000000000002E-2</v>
      </c>
      <c r="BM16" s="5">
        <f t="shared" si="7"/>
        <v>1.86</v>
      </c>
      <c r="BN16" s="5">
        <f t="shared" si="8"/>
        <v>1.77</v>
      </c>
      <c r="BO16" s="1">
        <f t="shared" si="9"/>
        <v>-7.4</v>
      </c>
      <c r="BP16" s="1">
        <f t="shared" si="10"/>
        <v>-4.3</v>
      </c>
      <c r="BQ16" s="1">
        <f t="shared" si="11"/>
        <v>-9.6999999999999993</v>
      </c>
      <c r="BR16" s="1">
        <f t="shared" si="12"/>
        <v>90.6</v>
      </c>
      <c r="BS16" s="1">
        <f t="shared" si="13"/>
        <v>89</v>
      </c>
      <c r="BT16" s="1">
        <f t="shared" si="14"/>
        <v>1.3</v>
      </c>
      <c r="BU16" s="1">
        <f t="shared" si="15"/>
        <v>4.9000000000000004</v>
      </c>
      <c r="BV16" s="33">
        <f t="shared" si="16"/>
        <v>10</v>
      </c>
      <c r="BW16" s="34">
        <f t="shared" si="17"/>
        <v>1.276</v>
      </c>
      <c r="BX16" s="20">
        <f t="shared" si="18"/>
        <v>-0.9</v>
      </c>
      <c r="BY16" s="1">
        <f t="shared" si="19"/>
        <v>-7.9</v>
      </c>
      <c r="BZ16" s="1">
        <f t="shared" si="20"/>
        <v>-3.4</v>
      </c>
      <c r="CA16" s="1">
        <f t="shared" si="21"/>
        <v>-10.4</v>
      </c>
      <c r="CB16" s="1">
        <f t="shared" si="22"/>
        <v>-0.1</v>
      </c>
      <c r="CC16" s="1">
        <f t="shared" si="23"/>
        <v>0.9</v>
      </c>
      <c r="CD16" s="1">
        <f t="shared" si="24"/>
        <v>1.7</v>
      </c>
      <c r="CE16" s="1" t="str">
        <f t="shared" si="25"/>
        <v>NAN</v>
      </c>
      <c r="CF16" s="1">
        <f t="shared" si="36"/>
        <v>0.39500000000000002</v>
      </c>
      <c r="CG16" s="1">
        <f t="shared" si="37"/>
        <v>4.9000000000000002E-2</v>
      </c>
      <c r="CI16" s="1">
        <f t="shared" si="26"/>
        <v>2880</v>
      </c>
      <c r="CJ16" s="1">
        <f t="shared" si="27"/>
        <v>0.14199999999999999</v>
      </c>
      <c r="CK16" s="1">
        <f t="shared" si="28"/>
        <v>1.9E-2</v>
      </c>
      <c r="CL16" s="1">
        <f t="shared" si="29"/>
        <v>5.0000000000000001E-3</v>
      </c>
      <c r="CM16" s="1">
        <f t="shared" si="30"/>
        <v>2.9000000000000001E-2</v>
      </c>
      <c r="CN16" s="1">
        <f t="shared" si="31"/>
        <v>8.5999999999999993E-2</v>
      </c>
      <c r="CO16" s="1">
        <f t="shared" si="32"/>
        <v>0.126</v>
      </c>
      <c r="CP16" s="1">
        <f t="shared" si="33"/>
        <v>0.23200000000000001</v>
      </c>
      <c r="CQ16" s="1">
        <f t="shared" si="34"/>
        <v>0.36099999999999999</v>
      </c>
      <c r="CS16" s="1">
        <f t="shared" si="38"/>
        <v>0.89999999999999991</v>
      </c>
      <c r="CT16" s="1">
        <f t="shared" si="39"/>
        <v>-0.70000000000000107</v>
      </c>
    </row>
    <row r="17" spans="1:98" x14ac:dyDescent="0.2">
      <c r="A17" s="8">
        <f t="shared" si="40"/>
        <v>43842</v>
      </c>
      <c r="B17" s="1">
        <v>12</v>
      </c>
      <c r="C17" s="1">
        <v>11</v>
      </c>
      <c r="D17" s="2">
        <v>12.89</v>
      </c>
      <c r="E17" s="2">
        <v>-7.46</v>
      </c>
      <c r="F17" s="2">
        <v>-25.72</v>
      </c>
      <c r="G17" s="2">
        <v>-12.06</v>
      </c>
      <c r="H17" s="2">
        <v>86.9</v>
      </c>
      <c r="I17" s="2">
        <v>-0.84499999999999997</v>
      </c>
      <c r="J17" s="2">
        <v>-2.0499999999999998</v>
      </c>
      <c r="K17" s="2">
        <v>-0.11600000000000001</v>
      </c>
      <c r="L17" s="2">
        <v>0.84699999999999998</v>
      </c>
      <c r="M17" s="2">
        <v>1.6180000000000001</v>
      </c>
      <c r="N17" s="2">
        <v>-6.7430000000000003</v>
      </c>
      <c r="O17" s="2">
        <v>91.3</v>
      </c>
      <c r="P17" s="2">
        <v>-0.73599999999999999</v>
      </c>
      <c r="Q17" s="2">
        <v>-1.9550000000000001</v>
      </c>
      <c r="R17" s="2">
        <v>-4.0000000000000001E-3</v>
      </c>
      <c r="S17" s="2">
        <v>0.96099999999999997</v>
      </c>
      <c r="T17" s="2">
        <v>1.7170000000000001</v>
      </c>
      <c r="U17" s="2">
        <v>-26.42</v>
      </c>
      <c r="V17" s="2">
        <v>75.680000000000007</v>
      </c>
      <c r="W17" s="2">
        <v>-1.07</v>
      </c>
      <c r="X17" s="2">
        <v>-2.2469999999999999</v>
      </c>
      <c r="Y17" s="2">
        <v>-0.34200000000000003</v>
      </c>
      <c r="Z17" s="2">
        <v>0.60499999999999998</v>
      </c>
      <c r="AA17" s="2">
        <v>1.407</v>
      </c>
      <c r="AB17" s="2">
        <v>1.353</v>
      </c>
      <c r="AC17" s="2">
        <v>0</v>
      </c>
      <c r="AD17" s="2">
        <v>0.216</v>
      </c>
      <c r="AE17" s="2">
        <v>1.133</v>
      </c>
      <c r="AF17" s="2">
        <v>1.413</v>
      </c>
      <c r="AG17" s="2">
        <v>4.42</v>
      </c>
      <c r="AH17" s="2">
        <v>-12.66</v>
      </c>
      <c r="AI17" s="2">
        <v>-7.45</v>
      </c>
      <c r="AJ17" s="2">
        <v>-26.74</v>
      </c>
      <c r="AK17" s="2">
        <v>-7.1</v>
      </c>
      <c r="AL17" s="2">
        <v>-26.69</v>
      </c>
      <c r="AM17" s="2">
        <v>1.4239999999999999</v>
      </c>
      <c r="AN17" s="2" t="s">
        <v>122</v>
      </c>
      <c r="AO17" s="2">
        <v>149</v>
      </c>
      <c r="AP17" s="2">
        <v>598</v>
      </c>
      <c r="AQ17" s="2">
        <v>236</v>
      </c>
      <c r="AR17" s="2">
        <v>123</v>
      </c>
      <c r="AS17" s="2">
        <v>599</v>
      </c>
      <c r="AT17" s="2">
        <v>783</v>
      </c>
      <c r="AU17" s="2">
        <v>280</v>
      </c>
      <c r="AV17" s="2">
        <v>112</v>
      </c>
      <c r="AW17" s="2"/>
      <c r="AX17" s="1">
        <f t="shared" si="0"/>
        <v>1.1969999999999998</v>
      </c>
      <c r="AY17" s="21">
        <f t="shared" si="1"/>
        <v>-1</v>
      </c>
      <c r="AZ17" s="5">
        <v>5.77</v>
      </c>
      <c r="BA17" s="1">
        <v>1.1000000000000001</v>
      </c>
      <c r="BB17" s="1">
        <v>1.04</v>
      </c>
      <c r="BC17" s="6">
        <f t="shared" si="35"/>
        <v>0.94545454545454544</v>
      </c>
      <c r="BE17" s="30">
        <v>8.6999999999999993</v>
      </c>
      <c r="BF17" s="27">
        <v>1236.9999999999998</v>
      </c>
      <c r="BG17" s="1">
        <f t="shared" si="2"/>
        <v>91.3</v>
      </c>
      <c r="BH17" s="1">
        <f t="shared" si="3"/>
        <v>86.9</v>
      </c>
      <c r="BI17" s="1">
        <f t="shared" si="4"/>
        <v>75.7</v>
      </c>
      <c r="BJ17" s="7">
        <f t="shared" si="5"/>
        <v>0.27900000000000003</v>
      </c>
      <c r="BK17" s="7">
        <f t="shared" si="6"/>
        <v>0.09</v>
      </c>
      <c r="BM17" s="5">
        <f t="shared" si="7"/>
        <v>1.1000000000000001</v>
      </c>
      <c r="BN17" s="5">
        <f t="shared" si="8"/>
        <v>1.04</v>
      </c>
      <c r="BO17" s="1">
        <f t="shared" si="9"/>
        <v>-12.1</v>
      </c>
      <c r="BP17" s="1">
        <f t="shared" si="10"/>
        <v>-6.7</v>
      </c>
      <c r="BQ17" s="1">
        <f t="shared" si="11"/>
        <v>-26.4</v>
      </c>
      <c r="BR17" s="1">
        <f t="shared" si="12"/>
        <v>86.9</v>
      </c>
      <c r="BS17" s="1">
        <f t="shared" si="13"/>
        <v>75.7</v>
      </c>
      <c r="BT17" s="1">
        <f t="shared" si="14"/>
        <v>1.4</v>
      </c>
      <c r="BU17" s="1">
        <f t="shared" si="15"/>
        <v>4.4000000000000004</v>
      </c>
      <c r="BV17" s="33">
        <f t="shared" si="16"/>
        <v>8.6999999999999993</v>
      </c>
      <c r="BW17" s="34">
        <f t="shared" si="17"/>
        <v>1.2370000000000001</v>
      </c>
      <c r="BX17" s="20">
        <f t="shared" si="18"/>
        <v>-1</v>
      </c>
      <c r="BY17" s="1">
        <f t="shared" si="19"/>
        <v>-12.7</v>
      </c>
      <c r="BZ17" s="1">
        <f t="shared" si="20"/>
        <v>-7.5</v>
      </c>
      <c r="CA17" s="1">
        <f t="shared" si="21"/>
        <v>-26.7</v>
      </c>
      <c r="CB17" s="1">
        <f t="shared" si="22"/>
        <v>-0.1</v>
      </c>
      <c r="CC17" s="1">
        <f t="shared" si="23"/>
        <v>0.8</v>
      </c>
      <c r="CD17" s="1">
        <f t="shared" si="24"/>
        <v>1.6</v>
      </c>
      <c r="CE17" s="1" t="str">
        <f t="shared" si="25"/>
        <v>NAN</v>
      </c>
      <c r="CF17" s="1">
        <f t="shared" si="36"/>
        <v>0.27900000000000003</v>
      </c>
      <c r="CG17" s="1">
        <f t="shared" si="37"/>
        <v>0.09</v>
      </c>
      <c r="CI17" s="1">
        <f t="shared" si="26"/>
        <v>2880</v>
      </c>
      <c r="CJ17" s="1">
        <f t="shared" si="27"/>
        <v>5.1999999999999998E-2</v>
      </c>
      <c r="CK17" s="1">
        <f t="shared" si="28"/>
        <v>0.20799999999999999</v>
      </c>
      <c r="CL17" s="1">
        <f t="shared" si="29"/>
        <v>8.2000000000000003E-2</v>
      </c>
      <c r="CM17" s="1">
        <f t="shared" si="30"/>
        <v>4.2999999999999997E-2</v>
      </c>
      <c r="CN17" s="1">
        <f t="shared" si="31"/>
        <v>0.20799999999999999</v>
      </c>
      <c r="CO17" s="1">
        <f t="shared" si="32"/>
        <v>0.27200000000000002</v>
      </c>
      <c r="CP17" s="1">
        <f t="shared" si="33"/>
        <v>9.7000000000000003E-2</v>
      </c>
      <c r="CQ17" s="1">
        <f t="shared" si="34"/>
        <v>3.9E-2</v>
      </c>
      <c r="CS17" s="1">
        <f t="shared" si="38"/>
        <v>-0.79999999999999982</v>
      </c>
      <c r="CT17" s="1">
        <f t="shared" si="39"/>
        <v>-0.30000000000000071</v>
      </c>
    </row>
    <row r="18" spans="1:98" x14ac:dyDescent="0.2">
      <c r="A18" s="8">
        <f t="shared" si="40"/>
        <v>43843</v>
      </c>
      <c r="B18" s="1">
        <v>13</v>
      </c>
      <c r="C18" s="1">
        <v>11</v>
      </c>
      <c r="D18" s="2">
        <v>13.02</v>
      </c>
      <c r="E18" s="2">
        <v>-19.86</v>
      </c>
      <c r="F18" s="2">
        <v>-29.45</v>
      </c>
      <c r="G18" s="2">
        <v>-24.14</v>
      </c>
      <c r="H18" s="2">
        <v>76.87</v>
      </c>
      <c r="I18" s="2">
        <v>-0.97299999999999998</v>
      </c>
      <c r="J18" s="2">
        <v>-2.137</v>
      </c>
      <c r="K18" s="2">
        <v>-0.245</v>
      </c>
      <c r="L18" s="2">
        <v>0.71699999999999997</v>
      </c>
      <c r="M18" s="2">
        <v>1.464</v>
      </c>
      <c r="N18" s="2">
        <v>-18.61</v>
      </c>
      <c r="O18" s="2">
        <v>80.099999999999994</v>
      </c>
      <c r="P18" s="2">
        <v>-0.88200000000000001</v>
      </c>
      <c r="Q18" s="2">
        <v>-2.0369999999999999</v>
      </c>
      <c r="R18" s="2">
        <v>-0.157</v>
      </c>
      <c r="S18" s="2">
        <v>0.80600000000000005</v>
      </c>
      <c r="T18" s="2">
        <v>1.5569999999999999</v>
      </c>
      <c r="U18" s="2">
        <v>-29.38</v>
      </c>
      <c r="V18" s="2">
        <v>73.87</v>
      </c>
      <c r="W18" s="2">
        <v>-1.07</v>
      </c>
      <c r="X18" s="2">
        <v>-2.2669999999999999</v>
      </c>
      <c r="Y18" s="2">
        <v>-0.34699999999999998</v>
      </c>
      <c r="Z18" s="2">
        <v>0.61899999999999999</v>
      </c>
      <c r="AA18" s="2">
        <v>1.3740000000000001</v>
      </c>
      <c r="AB18" s="2">
        <v>1.405</v>
      </c>
      <c r="AC18" s="2">
        <v>0</v>
      </c>
      <c r="AD18" s="2">
        <v>0.54900000000000004</v>
      </c>
      <c r="AE18" s="2">
        <v>2.4860000000000002</v>
      </c>
      <c r="AF18" s="2">
        <v>1.155</v>
      </c>
      <c r="AG18" s="2">
        <v>4.2939999999999996</v>
      </c>
      <c r="AH18" s="2">
        <v>-24.26</v>
      </c>
      <c r="AI18" s="2">
        <v>-19.16</v>
      </c>
      <c r="AJ18" s="2">
        <v>-29.95</v>
      </c>
      <c r="AK18" s="2">
        <v>-19.11</v>
      </c>
      <c r="AL18" s="2">
        <v>-29.71</v>
      </c>
      <c r="AM18" s="2">
        <v>1.462</v>
      </c>
      <c r="AN18" s="2" t="s">
        <v>122</v>
      </c>
      <c r="AO18" s="2">
        <v>181</v>
      </c>
      <c r="AP18" s="2">
        <v>791</v>
      </c>
      <c r="AQ18" s="2">
        <v>524</v>
      </c>
      <c r="AR18" s="2">
        <v>172</v>
      </c>
      <c r="AS18" s="2">
        <v>133</v>
      </c>
      <c r="AT18" s="2">
        <v>284</v>
      </c>
      <c r="AU18" s="2">
        <v>601</v>
      </c>
      <c r="AV18" s="2">
        <v>194</v>
      </c>
      <c r="AW18" s="2"/>
      <c r="AX18" s="1">
        <f t="shared" si="0"/>
        <v>1.1449999999999998</v>
      </c>
      <c r="AY18" s="21">
        <f t="shared" si="1"/>
        <v>-1.1000000000000001</v>
      </c>
      <c r="AZ18" s="5">
        <v>5.85</v>
      </c>
      <c r="BA18" s="1">
        <v>2.41</v>
      </c>
      <c r="BB18" s="1">
        <v>2.29</v>
      </c>
      <c r="BC18" s="6">
        <f t="shared" si="35"/>
        <v>0.950207468879668</v>
      </c>
      <c r="BE18" s="30">
        <v>0</v>
      </c>
      <c r="BF18" s="27">
        <v>1184.9999999999998</v>
      </c>
      <c r="BG18" s="1">
        <f t="shared" si="2"/>
        <v>80.099999999999994</v>
      </c>
      <c r="BH18" s="1">
        <f t="shared" si="3"/>
        <v>76.900000000000006</v>
      </c>
      <c r="BI18" s="1">
        <f t="shared" si="4"/>
        <v>73.900000000000006</v>
      </c>
      <c r="BJ18" s="7">
        <f t="shared" si="5"/>
        <v>0.104</v>
      </c>
      <c r="BK18" s="7">
        <f t="shared" si="6"/>
        <v>3.6999999999999998E-2</v>
      </c>
      <c r="BM18" s="5">
        <f t="shared" si="7"/>
        <v>2.41</v>
      </c>
      <c r="BN18" s="5">
        <f t="shared" si="8"/>
        <v>2.29</v>
      </c>
      <c r="BO18" s="1">
        <f t="shared" si="9"/>
        <v>-24.1</v>
      </c>
      <c r="BP18" s="1">
        <f t="shared" si="10"/>
        <v>-18.600000000000001</v>
      </c>
      <c r="BQ18" s="1">
        <f t="shared" si="11"/>
        <v>-29.4</v>
      </c>
      <c r="BR18" s="1">
        <f t="shared" si="12"/>
        <v>76.900000000000006</v>
      </c>
      <c r="BS18" s="1">
        <f t="shared" si="13"/>
        <v>73.900000000000006</v>
      </c>
      <c r="BT18" s="1">
        <f t="shared" si="14"/>
        <v>1.2</v>
      </c>
      <c r="BU18" s="1">
        <f t="shared" si="15"/>
        <v>4.3</v>
      </c>
      <c r="BV18" s="33">
        <f t="shared" si="16"/>
        <v>0</v>
      </c>
      <c r="BW18" s="34">
        <f t="shared" si="17"/>
        <v>1.1850000000000001</v>
      </c>
      <c r="BX18" s="20">
        <f t="shared" si="18"/>
        <v>-1.1000000000000001</v>
      </c>
      <c r="BY18" s="1">
        <f t="shared" si="19"/>
        <v>-24.3</v>
      </c>
      <c r="BZ18" s="1">
        <f t="shared" si="20"/>
        <v>-19.2</v>
      </c>
      <c r="CA18" s="1">
        <f t="shared" si="21"/>
        <v>-30</v>
      </c>
      <c r="CB18" s="1">
        <f t="shared" si="22"/>
        <v>-0.2</v>
      </c>
      <c r="CC18" s="1">
        <f t="shared" si="23"/>
        <v>0.7</v>
      </c>
      <c r="CD18" s="1">
        <f t="shared" si="24"/>
        <v>1.5</v>
      </c>
      <c r="CE18" s="1" t="str">
        <f t="shared" si="25"/>
        <v>NAN</v>
      </c>
      <c r="CF18" s="1">
        <f t="shared" si="36"/>
        <v>0.104</v>
      </c>
      <c r="CG18" s="1">
        <f t="shared" si="37"/>
        <v>3.6999999999999998E-2</v>
      </c>
      <c r="CI18" s="1">
        <f t="shared" si="26"/>
        <v>2880</v>
      </c>
      <c r="CJ18" s="1">
        <f t="shared" si="27"/>
        <v>6.3E-2</v>
      </c>
      <c r="CK18" s="1">
        <f t="shared" si="28"/>
        <v>0.27500000000000002</v>
      </c>
      <c r="CL18" s="1">
        <f t="shared" si="29"/>
        <v>0.182</v>
      </c>
      <c r="CM18" s="1">
        <f t="shared" si="30"/>
        <v>0.06</v>
      </c>
      <c r="CN18" s="1">
        <f t="shared" si="31"/>
        <v>4.5999999999999999E-2</v>
      </c>
      <c r="CO18" s="1">
        <f t="shared" si="32"/>
        <v>9.9000000000000005E-2</v>
      </c>
      <c r="CP18" s="1">
        <f t="shared" si="33"/>
        <v>0.20899999999999999</v>
      </c>
      <c r="CQ18" s="1">
        <f t="shared" si="34"/>
        <v>6.7000000000000004E-2</v>
      </c>
      <c r="CS18" s="1">
        <f t="shared" si="38"/>
        <v>-0.59999999999999787</v>
      </c>
      <c r="CT18" s="1">
        <f t="shared" si="39"/>
        <v>-0.60000000000000142</v>
      </c>
    </row>
    <row r="19" spans="1:98" x14ac:dyDescent="0.2">
      <c r="A19" s="8">
        <f t="shared" si="40"/>
        <v>43844</v>
      </c>
      <c r="B19" s="1">
        <v>14</v>
      </c>
      <c r="C19" s="1">
        <v>11</v>
      </c>
      <c r="D19" s="2">
        <v>13.05</v>
      </c>
      <c r="E19" s="2">
        <v>-16.96</v>
      </c>
      <c r="F19" s="2">
        <v>-22.16</v>
      </c>
      <c r="G19" s="2">
        <v>-20.36</v>
      </c>
      <c r="H19" s="2">
        <v>78.98</v>
      </c>
      <c r="I19" s="2">
        <v>-0.95299999999999996</v>
      </c>
      <c r="J19" s="2">
        <v>-2.1219999999999999</v>
      </c>
      <c r="K19" s="2">
        <v>-0.23300000000000001</v>
      </c>
      <c r="L19" s="2">
        <v>0.72899999999999998</v>
      </c>
      <c r="M19" s="2">
        <v>1.4730000000000001</v>
      </c>
      <c r="N19" s="2">
        <v>-15.25</v>
      </c>
      <c r="O19" s="2">
        <v>84.1</v>
      </c>
      <c r="P19" s="2">
        <v>-0.875</v>
      </c>
      <c r="Q19" s="2">
        <v>-2.0369999999999999</v>
      </c>
      <c r="R19" s="2">
        <v>-0.151</v>
      </c>
      <c r="S19" s="2">
        <v>0.81599999999999995</v>
      </c>
      <c r="T19" s="2">
        <v>1.571</v>
      </c>
      <c r="U19" s="2">
        <v>-22.68</v>
      </c>
      <c r="V19" s="2">
        <v>77.290000000000006</v>
      </c>
      <c r="W19" s="2">
        <v>-1.0369999999999999</v>
      </c>
      <c r="X19" s="2">
        <v>-2.2210000000000001</v>
      </c>
      <c r="Y19" s="2">
        <v>-0.314</v>
      </c>
      <c r="Z19" s="2">
        <v>0.64500000000000002</v>
      </c>
      <c r="AA19" s="2">
        <v>1.389</v>
      </c>
      <c r="AB19" s="2">
        <v>1.423</v>
      </c>
      <c r="AC19" s="2">
        <v>0</v>
      </c>
      <c r="AD19" s="2">
        <v>0.59499999999999997</v>
      </c>
      <c r="AE19" s="2">
        <v>2.6869999999999998</v>
      </c>
      <c r="AF19" s="2">
        <v>0.25900000000000001</v>
      </c>
      <c r="AG19" s="2">
        <v>2.1949999999999998</v>
      </c>
      <c r="AH19" s="2">
        <v>-21.03</v>
      </c>
      <c r="AI19" s="2">
        <v>-14.88</v>
      </c>
      <c r="AJ19" s="2">
        <v>-25.42</v>
      </c>
      <c r="AK19" s="2">
        <v>-12.6</v>
      </c>
      <c r="AL19" s="2">
        <v>-23.4</v>
      </c>
      <c r="AM19" s="2">
        <v>1.476</v>
      </c>
      <c r="AN19" s="2" t="s">
        <v>122</v>
      </c>
      <c r="AO19" s="2">
        <v>164</v>
      </c>
      <c r="AP19" s="2">
        <v>236</v>
      </c>
      <c r="AQ19" s="2">
        <v>252</v>
      </c>
      <c r="AR19" s="2">
        <v>226</v>
      </c>
      <c r="AS19" s="2">
        <v>236</v>
      </c>
      <c r="AT19" s="2">
        <v>530</v>
      </c>
      <c r="AU19" s="2">
        <v>856</v>
      </c>
      <c r="AV19" s="2">
        <v>380</v>
      </c>
      <c r="AW19" s="2"/>
      <c r="AX19" s="1">
        <f t="shared" si="0"/>
        <v>1.1269999999999998</v>
      </c>
      <c r="AY19" s="21">
        <f t="shared" si="1"/>
        <v>-1.1000000000000001</v>
      </c>
      <c r="AZ19" s="5">
        <v>5.93</v>
      </c>
      <c r="BA19" s="1">
        <v>2.6</v>
      </c>
      <c r="BB19" s="1">
        <v>2.4700000000000002</v>
      </c>
      <c r="BC19" s="6">
        <f t="shared" si="35"/>
        <v>0.95000000000000007</v>
      </c>
      <c r="BE19" s="30">
        <v>0</v>
      </c>
      <c r="BF19" s="27">
        <v>1166.9999999999998</v>
      </c>
      <c r="BG19" s="1">
        <f t="shared" si="2"/>
        <v>84.1</v>
      </c>
      <c r="BH19" s="1">
        <f t="shared" si="3"/>
        <v>79</v>
      </c>
      <c r="BI19" s="1">
        <f t="shared" si="4"/>
        <v>77.3</v>
      </c>
      <c r="BJ19" s="7">
        <f t="shared" si="5"/>
        <v>0.14399999999999999</v>
      </c>
      <c r="BK19" s="7">
        <f t="shared" si="6"/>
        <v>4.2000000000000003E-2</v>
      </c>
      <c r="BM19" s="5">
        <f t="shared" si="7"/>
        <v>2.6</v>
      </c>
      <c r="BN19" s="5">
        <f t="shared" si="8"/>
        <v>2.4700000000000002</v>
      </c>
      <c r="BO19" s="1">
        <f t="shared" si="9"/>
        <v>-20.399999999999999</v>
      </c>
      <c r="BP19" s="1">
        <f t="shared" si="10"/>
        <v>-15.3</v>
      </c>
      <c r="BQ19" s="1">
        <f t="shared" si="11"/>
        <v>-22.7</v>
      </c>
      <c r="BR19" s="1">
        <f t="shared" si="12"/>
        <v>79</v>
      </c>
      <c r="BS19" s="1">
        <f t="shared" si="13"/>
        <v>77.3</v>
      </c>
      <c r="BT19" s="1">
        <f t="shared" si="14"/>
        <v>0.3</v>
      </c>
      <c r="BU19" s="1">
        <f t="shared" si="15"/>
        <v>2.2000000000000002</v>
      </c>
      <c r="BV19" s="33">
        <f t="shared" si="16"/>
        <v>0</v>
      </c>
      <c r="BW19" s="34">
        <f t="shared" si="17"/>
        <v>1.167</v>
      </c>
      <c r="BX19" s="20">
        <f t="shared" si="18"/>
        <v>-1.1000000000000001</v>
      </c>
      <c r="BY19" s="1">
        <f t="shared" si="19"/>
        <v>-21</v>
      </c>
      <c r="BZ19" s="1">
        <f t="shared" si="20"/>
        <v>-14.9</v>
      </c>
      <c r="CA19" s="1">
        <f t="shared" si="21"/>
        <v>-25.4</v>
      </c>
      <c r="CB19" s="1">
        <f t="shared" si="22"/>
        <v>-0.2</v>
      </c>
      <c r="CC19" s="1">
        <f t="shared" si="23"/>
        <v>0.7</v>
      </c>
      <c r="CD19" s="1">
        <f t="shared" si="24"/>
        <v>1.5</v>
      </c>
      <c r="CE19" s="1" t="str">
        <f t="shared" si="25"/>
        <v>NAN</v>
      </c>
      <c r="CF19" s="1">
        <f t="shared" si="36"/>
        <v>0.14399999999999999</v>
      </c>
      <c r="CG19" s="1">
        <f t="shared" si="37"/>
        <v>4.2000000000000003E-2</v>
      </c>
      <c r="CI19" s="1">
        <f t="shared" si="26"/>
        <v>2880</v>
      </c>
      <c r="CJ19" s="1">
        <f t="shared" si="27"/>
        <v>5.7000000000000002E-2</v>
      </c>
      <c r="CK19" s="1">
        <f t="shared" si="28"/>
        <v>8.2000000000000003E-2</v>
      </c>
      <c r="CL19" s="1">
        <f t="shared" si="29"/>
        <v>8.7999999999999995E-2</v>
      </c>
      <c r="CM19" s="1">
        <f t="shared" si="30"/>
        <v>7.8E-2</v>
      </c>
      <c r="CN19" s="1">
        <f t="shared" si="31"/>
        <v>8.2000000000000003E-2</v>
      </c>
      <c r="CO19" s="1">
        <f t="shared" si="32"/>
        <v>0.184</v>
      </c>
      <c r="CP19" s="1">
        <f t="shared" si="33"/>
        <v>0.29699999999999999</v>
      </c>
      <c r="CQ19" s="1">
        <f t="shared" si="34"/>
        <v>0.13200000000000001</v>
      </c>
      <c r="CS19" s="1">
        <f t="shared" si="38"/>
        <v>0.40000000000000036</v>
      </c>
      <c r="CT19" s="1">
        <f t="shared" si="39"/>
        <v>-2.6999999999999993</v>
      </c>
    </row>
    <row r="20" spans="1:98" x14ac:dyDescent="0.2">
      <c r="A20" s="8">
        <f t="shared" si="40"/>
        <v>43845</v>
      </c>
      <c r="B20" s="1">
        <v>15</v>
      </c>
      <c r="C20" s="1">
        <v>11</v>
      </c>
      <c r="D20" s="2">
        <v>12.87</v>
      </c>
      <c r="E20" s="2">
        <v>-12.53</v>
      </c>
      <c r="F20" s="2">
        <v>-20.66</v>
      </c>
      <c r="G20" s="2">
        <v>-16.21</v>
      </c>
      <c r="H20" s="2">
        <v>82.7</v>
      </c>
      <c r="I20" s="2">
        <v>-0.93</v>
      </c>
      <c r="J20" s="2">
        <v>-2.1819999999999999</v>
      </c>
      <c r="K20" s="2">
        <v>-0.16</v>
      </c>
      <c r="L20" s="2">
        <v>0.80100000000000005</v>
      </c>
      <c r="M20" s="2">
        <v>1.538</v>
      </c>
      <c r="N20" s="2">
        <v>-12</v>
      </c>
      <c r="O20" s="2">
        <v>86.6</v>
      </c>
      <c r="P20" s="2">
        <v>-0.82099999999999995</v>
      </c>
      <c r="Q20" s="2">
        <v>-2.0870000000000002</v>
      </c>
      <c r="R20" s="2">
        <v>-1.9E-2</v>
      </c>
      <c r="S20" s="2">
        <v>0.92300000000000004</v>
      </c>
      <c r="T20" s="2">
        <v>1.6659999999999999</v>
      </c>
      <c r="U20" s="2">
        <v>-20.34</v>
      </c>
      <c r="V20" s="2">
        <v>78.64</v>
      </c>
      <c r="W20" s="2">
        <v>-1.0509999999999999</v>
      </c>
      <c r="X20" s="2">
        <v>-2.282</v>
      </c>
      <c r="Y20" s="2">
        <v>-0.30199999999999999</v>
      </c>
      <c r="Z20" s="2">
        <v>0.65400000000000003</v>
      </c>
      <c r="AA20" s="2">
        <v>1.4219999999999999</v>
      </c>
      <c r="AB20" s="2">
        <v>1.329</v>
      </c>
      <c r="AC20" s="2">
        <v>0</v>
      </c>
      <c r="AD20" s="2">
        <v>0.49</v>
      </c>
      <c r="AE20" s="2">
        <v>2.3759999999999999</v>
      </c>
      <c r="AF20" s="2">
        <v>1.8260000000000001</v>
      </c>
      <c r="AG20" s="2">
        <v>5.7619999999999996</v>
      </c>
      <c r="AH20" s="2">
        <v>-16.940000000000001</v>
      </c>
      <c r="AI20" s="2">
        <v>-12.31</v>
      </c>
      <c r="AJ20" s="2">
        <v>-23.47</v>
      </c>
      <c r="AK20" s="2">
        <v>-12.39</v>
      </c>
      <c r="AL20" s="2">
        <v>-20.84</v>
      </c>
      <c r="AM20" s="2">
        <v>1.359</v>
      </c>
      <c r="AN20" s="2" t="s">
        <v>122</v>
      </c>
      <c r="AO20" s="2">
        <v>4</v>
      </c>
      <c r="AP20" s="2">
        <v>5</v>
      </c>
      <c r="AQ20" s="2">
        <v>43</v>
      </c>
      <c r="AR20" s="2">
        <v>229</v>
      </c>
      <c r="AS20" s="2">
        <v>977</v>
      </c>
      <c r="AT20" s="2">
        <v>1262</v>
      </c>
      <c r="AU20" s="2">
        <v>336</v>
      </c>
      <c r="AV20" s="2">
        <v>24</v>
      </c>
      <c r="AW20" s="2"/>
      <c r="AX20" s="1">
        <f t="shared" si="0"/>
        <v>1.2209999999999999</v>
      </c>
      <c r="AY20" s="21">
        <f t="shared" si="1"/>
        <v>-1.1000000000000001</v>
      </c>
      <c r="AZ20" s="5">
        <v>6.02</v>
      </c>
      <c r="BA20" s="1">
        <v>2.2999999999999998</v>
      </c>
      <c r="BB20" s="1">
        <v>2.19</v>
      </c>
      <c r="BC20" s="6">
        <f t="shared" si="35"/>
        <v>0.95217391304347831</v>
      </c>
      <c r="BE20" s="30">
        <v>10.6</v>
      </c>
      <c r="BF20" s="27">
        <v>1261</v>
      </c>
      <c r="BG20" s="1">
        <f t="shared" si="2"/>
        <v>86.6</v>
      </c>
      <c r="BH20" s="1">
        <f t="shared" si="3"/>
        <v>82.7</v>
      </c>
      <c r="BI20" s="1">
        <f t="shared" si="4"/>
        <v>78.599999999999994</v>
      </c>
      <c r="BJ20" s="7">
        <f t="shared" si="5"/>
        <v>0.191</v>
      </c>
      <c r="BK20" s="7">
        <f t="shared" si="6"/>
        <v>5.1999999999999998E-2</v>
      </c>
      <c r="BM20" s="5">
        <f t="shared" si="7"/>
        <v>2.2999999999999998</v>
      </c>
      <c r="BN20" s="5">
        <f t="shared" si="8"/>
        <v>2.19</v>
      </c>
      <c r="BO20" s="1">
        <f t="shared" si="9"/>
        <v>-16.2</v>
      </c>
      <c r="BP20" s="1">
        <f t="shared" si="10"/>
        <v>-12</v>
      </c>
      <c r="BQ20" s="1">
        <f t="shared" si="11"/>
        <v>-20.3</v>
      </c>
      <c r="BR20" s="1">
        <f t="shared" si="12"/>
        <v>82.7</v>
      </c>
      <c r="BS20" s="1">
        <f t="shared" si="13"/>
        <v>78.599999999999994</v>
      </c>
      <c r="BT20" s="1">
        <f t="shared" si="14"/>
        <v>1.8</v>
      </c>
      <c r="BU20" s="1">
        <f t="shared" si="15"/>
        <v>5.8</v>
      </c>
      <c r="BV20" s="33">
        <f t="shared" si="16"/>
        <v>10.6</v>
      </c>
      <c r="BW20" s="34">
        <f t="shared" si="17"/>
        <v>1.2609999999999999</v>
      </c>
      <c r="BX20" s="20">
        <f t="shared" si="18"/>
        <v>-1.1000000000000001</v>
      </c>
      <c r="BY20" s="1">
        <f t="shared" si="19"/>
        <v>-16.899999999999999</v>
      </c>
      <c r="BZ20" s="1">
        <f t="shared" si="20"/>
        <v>-12.3</v>
      </c>
      <c r="CA20" s="1">
        <f t="shared" si="21"/>
        <v>-23.5</v>
      </c>
      <c r="CB20" s="1">
        <f t="shared" si="22"/>
        <v>-0.2</v>
      </c>
      <c r="CC20" s="1">
        <f t="shared" si="23"/>
        <v>0.8</v>
      </c>
      <c r="CD20" s="1">
        <f t="shared" si="24"/>
        <v>1.5</v>
      </c>
      <c r="CE20" s="1" t="str">
        <f t="shared" si="25"/>
        <v>NAN</v>
      </c>
      <c r="CF20" s="1">
        <f t="shared" si="36"/>
        <v>0.191</v>
      </c>
      <c r="CG20" s="1">
        <f t="shared" si="37"/>
        <v>5.1999999999999998E-2</v>
      </c>
      <c r="CI20" s="1">
        <f t="shared" si="26"/>
        <v>2880</v>
      </c>
      <c r="CJ20" s="1">
        <f t="shared" si="27"/>
        <v>1E-3</v>
      </c>
      <c r="CK20" s="1">
        <f t="shared" si="28"/>
        <v>2E-3</v>
      </c>
      <c r="CL20" s="1">
        <f t="shared" si="29"/>
        <v>1.4999999999999999E-2</v>
      </c>
      <c r="CM20" s="1">
        <f t="shared" si="30"/>
        <v>0.08</v>
      </c>
      <c r="CN20" s="1">
        <f t="shared" si="31"/>
        <v>0.33900000000000002</v>
      </c>
      <c r="CO20" s="1">
        <f t="shared" si="32"/>
        <v>0.438</v>
      </c>
      <c r="CP20" s="1">
        <f t="shared" si="33"/>
        <v>0.11700000000000001</v>
      </c>
      <c r="CQ20" s="1">
        <f t="shared" si="34"/>
        <v>8.0000000000000002E-3</v>
      </c>
      <c r="CS20" s="1">
        <f t="shared" si="38"/>
        <v>-0.30000000000000071</v>
      </c>
      <c r="CT20" s="1">
        <f t="shared" si="39"/>
        <v>-3.1999999999999993</v>
      </c>
    </row>
    <row r="21" spans="1:98" x14ac:dyDescent="0.2">
      <c r="A21" s="8">
        <f t="shared" si="40"/>
        <v>43846</v>
      </c>
      <c r="B21" s="1">
        <v>16</v>
      </c>
      <c r="C21" s="1">
        <v>11</v>
      </c>
      <c r="D21" s="2">
        <v>12.93</v>
      </c>
      <c r="E21" s="2">
        <v>-6.2919999999999998</v>
      </c>
      <c r="F21" s="2">
        <v>-15.14</v>
      </c>
      <c r="G21" s="2">
        <v>-9.01</v>
      </c>
      <c r="H21" s="2">
        <v>89.3</v>
      </c>
      <c r="I21" s="2">
        <v>-0.92</v>
      </c>
      <c r="J21" s="2">
        <v>-2.2919999999999998</v>
      </c>
      <c r="K21" s="2">
        <v>-8.4000000000000005E-2</v>
      </c>
      <c r="L21" s="2">
        <v>0.877</v>
      </c>
      <c r="M21" s="2">
        <v>1.6160000000000001</v>
      </c>
      <c r="N21" s="2">
        <v>-4.5720000000000001</v>
      </c>
      <c r="O21" s="2">
        <v>93.2</v>
      </c>
      <c r="P21" s="2">
        <v>-0.83099999999999996</v>
      </c>
      <c r="Q21" s="2">
        <v>-2.1680000000000001</v>
      </c>
      <c r="R21" s="2">
        <v>1.4E-2</v>
      </c>
      <c r="S21" s="2">
        <v>0.96699999999999997</v>
      </c>
      <c r="T21" s="2">
        <v>1.7010000000000001</v>
      </c>
      <c r="U21" s="2">
        <v>-13.59</v>
      </c>
      <c r="V21" s="2">
        <v>85.3</v>
      </c>
      <c r="W21" s="2">
        <v>-1.0569999999999999</v>
      </c>
      <c r="X21" s="2">
        <v>-2.4569999999999999</v>
      </c>
      <c r="Y21" s="2">
        <v>-0.224</v>
      </c>
      <c r="Z21" s="2">
        <v>0.76200000000000001</v>
      </c>
      <c r="AA21" s="2">
        <v>1.522</v>
      </c>
      <c r="AB21" s="2">
        <v>1.329</v>
      </c>
      <c r="AC21" s="2">
        <v>0</v>
      </c>
      <c r="AD21" s="2">
        <v>0.31900000000000001</v>
      </c>
      <c r="AE21" s="2">
        <v>1.645</v>
      </c>
      <c r="AF21" s="2">
        <v>0.91300000000000003</v>
      </c>
      <c r="AG21" s="2">
        <v>3.3929999999999998</v>
      </c>
      <c r="AH21" s="2">
        <v>-9.73</v>
      </c>
      <c r="AI21" s="2">
        <v>-4.9969999999999999</v>
      </c>
      <c r="AJ21" s="2">
        <v>-15.24</v>
      </c>
      <c r="AK21" s="2">
        <v>-4.835</v>
      </c>
      <c r="AL21" s="2">
        <v>-14.74</v>
      </c>
      <c r="AM21" s="2">
        <v>1.363</v>
      </c>
      <c r="AN21" s="2" t="s">
        <v>122</v>
      </c>
      <c r="AO21" s="2">
        <v>248</v>
      </c>
      <c r="AP21" s="2">
        <v>124</v>
      </c>
      <c r="AQ21" s="2">
        <v>40</v>
      </c>
      <c r="AR21" s="2">
        <v>118</v>
      </c>
      <c r="AS21" s="2">
        <v>607</v>
      </c>
      <c r="AT21" s="2">
        <v>1415</v>
      </c>
      <c r="AU21" s="2">
        <v>176</v>
      </c>
      <c r="AV21" s="2">
        <v>152</v>
      </c>
      <c r="AW21" s="2"/>
      <c r="AX21" s="1">
        <f t="shared" si="0"/>
        <v>1.2209999999999999</v>
      </c>
      <c r="AY21" s="21">
        <f t="shared" si="1"/>
        <v>-1.1000000000000001</v>
      </c>
      <c r="AZ21" s="5">
        <v>6.11</v>
      </c>
      <c r="BA21" s="1">
        <v>1.59</v>
      </c>
      <c r="BB21" s="1">
        <v>1.51</v>
      </c>
      <c r="BC21" s="6">
        <f t="shared" si="35"/>
        <v>0.94968553459119498</v>
      </c>
      <c r="BE21" s="30">
        <v>3.8</v>
      </c>
      <c r="BF21" s="27">
        <v>1261</v>
      </c>
      <c r="BG21" s="1">
        <f t="shared" si="2"/>
        <v>93.2</v>
      </c>
      <c r="BH21" s="1">
        <f t="shared" si="3"/>
        <v>89.3</v>
      </c>
      <c r="BI21" s="1">
        <f t="shared" si="4"/>
        <v>85.3</v>
      </c>
      <c r="BJ21" s="7">
        <f t="shared" si="5"/>
        <v>0.371</v>
      </c>
      <c r="BK21" s="7">
        <f t="shared" si="6"/>
        <v>6.4000000000000001E-2</v>
      </c>
      <c r="BM21" s="5">
        <f t="shared" si="7"/>
        <v>1.59</v>
      </c>
      <c r="BN21" s="5">
        <f t="shared" si="8"/>
        <v>1.51</v>
      </c>
      <c r="BO21" s="1">
        <f t="shared" si="9"/>
        <v>-9</v>
      </c>
      <c r="BP21" s="1">
        <f t="shared" si="10"/>
        <v>-4.5999999999999996</v>
      </c>
      <c r="BQ21" s="1">
        <f t="shared" si="11"/>
        <v>-13.6</v>
      </c>
      <c r="BR21" s="1">
        <f t="shared" si="12"/>
        <v>89.3</v>
      </c>
      <c r="BS21" s="1">
        <f t="shared" si="13"/>
        <v>85.3</v>
      </c>
      <c r="BT21" s="1">
        <f t="shared" si="14"/>
        <v>0.9</v>
      </c>
      <c r="BU21" s="1">
        <f t="shared" si="15"/>
        <v>3.4</v>
      </c>
      <c r="BV21" s="33">
        <f t="shared" si="16"/>
        <v>3.8</v>
      </c>
      <c r="BW21" s="34">
        <f t="shared" si="17"/>
        <v>1.2609999999999999</v>
      </c>
      <c r="BX21" s="20">
        <f t="shared" si="18"/>
        <v>-1.1000000000000001</v>
      </c>
      <c r="BY21" s="1">
        <f t="shared" si="19"/>
        <v>-9.6999999999999993</v>
      </c>
      <c r="BZ21" s="1">
        <f t="shared" si="20"/>
        <v>-5</v>
      </c>
      <c r="CA21" s="1">
        <f t="shared" si="21"/>
        <v>-15.2</v>
      </c>
      <c r="CB21" s="1">
        <f t="shared" si="22"/>
        <v>-0.1</v>
      </c>
      <c r="CC21" s="1">
        <f t="shared" si="23"/>
        <v>0.9</v>
      </c>
      <c r="CD21" s="1">
        <f t="shared" si="24"/>
        <v>1.6</v>
      </c>
      <c r="CE21" s="1" t="str">
        <f t="shared" si="25"/>
        <v>NAN</v>
      </c>
      <c r="CF21" s="1">
        <f t="shared" si="36"/>
        <v>0.371</v>
      </c>
      <c r="CG21" s="1">
        <f t="shared" si="37"/>
        <v>6.4000000000000001E-2</v>
      </c>
      <c r="CI21" s="1">
        <f t="shared" si="26"/>
        <v>2880</v>
      </c>
      <c r="CJ21" s="1">
        <f t="shared" si="27"/>
        <v>8.5999999999999993E-2</v>
      </c>
      <c r="CK21" s="1">
        <f t="shared" si="28"/>
        <v>4.2999999999999997E-2</v>
      </c>
      <c r="CL21" s="1">
        <f t="shared" si="29"/>
        <v>1.4E-2</v>
      </c>
      <c r="CM21" s="1">
        <f t="shared" si="30"/>
        <v>4.1000000000000002E-2</v>
      </c>
      <c r="CN21" s="1">
        <f t="shared" si="31"/>
        <v>0.21099999999999999</v>
      </c>
      <c r="CO21" s="1">
        <f t="shared" si="32"/>
        <v>0.49099999999999999</v>
      </c>
      <c r="CP21" s="1">
        <f t="shared" si="33"/>
        <v>6.0999999999999999E-2</v>
      </c>
      <c r="CQ21" s="1">
        <f t="shared" si="34"/>
        <v>5.2999999999999999E-2</v>
      </c>
      <c r="CS21" s="1">
        <f t="shared" si="38"/>
        <v>-0.40000000000000036</v>
      </c>
      <c r="CT21" s="1">
        <f t="shared" si="39"/>
        <v>-1.5999999999999996</v>
      </c>
    </row>
    <row r="22" spans="1:98" x14ac:dyDescent="0.2">
      <c r="A22" s="8">
        <f t="shared" si="40"/>
        <v>43847</v>
      </c>
      <c r="B22" s="1">
        <v>17</v>
      </c>
      <c r="C22" s="1">
        <v>11</v>
      </c>
      <c r="D22" s="2">
        <v>13.1</v>
      </c>
      <c r="E22" s="2">
        <v>-5.1130000000000004</v>
      </c>
      <c r="F22" s="2">
        <v>-16.36</v>
      </c>
      <c r="G22" s="2">
        <v>-11.23</v>
      </c>
      <c r="H22" s="2">
        <v>87.6</v>
      </c>
      <c r="I22" s="2">
        <v>-1.006</v>
      </c>
      <c r="J22" s="2">
        <v>-2.419</v>
      </c>
      <c r="K22" s="2">
        <v>-0.114</v>
      </c>
      <c r="L22" s="2">
        <v>0.84599999999999997</v>
      </c>
      <c r="M22" s="2">
        <v>1.5840000000000001</v>
      </c>
      <c r="N22" s="2">
        <v>-4.601</v>
      </c>
      <c r="O22" s="2">
        <v>94.2</v>
      </c>
      <c r="P22" s="2">
        <v>-0.91200000000000003</v>
      </c>
      <c r="Q22" s="2">
        <v>-2.3290000000000002</v>
      </c>
      <c r="R22" s="2">
        <v>2E-3</v>
      </c>
      <c r="S22" s="2">
        <v>0.95899999999999996</v>
      </c>
      <c r="T22" s="2">
        <v>1.734</v>
      </c>
      <c r="U22" s="2">
        <v>-14.74</v>
      </c>
      <c r="V22" s="2">
        <v>84</v>
      </c>
      <c r="W22" s="2">
        <v>-1.1659999999999999</v>
      </c>
      <c r="X22" s="2">
        <v>-2.5590000000000002</v>
      </c>
      <c r="Y22" s="2">
        <v>-0.27100000000000002</v>
      </c>
      <c r="Z22" s="2">
        <v>0.68400000000000005</v>
      </c>
      <c r="AA22" s="2">
        <v>1.411</v>
      </c>
      <c r="AB22" s="2">
        <v>1.395</v>
      </c>
      <c r="AC22" s="2">
        <v>0</v>
      </c>
      <c r="AD22" s="2">
        <v>1.9450000000000001</v>
      </c>
      <c r="AE22" s="2">
        <v>5.1230000000000002</v>
      </c>
      <c r="AF22" s="2">
        <v>0.753</v>
      </c>
      <c r="AG22" s="2">
        <v>2.4710000000000001</v>
      </c>
      <c r="AH22" s="2">
        <v>-13.42</v>
      </c>
      <c r="AI22" s="2">
        <v>-4.1139999999999999</v>
      </c>
      <c r="AJ22" s="2">
        <v>-20.13</v>
      </c>
      <c r="AK22" s="2">
        <v>-4.101</v>
      </c>
      <c r="AL22" s="2">
        <v>-15.52</v>
      </c>
      <c r="AM22" s="2">
        <v>1.431</v>
      </c>
      <c r="AN22" s="2" t="s">
        <v>122</v>
      </c>
      <c r="AO22" s="2">
        <v>393</v>
      </c>
      <c r="AP22" s="2">
        <v>253</v>
      </c>
      <c r="AQ22" s="2">
        <v>118</v>
      </c>
      <c r="AR22" s="2">
        <v>286</v>
      </c>
      <c r="AS22" s="2">
        <v>431</v>
      </c>
      <c r="AT22" s="2">
        <v>579</v>
      </c>
      <c r="AU22" s="2">
        <v>521</v>
      </c>
      <c r="AV22" s="2">
        <v>299</v>
      </c>
      <c r="AW22" s="2"/>
      <c r="AX22" s="1">
        <f t="shared" si="0"/>
        <v>1.1549999999999998</v>
      </c>
      <c r="AY22" s="21">
        <f t="shared" si="1"/>
        <v>-1.2</v>
      </c>
      <c r="AZ22" s="5">
        <v>6.2</v>
      </c>
      <c r="BA22" s="1">
        <v>4.96</v>
      </c>
      <c r="BB22" s="1">
        <v>4.71</v>
      </c>
      <c r="BC22" s="6">
        <f t="shared" si="35"/>
        <v>0.94959677419354838</v>
      </c>
      <c r="BE22" s="30">
        <v>0</v>
      </c>
      <c r="BF22" s="27">
        <v>1194.9999999999998</v>
      </c>
      <c r="BG22" s="1">
        <f t="shared" si="2"/>
        <v>94.2</v>
      </c>
      <c r="BH22" s="1">
        <f t="shared" si="3"/>
        <v>87.6</v>
      </c>
      <c r="BI22" s="1">
        <f t="shared" si="4"/>
        <v>84</v>
      </c>
      <c r="BJ22" s="7">
        <f t="shared" si="5"/>
        <v>0.36399999999999999</v>
      </c>
      <c r="BK22" s="7">
        <f t="shared" si="6"/>
        <v>6.9000000000000006E-2</v>
      </c>
      <c r="BM22" s="5">
        <f t="shared" si="7"/>
        <v>4.96</v>
      </c>
      <c r="BN22" s="5">
        <f t="shared" si="8"/>
        <v>4.71</v>
      </c>
      <c r="BO22" s="1">
        <f t="shared" si="9"/>
        <v>-11.2</v>
      </c>
      <c r="BP22" s="1">
        <f t="shared" si="10"/>
        <v>-4.5999999999999996</v>
      </c>
      <c r="BQ22" s="1">
        <f t="shared" si="11"/>
        <v>-14.7</v>
      </c>
      <c r="BR22" s="1">
        <f t="shared" si="12"/>
        <v>87.6</v>
      </c>
      <c r="BS22" s="1">
        <f t="shared" si="13"/>
        <v>84</v>
      </c>
      <c r="BT22" s="1">
        <f t="shared" si="14"/>
        <v>0.8</v>
      </c>
      <c r="BU22" s="1">
        <f t="shared" si="15"/>
        <v>2.5</v>
      </c>
      <c r="BV22" s="33">
        <f t="shared" si="16"/>
        <v>0</v>
      </c>
      <c r="BW22" s="34">
        <f t="shared" si="17"/>
        <v>1.1950000000000001</v>
      </c>
      <c r="BX22" s="20">
        <f t="shared" si="18"/>
        <v>-1.2</v>
      </c>
      <c r="BY22" s="1">
        <f t="shared" si="19"/>
        <v>-13.4</v>
      </c>
      <c r="BZ22" s="1">
        <f t="shared" si="20"/>
        <v>-4.0999999999999996</v>
      </c>
      <c r="CA22" s="1">
        <f t="shared" si="21"/>
        <v>-20.100000000000001</v>
      </c>
      <c r="CB22" s="1">
        <f t="shared" si="22"/>
        <v>-0.1</v>
      </c>
      <c r="CC22" s="1">
        <f t="shared" si="23"/>
        <v>0.8</v>
      </c>
      <c r="CD22" s="1">
        <f t="shared" si="24"/>
        <v>1.6</v>
      </c>
      <c r="CE22" s="1" t="str">
        <f t="shared" si="25"/>
        <v>NAN</v>
      </c>
      <c r="CF22" s="1">
        <f t="shared" si="36"/>
        <v>0.36399999999999999</v>
      </c>
      <c r="CG22" s="1">
        <f t="shared" si="37"/>
        <v>6.9000000000000006E-2</v>
      </c>
      <c r="CI22" s="1">
        <f t="shared" si="26"/>
        <v>2880</v>
      </c>
      <c r="CJ22" s="1">
        <f t="shared" si="27"/>
        <v>0.13600000000000001</v>
      </c>
      <c r="CK22" s="1">
        <f t="shared" si="28"/>
        <v>8.7999999999999995E-2</v>
      </c>
      <c r="CL22" s="1">
        <f t="shared" si="29"/>
        <v>4.1000000000000002E-2</v>
      </c>
      <c r="CM22" s="1">
        <f t="shared" si="30"/>
        <v>9.9000000000000005E-2</v>
      </c>
      <c r="CN22" s="1">
        <f t="shared" si="31"/>
        <v>0.15</v>
      </c>
      <c r="CO22" s="1">
        <f t="shared" si="32"/>
        <v>0.20100000000000001</v>
      </c>
      <c r="CP22" s="1">
        <f t="shared" si="33"/>
        <v>0.18099999999999999</v>
      </c>
      <c r="CQ22" s="1">
        <f t="shared" si="34"/>
        <v>0.104</v>
      </c>
      <c r="CS22" s="1">
        <f t="shared" si="38"/>
        <v>0.5</v>
      </c>
      <c r="CT22" s="1">
        <f t="shared" si="39"/>
        <v>-5.4000000000000021</v>
      </c>
    </row>
    <row r="23" spans="1:98" x14ac:dyDescent="0.2">
      <c r="A23" s="8">
        <f t="shared" si="40"/>
        <v>43848</v>
      </c>
      <c r="B23" s="1">
        <v>18</v>
      </c>
      <c r="C23" s="1">
        <v>11</v>
      </c>
      <c r="D23" s="2">
        <v>12.98</v>
      </c>
      <c r="E23" s="2">
        <v>-5.6779999999999999</v>
      </c>
      <c r="F23" s="2">
        <v>-14.17</v>
      </c>
      <c r="G23" s="2">
        <v>-8.8800000000000008</v>
      </c>
      <c r="H23" s="2">
        <v>89.4</v>
      </c>
      <c r="I23" s="2">
        <v>-0.997</v>
      </c>
      <c r="J23" s="2">
        <v>-2.4390000000000001</v>
      </c>
      <c r="K23" s="2">
        <v>-6.8000000000000005E-2</v>
      </c>
      <c r="L23" s="2">
        <v>0.89300000000000002</v>
      </c>
      <c r="M23" s="2">
        <v>1.6120000000000001</v>
      </c>
      <c r="N23" s="2">
        <v>-4.8120000000000003</v>
      </c>
      <c r="O23" s="2">
        <v>92.4</v>
      </c>
      <c r="P23" s="2">
        <v>-0.92200000000000004</v>
      </c>
      <c r="Q23" s="2">
        <v>-2.3650000000000002</v>
      </c>
      <c r="R23" s="2">
        <v>2.8000000000000001E-2</v>
      </c>
      <c r="S23" s="2">
        <v>0.99099999999999999</v>
      </c>
      <c r="T23" s="2">
        <v>1.7070000000000001</v>
      </c>
      <c r="U23" s="2">
        <v>-13.52</v>
      </c>
      <c r="V23" s="2">
        <v>85.6</v>
      </c>
      <c r="W23" s="2">
        <v>-1.0760000000000001</v>
      </c>
      <c r="X23" s="2">
        <v>-2.5129999999999999</v>
      </c>
      <c r="Y23" s="2">
        <v>-0.151</v>
      </c>
      <c r="Z23" s="2">
        <v>0.80600000000000005</v>
      </c>
      <c r="AA23" s="2">
        <v>1.512</v>
      </c>
      <c r="AB23" s="2">
        <v>1.403</v>
      </c>
      <c r="AC23" s="2">
        <v>0</v>
      </c>
      <c r="AD23" s="2">
        <v>0.22500000000000001</v>
      </c>
      <c r="AE23" s="2">
        <v>1.262</v>
      </c>
      <c r="AF23" s="2">
        <v>1.351</v>
      </c>
      <c r="AG23" s="2">
        <v>3.9489999999999998</v>
      </c>
      <c r="AH23" s="2">
        <v>-9.5299999999999994</v>
      </c>
      <c r="AI23" s="2">
        <v>-5.5659999999999998</v>
      </c>
      <c r="AJ23" s="2">
        <v>-15.12</v>
      </c>
      <c r="AK23" s="2">
        <v>-5.1609999999999996</v>
      </c>
      <c r="AL23" s="2">
        <v>-13.87</v>
      </c>
      <c r="AM23" s="2">
        <v>1.417</v>
      </c>
      <c r="AN23" s="2" t="s">
        <v>122</v>
      </c>
      <c r="AO23" s="2">
        <v>7</v>
      </c>
      <c r="AP23" s="2">
        <v>18</v>
      </c>
      <c r="AQ23" s="2">
        <v>50</v>
      </c>
      <c r="AR23" s="2">
        <v>275</v>
      </c>
      <c r="AS23" s="2">
        <v>1033</v>
      </c>
      <c r="AT23" s="2">
        <v>1248</v>
      </c>
      <c r="AU23" s="2">
        <v>241</v>
      </c>
      <c r="AV23" s="2">
        <v>8</v>
      </c>
      <c r="AW23" s="2"/>
      <c r="AX23" s="1">
        <f t="shared" si="0"/>
        <v>1.1469999999999998</v>
      </c>
      <c r="AY23" s="21">
        <f t="shared" si="1"/>
        <v>-1.2</v>
      </c>
      <c r="AZ23" s="5">
        <v>6.3</v>
      </c>
      <c r="BA23" s="1">
        <v>1.22</v>
      </c>
      <c r="BB23" s="1">
        <v>1.1599999999999999</v>
      </c>
      <c r="BC23" s="6">
        <f t="shared" si="35"/>
        <v>0.95081967213114749</v>
      </c>
      <c r="BE23" s="30">
        <v>2.2000000000000002</v>
      </c>
      <c r="BF23" s="27">
        <v>1186.9999999999998</v>
      </c>
      <c r="BG23" s="1">
        <f t="shared" si="2"/>
        <v>92.4</v>
      </c>
      <c r="BH23" s="1">
        <f t="shared" si="3"/>
        <v>89.4</v>
      </c>
      <c r="BI23" s="1">
        <f t="shared" si="4"/>
        <v>85.6</v>
      </c>
      <c r="BJ23" s="7">
        <f t="shared" si="5"/>
        <v>0.36599999999999999</v>
      </c>
      <c r="BK23" s="7">
        <f t="shared" si="6"/>
        <v>6.2E-2</v>
      </c>
      <c r="BM23" s="5">
        <f t="shared" si="7"/>
        <v>1.22</v>
      </c>
      <c r="BN23" s="5">
        <f t="shared" si="8"/>
        <v>1.1599999999999999</v>
      </c>
      <c r="BO23" s="1">
        <f t="shared" si="9"/>
        <v>-8.9</v>
      </c>
      <c r="BP23" s="1">
        <f t="shared" si="10"/>
        <v>-4.8</v>
      </c>
      <c r="BQ23" s="1">
        <f t="shared" si="11"/>
        <v>-13.5</v>
      </c>
      <c r="BR23" s="1">
        <f t="shared" si="12"/>
        <v>89.4</v>
      </c>
      <c r="BS23" s="1">
        <f t="shared" si="13"/>
        <v>85.6</v>
      </c>
      <c r="BT23" s="1">
        <f t="shared" si="14"/>
        <v>1.4</v>
      </c>
      <c r="BU23" s="1">
        <f t="shared" si="15"/>
        <v>3.9</v>
      </c>
      <c r="BV23" s="33">
        <f t="shared" si="16"/>
        <v>2.2000000000000002</v>
      </c>
      <c r="BW23" s="34">
        <f t="shared" si="17"/>
        <v>1.1870000000000001</v>
      </c>
      <c r="BX23" s="20">
        <f t="shared" si="18"/>
        <v>-1.2</v>
      </c>
      <c r="BY23" s="1">
        <f t="shared" si="19"/>
        <v>-9.5</v>
      </c>
      <c r="BZ23" s="1">
        <f t="shared" si="20"/>
        <v>-5.6</v>
      </c>
      <c r="CA23" s="1">
        <f t="shared" si="21"/>
        <v>-15.1</v>
      </c>
      <c r="CB23" s="1">
        <f t="shared" si="22"/>
        <v>-0.1</v>
      </c>
      <c r="CC23" s="1">
        <f t="shared" si="23"/>
        <v>0.9</v>
      </c>
      <c r="CD23" s="1">
        <f t="shared" si="24"/>
        <v>1.6</v>
      </c>
      <c r="CE23" s="1" t="str">
        <f t="shared" si="25"/>
        <v>NAN</v>
      </c>
      <c r="CF23" s="1">
        <f t="shared" si="36"/>
        <v>0.36599999999999999</v>
      </c>
      <c r="CG23" s="1">
        <f t="shared" si="37"/>
        <v>6.2E-2</v>
      </c>
      <c r="CI23" s="1">
        <f t="shared" si="26"/>
        <v>2880</v>
      </c>
      <c r="CJ23" s="1">
        <f t="shared" si="27"/>
        <v>2E-3</v>
      </c>
      <c r="CK23" s="1">
        <f t="shared" si="28"/>
        <v>6.0000000000000001E-3</v>
      </c>
      <c r="CL23" s="1">
        <f t="shared" si="29"/>
        <v>1.7000000000000001E-2</v>
      </c>
      <c r="CM23" s="1">
        <f t="shared" si="30"/>
        <v>9.5000000000000001E-2</v>
      </c>
      <c r="CN23" s="1">
        <f t="shared" si="31"/>
        <v>0.35899999999999999</v>
      </c>
      <c r="CO23" s="1">
        <f t="shared" si="32"/>
        <v>0.433</v>
      </c>
      <c r="CP23" s="1">
        <f t="shared" si="33"/>
        <v>8.4000000000000005E-2</v>
      </c>
      <c r="CQ23" s="1">
        <f t="shared" si="34"/>
        <v>3.0000000000000001E-3</v>
      </c>
      <c r="CS23" s="1">
        <f t="shared" si="38"/>
        <v>-0.79999999999999982</v>
      </c>
      <c r="CT23" s="1">
        <f t="shared" si="39"/>
        <v>-1.5999999999999996</v>
      </c>
    </row>
    <row r="24" spans="1:98" x14ac:dyDescent="0.2">
      <c r="A24" s="8">
        <f t="shared" si="40"/>
        <v>43849</v>
      </c>
      <c r="B24" s="1">
        <v>19</v>
      </c>
      <c r="C24" s="1">
        <v>11</v>
      </c>
      <c r="D24" s="2">
        <v>13.08</v>
      </c>
      <c r="E24" s="2">
        <v>-2.698</v>
      </c>
      <c r="F24" s="2">
        <v>-6.8639999999999999</v>
      </c>
      <c r="G24" s="2">
        <v>-4.2789999999999999</v>
      </c>
      <c r="H24" s="2">
        <v>93</v>
      </c>
      <c r="I24" s="2">
        <v>-1.0069999999999999</v>
      </c>
      <c r="J24" s="2">
        <v>-2.4729999999999999</v>
      </c>
      <c r="K24" s="2">
        <v>-4.9000000000000002E-2</v>
      </c>
      <c r="L24" s="2">
        <v>0.91100000000000003</v>
      </c>
      <c r="M24" s="2">
        <v>1.629</v>
      </c>
      <c r="N24" s="2">
        <v>-2.11</v>
      </c>
      <c r="O24" s="2">
        <v>94.7</v>
      </c>
      <c r="P24" s="2">
        <v>-0.93</v>
      </c>
      <c r="Q24" s="2">
        <v>-2.3860000000000001</v>
      </c>
      <c r="R24" s="2">
        <v>3.1E-2</v>
      </c>
      <c r="S24" s="2">
        <v>0.98199999999999998</v>
      </c>
      <c r="T24" s="2">
        <v>1.704</v>
      </c>
      <c r="U24" s="2">
        <v>-7.0860000000000003</v>
      </c>
      <c r="V24" s="2">
        <v>91</v>
      </c>
      <c r="W24" s="2">
        <v>-1.087</v>
      </c>
      <c r="X24" s="2">
        <v>-2.552</v>
      </c>
      <c r="Y24" s="2">
        <v>-0.128</v>
      </c>
      <c r="Z24" s="2">
        <v>0.82299999999999995</v>
      </c>
      <c r="AA24" s="2">
        <v>1.5369999999999999</v>
      </c>
      <c r="AB24" s="2">
        <v>1.407</v>
      </c>
      <c r="AC24" s="2">
        <v>0</v>
      </c>
      <c r="AD24" s="2">
        <v>0.57499999999999996</v>
      </c>
      <c r="AE24" s="2">
        <v>3.0249999999999999</v>
      </c>
      <c r="AF24" s="2">
        <v>1.409</v>
      </c>
      <c r="AG24" s="2">
        <v>3.3959999999999999</v>
      </c>
      <c r="AH24" s="2">
        <v>-4.9459999999999997</v>
      </c>
      <c r="AI24" s="2">
        <v>-2.5510000000000002</v>
      </c>
      <c r="AJ24" s="2">
        <v>-7.7880000000000003</v>
      </c>
      <c r="AK24" s="2">
        <v>-2.3410000000000002</v>
      </c>
      <c r="AL24" s="2">
        <v>-7.34</v>
      </c>
      <c r="AM24" s="2">
        <v>1.413</v>
      </c>
      <c r="AN24" s="2" t="s">
        <v>122</v>
      </c>
      <c r="AO24" s="2">
        <v>8</v>
      </c>
      <c r="AP24" s="2">
        <v>12</v>
      </c>
      <c r="AQ24" s="2">
        <v>42</v>
      </c>
      <c r="AR24" s="2">
        <v>271</v>
      </c>
      <c r="AS24" s="2">
        <v>1062</v>
      </c>
      <c r="AT24" s="2">
        <v>1207</v>
      </c>
      <c r="AU24" s="2">
        <v>257</v>
      </c>
      <c r="AV24" s="2">
        <v>21</v>
      </c>
      <c r="AW24" s="2"/>
      <c r="AX24" s="1">
        <f t="shared" si="0"/>
        <v>1.1429999999999998</v>
      </c>
      <c r="AY24" s="21">
        <f t="shared" si="1"/>
        <v>-1.2</v>
      </c>
      <c r="AZ24" s="5">
        <v>6.4</v>
      </c>
      <c r="BA24" s="1">
        <v>2.93</v>
      </c>
      <c r="BB24" s="1">
        <v>2.78</v>
      </c>
      <c r="BC24" s="6">
        <f t="shared" si="35"/>
        <v>0.94880546075085315</v>
      </c>
      <c r="BE24" s="30">
        <v>0</v>
      </c>
      <c r="BF24" s="27">
        <v>1182.9999999999998</v>
      </c>
      <c r="BG24" s="1">
        <f t="shared" si="2"/>
        <v>94.7</v>
      </c>
      <c r="BH24" s="1">
        <f t="shared" si="3"/>
        <v>93</v>
      </c>
      <c r="BI24" s="1">
        <f t="shared" si="4"/>
        <v>91</v>
      </c>
      <c r="BJ24" s="7">
        <f t="shared" si="5"/>
        <v>0.47599999999999998</v>
      </c>
      <c r="BK24" s="7">
        <f t="shared" si="6"/>
        <v>4.7E-2</v>
      </c>
      <c r="BM24" s="5">
        <f t="shared" si="7"/>
        <v>2.93</v>
      </c>
      <c r="BN24" s="5">
        <f t="shared" si="8"/>
        <v>2.78</v>
      </c>
      <c r="BO24" s="1">
        <f t="shared" si="9"/>
        <v>-4.3</v>
      </c>
      <c r="BP24" s="1">
        <f t="shared" si="10"/>
        <v>-2.1</v>
      </c>
      <c r="BQ24" s="1">
        <f t="shared" si="11"/>
        <v>-7.1</v>
      </c>
      <c r="BR24" s="1">
        <f t="shared" si="12"/>
        <v>93</v>
      </c>
      <c r="BS24" s="1">
        <f t="shared" si="13"/>
        <v>91</v>
      </c>
      <c r="BT24" s="1">
        <f t="shared" si="14"/>
        <v>1.4</v>
      </c>
      <c r="BU24" s="1">
        <f t="shared" si="15"/>
        <v>3.4</v>
      </c>
      <c r="BV24" s="33">
        <f t="shared" si="16"/>
        <v>0</v>
      </c>
      <c r="BW24" s="34">
        <f t="shared" si="17"/>
        <v>1.1830000000000001</v>
      </c>
      <c r="BX24" s="20">
        <f t="shared" si="18"/>
        <v>-1.2</v>
      </c>
      <c r="BY24" s="1">
        <f t="shared" si="19"/>
        <v>-4.9000000000000004</v>
      </c>
      <c r="BZ24" s="1">
        <f t="shared" si="20"/>
        <v>-2.6</v>
      </c>
      <c r="CA24" s="1">
        <f t="shared" si="21"/>
        <v>-7.8</v>
      </c>
      <c r="CB24" s="1">
        <f t="shared" si="22"/>
        <v>0</v>
      </c>
      <c r="CC24" s="1">
        <f t="shared" si="23"/>
        <v>0.9</v>
      </c>
      <c r="CD24" s="1">
        <f t="shared" si="24"/>
        <v>1.6</v>
      </c>
      <c r="CE24" s="1" t="str">
        <f t="shared" si="25"/>
        <v>NAN</v>
      </c>
      <c r="CF24" s="1">
        <f t="shared" si="36"/>
        <v>0.47599999999999998</v>
      </c>
      <c r="CG24" s="1">
        <f t="shared" si="37"/>
        <v>4.7E-2</v>
      </c>
      <c r="CI24" s="1">
        <f t="shared" si="26"/>
        <v>2880</v>
      </c>
      <c r="CJ24" s="1">
        <f t="shared" si="27"/>
        <v>3.0000000000000001E-3</v>
      </c>
      <c r="CK24" s="1">
        <f t="shared" si="28"/>
        <v>4.0000000000000001E-3</v>
      </c>
      <c r="CL24" s="1">
        <f t="shared" si="29"/>
        <v>1.4999999999999999E-2</v>
      </c>
      <c r="CM24" s="1">
        <f t="shared" si="30"/>
        <v>9.4E-2</v>
      </c>
      <c r="CN24" s="1">
        <f t="shared" si="31"/>
        <v>0.36899999999999999</v>
      </c>
      <c r="CO24" s="1">
        <f t="shared" si="32"/>
        <v>0.41899999999999998</v>
      </c>
      <c r="CP24" s="1">
        <f t="shared" si="33"/>
        <v>8.8999999999999996E-2</v>
      </c>
      <c r="CQ24" s="1">
        <f t="shared" si="34"/>
        <v>7.0000000000000001E-3</v>
      </c>
      <c r="CS24" s="1">
        <f t="shared" si="38"/>
        <v>-0.5</v>
      </c>
      <c r="CT24" s="1">
        <f t="shared" si="39"/>
        <v>-0.70000000000000018</v>
      </c>
    </row>
    <row r="25" spans="1:98" x14ac:dyDescent="0.2">
      <c r="A25" s="8">
        <f t="shared" si="40"/>
        <v>43850</v>
      </c>
      <c r="B25" s="1">
        <v>20</v>
      </c>
      <c r="C25" s="1">
        <v>11</v>
      </c>
      <c r="D25" s="2">
        <v>13.07</v>
      </c>
      <c r="E25" s="2">
        <v>-2.0129999999999999</v>
      </c>
      <c r="F25" s="2">
        <v>-4.8310000000000004</v>
      </c>
      <c r="G25" s="2">
        <v>-3.1349999999999998</v>
      </c>
      <c r="H25" s="2">
        <v>94</v>
      </c>
      <c r="I25" s="2">
        <v>-0.995</v>
      </c>
      <c r="J25" s="2">
        <v>-2.3719999999999999</v>
      </c>
      <c r="K25" s="2">
        <v>-4.8000000000000001E-2</v>
      </c>
      <c r="L25" s="2">
        <v>0.90900000000000003</v>
      </c>
      <c r="M25" s="2">
        <v>1.627</v>
      </c>
      <c r="N25" s="2">
        <v>-1.3979999999999999</v>
      </c>
      <c r="O25" s="2">
        <v>95.4</v>
      </c>
      <c r="P25" s="2">
        <v>-0.91500000000000004</v>
      </c>
      <c r="Q25" s="2">
        <v>-2.2200000000000002</v>
      </c>
      <c r="R25" s="2">
        <v>3.2000000000000001E-2</v>
      </c>
      <c r="S25" s="2">
        <v>0.98199999999999998</v>
      </c>
      <c r="T25" s="2">
        <v>1.6970000000000001</v>
      </c>
      <c r="U25" s="2">
        <v>-4.5439999999999996</v>
      </c>
      <c r="V25" s="2">
        <v>92.9</v>
      </c>
      <c r="W25" s="2">
        <v>-1.091</v>
      </c>
      <c r="X25" s="2">
        <v>-2.5049999999999999</v>
      </c>
      <c r="Y25" s="2">
        <v>-0.127</v>
      </c>
      <c r="Z25" s="2">
        <v>0.81899999999999995</v>
      </c>
      <c r="AA25" s="2">
        <v>1.5409999999999999</v>
      </c>
      <c r="AB25" s="2">
        <v>1.4330000000000001</v>
      </c>
      <c r="AC25" s="2">
        <v>0</v>
      </c>
      <c r="AD25" s="2">
        <v>0.45700000000000002</v>
      </c>
      <c r="AE25" s="2">
        <v>2.2330000000000001</v>
      </c>
      <c r="AF25" s="2">
        <v>0.95599999999999996</v>
      </c>
      <c r="AG25" s="2">
        <v>3.0819999999999999</v>
      </c>
      <c r="AH25" s="2">
        <v>-4.0730000000000004</v>
      </c>
      <c r="AI25" s="2">
        <v>-2.5920000000000001</v>
      </c>
      <c r="AJ25" s="2">
        <v>-6.6050000000000004</v>
      </c>
      <c r="AK25" s="2">
        <v>-1.323</v>
      </c>
      <c r="AL25" s="2">
        <v>-4.8129999999999997</v>
      </c>
      <c r="AM25" s="2">
        <v>1.4450000000000001</v>
      </c>
      <c r="AN25" s="2" t="s">
        <v>122</v>
      </c>
      <c r="AO25" s="2">
        <v>16</v>
      </c>
      <c r="AP25" s="2">
        <v>21</v>
      </c>
      <c r="AQ25" s="2">
        <v>106</v>
      </c>
      <c r="AR25" s="2">
        <v>366</v>
      </c>
      <c r="AS25" s="2">
        <v>1018</v>
      </c>
      <c r="AT25" s="2">
        <v>999</v>
      </c>
      <c r="AU25" s="2">
        <v>321</v>
      </c>
      <c r="AV25" s="2">
        <v>33</v>
      </c>
      <c r="AW25" s="2"/>
      <c r="AX25" s="1">
        <f t="shared" si="0"/>
        <v>1.1169999999999998</v>
      </c>
      <c r="AY25" s="21">
        <f t="shared" si="1"/>
        <v>-1.1000000000000001</v>
      </c>
      <c r="AZ25" s="5">
        <v>6.51</v>
      </c>
      <c r="BA25" s="1">
        <v>2.16</v>
      </c>
      <c r="BB25" s="1">
        <v>2.0499999999999998</v>
      </c>
      <c r="BC25" s="6">
        <f t="shared" si="35"/>
        <v>0.94907407407407396</v>
      </c>
      <c r="BE25" s="30">
        <v>0</v>
      </c>
      <c r="BF25" s="27">
        <v>1156.9999999999998</v>
      </c>
      <c r="BG25" s="1">
        <f t="shared" si="2"/>
        <v>95.4</v>
      </c>
      <c r="BH25" s="1">
        <f t="shared" si="3"/>
        <v>94</v>
      </c>
      <c r="BI25" s="1">
        <f t="shared" si="4"/>
        <v>92.9</v>
      </c>
      <c r="BJ25" s="7">
        <f t="shared" si="5"/>
        <v>0.51200000000000001</v>
      </c>
      <c r="BK25" s="7">
        <f t="shared" si="6"/>
        <v>3.9E-2</v>
      </c>
      <c r="BM25" s="5">
        <f t="shared" si="7"/>
        <v>2.16</v>
      </c>
      <c r="BN25" s="5">
        <f t="shared" si="8"/>
        <v>2.0499999999999998</v>
      </c>
      <c r="BO25" s="1">
        <f t="shared" si="9"/>
        <v>-3.1</v>
      </c>
      <c r="BP25" s="1">
        <f t="shared" si="10"/>
        <v>-1.4</v>
      </c>
      <c r="BQ25" s="1">
        <f t="shared" si="11"/>
        <v>-4.5</v>
      </c>
      <c r="BR25" s="1">
        <f t="shared" si="12"/>
        <v>94</v>
      </c>
      <c r="BS25" s="1">
        <f t="shared" si="13"/>
        <v>92.9</v>
      </c>
      <c r="BT25" s="1">
        <f t="shared" si="14"/>
        <v>1</v>
      </c>
      <c r="BU25" s="1">
        <f t="shared" si="15"/>
        <v>3.1</v>
      </c>
      <c r="BV25" s="33">
        <f t="shared" si="16"/>
        <v>0</v>
      </c>
      <c r="BW25" s="34">
        <f t="shared" si="17"/>
        <v>1.157</v>
      </c>
      <c r="BX25" s="20">
        <f t="shared" si="18"/>
        <v>-1.1000000000000001</v>
      </c>
      <c r="BY25" s="1">
        <f t="shared" si="19"/>
        <v>-4.0999999999999996</v>
      </c>
      <c r="BZ25" s="1">
        <f t="shared" si="20"/>
        <v>-2.6</v>
      </c>
      <c r="CA25" s="1">
        <f t="shared" si="21"/>
        <v>-6.6</v>
      </c>
      <c r="CB25" s="1">
        <f t="shared" si="22"/>
        <v>0</v>
      </c>
      <c r="CC25" s="1">
        <f t="shared" si="23"/>
        <v>0.9</v>
      </c>
      <c r="CD25" s="1">
        <f t="shared" si="24"/>
        <v>1.6</v>
      </c>
      <c r="CE25" s="1" t="str">
        <f t="shared" si="25"/>
        <v>NAN</v>
      </c>
      <c r="CF25" s="1">
        <f t="shared" si="36"/>
        <v>0.51200000000000001</v>
      </c>
      <c r="CG25" s="1">
        <f t="shared" si="37"/>
        <v>3.9E-2</v>
      </c>
      <c r="CI25" s="1">
        <f t="shared" si="26"/>
        <v>2880</v>
      </c>
      <c r="CJ25" s="1">
        <f t="shared" si="27"/>
        <v>6.0000000000000001E-3</v>
      </c>
      <c r="CK25" s="1">
        <f t="shared" si="28"/>
        <v>7.0000000000000001E-3</v>
      </c>
      <c r="CL25" s="1">
        <f t="shared" si="29"/>
        <v>3.6999999999999998E-2</v>
      </c>
      <c r="CM25" s="1">
        <f t="shared" si="30"/>
        <v>0.127</v>
      </c>
      <c r="CN25" s="1">
        <f t="shared" si="31"/>
        <v>0.35299999999999998</v>
      </c>
      <c r="CO25" s="1">
        <f t="shared" si="32"/>
        <v>0.34699999999999998</v>
      </c>
      <c r="CP25" s="1">
        <f t="shared" si="33"/>
        <v>0.111</v>
      </c>
      <c r="CQ25" s="1">
        <f t="shared" si="34"/>
        <v>1.0999999999999999E-2</v>
      </c>
      <c r="CS25" s="1">
        <f t="shared" si="38"/>
        <v>-1.2000000000000002</v>
      </c>
      <c r="CT25" s="1">
        <f t="shared" si="39"/>
        <v>-2.0999999999999996</v>
      </c>
    </row>
    <row r="26" spans="1:98" x14ac:dyDescent="0.2">
      <c r="A26" s="8">
        <f t="shared" si="40"/>
        <v>43851</v>
      </c>
      <c r="B26" s="1">
        <v>21</v>
      </c>
      <c r="C26" s="1">
        <v>11</v>
      </c>
      <c r="D26" s="2">
        <v>13.02</v>
      </c>
      <c r="E26" s="2">
        <v>-1.821</v>
      </c>
      <c r="F26" s="2">
        <v>-5.8310000000000004</v>
      </c>
      <c r="G26" s="2">
        <v>-4.2279999999999998</v>
      </c>
      <c r="H26" s="2">
        <v>93.3</v>
      </c>
      <c r="I26" s="2">
        <v>-0.92700000000000005</v>
      </c>
      <c r="J26" s="2">
        <v>-2.1320000000000001</v>
      </c>
      <c r="K26" s="2">
        <v>-5.0999999999999997E-2</v>
      </c>
      <c r="L26" s="2">
        <v>0.90300000000000002</v>
      </c>
      <c r="M26" s="2">
        <v>1.615</v>
      </c>
      <c r="N26" s="2">
        <v>0.129</v>
      </c>
      <c r="O26" s="2">
        <v>96.3</v>
      </c>
      <c r="P26" s="2">
        <v>-0.83099999999999996</v>
      </c>
      <c r="Q26" s="2">
        <v>-1.9630000000000001</v>
      </c>
      <c r="R26" s="2">
        <v>2.4E-2</v>
      </c>
      <c r="S26" s="2">
        <v>0.97399999999999998</v>
      </c>
      <c r="T26" s="2">
        <v>1.6970000000000001</v>
      </c>
      <c r="U26" s="2">
        <v>-5.6970000000000001</v>
      </c>
      <c r="V26" s="2">
        <v>92</v>
      </c>
      <c r="W26" s="2">
        <v>-1.02</v>
      </c>
      <c r="X26" s="2">
        <v>-2.3359999999999999</v>
      </c>
      <c r="Y26" s="2">
        <v>-0.122</v>
      </c>
      <c r="Z26" s="2">
        <v>0.82299999999999995</v>
      </c>
      <c r="AA26" s="2">
        <v>1.542</v>
      </c>
      <c r="AB26" s="2">
        <v>1.419</v>
      </c>
      <c r="AC26" s="2">
        <v>0</v>
      </c>
      <c r="AD26" s="2">
        <v>0.34699999999999998</v>
      </c>
      <c r="AE26" s="2">
        <v>1.849</v>
      </c>
      <c r="AF26" s="2">
        <v>1.012</v>
      </c>
      <c r="AG26" s="2">
        <v>3.13</v>
      </c>
      <c r="AH26" s="2">
        <v>-5.1050000000000004</v>
      </c>
      <c r="AI26" s="2">
        <v>-1.282</v>
      </c>
      <c r="AJ26" s="2">
        <v>-7.8959999999999999</v>
      </c>
      <c r="AK26" s="2">
        <v>7.0000000000000007E-2</v>
      </c>
      <c r="AL26" s="2">
        <v>-5.9980000000000002</v>
      </c>
      <c r="AM26" s="2">
        <v>1.4339999999999999</v>
      </c>
      <c r="AN26" s="2" t="s">
        <v>122</v>
      </c>
      <c r="AO26" s="2">
        <v>10</v>
      </c>
      <c r="AP26" s="2">
        <v>6</v>
      </c>
      <c r="AQ26" s="2">
        <v>25</v>
      </c>
      <c r="AR26" s="2">
        <v>190</v>
      </c>
      <c r="AS26" s="2">
        <v>983</v>
      </c>
      <c r="AT26" s="2">
        <v>1321</v>
      </c>
      <c r="AU26" s="2">
        <v>326</v>
      </c>
      <c r="AV26" s="2">
        <v>19</v>
      </c>
      <c r="AW26" s="2"/>
      <c r="AX26" s="1">
        <f t="shared" si="0"/>
        <v>1.1309999999999998</v>
      </c>
      <c r="AY26" s="21">
        <f t="shared" si="1"/>
        <v>-1</v>
      </c>
      <c r="AZ26" s="5">
        <v>6.61</v>
      </c>
      <c r="BA26" s="1">
        <v>1.79</v>
      </c>
      <c r="BB26" s="1">
        <v>1.7</v>
      </c>
      <c r="BC26" s="6">
        <f t="shared" si="35"/>
        <v>0.94972067039106145</v>
      </c>
      <c r="BE26" s="30">
        <v>2.1</v>
      </c>
      <c r="BF26" s="27">
        <v>1170.9999999999998</v>
      </c>
      <c r="BG26" s="1">
        <f t="shared" si="2"/>
        <v>96.3</v>
      </c>
      <c r="BH26" s="1">
        <f t="shared" si="3"/>
        <v>93.3</v>
      </c>
      <c r="BI26" s="1">
        <f t="shared" si="4"/>
        <v>92</v>
      </c>
      <c r="BJ26" s="7">
        <f t="shared" si="5"/>
        <v>0.56699999999999995</v>
      </c>
      <c r="BK26" s="7">
        <f t="shared" si="6"/>
        <v>4.9000000000000002E-2</v>
      </c>
      <c r="BM26" s="5">
        <f t="shared" si="7"/>
        <v>1.79</v>
      </c>
      <c r="BN26" s="5">
        <f t="shared" si="8"/>
        <v>1.7</v>
      </c>
      <c r="BO26" s="1">
        <f t="shared" si="9"/>
        <v>-4.2</v>
      </c>
      <c r="BP26" s="1">
        <f t="shared" si="10"/>
        <v>0.1</v>
      </c>
      <c r="BQ26" s="1">
        <f t="shared" si="11"/>
        <v>-5.7</v>
      </c>
      <c r="BR26" s="1">
        <f t="shared" si="12"/>
        <v>93.3</v>
      </c>
      <c r="BS26" s="1">
        <f t="shared" si="13"/>
        <v>92</v>
      </c>
      <c r="BT26" s="1">
        <f t="shared" si="14"/>
        <v>1</v>
      </c>
      <c r="BU26" s="1">
        <f t="shared" si="15"/>
        <v>3.1</v>
      </c>
      <c r="BV26" s="33">
        <f t="shared" si="16"/>
        <v>2.1</v>
      </c>
      <c r="BW26" s="34">
        <f t="shared" si="17"/>
        <v>1.171</v>
      </c>
      <c r="BX26" s="20">
        <f t="shared" si="18"/>
        <v>-1</v>
      </c>
      <c r="BY26" s="1">
        <f t="shared" si="19"/>
        <v>-5.0999999999999996</v>
      </c>
      <c r="BZ26" s="1">
        <f t="shared" si="20"/>
        <v>-1.3</v>
      </c>
      <c r="CA26" s="1">
        <f t="shared" si="21"/>
        <v>-7.9</v>
      </c>
      <c r="CB26" s="1">
        <f t="shared" si="22"/>
        <v>-0.1</v>
      </c>
      <c r="CC26" s="1">
        <f t="shared" si="23"/>
        <v>0.9</v>
      </c>
      <c r="CD26" s="1">
        <f t="shared" si="24"/>
        <v>1.6</v>
      </c>
      <c r="CE26" s="1" t="str">
        <f t="shared" si="25"/>
        <v>NAN</v>
      </c>
      <c r="CF26" s="1">
        <f t="shared" si="36"/>
        <v>0.56699999999999995</v>
      </c>
      <c r="CG26" s="1">
        <f t="shared" si="37"/>
        <v>4.9000000000000002E-2</v>
      </c>
      <c r="CI26" s="1">
        <f t="shared" si="26"/>
        <v>2880</v>
      </c>
      <c r="CJ26" s="1">
        <f t="shared" si="27"/>
        <v>3.0000000000000001E-3</v>
      </c>
      <c r="CK26" s="1">
        <f t="shared" si="28"/>
        <v>2E-3</v>
      </c>
      <c r="CL26" s="1">
        <f t="shared" si="29"/>
        <v>8.9999999999999993E-3</v>
      </c>
      <c r="CM26" s="1">
        <f t="shared" si="30"/>
        <v>6.6000000000000003E-2</v>
      </c>
      <c r="CN26" s="1">
        <f t="shared" si="31"/>
        <v>0.34100000000000003</v>
      </c>
      <c r="CO26" s="1">
        <f t="shared" si="32"/>
        <v>0.45900000000000002</v>
      </c>
      <c r="CP26" s="1">
        <f t="shared" si="33"/>
        <v>0.113</v>
      </c>
      <c r="CQ26" s="1">
        <f t="shared" si="34"/>
        <v>7.0000000000000001E-3</v>
      </c>
      <c r="CS26" s="1">
        <f t="shared" si="38"/>
        <v>-1.4000000000000001</v>
      </c>
      <c r="CT26" s="1">
        <f t="shared" si="39"/>
        <v>-2.2000000000000002</v>
      </c>
    </row>
    <row r="27" spans="1:98" x14ac:dyDescent="0.2">
      <c r="A27" s="8">
        <f t="shared" si="40"/>
        <v>43852</v>
      </c>
      <c r="B27" s="1">
        <v>22</v>
      </c>
      <c r="C27" s="1">
        <v>11</v>
      </c>
      <c r="D27" s="2">
        <v>13.05</v>
      </c>
      <c r="E27" s="2">
        <v>-2.5059999999999998</v>
      </c>
      <c r="F27" s="2">
        <v>-5.9619999999999997</v>
      </c>
      <c r="G27" s="2">
        <v>-4.5650000000000004</v>
      </c>
      <c r="H27" s="2">
        <v>93</v>
      </c>
      <c r="I27" s="2">
        <v>-0.82199999999999995</v>
      </c>
      <c r="J27" s="2">
        <v>-1.8859999999999999</v>
      </c>
      <c r="K27" s="2">
        <v>-4.7E-2</v>
      </c>
      <c r="L27" s="2">
        <v>0.90400000000000003</v>
      </c>
      <c r="M27" s="2">
        <v>1.61</v>
      </c>
      <c r="N27" s="2">
        <v>-0.99099999999999999</v>
      </c>
      <c r="O27" s="2">
        <v>96.1</v>
      </c>
      <c r="P27" s="2">
        <v>-0.71199999999999997</v>
      </c>
      <c r="Q27" s="2">
        <v>-1.7390000000000001</v>
      </c>
      <c r="R27" s="2">
        <v>4.7E-2</v>
      </c>
      <c r="S27" s="2">
        <v>0.97399999999999998</v>
      </c>
      <c r="T27" s="2">
        <v>1.6830000000000001</v>
      </c>
      <c r="U27" s="2">
        <v>-5.7619999999999996</v>
      </c>
      <c r="V27" s="2">
        <v>92</v>
      </c>
      <c r="W27" s="2">
        <v>-0.92600000000000005</v>
      </c>
      <c r="X27" s="2">
        <v>-2.0550000000000002</v>
      </c>
      <c r="Y27" s="2">
        <v>-0.13400000000000001</v>
      </c>
      <c r="Z27" s="2">
        <v>0.81699999999999995</v>
      </c>
      <c r="AA27" s="2">
        <v>1.5309999999999999</v>
      </c>
      <c r="AB27" s="2">
        <v>1.389</v>
      </c>
      <c r="AC27" s="2">
        <v>0</v>
      </c>
      <c r="AD27" s="2">
        <v>0.35499999999999998</v>
      </c>
      <c r="AE27" s="2">
        <v>2.4369999999999998</v>
      </c>
      <c r="AF27" s="2">
        <v>0.66700000000000004</v>
      </c>
      <c r="AG27" s="2">
        <v>2.8540000000000001</v>
      </c>
      <c r="AH27" s="2">
        <v>-5.3440000000000003</v>
      </c>
      <c r="AI27" s="2">
        <v>-2.7549999999999999</v>
      </c>
      <c r="AJ27" s="2">
        <v>-8.2899999999999991</v>
      </c>
      <c r="AK27" s="2">
        <v>-1.014</v>
      </c>
      <c r="AL27" s="2">
        <v>-6.141</v>
      </c>
      <c r="AM27" s="2">
        <v>1.4019999999999999</v>
      </c>
      <c r="AN27" s="2" t="s">
        <v>122</v>
      </c>
      <c r="AO27" s="2">
        <v>44</v>
      </c>
      <c r="AP27" s="2">
        <v>14</v>
      </c>
      <c r="AQ27" s="2">
        <v>26</v>
      </c>
      <c r="AR27" s="2">
        <v>105</v>
      </c>
      <c r="AS27" s="2">
        <v>542</v>
      </c>
      <c r="AT27" s="2">
        <v>1104</v>
      </c>
      <c r="AU27" s="2">
        <v>791</v>
      </c>
      <c r="AV27" s="2">
        <v>254</v>
      </c>
      <c r="AW27" s="2"/>
      <c r="AX27" s="1">
        <f t="shared" si="0"/>
        <v>1.1609999999999998</v>
      </c>
      <c r="AY27" s="21">
        <f t="shared" si="1"/>
        <v>-0.9</v>
      </c>
      <c r="AZ27" s="5">
        <v>6.73</v>
      </c>
      <c r="BA27" s="1">
        <v>2.36</v>
      </c>
      <c r="BB27" s="1">
        <v>2.2400000000000002</v>
      </c>
      <c r="BC27" s="6">
        <f t="shared" si="35"/>
        <v>0.94915254237288149</v>
      </c>
      <c r="BE27" s="30">
        <v>4</v>
      </c>
      <c r="BF27" s="27">
        <v>1200.9999999999998</v>
      </c>
      <c r="BG27" s="1">
        <f t="shared" si="2"/>
        <v>96.1</v>
      </c>
      <c r="BH27" s="1">
        <f t="shared" si="3"/>
        <v>93</v>
      </c>
      <c r="BI27" s="1">
        <f t="shared" si="4"/>
        <v>92</v>
      </c>
      <c r="BJ27" s="7">
        <f t="shared" si="5"/>
        <v>0.52200000000000002</v>
      </c>
      <c r="BK27" s="7">
        <f t="shared" si="6"/>
        <v>4.4999999999999998E-2</v>
      </c>
      <c r="BM27" s="5">
        <f t="shared" si="7"/>
        <v>2.36</v>
      </c>
      <c r="BN27" s="5">
        <f t="shared" si="8"/>
        <v>2.2400000000000002</v>
      </c>
      <c r="BO27" s="1">
        <f t="shared" si="9"/>
        <v>-4.5999999999999996</v>
      </c>
      <c r="BP27" s="1">
        <f t="shared" si="10"/>
        <v>-1</v>
      </c>
      <c r="BQ27" s="1">
        <f t="shared" si="11"/>
        <v>-5.8</v>
      </c>
      <c r="BR27" s="1">
        <f t="shared" si="12"/>
        <v>93</v>
      </c>
      <c r="BS27" s="1">
        <f t="shared" si="13"/>
        <v>92</v>
      </c>
      <c r="BT27" s="1">
        <f t="shared" si="14"/>
        <v>0.7</v>
      </c>
      <c r="BU27" s="1">
        <f t="shared" si="15"/>
        <v>2.9</v>
      </c>
      <c r="BV27" s="33">
        <f t="shared" si="16"/>
        <v>4</v>
      </c>
      <c r="BW27" s="34">
        <f t="shared" si="17"/>
        <v>1.2010000000000001</v>
      </c>
      <c r="BX27" s="20">
        <f t="shared" si="18"/>
        <v>-0.9</v>
      </c>
      <c r="BY27" s="1">
        <f t="shared" si="19"/>
        <v>-5.3</v>
      </c>
      <c r="BZ27" s="1">
        <f t="shared" si="20"/>
        <v>-2.8</v>
      </c>
      <c r="CA27" s="1">
        <f t="shared" si="21"/>
        <v>-8.3000000000000007</v>
      </c>
      <c r="CB27" s="1">
        <f t="shared" si="22"/>
        <v>0</v>
      </c>
      <c r="CC27" s="1">
        <f t="shared" si="23"/>
        <v>0.9</v>
      </c>
      <c r="CD27" s="1">
        <f t="shared" si="24"/>
        <v>1.6</v>
      </c>
      <c r="CE27" s="1" t="str">
        <f t="shared" si="25"/>
        <v>NAN</v>
      </c>
      <c r="CF27" s="1">
        <f t="shared" si="36"/>
        <v>0.52200000000000002</v>
      </c>
      <c r="CG27" s="1">
        <f t="shared" si="37"/>
        <v>4.4999999999999998E-2</v>
      </c>
      <c r="CI27" s="1">
        <f t="shared" si="26"/>
        <v>2880</v>
      </c>
      <c r="CJ27" s="1">
        <f t="shared" si="27"/>
        <v>1.4999999999999999E-2</v>
      </c>
      <c r="CK27" s="1">
        <f t="shared" si="28"/>
        <v>5.0000000000000001E-3</v>
      </c>
      <c r="CL27" s="1">
        <f t="shared" si="29"/>
        <v>8.9999999999999993E-3</v>
      </c>
      <c r="CM27" s="1">
        <f t="shared" si="30"/>
        <v>3.5999999999999997E-2</v>
      </c>
      <c r="CN27" s="1">
        <f t="shared" si="31"/>
        <v>0.188</v>
      </c>
      <c r="CO27" s="1">
        <f t="shared" si="32"/>
        <v>0.38300000000000001</v>
      </c>
      <c r="CP27" s="1">
        <f t="shared" si="33"/>
        <v>0.27500000000000002</v>
      </c>
      <c r="CQ27" s="1">
        <f t="shared" si="34"/>
        <v>8.7999999999999995E-2</v>
      </c>
      <c r="CS27" s="1">
        <f t="shared" si="38"/>
        <v>-1.7999999999999998</v>
      </c>
      <c r="CT27" s="1">
        <f t="shared" si="39"/>
        <v>-2.5000000000000009</v>
      </c>
    </row>
    <row r="28" spans="1:98" x14ac:dyDescent="0.2">
      <c r="A28" s="8">
        <f t="shared" si="40"/>
        <v>43853</v>
      </c>
      <c r="B28" s="1">
        <v>23</v>
      </c>
      <c r="C28" s="1">
        <v>11</v>
      </c>
      <c r="D28" s="2">
        <v>13.07</v>
      </c>
      <c r="E28" s="2">
        <v>1.7350000000000001</v>
      </c>
      <c r="F28" s="2">
        <v>-5.3949999999999996</v>
      </c>
      <c r="G28" s="2">
        <v>-2.5390000000000001</v>
      </c>
      <c r="H28" s="2">
        <v>93.9</v>
      </c>
      <c r="I28" s="2">
        <v>-0.72799999999999998</v>
      </c>
      <c r="J28" s="2">
        <v>-1.6930000000000001</v>
      </c>
      <c r="K28" s="2">
        <v>-3.5000000000000003E-2</v>
      </c>
      <c r="L28" s="2">
        <v>0.91200000000000003</v>
      </c>
      <c r="M28" s="2">
        <v>1.613</v>
      </c>
      <c r="N28" s="2">
        <v>2.395</v>
      </c>
      <c r="O28" s="2">
        <v>96.1</v>
      </c>
      <c r="P28" s="2">
        <v>-0.625</v>
      </c>
      <c r="Q28" s="2">
        <v>-1.5569999999999999</v>
      </c>
      <c r="R28" s="2">
        <v>7.8E-2</v>
      </c>
      <c r="S28" s="2">
        <v>1.006</v>
      </c>
      <c r="T28" s="2">
        <v>1.706</v>
      </c>
      <c r="U28" s="2">
        <v>-5.4269999999999996</v>
      </c>
      <c r="V28" s="2">
        <v>88</v>
      </c>
      <c r="W28" s="2">
        <v>-0.82399999999999995</v>
      </c>
      <c r="X28" s="2">
        <v>-1.8560000000000001</v>
      </c>
      <c r="Y28" s="2">
        <v>-0.13800000000000001</v>
      </c>
      <c r="Z28" s="2">
        <v>0.82099999999999995</v>
      </c>
      <c r="AA28" s="2">
        <v>1.534</v>
      </c>
      <c r="AB28" s="2">
        <v>1.43</v>
      </c>
      <c r="AC28" s="2">
        <v>0</v>
      </c>
      <c r="AD28" s="2">
        <v>1.8779999999999999</v>
      </c>
      <c r="AE28" s="2">
        <v>4.2770000000000001</v>
      </c>
      <c r="AF28" s="2">
        <v>1.2190000000000001</v>
      </c>
      <c r="AG28" s="2">
        <v>3.3079999999999998</v>
      </c>
      <c r="AH28" s="2">
        <v>-3.1240000000000001</v>
      </c>
      <c r="AI28" s="2">
        <v>2.3439999999999999</v>
      </c>
      <c r="AJ28" s="2">
        <v>-6.3520000000000003</v>
      </c>
      <c r="AK28" s="2">
        <v>5.1779999999999999</v>
      </c>
      <c r="AL28" s="2">
        <v>-5.5979999999999999</v>
      </c>
      <c r="AM28" s="2">
        <v>1.4339999999999999</v>
      </c>
      <c r="AN28" s="2" t="s">
        <v>122</v>
      </c>
      <c r="AO28" s="2">
        <v>13</v>
      </c>
      <c r="AP28" s="2">
        <v>30</v>
      </c>
      <c r="AQ28" s="2">
        <v>144</v>
      </c>
      <c r="AR28" s="2">
        <v>538</v>
      </c>
      <c r="AS28" s="2">
        <v>1095</v>
      </c>
      <c r="AT28" s="2">
        <v>900</v>
      </c>
      <c r="AU28" s="2">
        <v>143</v>
      </c>
      <c r="AV28" s="2">
        <v>17</v>
      </c>
      <c r="AW28" s="2"/>
      <c r="AX28" s="1">
        <f t="shared" si="0"/>
        <v>1.1199999999999999</v>
      </c>
      <c r="AY28" s="21">
        <f t="shared" si="1"/>
        <v>-0.8</v>
      </c>
      <c r="AZ28" s="5">
        <v>6.84</v>
      </c>
      <c r="BA28" s="1">
        <v>4.1399999999999997</v>
      </c>
      <c r="BB28" s="1">
        <v>3.93</v>
      </c>
      <c r="BC28" s="6">
        <f t="shared" si="35"/>
        <v>0.94927536231884069</v>
      </c>
      <c r="BE28" s="30">
        <v>0</v>
      </c>
      <c r="BF28" s="27">
        <v>1160</v>
      </c>
      <c r="BG28" s="1">
        <f t="shared" si="2"/>
        <v>96.1</v>
      </c>
      <c r="BH28" s="1">
        <f t="shared" si="3"/>
        <v>93.9</v>
      </c>
      <c r="BI28" s="1">
        <f t="shared" si="4"/>
        <v>88</v>
      </c>
      <c r="BJ28" s="7">
        <f t="shared" si="5"/>
        <v>0.63800000000000001</v>
      </c>
      <c r="BK28" s="7">
        <f t="shared" si="6"/>
        <v>8.6999999999999994E-2</v>
      </c>
      <c r="BM28" s="5">
        <f t="shared" si="7"/>
        <v>4.1399999999999997</v>
      </c>
      <c r="BN28" s="5">
        <f t="shared" si="8"/>
        <v>3.93</v>
      </c>
      <c r="BO28" s="1">
        <f t="shared" si="9"/>
        <v>-2.5</v>
      </c>
      <c r="BP28" s="1">
        <f t="shared" si="10"/>
        <v>2.4</v>
      </c>
      <c r="BQ28" s="1">
        <f t="shared" si="11"/>
        <v>-5.4</v>
      </c>
      <c r="BR28" s="1">
        <f t="shared" si="12"/>
        <v>93.9</v>
      </c>
      <c r="BS28" s="1">
        <f t="shared" si="13"/>
        <v>88</v>
      </c>
      <c r="BT28" s="1">
        <f t="shared" si="14"/>
        <v>1.2</v>
      </c>
      <c r="BU28" s="1">
        <f t="shared" si="15"/>
        <v>3.3</v>
      </c>
      <c r="BV28" s="33">
        <f t="shared" si="16"/>
        <v>0</v>
      </c>
      <c r="BW28" s="34">
        <f t="shared" si="17"/>
        <v>1.1599999999999999</v>
      </c>
      <c r="BX28" s="20">
        <f t="shared" si="18"/>
        <v>-0.8</v>
      </c>
      <c r="BY28" s="1">
        <f t="shared" si="19"/>
        <v>-3.1</v>
      </c>
      <c r="BZ28" s="1">
        <f t="shared" si="20"/>
        <v>2.2999999999999998</v>
      </c>
      <c r="CA28" s="1">
        <f t="shared" si="21"/>
        <v>-6.4</v>
      </c>
      <c r="CB28" s="1">
        <f t="shared" si="22"/>
        <v>0</v>
      </c>
      <c r="CC28" s="1">
        <f t="shared" si="23"/>
        <v>0.9</v>
      </c>
      <c r="CD28" s="1">
        <f t="shared" si="24"/>
        <v>1.6</v>
      </c>
      <c r="CE28" s="1" t="str">
        <f t="shared" si="25"/>
        <v>NAN</v>
      </c>
      <c r="CF28" s="1">
        <f t="shared" si="36"/>
        <v>0.63800000000000001</v>
      </c>
      <c r="CG28" s="1">
        <f t="shared" si="37"/>
        <v>8.6999999999999994E-2</v>
      </c>
      <c r="CI28" s="1">
        <f t="shared" si="26"/>
        <v>2880</v>
      </c>
      <c r="CJ28" s="1">
        <f t="shared" si="27"/>
        <v>5.0000000000000001E-3</v>
      </c>
      <c r="CK28" s="1">
        <f t="shared" si="28"/>
        <v>0.01</v>
      </c>
      <c r="CL28" s="1">
        <f t="shared" si="29"/>
        <v>0.05</v>
      </c>
      <c r="CM28" s="1">
        <f t="shared" si="30"/>
        <v>0.187</v>
      </c>
      <c r="CN28" s="1">
        <f t="shared" si="31"/>
        <v>0.38</v>
      </c>
      <c r="CO28" s="1">
        <f t="shared" si="32"/>
        <v>0.313</v>
      </c>
      <c r="CP28" s="1">
        <f t="shared" si="33"/>
        <v>0.05</v>
      </c>
      <c r="CQ28" s="1">
        <f t="shared" si="34"/>
        <v>6.0000000000000001E-3</v>
      </c>
      <c r="CS28" s="1">
        <f t="shared" si="38"/>
        <v>-0.10000000000000009</v>
      </c>
      <c r="CT28" s="1">
        <f t="shared" si="39"/>
        <v>-1</v>
      </c>
    </row>
    <row r="29" spans="1:98" x14ac:dyDescent="0.2">
      <c r="A29" s="8">
        <f t="shared" si="40"/>
        <v>43854</v>
      </c>
      <c r="B29" s="1">
        <v>24</v>
      </c>
      <c r="C29" s="1">
        <v>11</v>
      </c>
      <c r="D29" s="2">
        <v>13.04</v>
      </c>
      <c r="E29" s="2">
        <v>1.861</v>
      </c>
      <c r="F29" s="2">
        <v>-7.2610000000000001</v>
      </c>
      <c r="G29" s="2">
        <v>-1.847</v>
      </c>
      <c r="H29" s="2">
        <v>93.9</v>
      </c>
      <c r="I29" s="2">
        <v>-0.66</v>
      </c>
      <c r="J29" s="2">
        <v>-1.5189999999999999</v>
      </c>
      <c r="K29" s="2">
        <v>-3.5000000000000003E-2</v>
      </c>
      <c r="L29" s="2">
        <v>0.90700000000000003</v>
      </c>
      <c r="M29" s="2">
        <v>1.61</v>
      </c>
      <c r="N29" s="2">
        <v>2.6970000000000001</v>
      </c>
      <c r="O29" s="2">
        <v>96</v>
      </c>
      <c r="P29" s="2">
        <v>-0.55100000000000005</v>
      </c>
      <c r="Q29" s="2">
        <v>-1.411</v>
      </c>
      <c r="R29" s="2">
        <v>9.2999999999999999E-2</v>
      </c>
      <c r="S29" s="2">
        <v>1.0229999999999999</v>
      </c>
      <c r="T29" s="2">
        <v>1.7290000000000001</v>
      </c>
      <c r="U29" s="2">
        <v>-6.0670000000000002</v>
      </c>
      <c r="V29" s="2">
        <v>84.6</v>
      </c>
      <c r="W29" s="2">
        <v>-0.73799999999999999</v>
      </c>
      <c r="X29" s="2">
        <v>-1.64</v>
      </c>
      <c r="Y29" s="2">
        <v>-0.15</v>
      </c>
      <c r="Z29" s="2">
        <v>0.79600000000000004</v>
      </c>
      <c r="AA29" s="2">
        <v>1.502</v>
      </c>
      <c r="AB29" s="2">
        <v>1.405</v>
      </c>
      <c r="AC29" s="2">
        <v>0</v>
      </c>
      <c r="AD29" s="2">
        <v>2.2589999999999999</v>
      </c>
      <c r="AE29" s="2">
        <v>4.0469999999999997</v>
      </c>
      <c r="AF29" s="2">
        <v>1.288</v>
      </c>
      <c r="AG29" s="2">
        <v>3.5739999999999998</v>
      </c>
      <c r="AH29" s="2">
        <v>-3.0110000000000001</v>
      </c>
      <c r="AI29" s="2">
        <v>2.2240000000000002</v>
      </c>
      <c r="AJ29" s="2">
        <v>-11.82</v>
      </c>
      <c r="AK29" s="2">
        <v>5.28</v>
      </c>
      <c r="AL29" s="2">
        <v>-7.77</v>
      </c>
      <c r="AM29" s="2">
        <v>1.421</v>
      </c>
      <c r="AN29" s="2" t="s">
        <v>122</v>
      </c>
      <c r="AO29" s="2">
        <v>44</v>
      </c>
      <c r="AP29" s="2">
        <v>12</v>
      </c>
      <c r="AQ29" s="2">
        <v>19</v>
      </c>
      <c r="AR29" s="2">
        <v>131</v>
      </c>
      <c r="AS29" s="2">
        <v>526</v>
      </c>
      <c r="AT29" s="2">
        <v>816</v>
      </c>
      <c r="AU29" s="2">
        <v>961</v>
      </c>
      <c r="AV29" s="2">
        <v>371</v>
      </c>
      <c r="AW29" s="2"/>
      <c r="AX29" s="1">
        <f t="shared" si="0"/>
        <v>1.1449999999999998</v>
      </c>
      <c r="AY29" s="21">
        <f t="shared" si="1"/>
        <v>-0.7</v>
      </c>
      <c r="AZ29" s="5">
        <v>6.96</v>
      </c>
      <c r="BA29" s="1">
        <v>3.98</v>
      </c>
      <c r="BB29" s="1">
        <v>3.72</v>
      </c>
      <c r="BC29" s="6">
        <f t="shared" si="35"/>
        <v>0.9346733668341709</v>
      </c>
      <c r="BE29" s="30">
        <v>4.5999999999999996</v>
      </c>
      <c r="BF29" s="27">
        <v>1184.9999999999998</v>
      </c>
      <c r="BG29" s="1">
        <f t="shared" si="2"/>
        <v>96</v>
      </c>
      <c r="BH29" s="1">
        <f t="shared" si="3"/>
        <v>93.9</v>
      </c>
      <c r="BI29" s="1">
        <f t="shared" si="4"/>
        <v>84.6</v>
      </c>
      <c r="BJ29" s="7">
        <f t="shared" si="5"/>
        <v>0.627</v>
      </c>
      <c r="BK29" s="7">
        <f t="shared" si="6"/>
        <v>0.114</v>
      </c>
      <c r="BM29" s="5">
        <f t="shared" si="7"/>
        <v>3.98</v>
      </c>
      <c r="BN29" s="5">
        <f t="shared" si="8"/>
        <v>3.72</v>
      </c>
      <c r="BO29" s="1">
        <f t="shared" si="9"/>
        <v>-1.8</v>
      </c>
      <c r="BP29" s="1">
        <f t="shared" si="10"/>
        <v>2.7</v>
      </c>
      <c r="BQ29" s="1">
        <f t="shared" si="11"/>
        <v>-6.1</v>
      </c>
      <c r="BR29" s="1">
        <f t="shared" si="12"/>
        <v>93.9</v>
      </c>
      <c r="BS29" s="1">
        <f t="shared" si="13"/>
        <v>84.6</v>
      </c>
      <c r="BT29" s="1">
        <f t="shared" si="14"/>
        <v>1.3</v>
      </c>
      <c r="BU29" s="1">
        <f t="shared" si="15"/>
        <v>3.6</v>
      </c>
      <c r="BV29" s="33">
        <f t="shared" si="16"/>
        <v>4.5999999999999996</v>
      </c>
      <c r="BW29" s="34">
        <f t="shared" si="17"/>
        <v>1.1850000000000001</v>
      </c>
      <c r="BX29" s="20">
        <f t="shared" si="18"/>
        <v>-0.7</v>
      </c>
      <c r="BY29" s="1">
        <f t="shared" si="19"/>
        <v>-3</v>
      </c>
      <c r="BZ29" s="1">
        <f t="shared" si="20"/>
        <v>2.2000000000000002</v>
      </c>
      <c r="CA29" s="1">
        <f t="shared" si="21"/>
        <v>-11.8</v>
      </c>
      <c r="CB29" s="1">
        <f t="shared" si="22"/>
        <v>0</v>
      </c>
      <c r="CC29" s="1">
        <f t="shared" si="23"/>
        <v>0.9</v>
      </c>
      <c r="CD29" s="1">
        <f t="shared" si="24"/>
        <v>1.6</v>
      </c>
      <c r="CE29" s="1" t="str">
        <f t="shared" si="25"/>
        <v>NAN</v>
      </c>
      <c r="CF29" s="1">
        <f t="shared" si="36"/>
        <v>0.627</v>
      </c>
      <c r="CG29" s="1">
        <f t="shared" si="37"/>
        <v>0.114</v>
      </c>
      <c r="CI29" s="1">
        <f t="shared" si="26"/>
        <v>2880</v>
      </c>
      <c r="CJ29" s="1">
        <f t="shared" si="27"/>
        <v>1.4999999999999999E-2</v>
      </c>
      <c r="CK29" s="1">
        <f t="shared" si="28"/>
        <v>4.0000000000000001E-3</v>
      </c>
      <c r="CL29" s="1">
        <f t="shared" si="29"/>
        <v>7.0000000000000001E-3</v>
      </c>
      <c r="CM29" s="1">
        <f t="shared" si="30"/>
        <v>4.4999999999999998E-2</v>
      </c>
      <c r="CN29" s="1">
        <f t="shared" si="31"/>
        <v>0.183</v>
      </c>
      <c r="CO29" s="1">
        <f t="shared" si="32"/>
        <v>0.28299999999999997</v>
      </c>
      <c r="CP29" s="1">
        <f t="shared" si="33"/>
        <v>0.33400000000000002</v>
      </c>
      <c r="CQ29" s="1">
        <f t="shared" si="34"/>
        <v>0.129</v>
      </c>
      <c r="CS29" s="1">
        <f t="shared" si="38"/>
        <v>-0.5</v>
      </c>
      <c r="CT29" s="1">
        <f t="shared" si="39"/>
        <v>-5.7000000000000011</v>
      </c>
    </row>
    <row r="30" spans="1:98" x14ac:dyDescent="0.2">
      <c r="A30" s="8">
        <f t="shared" si="40"/>
        <v>43855</v>
      </c>
      <c r="B30" s="1">
        <v>25</v>
      </c>
      <c r="C30" s="1">
        <v>11</v>
      </c>
      <c r="D30" s="2">
        <v>13.03</v>
      </c>
      <c r="E30" s="2">
        <v>-1.95</v>
      </c>
      <c r="F30" s="2">
        <v>-9.2799999999999994</v>
      </c>
      <c r="G30" s="2">
        <v>-4.4409999999999998</v>
      </c>
      <c r="H30" s="2">
        <v>92.2</v>
      </c>
      <c r="I30" s="2">
        <v>-0.60699999999999998</v>
      </c>
      <c r="J30" s="2">
        <v>-1.3380000000000001</v>
      </c>
      <c r="K30" s="2">
        <v>-5.6000000000000001E-2</v>
      </c>
      <c r="L30" s="2">
        <v>0.88500000000000001</v>
      </c>
      <c r="M30" s="2">
        <v>1.579</v>
      </c>
      <c r="N30" s="2">
        <v>-1.494</v>
      </c>
      <c r="O30" s="2">
        <v>94.6</v>
      </c>
      <c r="P30" s="2">
        <v>-0.50700000000000001</v>
      </c>
      <c r="Q30" s="2">
        <v>-1.1919999999999999</v>
      </c>
      <c r="R30" s="2">
        <v>5.6000000000000001E-2</v>
      </c>
      <c r="S30" s="2">
        <v>0.99399999999999999</v>
      </c>
      <c r="T30" s="2">
        <v>1.67</v>
      </c>
      <c r="U30" s="2">
        <v>-7.08</v>
      </c>
      <c r="V30" s="2">
        <v>89</v>
      </c>
      <c r="W30" s="2">
        <v>-0.73599999999999999</v>
      </c>
      <c r="X30" s="2">
        <v>-1.5329999999999999</v>
      </c>
      <c r="Y30" s="2">
        <v>-0.17</v>
      </c>
      <c r="Z30" s="2">
        <v>0.77400000000000002</v>
      </c>
      <c r="AA30" s="2">
        <v>1.48</v>
      </c>
      <c r="AB30" s="2">
        <v>1.401</v>
      </c>
      <c r="AC30" s="2">
        <v>0</v>
      </c>
      <c r="AD30" s="2">
        <v>0.98899999999999999</v>
      </c>
      <c r="AE30" s="2">
        <v>2.1019999999999999</v>
      </c>
      <c r="AF30" s="2">
        <v>0.89800000000000002</v>
      </c>
      <c r="AG30" s="2">
        <v>3.4609999999999999</v>
      </c>
      <c r="AH30" s="2">
        <v>-6.4980000000000002</v>
      </c>
      <c r="AI30" s="2">
        <v>-1.01</v>
      </c>
      <c r="AJ30" s="2">
        <v>-12.51</v>
      </c>
      <c r="AK30" s="2">
        <v>-1.258</v>
      </c>
      <c r="AL30" s="2">
        <v>-8.33</v>
      </c>
      <c r="AM30" s="2">
        <v>1.413</v>
      </c>
      <c r="AN30" s="2" t="s">
        <v>122</v>
      </c>
      <c r="AO30" s="2">
        <v>10</v>
      </c>
      <c r="AP30" s="2">
        <v>64</v>
      </c>
      <c r="AQ30" s="2">
        <v>267</v>
      </c>
      <c r="AR30" s="2">
        <v>656</v>
      </c>
      <c r="AS30" s="2">
        <v>660</v>
      </c>
      <c r="AT30" s="2">
        <v>752</v>
      </c>
      <c r="AU30" s="2">
        <v>355</v>
      </c>
      <c r="AV30" s="2">
        <v>116</v>
      </c>
      <c r="AW30" s="2"/>
      <c r="AX30" s="1">
        <f t="shared" si="0"/>
        <v>1.1489999999999998</v>
      </c>
      <c r="AY30" s="21">
        <f t="shared" si="1"/>
        <v>-0.7</v>
      </c>
      <c r="AZ30" s="5">
        <v>7.09</v>
      </c>
      <c r="BA30" s="1">
        <v>2.04</v>
      </c>
      <c r="BB30" s="1">
        <v>1.93</v>
      </c>
      <c r="BC30" s="6">
        <f t="shared" si="35"/>
        <v>0.94607843137254899</v>
      </c>
      <c r="BE30" s="30">
        <v>1.1000000000000001</v>
      </c>
      <c r="BF30" s="27">
        <v>1188.9999999999998</v>
      </c>
      <c r="BG30" s="1">
        <f t="shared" si="2"/>
        <v>94.6</v>
      </c>
      <c r="BH30" s="1">
        <f t="shared" si="3"/>
        <v>92.2</v>
      </c>
      <c r="BI30" s="1">
        <f t="shared" si="4"/>
        <v>89</v>
      </c>
      <c r="BJ30" s="7">
        <f t="shared" si="5"/>
        <v>0.48699999999999999</v>
      </c>
      <c r="BK30" s="7">
        <f t="shared" si="6"/>
        <v>0.06</v>
      </c>
      <c r="BM30" s="5">
        <f t="shared" si="7"/>
        <v>2.04</v>
      </c>
      <c r="BN30" s="5">
        <f t="shared" si="8"/>
        <v>1.93</v>
      </c>
      <c r="BO30" s="1">
        <f t="shared" si="9"/>
        <v>-4.4000000000000004</v>
      </c>
      <c r="BP30" s="1">
        <f t="shared" si="10"/>
        <v>-1.5</v>
      </c>
      <c r="BQ30" s="1">
        <f t="shared" si="11"/>
        <v>-7.1</v>
      </c>
      <c r="BR30" s="1">
        <f t="shared" si="12"/>
        <v>92.2</v>
      </c>
      <c r="BS30" s="1">
        <f t="shared" si="13"/>
        <v>89</v>
      </c>
      <c r="BT30" s="1">
        <f t="shared" si="14"/>
        <v>0.9</v>
      </c>
      <c r="BU30" s="1">
        <f t="shared" si="15"/>
        <v>3.5</v>
      </c>
      <c r="BV30" s="33">
        <f t="shared" si="16"/>
        <v>1.1000000000000001</v>
      </c>
      <c r="BW30" s="34">
        <f t="shared" si="17"/>
        <v>1.1890000000000001</v>
      </c>
      <c r="BX30" s="20">
        <f t="shared" si="18"/>
        <v>-0.7</v>
      </c>
      <c r="BY30" s="1">
        <f t="shared" si="19"/>
        <v>-6.5</v>
      </c>
      <c r="BZ30" s="1">
        <f t="shared" si="20"/>
        <v>-1</v>
      </c>
      <c r="CA30" s="1">
        <f t="shared" si="21"/>
        <v>-12.5</v>
      </c>
      <c r="CB30" s="1">
        <f t="shared" si="22"/>
        <v>-0.1</v>
      </c>
      <c r="CC30" s="1">
        <f t="shared" si="23"/>
        <v>0.9</v>
      </c>
      <c r="CD30" s="1">
        <f t="shared" si="24"/>
        <v>1.6</v>
      </c>
      <c r="CE30" s="1" t="str">
        <f t="shared" si="25"/>
        <v>NAN</v>
      </c>
      <c r="CF30" s="1">
        <f t="shared" si="36"/>
        <v>0.48699999999999999</v>
      </c>
      <c r="CG30" s="1">
        <f t="shared" si="37"/>
        <v>0.06</v>
      </c>
      <c r="CI30" s="1">
        <f t="shared" si="26"/>
        <v>2880</v>
      </c>
      <c r="CJ30" s="1">
        <f t="shared" si="27"/>
        <v>3.0000000000000001E-3</v>
      </c>
      <c r="CK30" s="1">
        <f t="shared" si="28"/>
        <v>2.1999999999999999E-2</v>
      </c>
      <c r="CL30" s="1">
        <f t="shared" si="29"/>
        <v>9.2999999999999999E-2</v>
      </c>
      <c r="CM30" s="1">
        <f t="shared" si="30"/>
        <v>0.22800000000000001</v>
      </c>
      <c r="CN30" s="1">
        <f t="shared" si="31"/>
        <v>0.22900000000000001</v>
      </c>
      <c r="CO30" s="1">
        <f t="shared" si="32"/>
        <v>0.26100000000000001</v>
      </c>
      <c r="CP30" s="1">
        <f t="shared" si="33"/>
        <v>0.123</v>
      </c>
      <c r="CQ30" s="1">
        <f t="shared" si="34"/>
        <v>0.04</v>
      </c>
      <c r="CS30" s="1">
        <f t="shared" si="38"/>
        <v>0.5</v>
      </c>
      <c r="CT30" s="1">
        <f t="shared" si="39"/>
        <v>-5.4</v>
      </c>
    </row>
    <row r="31" spans="1:98" x14ac:dyDescent="0.2">
      <c r="A31" s="8">
        <f t="shared" si="40"/>
        <v>43856</v>
      </c>
      <c r="B31" s="1">
        <v>26</v>
      </c>
      <c r="C31" s="1">
        <v>11</v>
      </c>
      <c r="D31" s="2">
        <v>13.05</v>
      </c>
      <c r="E31" s="2">
        <v>-5.1999999999999998E-2</v>
      </c>
      <c r="F31" s="2">
        <v>-5.3520000000000003</v>
      </c>
      <c r="G31" s="2">
        <v>-3.5950000000000002</v>
      </c>
      <c r="H31" s="2">
        <v>93.2</v>
      </c>
      <c r="I31" s="2">
        <v>-0.53700000000000003</v>
      </c>
      <c r="J31" s="2">
        <v>-1.234</v>
      </c>
      <c r="K31" s="2">
        <v>-4.2999999999999997E-2</v>
      </c>
      <c r="L31" s="2">
        <v>0.89600000000000002</v>
      </c>
      <c r="M31" s="2">
        <v>1.5860000000000001</v>
      </c>
      <c r="N31" s="2">
        <v>-0.04</v>
      </c>
      <c r="O31" s="2">
        <v>94.9</v>
      </c>
      <c r="P31" s="2">
        <v>-0.44</v>
      </c>
      <c r="Q31" s="2">
        <v>-1.133</v>
      </c>
      <c r="R31" s="2">
        <v>4.1000000000000002E-2</v>
      </c>
      <c r="S31" s="2">
        <v>0.999</v>
      </c>
      <c r="T31" s="2">
        <v>1.671</v>
      </c>
      <c r="U31" s="2">
        <v>-5.0529999999999999</v>
      </c>
      <c r="V31" s="2">
        <v>89.7</v>
      </c>
      <c r="W31" s="2">
        <v>-0.60899999999999999</v>
      </c>
      <c r="X31" s="2">
        <v>-1.304</v>
      </c>
      <c r="Y31" s="2">
        <v>-0.13700000000000001</v>
      </c>
      <c r="Z31" s="2">
        <v>0.81200000000000006</v>
      </c>
      <c r="AA31" s="2">
        <v>1.502</v>
      </c>
      <c r="AB31" s="2">
        <v>1.4119999999999999</v>
      </c>
      <c r="AC31" s="2">
        <v>0</v>
      </c>
      <c r="AD31" s="2">
        <v>1.4550000000000001</v>
      </c>
      <c r="AE31" s="2">
        <v>3.1920000000000002</v>
      </c>
      <c r="AF31" s="2">
        <v>1.3149999999999999</v>
      </c>
      <c r="AG31" s="2">
        <v>4.1710000000000003</v>
      </c>
      <c r="AH31" s="2">
        <v>-4.3929999999999998</v>
      </c>
      <c r="AI31" s="2">
        <v>-0.122</v>
      </c>
      <c r="AJ31" s="2">
        <v>-8.08</v>
      </c>
      <c r="AK31" s="2">
        <v>8.2000000000000003E-2</v>
      </c>
      <c r="AL31" s="2">
        <v>-5.51</v>
      </c>
      <c r="AM31" s="2">
        <v>1.4239999999999999</v>
      </c>
      <c r="AN31" s="2" t="s">
        <v>122</v>
      </c>
      <c r="AO31" s="2">
        <v>14</v>
      </c>
      <c r="AP31" s="2">
        <v>30</v>
      </c>
      <c r="AQ31" s="2">
        <v>115</v>
      </c>
      <c r="AR31" s="2">
        <v>384</v>
      </c>
      <c r="AS31" s="2">
        <v>928</v>
      </c>
      <c r="AT31" s="2">
        <v>1098</v>
      </c>
      <c r="AU31" s="2">
        <v>278</v>
      </c>
      <c r="AV31" s="2">
        <v>33</v>
      </c>
      <c r="AW31" s="2"/>
      <c r="AX31" s="1">
        <f t="shared" si="0"/>
        <v>1.1379999999999999</v>
      </c>
      <c r="AY31" s="21">
        <f t="shared" si="1"/>
        <v>-0.6</v>
      </c>
      <c r="AZ31" s="5">
        <v>7.21</v>
      </c>
      <c r="BA31" s="1">
        <v>3.09</v>
      </c>
      <c r="BB31" s="1">
        <v>2.94</v>
      </c>
      <c r="BC31" s="6">
        <f t="shared" si="35"/>
        <v>0.95145631067961167</v>
      </c>
      <c r="BE31" s="30">
        <v>2.2000000000000002</v>
      </c>
      <c r="BF31" s="27">
        <v>1178</v>
      </c>
      <c r="BG31" s="1">
        <f t="shared" si="2"/>
        <v>94.9</v>
      </c>
      <c r="BH31" s="1">
        <f t="shared" si="3"/>
        <v>93.2</v>
      </c>
      <c r="BI31" s="1">
        <f t="shared" si="4"/>
        <v>89.7</v>
      </c>
      <c r="BJ31" s="7">
        <f t="shared" si="5"/>
        <v>0.54600000000000004</v>
      </c>
      <c r="BK31" s="7">
        <f t="shared" si="6"/>
        <v>6.3E-2</v>
      </c>
      <c r="BM31" s="5">
        <f t="shared" si="7"/>
        <v>3.09</v>
      </c>
      <c r="BN31" s="5">
        <f t="shared" si="8"/>
        <v>2.94</v>
      </c>
      <c r="BO31" s="1">
        <f t="shared" si="9"/>
        <v>-3.6</v>
      </c>
      <c r="BP31" s="1">
        <f t="shared" si="10"/>
        <v>0</v>
      </c>
      <c r="BQ31" s="1">
        <f t="shared" si="11"/>
        <v>-5.0999999999999996</v>
      </c>
      <c r="BR31" s="1">
        <f t="shared" si="12"/>
        <v>93.2</v>
      </c>
      <c r="BS31" s="1">
        <f t="shared" si="13"/>
        <v>89.7</v>
      </c>
      <c r="BT31" s="1">
        <f t="shared" si="14"/>
        <v>1.3</v>
      </c>
      <c r="BU31" s="1">
        <f t="shared" si="15"/>
        <v>4.2</v>
      </c>
      <c r="BV31" s="33">
        <f t="shared" si="16"/>
        <v>2.2000000000000002</v>
      </c>
      <c r="BW31" s="34">
        <f t="shared" si="17"/>
        <v>1.1779999999999999</v>
      </c>
      <c r="BX31" s="20">
        <f t="shared" si="18"/>
        <v>-0.6</v>
      </c>
      <c r="BY31" s="1">
        <f t="shared" si="19"/>
        <v>-4.4000000000000004</v>
      </c>
      <c r="BZ31" s="1">
        <f t="shared" si="20"/>
        <v>-0.1</v>
      </c>
      <c r="CA31" s="1">
        <f t="shared" si="21"/>
        <v>-8.1</v>
      </c>
      <c r="CB31" s="1">
        <f t="shared" si="22"/>
        <v>0</v>
      </c>
      <c r="CC31" s="1">
        <f t="shared" si="23"/>
        <v>0.9</v>
      </c>
      <c r="CD31" s="1">
        <f t="shared" si="24"/>
        <v>1.6</v>
      </c>
      <c r="CE31" s="1" t="str">
        <f t="shared" si="25"/>
        <v>NAN</v>
      </c>
      <c r="CF31" s="1">
        <f t="shared" si="36"/>
        <v>0.54600000000000004</v>
      </c>
      <c r="CG31" s="1">
        <f t="shared" si="37"/>
        <v>6.3E-2</v>
      </c>
      <c r="CI31" s="1">
        <f t="shared" si="26"/>
        <v>2880</v>
      </c>
      <c r="CJ31" s="1">
        <f t="shared" si="27"/>
        <v>5.0000000000000001E-3</v>
      </c>
      <c r="CK31" s="1">
        <f t="shared" si="28"/>
        <v>0.01</v>
      </c>
      <c r="CL31" s="1">
        <f t="shared" si="29"/>
        <v>0.04</v>
      </c>
      <c r="CM31" s="1">
        <f t="shared" si="30"/>
        <v>0.13300000000000001</v>
      </c>
      <c r="CN31" s="1">
        <f t="shared" si="31"/>
        <v>0.32200000000000001</v>
      </c>
      <c r="CO31" s="1">
        <f t="shared" si="32"/>
        <v>0.38100000000000001</v>
      </c>
      <c r="CP31" s="1">
        <f t="shared" si="33"/>
        <v>9.7000000000000003E-2</v>
      </c>
      <c r="CQ31" s="1">
        <f t="shared" si="34"/>
        <v>1.0999999999999999E-2</v>
      </c>
      <c r="CS31" s="1">
        <f t="shared" si="38"/>
        <v>-0.1</v>
      </c>
      <c r="CT31" s="1">
        <f t="shared" si="39"/>
        <v>-3</v>
      </c>
    </row>
    <row r="32" spans="1:98" x14ac:dyDescent="0.2">
      <c r="A32" s="8">
        <f t="shared" si="40"/>
        <v>43857</v>
      </c>
      <c r="B32" s="1">
        <v>27</v>
      </c>
      <c r="C32" s="1">
        <v>11</v>
      </c>
      <c r="D32" s="2">
        <v>13.05</v>
      </c>
      <c r="E32" s="2">
        <v>-1.609</v>
      </c>
      <c r="F32" s="2">
        <v>-6.4459999999999997</v>
      </c>
      <c r="G32" s="2">
        <v>-4.617</v>
      </c>
      <c r="H32" s="2">
        <v>91</v>
      </c>
      <c r="I32" s="2">
        <v>-0.52700000000000002</v>
      </c>
      <c r="J32" s="2">
        <v>-1.2090000000000001</v>
      </c>
      <c r="K32" s="2">
        <v>-0.05</v>
      </c>
      <c r="L32" s="2">
        <v>0.88600000000000001</v>
      </c>
      <c r="M32" s="2">
        <v>1.575</v>
      </c>
      <c r="N32" s="2">
        <v>-0.82099999999999995</v>
      </c>
      <c r="O32" s="2">
        <v>94.3</v>
      </c>
      <c r="P32" s="2">
        <v>-0.44400000000000001</v>
      </c>
      <c r="Q32" s="2">
        <v>-1.129</v>
      </c>
      <c r="R32" s="2">
        <v>2.8000000000000001E-2</v>
      </c>
      <c r="S32" s="2">
        <v>0.96599999999999997</v>
      </c>
      <c r="T32" s="2">
        <v>1.661</v>
      </c>
      <c r="U32" s="2">
        <v>-6.5129999999999999</v>
      </c>
      <c r="V32" s="2">
        <v>79.14</v>
      </c>
      <c r="W32" s="2">
        <v>-0.63500000000000001</v>
      </c>
      <c r="X32" s="2">
        <v>-1.2989999999999999</v>
      </c>
      <c r="Y32" s="2">
        <v>-0.16400000000000001</v>
      </c>
      <c r="Z32" s="2">
        <v>0.77200000000000002</v>
      </c>
      <c r="AA32" s="2">
        <v>1.486</v>
      </c>
      <c r="AB32" s="2">
        <v>1.3520000000000001</v>
      </c>
      <c r="AC32" s="2">
        <v>0</v>
      </c>
      <c r="AD32" s="2">
        <v>2.4</v>
      </c>
      <c r="AE32" s="2">
        <v>4.4509999999999996</v>
      </c>
      <c r="AF32" s="2">
        <v>1.2390000000000001</v>
      </c>
      <c r="AG32" s="2">
        <v>4.3319999999999999</v>
      </c>
      <c r="AH32" s="2">
        <v>-5.8109999999999999</v>
      </c>
      <c r="AI32" s="2">
        <v>-1.389</v>
      </c>
      <c r="AJ32" s="2">
        <v>-10.82</v>
      </c>
      <c r="AK32" s="2">
        <v>0.13</v>
      </c>
      <c r="AL32" s="2">
        <v>-6.7140000000000004</v>
      </c>
      <c r="AM32" s="2">
        <v>1.3680000000000001</v>
      </c>
      <c r="AN32" s="2" t="s">
        <v>122</v>
      </c>
      <c r="AO32" s="2">
        <v>13</v>
      </c>
      <c r="AP32" s="2">
        <v>3</v>
      </c>
      <c r="AQ32" s="2">
        <v>7</v>
      </c>
      <c r="AR32" s="2">
        <v>64</v>
      </c>
      <c r="AS32" s="2">
        <v>501</v>
      </c>
      <c r="AT32" s="2">
        <v>1201</v>
      </c>
      <c r="AU32" s="2">
        <v>937</v>
      </c>
      <c r="AV32" s="2">
        <v>154</v>
      </c>
      <c r="AW32" s="2"/>
      <c r="AX32" s="1">
        <f t="shared" si="0"/>
        <v>1.1979999999999997</v>
      </c>
      <c r="AY32" s="21">
        <f t="shared" si="1"/>
        <v>-0.6</v>
      </c>
      <c r="AZ32" s="5">
        <v>7.34</v>
      </c>
      <c r="BA32" s="1">
        <v>4.37</v>
      </c>
      <c r="BB32" s="1">
        <v>4.0999999999999996</v>
      </c>
      <c r="BC32" s="6">
        <f t="shared" si="35"/>
        <v>0.93821510297482824</v>
      </c>
      <c r="BE32" s="30">
        <v>8.5</v>
      </c>
      <c r="BF32" s="27">
        <v>1237.9999999999998</v>
      </c>
      <c r="BG32" s="1">
        <f t="shared" si="2"/>
        <v>94.3</v>
      </c>
      <c r="BH32" s="1">
        <f t="shared" si="3"/>
        <v>91</v>
      </c>
      <c r="BI32" s="1">
        <f t="shared" si="4"/>
        <v>79.099999999999994</v>
      </c>
      <c r="BJ32" s="7">
        <f t="shared" si="5"/>
        <v>0.45500000000000002</v>
      </c>
      <c r="BK32" s="7">
        <f t="shared" si="6"/>
        <v>0.12</v>
      </c>
      <c r="BM32" s="5">
        <f t="shared" si="7"/>
        <v>4.37</v>
      </c>
      <c r="BN32" s="5">
        <f t="shared" si="8"/>
        <v>4.0999999999999996</v>
      </c>
      <c r="BO32" s="1">
        <f t="shared" si="9"/>
        <v>-4.5999999999999996</v>
      </c>
      <c r="BP32" s="1">
        <f t="shared" si="10"/>
        <v>-0.8</v>
      </c>
      <c r="BQ32" s="1">
        <f t="shared" si="11"/>
        <v>-6.5</v>
      </c>
      <c r="BR32" s="1">
        <f t="shared" si="12"/>
        <v>91</v>
      </c>
      <c r="BS32" s="1">
        <f t="shared" si="13"/>
        <v>79.099999999999994</v>
      </c>
      <c r="BT32" s="1">
        <f t="shared" si="14"/>
        <v>1.2</v>
      </c>
      <c r="BU32" s="1">
        <f t="shared" si="15"/>
        <v>4.3</v>
      </c>
      <c r="BV32" s="33">
        <f t="shared" si="16"/>
        <v>8.5</v>
      </c>
      <c r="BW32" s="34">
        <f t="shared" si="17"/>
        <v>1.238</v>
      </c>
      <c r="BX32" s="20">
        <f t="shared" si="18"/>
        <v>-0.6</v>
      </c>
      <c r="BY32" s="1">
        <f t="shared" si="19"/>
        <v>-5.8</v>
      </c>
      <c r="BZ32" s="1">
        <f t="shared" si="20"/>
        <v>-1.4</v>
      </c>
      <c r="CA32" s="1">
        <f t="shared" si="21"/>
        <v>-10.8</v>
      </c>
      <c r="CB32" s="1">
        <f t="shared" si="22"/>
        <v>-0.1</v>
      </c>
      <c r="CC32" s="1">
        <f t="shared" si="23"/>
        <v>0.9</v>
      </c>
      <c r="CD32" s="1">
        <f t="shared" si="24"/>
        <v>1.6</v>
      </c>
      <c r="CE32" s="1" t="str">
        <f t="shared" si="25"/>
        <v>NAN</v>
      </c>
      <c r="CF32" s="1">
        <f t="shared" si="36"/>
        <v>0.45500000000000002</v>
      </c>
      <c r="CG32" s="1">
        <f t="shared" si="37"/>
        <v>0.12</v>
      </c>
      <c r="CI32" s="1">
        <f t="shared" si="26"/>
        <v>2880</v>
      </c>
      <c r="CJ32" s="1">
        <f t="shared" si="27"/>
        <v>5.0000000000000001E-3</v>
      </c>
      <c r="CK32" s="1">
        <f t="shared" si="28"/>
        <v>1E-3</v>
      </c>
      <c r="CL32" s="1">
        <f t="shared" si="29"/>
        <v>2E-3</v>
      </c>
      <c r="CM32" s="1">
        <f t="shared" si="30"/>
        <v>2.1999999999999999E-2</v>
      </c>
      <c r="CN32" s="1">
        <f t="shared" si="31"/>
        <v>0.17399999999999999</v>
      </c>
      <c r="CO32" s="1">
        <f t="shared" si="32"/>
        <v>0.41699999999999998</v>
      </c>
      <c r="CP32" s="1">
        <f t="shared" si="33"/>
        <v>0.32500000000000001</v>
      </c>
      <c r="CQ32" s="1">
        <f t="shared" si="34"/>
        <v>5.2999999999999999E-2</v>
      </c>
      <c r="CS32" s="1">
        <f t="shared" si="38"/>
        <v>-0.59999999999999987</v>
      </c>
      <c r="CT32" s="1">
        <f t="shared" si="39"/>
        <v>-4.3000000000000007</v>
      </c>
    </row>
    <row r="33" spans="1:98" x14ac:dyDescent="0.2">
      <c r="A33" s="8">
        <f t="shared" si="40"/>
        <v>43858</v>
      </c>
      <c r="B33" s="1">
        <v>28</v>
      </c>
      <c r="C33" s="1">
        <v>11</v>
      </c>
      <c r="D33" s="2">
        <v>13.05</v>
      </c>
      <c r="E33" s="2">
        <v>1.224</v>
      </c>
      <c r="F33" s="2">
        <v>-9.25</v>
      </c>
      <c r="G33" s="2">
        <v>-4.3479999999999999</v>
      </c>
      <c r="H33" s="2">
        <v>90.6</v>
      </c>
      <c r="I33" s="2">
        <v>-0.51500000000000001</v>
      </c>
      <c r="J33" s="2">
        <v>-1.171</v>
      </c>
      <c r="K33" s="2">
        <v>-5.7000000000000002E-2</v>
      </c>
      <c r="L33" s="2">
        <v>0.876</v>
      </c>
      <c r="M33" s="2">
        <v>1.5629999999999999</v>
      </c>
      <c r="N33" s="2">
        <v>1.242</v>
      </c>
      <c r="O33" s="2">
        <v>94.3</v>
      </c>
      <c r="P33" s="2">
        <v>-0.38700000000000001</v>
      </c>
      <c r="Q33" s="2">
        <v>-1.0369999999999999</v>
      </c>
      <c r="R33" s="2">
        <v>6.7000000000000004E-2</v>
      </c>
      <c r="S33" s="2">
        <v>0.99399999999999999</v>
      </c>
      <c r="T33" s="2">
        <v>1.671</v>
      </c>
      <c r="U33" s="2">
        <v>-7.25</v>
      </c>
      <c r="V33" s="2">
        <v>76.27</v>
      </c>
      <c r="W33" s="2">
        <v>-0.61</v>
      </c>
      <c r="X33" s="2">
        <v>-1.274</v>
      </c>
      <c r="Y33" s="2">
        <v>-0.182</v>
      </c>
      <c r="Z33" s="2">
        <v>0.74399999999999999</v>
      </c>
      <c r="AA33" s="2">
        <v>1.446</v>
      </c>
      <c r="AB33" s="2">
        <v>1.3460000000000001</v>
      </c>
      <c r="AC33" s="2">
        <v>0</v>
      </c>
      <c r="AD33" s="2">
        <v>4.0910000000000002</v>
      </c>
      <c r="AE33" s="2">
        <v>4.7350000000000003</v>
      </c>
      <c r="AF33" s="2">
        <v>0.93100000000000005</v>
      </c>
      <c r="AG33" s="2">
        <v>3.8330000000000002</v>
      </c>
      <c r="AH33" s="2">
        <v>-6.5750000000000002</v>
      </c>
      <c r="AI33" s="2">
        <v>0.43</v>
      </c>
      <c r="AJ33" s="2">
        <v>-12.12</v>
      </c>
      <c r="AK33" s="2">
        <v>4.7119999999999997</v>
      </c>
      <c r="AL33" s="2">
        <v>-7.657</v>
      </c>
      <c r="AM33" s="2">
        <v>1.36</v>
      </c>
      <c r="AN33" s="2" t="s">
        <v>122</v>
      </c>
      <c r="AO33" s="2">
        <v>72</v>
      </c>
      <c r="AP33" s="2">
        <v>239</v>
      </c>
      <c r="AQ33" s="2">
        <v>306</v>
      </c>
      <c r="AR33" s="2">
        <v>360</v>
      </c>
      <c r="AS33" s="2">
        <v>619</v>
      </c>
      <c r="AT33" s="2">
        <v>709</v>
      </c>
      <c r="AU33" s="2">
        <v>491</v>
      </c>
      <c r="AV33" s="2">
        <v>84</v>
      </c>
      <c r="AW33" s="2"/>
      <c r="AX33" s="1">
        <f t="shared" si="0"/>
        <v>1.2039999999999997</v>
      </c>
      <c r="AY33" s="21">
        <f t="shared" si="1"/>
        <v>-0.6</v>
      </c>
      <c r="AZ33" s="5">
        <v>7.47</v>
      </c>
      <c r="BA33" s="1">
        <v>5.42</v>
      </c>
      <c r="BB33" s="1">
        <v>4.3600000000000003</v>
      </c>
      <c r="BC33" s="6">
        <f t="shared" si="35"/>
        <v>0.8044280442804429</v>
      </c>
      <c r="BE33" s="30">
        <v>3.3</v>
      </c>
      <c r="BF33" s="27">
        <v>1243.9999999999998</v>
      </c>
      <c r="BG33" s="1">
        <f t="shared" si="2"/>
        <v>94.3</v>
      </c>
      <c r="BH33" s="1">
        <f t="shared" si="3"/>
        <v>90.6</v>
      </c>
      <c r="BI33" s="1">
        <f t="shared" si="4"/>
        <v>76.3</v>
      </c>
      <c r="BJ33" s="7">
        <f t="shared" si="5"/>
        <v>0.51</v>
      </c>
      <c r="BK33" s="7">
        <f t="shared" si="6"/>
        <v>0.158</v>
      </c>
      <c r="BM33" s="5">
        <f t="shared" si="7"/>
        <v>5.42</v>
      </c>
      <c r="BN33" s="5">
        <f t="shared" si="8"/>
        <v>4.3600000000000003</v>
      </c>
      <c r="BO33" s="1">
        <f t="shared" si="9"/>
        <v>-4.3</v>
      </c>
      <c r="BP33" s="1">
        <f t="shared" si="10"/>
        <v>1.2</v>
      </c>
      <c r="BQ33" s="1">
        <f t="shared" si="11"/>
        <v>-7.3</v>
      </c>
      <c r="BR33" s="1">
        <f t="shared" si="12"/>
        <v>90.6</v>
      </c>
      <c r="BS33" s="1">
        <f t="shared" si="13"/>
        <v>76.3</v>
      </c>
      <c r="BT33" s="1">
        <f t="shared" si="14"/>
        <v>0.9</v>
      </c>
      <c r="BU33" s="1">
        <f t="shared" si="15"/>
        <v>3.8</v>
      </c>
      <c r="BV33" s="33">
        <f t="shared" si="16"/>
        <v>3.3</v>
      </c>
      <c r="BW33" s="34">
        <f t="shared" si="17"/>
        <v>1.244</v>
      </c>
      <c r="BX33" s="20">
        <f t="shared" si="18"/>
        <v>-0.6</v>
      </c>
      <c r="BY33" s="1">
        <f t="shared" si="19"/>
        <v>-6.6</v>
      </c>
      <c r="BZ33" s="1">
        <f t="shared" si="20"/>
        <v>0.4</v>
      </c>
      <c r="CA33" s="1">
        <f t="shared" si="21"/>
        <v>-12.1</v>
      </c>
      <c r="CB33" s="1">
        <f t="shared" si="22"/>
        <v>-0.1</v>
      </c>
      <c r="CC33" s="1">
        <f t="shared" si="23"/>
        <v>0.9</v>
      </c>
      <c r="CD33" s="1">
        <f t="shared" si="24"/>
        <v>1.6</v>
      </c>
      <c r="CE33" s="1" t="str">
        <f t="shared" si="25"/>
        <v>NAN</v>
      </c>
      <c r="CF33" s="1">
        <f t="shared" si="36"/>
        <v>0.51</v>
      </c>
      <c r="CG33" s="1">
        <f t="shared" si="37"/>
        <v>0.158</v>
      </c>
      <c r="CI33" s="1">
        <f t="shared" si="26"/>
        <v>2880</v>
      </c>
      <c r="CJ33" s="1">
        <f t="shared" si="27"/>
        <v>2.5000000000000001E-2</v>
      </c>
      <c r="CK33" s="1">
        <f t="shared" si="28"/>
        <v>8.3000000000000004E-2</v>
      </c>
      <c r="CL33" s="1">
        <f t="shared" si="29"/>
        <v>0.106</v>
      </c>
      <c r="CM33" s="1">
        <f t="shared" si="30"/>
        <v>0.125</v>
      </c>
      <c r="CN33" s="1">
        <f t="shared" si="31"/>
        <v>0.215</v>
      </c>
      <c r="CO33" s="1">
        <f t="shared" si="32"/>
        <v>0.246</v>
      </c>
      <c r="CP33" s="1">
        <f t="shared" si="33"/>
        <v>0.17</v>
      </c>
      <c r="CQ33" s="1">
        <f t="shared" si="34"/>
        <v>2.9000000000000001E-2</v>
      </c>
      <c r="CS33" s="1">
        <f t="shared" si="38"/>
        <v>-0.79999999999999993</v>
      </c>
      <c r="CT33" s="1">
        <f t="shared" si="39"/>
        <v>-4.8</v>
      </c>
    </row>
    <row r="34" spans="1:98" x14ac:dyDescent="0.2">
      <c r="A34" s="8">
        <f t="shared" si="40"/>
        <v>43859</v>
      </c>
      <c r="B34" s="1">
        <v>29</v>
      </c>
      <c r="C34" s="1">
        <v>11</v>
      </c>
      <c r="D34" s="2">
        <v>12.93</v>
      </c>
      <c r="E34" s="2">
        <v>-3.3639999999999999</v>
      </c>
      <c r="F34" s="2">
        <v>-9.5</v>
      </c>
      <c r="G34" s="2">
        <v>-5.1520000000000001</v>
      </c>
      <c r="H34" s="2">
        <v>91.2</v>
      </c>
      <c r="I34" s="2">
        <v>-0.498</v>
      </c>
      <c r="J34" s="2">
        <v>-1.1519999999999999</v>
      </c>
      <c r="K34" s="2">
        <v>-5.0999999999999997E-2</v>
      </c>
      <c r="L34" s="2">
        <v>0.88100000000000001</v>
      </c>
      <c r="M34" s="2">
        <v>1.5589999999999999</v>
      </c>
      <c r="N34" s="2">
        <v>-2.988</v>
      </c>
      <c r="O34" s="2">
        <v>94.2</v>
      </c>
      <c r="P34" s="2">
        <v>-0.41199999999999998</v>
      </c>
      <c r="Q34" s="2">
        <v>-1.069</v>
      </c>
      <c r="R34" s="2">
        <v>2.9000000000000001E-2</v>
      </c>
      <c r="S34" s="2">
        <v>0.96699999999999997</v>
      </c>
      <c r="T34" s="2">
        <v>1.641</v>
      </c>
      <c r="U34" s="2">
        <v>-7.556</v>
      </c>
      <c r="V34" s="2">
        <v>84.8</v>
      </c>
      <c r="W34" s="2">
        <v>-0.58199999999999996</v>
      </c>
      <c r="X34" s="2">
        <v>-1.2609999999999999</v>
      </c>
      <c r="Y34" s="2">
        <v>-0.15</v>
      </c>
      <c r="Z34" s="2">
        <v>0.77800000000000002</v>
      </c>
      <c r="AA34" s="2">
        <v>1.468</v>
      </c>
      <c r="AB34" s="2">
        <v>1.3680000000000001</v>
      </c>
      <c r="AC34" s="2">
        <v>0</v>
      </c>
      <c r="AD34" s="2">
        <v>0.98799999999999999</v>
      </c>
      <c r="AE34" s="2">
        <v>1.345</v>
      </c>
      <c r="AF34" s="2">
        <v>1.5569999999999999</v>
      </c>
      <c r="AG34" s="2">
        <v>5.7480000000000002</v>
      </c>
      <c r="AH34" s="2">
        <v>-6.8710000000000004</v>
      </c>
      <c r="AI34" s="2">
        <v>-3.5</v>
      </c>
      <c r="AJ34" s="2">
        <v>-13.61</v>
      </c>
      <c r="AK34" s="2">
        <v>-3.1259999999999999</v>
      </c>
      <c r="AL34" s="2">
        <v>-8.9</v>
      </c>
      <c r="AM34" s="2">
        <v>1.387</v>
      </c>
      <c r="AN34" s="2" t="s">
        <v>122</v>
      </c>
      <c r="AO34" s="2">
        <v>133</v>
      </c>
      <c r="AP34" s="2">
        <v>35</v>
      </c>
      <c r="AQ34" s="2">
        <v>66</v>
      </c>
      <c r="AR34" s="2">
        <v>284</v>
      </c>
      <c r="AS34" s="2">
        <v>773</v>
      </c>
      <c r="AT34" s="2">
        <v>803</v>
      </c>
      <c r="AU34" s="2">
        <v>426</v>
      </c>
      <c r="AV34" s="2">
        <v>360</v>
      </c>
      <c r="AW34" s="2"/>
      <c r="AX34" s="1">
        <f t="shared" si="0"/>
        <v>1.1819999999999997</v>
      </c>
      <c r="AY34" s="21">
        <f t="shared" si="1"/>
        <v>-0.6</v>
      </c>
      <c r="AZ34" s="5">
        <v>7.61</v>
      </c>
      <c r="BA34" s="1">
        <v>1.3</v>
      </c>
      <c r="BB34" s="1">
        <v>1.24</v>
      </c>
      <c r="BC34" s="6">
        <f t="shared" si="35"/>
        <v>0.95384615384615379</v>
      </c>
      <c r="BE34" s="30">
        <v>0</v>
      </c>
      <c r="BF34" s="27">
        <v>1221.9999999999998</v>
      </c>
      <c r="BG34" s="1">
        <f t="shared" si="2"/>
        <v>94.2</v>
      </c>
      <c r="BH34" s="1">
        <f t="shared" si="3"/>
        <v>91.2</v>
      </c>
      <c r="BI34" s="1">
        <f t="shared" si="4"/>
        <v>84.8</v>
      </c>
      <c r="BJ34" s="7">
        <f t="shared" si="5"/>
        <v>0.41499999999999998</v>
      </c>
      <c r="BK34" s="7">
        <f t="shared" si="6"/>
        <v>7.3999999999999996E-2</v>
      </c>
      <c r="BM34" s="5">
        <f t="shared" si="7"/>
        <v>1.3</v>
      </c>
      <c r="BN34" s="5">
        <f t="shared" si="8"/>
        <v>1.24</v>
      </c>
      <c r="BO34" s="1">
        <f t="shared" si="9"/>
        <v>-5.2</v>
      </c>
      <c r="BP34" s="1">
        <f t="shared" si="10"/>
        <v>-3</v>
      </c>
      <c r="BQ34" s="1">
        <f t="shared" si="11"/>
        <v>-7.6</v>
      </c>
      <c r="BR34" s="1">
        <f t="shared" si="12"/>
        <v>91.2</v>
      </c>
      <c r="BS34" s="1">
        <f t="shared" si="13"/>
        <v>84.8</v>
      </c>
      <c r="BT34" s="1">
        <f t="shared" si="14"/>
        <v>1.6</v>
      </c>
      <c r="BU34" s="1">
        <f t="shared" si="15"/>
        <v>5.7</v>
      </c>
      <c r="BV34" s="33">
        <f t="shared" si="16"/>
        <v>0</v>
      </c>
      <c r="BW34" s="34">
        <f t="shared" si="17"/>
        <v>1.222</v>
      </c>
      <c r="BX34" s="20">
        <f t="shared" si="18"/>
        <v>-0.6</v>
      </c>
      <c r="BY34" s="1">
        <f t="shared" si="19"/>
        <v>-6.9</v>
      </c>
      <c r="BZ34" s="1">
        <f t="shared" si="20"/>
        <v>-3.5</v>
      </c>
      <c r="CA34" s="1">
        <f t="shared" si="21"/>
        <v>-13.6</v>
      </c>
      <c r="CB34" s="1">
        <f t="shared" si="22"/>
        <v>-0.1</v>
      </c>
      <c r="CC34" s="1">
        <f t="shared" si="23"/>
        <v>0.9</v>
      </c>
      <c r="CD34" s="1">
        <f t="shared" si="24"/>
        <v>1.6</v>
      </c>
      <c r="CE34" s="1" t="str">
        <f t="shared" si="25"/>
        <v>NAN</v>
      </c>
      <c r="CF34" s="1">
        <f t="shared" si="36"/>
        <v>0.41499999999999998</v>
      </c>
      <c r="CG34" s="1">
        <f t="shared" si="37"/>
        <v>7.3999999999999996E-2</v>
      </c>
      <c r="CI34" s="1">
        <f t="shared" si="26"/>
        <v>2880</v>
      </c>
      <c r="CJ34" s="1">
        <f t="shared" si="27"/>
        <v>4.5999999999999999E-2</v>
      </c>
      <c r="CK34" s="1">
        <f t="shared" si="28"/>
        <v>1.2E-2</v>
      </c>
      <c r="CL34" s="1">
        <f t="shared" si="29"/>
        <v>2.3E-2</v>
      </c>
      <c r="CM34" s="1">
        <f t="shared" si="30"/>
        <v>9.9000000000000005E-2</v>
      </c>
      <c r="CN34" s="1">
        <f t="shared" si="31"/>
        <v>0.26800000000000002</v>
      </c>
      <c r="CO34" s="1">
        <f t="shared" si="32"/>
        <v>0.27900000000000003</v>
      </c>
      <c r="CP34" s="1">
        <f t="shared" si="33"/>
        <v>0.14799999999999999</v>
      </c>
      <c r="CQ34" s="1">
        <f t="shared" si="34"/>
        <v>0.125</v>
      </c>
      <c r="CS34" s="1">
        <f t="shared" si="38"/>
        <v>-0.5</v>
      </c>
      <c r="CT34" s="1">
        <f t="shared" si="39"/>
        <v>-6</v>
      </c>
    </row>
    <row r="35" spans="1:98" x14ac:dyDescent="0.2">
      <c r="A35" s="8">
        <f t="shared" si="40"/>
        <v>43860</v>
      </c>
      <c r="B35" s="1">
        <v>30</v>
      </c>
      <c r="C35" s="1">
        <v>11</v>
      </c>
      <c r="D35" s="2">
        <v>13.04</v>
      </c>
      <c r="E35" s="2">
        <v>-3.8359999999999999</v>
      </c>
      <c r="F35" s="2">
        <v>-10.91</v>
      </c>
      <c r="G35" s="2">
        <v>-5.9740000000000002</v>
      </c>
      <c r="H35" s="2">
        <v>87.2</v>
      </c>
      <c r="I35" s="2">
        <v>-0.51300000000000001</v>
      </c>
      <c r="J35" s="2">
        <v>-1.2010000000000001</v>
      </c>
      <c r="K35" s="2">
        <v>-5.3999999999999999E-2</v>
      </c>
      <c r="L35" s="2">
        <v>0.877</v>
      </c>
      <c r="M35" s="2">
        <v>1.546</v>
      </c>
      <c r="N35" s="2">
        <v>-2.9540000000000002</v>
      </c>
      <c r="O35" s="2">
        <v>94.3</v>
      </c>
      <c r="P35" s="2">
        <v>-0.432</v>
      </c>
      <c r="Q35" s="2">
        <v>-1.123</v>
      </c>
      <c r="R35" s="2">
        <v>3.1E-2</v>
      </c>
      <c r="S35" s="2">
        <v>0.96199999999999997</v>
      </c>
      <c r="T35" s="2">
        <v>1.6279999999999999</v>
      </c>
      <c r="U35" s="2">
        <v>-8.67</v>
      </c>
      <c r="V35" s="2">
        <v>67.709999999999994</v>
      </c>
      <c r="W35" s="2">
        <v>-0.59299999999999997</v>
      </c>
      <c r="X35" s="2">
        <v>-1.274</v>
      </c>
      <c r="Y35" s="2">
        <v>-0.16300000000000001</v>
      </c>
      <c r="Z35" s="2">
        <v>0.77500000000000002</v>
      </c>
      <c r="AA35" s="2">
        <v>1.4450000000000001</v>
      </c>
      <c r="AB35" s="2">
        <v>1.3979999999999999</v>
      </c>
      <c r="AC35" s="2">
        <v>0</v>
      </c>
      <c r="AD35" s="2">
        <v>1.875</v>
      </c>
      <c r="AE35" s="2">
        <v>2.64</v>
      </c>
      <c r="AF35" s="2">
        <v>1.48</v>
      </c>
      <c r="AG35" s="2">
        <v>5.0720000000000001</v>
      </c>
      <c r="AH35" s="2">
        <v>-7.7409999999999997</v>
      </c>
      <c r="AI35" s="2">
        <v>-3.4809999999999999</v>
      </c>
      <c r="AJ35" s="2">
        <v>-14.14</v>
      </c>
      <c r="AK35" s="2">
        <v>-2.8580000000000001</v>
      </c>
      <c r="AL35" s="2">
        <v>-9.84</v>
      </c>
      <c r="AM35" s="2">
        <v>1.4059999999999999</v>
      </c>
      <c r="AN35" s="2" t="s">
        <v>122</v>
      </c>
      <c r="AO35" s="2">
        <v>93</v>
      </c>
      <c r="AP35" s="2">
        <v>174</v>
      </c>
      <c r="AQ35" s="2">
        <v>363</v>
      </c>
      <c r="AR35" s="2">
        <v>368</v>
      </c>
      <c r="AS35" s="2">
        <v>726</v>
      </c>
      <c r="AT35" s="2">
        <v>853</v>
      </c>
      <c r="AU35" s="2">
        <v>209</v>
      </c>
      <c r="AV35" s="2">
        <v>94</v>
      </c>
      <c r="AW35" s="2"/>
      <c r="AX35" s="1">
        <f t="shared" si="0"/>
        <v>1.1519999999999999</v>
      </c>
      <c r="AY35" s="21">
        <f t="shared" si="1"/>
        <v>-0.6</v>
      </c>
      <c r="AZ35" s="5">
        <v>7.75</v>
      </c>
      <c r="BA35" s="1">
        <v>2.56</v>
      </c>
      <c r="BB35" s="1">
        <v>2.4300000000000002</v>
      </c>
      <c r="BC35" s="6">
        <f t="shared" si="35"/>
        <v>0.94921875</v>
      </c>
      <c r="BE35" s="30">
        <v>0</v>
      </c>
      <c r="BF35" s="27">
        <v>1192</v>
      </c>
      <c r="BG35" s="1">
        <f t="shared" si="2"/>
        <v>94.3</v>
      </c>
      <c r="BH35" s="1">
        <f t="shared" si="3"/>
        <v>87.2</v>
      </c>
      <c r="BI35" s="1">
        <f t="shared" si="4"/>
        <v>67.7</v>
      </c>
      <c r="BJ35" s="7">
        <f t="shared" si="5"/>
        <v>0.33200000000000002</v>
      </c>
      <c r="BK35" s="7">
        <f t="shared" si="6"/>
        <v>0.158</v>
      </c>
      <c r="BM35" s="5">
        <f t="shared" si="7"/>
        <v>2.56</v>
      </c>
      <c r="BN35" s="5">
        <f t="shared" si="8"/>
        <v>2.4300000000000002</v>
      </c>
      <c r="BO35" s="1">
        <f t="shared" si="9"/>
        <v>-6</v>
      </c>
      <c r="BP35" s="1">
        <f t="shared" si="10"/>
        <v>-3</v>
      </c>
      <c r="BQ35" s="1">
        <f t="shared" si="11"/>
        <v>-8.6999999999999993</v>
      </c>
      <c r="BR35" s="1">
        <f t="shared" si="12"/>
        <v>87.2</v>
      </c>
      <c r="BS35" s="1">
        <f t="shared" si="13"/>
        <v>67.7</v>
      </c>
      <c r="BT35" s="1">
        <f t="shared" si="14"/>
        <v>1.5</v>
      </c>
      <c r="BU35" s="1">
        <f t="shared" si="15"/>
        <v>5.0999999999999996</v>
      </c>
      <c r="BV35" s="33">
        <f t="shared" si="16"/>
        <v>0</v>
      </c>
      <c r="BW35" s="34">
        <f t="shared" si="17"/>
        <v>1.1919999999999999</v>
      </c>
      <c r="BX35" s="20">
        <f t="shared" si="18"/>
        <v>-0.6</v>
      </c>
      <c r="BY35" s="1">
        <f t="shared" si="19"/>
        <v>-7.7</v>
      </c>
      <c r="BZ35" s="1">
        <f t="shared" si="20"/>
        <v>-3.5</v>
      </c>
      <c r="CA35" s="1">
        <f t="shared" si="21"/>
        <v>-14.1</v>
      </c>
      <c r="CB35" s="1">
        <f t="shared" si="22"/>
        <v>-0.1</v>
      </c>
      <c r="CC35" s="1">
        <f t="shared" si="23"/>
        <v>0.9</v>
      </c>
      <c r="CD35" s="1">
        <f t="shared" si="24"/>
        <v>1.5</v>
      </c>
      <c r="CE35" s="1" t="str">
        <f t="shared" si="25"/>
        <v>NAN</v>
      </c>
      <c r="CF35" s="1">
        <f t="shared" si="36"/>
        <v>0.33200000000000002</v>
      </c>
      <c r="CG35" s="1">
        <f t="shared" si="37"/>
        <v>0.158</v>
      </c>
      <c r="CI35" s="1">
        <f t="shared" si="26"/>
        <v>2880</v>
      </c>
      <c r="CJ35" s="1">
        <f t="shared" si="27"/>
        <v>3.2000000000000001E-2</v>
      </c>
      <c r="CK35" s="1">
        <f t="shared" si="28"/>
        <v>0.06</v>
      </c>
      <c r="CL35" s="1">
        <f t="shared" si="29"/>
        <v>0.126</v>
      </c>
      <c r="CM35" s="1">
        <f t="shared" si="30"/>
        <v>0.128</v>
      </c>
      <c r="CN35" s="1">
        <f t="shared" si="31"/>
        <v>0.252</v>
      </c>
      <c r="CO35" s="1">
        <f t="shared" si="32"/>
        <v>0.29599999999999999</v>
      </c>
      <c r="CP35" s="1">
        <f t="shared" si="33"/>
        <v>7.2999999999999995E-2</v>
      </c>
      <c r="CQ35" s="1">
        <f t="shared" si="34"/>
        <v>3.3000000000000002E-2</v>
      </c>
      <c r="CS35" s="1">
        <f t="shared" si="38"/>
        <v>-0.5</v>
      </c>
      <c r="CT35" s="1">
        <f t="shared" si="39"/>
        <v>-5.4</v>
      </c>
    </row>
    <row r="36" spans="1:98" x14ac:dyDescent="0.2">
      <c r="A36" s="8">
        <f t="shared" si="40"/>
        <v>43861</v>
      </c>
      <c r="B36" s="1">
        <v>31</v>
      </c>
      <c r="C36" s="1">
        <v>11</v>
      </c>
      <c r="D36" s="2">
        <v>13.02</v>
      </c>
      <c r="E36" s="2">
        <v>1.224</v>
      </c>
      <c r="F36" s="2">
        <v>-3.8359999999999999</v>
      </c>
      <c r="G36" s="2">
        <v>-0.58199999999999996</v>
      </c>
      <c r="H36" s="2">
        <v>95.2</v>
      </c>
      <c r="I36" s="2">
        <v>-0.497</v>
      </c>
      <c r="J36" s="2">
        <v>-1.25</v>
      </c>
      <c r="K36" s="2">
        <v>-8.0000000000000002E-3</v>
      </c>
      <c r="L36" s="2">
        <v>0.91700000000000004</v>
      </c>
      <c r="M36" s="2">
        <v>1.583</v>
      </c>
      <c r="N36" s="2">
        <v>1.208</v>
      </c>
      <c r="O36" s="2">
        <v>96.7</v>
      </c>
      <c r="P36" s="2">
        <v>-0.40400000000000003</v>
      </c>
      <c r="Q36" s="2">
        <v>-1.1639999999999999</v>
      </c>
      <c r="R36" s="2">
        <v>8.1000000000000003E-2</v>
      </c>
      <c r="S36" s="2">
        <v>1.022</v>
      </c>
      <c r="T36" s="2">
        <v>1.66</v>
      </c>
      <c r="U36" s="2">
        <v>-3.1240000000000001</v>
      </c>
      <c r="V36" s="2">
        <v>88.2</v>
      </c>
      <c r="W36" s="2">
        <v>-0.58299999999999996</v>
      </c>
      <c r="X36" s="2">
        <v>-1.375</v>
      </c>
      <c r="Y36" s="2">
        <v>-0.1</v>
      </c>
      <c r="Z36" s="2">
        <v>0.83599999999999997</v>
      </c>
      <c r="AA36" s="2">
        <v>1.502</v>
      </c>
      <c r="AB36" s="2">
        <v>1.4019999999999999</v>
      </c>
      <c r="AC36" s="2">
        <v>0</v>
      </c>
      <c r="AD36" s="2">
        <v>1.5089999999999999</v>
      </c>
      <c r="AE36" s="2">
        <v>2.2749999999999999</v>
      </c>
      <c r="AF36" s="2">
        <v>1.55</v>
      </c>
      <c r="AG36" s="2">
        <v>4.4820000000000002</v>
      </c>
      <c r="AH36" s="2">
        <v>-1.1120000000000001</v>
      </c>
      <c r="AI36" s="2">
        <v>1.9</v>
      </c>
      <c r="AJ36" s="2">
        <v>-3.8220000000000001</v>
      </c>
      <c r="AK36" s="2">
        <v>2.4060000000000001</v>
      </c>
      <c r="AL36" s="2">
        <v>-3.323</v>
      </c>
      <c r="AM36" s="2">
        <v>1.4019999999999999</v>
      </c>
      <c r="AN36" s="2" t="s">
        <v>122</v>
      </c>
      <c r="AO36" s="2">
        <v>4</v>
      </c>
      <c r="AP36" s="2">
        <v>3</v>
      </c>
      <c r="AQ36" s="2">
        <v>20</v>
      </c>
      <c r="AR36" s="2">
        <v>166</v>
      </c>
      <c r="AS36" s="2">
        <v>573</v>
      </c>
      <c r="AT36" s="2">
        <v>1102</v>
      </c>
      <c r="AU36" s="2">
        <v>929</v>
      </c>
      <c r="AV36" s="2">
        <v>83</v>
      </c>
      <c r="AW36" s="2"/>
      <c r="AX36" s="1">
        <f t="shared" si="0"/>
        <v>1.1479999999999999</v>
      </c>
      <c r="AY36" s="21">
        <f t="shared" si="1"/>
        <v>-0.6</v>
      </c>
      <c r="AZ36" s="5">
        <v>7.9</v>
      </c>
      <c r="BA36" s="1">
        <v>2.27</v>
      </c>
      <c r="BB36" s="1">
        <v>2.09</v>
      </c>
      <c r="BC36" s="6">
        <f t="shared" si="35"/>
        <v>0.92070484581497791</v>
      </c>
      <c r="BE36" s="30">
        <v>0</v>
      </c>
      <c r="BF36" s="27">
        <v>1188</v>
      </c>
      <c r="BG36" s="1">
        <f t="shared" si="2"/>
        <v>96.7</v>
      </c>
      <c r="BH36" s="1">
        <f t="shared" si="3"/>
        <v>95.2</v>
      </c>
      <c r="BI36" s="1">
        <f t="shared" si="4"/>
        <v>88.2</v>
      </c>
      <c r="BJ36" s="7">
        <f t="shared" si="5"/>
        <v>0.58799999999999997</v>
      </c>
      <c r="BK36" s="7">
        <f t="shared" si="6"/>
        <v>7.9000000000000001E-2</v>
      </c>
      <c r="BM36" s="5">
        <f t="shared" si="7"/>
        <v>2.27</v>
      </c>
      <c r="BN36" s="5">
        <f t="shared" si="8"/>
        <v>2.09</v>
      </c>
      <c r="BO36" s="1">
        <f t="shared" si="9"/>
        <v>-0.6</v>
      </c>
      <c r="BP36" s="1">
        <f t="shared" si="10"/>
        <v>1.2</v>
      </c>
      <c r="BQ36" s="1">
        <f t="shared" si="11"/>
        <v>-3.1</v>
      </c>
      <c r="BR36" s="1">
        <f t="shared" si="12"/>
        <v>95.2</v>
      </c>
      <c r="BS36" s="1">
        <f t="shared" si="13"/>
        <v>88.2</v>
      </c>
      <c r="BT36" s="1">
        <f t="shared" si="14"/>
        <v>1.6</v>
      </c>
      <c r="BU36" s="1">
        <f t="shared" si="15"/>
        <v>4.5</v>
      </c>
      <c r="BV36" s="33">
        <f t="shared" si="16"/>
        <v>0</v>
      </c>
      <c r="BW36" s="34">
        <f t="shared" si="17"/>
        <v>1.1879999999999999</v>
      </c>
      <c r="BX36" s="20">
        <f t="shared" si="18"/>
        <v>-0.6</v>
      </c>
      <c r="BY36" s="1">
        <f t="shared" si="19"/>
        <v>-1.1000000000000001</v>
      </c>
      <c r="BZ36" s="1">
        <f t="shared" si="20"/>
        <v>1.9</v>
      </c>
      <c r="CA36" s="1">
        <f t="shared" si="21"/>
        <v>-3.8</v>
      </c>
      <c r="CB36" s="1">
        <f t="shared" si="22"/>
        <v>0</v>
      </c>
      <c r="CC36" s="1">
        <f t="shared" si="23"/>
        <v>0.9</v>
      </c>
      <c r="CD36" s="1">
        <f t="shared" si="24"/>
        <v>1.6</v>
      </c>
      <c r="CE36" s="1" t="str">
        <f t="shared" si="25"/>
        <v>NAN</v>
      </c>
      <c r="CF36" s="1">
        <f t="shared" si="36"/>
        <v>0.58799999999999997</v>
      </c>
      <c r="CG36" s="1">
        <f t="shared" si="37"/>
        <v>7.9000000000000001E-2</v>
      </c>
      <c r="CI36" s="1">
        <f t="shared" si="26"/>
        <v>2880</v>
      </c>
      <c r="CJ36" s="1">
        <f t="shared" si="27"/>
        <v>1E-3</v>
      </c>
      <c r="CK36" s="1">
        <f t="shared" si="28"/>
        <v>1E-3</v>
      </c>
      <c r="CL36" s="1">
        <f t="shared" si="29"/>
        <v>7.0000000000000001E-3</v>
      </c>
      <c r="CM36" s="1">
        <f t="shared" si="30"/>
        <v>5.8000000000000003E-2</v>
      </c>
      <c r="CN36" s="1">
        <f t="shared" si="31"/>
        <v>0.19900000000000001</v>
      </c>
      <c r="CO36" s="1">
        <f t="shared" si="32"/>
        <v>0.38300000000000001</v>
      </c>
      <c r="CP36" s="1">
        <f t="shared" si="33"/>
        <v>0.32300000000000001</v>
      </c>
      <c r="CQ36" s="1">
        <f t="shared" si="34"/>
        <v>2.9000000000000001E-2</v>
      </c>
      <c r="CS36" s="1">
        <f t="shared" si="38"/>
        <v>0.7</v>
      </c>
      <c r="CT36" s="1">
        <f t="shared" si="39"/>
        <v>-0.69999999999999973</v>
      </c>
    </row>
    <row r="37" spans="1:98" x14ac:dyDescent="0.2">
      <c r="A37" s="8">
        <f t="shared" si="40"/>
        <v>43862</v>
      </c>
      <c r="B37" s="1">
        <v>32</v>
      </c>
      <c r="C37" s="1">
        <v>11</v>
      </c>
      <c r="D37" s="2">
        <v>13.04</v>
      </c>
      <c r="E37" s="2">
        <v>0.18099999999999999</v>
      </c>
      <c r="F37" s="2">
        <v>-13.03</v>
      </c>
      <c r="G37" s="2">
        <v>-4.3029999999999999</v>
      </c>
      <c r="H37" s="2">
        <v>88.1</v>
      </c>
      <c r="I37" s="2">
        <v>-0.55200000000000005</v>
      </c>
      <c r="J37" s="2">
        <v>-1.288</v>
      </c>
      <c r="K37" s="2">
        <v>-4.3999999999999997E-2</v>
      </c>
      <c r="L37" s="2">
        <v>0.876</v>
      </c>
      <c r="M37" s="2">
        <v>1.5509999999999999</v>
      </c>
      <c r="N37" s="2">
        <v>0.76700000000000002</v>
      </c>
      <c r="O37" s="2">
        <v>96.8</v>
      </c>
      <c r="P37" s="2">
        <v>-0.443</v>
      </c>
      <c r="Q37" s="2">
        <v>-1.194</v>
      </c>
      <c r="R37" s="2">
        <v>7.6999999999999999E-2</v>
      </c>
      <c r="S37" s="2">
        <v>0.98699999999999999</v>
      </c>
      <c r="T37" s="2">
        <v>1.6519999999999999</v>
      </c>
      <c r="U37" s="2">
        <v>-11.76</v>
      </c>
      <c r="V37" s="2">
        <v>68.31</v>
      </c>
      <c r="W37" s="2">
        <v>-0.66</v>
      </c>
      <c r="X37" s="2">
        <v>-1.385</v>
      </c>
      <c r="Y37" s="2">
        <v>-0.17199999999999999</v>
      </c>
      <c r="Z37" s="2">
        <v>0.75600000000000001</v>
      </c>
      <c r="AA37" s="2">
        <v>1.4259999999999999</v>
      </c>
      <c r="AB37" s="2">
        <v>1.3979999999999999</v>
      </c>
      <c r="AC37" s="2">
        <v>0</v>
      </c>
      <c r="AD37" s="2">
        <v>3.6419999999999999</v>
      </c>
      <c r="AE37" s="2">
        <v>3.444</v>
      </c>
      <c r="AF37" s="2">
        <v>2.9209999999999998</v>
      </c>
      <c r="AG37" s="2">
        <v>8.8800000000000008</v>
      </c>
      <c r="AH37" s="2">
        <v>-5.5620000000000003</v>
      </c>
      <c r="AI37" s="2">
        <v>0.38700000000000001</v>
      </c>
      <c r="AJ37" s="2">
        <v>-16.100000000000001</v>
      </c>
      <c r="AK37" s="2">
        <v>0.31900000000000001</v>
      </c>
      <c r="AL37" s="2">
        <v>-12.02</v>
      </c>
      <c r="AM37" s="2">
        <v>1.4279999999999999</v>
      </c>
      <c r="AN37" s="2" t="s">
        <v>122</v>
      </c>
      <c r="AO37" s="2">
        <v>410</v>
      </c>
      <c r="AP37" s="2">
        <v>57</v>
      </c>
      <c r="AQ37" s="2">
        <v>10</v>
      </c>
      <c r="AR37" s="2">
        <v>8</v>
      </c>
      <c r="AS37" s="2">
        <v>61</v>
      </c>
      <c r="AT37" s="2">
        <v>506</v>
      </c>
      <c r="AU37" s="2">
        <v>895</v>
      </c>
      <c r="AV37" s="2">
        <v>933</v>
      </c>
      <c r="AW37" s="2"/>
      <c r="AX37" s="1">
        <f t="shared" si="0"/>
        <v>1.1519999999999999</v>
      </c>
      <c r="AY37" s="21">
        <f t="shared" si="1"/>
        <v>-0.6</v>
      </c>
      <c r="AZ37" s="5">
        <v>8.0399999999999991</v>
      </c>
      <c r="BA37" s="1">
        <v>3.67</v>
      </c>
      <c r="BB37" s="1">
        <v>3.17</v>
      </c>
      <c r="BC37" s="6">
        <f t="shared" si="35"/>
        <v>0.86376021798365121</v>
      </c>
      <c r="BE37" s="30">
        <v>5.3</v>
      </c>
      <c r="BF37" s="27">
        <v>1192</v>
      </c>
      <c r="BG37" s="1">
        <f t="shared" si="2"/>
        <v>96.8</v>
      </c>
      <c r="BH37" s="1">
        <f t="shared" si="3"/>
        <v>88.1</v>
      </c>
      <c r="BI37" s="1">
        <f t="shared" si="4"/>
        <v>68.3</v>
      </c>
      <c r="BJ37" s="7">
        <f t="shared" si="5"/>
        <v>0.441</v>
      </c>
      <c r="BK37" s="7">
        <f t="shared" si="6"/>
        <v>0.20499999999999999</v>
      </c>
      <c r="BM37" s="5">
        <f t="shared" si="7"/>
        <v>3.67</v>
      </c>
      <c r="BN37" s="5">
        <f t="shared" si="8"/>
        <v>3.17</v>
      </c>
      <c r="BO37" s="1">
        <f t="shared" si="9"/>
        <v>-4.3</v>
      </c>
      <c r="BP37" s="1">
        <f t="shared" si="10"/>
        <v>0.8</v>
      </c>
      <c r="BQ37" s="1">
        <f t="shared" si="11"/>
        <v>-11.8</v>
      </c>
      <c r="BR37" s="1">
        <f t="shared" si="12"/>
        <v>88.1</v>
      </c>
      <c r="BS37" s="1">
        <f t="shared" si="13"/>
        <v>68.3</v>
      </c>
      <c r="BT37" s="1">
        <f t="shared" si="14"/>
        <v>2.9</v>
      </c>
      <c r="BU37" s="1">
        <f t="shared" si="15"/>
        <v>8.9</v>
      </c>
      <c r="BV37" s="33">
        <f t="shared" si="16"/>
        <v>5.3</v>
      </c>
      <c r="BW37" s="34">
        <f t="shared" si="17"/>
        <v>1.1919999999999999</v>
      </c>
      <c r="BX37" s="20">
        <f t="shared" si="18"/>
        <v>-0.6</v>
      </c>
      <c r="BY37" s="1">
        <f t="shared" si="19"/>
        <v>-5.6</v>
      </c>
      <c r="BZ37" s="1">
        <f t="shared" si="20"/>
        <v>0.4</v>
      </c>
      <c r="CA37" s="1">
        <f t="shared" si="21"/>
        <v>-16.100000000000001</v>
      </c>
      <c r="CB37" s="1">
        <f t="shared" si="22"/>
        <v>0</v>
      </c>
      <c r="CC37" s="1">
        <f t="shared" si="23"/>
        <v>0.9</v>
      </c>
      <c r="CD37" s="1">
        <f t="shared" si="24"/>
        <v>1.6</v>
      </c>
      <c r="CE37" s="1" t="str">
        <f t="shared" si="25"/>
        <v>NAN</v>
      </c>
      <c r="CF37" s="1">
        <f t="shared" si="36"/>
        <v>0.441</v>
      </c>
      <c r="CG37" s="1">
        <f t="shared" si="37"/>
        <v>0.20499999999999999</v>
      </c>
      <c r="CI37" s="1">
        <f t="shared" si="26"/>
        <v>2880</v>
      </c>
      <c r="CJ37" s="1">
        <f t="shared" si="27"/>
        <v>0.14199999999999999</v>
      </c>
      <c r="CK37" s="1">
        <f t="shared" si="28"/>
        <v>0.02</v>
      </c>
      <c r="CL37" s="1">
        <f t="shared" si="29"/>
        <v>3.0000000000000001E-3</v>
      </c>
      <c r="CM37" s="1">
        <f t="shared" si="30"/>
        <v>3.0000000000000001E-3</v>
      </c>
      <c r="CN37" s="1">
        <f t="shared" si="31"/>
        <v>2.1000000000000001E-2</v>
      </c>
      <c r="CO37" s="1">
        <f t="shared" si="32"/>
        <v>0.17599999999999999</v>
      </c>
      <c r="CP37" s="1">
        <f t="shared" si="33"/>
        <v>0.311</v>
      </c>
      <c r="CQ37" s="1">
        <f t="shared" si="34"/>
        <v>0.32400000000000001</v>
      </c>
      <c r="CS37" s="1">
        <f t="shared" si="38"/>
        <v>-0.4</v>
      </c>
      <c r="CT37" s="1">
        <f t="shared" si="39"/>
        <v>-4.3000000000000007</v>
      </c>
    </row>
    <row r="38" spans="1:98" x14ac:dyDescent="0.2">
      <c r="A38" s="8">
        <f t="shared" si="40"/>
        <v>43863</v>
      </c>
      <c r="B38" s="1">
        <v>33</v>
      </c>
      <c r="C38" s="1">
        <v>11</v>
      </c>
      <c r="D38" s="2">
        <v>13.04</v>
      </c>
      <c r="E38" s="2">
        <v>-3.6219999999999999</v>
      </c>
      <c r="F38" s="2">
        <v>-17.04</v>
      </c>
      <c r="G38" s="2">
        <v>-10.55</v>
      </c>
      <c r="H38" s="2">
        <v>74.77</v>
      </c>
      <c r="I38" s="2">
        <v>-0.59099999999999997</v>
      </c>
      <c r="J38" s="2">
        <v>-1.236</v>
      </c>
      <c r="K38" s="2">
        <v>-0.111</v>
      </c>
      <c r="L38" s="2">
        <v>0.80800000000000005</v>
      </c>
      <c r="M38" s="2">
        <v>1.48</v>
      </c>
      <c r="N38" s="2">
        <v>-5.2569999999999997</v>
      </c>
      <c r="O38" s="2">
        <v>86.9</v>
      </c>
      <c r="P38" s="2">
        <v>-0.44800000000000001</v>
      </c>
      <c r="Q38" s="2">
        <v>-1.0980000000000001</v>
      </c>
      <c r="R38" s="2">
        <v>1.9E-2</v>
      </c>
      <c r="S38" s="2">
        <v>0.92900000000000005</v>
      </c>
      <c r="T38" s="2">
        <v>1.6519999999999999</v>
      </c>
      <c r="U38" s="2">
        <v>-14.3</v>
      </c>
      <c r="V38" s="2">
        <v>46.32</v>
      </c>
      <c r="W38" s="2">
        <v>-0.77400000000000002</v>
      </c>
      <c r="X38" s="2">
        <v>-1.427</v>
      </c>
      <c r="Y38" s="2">
        <v>-0.28000000000000003</v>
      </c>
      <c r="Z38" s="2">
        <v>0.63700000000000001</v>
      </c>
      <c r="AA38" s="2">
        <v>1.2609999999999999</v>
      </c>
      <c r="AB38" s="2">
        <v>1.4390000000000001</v>
      </c>
      <c r="AC38" s="2">
        <v>0</v>
      </c>
      <c r="AD38" s="2">
        <v>7.4359999999999999</v>
      </c>
      <c r="AE38" s="2">
        <v>6.14</v>
      </c>
      <c r="AF38" s="2">
        <v>1.0309999999999999</v>
      </c>
      <c r="AG38" s="2">
        <v>3.9049999999999998</v>
      </c>
      <c r="AH38" s="2">
        <v>-13.76</v>
      </c>
      <c r="AI38" s="2">
        <v>-4.3810000000000002</v>
      </c>
      <c r="AJ38" s="2">
        <v>-19.850000000000001</v>
      </c>
      <c r="AK38" s="2">
        <v>-1.0129999999999999</v>
      </c>
      <c r="AL38" s="2">
        <v>-14.73</v>
      </c>
      <c r="AM38" s="2">
        <v>1.468</v>
      </c>
      <c r="AN38" s="2" t="s">
        <v>122</v>
      </c>
      <c r="AO38" s="2">
        <v>550</v>
      </c>
      <c r="AP38" s="2">
        <v>278</v>
      </c>
      <c r="AQ38" s="2">
        <v>138</v>
      </c>
      <c r="AR38" s="2">
        <v>40</v>
      </c>
      <c r="AS38" s="2">
        <v>64</v>
      </c>
      <c r="AT38" s="2">
        <v>279</v>
      </c>
      <c r="AU38" s="2">
        <v>742</v>
      </c>
      <c r="AV38" s="2">
        <v>789</v>
      </c>
      <c r="AW38" s="2"/>
      <c r="AX38" s="1">
        <f t="shared" ref="AX38:AX69" si="41">AX$1-AB38</f>
        <v>1.1109999999999998</v>
      </c>
      <c r="AY38" s="21">
        <f t="shared" ref="AY38:AY69" si="42">ROUND(AVERAGE(I38:K38),1)</f>
        <v>-0.6</v>
      </c>
      <c r="AZ38" s="5">
        <v>8.1999999999999993</v>
      </c>
      <c r="BA38" s="1">
        <v>7.44</v>
      </c>
      <c r="BB38" s="1">
        <v>5.65</v>
      </c>
      <c r="BC38" s="6">
        <f t="shared" si="35"/>
        <v>0.75940860215053763</v>
      </c>
      <c r="BE38" s="30">
        <v>0</v>
      </c>
      <c r="BF38" s="27">
        <v>1169</v>
      </c>
      <c r="BG38" s="1">
        <f t="shared" si="2"/>
        <v>86.9</v>
      </c>
      <c r="BH38" s="1">
        <f t="shared" si="3"/>
        <v>74.8</v>
      </c>
      <c r="BI38" s="1">
        <f t="shared" si="4"/>
        <v>46.3</v>
      </c>
      <c r="BJ38" s="7">
        <f t="shared" si="5"/>
        <v>0.191</v>
      </c>
      <c r="BK38" s="7">
        <f t="shared" si="6"/>
        <v>0.222</v>
      </c>
      <c r="BM38" s="5">
        <f t="shared" si="7"/>
        <v>7.44</v>
      </c>
      <c r="BN38" s="5">
        <f t="shared" si="8"/>
        <v>5.65</v>
      </c>
      <c r="BO38" s="1">
        <f t="shared" si="9"/>
        <v>-10.6</v>
      </c>
      <c r="BP38" s="1">
        <f t="shared" si="10"/>
        <v>-5.3</v>
      </c>
      <c r="BQ38" s="1">
        <f t="shared" si="11"/>
        <v>-14.3</v>
      </c>
      <c r="BR38" s="1">
        <f t="shared" si="12"/>
        <v>74.8</v>
      </c>
      <c r="BS38" s="1">
        <f t="shared" si="13"/>
        <v>46.3</v>
      </c>
      <c r="BT38" s="1">
        <f t="shared" si="14"/>
        <v>1</v>
      </c>
      <c r="BU38" s="1">
        <f t="shared" si="15"/>
        <v>3.9</v>
      </c>
      <c r="BV38" s="33">
        <f t="shared" si="16"/>
        <v>0</v>
      </c>
      <c r="BW38" s="34">
        <f t="shared" ref="BW38:BW69" si="43">ROUND(BF38/1000,3)</f>
        <v>1.169</v>
      </c>
      <c r="BX38" s="20">
        <f t="shared" si="18"/>
        <v>-0.6</v>
      </c>
      <c r="BY38" s="1">
        <f t="shared" si="19"/>
        <v>-13.8</v>
      </c>
      <c r="BZ38" s="1">
        <f t="shared" si="20"/>
        <v>-4.4000000000000004</v>
      </c>
      <c r="CA38" s="1">
        <f t="shared" si="21"/>
        <v>-19.899999999999999</v>
      </c>
      <c r="CB38" s="1">
        <f t="shared" si="22"/>
        <v>-0.1</v>
      </c>
      <c r="CC38" s="1">
        <f t="shared" si="23"/>
        <v>0.8</v>
      </c>
      <c r="CD38" s="1">
        <f t="shared" si="24"/>
        <v>1.5</v>
      </c>
      <c r="CE38" s="1" t="str">
        <f t="shared" si="25"/>
        <v>NAN</v>
      </c>
      <c r="CF38" s="1">
        <f t="shared" si="36"/>
        <v>0.191</v>
      </c>
      <c r="CG38" s="1">
        <f t="shared" si="37"/>
        <v>0.222</v>
      </c>
      <c r="CI38" s="1">
        <f t="shared" ref="CI38:CI62" si="44">SUM(AO38:AV38)</f>
        <v>2880</v>
      </c>
      <c r="CJ38" s="1">
        <f t="shared" ref="CJ38:CJ62" si="45">ROUND(AO38/$CI38,3)</f>
        <v>0.191</v>
      </c>
      <c r="CK38" s="1">
        <f t="shared" ref="CK38:CK62" si="46">ROUND(AP38/$CI38,3)</f>
        <v>9.7000000000000003E-2</v>
      </c>
      <c r="CL38" s="1">
        <f t="shared" ref="CL38:CL62" si="47">ROUND(AQ38/$CI38,3)</f>
        <v>4.8000000000000001E-2</v>
      </c>
      <c r="CM38" s="1">
        <f t="shared" ref="CM38:CM62" si="48">ROUND(AR38/$CI38,3)</f>
        <v>1.4E-2</v>
      </c>
      <c r="CN38" s="1">
        <f t="shared" ref="CN38:CN62" si="49">ROUND(AS38/$CI38,3)</f>
        <v>2.1999999999999999E-2</v>
      </c>
      <c r="CO38" s="1">
        <f t="shared" ref="CO38:CO62" si="50">ROUND(AT38/$CI38,3)</f>
        <v>9.7000000000000003E-2</v>
      </c>
      <c r="CP38" s="1">
        <f t="shared" ref="CP38:CP62" si="51">ROUND(AU38/$CI38,3)</f>
        <v>0.25800000000000001</v>
      </c>
      <c r="CQ38" s="1">
        <f t="shared" ref="CQ38:CQ62" si="52">ROUND(AV38/$CI38,3)</f>
        <v>0.27400000000000002</v>
      </c>
      <c r="CS38" s="1">
        <f t="shared" si="38"/>
        <v>0.89999999999999947</v>
      </c>
      <c r="CT38" s="1">
        <f t="shared" si="39"/>
        <v>-5.5999999999999979</v>
      </c>
    </row>
    <row r="39" spans="1:98" x14ac:dyDescent="0.2">
      <c r="A39" s="8">
        <f t="shared" si="40"/>
        <v>43864</v>
      </c>
      <c r="B39" s="1">
        <v>34</v>
      </c>
      <c r="C39" s="1">
        <v>11</v>
      </c>
      <c r="D39" s="2">
        <v>13.03</v>
      </c>
      <c r="E39" s="2">
        <v>-7.7489999999999997</v>
      </c>
      <c r="F39" s="2">
        <v>-19.5</v>
      </c>
      <c r="G39" s="2">
        <v>-13.17</v>
      </c>
      <c r="H39" s="2">
        <v>84.2</v>
      </c>
      <c r="I39" s="2">
        <v>-0.58899999999999997</v>
      </c>
      <c r="J39" s="2">
        <v>-1.3</v>
      </c>
      <c r="K39" s="2">
        <v>-0.129</v>
      </c>
      <c r="L39" s="2">
        <v>0.78800000000000003</v>
      </c>
      <c r="M39" s="2">
        <v>1.4570000000000001</v>
      </c>
      <c r="N39" s="2">
        <v>-10.14</v>
      </c>
      <c r="O39" s="2">
        <v>87.7</v>
      </c>
      <c r="P39" s="2">
        <v>-0.46100000000000002</v>
      </c>
      <c r="Q39" s="2">
        <v>-1.1060000000000001</v>
      </c>
      <c r="R39" s="2">
        <v>-1.4999999999999999E-2</v>
      </c>
      <c r="S39" s="2">
        <v>0.90400000000000003</v>
      </c>
      <c r="T39" s="2">
        <v>1.6060000000000001</v>
      </c>
      <c r="U39" s="2">
        <v>-17.79</v>
      </c>
      <c r="V39" s="2">
        <v>79.180000000000007</v>
      </c>
      <c r="W39" s="2">
        <v>-0.78500000000000003</v>
      </c>
      <c r="X39" s="2">
        <v>-1.5529999999999999</v>
      </c>
      <c r="Y39" s="2">
        <v>-0.34300000000000003</v>
      </c>
      <c r="Z39" s="2">
        <v>0.59899999999999998</v>
      </c>
      <c r="AA39" s="2">
        <v>1.264</v>
      </c>
      <c r="AB39" s="2">
        <v>1.292</v>
      </c>
      <c r="AC39" s="2">
        <v>0</v>
      </c>
      <c r="AD39" s="2">
        <v>4.1459999999999999</v>
      </c>
      <c r="AE39" s="2">
        <v>7.3959999999999999</v>
      </c>
      <c r="AF39" s="2">
        <v>1.0529999999999999</v>
      </c>
      <c r="AG39" s="2">
        <v>3.1539999999999999</v>
      </c>
      <c r="AH39" s="2">
        <v>-15.11</v>
      </c>
      <c r="AI39" s="2">
        <v>-7.5380000000000003</v>
      </c>
      <c r="AJ39" s="2">
        <v>-23.94</v>
      </c>
      <c r="AK39" s="2">
        <v>-5.1280000000000001</v>
      </c>
      <c r="AL39" s="2">
        <v>-17.84</v>
      </c>
      <c r="AM39" s="2">
        <v>1.33</v>
      </c>
      <c r="AN39" s="2" t="s">
        <v>122</v>
      </c>
      <c r="AO39" s="2">
        <v>862</v>
      </c>
      <c r="AP39" s="2">
        <v>828</v>
      </c>
      <c r="AQ39" s="2">
        <v>258</v>
      </c>
      <c r="AR39" s="2">
        <v>66</v>
      </c>
      <c r="AS39" s="2">
        <v>37</v>
      </c>
      <c r="AT39" s="2">
        <v>58</v>
      </c>
      <c r="AU39" s="2">
        <v>216</v>
      </c>
      <c r="AV39" s="2">
        <v>553</v>
      </c>
      <c r="AW39" s="2"/>
      <c r="AX39" s="1">
        <f t="shared" si="41"/>
        <v>1.2579999999999998</v>
      </c>
      <c r="AY39" s="21">
        <f t="shared" si="42"/>
        <v>-0.7</v>
      </c>
      <c r="AZ39" s="5">
        <v>8.35</v>
      </c>
      <c r="BA39" s="1">
        <v>7.24</v>
      </c>
      <c r="BB39" s="1">
        <v>6.8</v>
      </c>
      <c r="BC39" s="6">
        <f t="shared" si="35"/>
        <v>0.93922651933701651</v>
      </c>
      <c r="BE39" s="30">
        <v>16.100000000000001</v>
      </c>
      <c r="BF39" s="27">
        <v>1297.9999999999998</v>
      </c>
      <c r="BG39" s="1">
        <f t="shared" si="2"/>
        <v>87.7</v>
      </c>
      <c r="BH39" s="1">
        <f t="shared" si="3"/>
        <v>84.2</v>
      </c>
      <c r="BI39" s="1">
        <f t="shared" si="4"/>
        <v>79.2</v>
      </c>
      <c r="BJ39" s="7">
        <f t="shared" si="5"/>
        <v>0.224</v>
      </c>
      <c r="BK39" s="7">
        <f t="shared" si="6"/>
        <v>5.8999999999999997E-2</v>
      </c>
      <c r="BM39" s="5">
        <f t="shared" si="7"/>
        <v>7.24</v>
      </c>
      <c r="BN39" s="5">
        <f t="shared" si="8"/>
        <v>6.8</v>
      </c>
      <c r="BO39" s="1">
        <f t="shared" si="9"/>
        <v>-13.2</v>
      </c>
      <c r="BP39" s="1">
        <f t="shared" si="10"/>
        <v>-10.1</v>
      </c>
      <c r="BQ39" s="1">
        <f t="shared" si="11"/>
        <v>-17.8</v>
      </c>
      <c r="BR39" s="1">
        <f t="shared" si="12"/>
        <v>84.2</v>
      </c>
      <c r="BS39" s="1">
        <f t="shared" si="13"/>
        <v>79.2</v>
      </c>
      <c r="BT39" s="1">
        <f t="shared" si="14"/>
        <v>1.1000000000000001</v>
      </c>
      <c r="BU39" s="1">
        <f t="shared" si="15"/>
        <v>3.2</v>
      </c>
      <c r="BV39" s="33">
        <f t="shared" si="16"/>
        <v>16.100000000000001</v>
      </c>
      <c r="BW39" s="34">
        <f t="shared" si="43"/>
        <v>1.298</v>
      </c>
      <c r="BX39" s="20">
        <f t="shared" si="18"/>
        <v>-0.7</v>
      </c>
      <c r="BY39" s="1">
        <f t="shared" si="19"/>
        <v>-15.1</v>
      </c>
      <c r="BZ39" s="1">
        <f t="shared" si="20"/>
        <v>-7.5</v>
      </c>
      <c r="CA39" s="1">
        <f t="shared" si="21"/>
        <v>-23.9</v>
      </c>
      <c r="CB39" s="1">
        <f t="shared" si="22"/>
        <v>-0.1</v>
      </c>
      <c r="CC39" s="1">
        <f t="shared" si="23"/>
        <v>0.8</v>
      </c>
      <c r="CD39" s="1">
        <f t="shared" si="24"/>
        <v>1.5</v>
      </c>
      <c r="CE39" s="1" t="str">
        <f t="shared" si="25"/>
        <v>NAN</v>
      </c>
      <c r="CF39" s="1">
        <f t="shared" si="36"/>
        <v>0.224</v>
      </c>
      <c r="CG39" s="1">
        <f t="shared" si="37"/>
        <v>5.8999999999999997E-2</v>
      </c>
      <c r="CI39" s="1">
        <f t="shared" si="44"/>
        <v>2878</v>
      </c>
      <c r="CJ39" s="1">
        <f t="shared" si="45"/>
        <v>0.3</v>
      </c>
      <c r="CK39" s="1">
        <f t="shared" si="46"/>
        <v>0.28799999999999998</v>
      </c>
      <c r="CL39" s="1">
        <f t="shared" si="47"/>
        <v>0.09</v>
      </c>
      <c r="CM39" s="1">
        <f t="shared" si="48"/>
        <v>2.3E-2</v>
      </c>
      <c r="CN39" s="1">
        <f t="shared" si="49"/>
        <v>1.2999999999999999E-2</v>
      </c>
      <c r="CO39" s="1">
        <f t="shared" si="50"/>
        <v>0.02</v>
      </c>
      <c r="CP39" s="1">
        <f t="shared" si="51"/>
        <v>7.4999999999999997E-2</v>
      </c>
      <c r="CQ39" s="1">
        <f t="shared" si="52"/>
        <v>0.192</v>
      </c>
      <c r="CS39" s="1">
        <f t="shared" si="38"/>
        <v>2.5999999999999996</v>
      </c>
      <c r="CT39" s="1">
        <f t="shared" si="39"/>
        <v>-6.0999999999999979</v>
      </c>
    </row>
    <row r="40" spans="1:98" x14ac:dyDescent="0.2">
      <c r="A40" s="8">
        <f t="shared" si="40"/>
        <v>43865</v>
      </c>
      <c r="B40" s="1">
        <v>35</v>
      </c>
      <c r="C40" s="1">
        <v>11</v>
      </c>
      <c r="D40" s="2">
        <v>12.94</v>
      </c>
      <c r="E40" s="2">
        <v>-6.4459999999999997</v>
      </c>
      <c r="F40" s="2">
        <v>-17.489999999999998</v>
      </c>
      <c r="G40" s="2">
        <v>-10.58</v>
      </c>
      <c r="H40" s="2">
        <v>85.3</v>
      </c>
      <c r="I40" s="2">
        <v>-0.64100000000000001</v>
      </c>
      <c r="J40" s="2">
        <v>-1.484</v>
      </c>
      <c r="K40" s="2">
        <v>-0.10299999999999999</v>
      </c>
      <c r="L40" s="2">
        <v>0.81200000000000006</v>
      </c>
      <c r="M40" s="2">
        <v>1.46</v>
      </c>
      <c r="N40" s="2">
        <v>-5.6589999999999998</v>
      </c>
      <c r="O40" s="2">
        <v>92.2</v>
      </c>
      <c r="P40" s="2">
        <v>-0.53200000000000003</v>
      </c>
      <c r="Q40" s="2">
        <v>-1.371</v>
      </c>
      <c r="R40" s="2">
        <v>3.4000000000000002E-2</v>
      </c>
      <c r="S40" s="2">
        <v>0.93100000000000005</v>
      </c>
      <c r="T40" s="2">
        <v>1.583</v>
      </c>
      <c r="U40" s="2">
        <v>-15.52</v>
      </c>
      <c r="V40" s="2">
        <v>69.28</v>
      </c>
      <c r="W40" s="2">
        <v>-0.79300000000000004</v>
      </c>
      <c r="X40" s="2">
        <v>-1.603</v>
      </c>
      <c r="Y40" s="2">
        <v>-0.29099999999999998</v>
      </c>
      <c r="Z40" s="2">
        <v>0.63200000000000001</v>
      </c>
      <c r="AA40" s="2">
        <v>1.2669999999999999</v>
      </c>
      <c r="AB40" s="2">
        <v>1.262</v>
      </c>
      <c r="AC40" s="2">
        <v>0</v>
      </c>
      <c r="AD40" s="2">
        <v>1.169</v>
      </c>
      <c r="AE40" s="2">
        <v>1.5529999999999999</v>
      </c>
      <c r="AF40" s="2">
        <v>1.2609999999999999</v>
      </c>
      <c r="AG40" s="2">
        <v>5.53</v>
      </c>
      <c r="AH40" s="2">
        <v>-11.92</v>
      </c>
      <c r="AI40" s="2">
        <v>-5.9169999999999998</v>
      </c>
      <c r="AJ40" s="2">
        <v>-20.420000000000002</v>
      </c>
      <c r="AK40" s="2">
        <v>-6.0049999999999999</v>
      </c>
      <c r="AL40" s="2">
        <v>-15.62</v>
      </c>
      <c r="AM40" s="2">
        <v>1.2769999999999999</v>
      </c>
      <c r="AN40" s="2" t="s">
        <v>122</v>
      </c>
      <c r="AO40" s="2">
        <v>297</v>
      </c>
      <c r="AP40" s="2">
        <v>530</v>
      </c>
      <c r="AQ40" s="2">
        <v>197</v>
      </c>
      <c r="AR40" s="2">
        <v>72</v>
      </c>
      <c r="AS40" s="2">
        <v>178</v>
      </c>
      <c r="AT40" s="2">
        <v>383</v>
      </c>
      <c r="AU40" s="2">
        <v>728</v>
      </c>
      <c r="AV40" s="2">
        <v>495</v>
      </c>
      <c r="AW40" s="2"/>
      <c r="AX40" s="1">
        <f t="shared" si="41"/>
        <v>1.2879999999999998</v>
      </c>
      <c r="AY40" s="21">
        <f t="shared" si="42"/>
        <v>-0.7</v>
      </c>
      <c r="AZ40" s="5">
        <v>8.52</v>
      </c>
      <c r="BA40" s="1">
        <v>1.62</v>
      </c>
      <c r="BB40" s="1">
        <v>1.43</v>
      </c>
      <c r="BC40" s="6">
        <f t="shared" si="35"/>
        <v>0.88271604938271597</v>
      </c>
      <c r="BE40" s="30">
        <v>6</v>
      </c>
      <c r="BF40" s="27">
        <v>1327.9999999999998</v>
      </c>
      <c r="BG40" s="1">
        <f t="shared" si="2"/>
        <v>92.2</v>
      </c>
      <c r="BH40" s="1">
        <f t="shared" si="3"/>
        <v>85.3</v>
      </c>
      <c r="BI40" s="1">
        <f t="shared" si="4"/>
        <v>69.3</v>
      </c>
      <c r="BJ40" s="7">
        <f t="shared" si="5"/>
        <v>0.27700000000000002</v>
      </c>
      <c r="BK40" s="7">
        <f t="shared" si="6"/>
        <v>0.123</v>
      </c>
      <c r="BM40" s="5">
        <f t="shared" si="7"/>
        <v>1.62</v>
      </c>
      <c r="BN40" s="5">
        <f t="shared" si="8"/>
        <v>1.43</v>
      </c>
      <c r="BO40" s="1">
        <f t="shared" si="9"/>
        <v>-10.6</v>
      </c>
      <c r="BP40" s="1">
        <f t="shared" si="10"/>
        <v>-5.7</v>
      </c>
      <c r="BQ40" s="1">
        <f t="shared" si="11"/>
        <v>-15.5</v>
      </c>
      <c r="BR40" s="1">
        <f t="shared" si="12"/>
        <v>85.3</v>
      </c>
      <c r="BS40" s="1">
        <f t="shared" si="13"/>
        <v>69.3</v>
      </c>
      <c r="BT40" s="1">
        <f t="shared" si="14"/>
        <v>1.3</v>
      </c>
      <c r="BU40" s="1">
        <f t="shared" si="15"/>
        <v>5.5</v>
      </c>
      <c r="BV40" s="33">
        <f t="shared" si="16"/>
        <v>6</v>
      </c>
      <c r="BW40" s="34">
        <f t="shared" si="43"/>
        <v>1.3280000000000001</v>
      </c>
      <c r="BX40" s="20">
        <f t="shared" si="18"/>
        <v>-0.7</v>
      </c>
      <c r="BY40" s="1">
        <f t="shared" si="19"/>
        <v>-11.9</v>
      </c>
      <c r="BZ40" s="1">
        <f t="shared" si="20"/>
        <v>-5.9</v>
      </c>
      <c r="CA40" s="1">
        <f t="shared" si="21"/>
        <v>-20.399999999999999</v>
      </c>
      <c r="CB40" s="1">
        <f t="shared" si="22"/>
        <v>-0.1</v>
      </c>
      <c r="CC40" s="1">
        <f t="shared" si="23"/>
        <v>0.8</v>
      </c>
      <c r="CD40" s="1">
        <f t="shared" si="24"/>
        <v>1.5</v>
      </c>
      <c r="CE40" s="1" t="str">
        <f t="shared" si="25"/>
        <v>NAN</v>
      </c>
      <c r="CF40" s="1">
        <f t="shared" si="36"/>
        <v>0.27700000000000002</v>
      </c>
      <c r="CG40" s="1">
        <f t="shared" si="37"/>
        <v>0.123</v>
      </c>
      <c r="CI40" s="1">
        <f t="shared" si="44"/>
        <v>2880</v>
      </c>
      <c r="CJ40" s="1">
        <f t="shared" si="45"/>
        <v>0.10299999999999999</v>
      </c>
      <c r="CK40" s="1">
        <f t="shared" si="46"/>
        <v>0.184</v>
      </c>
      <c r="CL40" s="1">
        <f t="shared" si="47"/>
        <v>6.8000000000000005E-2</v>
      </c>
      <c r="CM40" s="1">
        <f t="shared" si="48"/>
        <v>2.5000000000000001E-2</v>
      </c>
      <c r="CN40" s="1">
        <f t="shared" si="49"/>
        <v>6.2E-2</v>
      </c>
      <c r="CO40" s="1">
        <f t="shared" si="50"/>
        <v>0.13300000000000001</v>
      </c>
      <c r="CP40" s="1">
        <f t="shared" si="51"/>
        <v>0.253</v>
      </c>
      <c r="CQ40" s="1">
        <f t="shared" si="52"/>
        <v>0.17199999999999999</v>
      </c>
      <c r="CS40" s="1">
        <f t="shared" si="38"/>
        <v>-0.20000000000000018</v>
      </c>
      <c r="CT40" s="1">
        <f t="shared" si="39"/>
        <v>-4.8999999999999986</v>
      </c>
    </row>
    <row r="41" spans="1:98" x14ac:dyDescent="0.2">
      <c r="A41" s="8">
        <f t="shared" si="40"/>
        <v>43866</v>
      </c>
      <c r="B41" s="1">
        <v>36</v>
      </c>
      <c r="C41" s="1">
        <v>11</v>
      </c>
      <c r="D41" s="2">
        <v>12.88</v>
      </c>
      <c r="E41" s="2">
        <v>-2.7629999999999999</v>
      </c>
      <c r="F41" s="2">
        <v>-6.532</v>
      </c>
      <c r="G41" s="2">
        <v>-4.0739999999999998</v>
      </c>
      <c r="H41" s="2">
        <v>93.3</v>
      </c>
      <c r="I41" s="2">
        <v>-0.64</v>
      </c>
      <c r="J41" s="2">
        <v>-1.58</v>
      </c>
      <c r="K41" s="2">
        <v>-2.9000000000000001E-2</v>
      </c>
      <c r="L41" s="2">
        <v>0.88100000000000001</v>
      </c>
      <c r="M41" s="2">
        <v>1.532</v>
      </c>
      <c r="N41" s="2">
        <v>-2.4159999999999999</v>
      </c>
      <c r="O41" s="2">
        <v>94.6</v>
      </c>
      <c r="P41" s="2">
        <v>-0.56499999999999995</v>
      </c>
      <c r="Q41" s="2">
        <v>-1.454</v>
      </c>
      <c r="R41" s="2">
        <v>5.5E-2</v>
      </c>
      <c r="S41" s="2">
        <v>0.95099999999999996</v>
      </c>
      <c r="T41" s="2">
        <v>1.605</v>
      </c>
      <c r="U41" s="2">
        <v>-6.3380000000000001</v>
      </c>
      <c r="V41" s="2">
        <v>91.5</v>
      </c>
      <c r="W41" s="2">
        <v>-0.72699999999999998</v>
      </c>
      <c r="X41" s="2">
        <v>-1.7030000000000001</v>
      </c>
      <c r="Y41" s="2">
        <v>-0.122</v>
      </c>
      <c r="Z41" s="2">
        <v>0.80900000000000005</v>
      </c>
      <c r="AA41" s="2">
        <v>1.4650000000000001</v>
      </c>
      <c r="AB41" s="2">
        <v>1.1399999999999999</v>
      </c>
      <c r="AC41" s="2">
        <v>0</v>
      </c>
      <c r="AD41" s="2">
        <v>0.748</v>
      </c>
      <c r="AE41" s="2">
        <v>1.246</v>
      </c>
      <c r="AF41" s="2">
        <v>1.381</v>
      </c>
      <c r="AG41" s="2">
        <v>5.26</v>
      </c>
      <c r="AH41" s="2">
        <v>-4.5179999999999998</v>
      </c>
      <c r="AI41" s="2">
        <v>-2.7629999999999999</v>
      </c>
      <c r="AJ41" s="2">
        <v>-6.9249999999999998</v>
      </c>
      <c r="AK41" s="2">
        <v>-2.5409999999999999</v>
      </c>
      <c r="AL41" s="2">
        <v>-6.6760000000000002</v>
      </c>
      <c r="AM41" s="2">
        <v>1.1459999999999999</v>
      </c>
      <c r="AN41" s="2" t="s">
        <v>122</v>
      </c>
      <c r="AO41" s="2">
        <v>348</v>
      </c>
      <c r="AP41" s="2">
        <v>55</v>
      </c>
      <c r="AQ41" s="2">
        <v>41</v>
      </c>
      <c r="AR41" s="2">
        <v>58</v>
      </c>
      <c r="AS41" s="2">
        <v>113</v>
      </c>
      <c r="AT41" s="2">
        <v>345</v>
      </c>
      <c r="AU41" s="2">
        <v>936</v>
      </c>
      <c r="AV41" s="2">
        <v>984</v>
      </c>
      <c r="AW41" s="2"/>
      <c r="AX41" s="1">
        <f t="shared" si="41"/>
        <v>1.41</v>
      </c>
      <c r="AY41" s="21">
        <f t="shared" si="42"/>
        <v>-0.7</v>
      </c>
      <c r="AZ41" s="5">
        <v>8.68</v>
      </c>
      <c r="BA41" s="1">
        <v>1.25</v>
      </c>
      <c r="BB41" s="1">
        <v>1.1499999999999999</v>
      </c>
      <c r="BC41" s="6">
        <f t="shared" si="35"/>
        <v>0.91999999999999993</v>
      </c>
      <c r="BE41" s="30">
        <v>14.6</v>
      </c>
      <c r="BF41" s="27">
        <v>1470</v>
      </c>
      <c r="BG41" s="1">
        <f t="shared" si="2"/>
        <v>94.6</v>
      </c>
      <c r="BH41" s="1">
        <f t="shared" si="3"/>
        <v>93.3</v>
      </c>
      <c r="BI41" s="1">
        <f t="shared" si="4"/>
        <v>91.5</v>
      </c>
      <c r="BJ41" s="7">
        <f t="shared" si="5"/>
        <v>0.46800000000000003</v>
      </c>
      <c r="BK41" s="7">
        <f t="shared" si="6"/>
        <v>4.2999999999999997E-2</v>
      </c>
      <c r="BM41" s="5">
        <f t="shared" si="7"/>
        <v>1.25</v>
      </c>
      <c r="BN41" s="5">
        <f t="shared" si="8"/>
        <v>1.1499999999999999</v>
      </c>
      <c r="BO41" s="1">
        <f t="shared" si="9"/>
        <v>-4.0999999999999996</v>
      </c>
      <c r="BP41" s="1">
        <f t="shared" si="10"/>
        <v>-2.4</v>
      </c>
      <c r="BQ41" s="1">
        <f t="shared" si="11"/>
        <v>-6.3</v>
      </c>
      <c r="BR41" s="1">
        <f t="shared" si="12"/>
        <v>93.3</v>
      </c>
      <c r="BS41" s="1">
        <f t="shared" si="13"/>
        <v>91.5</v>
      </c>
      <c r="BT41" s="1">
        <f t="shared" si="14"/>
        <v>1.4</v>
      </c>
      <c r="BU41" s="1">
        <f t="shared" si="15"/>
        <v>5.3</v>
      </c>
      <c r="BV41" s="33">
        <f t="shared" si="16"/>
        <v>14.6</v>
      </c>
      <c r="BW41" s="34">
        <f t="shared" si="43"/>
        <v>1.47</v>
      </c>
      <c r="BX41" s="20">
        <f t="shared" si="18"/>
        <v>-0.7</v>
      </c>
      <c r="BY41" s="1">
        <f t="shared" si="19"/>
        <v>-4.5</v>
      </c>
      <c r="BZ41" s="1">
        <f t="shared" si="20"/>
        <v>-2.8</v>
      </c>
      <c r="CA41" s="1">
        <f t="shared" si="21"/>
        <v>-6.9</v>
      </c>
      <c r="CB41" s="1">
        <f t="shared" si="22"/>
        <v>0</v>
      </c>
      <c r="CC41" s="1">
        <f t="shared" si="23"/>
        <v>0.9</v>
      </c>
      <c r="CD41" s="1">
        <f t="shared" si="24"/>
        <v>1.5</v>
      </c>
      <c r="CE41" s="1" t="str">
        <f t="shared" si="25"/>
        <v>NAN</v>
      </c>
      <c r="CF41" s="1">
        <f t="shared" si="36"/>
        <v>0.46800000000000003</v>
      </c>
      <c r="CG41" s="1">
        <f t="shared" si="37"/>
        <v>4.2999999999999997E-2</v>
      </c>
      <c r="CI41" s="1">
        <f t="shared" si="44"/>
        <v>2880</v>
      </c>
      <c r="CJ41" s="1">
        <f t="shared" si="45"/>
        <v>0.121</v>
      </c>
      <c r="CK41" s="1">
        <f t="shared" si="46"/>
        <v>1.9E-2</v>
      </c>
      <c r="CL41" s="1">
        <f t="shared" si="47"/>
        <v>1.4E-2</v>
      </c>
      <c r="CM41" s="1">
        <f t="shared" si="48"/>
        <v>0.02</v>
      </c>
      <c r="CN41" s="1">
        <f t="shared" si="49"/>
        <v>3.9E-2</v>
      </c>
      <c r="CO41" s="1">
        <f t="shared" si="50"/>
        <v>0.12</v>
      </c>
      <c r="CP41" s="1">
        <f t="shared" si="51"/>
        <v>0.32500000000000001</v>
      </c>
      <c r="CQ41" s="1">
        <f t="shared" si="52"/>
        <v>0.34200000000000003</v>
      </c>
      <c r="CS41" s="1">
        <f t="shared" si="38"/>
        <v>-0.39999999999999991</v>
      </c>
      <c r="CT41" s="1">
        <f t="shared" si="39"/>
        <v>-0.60000000000000053</v>
      </c>
    </row>
    <row r="42" spans="1:98" x14ac:dyDescent="0.2">
      <c r="A42" s="8">
        <f t="shared" si="40"/>
        <v>43867</v>
      </c>
      <c r="B42" s="1">
        <v>37</v>
      </c>
      <c r="C42" s="1">
        <v>11</v>
      </c>
      <c r="D42" s="2">
        <v>12.87</v>
      </c>
      <c r="E42" s="2">
        <v>-2.677</v>
      </c>
      <c r="F42" s="2">
        <v>-5.6779999999999999</v>
      </c>
      <c r="G42" s="2">
        <v>-4.133</v>
      </c>
      <c r="H42" s="2">
        <v>93.3</v>
      </c>
      <c r="I42" s="2">
        <v>-0.69599999999999995</v>
      </c>
      <c r="J42" s="2">
        <v>-1.68</v>
      </c>
      <c r="K42" s="2">
        <v>-3.1E-2</v>
      </c>
      <c r="L42" s="2">
        <v>0.876</v>
      </c>
      <c r="M42" s="2">
        <v>1.528</v>
      </c>
      <c r="N42" s="2">
        <v>-2.044</v>
      </c>
      <c r="O42" s="2">
        <v>94.8</v>
      </c>
      <c r="P42" s="2">
        <v>-0.61599999999999999</v>
      </c>
      <c r="Q42" s="2">
        <v>-1.595</v>
      </c>
      <c r="R42" s="2">
        <v>3.9E-2</v>
      </c>
      <c r="S42" s="2">
        <v>0.95599999999999996</v>
      </c>
      <c r="T42" s="2">
        <v>1.5960000000000001</v>
      </c>
      <c r="U42" s="2">
        <v>-6.0380000000000003</v>
      </c>
      <c r="V42" s="2">
        <v>91.9</v>
      </c>
      <c r="W42" s="2">
        <v>-0.78400000000000003</v>
      </c>
      <c r="X42" s="2">
        <v>-1.7609999999999999</v>
      </c>
      <c r="Y42" s="2">
        <v>-0.108</v>
      </c>
      <c r="Z42" s="2">
        <v>0.8</v>
      </c>
      <c r="AA42" s="2">
        <v>1.44</v>
      </c>
      <c r="AB42" s="2">
        <v>1.02</v>
      </c>
      <c r="AC42" s="2">
        <v>0</v>
      </c>
      <c r="AD42" s="2">
        <v>0.60299999999999998</v>
      </c>
      <c r="AE42" s="2">
        <v>2.3849999999999998</v>
      </c>
      <c r="AF42" s="2">
        <v>0.76200000000000001</v>
      </c>
      <c r="AG42" s="2">
        <v>3.4540000000000002</v>
      </c>
      <c r="AH42" s="2">
        <v>-4.6630000000000003</v>
      </c>
      <c r="AI42" s="2">
        <v>-1.5880000000000001</v>
      </c>
      <c r="AJ42" s="2">
        <v>-6.95</v>
      </c>
      <c r="AK42" s="2">
        <v>-0.35199999999999998</v>
      </c>
      <c r="AL42" s="2">
        <v>-6.3390000000000004</v>
      </c>
      <c r="AM42" s="2">
        <v>1.0309999999999999</v>
      </c>
      <c r="AN42" s="2" t="s">
        <v>122</v>
      </c>
      <c r="AO42" s="2">
        <v>533</v>
      </c>
      <c r="AP42" s="2">
        <v>449</v>
      </c>
      <c r="AQ42" s="2">
        <v>204</v>
      </c>
      <c r="AR42" s="2">
        <v>62</v>
      </c>
      <c r="AS42" s="2">
        <v>59</v>
      </c>
      <c r="AT42" s="2">
        <v>194</v>
      </c>
      <c r="AU42" s="2">
        <v>777</v>
      </c>
      <c r="AV42" s="2">
        <v>602</v>
      </c>
      <c r="AW42" s="2"/>
      <c r="AX42" s="1">
        <f t="shared" si="41"/>
        <v>1.5299999999999998</v>
      </c>
      <c r="AY42" s="21">
        <f t="shared" si="42"/>
        <v>-0.8</v>
      </c>
      <c r="AZ42" s="5">
        <v>8.85</v>
      </c>
      <c r="BA42" s="1">
        <v>2.31</v>
      </c>
      <c r="BB42" s="1">
        <v>2.19</v>
      </c>
      <c r="BC42" s="6">
        <f t="shared" si="35"/>
        <v>0.94805194805194803</v>
      </c>
      <c r="BE42" s="30">
        <v>13.1</v>
      </c>
      <c r="BF42" s="27">
        <v>1569.9999999999998</v>
      </c>
      <c r="BG42" s="1">
        <f t="shared" si="2"/>
        <v>94.8</v>
      </c>
      <c r="BH42" s="1">
        <f t="shared" si="3"/>
        <v>93.3</v>
      </c>
      <c r="BI42" s="1">
        <f t="shared" si="4"/>
        <v>91.9</v>
      </c>
      <c r="BJ42" s="7">
        <f t="shared" si="5"/>
        <v>0.48299999999999998</v>
      </c>
      <c r="BK42" s="7">
        <f t="shared" si="6"/>
        <v>4.2999999999999997E-2</v>
      </c>
      <c r="BM42" s="5">
        <f t="shared" si="7"/>
        <v>2.31</v>
      </c>
      <c r="BN42" s="5">
        <f t="shared" si="8"/>
        <v>2.19</v>
      </c>
      <c r="BO42" s="1">
        <f t="shared" si="9"/>
        <v>-4.0999999999999996</v>
      </c>
      <c r="BP42" s="1">
        <f t="shared" si="10"/>
        <v>-2</v>
      </c>
      <c r="BQ42" s="1">
        <f t="shared" si="11"/>
        <v>-6</v>
      </c>
      <c r="BR42" s="1">
        <f t="shared" si="12"/>
        <v>93.3</v>
      </c>
      <c r="BS42" s="1">
        <f t="shared" si="13"/>
        <v>91.9</v>
      </c>
      <c r="BT42" s="1">
        <f t="shared" si="14"/>
        <v>0.8</v>
      </c>
      <c r="BU42" s="1">
        <f t="shared" si="15"/>
        <v>3.5</v>
      </c>
      <c r="BV42" s="33">
        <f t="shared" si="16"/>
        <v>13.1</v>
      </c>
      <c r="BW42" s="34">
        <f t="shared" si="43"/>
        <v>1.57</v>
      </c>
      <c r="BX42" s="20">
        <f t="shared" si="18"/>
        <v>-0.8</v>
      </c>
      <c r="BY42" s="1">
        <f t="shared" si="19"/>
        <v>-4.7</v>
      </c>
      <c r="BZ42" s="1">
        <f t="shared" si="20"/>
        <v>-1.6</v>
      </c>
      <c r="CA42" s="1">
        <f t="shared" si="21"/>
        <v>-7</v>
      </c>
      <c r="CB42" s="1">
        <f t="shared" si="22"/>
        <v>0</v>
      </c>
      <c r="CC42" s="1">
        <f t="shared" si="23"/>
        <v>0.9</v>
      </c>
      <c r="CD42" s="1">
        <f t="shared" si="24"/>
        <v>1.5</v>
      </c>
      <c r="CE42" s="1" t="str">
        <f t="shared" si="25"/>
        <v>NAN</v>
      </c>
      <c r="CF42" s="1">
        <f t="shared" si="36"/>
        <v>0.48299999999999998</v>
      </c>
      <c r="CG42" s="1">
        <f t="shared" si="37"/>
        <v>4.2999999999999997E-2</v>
      </c>
      <c r="CI42" s="1">
        <f t="shared" si="44"/>
        <v>2880</v>
      </c>
      <c r="CJ42" s="1">
        <f t="shared" si="45"/>
        <v>0.185</v>
      </c>
      <c r="CK42" s="1">
        <f t="shared" si="46"/>
        <v>0.156</v>
      </c>
      <c r="CL42" s="1">
        <f t="shared" si="47"/>
        <v>7.0999999999999994E-2</v>
      </c>
      <c r="CM42" s="1">
        <f t="shared" si="48"/>
        <v>2.1999999999999999E-2</v>
      </c>
      <c r="CN42" s="1">
        <f t="shared" si="49"/>
        <v>0.02</v>
      </c>
      <c r="CO42" s="1">
        <f t="shared" si="50"/>
        <v>6.7000000000000004E-2</v>
      </c>
      <c r="CP42" s="1">
        <f t="shared" si="51"/>
        <v>0.27</v>
      </c>
      <c r="CQ42" s="1">
        <f t="shared" si="52"/>
        <v>0.20899999999999999</v>
      </c>
      <c r="CS42" s="1">
        <f t="shared" si="38"/>
        <v>0.39999999999999991</v>
      </c>
      <c r="CT42" s="1">
        <f t="shared" si="39"/>
        <v>-1</v>
      </c>
    </row>
    <row r="43" spans="1:98" x14ac:dyDescent="0.2">
      <c r="A43" s="8">
        <f t="shared" si="40"/>
        <v>43868</v>
      </c>
      <c r="B43" s="1">
        <v>38</v>
      </c>
      <c r="D43" s="2">
        <v>12.84</v>
      </c>
      <c r="E43" s="2">
        <v>-5.3730000000000002</v>
      </c>
      <c r="F43" s="2">
        <v>-8.2799999999999994</v>
      </c>
      <c r="G43" s="2">
        <v>-6.2610000000000001</v>
      </c>
      <c r="H43" s="2">
        <v>91.6</v>
      </c>
      <c r="I43" s="2">
        <v>-0.71699999999999997</v>
      </c>
      <c r="J43" s="2">
        <v>-1.671</v>
      </c>
      <c r="K43" s="2">
        <v>-3.5000000000000003E-2</v>
      </c>
      <c r="L43" s="2">
        <v>0.86599999999999999</v>
      </c>
      <c r="M43" s="2">
        <v>1.5149999999999999</v>
      </c>
      <c r="N43" s="2">
        <v>-4.6120000000000001</v>
      </c>
      <c r="O43" s="2">
        <v>92.9</v>
      </c>
      <c r="P43" s="2">
        <v>-0.64600000000000002</v>
      </c>
      <c r="Q43" s="2">
        <v>-1.5860000000000001</v>
      </c>
      <c r="R43" s="2">
        <v>3.3000000000000002E-2</v>
      </c>
      <c r="S43" s="2">
        <v>0.93400000000000005</v>
      </c>
      <c r="T43" s="2">
        <v>1.5820000000000001</v>
      </c>
      <c r="U43" s="2">
        <v>-8.1</v>
      </c>
      <c r="V43" s="2">
        <v>90.1</v>
      </c>
      <c r="W43" s="2">
        <v>-0.79800000000000004</v>
      </c>
      <c r="X43" s="2">
        <v>-1.756</v>
      </c>
      <c r="Y43" s="2">
        <v>-0.11799999999999999</v>
      </c>
      <c r="Z43" s="2">
        <v>0.78300000000000003</v>
      </c>
      <c r="AA43" s="2">
        <v>1.4430000000000001</v>
      </c>
      <c r="AB43" s="2">
        <v>0.98599999999999999</v>
      </c>
      <c r="AC43" s="2">
        <v>0</v>
      </c>
      <c r="AD43" s="2">
        <v>0.34399999999999997</v>
      </c>
      <c r="AE43" s="2">
        <v>2.0720000000000001</v>
      </c>
      <c r="AF43" s="2">
        <v>1.046</v>
      </c>
      <c r="AG43" s="2">
        <v>4.1879999999999997</v>
      </c>
      <c r="AH43" s="2">
        <v>-6.923</v>
      </c>
      <c r="AI43" s="2">
        <v>-4.49</v>
      </c>
      <c r="AJ43" s="2">
        <v>-11.44</v>
      </c>
      <c r="AK43" s="2">
        <v>-4.4539999999999997</v>
      </c>
      <c r="AL43" s="2">
        <v>-8.3699999999999992</v>
      </c>
      <c r="AM43" s="2">
        <v>0.998</v>
      </c>
      <c r="AN43" s="2" t="s">
        <v>122</v>
      </c>
      <c r="AO43" s="2">
        <v>218</v>
      </c>
      <c r="AP43" s="2">
        <v>332</v>
      </c>
      <c r="AQ43" s="2">
        <v>323</v>
      </c>
      <c r="AR43" s="2">
        <v>346</v>
      </c>
      <c r="AS43" s="2">
        <v>562</v>
      </c>
      <c r="AT43" s="2">
        <v>506</v>
      </c>
      <c r="AU43" s="2">
        <v>285</v>
      </c>
      <c r="AV43" s="2">
        <v>308</v>
      </c>
      <c r="AW43" s="2"/>
      <c r="AX43" s="1">
        <f t="shared" si="41"/>
        <v>1.5639999999999998</v>
      </c>
      <c r="AY43" s="21">
        <f t="shared" si="42"/>
        <v>-0.8</v>
      </c>
      <c r="AZ43" s="5">
        <v>9.02</v>
      </c>
      <c r="BA43" s="1">
        <v>2.0099999999999998</v>
      </c>
      <c r="BB43" s="1">
        <v>1.91</v>
      </c>
      <c r="BC43" s="6">
        <f t="shared" si="35"/>
        <v>0.95024875621890559</v>
      </c>
      <c r="BE43" s="30">
        <v>7.5</v>
      </c>
      <c r="BF43" s="27">
        <v>1603.9999999999998</v>
      </c>
      <c r="BG43" s="1">
        <f t="shared" si="2"/>
        <v>92.9</v>
      </c>
      <c r="BH43" s="1">
        <f t="shared" si="3"/>
        <v>91.6</v>
      </c>
      <c r="BI43" s="1">
        <f t="shared" si="4"/>
        <v>90.1</v>
      </c>
      <c r="BJ43" s="7">
        <f t="shared" si="5"/>
        <v>0.39100000000000001</v>
      </c>
      <c r="BK43" s="7">
        <f t="shared" si="6"/>
        <v>4.2999999999999997E-2</v>
      </c>
      <c r="BM43" s="5">
        <f t="shared" si="7"/>
        <v>2.0099999999999998</v>
      </c>
      <c r="BN43" s="5">
        <f t="shared" si="8"/>
        <v>1.91</v>
      </c>
      <c r="BO43" s="1">
        <f t="shared" si="9"/>
        <v>-6.3</v>
      </c>
      <c r="BP43" s="1">
        <f t="shared" si="10"/>
        <v>-4.5999999999999996</v>
      </c>
      <c r="BQ43" s="1">
        <f t="shared" si="11"/>
        <v>-8.1</v>
      </c>
      <c r="BR43" s="1">
        <f t="shared" si="12"/>
        <v>91.6</v>
      </c>
      <c r="BS43" s="1">
        <f t="shared" si="13"/>
        <v>90.1</v>
      </c>
      <c r="BT43" s="1">
        <f t="shared" si="14"/>
        <v>1</v>
      </c>
      <c r="BU43" s="1">
        <f t="shared" si="15"/>
        <v>4.2</v>
      </c>
      <c r="BV43" s="33">
        <f t="shared" si="16"/>
        <v>7.5</v>
      </c>
      <c r="BW43" s="34">
        <f t="shared" si="43"/>
        <v>1.6040000000000001</v>
      </c>
      <c r="BX43" s="20">
        <f t="shared" si="18"/>
        <v>-0.8</v>
      </c>
      <c r="BY43" s="1">
        <f t="shared" si="19"/>
        <v>-6.9</v>
      </c>
      <c r="BZ43" s="1">
        <f t="shared" si="20"/>
        <v>-4.5</v>
      </c>
      <c r="CA43" s="1">
        <f t="shared" si="21"/>
        <v>-11.4</v>
      </c>
      <c r="CB43" s="1">
        <f t="shared" si="22"/>
        <v>0</v>
      </c>
      <c r="CC43" s="1">
        <f t="shared" si="23"/>
        <v>0.9</v>
      </c>
      <c r="CD43" s="1">
        <f t="shared" si="24"/>
        <v>1.5</v>
      </c>
      <c r="CE43" s="1" t="str">
        <f t="shared" si="25"/>
        <v>NAN</v>
      </c>
      <c r="CF43" s="1">
        <f t="shared" si="36"/>
        <v>0.39100000000000001</v>
      </c>
      <c r="CG43" s="1">
        <f t="shared" si="37"/>
        <v>4.2999999999999997E-2</v>
      </c>
      <c r="CI43" s="1">
        <f t="shared" si="44"/>
        <v>2880</v>
      </c>
      <c r="CJ43" s="1">
        <f t="shared" si="45"/>
        <v>7.5999999999999998E-2</v>
      </c>
      <c r="CK43" s="1">
        <f t="shared" si="46"/>
        <v>0.115</v>
      </c>
      <c r="CL43" s="1">
        <f t="shared" si="47"/>
        <v>0.112</v>
      </c>
      <c r="CM43" s="1">
        <f t="shared" si="48"/>
        <v>0.12</v>
      </c>
      <c r="CN43" s="1">
        <f t="shared" si="49"/>
        <v>0.19500000000000001</v>
      </c>
      <c r="CO43" s="1">
        <f t="shared" si="50"/>
        <v>0.17599999999999999</v>
      </c>
      <c r="CP43" s="1">
        <f t="shared" si="51"/>
        <v>9.9000000000000005E-2</v>
      </c>
      <c r="CQ43" s="1">
        <f t="shared" si="52"/>
        <v>0.107</v>
      </c>
      <c r="CS43" s="1">
        <f t="shared" si="38"/>
        <v>9.9999999999999645E-2</v>
      </c>
      <c r="CT43" s="1">
        <f t="shared" si="39"/>
        <v>-3.3000000000000007</v>
      </c>
    </row>
    <row r="44" spans="1:98" x14ac:dyDescent="0.2">
      <c r="A44" s="8">
        <f t="shared" si="40"/>
        <v>43869</v>
      </c>
      <c r="B44" s="1">
        <v>39</v>
      </c>
      <c r="C44" s="1">
        <v>11</v>
      </c>
      <c r="D44" s="2">
        <v>12.84</v>
      </c>
      <c r="E44" s="2">
        <v>-6.0049999999999999</v>
      </c>
      <c r="F44" s="2">
        <v>-9.6</v>
      </c>
      <c r="G44" s="2">
        <v>-7.86</v>
      </c>
      <c r="H44" s="2">
        <v>90.3</v>
      </c>
      <c r="I44" s="2">
        <v>-0.70299999999999996</v>
      </c>
      <c r="J44" s="2">
        <v>-1.599</v>
      </c>
      <c r="K44" s="2">
        <v>-4.1000000000000002E-2</v>
      </c>
      <c r="L44" s="2">
        <v>0.85299999999999998</v>
      </c>
      <c r="M44" s="2">
        <v>1.5009999999999999</v>
      </c>
      <c r="N44" s="2">
        <v>-5.7270000000000003</v>
      </c>
      <c r="O44" s="2">
        <v>92.1</v>
      </c>
      <c r="P44" s="2">
        <v>-0.63600000000000001</v>
      </c>
      <c r="Q44" s="2">
        <v>-1.512</v>
      </c>
      <c r="R44" s="2">
        <v>3.7999999999999999E-2</v>
      </c>
      <c r="S44" s="2">
        <v>0.94399999999999995</v>
      </c>
      <c r="T44" s="2">
        <v>1.57</v>
      </c>
      <c r="U44" s="2">
        <v>-10.07</v>
      </c>
      <c r="V44" s="2">
        <v>88.6</v>
      </c>
      <c r="W44" s="2">
        <v>-0.77600000000000002</v>
      </c>
      <c r="X44" s="2">
        <v>-1.694</v>
      </c>
      <c r="Y44" s="2">
        <v>-0.123</v>
      </c>
      <c r="Z44" s="2">
        <v>0.77300000000000002</v>
      </c>
      <c r="AA44" s="2">
        <v>1.419</v>
      </c>
      <c r="AB44" s="2">
        <v>0.97299999999999998</v>
      </c>
      <c r="AC44" s="2">
        <v>0</v>
      </c>
      <c r="AD44" s="2">
        <v>0.95599999999999996</v>
      </c>
      <c r="AE44" s="2">
        <v>3.2890000000000001</v>
      </c>
      <c r="AF44" s="2">
        <v>1.266</v>
      </c>
      <c r="AG44" s="2">
        <v>3.3140000000000001</v>
      </c>
      <c r="AH44" s="2">
        <v>-8.2799999999999994</v>
      </c>
      <c r="AI44" s="2">
        <v>-5.96</v>
      </c>
      <c r="AJ44" s="2">
        <v>-10.85</v>
      </c>
      <c r="AK44" s="2">
        <v>-5.2880000000000003</v>
      </c>
      <c r="AL44" s="2">
        <v>-10.43</v>
      </c>
      <c r="AM44" s="2">
        <v>0.99099999999999999</v>
      </c>
      <c r="AN44" s="2" t="s">
        <v>122</v>
      </c>
      <c r="AO44" s="2">
        <v>765</v>
      </c>
      <c r="AP44" s="2">
        <v>692</v>
      </c>
      <c r="AQ44" s="2">
        <v>287</v>
      </c>
      <c r="AR44" s="2">
        <v>57</v>
      </c>
      <c r="AS44" s="2">
        <v>29</v>
      </c>
      <c r="AT44" s="2">
        <v>67</v>
      </c>
      <c r="AU44" s="2">
        <v>264</v>
      </c>
      <c r="AV44" s="2">
        <v>719</v>
      </c>
      <c r="AW44" s="2"/>
      <c r="AX44" s="1">
        <f t="shared" si="41"/>
        <v>1.577</v>
      </c>
      <c r="AY44" s="21">
        <f t="shared" si="42"/>
        <v>-0.8</v>
      </c>
      <c r="AZ44" s="5">
        <v>9.19</v>
      </c>
      <c r="BA44" s="1">
        <v>3.18</v>
      </c>
      <c r="BB44" s="1">
        <v>3.03</v>
      </c>
      <c r="BC44" s="6">
        <f t="shared" si="35"/>
        <v>0.95283018867924518</v>
      </c>
      <c r="BE44" s="30">
        <v>4</v>
      </c>
      <c r="BF44" s="27">
        <v>1617</v>
      </c>
      <c r="BG44" s="1">
        <f t="shared" si="2"/>
        <v>92.1</v>
      </c>
      <c r="BH44" s="1">
        <f t="shared" si="3"/>
        <v>90.3</v>
      </c>
      <c r="BI44" s="1">
        <f t="shared" si="4"/>
        <v>88.6</v>
      </c>
      <c r="BJ44" s="7">
        <f t="shared" si="5"/>
        <v>0.35299999999999998</v>
      </c>
      <c r="BK44" s="7">
        <f t="shared" si="6"/>
        <v>4.4999999999999998E-2</v>
      </c>
      <c r="BM44" s="5">
        <f t="shared" si="7"/>
        <v>3.18</v>
      </c>
      <c r="BN44" s="5">
        <f t="shared" si="8"/>
        <v>3.03</v>
      </c>
      <c r="BO44" s="1">
        <f t="shared" si="9"/>
        <v>-7.9</v>
      </c>
      <c r="BP44" s="1">
        <f t="shared" si="10"/>
        <v>-5.7</v>
      </c>
      <c r="BQ44" s="1">
        <f t="shared" si="11"/>
        <v>-10.1</v>
      </c>
      <c r="BR44" s="1">
        <f t="shared" si="12"/>
        <v>90.3</v>
      </c>
      <c r="BS44" s="1">
        <f t="shared" si="13"/>
        <v>88.6</v>
      </c>
      <c r="BT44" s="1">
        <f t="shared" si="14"/>
        <v>1.3</v>
      </c>
      <c r="BU44" s="1">
        <f t="shared" si="15"/>
        <v>3.3</v>
      </c>
      <c r="BV44" s="33">
        <f t="shared" si="16"/>
        <v>4</v>
      </c>
      <c r="BW44" s="34">
        <f t="shared" si="43"/>
        <v>1.617</v>
      </c>
      <c r="BX44" s="20">
        <f t="shared" si="18"/>
        <v>-0.8</v>
      </c>
      <c r="BY44" s="1">
        <f t="shared" si="19"/>
        <v>-8.3000000000000007</v>
      </c>
      <c r="BZ44" s="1">
        <f t="shared" si="20"/>
        <v>-6</v>
      </c>
      <c r="CA44" s="1">
        <f t="shared" si="21"/>
        <v>-10.9</v>
      </c>
      <c r="CB44" s="1">
        <f t="shared" si="22"/>
        <v>0</v>
      </c>
      <c r="CC44" s="1">
        <f t="shared" si="23"/>
        <v>0.9</v>
      </c>
      <c r="CD44" s="1">
        <f t="shared" si="24"/>
        <v>1.5</v>
      </c>
      <c r="CE44" s="1" t="str">
        <f t="shared" si="25"/>
        <v>NAN</v>
      </c>
      <c r="CF44" s="1">
        <f t="shared" si="36"/>
        <v>0.35299999999999998</v>
      </c>
      <c r="CG44" s="1">
        <f t="shared" si="37"/>
        <v>4.4999999999999998E-2</v>
      </c>
      <c r="CI44" s="1">
        <f t="shared" si="44"/>
        <v>2880</v>
      </c>
      <c r="CJ44" s="1">
        <f t="shared" si="45"/>
        <v>0.26600000000000001</v>
      </c>
      <c r="CK44" s="1">
        <f t="shared" si="46"/>
        <v>0.24</v>
      </c>
      <c r="CL44" s="1">
        <f t="shared" si="47"/>
        <v>0.1</v>
      </c>
      <c r="CM44" s="1">
        <f t="shared" si="48"/>
        <v>0.02</v>
      </c>
      <c r="CN44" s="1">
        <f t="shared" si="49"/>
        <v>0.01</v>
      </c>
      <c r="CO44" s="1">
        <f t="shared" si="50"/>
        <v>2.3E-2</v>
      </c>
      <c r="CP44" s="1">
        <f t="shared" si="51"/>
        <v>9.1999999999999998E-2</v>
      </c>
      <c r="CQ44" s="1">
        <f t="shared" si="52"/>
        <v>0.25</v>
      </c>
      <c r="CS44" s="1">
        <f t="shared" si="38"/>
        <v>-0.29999999999999982</v>
      </c>
      <c r="CT44" s="1">
        <f t="shared" si="39"/>
        <v>-0.80000000000000071</v>
      </c>
    </row>
    <row r="45" spans="1:98" x14ac:dyDescent="0.2">
      <c r="A45" s="8">
        <f t="shared" si="40"/>
        <v>43870</v>
      </c>
      <c r="B45" s="1">
        <v>40</v>
      </c>
      <c r="C45" s="1">
        <v>11</v>
      </c>
      <c r="D45" s="2">
        <v>12.83</v>
      </c>
      <c r="E45" s="2">
        <v>-4.9160000000000004</v>
      </c>
      <c r="F45" s="2">
        <v>-11.79</v>
      </c>
      <c r="G45" s="2">
        <v>-7.4349999999999996</v>
      </c>
      <c r="H45" s="2">
        <v>90.5</v>
      </c>
      <c r="I45" s="2">
        <v>-0.66500000000000004</v>
      </c>
      <c r="J45" s="2">
        <v>-1.4990000000000001</v>
      </c>
      <c r="K45" s="2">
        <v>-3.7999999999999999E-2</v>
      </c>
      <c r="L45" s="2">
        <v>0.85299999999999998</v>
      </c>
      <c r="M45" s="2">
        <v>1.494</v>
      </c>
      <c r="N45" s="2">
        <v>-4.4080000000000004</v>
      </c>
      <c r="O45" s="2">
        <v>92.9</v>
      </c>
      <c r="P45" s="2">
        <v>-0.57799999999999996</v>
      </c>
      <c r="Q45" s="2">
        <v>-1.395</v>
      </c>
      <c r="R45" s="2">
        <v>4.9000000000000002E-2</v>
      </c>
      <c r="S45" s="2">
        <v>0.93899999999999995</v>
      </c>
      <c r="T45" s="2">
        <v>1.573</v>
      </c>
      <c r="U45" s="2">
        <v>-12.65</v>
      </c>
      <c r="V45" s="2">
        <v>86.2</v>
      </c>
      <c r="W45" s="2">
        <v>-0.78400000000000003</v>
      </c>
      <c r="X45" s="2">
        <v>-1.627</v>
      </c>
      <c r="Y45" s="2">
        <v>-0.15</v>
      </c>
      <c r="Z45" s="2">
        <v>0.745</v>
      </c>
      <c r="AA45" s="2">
        <v>1.399</v>
      </c>
      <c r="AB45" s="2">
        <v>1.02</v>
      </c>
      <c r="AC45" s="2">
        <v>0</v>
      </c>
      <c r="AD45" s="2">
        <v>0.69299999999999995</v>
      </c>
      <c r="AE45" s="2">
        <v>2.0720000000000001</v>
      </c>
      <c r="AF45" s="2">
        <v>1.071</v>
      </c>
      <c r="AG45" s="2">
        <v>4.1879999999999997</v>
      </c>
      <c r="AH45" s="2">
        <v>-8.19</v>
      </c>
      <c r="AI45" s="2">
        <v>-4.6139999999999999</v>
      </c>
      <c r="AJ45" s="2">
        <v>-17.09</v>
      </c>
      <c r="AK45" s="2">
        <v>-3.7559999999999998</v>
      </c>
      <c r="AL45" s="2">
        <v>-14.36</v>
      </c>
      <c r="AM45" s="2">
        <v>1.032</v>
      </c>
      <c r="AN45" s="2" t="s">
        <v>122</v>
      </c>
      <c r="AO45" s="2">
        <v>531</v>
      </c>
      <c r="AP45" s="2">
        <v>310</v>
      </c>
      <c r="AQ45" s="2">
        <v>117</v>
      </c>
      <c r="AR45" s="2">
        <v>58</v>
      </c>
      <c r="AS45" s="2">
        <v>88</v>
      </c>
      <c r="AT45" s="2">
        <v>284</v>
      </c>
      <c r="AU45" s="2">
        <v>753</v>
      </c>
      <c r="AV45" s="2">
        <v>739</v>
      </c>
      <c r="AW45" s="2"/>
      <c r="AX45" s="1">
        <f t="shared" si="41"/>
        <v>1.5299999999999998</v>
      </c>
      <c r="AY45" s="21">
        <f t="shared" si="42"/>
        <v>-0.7</v>
      </c>
      <c r="AZ45" s="5">
        <v>9.3699999999999992</v>
      </c>
      <c r="BA45" s="1">
        <v>2.0099999999999998</v>
      </c>
      <c r="BB45" s="1">
        <v>1.91</v>
      </c>
      <c r="BC45" s="6">
        <f t="shared" si="35"/>
        <v>0.95024875621890559</v>
      </c>
      <c r="BE45" s="30">
        <v>0</v>
      </c>
      <c r="BF45" s="27">
        <v>1569.9999999999998</v>
      </c>
      <c r="BG45" s="1">
        <f t="shared" si="2"/>
        <v>92.9</v>
      </c>
      <c r="BH45" s="1">
        <f t="shared" si="3"/>
        <v>90.5</v>
      </c>
      <c r="BI45" s="1">
        <f t="shared" si="4"/>
        <v>86.2</v>
      </c>
      <c r="BJ45" s="7">
        <f t="shared" si="5"/>
        <v>0.379</v>
      </c>
      <c r="BK45" s="7">
        <f t="shared" si="6"/>
        <v>6.0999999999999999E-2</v>
      </c>
      <c r="BM45" s="5">
        <f t="shared" si="7"/>
        <v>2.0099999999999998</v>
      </c>
      <c r="BN45" s="5">
        <f t="shared" si="8"/>
        <v>1.91</v>
      </c>
      <c r="BO45" s="1">
        <f t="shared" si="9"/>
        <v>-7.4</v>
      </c>
      <c r="BP45" s="1">
        <f t="shared" si="10"/>
        <v>-4.4000000000000004</v>
      </c>
      <c r="BQ45" s="1">
        <f t="shared" si="11"/>
        <v>-12.7</v>
      </c>
      <c r="BR45" s="1">
        <f t="shared" si="12"/>
        <v>90.5</v>
      </c>
      <c r="BS45" s="1">
        <f t="shared" si="13"/>
        <v>86.2</v>
      </c>
      <c r="BT45" s="1">
        <f t="shared" si="14"/>
        <v>1.1000000000000001</v>
      </c>
      <c r="BU45" s="1">
        <f t="shared" si="15"/>
        <v>4.2</v>
      </c>
      <c r="BV45" s="33">
        <f t="shared" si="16"/>
        <v>0</v>
      </c>
      <c r="BW45" s="34">
        <f t="shared" si="43"/>
        <v>1.57</v>
      </c>
      <c r="BX45" s="20">
        <f t="shared" si="18"/>
        <v>-0.7</v>
      </c>
      <c r="BY45" s="1">
        <f t="shared" si="19"/>
        <v>-8.1999999999999993</v>
      </c>
      <c r="BZ45" s="1">
        <f t="shared" si="20"/>
        <v>-4.5999999999999996</v>
      </c>
      <c r="CA45" s="1">
        <f t="shared" si="21"/>
        <v>-17.100000000000001</v>
      </c>
      <c r="CB45" s="1">
        <f t="shared" si="22"/>
        <v>0</v>
      </c>
      <c r="CC45" s="1">
        <f t="shared" si="23"/>
        <v>0.9</v>
      </c>
      <c r="CD45" s="1">
        <f t="shared" si="24"/>
        <v>1.5</v>
      </c>
      <c r="CE45" s="1" t="str">
        <f t="shared" si="25"/>
        <v>NAN</v>
      </c>
      <c r="CF45" s="1">
        <f t="shared" si="36"/>
        <v>0.379</v>
      </c>
      <c r="CG45" s="1">
        <f t="shared" si="37"/>
        <v>6.0999999999999999E-2</v>
      </c>
      <c r="CI45" s="1">
        <f t="shared" si="44"/>
        <v>2880</v>
      </c>
      <c r="CJ45" s="1">
        <f t="shared" si="45"/>
        <v>0.184</v>
      </c>
      <c r="CK45" s="1">
        <f t="shared" si="46"/>
        <v>0.108</v>
      </c>
      <c r="CL45" s="1">
        <f t="shared" si="47"/>
        <v>4.1000000000000002E-2</v>
      </c>
      <c r="CM45" s="1">
        <f t="shared" si="48"/>
        <v>0.02</v>
      </c>
      <c r="CN45" s="1">
        <f t="shared" si="49"/>
        <v>3.1E-2</v>
      </c>
      <c r="CO45" s="1">
        <f t="shared" si="50"/>
        <v>9.9000000000000005E-2</v>
      </c>
      <c r="CP45" s="1">
        <f t="shared" si="51"/>
        <v>0.26100000000000001</v>
      </c>
      <c r="CQ45" s="1">
        <f t="shared" si="52"/>
        <v>0.25700000000000001</v>
      </c>
      <c r="CS45" s="1">
        <f t="shared" si="38"/>
        <v>-0.19999999999999929</v>
      </c>
      <c r="CT45" s="1">
        <f t="shared" si="39"/>
        <v>-4.4000000000000021</v>
      </c>
    </row>
    <row r="46" spans="1:98" x14ac:dyDescent="0.2">
      <c r="A46" s="8">
        <f t="shared" si="40"/>
        <v>43871</v>
      </c>
      <c r="B46" s="1">
        <v>41</v>
      </c>
      <c r="C46" s="1">
        <v>11</v>
      </c>
      <c r="D46" s="2">
        <v>12.83</v>
      </c>
      <c r="E46" s="2">
        <v>-3.9220000000000002</v>
      </c>
      <c r="F46" s="2">
        <v>-7.5049999999999999</v>
      </c>
      <c r="G46" s="2">
        <v>-6.2629999999999999</v>
      </c>
      <c r="H46" s="2">
        <v>91.3</v>
      </c>
      <c r="I46" s="2">
        <v>-0.622</v>
      </c>
      <c r="J46" s="2">
        <v>-1.41</v>
      </c>
      <c r="K46" s="2">
        <v>-0.03</v>
      </c>
      <c r="L46" s="2">
        <v>0.85499999999999998</v>
      </c>
      <c r="M46" s="2">
        <v>1.4970000000000001</v>
      </c>
      <c r="N46" s="2">
        <v>-4.476</v>
      </c>
      <c r="O46" s="2">
        <v>92.9</v>
      </c>
      <c r="P46" s="2">
        <v>-0.54200000000000004</v>
      </c>
      <c r="Q46" s="2">
        <v>-1.321</v>
      </c>
      <c r="R46" s="2">
        <v>3.6999999999999998E-2</v>
      </c>
      <c r="S46" s="2">
        <v>0.93300000000000005</v>
      </c>
      <c r="T46" s="2">
        <v>1.5680000000000001</v>
      </c>
      <c r="U46" s="2">
        <v>-7.9349999999999996</v>
      </c>
      <c r="V46" s="2">
        <v>89</v>
      </c>
      <c r="W46" s="2">
        <v>-0.71</v>
      </c>
      <c r="X46" s="2">
        <v>-1.496</v>
      </c>
      <c r="Y46" s="2">
        <v>-0.105</v>
      </c>
      <c r="Z46" s="2">
        <v>0.76400000000000001</v>
      </c>
      <c r="AA46" s="2">
        <v>1.407</v>
      </c>
      <c r="AB46" s="2">
        <v>1.0669999999999999</v>
      </c>
      <c r="AC46" s="2">
        <v>0</v>
      </c>
      <c r="AD46" s="2">
        <v>1.9890000000000001</v>
      </c>
      <c r="AE46" s="2">
        <v>5.2249999999999996</v>
      </c>
      <c r="AF46" s="2">
        <v>0.95599999999999996</v>
      </c>
      <c r="AG46" s="2">
        <v>4.1100000000000003</v>
      </c>
      <c r="AH46" s="2">
        <v>-6.9480000000000004</v>
      </c>
      <c r="AI46" s="2">
        <v>-2.9039999999999999</v>
      </c>
      <c r="AJ46" s="2">
        <v>-11.23</v>
      </c>
      <c r="AK46" s="2">
        <v>-1.857</v>
      </c>
      <c r="AL46" s="2">
        <v>-8.1300000000000008</v>
      </c>
      <c r="AM46" s="2">
        <v>1.0780000000000001</v>
      </c>
      <c r="AN46" s="2" t="s">
        <v>122</v>
      </c>
      <c r="AO46" s="2">
        <v>474</v>
      </c>
      <c r="AP46" s="2">
        <v>305</v>
      </c>
      <c r="AQ46" s="2">
        <v>194</v>
      </c>
      <c r="AR46" s="2">
        <v>118</v>
      </c>
      <c r="AS46" s="2">
        <v>145</v>
      </c>
      <c r="AT46" s="2">
        <v>296</v>
      </c>
      <c r="AU46" s="2">
        <v>597</v>
      </c>
      <c r="AV46" s="2">
        <v>751</v>
      </c>
      <c r="AW46" s="2"/>
      <c r="AX46" s="1">
        <f t="shared" si="41"/>
        <v>1.4829999999999999</v>
      </c>
      <c r="AY46" s="21">
        <f t="shared" si="42"/>
        <v>-0.7</v>
      </c>
      <c r="AZ46" s="5">
        <v>9.5500000000000007</v>
      </c>
      <c r="BA46" s="1">
        <v>5.0599999999999996</v>
      </c>
      <c r="BB46" s="1">
        <v>4.8099999999999996</v>
      </c>
      <c r="BC46" s="6">
        <f t="shared" si="35"/>
        <v>0.95059288537549402</v>
      </c>
      <c r="BE46" s="30">
        <v>0</v>
      </c>
      <c r="BF46" s="27">
        <v>1523</v>
      </c>
      <c r="BG46" s="1">
        <f t="shared" si="2"/>
        <v>92.9</v>
      </c>
      <c r="BH46" s="1">
        <f t="shared" si="3"/>
        <v>91.3</v>
      </c>
      <c r="BI46" s="1">
        <f t="shared" si="4"/>
        <v>89</v>
      </c>
      <c r="BJ46" s="7">
        <f t="shared" si="5"/>
        <v>0.39</v>
      </c>
      <c r="BK46" s="7">
        <f t="shared" si="6"/>
        <v>4.8000000000000001E-2</v>
      </c>
      <c r="BM46" s="5">
        <f t="shared" si="7"/>
        <v>5.0599999999999996</v>
      </c>
      <c r="BN46" s="5">
        <f t="shared" si="8"/>
        <v>4.8099999999999996</v>
      </c>
      <c r="BO46" s="1">
        <f t="shared" si="9"/>
        <v>-6.3</v>
      </c>
      <c r="BP46" s="1">
        <f t="shared" si="10"/>
        <v>-4.5</v>
      </c>
      <c r="BQ46" s="1">
        <f t="shared" si="11"/>
        <v>-7.9</v>
      </c>
      <c r="BR46" s="1">
        <f t="shared" si="12"/>
        <v>91.3</v>
      </c>
      <c r="BS46" s="1">
        <f t="shared" si="13"/>
        <v>89</v>
      </c>
      <c r="BT46" s="1">
        <f t="shared" si="14"/>
        <v>1</v>
      </c>
      <c r="BU46" s="1">
        <f t="shared" si="15"/>
        <v>4.0999999999999996</v>
      </c>
      <c r="BV46" s="33">
        <f t="shared" si="16"/>
        <v>0</v>
      </c>
      <c r="BW46" s="34">
        <f t="shared" si="43"/>
        <v>1.5229999999999999</v>
      </c>
      <c r="BX46" s="20">
        <f t="shared" si="18"/>
        <v>-0.7</v>
      </c>
      <c r="BY46" s="1">
        <f t="shared" si="19"/>
        <v>-6.9</v>
      </c>
      <c r="BZ46" s="1">
        <f t="shared" si="20"/>
        <v>-2.9</v>
      </c>
      <c r="CA46" s="1">
        <f t="shared" si="21"/>
        <v>-11.2</v>
      </c>
      <c r="CB46" s="1">
        <f t="shared" si="22"/>
        <v>0</v>
      </c>
      <c r="CC46" s="1">
        <f t="shared" si="23"/>
        <v>0.9</v>
      </c>
      <c r="CD46" s="1">
        <f t="shared" si="24"/>
        <v>1.5</v>
      </c>
      <c r="CE46" s="1" t="str">
        <f t="shared" si="25"/>
        <v>NAN</v>
      </c>
      <c r="CF46" s="1">
        <f t="shared" si="36"/>
        <v>0.39</v>
      </c>
      <c r="CG46" s="1">
        <f t="shared" si="37"/>
        <v>4.8000000000000001E-2</v>
      </c>
      <c r="CI46" s="1">
        <f t="shared" si="44"/>
        <v>2880</v>
      </c>
      <c r="CJ46" s="1">
        <f t="shared" si="45"/>
        <v>0.16500000000000001</v>
      </c>
      <c r="CK46" s="1">
        <f t="shared" si="46"/>
        <v>0.106</v>
      </c>
      <c r="CL46" s="1">
        <f t="shared" si="47"/>
        <v>6.7000000000000004E-2</v>
      </c>
      <c r="CM46" s="1">
        <f t="shared" si="48"/>
        <v>4.1000000000000002E-2</v>
      </c>
      <c r="CN46" s="1">
        <f t="shared" si="49"/>
        <v>0.05</v>
      </c>
      <c r="CO46" s="1">
        <f t="shared" si="50"/>
        <v>0.10299999999999999</v>
      </c>
      <c r="CP46" s="1">
        <f t="shared" si="51"/>
        <v>0.20699999999999999</v>
      </c>
      <c r="CQ46" s="1">
        <f t="shared" si="52"/>
        <v>0.26100000000000001</v>
      </c>
      <c r="CS46" s="1">
        <f t="shared" si="38"/>
        <v>1.6</v>
      </c>
      <c r="CT46" s="1">
        <f t="shared" si="39"/>
        <v>-3.2999999999999989</v>
      </c>
    </row>
    <row r="47" spans="1:98" x14ac:dyDescent="0.2">
      <c r="A47" s="8">
        <f t="shared" si="40"/>
        <v>43872</v>
      </c>
      <c r="B47" s="1">
        <v>42</v>
      </c>
      <c r="C47" s="1">
        <v>11</v>
      </c>
      <c r="D47" s="2">
        <v>12.88</v>
      </c>
      <c r="E47" s="2">
        <v>-1.5</v>
      </c>
      <c r="F47" s="2">
        <v>-6.7080000000000002</v>
      </c>
      <c r="G47" s="2">
        <v>-4.7039999999999997</v>
      </c>
      <c r="H47" s="2">
        <v>89.3</v>
      </c>
      <c r="I47" s="2">
        <v>-0.59</v>
      </c>
      <c r="J47" s="2">
        <v>-1.343</v>
      </c>
      <c r="K47" s="2">
        <v>-2.5999999999999999E-2</v>
      </c>
      <c r="L47" s="2">
        <v>0.85499999999999998</v>
      </c>
      <c r="M47" s="2">
        <v>1.4970000000000001</v>
      </c>
      <c r="N47" s="2">
        <v>-2.0099999999999998</v>
      </c>
      <c r="O47" s="2">
        <v>92.5</v>
      </c>
      <c r="P47" s="2">
        <v>-0.51600000000000001</v>
      </c>
      <c r="Q47" s="2">
        <v>-1.2549999999999999</v>
      </c>
      <c r="R47" s="2">
        <v>5.6000000000000001E-2</v>
      </c>
      <c r="S47" s="2">
        <v>0.93700000000000006</v>
      </c>
      <c r="T47" s="2">
        <v>1.591</v>
      </c>
      <c r="U47" s="2">
        <v>-6.3739999999999997</v>
      </c>
      <c r="V47" s="2">
        <v>78.97</v>
      </c>
      <c r="W47" s="2">
        <v>-0.67500000000000004</v>
      </c>
      <c r="X47" s="2">
        <v>-1.4319999999999999</v>
      </c>
      <c r="Y47" s="2">
        <v>-0.111</v>
      </c>
      <c r="Z47" s="2">
        <v>0.76200000000000001</v>
      </c>
      <c r="AA47" s="2">
        <v>1.409</v>
      </c>
      <c r="AB47" s="2">
        <v>1.111</v>
      </c>
      <c r="AC47" s="2">
        <v>0</v>
      </c>
      <c r="AD47" s="2">
        <v>4.4130000000000003</v>
      </c>
      <c r="AE47" s="2">
        <v>5.3529999999999998</v>
      </c>
      <c r="AF47" s="2">
        <v>2.1389999999999998</v>
      </c>
      <c r="AG47" s="2">
        <v>6.82</v>
      </c>
      <c r="AH47" s="2">
        <v>-5.4290000000000003</v>
      </c>
      <c r="AI47" s="2">
        <v>1.1399999999999999</v>
      </c>
      <c r="AJ47" s="2">
        <v>-9.9700000000000006</v>
      </c>
      <c r="AK47" s="2">
        <v>1.2569999999999999</v>
      </c>
      <c r="AL47" s="2">
        <v>-6.5880000000000001</v>
      </c>
      <c r="AM47" s="2">
        <v>1.123</v>
      </c>
      <c r="AN47" s="2" t="s">
        <v>122</v>
      </c>
      <c r="AO47" s="2">
        <v>359</v>
      </c>
      <c r="AP47" s="2">
        <v>120</v>
      </c>
      <c r="AQ47" s="2">
        <v>88</v>
      </c>
      <c r="AR47" s="2">
        <v>81</v>
      </c>
      <c r="AS47" s="2">
        <v>147</v>
      </c>
      <c r="AT47" s="2">
        <v>260</v>
      </c>
      <c r="AU47" s="2">
        <v>849</v>
      </c>
      <c r="AV47" s="2">
        <v>976</v>
      </c>
      <c r="AW47" s="2"/>
      <c r="AX47" s="1">
        <f t="shared" si="41"/>
        <v>1.4389999999999998</v>
      </c>
      <c r="AY47" s="21">
        <f t="shared" si="42"/>
        <v>-0.7</v>
      </c>
      <c r="AZ47" s="5">
        <v>9.74</v>
      </c>
      <c r="BA47" s="1">
        <v>5.42</v>
      </c>
      <c r="BB47" s="1">
        <v>4.93</v>
      </c>
      <c r="BC47" s="6">
        <f t="shared" si="35"/>
        <v>0.90959409594095941</v>
      </c>
      <c r="BE47" s="30">
        <v>0</v>
      </c>
      <c r="BF47" s="27">
        <v>1478.9999999999998</v>
      </c>
      <c r="BG47" s="1">
        <f t="shared" si="2"/>
        <v>92.5</v>
      </c>
      <c r="BH47" s="1">
        <f t="shared" si="3"/>
        <v>89.3</v>
      </c>
      <c r="BI47" s="1">
        <f t="shared" si="4"/>
        <v>79</v>
      </c>
      <c r="BJ47" s="7">
        <f t="shared" si="5"/>
        <v>0.41599999999999998</v>
      </c>
      <c r="BK47" s="7">
        <f t="shared" si="6"/>
        <v>0.111</v>
      </c>
      <c r="BM47" s="5">
        <f t="shared" si="7"/>
        <v>5.42</v>
      </c>
      <c r="BN47" s="5">
        <f t="shared" si="8"/>
        <v>4.93</v>
      </c>
      <c r="BO47" s="1">
        <f t="shared" si="9"/>
        <v>-4.7</v>
      </c>
      <c r="BP47" s="1">
        <f t="shared" si="10"/>
        <v>-2</v>
      </c>
      <c r="BQ47" s="1">
        <f t="shared" si="11"/>
        <v>-6.4</v>
      </c>
      <c r="BR47" s="1">
        <f t="shared" si="12"/>
        <v>89.3</v>
      </c>
      <c r="BS47" s="1">
        <f t="shared" si="13"/>
        <v>79</v>
      </c>
      <c r="BT47" s="1">
        <f t="shared" si="14"/>
        <v>2.1</v>
      </c>
      <c r="BU47" s="1">
        <f t="shared" si="15"/>
        <v>6.8</v>
      </c>
      <c r="BV47" s="33">
        <f t="shared" si="16"/>
        <v>0</v>
      </c>
      <c r="BW47" s="34">
        <f t="shared" si="43"/>
        <v>1.4790000000000001</v>
      </c>
      <c r="BX47" s="20">
        <f t="shared" si="18"/>
        <v>-0.7</v>
      </c>
      <c r="BY47" s="1">
        <f t="shared" si="19"/>
        <v>-5.4</v>
      </c>
      <c r="BZ47" s="1">
        <f t="shared" si="20"/>
        <v>1.1000000000000001</v>
      </c>
      <c r="CA47" s="1">
        <f t="shared" si="21"/>
        <v>-10</v>
      </c>
      <c r="CB47" s="1">
        <f t="shared" si="22"/>
        <v>0</v>
      </c>
      <c r="CC47" s="1">
        <f t="shared" si="23"/>
        <v>0.9</v>
      </c>
      <c r="CD47" s="1">
        <f t="shared" si="24"/>
        <v>1.5</v>
      </c>
      <c r="CE47" s="1" t="str">
        <f t="shared" si="25"/>
        <v>NAN</v>
      </c>
      <c r="CF47" s="1">
        <f t="shared" si="36"/>
        <v>0.41599999999999998</v>
      </c>
      <c r="CG47" s="1">
        <f t="shared" si="37"/>
        <v>0.111</v>
      </c>
      <c r="CI47" s="1">
        <f t="shared" si="44"/>
        <v>2880</v>
      </c>
      <c r="CJ47" s="1">
        <f t="shared" si="45"/>
        <v>0.125</v>
      </c>
      <c r="CK47" s="1">
        <f t="shared" si="46"/>
        <v>4.2000000000000003E-2</v>
      </c>
      <c r="CL47" s="1">
        <f t="shared" si="47"/>
        <v>3.1E-2</v>
      </c>
      <c r="CM47" s="1">
        <f t="shared" si="48"/>
        <v>2.8000000000000001E-2</v>
      </c>
      <c r="CN47" s="1">
        <f t="shared" si="49"/>
        <v>5.0999999999999997E-2</v>
      </c>
      <c r="CO47" s="1">
        <f t="shared" si="50"/>
        <v>0.09</v>
      </c>
      <c r="CP47" s="1">
        <f t="shared" si="51"/>
        <v>0.29499999999999998</v>
      </c>
      <c r="CQ47" s="1">
        <f t="shared" si="52"/>
        <v>0.33900000000000002</v>
      </c>
      <c r="CS47" s="1">
        <f t="shared" si="38"/>
        <v>3.1</v>
      </c>
      <c r="CT47" s="1">
        <f t="shared" si="39"/>
        <v>-3.5999999999999996</v>
      </c>
    </row>
    <row r="48" spans="1:98" x14ac:dyDescent="0.2">
      <c r="A48" s="8">
        <f t="shared" si="40"/>
        <v>43873</v>
      </c>
      <c r="B48" s="1">
        <v>43</v>
      </c>
      <c r="C48" s="1">
        <v>11</v>
      </c>
      <c r="D48" s="2">
        <v>13.18</v>
      </c>
      <c r="E48" s="2">
        <v>0.52200000000000002</v>
      </c>
      <c r="F48" s="2">
        <v>-8.5500000000000007</v>
      </c>
      <c r="G48" s="2">
        <v>-5.22</v>
      </c>
      <c r="H48" s="2">
        <v>81</v>
      </c>
      <c r="I48" s="2">
        <v>-0.58799999999999997</v>
      </c>
      <c r="J48" s="2">
        <v>-1.3089999999999999</v>
      </c>
      <c r="K48" s="2">
        <v>-4.8000000000000001E-2</v>
      </c>
      <c r="L48" s="2">
        <v>0.82699999999999996</v>
      </c>
      <c r="M48" s="2">
        <v>1.4750000000000001</v>
      </c>
      <c r="N48" s="2">
        <v>0.63100000000000001</v>
      </c>
      <c r="O48" s="2">
        <v>91.6</v>
      </c>
      <c r="P48" s="2">
        <v>-0.48399999999999999</v>
      </c>
      <c r="Q48" s="2">
        <v>-1.21</v>
      </c>
      <c r="R48" s="2">
        <v>5.8999999999999997E-2</v>
      </c>
      <c r="S48" s="2">
        <v>0.91900000000000004</v>
      </c>
      <c r="T48" s="2">
        <v>1.5920000000000001</v>
      </c>
      <c r="U48" s="2">
        <v>-7.827</v>
      </c>
      <c r="V48" s="2">
        <v>53.94</v>
      </c>
      <c r="W48" s="2">
        <v>-0.68799999999999994</v>
      </c>
      <c r="X48" s="2">
        <v>-1.4</v>
      </c>
      <c r="Y48" s="2">
        <v>-0.15</v>
      </c>
      <c r="Z48" s="2">
        <v>0.69899999999999995</v>
      </c>
      <c r="AA48" s="2">
        <v>1.369</v>
      </c>
      <c r="AB48" s="2">
        <v>1.1339999999999999</v>
      </c>
      <c r="AC48" s="2">
        <v>0</v>
      </c>
      <c r="AD48" s="2">
        <v>8.0399999999999991</v>
      </c>
      <c r="AE48" s="2">
        <v>8.9</v>
      </c>
      <c r="AF48" s="2">
        <v>0.98499999999999999</v>
      </c>
      <c r="AG48" s="2">
        <v>3.1949999999999998</v>
      </c>
      <c r="AH48" s="2">
        <v>-7.7220000000000004</v>
      </c>
      <c r="AI48" s="2">
        <v>0.316</v>
      </c>
      <c r="AJ48" s="2">
        <v>-12.1</v>
      </c>
      <c r="AK48" s="2">
        <v>5.9210000000000003</v>
      </c>
      <c r="AL48" s="2">
        <v>-8.07</v>
      </c>
      <c r="AM48" s="2">
        <v>1.1459999999999999</v>
      </c>
      <c r="AN48" s="2" t="s">
        <v>122</v>
      </c>
      <c r="AO48" s="2">
        <v>546</v>
      </c>
      <c r="AP48" s="2">
        <v>352</v>
      </c>
      <c r="AQ48" s="2">
        <v>703</v>
      </c>
      <c r="AR48" s="2">
        <v>209</v>
      </c>
      <c r="AS48" s="2">
        <v>44</v>
      </c>
      <c r="AT48" s="2">
        <v>77</v>
      </c>
      <c r="AU48" s="2">
        <v>330</v>
      </c>
      <c r="AV48" s="2">
        <v>619</v>
      </c>
      <c r="AW48" s="2"/>
      <c r="AX48" s="1">
        <f t="shared" si="41"/>
        <v>1.4159999999999999</v>
      </c>
      <c r="AY48" s="21">
        <f t="shared" si="42"/>
        <v>-0.6</v>
      </c>
      <c r="AZ48" s="5">
        <v>9.92</v>
      </c>
      <c r="BA48" s="1">
        <v>8.6</v>
      </c>
      <c r="BB48" s="1">
        <v>8.19</v>
      </c>
      <c r="BC48" s="6">
        <f t="shared" si="35"/>
        <v>0.95232558139534884</v>
      </c>
      <c r="BE48" s="30">
        <v>0</v>
      </c>
      <c r="BF48" s="27">
        <v>1456</v>
      </c>
      <c r="BG48" s="1">
        <f t="shared" si="2"/>
        <v>91.6</v>
      </c>
      <c r="BH48" s="1">
        <f t="shared" si="3"/>
        <v>81</v>
      </c>
      <c r="BI48" s="1">
        <f t="shared" si="4"/>
        <v>53.9</v>
      </c>
      <c r="BJ48" s="7">
        <f t="shared" si="5"/>
        <v>0.34399999999999997</v>
      </c>
      <c r="BK48" s="7">
        <f t="shared" si="6"/>
        <v>0.29399999999999998</v>
      </c>
      <c r="BM48" s="5">
        <f t="shared" si="7"/>
        <v>8.6</v>
      </c>
      <c r="BN48" s="5">
        <f t="shared" si="8"/>
        <v>8.19</v>
      </c>
      <c r="BO48" s="1">
        <f t="shared" si="9"/>
        <v>-5.2</v>
      </c>
      <c r="BP48" s="1">
        <f t="shared" si="10"/>
        <v>0.6</v>
      </c>
      <c r="BQ48" s="1">
        <f t="shared" si="11"/>
        <v>-7.8</v>
      </c>
      <c r="BR48" s="1">
        <f t="shared" si="12"/>
        <v>81</v>
      </c>
      <c r="BS48" s="1">
        <f t="shared" si="13"/>
        <v>53.9</v>
      </c>
      <c r="BT48" s="1">
        <f t="shared" si="14"/>
        <v>1</v>
      </c>
      <c r="BU48" s="1">
        <f t="shared" si="15"/>
        <v>3.2</v>
      </c>
      <c r="BV48" s="33">
        <f t="shared" si="16"/>
        <v>0</v>
      </c>
      <c r="BW48" s="34">
        <f t="shared" si="43"/>
        <v>1.456</v>
      </c>
      <c r="BX48" s="20">
        <f t="shared" si="18"/>
        <v>-0.6</v>
      </c>
      <c r="BY48" s="1">
        <f t="shared" si="19"/>
        <v>-7.7</v>
      </c>
      <c r="BZ48" s="1">
        <f t="shared" si="20"/>
        <v>0.3</v>
      </c>
      <c r="CA48" s="1">
        <f t="shared" si="21"/>
        <v>-12.1</v>
      </c>
      <c r="CB48" s="1">
        <f t="shared" si="22"/>
        <v>0</v>
      </c>
      <c r="CC48" s="1">
        <f t="shared" si="23"/>
        <v>0.8</v>
      </c>
      <c r="CD48" s="1">
        <f t="shared" si="24"/>
        <v>1.5</v>
      </c>
      <c r="CE48" s="1" t="str">
        <f t="shared" si="25"/>
        <v>NAN</v>
      </c>
      <c r="CF48" s="1">
        <f t="shared" si="36"/>
        <v>0.34399999999999997</v>
      </c>
      <c r="CG48" s="1">
        <f t="shared" si="37"/>
        <v>0.29399999999999998</v>
      </c>
      <c r="CI48" s="1">
        <f t="shared" si="44"/>
        <v>2880</v>
      </c>
      <c r="CJ48" s="1">
        <f t="shared" si="45"/>
        <v>0.19</v>
      </c>
      <c r="CK48" s="1">
        <f t="shared" si="46"/>
        <v>0.122</v>
      </c>
      <c r="CL48" s="1">
        <f t="shared" si="47"/>
        <v>0.24399999999999999</v>
      </c>
      <c r="CM48" s="1">
        <f t="shared" si="48"/>
        <v>7.2999999999999995E-2</v>
      </c>
      <c r="CN48" s="1">
        <f t="shared" si="49"/>
        <v>1.4999999999999999E-2</v>
      </c>
      <c r="CO48" s="1">
        <f t="shared" si="50"/>
        <v>2.7E-2</v>
      </c>
      <c r="CP48" s="1">
        <f t="shared" si="51"/>
        <v>0.115</v>
      </c>
      <c r="CQ48" s="1">
        <f t="shared" si="52"/>
        <v>0.215</v>
      </c>
      <c r="CS48" s="1">
        <f t="shared" si="38"/>
        <v>-0.3</v>
      </c>
      <c r="CT48" s="1">
        <f t="shared" si="39"/>
        <v>-4.3</v>
      </c>
    </row>
    <row r="49" spans="1:98" x14ac:dyDescent="0.2">
      <c r="A49" s="8">
        <f t="shared" si="40"/>
        <v>43874</v>
      </c>
      <c r="B49" s="1">
        <v>44</v>
      </c>
      <c r="C49" s="1">
        <v>11</v>
      </c>
      <c r="D49" s="2">
        <v>13.1</v>
      </c>
      <c r="E49" s="2">
        <v>-3.5129999999999999</v>
      </c>
      <c r="F49" s="2">
        <v>-8.69</v>
      </c>
      <c r="G49" s="2">
        <v>-5.984</v>
      </c>
      <c r="H49" s="2">
        <v>87.2</v>
      </c>
      <c r="I49" s="2">
        <v>-0.55500000000000005</v>
      </c>
      <c r="J49" s="2">
        <v>-1.248</v>
      </c>
      <c r="K49" s="2">
        <v>-3.4000000000000002E-2</v>
      </c>
      <c r="L49" s="2">
        <v>0.83799999999999997</v>
      </c>
      <c r="M49" s="2">
        <v>1.4710000000000001</v>
      </c>
      <c r="N49" s="2">
        <v>-3.3620000000000001</v>
      </c>
      <c r="O49" s="2">
        <v>95</v>
      </c>
      <c r="P49" s="2">
        <v>-0.46800000000000003</v>
      </c>
      <c r="Q49" s="2">
        <v>-1.1679999999999999</v>
      </c>
      <c r="R49" s="2">
        <v>3.5999999999999997E-2</v>
      </c>
      <c r="S49" s="2">
        <v>0.91600000000000004</v>
      </c>
      <c r="T49" s="2">
        <v>1.5569999999999999</v>
      </c>
      <c r="U49" s="2">
        <v>-8.3000000000000007</v>
      </c>
      <c r="V49" s="2">
        <v>66.75</v>
      </c>
      <c r="W49" s="2">
        <v>-0.63600000000000001</v>
      </c>
      <c r="X49" s="2">
        <v>-1.3320000000000001</v>
      </c>
      <c r="Y49" s="2">
        <v>-0.125</v>
      </c>
      <c r="Z49" s="2">
        <v>0.73699999999999999</v>
      </c>
      <c r="AA49" s="2">
        <v>1.3919999999999999</v>
      </c>
      <c r="AB49" s="2">
        <v>1.139</v>
      </c>
      <c r="AC49" s="2">
        <v>0</v>
      </c>
      <c r="AD49" s="2">
        <v>2.7269999999999999</v>
      </c>
      <c r="AE49" s="2">
        <v>2.4510000000000001</v>
      </c>
      <c r="AF49" s="2">
        <v>1.62</v>
      </c>
      <c r="AG49" s="2">
        <v>5.9560000000000004</v>
      </c>
      <c r="AH49" s="2">
        <v>-7.3739999999999997</v>
      </c>
      <c r="AI49" s="2">
        <v>-2.5070000000000001</v>
      </c>
      <c r="AJ49" s="2">
        <v>-11.43</v>
      </c>
      <c r="AK49" s="2">
        <v>-1.427</v>
      </c>
      <c r="AL49" s="2">
        <v>-8.4600000000000009</v>
      </c>
      <c r="AM49" s="2">
        <v>1.155</v>
      </c>
      <c r="AN49" s="2" t="s">
        <v>122</v>
      </c>
      <c r="AO49" s="2">
        <v>114</v>
      </c>
      <c r="AP49" s="2">
        <v>18</v>
      </c>
      <c r="AQ49" s="2">
        <v>228</v>
      </c>
      <c r="AR49" s="2">
        <v>579</v>
      </c>
      <c r="AS49" s="2">
        <v>364</v>
      </c>
      <c r="AT49" s="2">
        <v>392</v>
      </c>
      <c r="AU49" s="2">
        <v>696</v>
      </c>
      <c r="AV49" s="2">
        <v>489</v>
      </c>
      <c r="AW49" s="2"/>
      <c r="AX49" s="1">
        <f t="shared" si="41"/>
        <v>1.4109999999999998</v>
      </c>
      <c r="AY49" s="21">
        <f t="shared" si="42"/>
        <v>-0.6</v>
      </c>
      <c r="AZ49" s="5">
        <v>10.119999999999999</v>
      </c>
      <c r="BA49" s="1">
        <v>2.73</v>
      </c>
      <c r="BB49" s="1">
        <v>2.2599999999999998</v>
      </c>
      <c r="BC49" s="6">
        <f t="shared" si="35"/>
        <v>0.82783882783882778</v>
      </c>
      <c r="BE49" s="30">
        <v>0</v>
      </c>
      <c r="BF49" s="27">
        <v>1440</v>
      </c>
      <c r="BG49" s="1">
        <f t="shared" si="2"/>
        <v>95</v>
      </c>
      <c r="BH49" s="1">
        <f t="shared" si="3"/>
        <v>87.2</v>
      </c>
      <c r="BI49" s="1">
        <f t="shared" si="4"/>
        <v>66.8</v>
      </c>
      <c r="BJ49" s="7">
        <f t="shared" si="5"/>
        <v>0.318</v>
      </c>
      <c r="BK49" s="7">
        <f t="shared" si="6"/>
        <v>0.158</v>
      </c>
      <c r="BM49" s="5">
        <f t="shared" si="7"/>
        <v>2.73</v>
      </c>
      <c r="BN49" s="5">
        <f t="shared" si="8"/>
        <v>2.2599999999999998</v>
      </c>
      <c r="BO49" s="1">
        <f t="shared" si="9"/>
        <v>-6</v>
      </c>
      <c r="BP49" s="1">
        <f t="shared" si="10"/>
        <v>-3.4</v>
      </c>
      <c r="BQ49" s="1">
        <f t="shared" si="11"/>
        <v>-8.3000000000000007</v>
      </c>
      <c r="BR49" s="1">
        <f t="shared" si="12"/>
        <v>87.2</v>
      </c>
      <c r="BS49" s="1">
        <f t="shared" si="13"/>
        <v>66.8</v>
      </c>
      <c r="BT49" s="1">
        <f t="shared" si="14"/>
        <v>1.6</v>
      </c>
      <c r="BU49" s="1">
        <f t="shared" si="15"/>
        <v>6</v>
      </c>
      <c r="BV49" s="33">
        <f t="shared" si="16"/>
        <v>0</v>
      </c>
      <c r="BW49" s="34">
        <f t="shared" si="43"/>
        <v>1.44</v>
      </c>
      <c r="BX49" s="20">
        <f t="shared" si="18"/>
        <v>-0.6</v>
      </c>
      <c r="BY49" s="1">
        <f t="shared" si="19"/>
        <v>-7.4</v>
      </c>
      <c r="BZ49" s="1">
        <f t="shared" si="20"/>
        <v>-2.5</v>
      </c>
      <c r="CA49" s="1">
        <f t="shared" si="21"/>
        <v>-11.4</v>
      </c>
      <c r="CB49" s="1">
        <f t="shared" si="22"/>
        <v>0</v>
      </c>
      <c r="CC49" s="1">
        <f t="shared" si="23"/>
        <v>0.8</v>
      </c>
      <c r="CD49" s="1">
        <f t="shared" si="24"/>
        <v>1.5</v>
      </c>
      <c r="CE49" s="1" t="str">
        <f t="shared" si="25"/>
        <v>NAN</v>
      </c>
      <c r="CF49" s="1">
        <f t="shared" si="36"/>
        <v>0.318</v>
      </c>
      <c r="CG49" s="1">
        <f t="shared" si="37"/>
        <v>0.158</v>
      </c>
      <c r="CI49" s="1">
        <f t="shared" si="44"/>
        <v>2880</v>
      </c>
      <c r="CJ49" s="1">
        <f t="shared" si="45"/>
        <v>0.04</v>
      </c>
      <c r="CK49" s="1">
        <f t="shared" si="46"/>
        <v>6.0000000000000001E-3</v>
      </c>
      <c r="CL49" s="1">
        <f t="shared" si="47"/>
        <v>7.9000000000000001E-2</v>
      </c>
      <c r="CM49" s="1">
        <f t="shared" si="48"/>
        <v>0.20100000000000001</v>
      </c>
      <c r="CN49" s="1">
        <f t="shared" si="49"/>
        <v>0.126</v>
      </c>
      <c r="CO49" s="1">
        <f t="shared" si="50"/>
        <v>0.13600000000000001</v>
      </c>
      <c r="CP49" s="1">
        <f t="shared" si="51"/>
        <v>0.24199999999999999</v>
      </c>
      <c r="CQ49" s="1">
        <f t="shared" si="52"/>
        <v>0.17</v>
      </c>
      <c r="CS49" s="1">
        <f t="shared" si="38"/>
        <v>0.89999999999999991</v>
      </c>
      <c r="CT49" s="1">
        <f t="shared" si="39"/>
        <v>-3.0999999999999996</v>
      </c>
    </row>
    <row r="50" spans="1:98" x14ac:dyDescent="0.2">
      <c r="A50" s="8">
        <f t="shared" si="40"/>
        <v>43875</v>
      </c>
      <c r="B50" s="1">
        <v>45</v>
      </c>
      <c r="C50" s="1">
        <v>11</v>
      </c>
      <c r="D50" s="2">
        <v>13.12</v>
      </c>
      <c r="E50" s="2">
        <v>-3.3639999999999999</v>
      </c>
      <c r="F50" s="2">
        <v>-8.35</v>
      </c>
      <c r="G50" s="2">
        <v>-6.657</v>
      </c>
      <c r="H50" s="2">
        <v>81.400000000000006</v>
      </c>
      <c r="I50" s="2">
        <v>-0.54</v>
      </c>
      <c r="J50" s="2">
        <v>-1.212</v>
      </c>
      <c r="K50" s="2">
        <v>-3.6999999999999998E-2</v>
      </c>
      <c r="L50" s="2">
        <v>0.83099999999999996</v>
      </c>
      <c r="M50" s="2">
        <v>1.4630000000000001</v>
      </c>
      <c r="N50" s="2">
        <v>-3.6669999999999998</v>
      </c>
      <c r="O50" s="2">
        <v>88</v>
      </c>
      <c r="P50" s="2">
        <v>-0.46200000000000002</v>
      </c>
      <c r="Q50" s="2">
        <v>-1.1479999999999999</v>
      </c>
      <c r="R50" s="2">
        <v>4.2000000000000003E-2</v>
      </c>
      <c r="S50" s="2">
        <v>0.90500000000000003</v>
      </c>
      <c r="T50" s="2">
        <v>1.534</v>
      </c>
      <c r="U50" s="2">
        <v>-8.27</v>
      </c>
      <c r="V50" s="2">
        <v>68.22</v>
      </c>
      <c r="W50" s="2">
        <v>-0.623</v>
      </c>
      <c r="X50" s="2">
        <v>-1.296</v>
      </c>
      <c r="Y50" s="2">
        <v>-0.108</v>
      </c>
      <c r="Z50" s="2">
        <v>0.747</v>
      </c>
      <c r="AA50" s="2">
        <v>1.3859999999999999</v>
      </c>
      <c r="AB50" s="2">
        <v>1.169</v>
      </c>
      <c r="AC50" s="2">
        <v>0</v>
      </c>
      <c r="AD50" s="2">
        <v>5.7919999999999998</v>
      </c>
      <c r="AE50" s="2">
        <v>5.3609999999999998</v>
      </c>
      <c r="AF50" s="2">
        <v>2.2170000000000001</v>
      </c>
      <c r="AG50" s="2">
        <v>5.3209999999999997</v>
      </c>
      <c r="AH50" s="2">
        <v>-7.4580000000000002</v>
      </c>
      <c r="AI50" s="2">
        <v>-0.5</v>
      </c>
      <c r="AJ50" s="2">
        <v>-9.89</v>
      </c>
      <c r="AK50" s="2">
        <v>0.98199999999999998</v>
      </c>
      <c r="AL50" s="2">
        <v>-8.41</v>
      </c>
      <c r="AM50" s="2">
        <v>1.1859999999999999</v>
      </c>
      <c r="AN50" s="2" t="s">
        <v>122</v>
      </c>
      <c r="AO50" s="2">
        <v>677</v>
      </c>
      <c r="AP50" s="2">
        <v>96</v>
      </c>
      <c r="AQ50" s="2">
        <v>9</v>
      </c>
      <c r="AR50" s="2">
        <v>2</v>
      </c>
      <c r="AS50" s="2">
        <v>6</v>
      </c>
      <c r="AT50" s="2">
        <v>93</v>
      </c>
      <c r="AU50" s="2">
        <v>630</v>
      </c>
      <c r="AV50" s="2">
        <v>1367</v>
      </c>
      <c r="AW50" s="2"/>
      <c r="AX50" s="1">
        <f t="shared" si="41"/>
        <v>1.3809999999999998</v>
      </c>
      <c r="AY50" s="21">
        <f t="shared" si="42"/>
        <v>-0.6</v>
      </c>
      <c r="AZ50" s="5">
        <v>10.31</v>
      </c>
      <c r="BA50" s="1">
        <v>5.79</v>
      </c>
      <c r="BB50" s="1">
        <v>4.93</v>
      </c>
      <c r="BC50" s="6">
        <f t="shared" si="35"/>
        <v>0.85146804835924006</v>
      </c>
      <c r="BE50" s="30">
        <v>0</v>
      </c>
      <c r="BF50" s="27">
        <v>1420.9999999999998</v>
      </c>
      <c r="BG50" s="1">
        <f t="shared" si="2"/>
        <v>88</v>
      </c>
      <c r="BH50" s="1">
        <f t="shared" si="3"/>
        <v>81.400000000000006</v>
      </c>
      <c r="BI50" s="1">
        <f t="shared" si="4"/>
        <v>68.2</v>
      </c>
      <c r="BJ50" s="7">
        <f t="shared" si="5"/>
        <v>0.317</v>
      </c>
      <c r="BK50" s="7">
        <f t="shared" si="6"/>
        <v>0.14799999999999999</v>
      </c>
      <c r="BM50" s="5">
        <f t="shared" si="7"/>
        <v>5.79</v>
      </c>
      <c r="BN50" s="5">
        <f t="shared" si="8"/>
        <v>4.93</v>
      </c>
      <c r="BO50" s="1">
        <f t="shared" si="9"/>
        <v>-6.7</v>
      </c>
      <c r="BP50" s="1">
        <f t="shared" si="10"/>
        <v>-3.7</v>
      </c>
      <c r="BQ50" s="1">
        <f t="shared" si="11"/>
        <v>-8.3000000000000007</v>
      </c>
      <c r="BR50" s="1">
        <f t="shared" si="12"/>
        <v>81.400000000000006</v>
      </c>
      <c r="BS50" s="1">
        <f t="shared" si="13"/>
        <v>68.2</v>
      </c>
      <c r="BT50" s="1">
        <f t="shared" si="14"/>
        <v>2.2000000000000002</v>
      </c>
      <c r="BU50" s="1">
        <f t="shared" si="15"/>
        <v>5.3</v>
      </c>
      <c r="BV50" s="33">
        <f t="shared" si="16"/>
        <v>0</v>
      </c>
      <c r="BW50" s="34">
        <f t="shared" si="43"/>
        <v>1.421</v>
      </c>
      <c r="BX50" s="20">
        <f t="shared" si="18"/>
        <v>-0.6</v>
      </c>
      <c r="BY50" s="1">
        <f t="shared" si="19"/>
        <v>-7.5</v>
      </c>
      <c r="BZ50" s="1">
        <f t="shared" si="20"/>
        <v>-0.5</v>
      </c>
      <c r="CA50" s="1">
        <f t="shared" si="21"/>
        <v>-9.9</v>
      </c>
      <c r="CB50" s="1">
        <f t="shared" si="22"/>
        <v>0</v>
      </c>
      <c r="CC50" s="1">
        <f t="shared" si="23"/>
        <v>0.8</v>
      </c>
      <c r="CD50" s="1">
        <f t="shared" si="24"/>
        <v>1.5</v>
      </c>
      <c r="CE50" s="1" t="str">
        <f t="shared" si="25"/>
        <v>NAN</v>
      </c>
      <c r="CF50" s="1">
        <f t="shared" si="36"/>
        <v>0.317</v>
      </c>
      <c r="CG50" s="1">
        <f t="shared" si="37"/>
        <v>0.14799999999999999</v>
      </c>
      <c r="CI50" s="1">
        <f t="shared" si="44"/>
        <v>2880</v>
      </c>
      <c r="CJ50" s="1">
        <f t="shared" si="45"/>
        <v>0.23499999999999999</v>
      </c>
      <c r="CK50" s="1">
        <f t="shared" si="46"/>
        <v>3.3000000000000002E-2</v>
      </c>
      <c r="CL50" s="1">
        <f t="shared" si="47"/>
        <v>3.0000000000000001E-3</v>
      </c>
      <c r="CM50" s="1">
        <f t="shared" si="48"/>
        <v>1E-3</v>
      </c>
      <c r="CN50" s="1">
        <f t="shared" si="49"/>
        <v>2E-3</v>
      </c>
      <c r="CO50" s="1">
        <f t="shared" si="50"/>
        <v>3.2000000000000001E-2</v>
      </c>
      <c r="CP50" s="1">
        <f t="shared" si="51"/>
        <v>0.219</v>
      </c>
      <c r="CQ50" s="1">
        <f t="shared" si="52"/>
        <v>0.47499999999999998</v>
      </c>
      <c r="CS50" s="1">
        <f t="shared" si="38"/>
        <v>3.2</v>
      </c>
      <c r="CT50" s="1">
        <f t="shared" si="39"/>
        <v>-1.5999999999999996</v>
      </c>
    </row>
    <row r="51" spans="1:98" x14ac:dyDescent="0.2">
      <c r="A51" s="8">
        <f t="shared" si="40"/>
        <v>43876</v>
      </c>
      <c r="B51" s="1">
        <v>46</v>
      </c>
      <c r="C51" s="1">
        <v>11</v>
      </c>
      <c r="D51" s="2">
        <v>13.08</v>
      </c>
      <c r="E51" s="2">
        <v>-3.2349999999999999</v>
      </c>
      <c r="F51" s="2">
        <v>-8.1300000000000008</v>
      </c>
      <c r="G51" s="2">
        <v>-5.8380000000000001</v>
      </c>
      <c r="H51" s="2">
        <v>88.1</v>
      </c>
      <c r="I51" s="2">
        <v>-0.52200000000000002</v>
      </c>
      <c r="J51" s="2">
        <v>-1.1819999999999999</v>
      </c>
      <c r="K51" s="2">
        <v>-2.8000000000000001E-2</v>
      </c>
      <c r="L51" s="2">
        <v>0.83499999999999996</v>
      </c>
      <c r="M51" s="2">
        <v>1.4630000000000001</v>
      </c>
      <c r="N51" s="2">
        <v>-3.4289999999999998</v>
      </c>
      <c r="O51" s="2">
        <v>94</v>
      </c>
      <c r="P51" s="2">
        <v>-0.44</v>
      </c>
      <c r="Q51" s="2">
        <v>-1.1120000000000001</v>
      </c>
      <c r="R51" s="2">
        <v>4.2999999999999997E-2</v>
      </c>
      <c r="S51" s="2">
        <v>0.90200000000000002</v>
      </c>
      <c r="T51" s="2">
        <v>1.536</v>
      </c>
      <c r="U51" s="2">
        <v>-8.1</v>
      </c>
      <c r="V51" s="2">
        <v>77.8</v>
      </c>
      <c r="W51" s="2">
        <v>-0.59099999999999997</v>
      </c>
      <c r="X51" s="2">
        <v>-1.258</v>
      </c>
      <c r="Y51" s="2">
        <v>-0.10100000000000001</v>
      </c>
      <c r="Z51" s="2">
        <v>0.749</v>
      </c>
      <c r="AA51" s="2">
        <v>1.385</v>
      </c>
      <c r="AB51" s="2">
        <v>1.117</v>
      </c>
      <c r="AC51" s="2">
        <v>0</v>
      </c>
      <c r="AD51" s="2">
        <v>2.6709999999999998</v>
      </c>
      <c r="AE51" s="2">
        <v>2.6890000000000001</v>
      </c>
      <c r="AF51" s="2">
        <v>1.6439999999999999</v>
      </c>
      <c r="AG51" s="2">
        <v>4.9969999999999999</v>
      </c>
      <c r="AH51" s="2">
        <v>-6.3339999999999996</v>
      </c>
      <c r="AI51" s="2">
        <v>-2.09</v>
      </c>
      <c r="AJ51" s="2">
        <v>-9.6999999999999993</v>
      </c>
      <c r="AK51" s="2">
        <v>-2.734</v>
      </c>
      <c r="AL51" s="2">
        <v>-8.2100000000000009</v>
      </c>
      <c r="AM51" s="2">
        <v>1.131</v>
      </c>
      <c r="AN51" s="2" t="s">
        <v>122</v>
      </c>
      <c r="AO51" s="2">
        <v>246</v>
      </c>
      <c r="AP51" s="2">
        <v>17</v>
      </c>
      <c r="AQ51" s="2">
        <v>8</v>
      </c>
      <c r="AR51" s="2">
        <v>4</v>
      </c>
      <c r="AS51" s="2">
        <v>8</v>
      </c>
      <c r="AT51" s="2">
        <v>223</v>
      </c>
      <c r="AU51" s="2">
        <v>1270</v>
      </c>
      <c r="AV51" s="2">
        <v>1104</v>
      </c>
      <c r="AW51" s="2"/>
      <c r="AX51" s="1">
        <f t="shared" si="41"/>
        <v>1.4329999999999998</v>
      </c>
      <c r="AY51" s="21">
        <f t="shared" si="42"/>
        <v>-0.6</v>
      </c>
      <c r="AZ51" s="5">
        <v>10.51</v>
      </c>
      <c r="BA51" s="1">
        <v>2.89</v>
      </c>
      <c r="BB51" s="1">
        <v>2.48</v>
      </c>
      <c r="BC51" s="6">
        <f t="shared" si="35"/>
        <v>0.85813148788927329</v>
      </c>
      <c r="BE51" s="30">
        <v>6.6</v>
      </c>
      <c r="BF51" s="27">
        <v>1472.9999999999998</v>
      </c>
      <c r="BG51" s="1">
        <f t="shared" si="2"/>
        <v>94</v>
      </c>
      <c r="BH51" s="1">
        <f t="shared" si="3"/>
        <v>88.1</v>
      </c>
      <c r="BI51" s="1">
        <f t="shared" si="4"/>
        <v>77.8</v>
      </c>
      <c r="BJ51" s="7">
        <f t="shared" si="5"/>
        <v>0.36899999999999999</v>
      </c>
      <c r="BK51" s="7">
        <f t="shared" si="6"/>
        <v>0.105</v>
      </c>
      <c r="BM51" s="5">
        <f t="shared" si="7"/>
        <v>2.89</v>
      </c>
      <c r="BN51" s="5">
        <f t="shared" si="8"/>
        <v>2.48</v>
      </c>
      <c r="BO51" s="1">
        <f t="shared" si="9"/>
        <v>-5.8</v>
      </c>
      <c r="BP51" s="1">
        <f t="shared" si="10"/>
        <v>-3.4</v>
      </c>
      <c r="BQ51" s="1">
        <f t="shared" si="11"/>
        <v>-8.1</v>
      </c>
      <c r="BR51" s="1">
        <f t="shared" si="12"/>
        <v>88.1</v>
      </c>
      <c r="BS51" s="1">
        <f t="shared" si="13"/>
        <v>77.8</v>
      </c>
      <c r="BT51" s="1">
        <f t="shared" si="14"/>
        <v>1.6</v>
      </c>
      <c r="BU51" s="1">
        <f t="shared" si="15"/>
        <v>5</v>
      </c>
      <c r="BV51" s="33">
        <f t="shared" si="16"/>
        <v>6.6</v>
      </c>
      <c r="BW51" s="34">
        <f t="shared" si="43"/>
        <v>1.4730000000000001</v>
      </c>
      <c r="BX51" s="20">
        <f t="shared" si="18"/>
        <v>-0.6</v>
      </c>
      <c r="BY51" s="1">
        <f t="shared" si="19"/>
        <v>-6.3</v>
      </c>
      <c r="BZ51" s="1">
        <f t="shared" si="20"/>
        <v>-2.1</v>
      </c>
      <c r="CA51" s="1">
        <f t="shared" si="21"/>
        <v>-9.6999999999999993</v>
      </c>
      <c r="CB51" s="1">
        <f t="shared" si="22"/>
        <v>0</v>
      </c>
      <c r="CC51" s="1">
        <f t="shared" si="23"/>
        <v>0.8</v>
      </c>
      <c r="CD51" s="1">
        <f t="shared" si="24"/>
        <v>1.5</v>
      </c>
      <c r="CE51" s="1" t="str">
        <f t="shared" si="25"/>
        <v>NAN</v>
      </c>
      <c r="CF51" s="1">
        <f t="shared" si="36"/>
        <v>0.36899999999999999</v>
      </c>
      <c r="CG51" s="1">
        <f t="shared" si="37"/>
        <v>0.105</v>
      </c>
      <c r="CI51" s="1">
        <f t="shared" si="44"/>
        <v>2880</v>
      </c>
      <c r="CJ51" s="1">
        <f t="shared" si="45"/>
        <v>8.5000000000000006E-2</v>
      </c>
      <c r="CK51" s="1">
        <f t="shared" si="46"/>
        <v>6.0000000000000001E-3</v>
      </c>
      <c r="CL51" s="1">
        <f t="shared" si="47"/>
        <v>3.0000000000000001E-3</v>
      </c>
      <c r="CM51" s="1">
        <f t="shared" si="48"/>
        <v>1E-3</v>
      </c>
      <c r="CN51" s="1">
        <f t="shared" si="49"/>
        <v>3.0000000000000001E-3</v>
      </c>
      <c r="CO51" s="1">
        <f t="shared" si="50"/>
        <v>7.6999999999999999E-2</v>
      </c>
      <c r="CP51" s="1">
        <f t="shared" si="51"/>
        <v>0.441</v>
      </c>
      <c r="CQ51" s="1">
        <f t="shared" si="52"/>
        <v>0.38300000000000001</v>
      </c>
      <c r="CS51" s="1">
        <f t="shared" si="38"/>
        <v>1.2999999999999998</v>
      </c>
      <c r="CT51" s="1">
        <f t="shared" si="39"/>
        <v>-1.5999999999999996</v>
      </c>
    </row>
    <row r="52" spans="1:98" x14ac:dyDescent="0.2">
      <c r="A52" s="8">
        <f t="shared" si="40"/>
        <v>43877</v>
      </c>
      <c r="B52" s="1">
        <v>47</v>
      </c>
      <c r="C52" s="1">
        <v>11</v>
      </c>
      <c r="D52" s="2">
        <v>13.04</v>
      </c>
      <c r="E52" s="2">
        <v>-5.07</v>
      </c>
      <c r="F52" s="2">
        <v>-8.5299999999999994</v>
      </c>
      <c r="G52" s="2">
        <v>-7.6429999999999998</v>
      </c>
      <c r="H52" s="2">
        <v>88.2</v>
      </c>
      <c r="I52" s="2">
        <v>-0.52</v>
      </c>
      <c r="J52" s="2">
        <v>-1.1739999999999999</v>
      </c>
      <c r="K52" s="2">
        <v>-0.03</v>
      </c>
      <c r="L52" s="2">
        <v>0.82699999999999996</v>
      </c>
      <c r="M52" s="2">
        <v>1.456</v>
      </c>
      <c r="N52" s="2">
        <v>-4.6070000000000002</v>
      </c>
      <c r="O52" s="2">
        <v>92.4</v>
      </c>
      <c r="P52" s="2">
        <v>-0.44700000000000001</v>
      </c>
      <c r="Q52" s="2">
        <v>-1.105</v>
      </c>
      <c r="R52" s="2">
        <v>3.7999999999999999E-2</v>
      </c>
      <c r="S52" s="2">
        <v>0.89500000000000002</v>
      </c>
      <c r="T52" s="2">
        <v>1.524</v>
      </c>
      <c r="U52" s="2">
        <v>-8.85</v>
      </c>
      <c r="V52" s="2">
        <v>79.16</v>
      </c>
      <c r="W52" s="2">
        <v>-0.58199999999999996</v>
      </c>
      <c r="X52" s="2">
        <v>-1.2490000000000001</v>
      </c>
      <c r="Y52" s="2">
        <v>-0.10299999999999999</v>
      </c>
      <c r="Z52" s="2">
        <v>0.751</v>
      </c>
      <c r="AA52" s="2">
        <v>1.3779999999999999</v>
      </c>
      <c r="AB52" s="2">
        <v>1.0620000000000001</v>
      </c>
      <c r="AC52" s="2">
        <v>0</v>
      </c>
      <c r="AD52" s="2">
        <v>2.7890000000000001</v>
      </c>
      <c r="AE52" s="2">
        <v>4.4589999999999996</v>
      </c>
      <c r="AF52" s="2">
        <v>1.7150000000000001</v>
      </c>
      <c r="AG52" s="2">
        <v>5.024</v>
      </c>
      <c r="AH52" s="2">
        <v>-8.16</v>
      </c>
      <c r="AI52" s="2">
        <v>-1.4219999999999999</v>
      </c>
      <c r="AJ52" s="2">
        <v>-11.03</v>
      </c>
      <c r="AK52" s="2">
        <v>-0.46100000000000002</v>
      </c>
      <c r="AL52" s="2">
        <v>-9.02</v>
      </c>
      <c r="AM52" s="2">
        <v>1.079</v>
      </c>
      <c r="AN52" s="2" t="s">
        <v>122</v>
      </c>
      <c r="AO52" s="2">
        <v>789</v>
      </c>
      <c r="AP52" s="2">
        <v>120</v>
      </c>
      <c r="AQ52" s="2">
        <v>27</v>
      </c>
      <c r="AR52" s="2">
        <v>6</v>
      </c>
      <c r="AS52" s="2">
        <v>9</v>
      </c>
      <c r="AT52" s="2">
        <v>72</v>
      </c>
      <c r="AU52" s="2">
        <v>499</v>
      </c>
      <c r="AV52" s="2">
        <v>1358</v>
      </c>
      <c r="AW52" s="2"/>
      <c r="AX52" s="1">
        <f t="shared" si="41"/>
        <v>1.4879999999999998</v>
      </c>
      <c r="AY52" s="21">
        <f t="shared" si="42"/>
        <v>-0.6</v>
      </c>
      <c r="AZ52" s="5">
        <v>10.71</v>
      </c>
      <c r="BA52" s="1">
        <v>4.32</v>
      </c>
      <c r="BB52" s="1">
        <v>4.0999999999999996</v>
      </c>
      <c r="BC52" s="6">
        <f t="shared" si="35"/>
        <v>0.94907407407407396</v>
      </c>
      <c r="BE52" s="30">
        <v>6.6</v>
      </c>
      <c r="BF52" s="27">
        <v>1527.9999999999998</v>
      </c>
      <c r="BG52" s="1">
        <f t="shared" si="2"/>
        <v>92.4</v>
      </c>
      <c r="BH52" s="1">
        <f t="shared" si="3"/>
        <v>88.2</v>
      </c>
      <c r="BI52" s="1">
        <f t="shared" si="4"/>
        <v>79.2</v>
      </c>
      <c r="BJ52" s="7">
        <f t="shared" si="5"/>
        <v>0.34300000000000003</v>
      </c>
      <c r="BK52" s="7">
        <f t="shared" si="6"/>
        <v>0.09</v>
      </c>
      <c r="BM52" s="5">
        <f t="shared" si="7"/>
        <v>4.32</v>
      </c>
      <c r="BN52" s="5">
        <f t="shared" si="8"/>
        <v>4.0999999999999996</v>
      </c>
      <c r="BO52" s="1">
        <f t="shared" si="9"/>
        <v>-7.6</v>
      </c>
      <c r="BP52" s="1">
        <f t="shared" si="10"/>
        <v>-4.5999999999999996</v>
      </c>
      <c r="BQ52" s="1">
        <f t="shared" si="11"/>
        <v>-8.9</v>
      </c>
      <c r="BR52" s="1">
        <f t="shared" si="12"/>
        <v>88.2</v>
      </c>
      <c r="BS52" s="1">
        <f t="shared" si="13"/>
        <v>79.2</v>
      </c>
      <c r="BT52" s="1">
        <f t="shared" si="14"/>
        <v>1.7</v>
      </c>
      <c r="BU52" s="1">
        <f t="shared" si="15"/>
        <v>5</v>
      </c>
      <c r="BV52" s="33">
        <f t="shared" si="16"/>
        <v>6.6</v>
      </c>
      <c r="BW52" s="34">
        <f t="shared" si="43"/>
        <v>1.528</v>
      </c>
      <c r="BX52" s="20">
        <f t="shared" si="18"/>
        <v>-0.6</v>
      </c>
      <c r="BY52" s="1">
        <f t="shared" si="19"/>
        <v>-8.1999999999999993</v>
      </c>
      <c r="BZ52" s="1">
        <f t="shared" si="20"/>
        <v>-1.4</v>
      </c>
      <c r="CA52" s="1">
        <f t="shared" si="21"/>
        <v>-11</v>
      </c>
      <c r="CB52" s="1">
        <f t="shared" si="22"/>
        <v>0</v>
      </c>
      <c r="CC52" s="1">
        <f t="shared" si="23"/>
        <v>0.8</v>
      </c>
      <c r="CD52" s="1">
        <f t="shared" si="24"/>
        <v>1.5</v>
      </c>
      <c r="CE52" s="1" t="str">
        <f t="shared" si="25"/>
        <v>NAN</v>
      </c>
      <c r="CF52" s="1">
        <f t="shared" si="36"/>
        <v>0.34300000000000003</v>
      </c>
      <c r="CG52" s="1">
        <f t="shared" si="37"/>
        <v>0.09</v>
      </c>
      <c r="CI52" s="1">
        <f t="shared" si="44"/>
        <v>2880</v>
      </c>
      <c r="CJ52" s="1">
        <f t="shared" si="45"/>
        <v>0.27400000000000002</v>
      </c>
      <c r="CK52" s="1">
        <f t="shared" si="46"/>
        <v>4.2000000000000003E-2</v>
      </c>
      <c r="CL52" s="1">
        <f t="shared" si="47"/>
        <v>8.9999999999999993E-3</v>
      </c>
      <c r="CM52" s="1">
        <f t="shared" si="48"/>
        <v>2E-3</v>
      </c>
      <c r="CN52" s="1">
        <f t="shared" si="49"/>
        <v>3.0000000000000001E-3</v>
      </c>
      <c r="CO52" s="1">
        <f t="shared" si="50"/>
        <v>2.5000000000000001E-2</v>
      </c>
      <c r="CP52" s="1">
        <f t="shared" si="51"/>
        <v>0.17299999999999999</v>
      </c>
      <c r="CQ52" s="1">
        <f t="shared" si="52"/>
        <v>0.47199999999999998</v>
      </c>
      <c r="CS52" s="1">
        <f t="shared" si="38"/>
        <v>3.1999999999999997</v>
      </c>
      <c r="CT52" s="1">
        <f t="shared" si="39"/>
        <v>-2.0999999999999996</v>
      </c>
    </row>
    <row r="53" spans="1:98" x14ac:dyDescent="0.2">
      <c r="A53" s="8">
        <f t="shared" si="40"/>
        <v>43878</v>
      </c>
      <c r="B53" s="1">
        <v>48</v>
      </c>
      <c r="C53" s="1">
        <v>11</v>
      </c>
      <c r="D53" s="2">
        <v>12.97</v>
      </c>
      <c r="E53" s="2">
        <v>-5.7</v>
      </c>
      <c r="F53" s="2">
        <v>-10.14</v>
      </c>
      <c r="G53" s="2">
        <v>-8.98</v>
      </c>
      <c r="H53" s="2">
        <v>85.6</v>
      </c>
      <c r="I53" s="2">
        <v>-0.52300000000000002</v>
      </c>
      <c r="J53" s="2">
        <v>-1.169</v>
      </c>
      <c r="K53" s="2">
        <v>-3.7999999999999999E-2</v>
      </c>
      <c r="L53" s="2">
        <v>0.81399999999999995</v>
      </c>
      <c r="M53" s="2">
        <v>1.4430000000000001</v>
      </c>
      <c r="N53" s="2">
        <v>-4.4359999999999999</v>
      </c>
      <c r="O53" s="2">
        <v>89.7</v>
      </c>
      <c r="P53" s="2">
        <v>-0.44400000000000001</v>
      </c>
      <c r="Q53" s="2">
        <v>-1.087</v>
      </c>
      <c r="R53" s="2">
        <v>3.3000000000000002E-2</v>
      </c>
      <c r="S53" s="2">
        <v>0.88600000000000001</v>
      </c>
      <c r="T53" s="2">
        <v>1.5249999999999999</v>
      </c>
      <c r="U53" s="2">
        <v>-10.44</v>
      </c>
      <c r="V53" s="2">
        <v>66.709999999999994</v>
      </c>
      <c r="W53" s="2">
        <v>-0.59</v>
      </c>
      <c r="X53" s="2">
        <v>-1.24</v>
      </c>
      <c r="Y53" s="2">
        <v>-0.124</v>
      </c>
      <c r="Z53" s="2">
        <v>0.72599999999999998</v>
      </c>
      <c r="AA53" s="2">
        <v>1.3480000000000001</v>
      </c>
      <c r="AB53" s="2">
        <v>1.079</v>
      </c>
      <c r="AC53" s="2">
        <v>0</v>
      </c>
      <c r="AD53" s="2">
        <v>1.4530000000000001</v>
      </c>
      <c r="AE53" s="2">
        <v>6.4039999999999999</v>
      </c>
      <c r="AF53" s="2">
        <v>0.81</v>
      </c>
      <c r="AG53" s="2">
        <v>4.9080000000000004</v>
      </c>
      <c r="AH53" s="2">
        <v>-9.51</v>
      </c>
      <c r="AI53" s="2">
        <v>-0.503</v>
      </c>
      <c r="AJ53" s="2">
        <v>-12.87</v>
      </c>
      <c r="AK53" s="2">
        <v>1.296</v>
      </c>
      <c r="AL53" s="2">
        <v>-10.59</v>
      </c>
      <c r="AM53" s="2">
        <v>1.099</v>
      </c>
      <c r="AN53" s="2" t="s">
        <v>122</v>
      </c>
      <c r="AO53" s="2">
        <v>585</v>
      </c>
      <c r="AP53" s="2">
        <v>335</v>
      </c>
      <c r="AQ53" s="2">
        <v>171</v>
      </c>
      <c r="AR53" s="2">
        <v>93</v>
      </c>
      <c r="AS53" s="2">
        <v>101</v>
      </c>
      <c r="AT53" s="2">
        <v>238</v>
      </c>
      <c r="AU53" s="2">
        <v>584</v>
      </c>
      <c r="AV53" s="2">
        <v>773</v>
      </c>
      <c r="AW53" s="2"/>
      <c r="AX53" s="1">
        <f t="shared" si="41"/>
        <v>1.4709999999999999</v>
      </c>
      <c r="AY53" s="21">
        <f t="shared" si="42"/>
        <v>-0.6</v>
      </c>
      <c r="AZ53" s="5">
        <v>10.91</v>
      </c>
      <c r="BA53" s="1">
        <v>6.2</v>
      </c>
      <c r="BB53" s="1">
        <v>5.89</v>
      </c>
      <c r="BC53" s="6">
        <f t="shared" si="35"/>
        <v>0.95</v>
      </c>
      <c r="BE53" s="30">
        <v>3.1</v>
      </c>
      <c r="BF53" s="27">
        <v>1511</v>
      </c>
      <c r="BG53" s="1">
        <f t="shared" si="2"/>
        <v>89.7</v>
      </c>
      <c r="BH53" s="1">
        <f t="shared" si="3"/>
        <v>85.6</v>
      </c>
      <c r="BI53" s="1">
        <f t="shared" si="4"/>
        <v>66.7</v>
      </c>
      <c r="BJ53" s="7">
        <f t="shared" si="5"/>
        <v>0.29299999999999998</v>
      </c>
      <c r="BK53" s="7">
        <f t="shared" si="6"/>
        <v>0.14599999999999999</v>
      </c>
      <c r="BM53" s="5">
        <f t="shared" si="7"/>
        <v>6.2</v>
      </c>
      <c r="BN53" s="5">
        <f t="shared" si="8"/>
        <v>5.89</v>
      </c>
      <c r="BO53" s="1">
        <f t="shared" si="9"/>
        <v>-9</v>
      </c>
      <c r="BP53" s="1">
        <f t="shared" si="10"/>
        <v>-4.4000000000000004</v>
      </c>
      <c r="BQ53" s="1">
        <f t="shared" si="11"/>
        <v>-10.4</v>
      </c>
      <c r="BR53" s="1">
        <f t="shared" si="12"/>
        <v>85.6</v>
      </c>
      <c r="BS53" s="1">
        <f t="shared" si="13"/>
        <v>66.7</v>
      </c>
      <c r="BT53" s="1">
        <f t="shared" si="14"/>
        <v>0.8</v>
      </c>
      <c r="BU53" s="1">
        <f t="shared" si="15"/>
        <v>4.9000000000000004</v>
      </c>
      <c r="BV53" s="33">
        <f t="shared" si="16"/>
        <v>3.1</v>
      </c>
      <c r="BW53" s="34">
        <f t="shared" si="43"/>
        <v>1.5109999999999999</v>
      </c>
      <c r="BX53" s="20">
        <f t="shared" si="18"/>
        <v>-0.6</v>
      </c>
      <c r="BY53" s="1">
        <f t="shared" si="19"/>
        <v>-9.5</v>
      </c>
      <c r="BZ53" s="1">
        <f t="shared" si="20"/>
        <v>-0.5</v>
      </c>
      <c r="CA53" s="1">
        <f t="shared" si="21"/>
        <v>-12.9</v>
      </c>
      <c r="CB53" s="1">
        <f t="shared" si="22"/>
        <v>0</v>
      </c>
      <c r="CC53" s="1">
        <f t="shared" si="23"/>
        <v>0.8</v>
      </c>
      <c r="CD53" s="1">
        <f t="shared" si="24"/>
        <v>1.4</v>
      </c>
      <c r="CE53" s="1" t="str">
        <f t="shared" si="25"/>
        <v>NAN</v>
      </c>
      <c r="CF53" s="1">
        <f t="shared" si="36"/>
        <v>0.29299999999999998</v>
      </c>
      <c r="CG53" s="1">
        <f t="shared" si="37"/>
        <v>0.14599999999999999</v>
      </c>
      <c r="CI53" s="1">
        <f t="shared" si="44"/>
        <v>2880</v>
      </c>
      <c r="CJ53" s="1">
        <f t="shared" si="45"/>
        <v>0.20300000000000001</v>
      </c>
      <c r="CK53" s="1">
        <f t="shared" si="46"/>
        <v>0.11600000000000001</v>
      </c>
      <c r="CL53" s="1">
        <f t="shared" si="47"/>
        <v>5.8999999999999997E-2</v>
      </c>
      <c r="CM53" s="1">
        <f t="shared" si="48"/>
        <v>3.2000000000000001E-2</v>
      </c>
      <c r="CN53" s="1">
        <f t="shared" si="49"/>
        <v>3.5000000000000003E-2</v>
      </c>
      <c r="CO53" s="1">
        <f t="shared" si="50"/>
        <v>8.3000000000000004E-2</v>
      </c>
      <c r="CP53" s="1">
        <f t="shared" si="51"/>
        <v>0.20300000000000001</v>
      </c>
      <c r="CQ53" s="1">
        <f t="shared" si="52"/>
        <v>0.26800000000000002</v>
      </c>
      <c r="CS53" s="1">
        <f t="shared" si="38"/>
        <v>3.9000000000000004</v>
      </c>
      <c r="CT53" s="1">
        <f t="shared" si="39"/>
        <v>-2.5</v>
      </c>
    </row>
    <row r="54" spans="1:98" x14ac:dyDescent="0.2">
      <c r="A54" s="8">
        <f t="shared" si="40"/>
        <v>43879</v>
      </c>
      <c r="B54" s="1">
        <v>49</v>
      </c>
      <c r="C54" s="1">
        <v>11</v>
      </c>
      <c r="D54" s="2">
        <v>13.09</v>
      </c>
      <c r="E54" s="2">
        <v>-5.3520000000000003</v>
      </c>
      <c r="F54" s="2">
        <v>-15.22</v>
      </c>
      <c r="G54" s="2">
        <v>-10.039999999999999</v>
      </c>
      <c r="H54" s="2">
        <v>79.290000000000006</v>
      </c>
      <c r="I54" s="2">
        <v>-0.53700000000000003</v>
      </c>
      <c r="J54" s="2">
        <v>-1.17</v>
      </c>
      <c r="K54" s="2">
        <v>-0.06</v>
      </c>
      <c r="L54" s="2">
        <v>0.78500000000000003</v>
      </c>
      <c r="M54" s="2">
        <v>1.419</v>
      </c>
      <c r="N54" s="2">
        <v>-5.2859999999999996</v>
      </c>
      <c r="O54" s="2">
        <v>89.4</v>
      </c>
      <c r="P54" s="2">
        <v>-0.44700000000000001</v>
      </c>
      <c r="Q54" s="2">
        <v>-1.0920000000000001</v>
      </c>
      <c r="R54" s="2">
        <v>3.2000000000000001E-2</v>
      </c>
      <c r="S54" s="2">
        <v>0.879</v>
      </c>
      <c r="T54" s="2">
        <v>1.4990000000000001</v>
      </c>
      <c r="U54" s="2">
        <v>-13.99</v>
      </c>
      <c r="V54" s="2">
        <v>56.96</v>
      </c>
      <c r="W54" s="2">
        <v>-0.63200000000000001</v>
      </c>
      <c r="X54" s="2">
        <v>-1.256</v>
      </c>
      <c r="Y54" s="2">
        <v>-0.16</v>
      </c>
      <c r="Z54" s="2">
        <v>0.68</v>
      </c>
      <c r="AA54" s="2">
        <v>1.327</v>
      </c>
      <c r="AB54" s="2">
        <v>1.1180000000000001</v>
      </c>
      <c r="AC54" s="2">
        <v>0</v>
      </c>
      <c r="AD54" s="2">
        <v>2.9769999999999999</v>
      </c>
      <c r="AE54" s="2">
        <v>8.23</v>
      </c>
      <c r="AF54" s="2">
        <v>0.93400000000000005</v>
      </c>
      <c r="AG54" s="2">
        <v>3.1640000000000001</v>
      </c>
      <c r="AH54" s="2">
        <v>-12.19</v>
      </c>
      <c r="AI54" s="2">
        <v>-0.99099999999999999</v>
      </c>
      <c r="AJ54" s="2">
        <v>-18.7</v>
      </c>
      <c r="AK54" s="2">
        <v>3.9E-2</v>
      </c>
      <c r="AL54" s="2">
        <v>-13.84</v>
      </c>
      <c r="AM54" s="2">
        <v>1.147</v>
      </c>
      <c r="AN54" s="2" t="s">
        <v>122</v>
      </c>
      <c r="AO54" s="2">
        <v>470</v>
      </c>
      <c r="AP54" s="2">
        <v>656</v>
      </c>
      <c r="AQ54" s="2">
        <v>621</v>
      </c>
      <c r="AR54" s="2">
        <v>92</v>
      </c>
      <c r="AS54" s="2">
        <v>64</v>
      </c>
      <c r="AT54" s="2">
        <v>175</v>
      </c>
      <c r="AU54" s="2">
        <v>346</v>
      </c>
      <c r="AV54" s="2">
        <v>455</v>
      </c>
      <c r="AW54" s="2"/>
      <c r="AX54" s="1">
        <f t="shared" si="41"/>
        <v>1.4319999999999997</v>
      </c>
      <c r="AY54" s="21">
        <f t="shared" si="42"/>
        <v>-0.6</v>
      </c>
      <c r="AZ54" s="5">
        <v>11.13</v>
      </c>
      <c r="BA54" s="1">
        <v>7.97</v>
      </c>
      <c r="BB54" s="1">
        <v>7.57</v>
      </c>
      <c r="BC54" s="6">
        <f t="shared" si="35"/>
        <v>0.94981179422835638</v>
      </c>
      <c r="BE54" s="30">
        <v>0</v>
      </c>
      <c r="BF54" s="27">
        <v>1471.9999999999998</v>
      </c>
      <c r="BG54" s="1">
        <f t="shared" si="2"/>
        <v>89.4</v>
      </c>
      <c r="BH54" s="1">
        <f t="shared" si="3"/>
        <v>79.3</v>
      </c>
      <c r="BI54" s="1">
        <f t="shared" si="4"/>
        <v>57</v>
      </c>
      <c r="BJ54" s="7">
        <f t="shared" si="5"/>
        <v>0.23499999999999999</v>
      </c>
      <c r="BK54" s="7">
        <f t="shared" si="6"/>
        <v>0.17699999999999999</v>
      </c>
      <c r="BM54" s="5">
        <f t="shared" si="7"/>
        <v>7.97</v>
      </c>
      <c r="BN54" s="5">
        <f t="shared" si="8"/>
        <v>7.57</v>
      </c>
      <c r="BO54" s="1">
        <f t="shared" si="9"/>
        <v>-10</v>
      </c>
      <c r="BP54" s="1">
        <f t="shared" si="10"/>
        <v>-5.3</v>
      </c>
      <c r="BQ54" s="1">
        <f t="shared" si="11"/>
        <v>-14</v>
      </c>
      <c r="BR54" s="1">
        <f t="shared" si="12"/>
        <v>79.3</v>
      </c>
      <c r="BS54" s="1">
        <f t="shared" si="13"/>
        <v>57</v>
      </c>
      <c r="BT54" s="1">
        <f t="shared" si="14"/>
        <v>0.9</v>
      </c>
      <c r="BU54" s="1">
        <f t="shared" si="15"/>
        <v>3.2</v>
      </c>
      <c r="BV54" s="33">
        <f t="shared" si="16"/>
        <v>0</v>
      </c>
      <c r="BW54" s="34">
        <f t="shared" si="43"/>
        <v>1.472</v>
      </c>
      <c r="BX54" s="20">
        <f t="shared" si="18"/>
        <v>-0.6</v>
      </c>
      <c r="BY54" s="1">
        <f t="shared" si="19"/>
        <v>-12.2</v>
      </c>
      <c r="BZ54" s="1">
        <f t="shared" si="20"/>
        <v>-1</v>
      </c>
      <c r="CA54" s="1">
        <f t="shared" si="21"/>
        <v>-18.7</v>
      </c>
      <c r="CB54" s="1">
        <f t="shared" si="22"/>
        <v>-0.1</v>
      </c>
      <c r="CC54" s="1">
        <f t="shared" si="23"/>
        <v>0.8</v>
      </c>
      <c r="CD54" s="1">
        <f t="shared" si="24"/>
        <v>1.4</v>
      </c>
      <c r="CE54" s="1" t="str">
        <f t="shared" si="25"/>
        <v>NAN</v>
      </c>
      <c r="CF54" s="1">
        <f t="shared" si="36"/>
        <v>0.23499999999999999</v>
      </c>
      <c r="CG54" s="1">
        <f t="shared" si="37"/>
        <v>0.17699999999999999</v>
      </c>
      <c r="CI54" s="1">
        <f t="shared" si="44"/>
        <v>2879</v>
      </c>
      <c r="CJ54" s="1">
        <f t="shared" si="45"/>
        <v>0.16300000000000001</v>
      </c>
      <c r="CK54" s="1">
        <f t="shared" si="46"/>
        <v>0.22800000000000001</v>
      </c>
      <c r="CL54" s="1">
        <f t="shared" si="47"/>
        <v>0.216</v>
      </c>
      <c r="CM54" s="1">
        <f t="shared" si="48"/>
        <v>3.2000000000000001E-2</v>
      </c>
      <c r="CN54" s="1">
        <f t="shared" si="49"/>
        <v>2.1999999999999999E-2</v>
      </c>
      <c r="CO54" s="1">
        <f t="shared" si="50"/>
        <v>6.0999999999999999E-2</v>
      </c>
      <c r="CP54" s="1">
        <f t="shared" si="51"/>
        <v>0.12</v>
      </c>
      <c r="CQ54" s="1">
        <f t="shared" si="52"/>
        <v>0.158</v>
      </c>
      <c r="CS54" s="1">
        <f t="shared" si="38"/>
        <v>4.3</v>
      </c>
      <c r="CT54" s="1">
        <f t="shared" si="39"/>
        <v>-4.6999999999999993</v>
      </c>
    </row>
    <row r="55" spans="1:98" x14ac:dyDescent="0.2">
      <c r="A55" s="8">
        <f t="shared" si="40"/>
        <v>43880</v>
      </c>
      <c r="B55" s="1">
        <v>50</v>
      </c>
      <c r="C55" s="1">
        <v>11</v>
      </c>
      <c r="D55" s="2">
        <v>13.1</v>
      </c>
      <c r="E55" s="2">
        <v>-1.629</v>
      </c>
      <c r="F55" s="2">
        <v>-15.98</v>
      </c>
      <c r="G55" s="2">
        <v>-8.36</v>
      </c>
      <c r="H55" s="2">
        <v>74.52</v>
      </c>
      <c r="I55" s="2">
        <v>-0.56200000000000006</v>
      </c>
      <c r="J55" s="2">
        <v>-1.18</v>
      </c>
      <c r="K55" s="2">
        <v>-8.7999999999999995E-2</v>
      </c>
      <c r="L55" s="2">
        <v>0.752</v>
      </c>
      <c r="M55" s="2">
        <v>1.3839999999999999</v>
      </c>
      <c r="N55" s="2">
        <v>1.8939999999999999</v>
      </c>
      <c r="O55" s="2">
        <v>88.1</v>
      </c>
      <c r="P55" s="2">
        <v>-0.433</v>
      </c>
      <c r="Q55" s="2">
        <v>-1.0609999999999999</v>
      </c>
      <c r="R55" s="2">
        <v>2.1000000000000001E-2</v>
      </c>
      <c r="S55" s="2">
        <v>0.84</v>
      </c>
      <c r="T55" s="2">
        <v>1.5069999999999999</v>
      </c>
      <c r="U55" s="2">
        <v>-13.99</v>
      </c>
      <c r="V55" s="2">
        <v>44.61</v>
      </c>
      <c r="W55" s="2">
        <v>-0.70699999999999996</v>
      </c>
      <c r="X55" s="2">
        <v>-1.3220000000000001</v>
      </c>
      <c r="Y55" s="2">
        <v>-0.224</v>
      </c>
      <c r="Z55" s="2">
        <v>0.61499999999999999</v>
      </c>
      <c r="AA55" s="2">
        <v>1.24</v>
      </c>
      <c r="AB55" s="2">
        <v>1.145</v>
      </c>
      <c r="AC55" s="2">
        <v>0</v>
      </c>
      <c r="AD55" s="2">
        <v>8.5500000000000007</v>
      </c>
      <c r="AE55" s="2">
        <v>10.27</v>
      </c>
      <c r="AF55" s="2">
        <v>0.94399999999999995</v>
      </c>
      <c r="AG55" s="2">
        <v>3.4580000000000002</v>
      </c>
      <c r="AH55" s="2">
        <v>-11.57</v>
      </c>
      <c r="AI55" s="2">
        <v>0.14699999999999999</v>
      </c>
      <c r="AJ55" s="2">
        <v>-18.77</v>
      </c>
      <c r="AK55" s="2">
        <v>7.2320000000000002</v>
      </c>
      <c r="AL55" s="2">
        <v>-13.93</v>
      </c>
      <c r="AM55" s="2">
        <v>1.1659999999999999</v>
      </c>
      <c r="AN55" s="2" t="s">
        <v>122</v>
      </c>
      <c r="AO55" s="2">
        <v>28</v>
      </c>
      <c r="AP55" s="2">
        <v>60</v>
      </c>
      <c r="AQ55" s="2">
        <v>1161</v>
      </c>
      <c r="AR55" s="2">
        <v>591</v>
      </c>
      <c r="AS55" s="2">
        <v>446</v>
      </c>
      <c r="AT55" s="2">
        <v>368</v>
      </c>
      <c r="AU55" s="2">
        <v>194</v>
      </c>
      <c r="AV55" s="2">
        <v>32</v>
      </c>
      <c r="AW55" s="2"/>
      <c r="AX55" s="1">
        <f t="shared" si="41"/>
        <v>1.4049999999999998</v>
      </c>
      <c r="AY55" s="21">
        <f t="shared" si="42"/>
        <v>-0.6</v>
      </c>
      <c r="AZ55" s="5">
        <v>11.33</v>
      </c>
      <c r="BA55" s="1">
        <v>9.93</v>
      </c>
      <c r="BB55" s="1">
        <v>9.4499999999999993</v>
      </c>
      <c r="BC55" s="6">
        <f t="shared" si="35"/>
        <v>0.95166163141993954</v>
      </c>
      <c r="BE55" s="30">
        <v>0</v>
      </c>
      <c r="BF55" s="27">
        <v>1444.9999999999998</v>
      </c>
      <c r="BG55" s="1">
        <f t="shared" si="2"/>
        <v>88.1</v>
      </c>
      <c r="BH55" s="1">
        <f t="shared" si="3"/>
        <v>74.5</v>
      </c>
      <c r="BI55" s="1">
        <f t="shared" si="4"/>
        <v>44.6</v>
      </c>
      <c r="BJ55" s="7">
        <f t="shared" si="5"/>
        <v>0.312</v>
      </c>
      <c r="BK55" s="7">
        <f t="shared" si="6"/>
        <v>0.38800000000000001</v>
      </c>
      <c r="BM55" s="5">
        <f t="shared" si="7"/>
        <v>9.93</v>
      </c>
      <c r="BN55" s="5">
        <f t="shared" si="8"/>
        <v>9.4499999999999993</v>
      </c>
      <c r="BO55" s="1">
        <f t="shared" si="9"/>
        <v>-8.4</v>
      </c>
      <c r="BP55" s="1">
        <f t="shared" si="10"/>
        <v>1.9</v>
      </c>
      <c r="BQ55" s="1">
        <f t="shared" si="11"/>
        <v>-14</v>
      </c>
      <c r="BR55" s="1">
        <f t="shared" si="12"/>
        <v>74.5</v>
      </c>
      <c r="BS55" s="1">
        <f t="shared" si="13"/>
        <v>44.6</v>
      </c>
      <c r="BT55" s="1">
        <f t="shared" si="14"/>
        <v>0.9</v>
      </c>
      <c r="BU55" s="1">
        <f t="shared" si="15"/>
        <v>3.5</v>
      </c>
      <c r="BV55" s="33">
        <f t="shared" si="16"/>
        <v>0</v>
      </c>
      <c r="BW55" s="34">
        <f t="shared" si="43"/>
        <v>1.4450000000000001</v>
      </c>
      <c r="BX55" s="20">
        <f t="shared" si="18"/>
        <v>-0.6</v>
      </c>
      <c r="BY55" s="1">
        <f t="shared" si="19"/>
        <v>-11.6</v>
      </c>
      <c r="BZ55" s="1">
        <f t="shared" si="20"/>
        <v>0.1</v>
      </c>
      <c r="CA55" s="1">
        <f t="shared" si="21"/>
        <v>-18.8</v>
      </c>
      <c r="CB55" s="1">
        <f t="shared" si="22"/>
        <v>-0.1</v>
      </c>
      <c r="CC55" s="1">
        <f t="shared" si="23"/>
        <v>0.8</v>
      </c>
      <c r="CD55" s="1">
        <f t="shared" si="24"/>
        <v>1.4</v>
      </c>
      <c r="CE55" s="1" t="str">
        <f t="shared" si="25"/>
        <v>NAN</v>
      </c>
      <c r="CF55" s="1">
        <f t="shared" si="36"/>
        <v>0.312</v>
      </c>
      <c r="CG55" s="1">
        <f t="shared" si="37"/>
        <v>0.38800000000000001</v>
      </c>
      <c r="CI55" s="1">
        <f t="shared" si="44"/>
        <v>2880</v>
      </c>
      <c r="CJ55" s="1">
        <f t="shared" si="45"/>
        <v>0.01</v>
      </c>
      <c r="CK55" s="1">
        <f t="shared" si="46"/>
        <v>2.1000000000000001E-2</v>
      </c>
      <c r="CL55" s="1">
        <f t="shared" si="47"/>
        <v>0.40300000000000002</v>
      </c>
      <c r="CM55" s="1">
        <f t="shared" si="48"/>
        <v>0.20499999999999999</v>
      </c>
      <c r="CN55" s="1">
        <f t="shared" si="49"/>
        <v>0.155</v>
      </c>
      <c r="CO55" s="1">
        <f t="shared" si="50"/>
        <v>0.128</v>
      </c>
      <c r="CP55" s="1">
        <f t="shared" si="51"/>
        <v>6.7000000000000004E-2</v>
      </c>
      <c r="CQ55" s="1">
        <f t="shared" si="52"/>
        <v>1.0999999999999999E-2</v>
      </c>
      <c r="CS55" s="1">
        <f t="shared" si="38"/>
        <v>-1.7999999999999998</v>
      </c>
      <c r="CT55" s="1">
        <f t="shared" si="39"/>
        <v>-4.8000000000000007</v>
      </c>
    </row>
    <row r="56" spans="1:98" x14ac:dyDescent="0.2">
      <c r="A56" s="8">
        <f t="shared" si="40"/>
        <v>43881</v>
      </c>
      <c r="B56" s="1">
        <v>51</v>
      </c>
      <c r="C56" s="1">
        <v>11</v>
      </c>
      <c r="D56" s="2">
        <v>13.09</v>
      </c>
      <c r="E56" s="2">
        <v>-1.202</v>
      </c>
      <c r="F56" s="2">
        <v>-12.43</v>
      </c>
      <c r="G56" s="2">
        <v>-7.1260000000000003</v>
      </c>
      <c r="H56" s="2">
        <v>71.739999999999995</v>
      </c>
      <c r="I56" s="2">
        <v>-0.52400000000000002</v>
      </c>
      <c r="J56" s="2">
        <v>-1.1379999999999999</v>
      </c>
      <c r="K56" s="2">
        <v>-5.8999999999999997E-2</v>
      </c>
      <c r="L56" s="2">
        <v>0.77700000000000002</v>
      </c>
      <c r="M56" s="2">
        <v>1.4079999999999999</v>
      </c>
      <c r="N56" s="2">
        <v>0.36699999999999999</v>
      </c>
      <c r="O56" s="2">
        <v>86.8</v>
      </c>
      <c r="P56" s="2">
        <v>-0.41299999999999998</v>
      </c>
      <c r="Q56" s="2">
        <v>-1.0389999999999999</v>
      </c>
      <c r="R56" s="2">
        <v>3.5000000000000003E-2</v>
      </c>
      <c r="S56" s="2">
        <v>0.85699999999999998</v>
      </c>
      <c r="T56" s="2">
        <v>1.4970000000000001</v>
      </c>
      <c r="U56" s="2">
        <v>-10.94</v>
      </c>
      <c r="V56" s="2">
        <v>52.29</v>
      </c>
      <c r="W56" s="2">
        <v>-0.624</v>
      </c>
      <c r="X56" s="2">
        <v>-1.234</v>
      </c>
      <c r="Y56" s="2">
        <v>-0.14899999999999999</v>
      </c>
      <c r="Z56" s="2">
        <v>0.69099999999999995</v>
      </c>
      <c r="AA56" s="2">
        <v>1.325</v>
      </c>
      <c r="AB56" s="2">
        <v>1.18</v>
      </c>
      <c r="AC56" s="2">
        <v>0</v>
      </c>
      <c r="AD56" s="2">
        <v>10.31</v>
      </c>
      <c r="AE56" s="2">
        <v>10.38</v>
      </c>
      <c r="AF56" s="2">
        <v>1.365</v>
      </c>
      <c r="AG56" s="2">
        <v>3.3889999999999998</v>
      </c>
      <c r="AH56" s="2">
        <v>-10.31</v>
      </c>
      <c r="AI56" s="2">
        <v>-5.6000000000000001E-2</v>
      </c>
      <c r="AJ56" s="2">
        <v>-16.28</v>
      </c>
      <c r="AK56" s="2">
        <v>5.2560000000000002</v>
      </c>
      <c r="AL56" s="2">
        <v>-10.92</v>
      </c>
      <c r="AM56" s="2">
        <v>1.2</v>
      </c>
      <c r="AN56" s="2" t="s">
        <v>122</v>
      </c>
      <c r="AO56" s="2">
        <v>10</v>
      </c>
      <c r="AP56" s="2">
        <v>67</v>
      </c>
      <c r="AQ56" s="2">
        <v>735</v>
      </c>
      <c r="AR56" s="2">
        <v>1165</v>
      </c>
      <c r="AS56" s="2">
        <v>643</v>
      </c>
      <c r="AT56" s="2">
        <v>213</v>
      </c>
      <c r="AU56" s="2">
        <v>43</v>
      </c>
      <c r="AV56" s="2">
        <v>4</v>
      </c>
      <c r="AW56" s="2"/>
      <c r="AX56" s="1">
        <f t="shared" si="41"/>
        <v>1.3699999999999999</v>
      </c>
      <c r="AY56" s="21">
        <f t="shared" si="42"/>
        <v>-0.6</v>
      </c>
      <c r="AZ56" s="5">
        <v>11.55</v>
      </c>
      <c r="BA56" s="1">
        <v>10.69</v>
      </c>
      <c r="BB56" s="1">
        <v>9.5500000000000007</v>
      </c>
      <c r="BC56" s="6">
        <f t="shared" si="35"/>
        <v>0.89335827876520124</v>
      </c>
      <c r="BE56" s="30">
        <v>0</v>
      </c>
      <c r="BF56" s="27">
        <v>1410</v>
      </c>
      <c r="BG56" s="1">
        <f t="shared" si="2"/>
        <v>86.8</v>
      </c>
      <c r="BH56" s="1">
        <f t="shared" si="3"/>
        <v>71.7</v>
      </c>
      <c r="BI56" s="1">
        <f t="shared" si="4"/>
        <v>52.3</v>
      </c>
      <c r="BJ56" s="7">
        <f t="shared" si="5"/>
        <v>0.32800000000000001</v>
      </c>
      <c r="BK56" s="7">
        <f t="shared" si="6"/>
        <v>0.29899999999999999</v>
      </c>
      <c r="BM56" s="5">
        <f t="shared" si="7"/>
        <v>10.69</v>
      </c>
      <c r="BN56" s="5">
        <f t="shared" si="8"/>
        <v>9.5500000000000007</v>
      </c>
      <c r="BO56" s="1">
        <f t="shared" si="9"/>
        <v>-7.1</v>
      </c>
      <c r="BP56" s="1">
        <f t="shared" si="10"/>
        <v>0.4</v>
      </c>
      <c r="BQ56" s="1">
        <f t="shared" si="11"/>
        <v>-10.9</v>
      </c>
      <c r="BR56" s="1">
        <f t="shared" si="12"/>
        <v>71.7</v>
      </c>
      <c r="BS56" s="1">
        <f t="shared" si="13"/>
        <v>52.3</v>
      </c>
      <c r="BT56" s="1">
        <f t="shared" si="14"/>
        <v>1.4</v>
      </c>
      <c r="BU56" s="1">
        <f t="shared" si="15"/>
        <v>3.4</v>
      </c>
      <c r="BV56" s="33">
        <f t="shared" si="16"/>
        <v>0</v>
      </c>
      <c r="BW56" s="34">
        <f t="shared" si="43"/>
        <v>1.41</v>
      </c>
      <c r="BX56" s="20">
        <f t="shared" si="18"/>
        <v>-0.6</v>
      </c>
      <c r="BY56" s="1">
        <f t="shared" si="19"/>
        <v>-10.3</v>
      </c>
      <c r="BZ56" s="1">
        <f t="shared" si="20"/>
        <v>-0.1</v>
      </c>
      <c r="CA56" s="1">
        <f t="shared" si="21"/>
        <v>-16.3</v>
      </c>
      <c r="CB56" s="1">
        <f t="shared" si="22"/>
        <v>-0.1</v>
      </c>
      <c r="CC56" s="1">
        <f t="shared" si="23"/>
        <v>0.8</v>
      </c>
      <c r="CD56" s="1">
        <f t="shared" si="24"/>
        <v>1.4</v>
      </c>
      <c r="CE56" s="1" t="str">
        <f t="shared" si="25"/>
        <v>NAN</v>
      </c>
      <c r="CF56" s="1">
        <f t="shared" si="36"/>
        <v>0.32800000000000001</v>
      </c>
      <c r="CG56" s="1">
        <f t="shared" si="37"/>
        <v>0.29899999999999999</v>
      </c>
      <c r="CI56" s="1">
        <f t="shared" si="44"/>
        <v>2880</v>
      </c>
      <c r="CJ56" s="1">
        <f t="shared" si="45"/>
        <v>3.0000000000000001E-3</v>
      </c>
      <c r="CK56" s="1">
        <f t="shared" si="46"/>
        <v>2.3E-2</v>
      </c>
      <c r="CL56" s="1">
        <f t="shared" si="47"/>
        <v>0.255</v>
      </c>
      <c r="CM56" s="1">
        <f t="shared" si="48"/>
        <v>0.40500000000000003</v>
      </c>
      <c r="CN56" s="1">
        <f t="shared" si="49"/>
        <v>0.223</v>
      </c>
      <c r="CO56" s="1">
        <f t="shared" si="50"/>
        <v>7.3999999999999996E-2</v>
      </c>
      <c r="CP56" s="1">
        <f t="shared" si="51"/>
        <v>1.4999999999999999E-2</v>
      </c>
      <c r="CQ56" s="1">
        <f t="shared" si="52"/>
        <v>1E-3</v>
      </c>
      <c r="CS56" s="1">
        <f t="shared" si="38"/>
        <v>-0.5</v>
      </c>
      <c r="CT56" s="1">
        <f t="shared" si="39"/>
        <v>-5.4</v>
      </c>
    </row>
    <row r="57" spans="1:98" x14ac:dyDescent="0.2">
      <c r="A57" s="8">
        <f t="shared" si="40"/>
        <v>43882</v>
      </c>
      <c r="B57" s="1">
        <v>52</v>
      </c>
      <c r="C57" s="1">
        <v>11</v>
      </c>
      <c r="D57" s="2">
        <v>13.06</v>
      </c>
      <c r="E57" s="2">
        <v>0.309</v>
      </c>
      <c r="F57" s="2">
        <v>-12.74</v>
      </c>
      <c r="G57" s="2">
        <v>-4.4340000000000002</v>
      </c>
      <c r="H57" s="2">
        <v>65.48</v>
      </c>
      <c r="I57" s="2">
        <v>-0.5</v>
      </c>
      <c r="J57" s="2">
        <v>-1.121</v>
      </c>
      <c r="K57" s="2">
        <v>-2.4E-2</v>
      </c>
      <c r="L57" s="2">
        <v>0.80800000000000005</v>
      </c>
      <c r="M57" s="2">
        <v>1.43</v>
      </c>
      <c r="N57" s="2">
        <v>2.2269999999999999</v>
      </c>
      <c r="O57" s="2">
        <v>84.4</v>
      </c>
      <c r="P57" s="2">
        <v>-0.372</v>
      </c>
      <c r="Q57" s="2">
        <v>-0.996</v>
      </c>
      <c r="R57" s="2">
        <v>0.111</v>
      </c>
      <c r="S57" s="2">
        <v>0.91600000000000004</v>
      </c>
      <c r="T57" s="2">
        <v>1.5509999999999999</v>
      </c>
      <c r="U57" s="2">
        <v>-10.199999999999999</v>
      </c>
      <c r="V57" s="2">
        <v>38.4</v>
      </c>
      <c r="W57" s="2">
        <v>-0.65100000000000002</v>
      </c>
      <c r="X57" s="2">
        <v>-1.26</v>
      </c>
      <c r="Y57" s="2">
        <v>-0.128</v>
      </c>
      <c r="Z57" s="2">
        <v>0.69899999999999995</v>
      </c>
      <c r="AA57" s="2">
        <v>1.2869999999999999</v>
      </c>
      <c r="AB57" s="2">
        <v>1.1990000000000001</v>
      </c>
      <c r="AC57" s="2">
        <v>0</v>
      </c>
      <c r="AD57" s="2">
        <v>9.43</v>
      </c>
      <c r="AE57" s="2">
        <v>8.98</v>
      </c>
      <c r="AF57" s="2">
        <v>0.92800000000000005</v>
      </c>
      <c r="AG57" s="2">
        <v>3.2530000000000001</v>
      </c>
      <c r="AH57" s="2">
        <v>-7.44</v>
      </c>
      <c r="AI57" s="2">
        <v>1.9590000000000001</v>
      </c>
      <c r="AJ57" s="2">
        <v>-15.75</v>
      </c>
      <c r="AK57" s="2">
        <v>7</v>
      </c>
      <c r="AL57" s="2">
        <v>-9.7899999999999991</v>
      </c>
      <c r="AM57" s="2">
        <v>1.2090000000000001</v>
      </c>
      <c r="AN57" s="2" t="s">
        <v>122</v>
      </c>
      <c r="AO57" s="2">
        <v>4</v>
      </c>
      <c r="AP57" s="2">
        <v>13</v>
      </c>
      <c r="AQ57" s="2">
        <v>422</v>
      </c>
      <c r="AR57" s="2">
        <v>665</v>
      </c>
      <c r="AS57" s="2">
        <v>647</v>
      </c>
      <c r="AT57" s="2">
        <v>720</v>
      </c>
      <c r="AU57" s="2">
        <v>358</v>
      </c>
      <c r="AV57" s="2">
        <v>51</v>
      </c>
      <c r="AW57" s="2"/>
      <c r="AX57" s="1">
        <f t="shared" si="41"/>
        <v>1.3509999999999998</v>
      </c>
      <c r="AY57" s="21">
        <f t="shared" si="42"/>
        <v>-0.5</v>
      </c>
      <c r="AZ57" s="5">
        <v>11.76</v>
      </c>
      <c r="BA57" s="1">
        <v>9.43</v>
      </c>
      <c r="BB57" s="1">
        <v>8.26</v>
      </c>
      <c r="BC57" s="6">
        <f t="shared" si="35"/>
        <v>0.87592788971367974</v>
      </c>
      <c r="BE57" s="30">
        <v>0</v>
      </c>
      <c r="BF57" s="27">
        <v>1390.9999999999998</v>
      </c>
      <c r="BG57" s="1">
        <f t="shared" si="2"/>
        <v>84.4</v>
      </c>
      <c r="BH57" s="1">
        <f t="shared" si="3"/>
        <v>65.5</v>
      </c>
      <c r="BI57" s="1">
        <f t="shared" si="4"/>
        <v>38.4</v>
      </c>
      <c r="BJ57" s="7">
        <f t="shared" si="5"/>
        <v>0.27500000000000002</v>
      </c>
      <c r="BK57" s="7">
        <f t="shared" si="6"/>
        <v>0.441</v>
      </c>
      <c r="BM57" s="5">
        <f t="shared" si="7"/>
        <v>9.43</v>
      </c>
      <c r="BN57" s="5">
        <f t="shared" si="8"/>
        <v>8.26</v>
      </c>
      <c r="BO57" s="1">
        <f t="shared" si="9"/>
        <v>-4.4000000000000004</v>
      </c>
      <c r="BP57" s="1">
        <f t="shared" si="10"/>
        <v>2.2000000000000002</v>
      </c>
      <c r="BQ57" s="1">
        <f t="shared" si="11"/>
        <v>-10.199999999999999</v>
      </c>
      <c r="BR57" s="1">
        <f t="shared" si="12"/>
        <v>65.5</v>
      </c>
      <c r="BS57" s="1">
        <f t="shared" si="13"/>
        <v>38.4</v>
      </c>
      <c r="BT57" s="1">
        <f t="shared" si="14"/>
        <v>0.9</v>
      </c>
      <c r="BU57" s="1">
        <f t="shared" si="15"/>
        <v>3.3</v>
      </c>
      <c r="BV57" s="33">
        <f t="shared" si="16"/>
        <v>0</v>
      </c>
      <c r="BW57" s="34">
        <f t="shared" si="43"/>
        <v>1.391</v>
      </c>
      <c r="BX57" s="20">
        <f t="shared" si="18"/>
        <v>-0.5</v>
      </c>
      <c r="BY57" s="1">
        <f t="shared" si="19"/>
        <v>-7.4</v>
      </c>
      <c r="BZ57" s="1">
        <f t="shared" si="20"/>
        <v>2</v>
      </c>
      <c r="CA57" s="1">
        <f t="shared" si="21"/>
        <v>-15.8</v>
      </c>
      <c r="CB57" s="1">
        <f t="shared" si="22"/>
        <v>0</v>
      </c>
      <c r="CC57" s="1">
        <f t="shared" si="23"/>
        <v>0.8</v>
      </c>
      <c r="CD57" s="1">
        <f t="shared" si="24"/>
        <v>1.4</v>
      </c>
      <c r="CE57" s="1" t="str">
        <f t="shared" si="25"/>
        <v>NAN</v>
      </c>
      <c r="CF57" s="1">
        <f t="shared" si="36"/>
        <v>0.27500000000000002</v>
      </c>
      <c r="CG57" s="1">
        <f t="shared" si="37"/>
        <v>0.441</v>
      </c>
      <c r="CI57" s="1">
        <f t="shared" si="44"/>
        <v>2880</v>
      </c>
      <c r="CJ57" s="1">
        <f t="shared" si="45"/>
        <v>1E-3</v>
      </c>
      <c r="CK57" s="1">
        <f t="shared" si="46"/>
        <v>5.0000000000000001E-3</v>
      </c>
      <c r="CL57" s="1">
        <f t="shared" si="47"/>
        <v>0.14699999999999999</v>
      </c>
      <c r="CM57" s="1">
        <f t="shared" si="48"/>
        <v>0.23100000000000001</v>
      </c>
      <c r="CN57" s="1">
        <f t="shared" si="49"/>
        <v>0.22500000000000001</v>
      </c>
      <c r="CO57" s="1">
        <f t="shared" si="50"/>
        <v>0.25</v>
      </c>
      <c r="CP57" s="1">
        <f t="shared" si="51"/>
        <v>0.124</v>
      </c>
      <c r="CQ57" s="1">
        <f t="shared" si="52"/>
        <v>1.7999999999999999E-2</v>
      </c>
      <c r="CS57" s="1">
        <f t="shared" si="38"/>
        <v>-0.20000000000000018</v>
      </c>
      <c r="CT57" s="1">
        <f t="shared" si="39"/>
        <v>-5.6000000000000014</v>
      </c>
    </row>
    <row r="58" spans="1:98" x14ac:dyDescent="0.2">
      <c r="A58" s="8">
        <f t="shared" si="40"/>
        <v>43883</v>
      </c>
      <c r="B58" s="1">
        <v>53</v>
      </c>
      <c r="C58" s="1">
        <v>11</v>
      </c>
      <c r="D58" s="2">
        <v>13.05</v>
      </c>
      <c r="E58" s="2">
        <v>-3.7709999999999999</v>
      </c>
      <c r="F58" s="2">
        <v>-11.07</v>
      </c>
      <c r="G58" s="2">
        <v>-5.8789999999999996</v>
      </c>
      <c r="H58" s="2">
        <v>75.45</v>
      </c>
      <c r="I58" s="2">
        <v>-0.498</v>
      </c>
      <c r="J58" s="2">
        <v>-1.1399999999999999</v>
      </c>
      <c r="K58" s="2">
        <v>-1.7999999999999999E-2</v>
      </c>
      <c r="L58" s="2">
        <v>0.80900000000000005</v>
      </c>
      <c r="M58" s="2">
        <v>1.425</v>
      </c>
      <c r="N58" s="2">
        <v>-3.1920000000000002</v>
      </c>
      <c r="O58" s="2">
        <v>93.5</v>
      </c>
      <c r="P58" s="2">
        <v>-0.42</v>
      </c>
      <c r="Q58" s="2">
        <v>-1.056</v>
      </c>
      <c r="R58" s="2">
        <v>5.5E-2</v>
      </c>
      <c r="S58" s="2">
        <v>0.88600000000000001</v>
      </c>
      <c r="T58" s="2">
        <v>1.5189999999999999</v>
      </c>
      <c r="U58" s="2">
        <v>-9.83</v>
      </c>
      <c r="V58" s="2">
        <v>47.78</v>
      </c>
      <c r="W58" s="2">
        <v>-0.59</v>
      </c>
      <c r="X58" s="2">
        <v>-1.2410000000000001</v>
      </c>
      <c r="Y58" s="2">
        <v>-0.09</v>
      </c>
      <c r="Z58" s="2">
        <v>0.71299999999999997</v>
      </c>
      <c r="AA58" s="2">
        <v>1.341</v>
      </c>
      <c r="AB58" s="2">
        <v>1.1850000000000001</v>
      </c>
      <c r="AC58" s="2">
        <v>0</v>
      </c>
      <c r="AD58" s="2">
        <v>4.74</v>
      </c>
      <c r="AE58" s="2">
        <v>4.5810000000000004</v>
      </c>
      <c r="AF58" s="2">
        <v>1.1639999999999999</v>
      </c>
      <c r="AG58" s="2">
        <v>6.1269999999999998</v>
      </c>
      <c r="AH58" s="2">
        <v>-7.2690000000000001</v>
      </c>
      <c r="AI58" s="2">
        <v>-0.44700000000000001</v>
      </c>
      <c r="AJ58" s="2">
        <v>-14.39</v>
      </c>
      <c r="AK58" s="2">
        <v>1.2190000000000001</v>
      </c>
      <c r="AL58" s="2">
        <v>-9.65</v>
      </c>
      <c r="AM58" s="2">
        <v>1.2</v>
      </c>
      <c r="AN58" s="2" t="s">
        <v>122</v>
      </c>
      <c r="AO58" s="2">
        <v>365</v>
      </c>
      <c r="AP58" s="2">
        <v>327</v>
      </c>
      <c r="AQ58" s="2">
        <v>571</v>
      </c>
      <c r="AR58" s="2">
        <v>136</v>
      </c>
      <c r="AS58" s="2">
        <v>189</v>
      </c>
      <c r="AT58" s="2">
        <v>362</v>
      </c>
      <c r="AU58" s="2">
        <v>544</v>
      </c>
      <c r="AV58" s="2">
        <v>386</v>
      </c>
      <c r="AW58" s="2"/>
      <c r="AX58" s="1">
        <f t="shared" si="41"/>
        <v>1.3649999999999998</v>
      </c>
      <c r="AY58" s="21">
        <f t="shared" si="42"/>
        <v>-0.6</v>
      </c>
      <c r="AZ58" s="5">
        <v>11.98</v>
      </c>
      <c r="BA58" s="1">
        <v>4.74</v>
      </c>
      <c r="BB58" s="1">
        <v>4.21</v>
      </c>
      <c r="BC58" s="6">
        <f t="shared" si="35"/>
        <v>0.88818565400843874</v>
      </c>
      <c r="BE58" s="30">
        <v>2.7</v>
      </c>
      <c r="BF58" s="27">
        <v>1404.9999999999998</v>
      </c>
      <c r="BG58" s="1">
        <f t="shared" si="2"/>
        <v>93.5</v>
      </c>
      <c r="BH58" s="1">
        <f t="shared" si="3"/>
        <v>75.5</v>
      </c>
      <c r="BI58" s="1">
        <f t="shared" si="4"/>
        <v>47.8</v>
      </c>
      <c r="BJ58" s="7">
        <f t="shared" si="5"/>
        <v>0.23100000000000001</v>
      </c>
      <c r="BK58" s="7">
        <f t="shared" si="6"/>
        <v>0.252</v>
      </c>
      <c r="BM58" s="5">
        <f t="shared" si="7"/>
        <v>4.74</v>
      </c>
      <c r="BN58" s="5">
        <f t="shared" si="8"/>
        <v>4.21</v>
      </c>
      <c r="BO58" s="1">
        <f t="shared" si="9"/>
        <v>-5.9</v>
      </c>
      <c r="BP58" s="1">
        <f t="shared" si="10"/>
        <v>-3.2</v>
      </c>
      <c r="BQ58" s="1">
        <f t="shared" si="11"/>
        <v>-9.8000000000000007</v>
      </c>
      <c r="BR58" s="1">
        <f t="shared" si="12"/>
        <v>75.5</v>
      </c>
      <c r="BS58" s="1">
        <f t="shared" si="13"/>
        <v>47.8</v>
      </c>
      <c r="BT58" s="1">
        <f t="shared" si="14"/>
        <v>1.2</v>
      </c>
      <c r="BU58" s="1">
        <f t="shared" si="15"/>
        <v>6.1</v>
      </c>
      <c r="BV58" s="33">
        <f t="shared" si="16"/>
        <v>2.7</v>
      </c>
      <c r="BW58" s="34">
        <f t="shared" si="43"/>
        <v>1.405</v>
      </c>
      <c r="BX58" s="20">
        <f t="shared" si="18"/>
        <v>-0.6</v>
      </c>
      <c r="BY58" s="1">
        <f t="shared" si="19"/>
        <v>-7.3</v>
      </c>
      <c r="BZ58" s="1">
        <f t="shared" si="20"/>
        <v>-0.4</v>
      </c>
      <c r="CA58" s="1">
        <f t="shared" si="21"/>
        <v>-14.4</v>
      </c>
      <c r="CB58" s="1">
        <f t="shared" si="22"/>
        <v>0</v>
      </c>
      <c r="CC58" s="1">
        <f t="shared" si="23"/>
        <v>0.8</v>
      </c>
      <c r="CD58" s="1">
        <f t="shared" si="24"/>
        <v>1.4</v>
      </c>
      <c r="CE58" s="1" t="str">
        <f t="shared" si="25"/>
        <v>NAN</v>
      </c>
      <c r="CF58" s="1">
        <f t="shared" si="36"/>
        <v>0.23100000000000001</v>
      </c>
      <c r="CG58" s="1">
        <f t="shared" si="37"/>
        <v>0.252</v>
      </c>
      <c r="CI58" s="1">
        <f t="shared" si="44"/>
        <v>2880</v>
      </c>
      <c r="CJ58" s="1">
        <f t="shared" si="45"/>
        <v>0.127</v>
      </c>
      <c r="CK58" s="1">
        <f t="shared" si="46"/>
        <v>0.114</v>
      </c>
      <c r="CL58" s="1">
        <f t="shared" si="47"/>
        <v>0.19800000000000001</v>
      </c>
      <c r="CM58" s="1">
        <f t="shared" si="48"/>
        <v>4.7E-2</v>
      </c>
      <c r="CN58" s="1">
        <f t="shared" si="49"/>
        <v>6.6000000000000003E-2</v>
      </c>
      <c r="CO58" s="1">
        <f t="shared" si="50"/>
        <v>0.126</v>
      </c>
      <c r="CP58" s="1">
        <f t="shared" si="51"/>
        <v>0.189</v>
      </c>
      <c r="CQ58" s="1">
        <f t="shared" si="52"/>
        <v>0.13400000000000001</v>
      </c>
      <c r="CS58" s="1">
        <f t="shared" si="38"/>
        <v>2.8000000000000003</v>
      </c>
      <c r="CT58" s="1">
        <f t="shared" si="39"/>
        <v>-4.5999999999999996</v>
      </c>
    </row>
    <row r="59" spans="1:98" x14ac:dyDescent="0.2">
      <c r="A59" s="8">
        <f t="shared" si="40"/>
        <v>43884</v>
      </c>
      <c r="B59" s="1">
        <v>54</v>
      </c>
      <c r="C59" s="1">
        <v>11</v>
      </c>
      <c r="D59" s="2">
        <v>13.03</v>
      </c>
      <c r="E59" s="2">
        <v>-3.0640000000000001</v>
      </c>
      <c r="F59" s="2">
        <v>-8.17</v>
      </c>
      <c r="G59" s="2">
        <v>-6.0380000000000003</v>
      </c>
      <c r="H59" s="2">
        <v>88.5</v>
      </c>
      <c r="I59" s="2">
        <v>-0.50900000000000001</v>
      </c>
      <c r="J59" s="2">
        <v>-1.1659999999999999</v>
      </c>
      <c r="K59" s="2">
        <v>-1.4E-2</v>
      </c>
      <c r="L59" s="2">
        <v>0.80700000000000005</v>
      </c>
      <c r="M59" s="2">
        <v>1.4179999999999999</v>
      </c>
      <c r="N59" s="2">
        <v>-3.294</v>
      </c>
      <c r="O59" s="2">
        <v>92.3</v>
      </c>
      <c r="P59" s="2">
        <v>-0.40799999999999997</v>
      </c>
      <c r="Q59" s="2">
        <v>-1.091</v>
      </c>
      <c r="R59" s="2">
        <v>6.3E-2</v>
      </c>
      <c r="S59" s="2">
        <v>0.879</v>
      </c>
      <c r="T59" s="2">
        <v>1.4870000000000001</v>
      </c>
      <c r="U59" s="2">
        <v>-8.1</v>
      </c>
      <c r="V59" s="2">
        <v>74.61</v>
      </c>
      <c r="W59" s="2">
        <v>-0.60499999999999998</v>
      </c>
      <c r="X59" s="2">
        <v>-1.246</v>
      </c>
      <c r="Y59" s="2">
        <v>-9.0999999999999998E-2</v>
      </c>
      <c r="Z59" s="2">
        <v>0.72799999999999998</v>
      </c>
      <c r="AA59" s="2">
        <v>1.3240000000000001</v>
      </c>
      <c r="AB59" s="2">
        <v>1.1819999999999999</v>
      </c>
      <c r="AC59" s="2">
        <v>0</v>
      </c>
      <c r="AD59" s="2">
        <v>4.407</v>
      </c>
      <c r="AE59" s="2">
        <v>4.2530000000000001</v>
      </c>
      <c r="AF59" s="2">
        <v>1.919</v>
      </c>
      <c r="AG59" s="2">
        <v>5.0039999999999996</v>
      </c>
      <c r="AH59" s="2">
        <v>-6.6109999999999998</v>
      </c>
      <c r="AI59" s="2">
        <v>-1.7050000000000001</v>
      </c>
      <c r="AJ59" s="2">
        <v>-9.65</v>
      </c>
      <c r="AK59" s="2">
        <v>0.28699999999999998</v>
      </c>
      <c r="AL59" s="2">
        <v>-8.26</v>
      </c>
      <c r="AM59" s="2">
        <v>1.1950000000000001</v>
      </c>
      <c r="AN59" s="2" t="s">
        <v>122</v>
      </c>
      <c r="AO59" s="2">
        <v>232</v>
      </c>
      <c r="AP59" s="2">
        <v>13</v>
      </c>
      <c r="AQ59" s="2">
        <v>33</v>
      </c>
      <c r="AR59" s="2">
        <v>174</v>
      </c>
      <c r="AS59" s="2">
        <v>445</v>
      </c>
      <c r="AT59" s="2">
        <v>656</v>
      </c>
      <c r="AU59" s="2">
        <v>637</v>
      </c>
      <c r="AV59" s="2">
        <v>690</v>
      </c>
      <c r="AW59" s="2"/>
      <c r="AX59" s="1">
        <f t="shared" si="41"/>
        <v>1.3679999999999999</v>
      </c>
      <c r="AY59" s="21">
        <f t="shared" si="42"/>
        <v>-0.6</v>
      </c>
      <c r="AZ59" s="5">
        <v>12.21</v>
      </c>
      <c r="BA59" s="1">
        <v>4.47</v>
      </c>
      <c r="BB59" s="1">
        <v>3.91</v>
      </c>
      <c r="BC59" s="6">
        <f t="shared" si="35"/>
        <v>0.87472035794183456</v>
      </c>
      <c r="BE59" s="30">
        <v>3.7</v>
      </c>
      <c r="BF59" s="27">
        <v>1435</v>
      </c>
      <c r="BG59" s="1">
        <f t="shared" si="2"/>
        <v>92.3</v>
      </c>
      <c r="BH59" s="1">
        <f t="shared" si="3"/>
        <v>88.5</v>
      </c>
      <c r="BI59" s="1">
        <f t="shared" si="4"/>
        <v>74.599999999999994</v>
      </c>
      <c r="BJ59" s="7">
        <f t="shared" si="5"/>
        <v>0.35699999999999998</v>
      </c>
      <c r="BK59" s="7">
        <f t="shared" si="6"/>
        <v>0.122</v>
      </c>
      <c r="BM59" s="5">
        <f t="shared" si="7"/>
        <v>4.47</v>
      </c>
      <c r="BN59" s="5">
        <f t="shared" si="8"/>
        <v>3.91</v>
      </c>
      <c r="BO59" s="1">
        <f t="shared" si="9"/>
        <v>-6</v>
      </c>
      <c r="BP59" s="1">
        <f t="shared" si="10"/>
        <v>-3.3</v>
      </c>
      <c r="BQ59" s="1">
        <f t="shared" si="11"/>
        <v>-8.1</v>
      </c>
      <c r="BR59" s="1">
        <f t="shared" si="12"/>
        <v>88.5</v>
      </c>
      <c r="BS59" s="1">
        <f t="shared" si="13"/>
        <v>74.599999999999994</v>
      </c>
      <c r="BT59" s="1">
        <f t="shared" si="14"/>
        <v>1.9</v>
      </c>
      <c r="BU59" s="1">
        <f t="shared" si="15"/>
        <v>5</v>
      </c>
      <c r="BV59" s="33">
        <f t="shared" si="16"/>
        <v>3.7</v>
      </c>
      <c r="BW59" s="34">
        <f t="shared" si="43"/>
        <v>1.4350000000000001</v>
      </c>
      <c r="BX59" s="20">
        <f t="shared" si="18"/>
        <v>-0.6</v>
      </c>
      <c r="BY59" s="1">
        <f t="shared" si="19"/>
        <v>-6.6</v>
      </c>
      <c r="BZ59" s="1">
        <f t="shared" si="20"/>
        <v>-1.7</v>
      </c>
      <c r="CA59" s="1">
        <f t="shared" si="21"/>
        <v>-9.6999999999999993</v>
      </c>
      <c r="CB59" s="1">
        <f t="shared" si="22"/>
        <v>0</v>
      </c>
      <c r="CC59" s="1">
        <f t="shared" si="23"/>
        <v>0.8</v>
      </c>
      <c r="CD59" s="1">
        <f t="shared" si="24"/>
        <v>1.4</v>
      </c>
      <c r="CE59" s="1" t="str">
        <f t="shared" si="25"/>
        <v>NAN</v>
      </c>
      <c r="CF59" s="1">
        <f t="shared" si="36"/>
        <v>0.35699999999999998</v>
      </c>
      <c r="CG59" s="1">
        <f t="shared" si="37"/>
        <v>0.122</v>
      </c>
      <c r="CI59" s="1">
        <f t="shared" si="44"/>
        <v>2880</v>
      </c>
      <c r="CJ59" s="1">
        <f t="shared" si="45"/>
        <v>8.1000000000000003E-2</v>
      </c>
      <c r="CK59" s="1">
        <f t="shared" si="46"/>
        <v>5.0000000000000001E-3</v>
      </c>
      <c r="CL59" s="1">
        <f t="shared" si="47"/>
        <v>1.0999999999999999E-2</v>
      </c>
      <c r="CM59" s="1">
        <f t="shared" si="48"/>
        <v>0.06</v>
      </c>
      <c r="CN59" s="1">
        <f t="shared" si="49"/>
        <v>0.155</v>
      </c>
      <c r="CO59" s="1">
        <f t="shared" si="50"/>
        <v>0.22800000000000001</v>
      </c>
      <c r="CP59" s="1">
        <f t="shared" si="51"/>
        <v>0.221</v>
      </c>
      <c r="CQ59" s="1">
        <f t="shared" si="52"/>
        <v>0.24</v>
      </c>
      <c r="CS59" s="1">
        <f t="shared" si="38"/>
        <v>1.5999999999999999</v>
      </c>
      <c r="CT59" s="1">
        <f t="shared" si="39"/>
        <v>-1.5999999999999996</v>
      </c>
    </row>
    <row r="60" spans="1:98" x14ac:dyDescent="0.2">
      <c r="A60" s="8">
        <f t="shared" si="40"/>
        <v>43885</v>
      </c>
      <c r="B60" s="1">
        <v>55</v>
      </c>
      <c r="C60" s="1">
        <v>11</v>
      </c>
      <c r="D60" s="2">
        <v>13.03</v>
      </c>
      <c r="E60" s="2">
        <v>-5.0039999999999996</v>
      </c>
      <c r="F60" s="2">
        <v>-6.423</v>
      </c>
      <c r="G60" s="2">
        <v>-7.5369999999999999</v>
      </c>
      <c r="H60" s="2">
        <v>90.3</v>
      </c>
      <c r="I60" s="2">
        <v>-0.51</v>
      </c>
      <c r="J60" s="2">
        <v>-1.173</v>
      </c>
      <c r="K60" s="2">
        <v>-5.0000000000000001E-3</v>
      </c>
      <c r="L60" s="2">
        <v>0.81</v>
      </c>
      <c r="M60" s="2">
        <v>1.419</v>
      </c>
      <c r="N60" s="2">
        <v>-5.6589999999999998</v>
      </c>
      <c r="O60" s="2">
        <v>92</v>
      </c>
      <c r="P60" s="2">
        <v>-0.44500000000000001</v>
      </c>
      <c r="Q60" s="2">
        <v>-1.0980000000000001</v>
      </c>
      <c r="R60" s="2">
        <v>5.8999999999999997E-2</v>
      </c>
      <c r="S60" s="2">
        <v>0.874</v>
      </c>
      <c r="T60" s="2">
        <v>1.4870000000000001</v>
      </c>
      <c r="U60" s="2">
        <v>-10.82</v>
      </c>
      <c r="V60" s="2">
        <v>87.9</v>
      </c>
      <c r="W60" s="2">
        <v>-0.59099999999999997</v>
      </c>
      <c r="X60" s="2">
        <v>-1.2569999999999999</v>
      </c>
      <c r="Y60" s="2">
        <v>-7.5999999999999998E-2</v>
      </c>
      <c r="Z60" s="2">
        <v>0.73699999999999999</v>
      </c>
      <c r="AA60" s="2">
        <v>1.341</v>
      </c>
      <c r="AB60" s="2">
        <v>0.96199999999999997</v>
      </c>
      <c r="AC60" s="2">
        <v>0</v>
      </c>
      <c r="AD60" s="2">
        <v>1.6990000000000001</v>
      </c>
      <c r="AE60" s="2">
        <v>4.53</v>
      </c>
      <c r="AF60" s="2">
        <v>1.454</v>
      </c>
      <c r="AG60" s="2">
        <v>4.407</v>
      </c>
      <c r="AH60" s="2">
        <v>-8.16</v>
      </c>
      <c r="AI60" s="2">
        <v>-4.7190000000000003</v>
      </c>
      <c r="AJ60" s="2">
        <v>-15.09</v>
      </c>
      <c r="AK60" s="2">
        <v>-3.97</v>
      </c>
      <c r="AL60" s="2">
        <v>-11.1</v>
      </c>
      <c r="AM60" s="2">
        <v>0.98099999999999998</v>
      </c>
      <c r="AN60" s="2" t="s">
        <v>122</v>
      </c>
      <c r="AO60" s="2">
        <v>784</v>
      </c>
      <c r="AP60" s="2">
        <v>458</v>
      </c>
      <c r="AQ60" s="2">
        <v>123</v>
      </c>
      <c r="AR60" s="2">
        <v>22</v>
      </c>
      <c r="AS60" s="2">
        <v>18</v>
      </c>
      <c r="AT60" s="2">
        <v>57</v>
      </c>
      <c r="AU60" s="2">
        <v>355</v>
      </c>
      <c r="AV60" s="2">
        <v>1063</v>
      </c>
      <c r="AW60" s="2"/>
      <c r="AX60" s="1">
        <f t="shared" si="41"/>
        <v>1.5879999999999999</v>
      </c>
      <c r="AY60" s="21">
        <f t="shared" si="42"/>
        <v>-0.6</v>
      </c>
      <c r="AZ60" s="5">
        <v>12.42</v>
      </c>
      <c r="BA60" s="1">
        <v>4.3899999999999997</v>
      </c>
      <c r="BB60" s="1">
        <v>4.17</v>
      </c>
      <c r="BC60" s="6">
        <f t="shared" si="35"/>
        <v>0.94988610478359914</v>
      </c>
      <c r="BE60" s="30">
        <v>26.6</v>
      </c>
      <c r="BF60" s="27">
        <v>1628</v>
      </c>
      <c r="BG60" s="1">
        <f t="shared" si="2"/>
        <v>92</v>
      </c>
      <c r="BH60" s="1">
        <f t="shared" si="3"/>
        <v>90.3</v>
      </c>
      <c r="BI60" s="1">
        <f t="shared" si="4"/>
        <v>87.9</v>
      </c>
      <c r="BJ60" s="7">
        <f t="shared" si="5"/>
        <v>0.35199999999999998</v>
      </c>
      <c r="BK60" s="7">
        <f t="shared" si="6"/>
        <v>4.8000000000000001E-2</v>
      </c>
      <c r="BM60" s="5">
        <f t="shared" si="7"/>
        <v>4.3899999999999997</v>
      </c>
      <c r="BN60" s="5">
        <f t="shared" si="8"/>
        <v>4.17</v>
      </c>
      <c r="BO60" s="1">
        <f t="shared" si="9"/>
        <v>-7.5</v>
      </c>
      <c r="BP60" s="1">
        <f t="shared" si="10"/>
        <v>-5.7</v>
      </c>
      <c r="BQ60" s="1">
        <f t="shared" si="11"/>
        <v>-10.8</v>
      </c>
      <c r="BR60" s="1">
        <f t="shared" si="12"/>
        <v>90.3</v>
      </c>
      <c r="BS60" s="1">
        <f t="shared" si="13"/>
        <v>87.9</v>
      </c>
      <c r="BT60" s="1">
        <f t="shared" si="14"/>
        <v>1.5</v>
      </c>
      <c r="BU60" s="1">
        <f t="shared" si="15"/>
        <v>4.4000000000000004</v>
      </c>
      <c r="BV60" s="33">
        <f t="shared" si="16"/>
        <v>26.6</v>
      </c>
      <c r="BW60" s="34">
        <f t="shared" si="43"/>
        <v>1.6279999999999999</v>
      </c>
      <c r="BX60" s="20">
        <f t="shared" si="18"/>
        <v>-0.6</v>
      </c>
      <c r="BY60" s="1">
        <f t="shared" si="19"/>
        <v>-8.1999999999999993</v>
      </c>
      <c r="BZ60" s="1">
        <f t="shared" si="20"/>
        <v>-4.7</v>
      </c>
      <c r="CA60" s="1">
        <f t="shared" si="21"/>
        <v>-15.1</v>
      </c>
      <c r="CB60" s="1">
        <f t="shared" si="22"/>
        <v>0</v>
      </c>
      <c r="CC60" s="1">
        <f t="shared" si="23"/>
        <v>0.8</v>
      </c>
      <c r="CD60" s="1">
        <f t="shared" si="24"/>
        <v>1.4</v>
      </c>
      <c r="CE60" s="1" t="str">
        <f t="shared" si="25"/>
        <v>NAN</v>
      </c>
      <c r="CF60" s="1">
        <f t="shared" si="36"/>
        <v>0.35199999999999998</v>
      </c>
      <c r="CG60" s="1">
        <f t="shared" si="37"/>
        <v>4.8000000000000001E-2</v>
      </c>
      <c r="CI60" s="1">
        <f t="shared" si="44"/>
        <v>2880</v>
      </c>
      <c r="CJ60" s="1">
        <f t="shared" si="45"/>
        <v>0.27200000000000002</v>
      </c>
      <c r="CK60" s="1">
        <f t="shared" si="46"/>
        <v>0.159</v>
      </c>
      <c r="CL60" s="1">
        <f t="shared" si="47"/>
        <v>4.2999999999999997E-2</v>
      </c>
      <c r="CM60" s="1">
        <f t="shared" si="48"/>
        <v>8.0000000000000002E-3</v>
      </c>
      <c r="CN60" s="1">
        <f t="shared" si="49"/>
        <v>6.0000000000000001E-3</v>
      </c>
      <c r="CO60" s="1">
        <f t="shared" si="50"/>
        <v>0.02</v>
      </c>
      <c r="CP60" s="1">
        <f t="shared" si="51"/>
        <v>0.123</v>
      </c>
      <c r="CQ60" s="1">
        <f t="shared" si="52"/>
        <v>0.36899999999999999</v>
      </c>
      <c r="CS60" s="1">
        <f t="shared" si="38"/>
        <v>1</v>
      </c>
      <c r="CT60" s="1">
        <f t="shared" si="39"/>
        <v>-4.2999999999999989</v>
      </c>
    </row>
    <row r="61" spans="1:98" x14ac:dyDescent="0.2">
      <c r="A61" s="8">
        <f t="shared" si="40"/>
        <v>43886</v>
      </c>
      <c r="B61" s="1">
        <v>56</v>
      </c>
      <c r="C61" s="1">
        <v>11</v>
      </c>
      <c r="D61" s="2">
        <v>13.04</v>
      </c>
      <c r="E61" s="2">
        <v>-4.5279999999999996</v>
      </c>
      <c r="F61" s="2">
        <v>-7.327</v>
      </c>
      <c r="G61" s="2">
        <v>-6.9980000000000002</v>
      </c>
      <c r="H61" s="2">
        <v>90.4</v>
      </c>
      <c r="I61" s="2">
        <v>-0.51300000000000001</v>
      </c>
      <c r="J61" s="2">
        <v>-1.173</v>
      </c>
      <c r="K61" s="2">
        <v>-7.0000000000000001E-3</v>
      </c>
      <c r="L61" s="2">
        <v>0.80500000000000005</v>
      </c>
      <c r="M61" s="2">
        <v>1.41</v>
      </c>
      <c r="N61" s="2">
        <v>-2.0920000000000001</v>
      </c>
      <c r="O61" s="2">
        <v>93.6</v>
      </c>
      <c r="P61" s="2">
        <v>-0.437</v>
      </c>
      <c r="Q61" s="2">
        <v>-1.0860000000000001</v>
      </c>
      <c r="R61" s="2">
        <v>7.0000000000000007E-2</v>
      </c>
      <c r="S61" s="2">
        <v>0.86899999999999999</v>
      </c>
      <c r="T61" s="2">
        <v>1.482</v>
      </c>
      <c r="U61" s="2">
        <v>-12.72</v>
      </c>
      <c r="V61" s="2">
        <v>86.2</v>
      </c>
      <c r="W61" s="2">
        <v>-0.60199999999999998</v>
      </c>
      <c r="X61" s="2">
        <v>-1.2569999999999999</v>
      </c>
      <c r="Y61" s="2">
        <v>-8.6999999999999994E-2</v>
      </c>
      <c r="Z61" s="2">
        <v>0.71699999999999997</v>
      </c>
      <c r="AA61" s="2">
        <v>1.329</v>
      </c>
      <c r="AB61" s="2">
        <v>0.98799999999999999</v>
      </c>
      <c r="AC61" s="2">
        <v>0</v>
      </c>
      <c r="AD61" s="2">
        <v>3.149</v>
      </c>
      <c r="AE61" s="2">
        <v>5.5209999999999999</v>
      </c>
      <c r="AF61" s="2">
        <v>0.68799999999999994</v>
      </c>
      <c r="AG61" s="2">
        <v>2.403</v>
      </c>
      <c r="AH61" s="2">
        <v>-8.02</v>
      </c>
      <c r="AI61" s="2">
        <v>0.39600000000000002</v>
      </c>
      <c r="AJ61" s="2">
        <v>-16.61</v>
      </c>
      <c r="AK61" s="2">
        <v>3.972</v>
      </c>
      <c r="AL61" s="2">
        <v>-12.66</v>
      </c>
      <c r="AM61" s="2">
        <v>0.995</v>
      </c>
      <c r="AN61" s="2" t="s">
        <v>122</v>
      </c>
      <c r="AO61" s="2">
        <v>93</v>
      </c>
      <c r="AP61" s="2">
        <v>218</v>
      </c>
      <c r="AQ61" s="2">
        <v>580</v>
      </c>
      <c r="AR61" s="2">
        <v>639</v>
      </c>
      <c r="AS61" s="2">
        <v>534</v>
      </c>
      <c r="AT61" s="2">
        <v>488</v>
      </c>
      <c r="AU61" s="2">
        <v>218</v>
      </c>
      <c r="AV61" s="2">
        <v>110</v>
      </c>
      <c r="AW61" s="2"/>
      <c r="AX61" s="1">
        <f t="shared" si="41"/>
        <v>1.5619999999999998</v>
      </c>
      <c r="AY61" s="21">
        <f t="shared" si="42"/>
        <v>-0.6</v>
      </c>
      <c r="AZ61" s="5">
        <v>12.65</v>
      </c>
      <c r="BA61" s="1">
        <v>5.35</v>
      </c>
      <c r="BB61" s="1">
        <v>5.08</v>
      </c>
      <c r="BC61" s="6">
        <f t="shared" si="35"/>
        <v>0.94953271028037389</v>
      </c>
      <c r="BE61" s="30">
        <v>0</v>
      </c>
      <c r="BF61" s="27">
        <v>1601.9999999999998</v>
      </c>
      <c r="BG61" s="1">
        <f t="shared" si="2"/>
        <v>93.6</v>
      </c>
      <c r="BH61" s="1">
        <f t="shared" si="3"/>
        <v>90.4</v>
      </c>
      <c r="BI61" s="1">
        <f t="shared" si="4"/>
        <v>86.2</v>
      </c>
      <c r="BJ61" s="7">
        <f t="shared" si="5"/>
        <v>0.45100000000000001</v>
      </c>
      <c r="BK61" s="7">
        <f t="shared" si="6"/>
        <v>7.1999999999999995E-2</v>
      </c>
      <c r="BM61" s="5">
        <f t="shared" si="7"/>
        <v>5.35</v>
      </c>
      <c r="BN61" s="5">
        <f t="shared" si="8"/>
        <v>5.08</v>
      </c>
      <c r="BO61" s="1">
        <f t="shared" si="9"/>
        <v>-7</v>
      </c>
      <c r="BP61" s="1">
        <f t="shared" si="10"/>
        <v>-2.1</v>
      </c>
      <c r="BQ61" s="1">
        <f t="shared" si="11"/>
        <v>-12.7</v>
      </c>
      <c r="BR61" s="1">
        <f t="shared" si="12"/>
        <v>90.4</v>
      </c>
      <c r="BS61" s="1">
        <f t="shared" si="13"/>
        <v>86.2</v>
      </c>
      <c r="BT61" s="1">
        <f t="shared" si="14"/>
        <v>0.7</v>
      </c>
      <c r="BU61" s="1">
        <f t="shared" si="15"/>
        <v>2.4</v>
      </c>
      <c r="BV61" s="33">
        <f t="shared" si="16"/>
        <v>0</v>
      </c>
      <c r="BW61" s="34">
        <f t="shared" si="43"/>
        <v>1.6020000000000001</v>
      </c>
      <c r="BX61" s="20">
        <f t="shared" si="18"/>
        <v>-0.6</v>
      </c>
      <c r="BY61" s="1">
        <f t="shared" si="19"/>
        <v>-8</v>
      </c>
      <c r="BZ61" s="1">
        <f t="shared" si="20"/>
        <v>0.4</v>
      </c>
      <c r="CA61" s="1">
        <f t="shared" si="21"/>
        <v>-16.600000000000001</v>
      </c>
      <c r="CB61" s="1">
        <f t="shared" si="22"/>
        <v>0</v>
      </c>
      <c r="CC61" s="1">
        <f t="shared" si="23"/>
        <v>0.8</v>
      </c>
      <c r="CD61" s="1">
        <f t="shared" si="24"/>
        <v>1.4</v>
      </c>
      <c r="CE61" s="1" t="str">
        <f t="shared" si="25"/>
        <v>NAN</v>
      </c>
      <c r="CF61" s="1">
        <f t="shared" si="36"/>
        <v>0.45100000000000001</v>
      </c>
      <c r="CG61" s="1">
        <f t="shared" si="37"/>
        <v>7.1999999999999995E-2</v>
      </c>
      <c r="CI61" s="1">
        <f t="shared" si="44"/>
        <v>2880</v>
      </c>
      <c r="CJ61" s="1">
        <f t="shared" si="45"/>
        <v>3.2000000000000001E-2</v>
      </c>
      <c r="CK61" s="1">
        <f t="shared" si="46"/>
        <v>7.5999999999999998E-2</v>
      </c>
      <c r="CL61" s="1">
        <f t="shared" si="47"/>
        <v>0.20100000000000001</v>
      </c>
      <c r="CM61" s="1">
        <f t="shared" si="48"/>
        <v>0.222</v>
      </c>
      <c r="CN61" s="1">
        <f t="shared" si="49"/>
        <v>0.185</v>
      </c>
      <c r="CO61" s="1">
        <f t="shared" si="50"/>
        <v>0.16900000000000001</v>
      </c>
      <c r="CP61" s="1">
        <f t="shared" si="51"/>
        <v>7.5999999999999998E-2</v>
      </c>
      <c r="CQ61" s="1">
        <f t="shared" si="52"/>
        <v>3.7999999999999999E-2</v>
      </c>
      <c r="CS61" s="1">
        <f t="shared" si="38"/>
        <v>2.5</v>
      </c>
      <c r="CT61" s="1">
        <f t="shared" si="39"/>
        <v>-3.9000000000000021</v>
      </c>
    </row>
    <row r="62" spans="1:98" x14ac:dyDescent="0.2">
      <c r="A62" s="8">
        <f t="shared" si="40"/>
        <v>43887</v>
      </c>
      <c r="B62" s="1">
        <v>57</v>
      </c>
      <c r="C62" s="1">
        <v>11</v>
      </c>
      <c r="D62" s="2">
        <v>13.03</v>
      </c>
      <c r="E62" s="2">
        <v>-2.42</v>
      </c>
      <c r="F62" s="2">
        <v>-5.0039999999999996</v>
      </c>
      <c r="G62" s="2">
        <v>-3.3780000000000001</v>
      </c>
      <c r="H62" s="2">
        <v>81.3</v>
      </c>
      <c r="I62" s="2">
        <v>-0.50900000000000001</v>
      </c>
      <c r="J62" s="2">
        <v>-1.1599999999999999</v>
      </c>
      <c r="K62" s="2">
        <v>-1E-3</v>
      </c>
      <c r="L62" s="2">
        <v>0.80600000000000005</v>
      </c>
      <c r="M62" s="2">
        <v>1.413</v>
      </c>
      <c r="N62" s="2">
        <v>1.3169999999999999</v>
      </c>
      <c r="O62" s="2">
        <v>93.7</v>
      </c>
      <c r="P62" s="2">
        <v>-0.438</v>
      </c>
      <c r="Q62" s="2">
        <v>-1.0760000000000001</v>
      </c>
      <c r="R62" s="2">
        <v>6.9000000000000006E-2</v>
      </c>
      <c r="S62" s="2">
        <v>0.873</v>
      </c>
      <c r="T62" s="2">
        <v>1.4770000000000001</v>
      </c>
      <c r="U62" s="2">
        <v>-6.4459999999999997</v>
      </c>
      <c r="V62" s="2">
        <v>55.3</v>
      </c>
      <c r="W62" s="2">
        <v>-0.61199999999999999</v>
      </c>
      <c r="X62" s="2">
        <v>-1.248</v>
      </c>
      <c r="Y62" s="2">
        <v>-9.4E-2</v>
      </c>
      <c r="Z62" s="2">
        <v>0.71699999999999997</v>
      </c>
      <c r="AA62" s="2">
        <v>1.34</v>
      </c>
      <c r="AB62" s="2">
        <v>1.0369999999999999</v>
      </c>
      <c r="AC62" s="2">
        <v>0</v>
      </c>
      <c r="AD62" s="2">
        <v>9.15</v>
      </c>
      <c r="AE62" s="2">
        <v>10.94</v>
      </c>
      <c r="AF62" s="2">
        <v>1.359</v>
      </c>
      <c r="AG62" s="2">
        <v>5.6459999999999999</v>
      </c>
      <c r="AH62" s="2">
        <v>-4.6970000000000001</v>
      </c>
      <c r="AI62" s="2">
        <v>1.206</v>
      </c>
      <c r="AJ62" s="2">
        <v>-10.76</v>
      </c>
      <c r="AK62" s="2">
        <v>5.5970000000000004</v>
      </c>
      <c r="AL62" s="2">
        <v>-7.2880000000000003</v>
      </c>
      <c r="AM62" s="2">
        <v>1.044</v>
      </c>
      <c r="AN62" s="2" t="s">
        <v>122</v>
      </c>
      <c r="AO62" s="2">
        <v>436</v>
      </c>
      <c r="AP62" s="2">
        <v>85</v>
      </c>
      <c r="AQ62" s="2">
        <v>25</v>
      </c>
      <c r="AR62" s="2">
        <v>13</v>
      </c>
      <c r="AS62" s="2">
        <v>44</v>
      </c>
      <c r="AT62" s="2">
        <v>185</v>
      </c>
      <c r="AU62" s="2">
        <v>933</v>
      </c>
      <c r="AV62" s="2">
        <v>1158</v>
      </c>
      <c r="AW62" s="2"/>
      <c r="AX62" s="1">
        <f t="shared" si="41"/>
        <v>1.5129999999999999</v>
      </c>
      <c r="AY62" s="21">
        <f t="shared" si="42"/>
        <v>-0.6</v>
      </c>
      <c r="AZ62" s="5">
        <v>12.88</v>
      </c>
      <c r="BA62" s="1">
        <v>10.5</v>
      </c>
      <c r="BB62" s="1">
        <v>10.06</v>
      </c>
      <c r="BC62" s="6">
        <f t="shared" si="35"/>
        <v>0.95809523809523811</v>
      </c>
      <c r="BE62" s="30">
        <v>0</v>
      </c>
      <c r="BF62" s="27">
        <v>1553</v>
      </c>
      <c r="BG62" s="1">
        <f t="shared" si="2"/>
        <v>93.7</v>
      </c>
      <c r="BH62" s="1">
        <f t="shared" si="3"/>
        <v>81.3</v>
      </c>
      <c r="BI62" s="1">
        <f t="shared" si="4"/>
        <v>55.3</v>
      </c>
      <c r="BJ62" s="7">
        <f t="shared" si="5"/>
        <v>0.371</v>
      </c>
      <c r="BK62" s="7">
        <f t="shared" si="6"/>
        <v>0.3</v>
      </c>
      <c r="BM62" s="5">
        <f t="shared" si="7"/>
        <v>10.5</v>
      </c>
      <c r="BN62" s="5">
        <f t="shared" si="8"/>
        <v>10.06</v>
      </c>
      <c r="BO62" s="1">
        <f t="shared" si="9"/>
        <v>-3.4</v>
      </c>
      <c r="BP62" s="1">
        <f t="shared" si="10"/>
        <v>1.3</v>
      </c>
      <c r="BQ62" s="1">
        <f t="shared" si="11"/>
        <v>-6.4</v>
      </c>
      <c r="BR62" s="1">
        <f t="shared" si="12"/>
        <v>81.3</v>
      </c>
      <c r="BS62" s="1">
        <f t="shared" si="13"/>
        <v>55.3</v>
      </c>
      <c r="BT62" s="1">
        <f t="shared" si="14"/>
        <v>1.4</v>
      </c>
      <c r="BU62" s="1">
        <f t="shared" si="15"/>
        <v>5.6</v>
      </c>
      <c r="BV62" s="33">
        <f t="shared" si="16"/>
        <v>0</v>
      </c>
      <c r="BW62" s="34">
        <f t="shared" si="43"/>
        <v>1.5529999999999999</v>
      </c>
      <c r="BX62" s="20">
        <f t="shared" si="18"/>
        <v>-0.6</v>
      </c>
      <c r="BY62" s="1">
        <f t="shared" si="19"/>
        <v>-4.7</v>
      </c>
      <c r="BZ62" s="1">
        <f t="shared" si="20"/>
        <v>1.2</v>
      </c>
      <c r="CA62" s="1">
        <f t="shared" si="21"/>
        <v>-10.8</v>
      </c>
      <c r="CB62" s="1">
        <f t="shared" si="22"/>
        <v>0</v>
      </c>
      <c r="CC62" s="1">
        <f t="shared" si="23"/>
        <v>0.8</v>
      </c>
      <c r="CD62" s="1">
        <f t="shared" si="24"/>
        <v>1.4</v>
      </c>
      <c r="CE62" s="1" t="str">
        <f t="shared" si="25"/>
        <v>NAN</v>
      </c>
      <c r="CF62" s="1">
        <f t="shared" si="36"/>
        <v>0.371</v>
      </c>
      <c r="CG62" s="1">
        <f t="shared" si="37"/>
        <v>0.3</v>
      </c>
      <c r="CI62" s="1">
        <f t="shared" si="44"/>
        <v>2879</v>
      </c>
      <c r="CJ62" s="1">
        <f t="shared" si="45"/>
        <v>0.151</v>
      </c>
      <c r="CK62" s="1">
        <f t="shared" si="46"/>
        <v>0.03</v>
      </c>
      <c r="CL62" s="1">
        <f t="shared" si="47"/>
        <v>8.9999999999999993E-3</v>
      </c>
      <c r="CM62" s="1">
        <f t="shared" si="48"/>
        <v>5.0000000000000001E-3</v>
      </c>
      <c r="CN62" s="1">
        <f t="shared" si="49"/>
        <v>1.4999999999999999E-2</v>
      </c>
      <c r="CO62" s="1">
        <f t="shared" si="50"/>
        <v>6.4000000000000001E-2</v>
      </c>
      <c r="CP62" s="1">
        <f t="shared" si="51"/>
        <v>0.32400000000000001</v>
      </c>
      <c r="CQ62" s="1">
        <f t="shared" si="52"/>
        <v>0.40200000000000002</v>
      </c>
      <c r="CS62" s="1">
        <f t="shared" si="38"/>
        <v>-0.10000000000000009</v>
      </c>
      <c r="CT62" s="1">
        <f t="shared" si="39"/>
        <v>-4.4000000000000004</v>
      </c>
    </row>
    <row r="63" spans="1:98" x14ac:dyDescent="0.2">
      <c r="A63" s="8">
        <f t="shared" si="40"/>
        <v>43888</v>
      </c>
      <c r="B63" s="1">
        <v>58</v>
      </c>
      <c r="C63" s="1">
        <v>11</v>
      </c>
      <c r="D63" s="2">
        <v>13.02</v>
      </c>
      <c r="E63" s="2">
        <v>-1.3939999999999999</v>
      </c>
      <c r="F63" s="2">
        <v>-4.2249999999999996</v>
      </c>
      <c r="G63" s="2">
        <v>-1.73</v>
      </c>
      <c r="H63" s="2">
        <v>79.739999999999995</v>
      </c>
      <c r="I63" s="2">
        <v>-0.49</v>
      </c>
      <c r="J63" s="2">
        <v>-1.1319999999999999</v>
      </c>
      <c r="K63" s="2">
        <v>1.2999999999999999E-2</v>
      </c>
      <c r="L63" s="2">
        <v>0.81499999999999995</v>
      </c>
      <c r="M63" s="2">
        <v>1.4219999999999999</v>
      </c>
      <c r="N63" s="2">
        <v>2.948</v>
      </c>
      <c r="O63" s="2">
        <v>93</v>
      </c>
      <c r="P63" s="2">
        <v>-0.41799999999999998</v>
      </c>
      <c r="Q63" s="2">
        <v>-1.0569999999999999</v>
      </c>
      <c r="R63" s="2">
        <v>8.7999999999999995E-2</v>
      </c>
      <c r="S63" s="2">
        <v>0.88600000000000001</v>
      </c>
      <c r="T63" s="2">
        <v>1.488</v>
      </c>
      <c r="U63" s="2">
        <v>-6.2460000000000004</v>
      </c>
      <c r="V63" s="2">
        <v>61.08</v>
      </c>
      <c r="W63" s="2">
        <v>-0.59399999999999997</v>
      </c>
      <c r="X63" s="2">
        <v>-1.2190000000000001</v>
      </c>
      <c r="Y63" s="2">
        <v>-6.8000000000000005E-2</v>
      </c>
      <c r="Z63" s="2">
        <v>0.73399999999999999</v>
      </c>
      <c r="AA63" s="2">
        <v>1.337</v>
      </c>
      <c r="AB63" s="2">
        <v>1.075</v>
      </c>
      <c r="AC63" s="2">
        <v>0</v>
      </c>
      <c r="AD63" s="2">
        <v>7.4139999999999997</v>
      </c>
      <c r="AE63" s="2">
        <v>6.891</v>
      </c>
      <c r="AF63" s="2">
        <v>1.635</v>
      </c>
      <c r="AG63" s="2">
        <v>5.2460000000000004</v>
      </c>
      <c r="AH63" s="2">
        <v>-3.12</v>
      </c>
      <c r="AI63" s="2">
        <v>4.2149999999999999</v>
      </c>
      <c r="AJ63" s="2">
        <v>-10.65</v>
      </c>
      <c r="AK63" s="2">
        <v>6.1719999999999997</v>
      </c>
      <c r="AL63" s="2">
        <v>-6.0469999999999997</v>
      </c>
      <c r="AM63" s="2">
        <v>1.08</v>
      </c>
      <c r="AN63" s="2" t="s">
        <v>122</v>
      </c>
      <c r="AO63" s="2">
        <v>251</v>
      </c>
      <c r="AP63" s="2">
        <v>30</v>
      </c>
      <c r="AQ63" s="2">
        <v>35</v>
      </c>
      <c r="AR63" s="2">
        <v>61</v>
      </c>
      <c r="AS63" s="2">
        <v>130</v>
      </c>
      <c r="AT63" s="2">
        <v>437</v>
      </c>
      <c r="AU63" s="2">
        <v>1109</v>
      </c>
      <c r="AV63" s="2">
        <v>827</v>
      </c>
      <c r="AW63" s="2"/>
      <c r="AX63" s="1">
        <f t="shared" si="41"/>
        <v>1.4749999999999999</v>
      </c>
      <c r="AY63" s="21">
        <f t="shared" si="42"/>
        <v>-0.5</v>
      </c>
      <c r="AZ63" s="5">
        <v>13.12</v>
      </c>
      <c r="BA63" s="1">
        <v>7.41</v>
      </c>
      <c r="BB63" s="1">
        <v>6.34</v>
      </c>
      <c r="BC63" s="6">
        <f t="shared" si="35"/>
        <v>0.8556005398110661</v>
      </c>
      <c r="BE63" s="30">
        <v>0</v>
      </c>
      <c r="BF63" s="27">
        <v>1515</v>
      </c>
      <c r="BG63" s="1">
        <f t="shared" si="2"/>
        <v>93</v>
      </c>
      <c r="BH63" s="1">
        <f t="shared" si="3"/>
        <v>79.7</v>
      </c>
      <c r="BI63" s="1">
        <f t="shared" si="4"/>
        <v>61.1</v>
      </c>
      <c r="BJ63" s="7">
        <f t="shared" si="5"/>
        <v>0.46100000000000002</v>
      </c>
      <c r="BK63" s="7">
        <f t="shared" si="6"/>
        <v>0.29399999999999998</v>
      </c>
      <c r="BM63" s="5">
        <f t="shared" si="7"/>
        <v>7.41</v>
      </c>
      <c r="BN63" s="5">
        <f t="shared" si="8"/>
        <v>6.34</v>
      </c>
      <c r="BO63" s="1">
        <f t="shared" si="9"/>
        <v>-1.7</v>
      </c>
      <c r="BP63" s="1">
        <f t="shared" si="10"/>
        <v>2.9</v>
      </c>
      <c r="BQ63" s="1">
        <f t="shared" si="11"/>
        <v>-6.2</v>
      </c>
      <c r="BR63" s="1">
        <f t="shared" si="12"/>
        <v>79.7</v>
      </c>
      <c r="BS63" s="1">
        <f t="shared" si="13"/>
        <v>61.1</v>
      </c>
      <c r="BT63" s="1">
        <f t="shared" si="14"/>
        <v>1.6</v>
      </c>
      <c r="BU63" s="1">
        <f t="shared" si="15"/>
        <v>5.2</v>
      </c>
      <c r="BV63" s="33">
        <f t="shared" si="16"/>
        <v>0</v>
      </c>
      <c r="BW63" s="34">
        <f t="shared" si="43"/>
        <v>1.5149999999999999</v>
      </c>
      <c r="BX63" s="20">
        <f t="shared" si="18"/>
        <v>-0.5</v>
      </c>
      <c r="BY63" s="1">
        <f t="shared" si="19"/>
        <v>-3.1</v>
      </c>
      <c r="BZ63" s="1">
        <f t="shared" si="20"/>
        <v>4.2</v>
      </c>
      <c r="CA63" s="1">
        <f t="shared" si="21"/>
        <v>-10.7</v>
      </c>
      <c r="CB63" s="1">
        <f t="shared" si="22"/>
        <v>0</v>
      </c>
      <c r="CC63" s="1">
        <f t="shared" si="23"/>
        <v>0.8</v>
      </c>
      <c r="CD63" s="1">
        <f t="shared" si="24"/>
        <v>1.4</v>
      </c>
      <c r="CE63" s="1" t="str">
        <f t="shared" si="25"/>
        <v>NAN</v>
      </c>
      <c r="CF63" s="1">
        <f t="shared" si="36"/>
        <v>0.46100000000000002</v>
      </c>
      <c r="CG63" s="1">
        <f t="shared" si="37"/>
        <v>0.29399999999999998</v>
      </c>
      <c r="CI63" s="1">
        <f t="shared" ref="CI63" si="53">SUM(AO63:AV63)</f>
        <v>2880</v>
      </c>
      <c r="CJ63" s="1">
        <f t="shared" ref="CJ63" si="54">ROUND(AO63/$CI63,3)</f>
        <v>8.6999999999999994E-2</v>
      </c>
      <c r="CK63" s="1">
        <f t="shared" ref="CK63" si="55">ROUND(AP63/$CI63,3)</f>
        <v>0.01</v>
      </c>
      <c r="CL63" s="1">
        <f t="shared" ref="CL63" si="56">ROUND(AQ63/$CI63,3)</f>
        <v>1.2E-2</v>
      </c>
      <c r="CM63" s="1">
        <f t="shared" ref="CM63" si="57">ROUND(AR63/$CI63,3)</f>
        <v>2.1000000000000001E-2</v>
      </c>
      <c r="CN63" s="1">
        <f t="shared" ref="CN63" si="58">ROUND(AS63/$CI63,3)</f>
        <v>4.4999999999999998E-2</v>
      </c>
      <c r="CO63" s="1">
        <f t="shared" ref="CO63" si="59">ROUND(AT63/$CI63,3)</f>
        <v>0.152</v>
      </c>
      <c r="CP63" s="1">
        <f t="shared" ref="CP63" si="60">ROUND(AU63/$CI63,3)</f>
        <v>0.38500000000000001</v>
      </c>
      <c r="CQ63" s="1">
        <f t="shared" ref="CQ63" si="61">ROUND(AV63/$CI63,3)</f>
        <v>0.28699999999999998</v>
      </c>
    </row>
    <row r="64" spans="1:98" x14ac:dyDescent="0.2">
      <c r="A64" s="8">
        <f t="shared" si="40"/>
        <v>43889</v>
      </c>
      <c r="B64" s="1">
        <v>59</v>
      </c>
      <c r="D64" s="2">
        <v>13.04</v>
      </c>
      <c r="E64" s="2">
        <v>-0.90400000000000003</v>
      </c>
      <c r="F64" s="2">
        <v>-4.8529999999999998</v>
      </c>
      <c r="G64" s="2">
        <v>-2.0609999999999999</v>
      </c>
      <c r="H64" s="2">
        <v>79.55</v>
      </c>
      <c r="I64" s="2">
        <v>-0.47899999999999998</v>
      </c>
      <c r="J64" s="2">
        <v>-1.1040000000000001</v>
      </c>
      <c r="K64" s="2">
        <v>1.4999999999999999E-2</v>
      </c>
      <c r="L64" s="2">
        <v>0.81499999999999995</v>
      </c>
      <c r="M64" s="2">
        <v>1.4159999999999999</v>
      </c>
      <c r="N64" s="2">
        <v>4.6100000000000003</v>
      </c>
      <c r="O64" s="2">
        <v>95.3</v>
      </c>
      <c r="P64" s="2">
        <v>-0.39200000000000002</v>
      </c>
      <c r="Q64" s="2">
        <v>-1.016</v>
      </c>
      <c r="R64" s="2">
        <v>9.0999999999999998E-2</v>
      </c>
      <c r="S64" s="2">
        <v>0.89100000000000001</v>
      </c>
      <c r="T64" s="2">
        <v>1.4970000000000001</v>
      </c>
      <c r="U64" s="2">
        <v>-6.3490000000000002</v>
      </c>
      <c r="V64" s="2">
        <v>53.03</v>
      </c>
      <c r="W64" s="2">
        <v>-0.58599999999999997</v>
      </c>
      <c r="X64" s="2">
        <v>-1.2010000000000001</v>
      </c>
      <c r="Y64" s="2">
        <v>-6.0999999999999999E-2</v>
      </c>
      <c r="Z64" s="2">
        <v>0.73599999999999999</v>
      </c>
      <c r="AA64" s="2">
        <v>1.3320000000000001</v>
      </c>
      <c r="AB64" s="2">
        <v>1.101</v>
      </c>
      <c r="AC64" s="2">
        <v>0</v>
      </c>
      <c r="AD64" s="2">
        <v>7.2229999999999999</v>
      </c>
      <c r="AE64" s="2">
        <v>6.9550000000000001</v>
      </c>
      <c r="AF64" s="2">
        <v>1.6850000000000001</v>
      </c>
      <c r="AG64" s="2">
        <v>6.55</v>
      </c>
      <c r="AH64" s="2">
        <v>-4.8620000000000001</v>
      </c>
      <c r="AI64" s="2">
        <v>4.3310000000000004</v>
      </c>
      <c r="AJ64" s="2">
        <v>-11.33</v>
      </c>
      <c r="AK64" s="2">
        <v>8.2899999999999991</v>
      </c>
      <c r="AL64" s="2">
        <v>-6.3730000000000002</v>
      </c>
      <c r="AM64" s="2">
        <v>1.1140000000000001</v>
      </c>
      <c r="AN64" s="2" t="s">
        <v>122</v>
      </c>
      <c r="AO64" s="2">
        <v>55</v>
      </c>
      <c r="AP64" s="2">
        <v>32</v>
      </c>
      <c r="AQ64" s="2">
        <v>153</v>
      </c>
      <c r="AR64" s="2">
        <v>398</v>
      </c>
      <c r="AS64" s="2">
        <v>710</v>
      </c>
      <c r="AT64" s="2">
        <v>883</v>
      </c>
      <c r="AU64" s="2">
        <v>471</v>
      </c>
      <c r="AV64" s="2">
        <v>178</v>
      </c>
      <c r="AW64" s="2"/>
      <c r="AX64" s="1">
        <f t="shared" si="41"/>
        <v>1.4489999999999998</v>
      </c>
      <c r="AY64" s="21">
        <f t="shared" si="42"/>
        <v>-0.5</v>
      </c>
      <c r="AZ64" s="5">
        <v>13.35</v>
      </c>
      <c r="BA64" s="1">
        <v>7.43</v>
      </c>
      <c r="BB64" s="1">
        <v>6.4</v>
      </c>
      <c r="BC64" s="6">
        <f t="shared" si="35"/>
        <v>0.86137281292059231</v>
      </c>
      <c r="BE64" s="30">
        <v>0</v>
      </c>
      <c r="BF64" s="27">
        <v>1488.9999999999998</v>
      </c>
      <c r="BG64" s="1">
        <f t="shared" si="2"/>
        <v>95.3</v>
      </c>
      <c r="BH64" s="1">
        <f t="shared" si="3"/>
        <v>79.599999999999994</v>
      </c>
      <c r="BI64" s="1">
        <f t="shared" si="4"/>
        <v>53</v>
      </c>
      <c r="BJ64" s="7">
        <f t="shared" si="5"/>
        <v>0.45</v>
      </c>
      <c r="BK64" s="7">
        <f t="shared" si="6"/>
        <v>0.39900000000000002</v>
      </c>
      <c r="BM64" s="5">
        <f t="shared" si="7"/>
        <v>7.43</v>
      </c>
      <c r="BN64" s="5">
        <f t="shared" si="8"/>
        <v>6.4</v>
      </c>
      <c r="BO64" s="1">
        <f t="shared" si="9"/>
        <v>-2.1</v>
      </c>
      <c r="BP64" s="1">
        <f t="shared" si="10"/>
        <v>4.5999999999999996</v>
      </c>
      <c r="BQ64" s="1">
        <f t="shared" si="11"/>
        <v>-6.3</v>
      </c>
      <c r="BR64" s="1">
        <f t="shared" si="12"/>
        <v>79.599999999999994</v>
      </c>
      <c r="BS64" s="1">
        <f t="shared" si="13"/>
        <v>53</v>
      </c>
      <c r="BT64" s="1">
        <f t="shared" si="14"/>
        <v>1.7</v>
      </c>
      <c r="BU64" s="1">
        <f t="shared" si="15"/>
        <v>6.6</v>
      </c>
      <c r="BV64" s="33">
        <f t="shared" si="16"/>
        <v>0</v>
      </c>
      <c r="BW64" s="34">
        <f t="shared" si="43"/>
        <v>1.4890000000000001</v>
      </c>
      <c r="BX64" s="20">
        <f t="shared" si="18"/>
        <v>-0.5</v>
      </c>
      <c r="BY64" s="1">
        <f t="shared" si="19"/>
        <v>-4.9000000000000004</v>
      </c>
      <c r="BZ64" s="1">
        <f t="shared" si="20"/>
        <v>4.3</v>
      </c>
      <c r="CA64" s="1">
        <f t="shared" si="21"/>
        <v>-11.3</v>
      </c>
      <c r="CB64" s="1">
        <f t="shared" si="22"/>
        <v>0</v>
      </c>
      <c r="CC64" s="1">
        <f t="shared" si="23"/>
        <v>0.8</v>
      </c>
      <c r="CD64" s="1">
        <f t="shared" si="24"/>
        <v>1.4</v>
      </c>
      <c r="CE64" s="1" t="str">
        <f t="shared" si="25"/>
        <v>NAN</v>
      </c>
      <c r="CF64" s="1">
        <f t="shared" si="36"/>
        <v>0.45</v>
      </c>
      <c r="CG64" s="1">
        <f t="shared" si="37"/>
        <v>0.39900000000000002</v>
      </c>
      <c r="CI64" s="1">
        <f t="shared" ref="CI64:CI127" si="62">SUM(AO64:AV64)</f>
        <v>2880</v>
      </c>
      <c r="CJ64" s="1">
        <f t="shared" ref="CJ64:CJ127" si="63">ROUND(AO64/$CI64,3)</f>
        <v>1.9E-2</v>
      </c>
      <c r="CK64" s="1">
        <f t="shared" ref="CK64:CK127" si="64">ROUND(AP64/$CI64,3)</f>
        <v>1.0999999999999999E-2</v>
      </c>
      <c r="CL64" s="1">
        <f t="shared" ref="CL64:CL127" si="65">ROUND(AQ64/$CI64,3)</f>
        <v>5.2999999999999999E-2</v>
      </c>
      <c r="CM64" s="1">
        <f t="shared" ref="CM64:CM127" si="66">ROUND(AR64/$CI64,3)</f>
        <v>0.13800000000000001</v>
      </c>
      <c r="CN64" s="1">
        <f t="shared" ref="CN64:CN127" si="67">ROUND(AS64/$CI64,3)</f>
        <v>0.247</v>
      </c>
      <c r="CO64" s="1">
        <f t="shared" ref="CO64:CO127" si="68">ROUND(AT64/$CI64,3)</f>
        <v>0.307</v>
      </c>
      <c r="CP64" s="1">
        <f t="shared" ref="CP64:CP127" si="69">ROUND(AU64/$CI64,3)</f>
        <v>0.16400000000000001</v>
      </c>
      <c r="CQ64" s="1">
        <f t="shared" ref="CQ64:CQ127" si="70">ROUND(AV64/$CI64,3)</f>
        <v>6.2E-2</v>
      </c>
      <c r="CS64" s="1">
        <f t="shared" si="38"/>
        <v>-0.29999999999999982</v>
      </c>
      <c r="CT64" s="1">
        <f t="shared" si="39"/>
        <v>-5.0000000000000009</v>
      </c>
    </row>
    <row r="65" spans="1:98" x14ac:dyDescent="0.2">
      <c r="A65" s="8">
        <f t="shared" si="40"/>
        <v>43890</v>
      </c>
      <c r="B65" s="1">
        <v>60</v>
      </c>
      <c r="C65" s="1">
        <v>11</v>
      </c>
      <c r="D65" s="2">
        <v>12.99</v>
      </c>
      <c r="E65" s="2">
        <v>-3.2559999999999998</v>
      </c>
      <c r="F65" s="2">
        <v>-5.07</v>
      </c>
      <c r="G65" s="2">
        <v>-6.81</v>
      </c>
      <c r="H65" s="2">
        <v>83.8</v>
      </c>
      <c r="I65" s="2">
        <v>-0.46700000000000003</v>
      </c>
      <c r="J65" s="2">
        <v>-1.0669999999999999</v>
      </c>
      <c r="K65" s="2">
        <v>1.7000000000000001E-2</v>
      </c>
      <c r="L65" s="2">
        <v>0.81100000000000005</v>
      </c>
      <c r="M65" s="2">
        <v>1.405</v>
      </c>
      <c r="N65" s="2">
        <v>-4.173</v>
      </c>
      <c r="O65" s="2">
        <v>92</v>
      </c>
      <c r="P65" s="2">
        <v>-0.36599999999999999</v>
      </c>
      <c r="Q65" s="2">
        <v>-0.96799999999999997</v>
      </c>
      <c r="R65" s="2">
        <v>8.6999999999999994E-2</v>
      </c>
      <c r="S65" s="2">
        <v>0.88300000000000001</v>
      </c>
      <c r="T65" s="2">
        <v>1.4830000000000001</v>
      </c>
      <c r="U65" s="2">
        <v>-8.69</v>
      </c>
      <c r="V65" s="2">
        <v>65.540000000000006</v>
      </c>
      <c r="W65" s="2">
        <v>-0.56999999999999995</v>
      </c>
      <c r="X65" s="2">
        <v>-1.153</v>
      </c>
      <c r="Y65" s="2">
        <v>-6.4000000000000001E-2</v>
      </c>
      <c r="Z65" s="2">
        <v>0.71299999999999997</v>
      </c>
      <c r="AA65" s="2">
        <v>1.333</v>
      </c>
      <c r="AB65" s="2">
        <v>1.014</v>
      </c>
      <c r="AC65" s="2">
        <v>0</v>
      </c>
      <c r="AD65" s="2">
        <v>5.5650000000000004</v>
      </c>
      <c r="AE65" s="2">
        <v>5.0039999999999996</v>
      </c>
      <c r="AF65" s="2">
        <v>1.82</v>
      </c>
      <c r="AG65" s="2">
        <v>5.3380000000000001</v>
      </c>
      <c r="AH65" s="2">
        <v>-7.61</v>
      </c>
      <c r="AI65" s="2">
        <v>-0.65100000000000002</v>
      </c>
      <c r="AJ65" s="2">
        <v>-10.94</v>
      </c>
      <c r="AK65" s="2">
        <v>-1.042</v>
      </c>
      <c r="AL65" s="2">
        <v>-8.9499999999999993</v>
      </c>
      <c r="AM65" s="2">
        <v>1.03</v>
      </c>
      <c r="AN65" s="2" t="s">
        <v>122</v>
      </c>
      <c r="AO65" s="2">
        <v>550</v>
      </c>
      <c r="AP65" s="2">
        <v>181</v>
      </c>
      <c r="AQ65" s="2">
        <v>69</v>
      </c>
      <c r="AR65" s="2">
        <v>39</v>
      </c>
      <c r="AS65" s="2">
        <v>60</v>
      </c>
      <c r="AT65" s="2">
        <v>199</v>
      </c>
      <c r="AU65" s="2">
        <v>783</v>
      </c>
      <c r="AV65" s="2">
        <v>999</v>
      </c>
      <c r="AW65" s="2"/>
      <c r="AX65" s="1">
        <f t="shared" si="41"/>
        <v>1.5359999999999998</v>
      </c>
      <c r="AY65" s="21">
        <f t="shared" si="42"/>
        <v>-0.5</v>
      </c>
      <c r="AZ65" s="5">
        <v>13.59</v>
      </c>
      <c r="BA65" s="1">
        <v>5.57</v>
      </c>
      <c r="BB65" s="1">
        <v>4.5999999999999996</v>
      </c>
      <c r="BC65" s="6">
        <f t="shared" si="35"/>
        <v>0.82585278276481133</v>
      </c>
      <c r="BE65" s="30">
        <v>10.6</v>
      </c>
      <c r="BF65" s="27">
        <v>1575.9999999999998</v>
      </c>
      <c r="BG65" s="1">
        <f t="shared" si="2"/>
        <v>92</v>
      </c>
      <c r="BH65" s="1">
        <f t="shared" si="3"/>
        <v>83.8</v>
      </c>
      <c r="BI65" s="1">
        <f t="shared" si="4"/>
        <v>65.5</v>
      </c>
      <c r="BJ65" s="7">
        <f t="shared" si="5"/>
        <v>0.29399999999999998</v>
      </c>
      <c r="BK65" s="7">
        <f t="shared" si="6"/>
        <v>0.155</v>
      </c>
      <c r="BM65" s="5">
        <f t="shared" si="7"/>
        <v>5.57</v>
      </c>
      <c r="BN65" s="5">
        <f t="shared" si="8"/>
        <v>4.5999999999999996</v>
      </c>
      <c r="BO65" s="1">
        <f t="shared" si="9"/>
        <v>-6.8</v>
      </c>
      <c r="BP65" s="1">
        <f t="shared" si="10"/>
        <v>-4.2</v>
      </c>
      <c r="BQ65" s="1">
        <f t="shared" si="11"/>
        <v>-8.6999999999999993</v>
      </c>
      <c r="BR65" s="1">
        <f t="shared" si="12"/>
        <v>83.8</v>
      </c>
      <c r="BS65" s="1">
        <f t="shared" si="13"/>
        <v>65.5</v>
      </c>
      <c r="BT65" s="1">
        <f t="shared" si="14"/>
        <v>1.8</v>
      </c>
      <c r="BU65" s="1">
        <f t="shared" si="15"/>
        <v>5.3</v>
      </c>
      <c r="BV65" s="33">
        <f t="shared" si="16"/>
        <v>10.6</v>
      </c>
      <c r="BW65" s="34">
        <f t="shared" si="43"/>
        <v>1.5760000000000001</v>
      </c>
      <c r="BX65" s="20">
        <f t="shared" si="18"/>
        <v>-0.5</v>
      </c>
      <c r="BY65" s="1">
        <f t="shared" si="19"/>
        <v>-7.6</v>
      </c>
      <c r="BZ65" s="1">
        <f t="shared" si="20"/>
        <v>-0.7</v>
      </c>
      <c r="CA65" s="1">
        <f t="shared" si="21"/>
        <v>-10.9</v>
      </c>
      <c r="CB65" s="1">
        <f t="shared" si="22"/>
        <v>0</v>
      </c>
      <c r="CC65" s="1">
        <f t="shared" si="23"/>
        <v>0.8</v>
      </c>
      <c r="CD65" s="1">
        <f t="shared" si="24"/>
        <v>1.4</v>
      </c>
      <c r="CE65" s="1" t="str">
        <f t="shared" si="25"/>
        <v>NAN</v>
      </c>
      <c r="CF65" s="1">
        <f t="shared" si="36"/>
        <v>0.29399999999999998</v>
      </c>
      <c r="CG65" s="1">
        <f t="shared" si="37"/>
        <v>0.155</v>
      </c>
      <c r="CI65" s="1">
        <f t="shared" si="62"/>
        <v>2880</v>
      </c>
      <c r="CJ65" s="1">
        <f t="shared" si="63"/>
        <v>0.191</v>
      </c>
      <c r="CK65" s="1">
        <f t="shared" si="64"/>
        <v>6.3E-2</v>
      </c>
      <c r="CL65" s="1">
        <f t="shared" si="65"/>
        <v>2.4E-2</v>
      </c>
      <c r="CM65" s="1">
        <f t="shared" si="66"/>
        <v>1.4E-2</v>
      </c>
      <c r="CN65" s="1">
        <f t="shared" si="67"/>
        <v>2.1000000000000001E-2</v>
      </c>
      <c r="CO65" s="1">
        <f t="shared" si="68"/>
        <v>6.9000000000000006E-2</v>
      </c>
      <c r="CP65" s="1">
        <f t="shared" si="69"/>
        <v>0.27200000000000002</v>
      </c>
      <c r="CQ65" s="1">
        <f t="shared" si="70"/>
        <v>0.34699999999999998</v>
      </c>
      <c r="CS65" s="1">
        <f t="shared" si="38"/>
        <v>3.5</v>
      </c>
      <c r="CT65" s="1">
        <f t="shared" si="39"/>
        <v>-2.2000000000000011</v>
      </c>
    </row>
    <row r="66" spans="1:98" x14ac:dyDescent="0.2">
      <c r="A66" s="8">
        <f t="shared" si="40"/>
        <v>43891</v>
      </c>
      <c r="B66" s="1">
        <v>61</v>
      </c>
      <c r="C66" s="1">
        <v>11</v>
      </c>
      <c r="D66" s="2">
        <v>13.01</v>
      </c>
      <c r="E66" s="2">
        <v>-3.47</v>
      </c>
      <c r="F66" s="2">
        <v>-5.6779999999999999</v>
      </c>
      <c r="G66" s="2">
        <v>-7.7690000000000001</v>
      </c>
      <c r="H66" s="2">
        <v>82.7</v>
      </c>
      <c r="I66" s="2">
        <v>-0.45300000000000001</v>
      </c>
      <c r="J66" s="2">
        <v>-1.026</v>
      </c>
      <c r="K66" s="2">
        <v>1.6E-2</v>
      </c>
      <c r="L66" s="2">
        <v>0.80500000000000005</v>
      </c>
      <c r="M66" s="2">
        <v>1.401</v>
      </c>
      <c r="N66" s="2">
        <v>-3.5310000000000001</v>
      </c>
      <c r="O66" s="2">
        <v>90.8</v>
      </c>
      <c r="P66" s="2">
        <v>-0.377</v>
      </c>
      <c r="Q66" s="2">
        <v>-0.94</v>
      </c>
      <c r="R66" s="2">
        <v>8.5999999999999993E-2</v>
      </c>
      <c r="S66" s="2">
        <v>0.89</v>
      </c>
      <c r="T66" s="2">
        <v>1.472</v>
      </c>
      <c r="U66" s="2">
        <v>-11.51</v>
      </c>
      <c r="V66" s="2">
        <v>60.27</v>
      </c>
      <c r="W66" s="2">
        <v>-0.54700000000000004</v>
      </c>
      <c r="X66" s="2">
        <v>-1.1140000000000001</v>
      </c>
      <c r="Y66" s="2">
        <v>-6.8000000000000005E-2</v>
      </c>
      <c r="Z66" s="2">
        <v>0.71</v>
      </c>
      <c r="AA66" s="2">
        <v>1.3089999999999999</v>
      </c>
      <c r="AB66" s="2">
        <v>1.048</v>
      </c>
      <c r="AC66" s="2">
        <v>0</v>
      </c>
      <c r="AD66" s="2">
        <v>5.8620000000000001</v>
      </c>
      <c r="AE66" s="2">
        <v>9.34</v>
      </c>
      <c r="AF66" s="2">
        <v>1.7130000000000001</v>
      </c>
      <c r="AG66" s="2">
        <v>5.3449999999999998</v>
      </c>
      <c r="AH66" s="2">
        <v>-8.91</v>
      </c>
      <c r="AI66" s="2">
        <v>-0.47599999999999998</v>
      </c>
      <c r="AJ66" s="2">
        <v>-17.43</v>
      </c>
      <c r="AK66" s="2">
        <v>0.22700000000000001</v>
      </c>
      <c r="AL66" s="2">
        <v>-12.64</v>
      </c>
      <c r="AM66" s="2">
        <v>1.06</v>
      </c>
      <c r="AN66" s="2" t="s">
        <v>122</v>
      </c>
      <c r="AO66" s="2">
        <v>736</v>
      </c>
      <c r="AP66" s="2">
        <v>484</v>
      </c>
      <c r="AQ66" s="2">
        <v>136</v>
      </c>
      <c r="AR66" s="2">
        <v>36</v>
      </c>
      <c r="AS66" s="2">
        <v>34</v>
      </c>
      <c r="AT66" s="2">
        <v>96</v>
      </c>
      <c r="AU66" s="2">
        <v>463</v>
      </c>
      <c r="AV66" s="2">
        <v>895</v>
      </c>
      <c r="AW66" s="2"/>
      <c r="AX66" s="1">
        <f t="shared" si="41"/>
        <v>1.5019999999999998</v>
      </c>
      <c r="AY66" s="21">
        <f t="shared" si="42"/>
        <v>-0.5</v>
      </c>
      <c r="AZ66" s="5">
        <v>13.82</v>
      </c>
      <c r="BA66" s="1">
        <v>9.0299999999999994</v>
      </c>
      <c r="BB66" s="1">
        <v>8.59</v>
      </c>
      <c r="BC66" s="6">
        <f t="shared" si="35"/>
        <v>0.95127353266888159</v>
      </c>
      <c r="BE66" s="30">
        <v>0</v>
      </c>
      <c r="BF66" s="27">
        <v>1541.9999999999998</v>
      </c>
      <c r="BG66" s="1">
        <f t="shared" si="2"/>
        <v>90.8</v>
      </c>
      <c r="BH66" s="1">
        <f t="shared" si="3"/>
        <v>82.7</v>
      </c>
      <c r="BI66" s="1">
        <f t="shared" si="4"/>
        <v>60.3</v>
      </c>
      <c r="BJ66" s="7">
        <f t="shared" si="5"/>
        <v>0.28399999999999997</v>
      </c>
      <c r="BK66" s="7">
        <f t="shared" si="6"/>
        <v>0.187</v>
      </c>
      <c r="BM66" s="5">
        <f t="shared" si="7"/>
        <v>9.0299999999999994</v>
      </c>
      <c r="BN66" s="5">
        <f t="shared" si="8"/>
        <v>8.59</v>
      </c>
      <c r="BO66" s="1">
        <f t="shared" si="9"/>
        <v>-7.8</v>
      </c>
      <c r="BP66" s="1">
        <f t="shared" si="10"/>
        <v>-3.5</v>
      </c>
      <c r="BQ66" s="1">
        <f t="shared" si="11"/>
        <v>-11.5</v>
      </c>
      <c r="BR66" s="1">
        <f t="shared" si="12"/>
        <v>82.7</v>
      </c>
      <c r="BS66" s="1">
        <f t="shared" si="13"/>
        <v>60.3</v>
      </c>
      <c r="BT66" s="1">
        <f t="shared" si="14"/>
        <v>1.7</v>
      </c>
      <c r="BU66" s="1">
        <f t="shared" si="15"/>
        <v>5.3</v>
      </c>
      <c r="BV66" s="33">
        <f t="shared" si="16"/>
        <v>0</v>
      </c>
      <c r="BW66" s="34">
        <f t="shared" si="43"/>
        <v>1.542</v>
      </c>
      <c r="BX66" s="20">
        <f t="shared" si="18"/>
        <v>-0.5</v>
      </c>
      <c r="BY66" s="1">
        <f t="shared" si="19"/>
        <v>-8.9</v>
      </c>
      <c r="BZ66" s="1">
        <f t="shared" si="20"/>
        <v>-0.5</v>
      </c>
      <c r="CA66" s="1">
        <f t="shared" si="21"/>
        <v>-17.399999999999999</v>
      </c>
      <c r="CB66" s="1">
        <f t="shared" si="22"/>
        <v>0</v>
      </c>
      <c r="CC66" s="1">
        <f t="shared" si="23"/>
        <v>0.8</v>
      </c>
      <c r="CD66" s="1">
        <f t="shared" si="24"/>
        <v>1.4</v>
      </c>
      <c r="CE66" s="1" t="str">
        <f t="shared" si="25"/>
        <v>NAN</v>
      </c>
      <c r="CF66" s="1">
        <f t="shared" si="36"/>
        <v>0.28399999999999997</v>
      </c>
      <c r="CG66" s="1">
        <f t="shared" si="37"/>
        <v>0.187</v>
      </c>
      <c r="CI66" s="1">
        <f t="shared" si="62"/>
        <v>2880</v>
      </c>
      <c r="CJ66" s="1">
        <f t="shared" si="63"/>
        <v>0.25600000000000001</v>
      </c>
      <c r="CK66" s="1">
        <f t="shared" si="64"/>
        <v>0.16800000000000001</v>
      </c>
      <c r="CL66" s="1">
        <f t="shared" si="65"/>
        <v>4.7E-2</v>
      </c>
      <c r="CM66" s="1">
        <f t="shared" si="66"/>
        <v>1.2999999999999999E-2</v>
      </c>
      <c r="CN66" s="1">
        <f t="shared" si="67"/>
        <v>1.2E-2</v>
      </c>
      <c r="CO66" s="1">
        <f t="shared" si="68"/>
        <v>3.3000000000000002E-2</v>
      </c>
      <c r="CP66" s="1">
        <f t="shared" si="69"/>
        <v>0.161</v>
      </c>
      <c r="CQ66" s="1">
        <f t="shared" si="70"/>
        <v>0.311</v>
      </c>
      <c r="CS66" s="1">
        <f t="shared" si="38"/>
        <v>3</v>
      </c>
      <c r="CT66" s="1">
        <f t="shared" si="39"/>
        <v>-5.8999999999999986</v>
      </c>
    </row>
    <row r="67" spans="1:98" x14ac:dyDescent="0.2">
      <c r="A67" s="8">
        <f t="shared" si="40"/>
        <v>43892</v>
      </c>
      <c r="B67" s="1">
        <v>62</v>
      </c>
      <c r="C67" s="1">
        <v>11</v>
      </c>
      <c r="D67" s="2">
        <v>12.99</v>
      </c>
      <c r="E67" s="2">
        <v>-1.95</v>
      </c>
      <c r="F67" s="2">
        <v>-4.4189999999999996</v>
      </c>
      <c r="G67" s="2">
        <v>-3.694</v>
      </c>
      <c r="H67" s="2">
        <v>83.5</v>
      </c>
      <c r="I67" s="2">
        <v>-0.42599999999999999</v>
      </c>
      <c r="J67" s="2">
        <v>-0.97899999999999998</v>
      </c>
      <c r="K67" s="2">
        <v>2.5999999999999999E-2</v>
      </c>
      <c r="L67" s="2">
        <v>0.81</v>
      </c>
      <c r="M67" s="2">
        <v>1.4059999999999999</v>
      </c>
      <c r="N67" s="2">
        <v>-0.27800000000000002</v>
      </c>
      <c r="O67" s="2">
        <v>93.9</v>
      </c>
      <c r="P67" s="2">
        <v>-0.33700000000000002</v>
      </c>
      <c r="Q67" s="2">
        <v>-0.89900000000000002</v>
      </c>
      <c r="R67" s="2">
        <v>0.10199999999999999</v>
      </c>
      <c r="S67" s="2">
        <v>0.90300000000000002</v>
      </c>
      <c r="T67" s="2">
        <v>1.488</v>
      </c>
      <c r="U67" s="2">
        <v>-6.0730000000000004</v>
      </c>
      <c r="V67" s="2">
        <v>65.73</v>
      </c>
      <c r="W67" s="2">
        <v>-0.51200000000000001</v>
      </c>
      <c r="X67" s="2">
        <v>-1.0720000000000001</v>
      </c>
      <c r="Y67" s="2">
        <v>-5.1999999999999998E-2</v>
      </c>
      <c r="Z67" s="2">
        <v>0.73</v>
      </c>
      <c r="AA67" s="2">
        <v>1.3149999999999999</v>
      </c>
      <c r="AB67" s="2">
        <v>1.1299999999999999</v>
      </c>
      <c r="AC67" s="2">
        <v>0</v>
      </c>
      <c r="AD67" s="2">
        <v>8.6300000000000008</v>
      </c>
      <c r="AE67" s="2">
        <v>8.2799999999999994</v>
      </c>
      <c r="AF67" s="2">
        <v>2.7330000000000001</v>
      </c>
      <c r="AG67" s="2">
        <v>7.8639999999999999</v>
      </c>
      <c r="AH67" s="2">
        <v>-4.1520000000000001</v>
      </c>
      <c r="AI67" s="2">
        <v>2.4569999999999999</v>
      </c>
      <c r="AJ67" s="2">
        <v>-8.2100000000000009</v>
      </c>
      <c r="AK67" s="2">
        <v>3.4239999999999999</v>
      </c>
      <c r="AL67" s="2">
        <v>-6.2560000000000002</v>
      </c>
      <c r="AM67" s="2">
        <v>1.135</v>
      </c>
      <c r="AN67" s="2" t="s">
        <v>122</v>
      </c>
      <c r="AO67" s="2">
        <v>514</v>
      </c>
      <c r="AP67" s="2">
        <v>103</v>
      </c>
      <c r="AQ67" s="2">
        <v>31</v>
      </c>
      <c r="AR67" s="2">
        <v>24</v>
      </c>
      <c r="AS67" s="2">
        <v>35</v>
      </c>
      <c r="AT67" s="2">
        <v>143</v>
      </c>
      <c r="AU67" s="2">
        <v>815</v>
      </c>
      <c r="AV67" s="2">
        <v>1215</v>
      </c>
      <c r="AW67" s="2"/>
      <c r="AX67" s="1">
        <f t="shared" si="41"/>
        <v>1.42</v>
      </c>
      <c r="AY67" s="21">
        <f t="shared" si="42"/>
        <v>-0.5</v>
      </c>
      <c r="AZ67" s="5">
        <v>14.07</v>
      </c>
      <c r="BA67" s="1">
        <v>8.6300000000000008</v>
      </c>
      <c r="BB67" s="1">
        <v>7.61</v>
      </c>
      <c r="BC67" s="6">
        <f t="shared" si="35"/>
        <v>0.88180764774044029</v>
      </c>
      <c r="BE67" s="30">
        <v>0</v>
      </c>
      <c r="BF67" s="27">
        <v>1485</v>
      </c>
      <c r="BG67" s="1">
        <f t="shared" si="2"/>
        <v>93.9</v>
      </c>
      <c r="BH67" s="1">
        <f t="shared" si="3"/>
        <v>83.5</v>
      </c>
      <c r="BI67" s="1">
        <f t="shared" si="4"/>
        <v>65.7</v>
      </c>
      <c r="BJ67" s="7">
        <f t="shared" si="5"/>
        <v>0.39300000000000002</v>
      </c>
      <c r="BK67" s="7">
        <f t="shared" si="6"/>
        <v>0.20499999999999999</v>
      </c>
      <c r="BM67" s="5">
        <f t="shared" si="7"/>
        <v>8.6300000000000008</v>
      </c>
      <c r="BN67" s="5">
        <f t="shared" si="8"/>
        <v>7.61</v>
      </c>
      <c r="BO67" s="1">
        <f t="shared" si="9"/>
        <v>-3.7</v>
      </c>
      <c r="BP67" s="1">
        <f t="shared" si="10"/>
        <v>-0.3</v>
      </c>
      <c r="BQ67" s="1">
        <f t="shared" si="11"/>
        <v>-6.1</v>
      </c>
      <c r="BR67" s="1">
        <f t="shared" si="12"/>
        <v>83.5</v>
      </c>
      <c r="BS67" s="1">
        <f t="shared" si="13"/>
        <v>65.7</v>
      </c>
      <c r="BT67" s="1">
        <f t="shared" si="14"/>
        <v>2.7</v>
      </c>
      <c r="BU67" s="1">
        <f t="shared" si="15"/>
        <v>7.9</v>
      </c>
      <c r="BV67" s="33">
        <f t="shared" si="16"/>
        <v>0</v>
      </c>
      <c r="BW67" s="34">
        <f t="shared" si="43"/>
        <v>1.4850000000000001</v>
      </c>
      <c r="BX67" s="20">
        <f t="shared" si="18"/>
        <v>-0.5</v>
      </c>
      <c r="BY67" s="1">
        <f t="shared" si="19"/>
        <v>-4.2</v>
      </c>
      <c r="BZ67" s="1">
        <f t="shared" si="20"/>
        <v>2.5</v>
      </c>
      <c r="CA67" s="1">
        <f t="shared" si="21"/>
        <v>-8.1999999999999993</v>
      </c>
      <c r="CB67" s="1">
        <f t="shared" si="22"/>
        <v>0</v>
      </c>
      <c r="CC67" s="1">
        <f t="shared" si="23"/>
        <v>0.8</v>
      </c>
      <c r="CD67" s="1">
        <f t="shared" si="24"/>
        <v>1.4</v>
      </c>
      <c r="CE67" s="1" t="str">
        <f t="shared" si="25"/>
        <v>NAN</v>
      </c>
      <c r="CF67" s="1">
        <f t="shared" si="36"/>
        <v>0.39300000000000002</v>
      </c>
      <c r="CG67" s="1">
        <f t="shared" si="37"/>
        <v>0.20499999999999999</v>
      </c>
      <c r="CI67" s="1">
        <f t="shared" si="62"/>
        <v>2880</v>
      </c>
      <c r="CJ67" s="1">
        <f t="shared" si="63"/>
        <v>0.17799999999999999</v>
      </c>
      <c r="CK67" s="1">
        <f t="shared" si="64"/>
        <v>3.5999999999999997E-2</v>
      </c>
      <c r="CL67" s="1">
        <f t="shared" si="65"/>
        <v>1.0999999999999999E-2</v>
      </c>
      <c r="CM67" s="1">
        <f t="shared" si="66"/>
        <v>8.0000000000000002E-3</v>
      </c>
      <c r="CN67" s="1">
        <f t="shared" si="67"/>
        <v>1.2E-2</v>
      </c>
      <c r="CO67" s="1">
        <f t="shared" si="68"/>
        <v>0.05</v>
      </c>
      <c r="CP67" s="1">
        <f t="shared" si="69"/>
        <v>0.28299999999999997</v>
      </c>
      <c r="CQ67" s="1">
        <f t="shared" si="70"/>
        <v>0.42199999999999999</v>
      </c>
      <c r="CS67" s="1">
        <f t="shared" si="38"/>
        <v>2.8</v>
      </c>
      <c r="CT67" s="1">
        <f t="shared" si="39"/>
        <v>-2.0999999999999996</v>
      </c>
    </row>
    <row r="68" spans="1:98" x14ac:dyDescent="0.2">
      <c r="A68" s="8">
        <f t="shared" si="40"/>
        <v>43893</v>
      </c>
      <c r="B68" s="1">
        <v>63</v>
      </c>
      <c r="C68" s="1">
        <v>11</v>
      </c>
      <c r="D68" s="2">
        <v>13.02</v>
      </c>
      <c r="E68" s="2">
        <v>-1.268</v>
      </c>
      <c r="F68" s="2">
        <v>-3.6850000000000001</v>
      </c>
      <c r="G68" s="2">
        <v>-1.786</v>
      </c>
      <c r="H68" s="2">
        <v>61.8</v>
      </c>
      <c r="I68" s="2">
        <v>-0.41499999999999998</v>
      </c>
      <c r="J68" s="2">
        <v>-0.95299999999999996</v>
      </c>
      <c r="K68" s="2">
        <v>2.4E-2</v>
      </c>
      <c r="L68" s="2">
        <v>0.80300000000000005</v>
      </c>
      <c r="M68" s="2">
        <v>1.397</v>
      </c>
      <c r="N68" s="2">
        <v>4.2030000000000003</v>
      </c>
      <c r="O68" s="2">
        <v>83.8</v>
      </c>
      <c r="P68" s="2">
        <v>-0.33300000000000002</v>
      </c>
      <c r="Q68" s="2">
        <v>-0.879</v>
      </c>
      <c r="R68" s="2">
        <v>9.5000000000000001E-2</v>
      </c>
      <c r="S68" s="2">
        <v>0.873</v>
      </c>
      <c r="T68" s="2">
        <v>1.4730000000000001</v>
      </c>
      <c r="U68" s="2">
        <v>-5.1269999999999998</v>
      </c>
      <c r="V68" s="2">
        <v>30.83</v>
      </c>
      <c r="W68" s="2">
        <v>-0.50600000000000001</v>
      </c>
      <c r="X68" s="2">
        <v>-1.0269999999999999</v>
      </c>
      <c r="Y68" s="2">
        <v>-7.0999999999999994E-2</v>
      </c>
      <c r="Z68" s="2">
        <v>0.72499999999999998</v>
      </c>
      <c r="AA68" s="2">
        <v>1.3149999999999999</v>
      </c>
      <c r="AB68" s="2">
        <v>1.1379999999999999</v>
      </c>
      <c r="AC68" s="2">
        <v>0</v>
      </c>
      <c r="AD68" s="2">
        <v>9.35</v>
      </c>
      <c r="AE68" s="2">
        <v>8.9600000000000009</v>
      </c>
      <c r="AF68" s="2">
        <v>3.3620000000000001</v>
      </c>
      <c r="AG68" s="2">
        <v>8.92</v>
      </c>
      <c r="AH68" s="2">
        <v>-4.2169999999999996</v>
      </c>
      <c r="AI68" s="2">
        <v>4.056</v>
      </c>
      <c r="AJ68" s="2">
        <v>-10.16</v>
      </c>
      <c r="AK68" s="2">
        <v>7.6120000000000001</v>
      </c>
      <c r="AL68" s="2">
        <v>-5.0880000000000001</v>
      </c>
      <c r="AM68" s="2">
        <v>1.1439999999999999</v>
      </c>
      <c r="AN68" s="2" t="s">
        <v>122</v>
      </c>
      <c r="AO68" s="2">
        <v>302</v>
      </c>
      <c r="AP68" s="2">
        <v>19</v>
      </c>
      <c r="AQ68" s="2">
        <v>9</v>
      </c>
      <c r="AR68" s="2">
        <v>1</v>
      </c>
      <c r="AS68" s="2">
        <v>20</v>
      </c>
      <c r="AT68" s="2">
        <v>220</v>
      </c>
      <c r="AU68" s="2">
        <v>1093</v>
      </c>
      <c r="AV68" s="2">
        <v>1215</v>
      </c>
      <c r="AW68" s="2"/>
      <c r="AX68" s="1">
        <f t="shared" si="41"/>
        <v>1.4119999999999999</v>
      </c>
      <c r="AY68" s="21">
        <f t="shared" si="42"/>
        <v>-0.4</v>
      </c>
      <c r="AZ68" s="5">
        <v>14.31</v>
      </c>
      <c r="BA68" s="1">
        <v>9.34</v>
      </c>
      <c r="BB68" s="1">
        <v>8.24</v>
      </c>
      <c r="BC68" s="6">
        <f t="shared" si="35"/>
        <v>0.88222698072805139</v>
      </c>
      <c r="BE68" s="30">
        <v>0</v>
      </c>
      <c r="BF68" s="27">
        <v>1452</v>
      </c>
      <c r="BG68" s="1">
        <f t="shared" si="2"/>
        <v>83.8</v>
      </c>
      <c r="BH68" s="1">
        <f t="shared" si="3"/>
        <v>61.8</v>
      </c>
      <c r="BI68" s="1">
        <f t="shared" si="4"/>
        <v>30.8</v>
      </c>
      <c r="BJ68" s="7">
        <f t="shared" si="5"/>
        <v>0.254</v>
      </c>
      <c r="BK68" s="7">
        <f t="shared" si="6"/>
        <v>0.57099999999999995</v>
      </c>
      <c r="BM68" s="5">
        <f t="shared" si="7"/>
        <v>9.34</v>
      </c>
      <c r="BN68" s="5">
        <f t="shared" si="8"/>
        <v>8.24</v>
      </c>
      <c r="BO68" s="1">
        <f t="shared" si="9"/>
        <v>-1.8</v>
      </c>
      <c r="BP68" s="1">
        <f t="shared" si="10"/>
        <v>4.2</v>
      </c>
      <c r="BQ68" s="1">
        <f t="shared" si="11"/>
        <v>-5.0999999999999996</v>
      </c>
      <c r="BR68" s="1">
        <f t="shared" si="12"/>
        <v>61.8</v>
      </c>
      <c r="BS68" s="1">
        <f t="shared" si="13"/>
        <v>30.8</v>
      </c>
      <c r="BT68" s="1">
        <f t="shared" si="14"/>
        <v>3.4</v>
      </c>
      <c r="BU68" s="1">
        <f t="shared" si="15"/>
        <v>8.9</v>
      </c>
      <c r="BV68" s="33">
        <f t="shared" si="16"/>
        <v>0</v>
      </c>
      <c r="BW68" s="34">
        <f t="shared" si="43"/>
        <v>1.452</v>
      </c>
      <c r="BX68" s="20">
        <f t="shared" si="18"/>
        <v>-0.4</v>
      </c>
      <c r="BY68" s="1">
        <f t="shared" si="19"/>
        <v>-4.2</v>
      </c>
      <c r="BZ68" s="1">
        <f t="shared" si="20"/>
        <v>4.0999999999999996</v>
      </c>
      <c r="CA68" s="1">
        <f t="shared" si="21"/>
        <v>-10.199999999999999</v>
      </c>
      <c r="CB68" s="1">
        <f t="shared" si="22"/>
        <v>0</v>
      </c>
      <c r="CC68" s="1">
        <f t="shared" si="23"/>
        <v>0.8</v>
      </c>
      <c r="CD68" s="1">
        <f t="shared" si="24"/>
        <v>1.4</v>
      </c>
      <c r="CE68" s="1" t="str">
        <f t="shared" si="25"/>
        <v>NAN</v>
      </c>
      <c r="CF68" s="1">
        <f t="shared" si="36"/>
        <v>0.254</v>
      </c>
      <c r="CG68" s="1">
        <f t="shared" si="37"/>
        <v>0.57099999999999995</v>
      </c>
      <c r="CI68" s="1">
        <f t="shared" si="62"/>
        <v>2879</v>
      </c>
      <c r="CJ68" s="1">
        <f t="shared" si="63"/>
        <v>0.105</v>
      </c>
      <c r="CK68" s="1">
        <f t="shared" si="64"/>
        <v>7.0000000000000001E-3</v>
      </c>
      <c r="CL68" s="1">
        <f t="shared" si="65"/>
        <v>3.0000000000000001E-3</v>
      </c>
      <c r="CM68" s="1">
        <f t="shared" si="66"/>
        <v>0</v>
      </c>
      <c r="CN68" s="1">
        <f t="shared" si="67"/>
        <v>7.0000000000000001E-3</v>
      </c>
      <c r="CO68" s="1">
        <f t="shared" si="68"/>
        <v>7.5999999999999998E-2</v>
      </c>
      <c r="CP68" s="1">
        <f t="shared" si="69"/>
        <v>0.38</v>
      </c>
      <c r="CQ68" s="1">
        <f t="shared" si="70"/>
        <v>0.42199999999999999</v>
      </c>
      <c r="CS68" s="1">
        <f t="shared" si="38"/>
        <v>-0.10000000000000053</v>
      </c>
      <c r="CT68" s="1">
        <f t="shared" si="39"/>
        <v>-5.0999999999999996</v>
      </c>
    </row>
    <row r="69" spans="1:98" x14ac:dyDescent="0.2">
      <c r="A69" s="8">
        <f t="shared" si="40"/>
        <v>43894</v>
      </c>
      <c r="B69" s="1">
        <v>64</v>
      </c>
      <c r="C69" s="1">
        <v>11</v>
      </c>
      <c r="D69" s="2">
        <v>13.03</v>
      </c>
      <c r="E69" s="2">
        <v>-3.6219999999999999</v>
      </c>
      <c r="F69" s="2">
        <v>-6.423</v>
      </c>
      <c r="G69" s="2">
        <v>-6.6390000000000002</v>
      </c>
      <c r="H69" s="2">
        <v>62.68</v>
      </c>
      <c r="I69" s="2">
        <v>-0.40699999999999997</v>
      </c>
      <c r="J69" s="2">
        <v>-0.92800000000000005</v>
      </c>
      <c r="K69" s="2">
        <v>0.02</v>
      </c>
      <c r="L69" s="2">
        <v>0.79600000000000004</v>
      </c>
      <c r="M69" s="2">
        <v>1.38</v>
      </c>
      <c r="N69" s="2">
        <v>-2.8180000000000001</v>
      </c>
      <c r="O69" s="2">
        <v>85.4</v>
      </c>
      <c r="P69" s="2">
        <v>-0.32700000000000001</v>
      </c>
      <c r="Q69" s="2">
        <v>-0.84899999999999998</v>
      </c>
      <c r="R69" s="2">
        <v>0.10199999999999999</v>
      </c>
      <c r="S69" s="2">
        <v>0.86499999999999999</v>
      </c>
      <c r="T69" s="2">
        <v>1.4490000000000001</v>
      </c>
      <c r="U69" s="2">
        <v>-11.44</v>
      </c>
      <c r="V69" s="2">
        <v>44.96</v>
      </c>
      <c r="W69" s="2">
        <v>-0.501</v>
      </c>
      <c r="X69" s="2">
        <v>-1.016</v>
      </c>
      <c r="Y69" s="2">
        <v>-6.0999999999999999E-2</v>
      </c>
      <c r="Z69" s="2">
        <v>0.70899999999999996</v>
      </c>
      <c r="AA69" s="2">
        <v>1.292</v>
      </c>
      <c r="AB69" s="2">
        <v>1.151</v>
      </c>
      <c r="AC69" s="2">
        <v>0</v>
      </c>
      <c r="AD69" s="2">
        <v>8.5</v>
      </c>
      <c r="AE69" s="2">
        <v>8.23</v>
      </c>
      <c r="AF69" s="2">
        <v>2.528</v>
      </c>
      <c r="AG69" s="2">
        <v>8.9499999999999993</v>
      </c>
      <c r="AH69" s="2">
        <v>-8.8000000000000007</v>
      </c>
      <c r="AI69" s="2">
        <v>-1.1160000000000001</v>
      </c>
      <c r="AJ69" s="2">
        <v>-16.71</v>
      </c>
      <c r="AK69" s="2">
        <v>-0.08</v>
      </c>
      <c r="AL69" s="2">
        <v>-11.16</v>
      </c>
      <c r="AM69" s="2">
        <v>1.165</v>
      </c>
      <c r="AN69" s="2" t="s">
        <v>122</v>
      </c>
      <c r="AO69" s="2">
        <v>479</v>
      </c>
      <c r="AP69" s="2">
        <v>112</v>
      </c>
      <c r="AQ69" s="2">
        <v>99</v>
      </c>
      <c r="AR69" s="2">
        <v>103</v>
      </c>
      <c r="AS69" s="2">
        <v>291</v>
      </c>
      <c r="AT69" s="2">
        <v>268</v>
      </c>
      <c r="AU69" s="2">
        <v>561</v>
      </c>
      <c r="AV69" s="2">
        <v>967</v>
      </c>
      <c r="AW69" s="2"/>
      <c r="AX69" s="1">
        <f t="shared" si="41"/>
        <v>1.3989999999999998</v>
      </c>
      <c r="AY69" s="21">
        <f t="shared" si="42"/>
        <v>-0.4</v>
      </c>
      <c r="AZ69" s="5">
        <v>14.55</v>
      </c>
      <c r="BA69" s="1">
        <v>8.8800000000000008</v>
      </c>
      <c r="BB69" s="1">
        <v>7.57</v>
      </c>
      <c r="BC69" s="6">
        <f t="shared" si="35"/>
        <v>0.85247747747747749</v>
      </c>
      <c r="BE69" s="30">
        <v>0</v>
      </c>
      <c r="BF69" s="27">
        <v>1438.9999999999998</v>
      </c>
      <c r="BG69" s="1">
        <f t="shared" si="2"/>
        <v>85.4</v>
      </c>
      <c r="BH69" s="1">
        <f t="shared" si="3"/>
        <v>62.7</v>
      </c>
      <c r="BI69" s="1">
        <f t="shared" si="4"/>
        <v>45</v>
      </c>
      <c r="BJ69" s="7">
        <f t="shared" si="5"/>
        <v>0.223</v>
      </c>
      <c r="BK69" s="7">
        <f t="shared" si="6"/>
        <v>0.27300000000000002</v>
      </c>
      <c r="BM69" s="5">
        <f t="shared" si="7"/>
        <v>8.8800000000000008</v>
      </c>
      <c r="BN69" s="5">
        <f t="shared" si="8"/>
        <v>7.57</v>
      </c>
      <c r="BO69" s="1">
        <f t="shared" si="9"/>
        <v>-6.6</v>
      </c>
      <c r="BP69" s="1">
        <f t="shared" si="10"/>
        <v>-2.8</v>
      </c>
      <c r="BQ69" s="1">
        <f t="shared" si="11"/>
        <v>-11.4</v>
      </c>
      <c r="BR69" s="1">
        <f t="shared" si="12"/>
        <v>62.7</v>
      </c>
      <c r="BS69" s="1">
        <f t="shared" si="13"/>
        <v>45</v>
      </c>
      <c r="BT69" s="1">
        <f t="shared" si="14"/>
        <v>2.5</v>
      </c>
      <c r="BU69" s="1">
        <f t="shared" si="15"/>
        <v>9</v>
      </c>
      <c r="BV69" s="33">
        <f t="shared" si="16"/>
        <v>0</v>
      </c>
      <c r="BW69" s="34">
        <f t="shared" si="43"/>
        <v>1.4390000000000001</v>
      </c>
      <c r="BX69" s="20">
        <f t="shared" si="18"/>
        <v>-0.4</v>
      </c>
      <c r="BY69" s="1">
        <f t="shared" si="19"/>
        <v>-8.8000000000000007</v>
      </c>
      <c r="BZ69" s="1">
        <f t="shared" si="20"/>
        <v>-1.1000000000000001</v>
      </c>
      <c r="CA69" s="1">
        <f t="shared" si="21"/>
        <v>-16.7</v>
      </c>
      <c r="CB69" s="1">
        <f t="shared" si="22"/>
        <v>0</v>
      </c>
      <c r="CC69" s="1">
        <f t="shared" si="23"/>
        <v>0.8</v>
      </c>
      <c r="CD69" s="1">
        <f t="shared" si="24"/>
        <v>1.4</v>
      </c>
      <c r="CE69" s="1" t="str">
        <f t="shared" si="25"/>
        <v>NAN</v>
      </c>
      <c r="CF69" s="1">
        <f t="shared" si="36"/>
        <v>0.223</v>
      </c>
      <c r="CG69" s="1">
        <f t="shared" si="37"/>
        <v>0.27300000000000002</v>
      </c>
      <c r="CI69" s="1">
        <f t="shared" si="62"/>
        <v>2880</v>
      </c>
      <c r="CJ69" s="1">
        <f t="shared" si="63"/>
        <v>0.16600000000000001</v>
      </c>
      <c r="CK69" s="1">
        <f t="shared" si="64"/>
        <v>3.9E-2</v>
      </c>
      <c r="CL69" s="1">
        <f t="shared" si="65"/>
        <v>3.4000000000000002E-2</v>
      </c>
      <c r="CM69" s="1">
        <f t="shared" si="66"/>
        <v>3.5999999999999997E-2</v>
      </c>
      <c r="CN69" s="1">
        <f t="shared" si="67"/>
        <v>0.10100000000000001</v>
      </c>
      <c r="CO69" s="1">
        <f t="shared" si="68"/>
        <v>9.2999999999999999E-2</v>
      </c>
      <c r="CP69" s="1">
        <f t="shared" si="69"/>
        <v>0.19500000000000001</v>
      </c>
      <c r="CQ69" s="1">
        <f t="shared" si="70"/>
        <v>0.33600000000000002</v>
      </c>
      <c r="CS69" s="1">
        <f t="shared" si="38"/>
        <v>1.6999999999999997</v>
      </c>
      <c r="CT69" s="1">
        <f t="shared" si="39"/>
        <v>-5.2999999999999989</v>
      </c>
    </row>
    <row r="70" spans="1:98" x14ac:dyDescent="0.2">
      <c r="A70" s="8">
        <f t="shared" si="40"/>
        <v>43895</v>
      </c>
      <c r="B70" s="1">
        <v>65</v>
      </c>
      <c r="C70" s="1">
        <v>11</v>
      </c>
      <c r="D70" s="2">
        <v>13.01</v>
      </c>
      <c r="E70" s="2">
        <v>-1.288</v>
      </c>
      <c r="F70" s="2">
        <v>-6.335</v>
      </c>
      <c r="G70" s="2">
        <v>-2.9649999999999999</v>
      </c>
      <c r="H70" s="2">
        <v>59.57</v>
      </c>
      <c r="I70" s="2">
        <v>-0.39200000000000002</v>
      </c>
      <c r="J70" s="2">
        <v>-0.89</v>
      </c>
      <c r="K70" s="2">
        <v>2.3E-2</v>
      </c>
      <c r="L70" s="2">
        <v>0.79600000000000004</v>
      </c>
      <c r="M70" s="2">
        <v>1.38</v>
      </c>
      <c r="N70" s="2">
        <v>3.3210000000000002</v>
      </c>
      <c r="O70" s="2">
        <v>75.66</v>
      </c>
      <c r="P70" s="2">
        <v>-0.30499999999999999</v>
      </c>
      <c r="Q70" s="2">
        <v>-0.80400000000000005</v>
      </c>
      <c r="R70" s="2">
        <v>0.11</v>
      </c>
      <c r="S70" s="2">
        <v>0.879</v>
      </c>
      <c r="T70" s="2">
        <v>1.4730000000000001</v>
      </c>
      <c r="U70" s="2">
        <v>-7.8330000000000002</v>
      </c>
      <c r="V70" s="2">
        <v>41.43</v>
      </c>
      <c r="W70" s="2">
        <v>-0.5</v>
      </c>
      <c r="X70" s="2">
        <v>-0.98</v>
      </c>
      <c r="Y70" s="2">
        <v>-5.6000000000000001E-2</v>
      </c>
      <c r="Z70" s="2">
        <v>0.69499999999999995</v>
      </c>
      <c r="AA70" s="2">
        <v>1.2949999999999999</v>
      </c>
      <c r="AB70" s="2">
        <v>1.17</v>
      </c>
      <c r="AC70" s="2">
        <v>0</v>
      </c>
      <c r="AD70" s="2">
        <v>9.86</v>
      </c>
      <c r="AE70" s="2">
        <v>9.23</v>
      </c>
      <c r="AF70" s="2">
        <v>2.5470000000000002</v>
      </c>
      <c r="AG70" s="2">
        <v>6.4580000000000002</v>
      </c>
      <c r="AH70" s="2">
        <v>-5.8659999999999997</v>
      </c>
      <c r="AI70" s="2">
        <v>1.909</v>
      </c>
      <c r="AJ70" s="2">
        <v>-11.26</v>
      </c>
      <c r="AK70" s="2">
        <v>5.3120000000000003</v>
      </c>
      <c r="AL70" s="2">
        <v>-7.8319999999999999</v>
      </c>
      <c r="AM70" s="2">
        <v>1.179</v>
      </c>
      <c r="AN70" s="2" t="s">
        <v>122</v>
      </c>
      <c r="AO70" s="2">
        <v>4</v>
      </c>
      <c r="AP70" s="2">
        <v>3</v>
      </c>
      <c r="AQ70" s="2">
        <v>6</v>
      </c>
      <c r="AR70" s="2">
        <v>111</v>
      </c>
      <c r="AS70" s="2">
        <v>784</v>
      </c>
      <c r="AT70" s="2">
        <v>1505</v>
      </c>
      <c r="AU70" s="2">
        <v>445</v>
      </c>
      <c r="AV70" s="2">
        <v>22</v>
      </c>
      <c r="AW70" s="2"/>
      <c r="AX70" s="1">
        <f t="shared" ref="AX70:AX101" si="71">AX$1-AB70</f>
        <v>1.38</v>
      </c>
      <c r="AY70" s="21">
        <f t="shared" ref="AY70:AY101" si="72">ROUND(AVERAGE(I70:K70),1)</f>
        <v>-0.4</v>
      </c>
      <c r="AZ70" s="5">
        <v>14.8</v>
      </c>
      <c r="BA70" s="1">
        <v>9.86</v>
      </c>
      <c r="BB70" s="1">
        <v>8.49</v>
      </c>
      <c r="BC70" s="6">
        <f t="shared" si="35"/>
        <v>0.86105476673427994</v>
      </c>
      <c r="BE70" s="30">
        <v>0</v>
      </c>
      <c r="BF70" s="27">
        <v>1420</v>
      </c>
      <c r="BG70" s="1">
        <f t="shared" ref="BG70:BG133" si="73">ROUND(BH$1*O70+BH$2,1)</f>
        <v>75.7</v>
      </c>
      <c r="BH70" s="1">
        <f t="shared" ref="BH70:BH133" si="74">ROUND(H70*BH$1+BH$2,1)</f>
        <v>59.6</v>
      </c>
      <c r="BI70" s="1">
        <f t="shared" ref="BI70:BI133" si="75">ROUND(V70*BH$1+BH$2,1)</f>
        <v>41.4</v>
      </c>
      <c r="BJ70" s="7">
        <f t="shared" ref="BJ70:BJ133" si="76">ROUND((0.6105*(EXP((17.273*N70)/(N70+237.3))))*BI70/100,3)</f>
        <v>0.32100000000000001</v>
      </c>
      <c r="BK70" s="7">
        <f t="shared" ref="BK70:BK133" si="77">ROUND(BJ70/BI70*(100-BI70),3)</f>
        <v>0.45400000000000001</v>
      </c>
      <c r="BM70" s="5">
        <f t="shared" ref="BM70:BM133" si="78">BA70</f>
        <v>9.86</v>
      </c>
      <c r="BN70" s="5">
        <f t="shared" ref="BN70:BN133" si="79">BB70</f>
        <v>8.49</v>
      </c>
      <c r="BO70" s="1">
        <f t="shared" ref="BO70:BO133" si="80">ROUND(G70,1)</f>
        <v>-3</v>
      </c>
      <c r="BP70" s="1">
        <f t="shared" ref="BP70:BP133" si="81">ROUND(N70,1)</f>
        <v>3.3</v>
      </c>
      <c r="BQ70" s="1">
        <f t="shared" ref="BQ70:BQ133" si="82">ROUND(U70,1)</f>
        <v>-7.8</v>
      </c>
      <c r="BR70" s="1">
        <f t="shared" ref="BR70:BR133" si="83">BH70</f>
        <v>59.6</v>
      </c>
      <c r="BS70" s="1">
        <f t="shared" ref="BS70:BS133" si="84">BI70</f>
        <v>41.4</v>
      </c>
      <c r="BT70" s="1">
        <f t="shared" ref="BT70:BT133" si="85">ROUND(AF70,1)</f>
        <v>2.5</v>
      </c>
      <c r="BU70" s="1">
        <f t="shared" ref="BU70:BU133" si="86">ROUND(AG70,1)</f>
        <v>6.5</v>
      </c>
      <c r="BV70" s="33">
        <f t="shared" ref="BV70:BV133" si="87">BE70</f>
        <v>0</v>
      </c>
      <c r="BW70" s="34">
        <f t="shared" ref="BW70:BW101" si="88">ROUND(BF70/1000,3)</f>
        <v>1.42</v>
      </c>
      <c r="BX70" s="20">
        <f t="shared" ref="BX70:BX133" si="89">IF(AY70="","NAN",AY70)</f>
        <v>-0.4</v>
      </c>
      <c r="BY70" s="1">
        <f t="shared" ref="BY70:BY133" si="90">IF(AH70="NAN", "NAN", ROUND(AH70,1))</f>
        <v>-5.9</v>
      </c>
      <c r="BZ70" s="1">
        <f t="shared" ref="BZ70:BZ133" si="91">IF(AI70="NAN", "NAN", ROUND(AI70,1))</f>
        <v>1.9</v>
      </c>
      <c r="CA70" s="1">
        <f t="shared" ref="CA70:CA133" si="92">IF(AJ70="NAN", "NAN", ROUND(AJ70,1))</f>
        <v>-11.3</v>
      </c>
      <c r="CB70" s="1">
        <f t="shared" ref="CB70:CB133" si="93">ROUND(K70,1)</f>
        <v>0</v>
      </c>
      <c r="CC70" s="1">
        <f t="shared" ref="CC70:CC133" si="94">ROUND(L70,1)</f>
        <v>0.8</v>
      </c>
      <c r="CD70" s="1">
        <f t="shared" ref="CD70:CD133" si="95">ROUND(M70,1)</f>
        <v>1.4</v>
      </c>
      <c r="CE70" s="1" t="str">
        <f t="shared" ref="CE70:CE133" si="96">AN70</f>
        <v>NAN</v>
      </c>
      <c r="CF70" s="1">
        <f t="shared" si="36"/>
        <v>0.32100000000000001</v>
      </c>
      <c r="CG70" s="1">
        <f t="shared" si="37"/>
        <v>0.45400000000000001</v>
      </c>
      <c r="CI70" s="1">
        <f t="shared" si="62"/>
        <v>2880</v>
      </c>
      <c r="CJ70" s="1">
        <f t="shared" si="63"/>
        <v>1E-3</v>
      </c>
      <c r="CK70" s="1">
        <f t="shared" si="64"/>
        <v>1E-3</v>
      </c>
      <c r="CL70" s="1">
        <f t="shared" si="65"/>
        <v>2E-3</v>
      </c>
      <c r="CM70" s="1">
        <f t="shared" si="66"/>
        <v>3.9E-2</v>
      </c>
      <c r="CN70" s="1">
        <f t="shared" si="67"/>
        <v>0.27200000000000002</v>
      </c>
      <c r="CO70" s="1">
        <f t="shared" si="68"/>
        <v>0.52300000000000002</v>
      </c>
      <c r="CP70" s="1">
        <f t="shared" si="69"/>
        <v>0.155</v>
      </c>
      <c r="CQ70" s="1">
        <f t="shared" si="70"/>
        <v>8.0000000000000002E-3</v>
      </c>
      <c r="CS70" s="1">
        <f t="shared" si="38"/>
        <v>-1.4</v>
      </c>
      <c r="CT70" s="1">
        <f t="shared" si="39"/>
        <v>-3.5000000000000009</v>
      </c>
    </row>
    <row r="71" spans="1:98" x14ac:dyDescent="0.2">
      <c r="A71" s="8">
        <f t="shared" si="40"/>
        <v>43896</v>
      </c>
      <c r="B71" s="1">
        <v>66</v>
      </c>
      <c r="C71" s="1">
        <v>11</v>
      </c>
      <c r="D71" s="2">
        <v>12.98</v>
      </c>
      <c r="E71" s="2">
        <v>-2.0129999999999999</v>
      </c>
      <c r="F71" s="2">
        <v>-5.569</v>
      </c>
      <c r="G71" s="2">
        <v>-3.476</v>
      </c>
      <c r="H71" s="2">
        <v>84.3</v>
      </c>
      <c r="I71" s="2">
        <v>-0.374</v>
      </c>
      <c r="J71" s="2">
        <v>-0.86099999999999999</v>
      </c>
      <c r="K71" s="2">
        <v>2.7E-2</v>
      </c>
      <c r="L71" s="2">
        <v>0.79700000000000004</v>
      </c>
      <c r="M71" s="2">
        <v>1.3819999999999999</v>
      </c>
      <c r="N71" s="2">
        <v>0.27700000000000002</v>
      </c>
      <c r="O71" s="2">
        <v>95.7</v>
      </c>
      <c r="P71" s="2">
        <v>-0.29299999999999998</v>
      </c>
      <c r="Q71" s="2">
        <v>-0.77900000000000003</v>
      </c>
      <c r="R71" s="2">
        <v>9.8000000000000004E-2</v>
      </c>
      <c r="S71" s="2">
        <v>0.871</v>
      </c>
      <c r="T71" s="2">
        <v>1.454</v>
      </c>
      <c r="U71" s="2">
        <v>-6.9889999999999999</v>
      </c>
      <c r="V71" s="2">
        <v>58.88</v>
      </c>
      <c r="W71" s="2">
        <v>-0.46300000000000002</v>
      </c>
      <c r="X71" s="2">
        <v>-0.95899999999999996</v>
      </c>
      <c r="Y71" s="2">
        <v>-0.05</v>
      </c>
      <c r="Z71" s="2">
        <v>0.70099999999999996</v>
      </c>
      <c r="AA71" s="2">
        <v>1.3049999999999999</v>
      </c>
      <c r="AB71" s="2">
        <v>1.179</v>
      </c>
      <c r="AC71" s="2">
        <v>0</v>
      </c>
      <c r="AD71" s="2">
        <v>4.6829999999999998</v>
      </c>
      <c r="AE71" s="2">
        <v>4.51</v>
      </c>
      <c r="AF71" s="2">
        <v>0.72099999999999997</v>
      </c>
      <c r="AG71" s="2">
        <v>2.6280000000000001</v>
      </c>
      <c r="AH71" s="2">
        <v>-4.673</v>
      </c>
      <c r="AI71" s="2">
        <v>2.097</v>
      </c>
      <c r="AJ71" s="2">
        <v>-11.61</v>
      </c>
      <c r="AK71" s="2">
        <v>4.2030000000000003</v>
      </c>
      <c r="AL71" s="2">
        <v>-6.9050000000000002</v>
      </c>
      <c r="AM71" s="2">
        <v>1.1879999999999999</v>
      </c>
      <c r="AN71" s="2" t="s">
        <v>122</v>
      </c>
      <c r="AO71" s="2">
        <v>246</v>
      </c>
      <c r="AP71" s="2">
        <v>276</v>
      </c>
      <c r="AQ71" s="2">
        <v>282</v>
      </c>
      <c r="AR71" s="2">
        <v>228</v>
      </c>
      <c r="AS71" s="2">
        <v>319</v>
      </c>
      <c r="AT71" s="2">
        <v>491</v>
      </c>
      <c r="AU71" s="2">
        <v>732</v>
      </c>
      <c r="AV71" s="2">
        <v>306</v>
      </c>
      <c r="AW71" s="2"/>
      <c r="AX71" s="1">
        <f t="shared" si="71"/>
        <v>1.3709999999999998</v>
      </c>
      <c r="AY71" s="21">
        <f t="shared" si="72"/>
        <v>-0.4</v>
      </c>
      <c r="AZ71" s="5">
        <v>15.04</v>
      </c>
      <c r="BA71" s="1">
        <v>4.9800000000000004</v>
      </c>
      <c r="BB71" s="1">
        <v>4.1500000000000004</v>
      </c>
      <c r="BC71" s="6">
        <f t="shared" si="35"/>
        <v>0.83333333333333337</v>
      </c>
      <c r="BE71" s="30">
        <v>0</v>
      </c>
      <c r="BF71" s="27">
        <v>1410.9999999999998</v>
      </c>
      <c r="BG71" s="1">
        <f t="shared" si="73"/>
        <v>95.7</v>
      </c>
      <c r="BH71" s="1">
        <f t="shared" si="74"/>
        <v>84.3</v>
      </c>
      <c r="BI71" s="1">
        <f t="shared" si="75"/>
        <v>58.9</v>
      </c>
      <c r="BJ71" s="7">
        <f t="shared" si="76"/>
        <v>0.36699999999999999</v>
      </c>
      <c r="BK71" s="7">
        <f t="shared" si="77"/>
        <v>0.25600000000000001</v>
      </c>
      <c r="BM71" s="5">
        <f t="shared" si="78"/>
        <v>4.9800000000000004</v>
      </c>
      <c r="BN71" s="5">
        <f t="shared" si="79"/>
        <v>4.1500000000000004</v>
      </c>
      <c r="BO71" s="1">
        <f t="shared" si="80"/>
        <v>-3.5</v>
      </c>
      <c r="BP71" s="1">
        <f t="shared" si="81"/>
        <v>0.3</v>
      </c>
      <c r="BQ71" s="1">
        <f t="shared" si="82"/>
        <v>-7</v>
      </c>
      <c r="BR71" s="1">
        <f t="shared" si="83"/>
        <v>84.3</v>
      </c>
      <c r="BS71" s="1">
        <f t="shared" si="84"/>
        <v>58.9</v>
      </c>
      <c r="BT71" s="1">
        <f t="shared" si="85"/>
        <v>0.7</v>
      </c>
      <c r="BU71" s="1">
        <f t="shared" si="86"/>
        <v>2.6</v>
      </c>
      <c r="BV71" s="33">
        <f t="shared" si="87"/>
        <v>0</v>
      </c>
      <c r="BW71" s="34">
        <f t="shared" si="88"/>
        <v>1.411</v>
      </c>
      <c r="BX71" s="20">
        <f t="shared" si="89"/>
        <v>-0.4</v>
      </c>
      <c r="BY71" s="1">
        <f t="shared" si="90"/>
        <v>-4.7</v>
      </c>
      <c r="BZ71" s="1">
        <f t="shared" si="91"/>
        <v>2.1</v>
      </c>
      <c r="CA71" s="1">
        <f t="shared" si="92"/>
        <v>-11.6</v>
      </c>
      <c r="CB71" s="1">
        <f t="shared" si="93"/>
        <v>0</v>
      </c>
      <c r="CC71" s="1">
        <f t="shared" si="94"/>
        <v>0.8</v>
      </c>
      <c r="CD71" s="1">
        <f t="shared" si="95"/>
        <v>1.4</v>
      </c>
      <c r="CE71" s="1" t="str">
        <f t="shared" si="96"/>
        <v>NAN</v>
      </c>
      <c r="CF71" s="1">
        <f t="shared" ref="CF71:CF134" si="97">BJ71</f>
        <v>0.36699999999999999</v>
      </c>
      <c r="CG71" s="1">
        <f t="shared" ref="CG71:CG134" si="98">BK71</f>
        <v>0.25600000000000001</v>
      </c>
      <c r="CI71" s="1">
        <f t="shared" si="62"/>
        <v>2880</v>
      </c>
      <c r="CJ71" s="1">
        <f t="shared" si="63"/>
        <v>8.5000000000000006E-2</v>
      </c>
      <c r="CK71" s="1">
        <f t="shared" si="64"/>
        <v>9.6000000000000002E-2</v>
      </c>
      <c r="CL71" s="1">
        <f t="shared" si="65"/>
        <v>9.8000000000000004E-2</v>
      </c>
      <c r="CM71" s="1">
        <f t="shared" si="66"/>
        <v>7.9000000000000001E-2</v>
      </c>
      <c r="CN71" s="1">
        <f t="shared" si="67"/>
        <v>0.111</v>
      </c>
      <c r="CO71" s="1">
        <f t="shared" si="68"/>
        <v>0.17</v>
      </c>
      <c r="CP71" s="1">
        <f t="shared" si="69"/>
        <v>0.254</v>
      </c>
      <c r="CQ71" s="1">
        <f t="shared" si="70"/>
        <v>0.106</v>
      </c>
      <c r="CS71" s="1">
        <f t="shared" si="38"/>
        <v>1.8</v>
      </c>
      <c r="CT71" s="1">
        <f t="shared" si="39"/>
        <v>-4.5999999999999996</v>
      </c>
    </row>
    <row r="72" spans="1:98" x14ac:dyDescent="0.2">
      <c r="A72" s="8">
        <f t="shared" ref="A72:A135" si="99">A71+1</f>
        <v>43897</v>
      </c>
      <c r="B72" s="1">
        <v>67</v>
      </c>
      <c r="C72" s="1">
        <v>11</v>
      </c>
      <c r="D72" s="2">
        <v>12.98</v>
      </c>
      <c r="E72" s="2">
        <v>-1.887</v>
      </c>
      <c r="F72" s="2">
        <v>-4.0739999999999998</v>
      </c>
      <c r="G72" s="2">
        <v>-6.1369999999999996</v>
      </c>
      <c r="H72" s="2">
        <v>87.5</v>
      </c>
      <c r="I72" s="2">
        <v>-0.36699999999999999</v>
      </c>
      <c r="J72" s="2">
        <v>-0.85299999999999998</v>
      </c>
      <c r="K72" s="2">
        <v>2.8000000000000001E-2</v>
      </c>
      <c r="L72" s="2">
        <v>0.79300000000000004</v>
      </c>
      <c r="M72" s="2">
        <v>1.3759999999999999</v>
      </c>
      <c r="N72" s="2">
        <v>-2.2810000000000001</v>
      </c>
      <c r="O72" s="2">
        <v>94.6</v>
      </c>
      <c r="P72" s="2">
        <v>-0.27900000000000003</v>
      </c>
      <c r="Q72" s="2">
        <v>-0.78</v>
      </c>
      <c r="R72" s="2">
        <v>9.0999999999999998E-2</v>
      </c>
      <c r="S72" s="2">
        <v>0.86199999999999999</v>
      </c>
      <c r="T72" s="2">
        <v>1.4419999999999999</v>
      </c>
      <c r="U72" s="2">
        <v>-11.48</v>
      </c>
      <c r="V72" s="2">
        <v>62.27</v>
      </c>
      <c r="W72" s="2">
        <v>-0.45600000000000002</v>
      </c>
      <c r="X72" s="2">
        <v>-0.93600000000000005</v>
      </c>
      <c r="Y72" s="2">
        <v>-6.6000000000000003E-2</v>
      </c>
      <c r="Z72" s="2">
        <v>0.71199999999999997</v>
      </c>
      <c r="AA72" s="2">
        <v>1.2889999999999999</v>
      </c>
      <c r="AB72" s="2">
        <v>1.1000000000000001</v>
      </c>
      <c r="AC72" s="2">
        <v>0</v>
      </c>
      <c r="AD72" s="2">
        <v>4.4569999999999999</v>
      </c>
      <c r="AE72" s="2">
        <v>8.11</v>
      </c>
      <c r="AF72" s="2">
        <v>1.0720000000000001</v>
      </c>
      <c r="AG72" s="2">
        <v>3.3719999999999999</v>
      </c>
      <c r="AH72" s="2">
        <v>-7.03</v>
      </c>
      <c r="AI72" s="2">
        <v>1.27</v>
      </c>
      <c r="AJ72" s="2">
        <v>-15.88</v>
      </c>
      <c r="AK72" s="2">
        <v>3.484</v>
      </c>
      <c r="AL72" s="2">
        <v>-11.76</v>
      </c>
      <c r="AM72" s="2">
        <v>1.1220000000000001</v>
      </c>
      <c r="AN72" s="2" t="s">
        <v>122</v>
      </c>
      <c r="AO72" s="2">
        <v>580</v>
      </c>
      <c r="AP72" s="2">
        <v>723</v>
      </c>
      <c r="AQ72" s="2">
        <v>413</v>
      </c>
      <c r="AR72" s="2">
        <v>49</v>
      </c>
      <c r="AS72" s="2">
        <v>269</v>
      </c>
      <c r="AT72" s="2">
        <v>376</v>
      </c>
      <c r="AU72" s="2">
        <v>194</v>
      </c>
      <c r="AV72" s="2">
        <v>276</v>
      </c>
      <c r="AW72" s="2"/>
      <c r="AX72" s="1">
        <f t="shared" si="71"/>
        <v>1.4499999999999997</v>
      </c>
      <c r="AY72" s="21">
        <f t="shared" si="72"/>
        <v>-0.4</v>
      </c>
      <c r="AZ72" s="5">
        <v>15.29</v>
      </c>
      <c r="BA72" s="1">
        <v>7.85</v>
      </c>
      <c r="BB72" s="1">
        <v>7.46</v>
      </c>
      <c r="BC72" s="6">
        <f t="shared" ref="BC72:BC135" si="100">BB72/BA72</f>
        <v>0.95031847133757963</v>
      </c>
      <c r="BE72" s="30">
        <v>10.199999999999999</v>
      </c>
      <c r="BF72" s="27">
        <v>1489.9999999999998</v>
      </c>
      <c r="BG72" s="1">
        <f t="shared" si="73"/>
        <v>94.6</v>
      </c>
      <c r="BH72" s="1">
        <f t="shared" si="74"/>
        <v>87.5</v>
      </c>
      <c r="BI72" s="1">
        <f t="shared" si="75"/>
        <v>62.3</v>
      </c>
      <c r="BJ72" s="7">
        <f t="shared" si="76"/>
        <v>0.32200000000000001</v>
      </c>
      <c r="BK72" s="7">
        <f t="shared" si="77"/>
        <v>0.19500000000000001</v>
      </c>
      <c r="BM72" s="5">
        <f t="shared" si="78"/>
        <v>7.85</v>
      </c>
      <c r="BN72" s="5">
        <f t="shared" si="79"/>
        <v>7.46</v>
      </c>
      <c r="BO72" s="1">
        <f t="shared" si="80"/>
        <v>-6.1</v>
      </c>
      <c r="BP72" s="1">
        <f t="shared" si="81"/>
        <v>-2.2999999999999998</v>
      </c>
      <c r="BQ72" s="1">
        <f t="shared" si="82"/>
        <v>-11.5</v>
      </c>
      <c r="BR72" s="1">
        <f t="shared" si="83"/>
        <v>87.5</v>
      </c>
      <c r="BS72" s="1">
        <f t="shared" si="84"/>
        <v>62.3</v>
      </c>
      <c r="BT72" s="1">
        <f t="shared" si="85"/>
        <v>1.1000000000000001</v>
      </c>
      <c r="BU72" s="1">
        <f t="shared" si="86"/>
        <v>3.4</v>
      </c>
      <c r="BV72" s="33">
        <f t="shared" si="87"/>
        <v>10.199999999999999</v>
      </c>
      <c r="BW72" s="34">
        <f t="shared" si="88"/>
        <v>1.49</v>
      </c>
      <c r="BX72" s="20">
        <f t="shared" si="89"/>
        <v>-0.4</v>
      </c>
      <c r="BY72" s="1">
        <f t="shared" si="90"/>
        <v>-7</v>
      </c>
      <c r="BZ72" s="1">
        <f t="shared" si="91"/>
        <v>1.3</v>
      </c>
      <c r="CA72" s="1">
        <f t="shared" si="92"/>
        <v>-15.9</v>
      </c>
      <c r="CB72" s="1">
        <f t="shared" si="93"/>
        <v>0</v>
      </c>
      <c r="CC72" s="1">
        <f t="shared" si="94"/>
        <v>0.8</v>
      </c>
      <c r="CD72" s="1">
        <f t="shared" si="95"/>
        <v>1.4</v>
      </c>
      <c r="CE72" s="1" t="str">
        <f t="shared" si="96"/>
        <v>NAN</v>
      </c>
      <c r="CF72" s="1">
        <f t="shared" si="97"/>
        <v>0.32200000000000001</v>
      </c>
      <c r="CG72" s="1">
        <f t="shared" si="98"/>
        <v>0.19500000000000001</v>
      </c>
      <c r="CI72" s="1">
        <f t="shared" si="62"/>
        <v>2880</v>
      </c>
      <c r="CJ72" s="1">
        <f t="shared" si="63"/>
        <v>0.20100000000000001</v>
      </c>
      <c r="CK72" s="1">
        <f t="shared" si="64"/>
        <v>0.251</v>
      </c>
      <c r="CL72" s="1">
        <f t="shared" si="65"/>
        <v>0.14299999999999999</v>
      </c>
      <c r="CM72" s="1">
        <f t="shared" si="66"/>
        <v>1.7000000000000001E-2</v>
      </c>
      <c r="CN72" s="1">
        <f t="shared" si="67"/>
        <v>9.2999999999999999E-2</v>
      </c>
      <c r="CO72" s="1">
        <f t="shared" si="68"/>
        <v>0.13100000000000001</v>
      </c>
      <c r="CP72" s="1">
        <f t="shared" si="69"/>
        <v>6.7000000000000004E-2</v>
      </c>
      <c r="CQ72" s="1">
        <f t="shared" si="70"/>
        <v>9.6000000000000002E-2</v>
      </c>
      <c r="CS72" s="1">
        <f t="shared" ref="CS72:CS135" si="101">IF(BZ72="NAN","NAN",BZ72-BP72)</f>
        <v>3.5999999999999996</v>
      </c>
      <c r="CT72" s="1">
        <f t="shared" ref="CT72:CT135" si="102">IF(CA72="NAN","NAN",CA72-BQ72)</f>
        <v>-4.4000000000000004</v>
      </c>
    </row>
    <row r="73" spans="1:98" x14ac:dyDescent="0.2">
      <c r="A73" s="8">
        <f t="shared" si="99"/>
        <v>43898</v>
      </c>
      <c r="B73" s="1">
        <v>68</v>
      </c>
      <c r="C73" s="1">
        <v>11</v>
      </c>
      <c r="D73" s="2">
        <v>13.03</v>
      </c>
      <c r="E73" s="2">
        <v>-3.0840000000000001</v>
      </c>
      <c r="F73" s="2">
        <v>-5.2210000000000001</v>
      </c>
      <c r="G73" s="2">
        <v>-9.19</v>
      </c>
      <c r="H73" s="2">
        <v>79.97</v>
      </c>
      <c r="I73" s="2">
        <v>-0.36699999999999999</v>
      </c>
      <c r="J73" s="2">
        <v>-0.84799999999999998</v>
      </c>
      <c r="K73" s="2">
        <v>3.1E-2</v>
      </c>
      <c r="L73" s="2">
        <v>0.79100000000000004</v>
      </c>
      <c r="M73" s="2">
        <v>1.369</v>
      </c>
      <c r="N73" s="2">
        <v>-3.6</v>
      </c>
      <c r="O73" s="2">
        <v>89.4</v>
      </c>
      <c r="P73" s="2">
        <v>-0.28899999999999998</v>
      </c>
      <c r="Q73" s="2">
        <v>-0.77200000000000002</v>
      </c>
      <c r="R73" s="2">
        <v>0.108</v>
      </c>
      <c r="S73" s="2">
        <v>0.871</v>
      </c>
      <c r="T73" s="2">
        <v>1.4450000000000001</v>
      </c>
      <c r="U73" s="2">
        <v>-12.97</v>
      </c>
      <c r="V73" s="2">
        <v>43.02</v>
      </c>
      <c r="W73" s="2">
        <v>-0.47899999999999998</v>
      </c>
      <c r="X73" s="2">
        <v>-0.93600000000000005</v>
      </c>
      <c r="Y73" s="2">
        <v>-5.2999999999999999E-2</v>
      </c>
      <c r="Z73" s="2">
        <v>0.69899999999999995</v>
      </c>
      <c r="AA73" s="2">
        <v>1.2849999999999999</v>
      </c>
      <c r="AB73" s="2">
        <v>1.1299999999999999</v>
      </c>
      <c r="AC73" s="2">
        <v>0</v>
      </c>
      <c r="AD73" s="2">
        <v>5.4139999999999997</v>
      </c>
      <c r="AE73" s="2">
        <v>8.74</v>
      </c>
      <c r="AF73" s="2">
        <v>1.159</v>
      </c>
      <c r="AG73" s="2">
        <v>3.8159999999999998</v>
      </c>
      <c r="AH73" s="2">
        <v>-11.18</v>
      </c>
      <c r="AI73" s="2">
        <v>-0.32700000000000001</v>
      </c>
      <c r="AJ73" s="2">
        <v>-18.600000000000001</v>
      </c>
      <c r="AK73" s="2">
        <v>2.2160000000000002</v>
      </c>
      <c r="AL73" s="2">
        <v>-13.09</v>
      </c>
      <c r="AM73" s="2">
        <v>1.157</v>
      </c>
      <c r="AN73" s="2" t="s">
        <v>122</v>
      </c>
      <c r="AO73" s="2">
        <v>1063</v>
      </c>
      <c r="AP73" s="2">
        <v>955</v>
      </c>
      <c r="AQ73" s="2">
        <v>283</v>
      </c>
      <c r="AR73" s="2">
        <v>3</v>
      </c>
      <c r="AS73" s="2">
        <v>3</v>
      </c>
      <c r="AT73" s="2">
        <v>24</v>
      </c>
      <c r="AU73" s="2">
        <v>147</v>
      </c>
      <c r="AV73" s="2">
        <v>402</v>
      </c>
      <c r="AW73" s="2"/>
      <c r="AX73" s="1">
        <f t="shared" si="71"/>
        <v>1.42</v>
      </c>
      <c r="AY73" s="21">
        <f t="shared" si="72"/>
        <v>-0.4</v>
      </c>
      <c r="AZ73" s="5">
        <v>15.55</v>
      </c>
      <c r="BA73" s="1">
        <v>8.7100000000000009</v>
      </c>
      <c r="BB73" s="1">
        <v>8.0399999999999991</v>
      </c>
      <c r="BC73" s="6">
        <f t="shared" si="100"/>
        <v>0.92307692307692291</v>
      </c>
      <c r="BE73" s="30">
        <v>0</v>
      </c>
      <c r="BF73" s="27">
        <v>1460</v>
      </c>
      <c r="BG73" s="1">
        <f t="shared" si="73"/>
        <v>89.4</v>
      </c>
      <c r="BH73" s="1">
        <f t="shared" si="74"/>
        <v>80</v>
      </c>
      <c r="BI73" s="1">
        <f t="shared" si="75"/>
        <v>43</v>
      </c>
      <c r="BJ73" s="7">
        <f t="shared" si="76"/>
        <v>0.20100000000000001</v>
      </c>
      <c r="BK73" s="7">
        <f t="shared" si="77"/>
        <v>0.26600000000000001</v>
      </c>
      <c r="BM73" s="5">
        <f t="shared" si="78"/>
        <v>8.7100000000000009</v>
      </c>
      <c r="BN73" s="5">
        <f t="shared" si="79"/>
        <v>8.0399999999999991</v>
      </c>
      <c r="BO73" s="1">
        <f t="shared" si="80"/>
        <v>-9.1999999999999993</v>
      </c>
      <c r="BP73" s="1">
        <f t="shared" si="81"/>
        <v>-3.6</v>
      </c>
      <c r="BQ73" s="1">
        <f t="shared" si="82"/>
        <v>-13</v>
      </c>
      <c r="BR73" s="1">
        <f t="shared" si="83"/>
        <v>80</v>
      </c>
      <c r="BS73" s="1">
        <f t="shared" si="84"/>
        <v>43</v>
      </c>
      <c r="BT73" s="1">
        <f t="shared" si="85"/>
        <v>1.2</v>
      </c>
      <c r="BU73" s="1">
        <f t="shared" si="86"/>
        <v>3.8</v>
      </c>
      <c r="BV73" s="33">
        <f t="shared" si="87"/>
        <v>0</v>
      </c>
      <c r="BW73" s="34">
        <f t="shared" si="88"/>
        <v>1.46</v>
      </c>
      <c r="BX73" s="20">
        <f t="shared" si="89"/>
        <v>-0.4</v>
      </c>
      <c r="BY73" s="1">
        <f t="shared" si="90"/>
        <v>-11.2</v>
      </c>
      <c r="BZ73" s="1">
        <f t="shared" si="91"/>
        <v>-0.3</v>
      </c>
      <c r="CA73" s="1">
        <f t="shared" si="92"/>
        <v>-18.600000000000001</v>
      </c>
      <c r="CB73" s="1">
        <f t="shared" si="93"/>
        <v>0</v>
      </c>
      <c r="CC73" s="1">
        <f t="shared" si="94"/>
        <v>0.8</v>
      </c>
      <c r="CD73" s="1">
        <f t="shared" si="95"/>
        <v>1.4</v>
      </c>
      <c r="CE73" s="1" t="str">
        <f t="shared" si="96"/>
        <v>NAN</v>
      </c>
      <c r="CF73" s="1">
        <f t="shared" si="97"/>
        <v>0.20100000000000001</v>
      </c>
      <c r="CG73" s="1">
        <f t="shared" si="98"/>
        <v>0.26600000000000001</v>
      </c>
      <c r="CI73" s="1">
        <f t="shared" si="62"/>
        <v>2880</v>
      </c>
      <c r="CJ73" s="1">
        <f t="shared" si="63"/>
        <v>0.36899999999999999</v>
      </c>
      <c r="CK73" s="1">
        <f t="shared" si="64"/>
        <v>0.33200000000000002</v>
      </c>
      <c r="CL73" s="1">
        <f t="shared" si="65"/>
        <v>9.8000000000000004E-2</v>
      </c>
      <c r="CM73" s="1">
        <f t="shared" si="66"/>
        <v>1E-3</v>
      </c>
      <c r="CN73" s="1">
        <f t="shared" si="67"/>
        <v>1E-3</v>
      </c>
      <c r="CO73" s="1">
        <f t="shared" si="68"/>
        <v>8.0000000000000002E-3</v>
      </c>
      <c r="CP73" s="1">
        <f t="shared" si="69"/>
        <v>5.0999999999999997E-2</v>
      </c>
      <c r="CQ73" s="1">
        <f t="shared" si="70"/>
        <v>0.14000000000000001</v>
      </c>
      <c r="CS73" s="1">
        <f t="shared" si="101"/>
        <v>3.3000000000000003</v>
      </c>
      <c r="CT73" s="1">
        <f t="shared" si="102"/>
        <v>-5.6000000000000014</v>
      </c>
    </row>
    <row r="74" spans="1:98" x14ac:dyDescent="0.2">
      <c r="A74" s="8">
        <f t="shared" si="99"/>
        <v>43899</v>
      </c>
      <c r="B74" s="1">
        <v>69</v>
      </c>
      <c r="C74" s="1">
        <v>11</v>
      </c>
      <c r="D74" s="2">
        <v>13.02</v>
      </c>
      <c r="E74" s="2">
        <v>-2.827</v>
      </c>
      <c r="F74" s="2">
        <v>-7.3040000000000003</v>
      </c>
      <c r="G74" s="2">
        <v>-9.14</v>
      </c>
      <c r="H74" s="2">
        <v>60</v>
      </c>
      <c r="I74" s="2">
        <v>-0.36499999999999999</v>
      </c>
      <c r="J74" s="2">
        <v>-0.83799999999999997</v>
      </c>
      <c r="K74" s="2">
        <v>2.4E-2</v>
      </c>
      <c r="L74" s="2">
        <v>0.77700000000000002</v>
      </c>
      <c r="M74" s="2">
        <v>1.351</v>
      </c>
      <c r="N74" s="2">
        <v>-0.68300000000000005</v>
      </c>
      <c r="O74" s="2">
        <v>87.1</v>
      </c>
      <c r="P74" s="2">
        <v>-0.28199999999999997</v>
      </c>
      <c r="Q74" s="2">
        <v>-0.76400000000000001</v>
      </c>
      <c r="R74" s="2">
        <v>9.8000000000000004E-2</v>
      </c>
      <c r="S74" s="2">
        <v>0.85499999999999998</v>
      </c>
      <c r="T74" s="2">
        <v>1.4239999999999999</v>
      </c>
      <c r="U74" s="2">
        <v>-15.54</v>
      </c>
      <c r="V74" s="2">
        <v>22.78</v>
      </c>
      <c r="W74" s="2">
        <v>-0.47799999999999998</v>
      </c>
      <c r="X74" s="2">
        <v>-0.94</v>
      </c>
      <c r="Y74" s="2">
        <v>-7.4999999999999997E-2</v>
      </c>
      <c r="Z74" s="2">
        <v>0.67100000000000004</v>
      </c>
      <c r="AA74" s="2">
        <v>1.2589999999999999</v>
      </c>
      <c r="AB74" s="2">
        <v>1.145</v>
      </c>
      <c r="AC74" s="2">
        <v>0</v>
      </c>
      <c r="AD74" s="2">
        <v>12.16</v>
      </c>
      <c r="AE74" s="2">
        <v>14.28</v>
      </c>
      <c r="AF74" s="2">
        <v>0.89600000000000002</v>
      </c>
      <c r="AG74" s="2">
        <v>3.3079999999999998</v>
      </c>
      <c r="AH74" s="2">
        <v>-13.31</v>
      </c>
      <c r="AI74" s="2">
        <v>0.32500000000000001</v>
      </c>
      <c r="AJ74" s="2">
        <v>-21.06</v>
      </c>
      <c r="AK74" s="2">
        <v>5.3840000000000003</v>
      </c>
      <c r="AL74" s="2">
        <v>-16.2</v>
      </c>
      <c r="AM74" s="2">
        <v>1.1659999999999999</v>
      </c>
      <c r="AN74" s="2" t="s">
        <v>122</v>
      </c>
      <c r="AO74" s="2">
        <v>122</v>
      </c>
      <c r="AP74" s="2">
        <v>147</v>
      </c>
      <c r="AQ74" s="2">
        <v>1141</v>
      </c>
      <c r="AR74" s="2">
        <v>203</v>
      </c>
      <c r="AS74" s="2">
        <v>131</v>
      </c>
      <c r="AT74" s="2">
        <v>369</v>
      </c>
      <c r="AU74" s="2">
        <v>467</v>
      </c>
      <c r="AV74" s="2">
        <v>300</v>
      </c>
      <c r="AW74" s="2"/>
      <c r="AX74" s="1">
        <f t="shared" si="71"/>
        <v>1.4049999999999998</v>
      </c>
      <c r="AY74" s="21">
        <f t="shared" si="72"/>
        <v>-0.4</v>
      </c>
      <c r="AZ74" s="5">
        <v>15.8</v>
      </c>
      <c r="BA74" s="1">
        <v>13.85</v>
      </c>
      <c r="BB74" s="1">
        <v>13.14</v>
      </c>
      <c r="BC74" s="6">
        <f t="shared" si="100"/>
        <v>0.94873646209386286</v>
      </c>
      <c r="BE74" s="30">
        <v>0</v>
      </c>
      <c r="BF74" s="27">
        <v>1444.9999999999998</v>
      </c>
      <c r="BG74" s="1">
        <f t="shared" si="73"/>
        <v>87.1</v>
      </c>
      <c r="BH74" s="1">
        <f t="shared" si="74"/>
        <v>60</v>
      </c>
      <c r="BI74" s="1">
        <f t="shared" si="75"/>
        <v>22.8</v>
      </c>
      <c r="BJ74" s="7">
        <f t="shared" si="76"/>
        <v>0.13200000000000001</v>
      </c>
      <c r="BK74" s="7">
        <f t="shared" si="77"/>
        <v>0.44700000000000001</v>
      </c>
      <c r="BM74" s="5">
        <f t="shared" si="78"/>
        <v>13.85</v>
      </c>
      <c r="BN74" s="5">
        <f t="shared" si="79"/>
        <v>13.14</v>
      </c>
      <c r="BO74" s="1">
        <f t="shared" si="80"/>
        <v>-9.1</v>
      </c>
      <c r="BP74" s="1">
        <f t="shared" si="81"/>
        <v>-0.7</v>
      </c>
      <c r="BQ74" s="1">
        <f t="shared" si="82"/>
        <v>-15.5</v>
      </c>
      <c r="BR74" s="1">
        <f t="shared" si="83"/>
        <v>60</v>
      </c>
      <c r="BS74" s="1">
        <f t="shared" si="84"/>
        <v>22.8</v>
      </c>
      <c r="BT74" s="1">
        <f t="shared" si="85"/>
        <v>0.9</v>
      </c>
      <c r="BU74" s="1">
        <f t="shared" si="86"/>
        <v>3.3</v>
      </c>
      <c r="BV74" s="33">
        <f t="shared" si="87"/>
        <v>0</v>
      </c>
      <c r="BW74" s="34">
        <f t="shared" si="88"/>
        <v>1.4450000000000001</v>
      </c>
      <c r="BX74" s="20">
        <f t="shared" si="89"/>
        <v>-0.4</v>
      </c>
      <c r="BY74" s="1">
        <f t="shared" si="90"/>
        <v>-13.3</v>
      </c>
      <c r="BZ74" s="1">
        <f t="shared" si="91"/>
        <v>0.3</v>
      </c>
      <c r="CA74" s="1">
        <f t="shared" si="92"/>
        <v>-21.1</v>
      </c>
      <c r="CB74" s="1">
        <f t="shared" si="93"/>
        <v>0</v>
      </c>
      <c r="CC74" s="1">
        <f t="shared" si="94"/>
        <v>0.8</v>
      </c>
      <c r="CD74" s="1">
        <f t="shared" si="95"/>
        <v>1.4</v>
      </c>
      <c r="CE74" s="1" t="str">
        <f t="shared" si="96"/>
        <v>NAN</v>
      </c>
      <c r="CF74" s="1">
        <f t="shared" si="97"/>
        <v>0.13200000000000001</v>
      </c>
      <c r="CG74" s="1">
        <f t="shared" si="98"/>
        <v>0.44700000000000001</v>
      </c>
      <c r="CI74" s="1">
        <f t="shared" si="62"/>
        <v>2880</v>
      </c>
      <c r="CJ74" s="1">
        <f t="shared" si="63"/>
        <v>4.2000000000000003E-2</v>
      </c>
      <c r="CK74" s="1">
        <f t="shared" si="64"/>
        <v>5.0999999999999997E-2</v>
      </c>
      <c r="CL74" s="1">
        <f t="shared" si="65"/>
        <v>0.39600000000000002</v>
      </c>
      <c r="CM74" s="1">
        <f t="shared" si="66"/>
        <v>7.0000000000000007E-2</v>
      </c>
      <c r="CN74" s="1">
        <f t="shared" si="67"/>
        <v>4.4999999999999998E-2</v>
      </c>
      <c r="CO74" s="1">
        <f t="shared" si="68"/>
        <v>0.128</v>
      </c>
      <c r="CP74" s="1">
        <f t="shared" si="69"/>
        <v>0.16200000000000001</v>
      </c>
      <c r="CQ74" s="1">
        <f t="shared" si="70"/>
        <v>0.104</v>
      </c>
      <c r="CS74" s="1">
        <f t="shared" si="101"/>
        <v>1</v>
      </c>
      <c r="CT74" s="1">
        <f t="shared" si="102"/>
        <v>-5.6000000000000014</v>
      </c>
    </row>
    <row r="75" spans="1:98" x14ac:dyDescent="0.2">
      <c r="A75" s="8">
        <f t="shared" si="99"/>
        <v>43900</v>
      </c>
      <c r="B75" s="1">
        <v>70</v>
      </c>
      <c r="C75" s="1">
        <v>11</v>
      </c>
      <c r="D75" s="2">
        <v>12.96</v>
      </c>
      <c r="E75" s="2">
        <v>-4.5049999999999999</v>
      </c>
      <c r="F75" s="2">
        <v>-6.7080000000000002</v>
      </c>
      <c r="G75" s="2">
        <v>-6.1180000000000003</v>
      </c>
      <c r="H75" s="2">
        <v>76.3</v>
      </c>
      <c r="I75" s="2">
        <v>-0.36299999999999999</v>
      </c>
      <c r="J75" s="2">
        <v>-0.83299999999999996</v>
      </c>
      <c r="K75" s="2">
        <v>2.7E-2</v>
      </c>
      <c r="L75" s="2">
        <v>0.77700000000000002</v>
      </c>
      <c r="M75" s="2">
        <v>1.349</v>
      </c>
      <c r="N75" s="2">
        <v>-3.3210000000000002</v>
      </c>
      <c r="O75" s="2">
        <v>90.2</v>
      </c>
      <c r="P75" s="2">
        <v>-0.27500000000000002</v>
      </c>
      <c r="Q75" s="2">
        <v>-0.76500000000000001</v>
      </c>
      <c r="R75" s="2">
        <v>9.7000000000000003E-2</v>
      </c>
      <c r="S75" s="2">
        <v>0.84699999999999998</v>
      </c>
      <c r="T75" s="2">
        <v>1.425</v>
      </c>
      <c r="U75" s="2">
        <v>-10.86</v>
      </c>
      <c r="V75" s="2">
        <v>42.26</v>
      </c>
      <c r="W75" s="2">
        <v>-0.441</v>
      </c>
      <c r="X75" s="2">
        <v>-0.90900000000000003</v>
      </c>
      <c r="Y75" s="2">
        <v>-6.2E-2</v>
      </c>
      <c r="Z75" s="2">
        <v>0.70199999999999996</v>
      </c>
      <c r="AA75" s="2">
        <v>1.272</v>
      </c>
      <c r="AB75" s="2">
        <v>1.1439999999999999</v>
      </c>
      <c r="AC75" s="2">
        <v>0</v>
      </c>
      <c r="AD75" s="2">
        <v>3.028</v>
      </c>
      <c r="AE75" s="2">
        <v>3.5630000000000002</v>
      </c>
      <c r="AF75" s="2">
        <v>1.581</v>
      </c>
      <c r="AG75" s="2">
        <v>4.6589999999999998</v>
      </c>
      <c r="AH75" s="2">
        <v>-7.08</v>
      </c>
      <c r="AI75" s="2">
        <v>-3.9329999999999998</v>
      </c>
      <c r="AJ75" s="2">
        <v>-16.04</v>
      </c>
      <c r="AK75" s="2">
        <v>-2.351</v>
      </c>
      <c r="AL75" s="2">
        <v>-10.78</v>
      </c>
      <c r="AM75" s="2">
        <v>1.1519999999999999</v>
      </c>
      <c r="AN75" s="2" t="s">
        <v>122</v>
      </c>
      <c r="AO75" s="2">
        <v>46</v>
      </c>
      <c r="AP75" s="2">
        <v>23</v>
      </c>
      <c r="AQ75" s="2">
        <v>33</v>
      </c>
      <c r="AR75" s="2">
        <v>76</v>
      </c>
      <c r="AS75" s="2">
        <v>294</v>
      </c>
      <c r="AT75" s="2">
        <v>1016</v>
      </c>
      <c r="AU75" s="2">
        <v>1072</v>
      </c>
      <c r="AV75" s="2">
        <v>320</v>
      </c>
      <c r="AW75" s="2"/>
      <c r="AX75" s="1">
        <f t="shared" si="71"/>
        <v>1.4059999999999999</v>
      </c>
      <c r="AY75" s="21">
        <f t="shared" si="72"/>
        <v>-0.4</v>
      </c>
      <c r="AZ75" s="5">
        <v>16.05</v>
      </c>
      <c r="BA75" s="1">
        <v>3.56</v>
      </c>
      <c r="BB75" s="1">
        <v>3.28</v>
      </c>
      <c r="BC75" s="6">
        <f t="shared" si="100"/>
        <v>0.92134831460674149</v>
      </c>
      <c r="BE75" s="30">
        <v>2.2000000000000002</v>
      </c>
      <c r="BF75" s="27">
        <v>1446</v>
      </c>
      <c r="BG75" s="1">
        <f t="shared" si="73"/>
        <v>90.2</v>
      </c>
      <c r="BH75" s="1">
        <f t="shared" si="74"/>
        <v>76.3</v>
      </c>
      <c r="BI75" s="1">
        <f t="shared" si="75"/>
        <v>42.3</v>
      </c>
      <c r="BJ75" s="7">
        <f t="shared" si="76"/>
        <v>0.20200000000000001</v>
      </c>
      <c r="BK75" s="7">
        <f t="shared" si="77"/>
        <v>0.27600000000000002</v>
      </c>
      <c r="BM75" s="5">
        <f t="shared" si="78"/>
        <v>3.56</v>
      </c>
      <c r="BN75" s="5">
        <f t="shared" si="79"/>
        <v>3.28</v>
      </c>
      <c r="BO75" s="1">
        <f t="shared" si="80"/>
        <v>-6.1</v>
      </c>
      <c r="BP75" s="1">
        <f t="shared" si="81"/>
        <v>-3.3</v>
      </c>
      <c r="BQ75" s="1">
        <f t="shared" si="82"/>
        <v>-10.9</v>
      </c>
      <c r="BR75" s="1">
        <f t="shared" si="83"/>
        <v>76.3</v>
      </c>
      <c r="BS75" s="1">
        <f t="shared" si="84"/>
        <v>42.3</v>
      </c>
      <c r="BT75" s="1">
        <f t="shared" si="85"/>
        <v>1.6</v>
      </c>
      <c r="BU75" s="1">
        <f t="shared" si="86"/>
        <v>4.7</v>
      </c>
      <c r="BV75" s="33">
        <f t="shared" si="87"/>
        <v>2.2000000000000002</v>
      </c>
      <c r="BW75" s="34">
        <f t="shared" si="88"/>
        <v>1.446</v>
      </c>
      <c r="BX75" s="20">
        <f t="shared" si="89"/>
        <v>-0.4</v>
      </c>
      <c r="BY75" s="1">
        <f t="shared" si="90"/>
        <v>-7.1</v>
      </c>
      <c r="BZ75" s="1">
        <f t="shared" si="91"/>
        <v>-3.9</v>
      </c>
      <c r="CA75" s="1">
        <f t="shared" si="92"/>
        <v>-16</v>
      </c>
      <c r="CB75" s="1">
        <f t="shared" si="93"/>
        <v>0</v>
      </c>
      <c r="CC75" s="1">
        <f t="shared" si="94"/>
        <v>0.8</v>
      </c>
      <c r="CD75" s="1">
        <f t="shared" si="95"/>
        <v>1.3</v>
      </c>
      <c r="CE75" s="1" t="str">
        <f t="shared" si="96"/>
        <v>NAN</v>
      </c>
      <c r="CF75" s="1">
        <f t="shared" si="97"/>
        <v>0.20200000000000001</v>
      </c>
      <c r="CG75" s="1">
        <f t="shared" si="98"/>
        <v>0.27600000000000002</v>
      </c>
      <c r="CI75" s="1">
        <f t="shared" si="62"/>
        <v>2880</v>
      </c>
      <c r="CJ75" s="1">
        <f t="shared" si="63"/>
        <v>1.6E-2</v>
      </c>
      <c r="CK75" s="1">
        <f t="shared" si="64"/>
        <v>8.0000000000000002E-3</v>
      </c>
      <c r="CL75" s="1">
        <f t="shared" si="65"/>
        <v>1.0999999999999999E-2</v>
      </c>
      <c r="CM75" s="1">
        <f t="shared" si="66"/>
        <v>2.5999999999999999E-2</v>
      </c>
      <c r="CN75" s="1">
        <f t="shared" si="67"/>
        <v>0.10199999999999999</v>
      </c>
      <c r="CO75" s="1">
        <f t="shared" si="68"/>
        <v>0.35299999999999998</v>
      </c>
      <c r="CP75" s="1">
        <f t="shared" si="69"/>
        <v>0.372</v>
      </c>
      <c r="CQ75" s="1">
        <f t="shared" si="70"/>
        <v>0.111</v>
      </c>
      <c r="CS75" s="1">
        <f t="shared" si="101"/>
        <v>-0.60000000000000009</v>
      </c>
      <c r="CT75" s="1">
        <f t="shared" si="102"/>
        <v>-5.0999999999999996</v>
      </c>
    </row>
    <row r="76" spans="1:98" x14ac:dyDescent="0.2">
      <c r="A76" s="8">
        <f t="shared" si="99"/>
        <v>43901</v>
      </c>
      <c r="B76" s="1">
        <v>71</v>
      </c>
      <c r="C76" s="1">
        <v>11</v>
      </c>
      <c r="D76" s="2">
        <v>12.98</v>
      </c>
      <c r="E76" s="2">
        <v>-3.1070000000000002</v>
      </c>
      <c r="F76" s="2">
        <v>-4.5049999999999999</v>
      </c>
      <c r="G76" s="2">
        <v>-6.202</v>
      </c>
      <c r="H76" s="2">
        <v>86.1</v>
      </c>
      <c r="I76" s="2">
        <v>-0.36</v>
      </c>
      <c r="J76" s="2">
        <v>-0.84599999999999997</v>
      </c>
      <c r="K76" s="2">
        <v>3.4000000000000002E-2</v>
      </c>
      <c r="L76" s="2">
        <v>0.78200000000000003</v>
      </c>
      <c r="M76" s="2">
        <v>1.359</v>
      </c>
      <c r="N76" s="2">
        <v>-2.75</v>
      </c>
      <c r="O76" s="2">
        <v>93.1</v>
      </c>
      <c r="P76" s="2">
        <v>-0.28399999999999997</v>
      </c>
      <c r="Q76" s="2">
        <v>-0.76700000000000002</v>
      </c>
      <c r="R76" s="2">
        <v>0.107</v>
      </c>
      <c r="S76" s="2">
        <v>0.85699999999999998</v>
      </c>
      <c r="T76" s="2">
        <v>1.43</v>
      </c>
      <c r="U76" s="2">
        <v>-11.95</v>
      </c>
      <c r="V76" s="2">
        <v>73.62</v>
      </c>
      <c r="W76" s="2">
        <v>-0.443</v>
      </c>
      <c r="X76" s="2">
        <v>-0.94099999999999995</v>
      </c>
      <c r="Y76" s="2">
        <v>-5.0999999999999997E-2</v>
      </c>
      <c r="Z76" s="2">
        <v>0.69</v>
      </c>
      <c r="AA76" s="2">
        <v>1.2689999999999999</v>
      </c>
      <c r="AB76" s="2">
        <v>1.0469999999999999</v>
      </c>
      <c r="AC76" s="2">
        <v>0</v>
      </c>
      <c r="AD76" s="2">
        <v>7.8970000000000002</v>
      </c>
      <c r="AE76" s="2">
        <v>7.5750000000000002</v>
      </c>
      <c r="AF76" s="2">
        <v>1.425</v>
      </c>
      <c r="AG76" s="2">
        <v>6.1639999999999997</v>
      </c>
      <c r="AH76" s="2">
        <v>-7.2140000000000004</v>
      </c>
      <c r="AI76" s="2">
        <v>2.1480000000000001</v>
      </c>
      <c r="AJ76" s="2">
        <v>-18.170000000000002</v>
      </c>
      <c r="AK76" s="2">
        <v>2.6520000000000001</v>
      </c>
      <c r="AL76" s="2">
        <v>-12.68</v>
      </c>
      <c r="AM76" s="2">
        <v>1.07</v>
      </c>
      <c r="AN76" s="2" t="s">
        <v>122</v>
      </c>
      <c r="AO76" s="2">
        <v>776</v>
      </c>
      <c r="AP76" s="2">
        <v>539</v>
      </c>
      <c r="AQ76" s="2">
        <v>156</v>
      </c>
      <c r="AR76" s="2">
        <v>42</v>
      </c>
      <c r="AS76" s="2">
        <v>40</v>
      </c>
      <c r="AT76" s="2">
        <v>68</v>
      </c>
      <c r="AU76" s="2">
        <v>334</v>
      </c>
      <c r="AV76" s="2">
        <v>924</v>
      </c>
      <c r="AW76" s="2"/>
      <c r="AX76" s="1">
        <f t="shared" si="71"/>
        <v>1.5029999999999999</v>
      </c>
      <c r="AY76" s="21">
        <f t="shared" si="72"/>
        <v>-0.4</v>
      </c>
      <c r="AZ76" s="5">
        <v>16.309999999999999</v>
      </c>
      <c r="BA76" s="1">
        <v>7.92</v>
      </c>
      <c r="BB76" s="1">
        <v>6.97</v>
      </c>
      <c r="BC76" s="6">
        <f t="shared" si="100"/>
        <v>0.88005050505050497</v>
      </c>
      <c r="BE76" s="30">
        <v>13.4</v>
      </c>
      <c r="BF76" s="27">
        <v>1543</v>
      </c>
      <c r="BG76" s="1">
        <f t="shared" si="73"/>
        <v>93.1</v>
      </c>
      <c r="BH76" s="1">
        <f t="shared" si="74"/>
        <v>86.1</v>
      </c>
      <c r="BI76" s="1">
        <f t="shared" si="75"/>
        <v>73.599999999999994</v>
      </c>
      <c r="BJ76" s="7">
        <f t="shared" si="76"/>
        <v>0.36699999999999999</v>
      </c>
      <c r="BK76" s="7">
        <f t="shared" si="77"/>
        <v>0.13200000000000001</v>
      </c>
      <c r="BM76" s="5">
        <f t="shared" si="78"/>
        <v>7.92</v>
      </c>
      <c r="BN76" s="5">
        <f t="shared" si="79"/>
        <v>6.97</v>
      </c>
      <c r="BO76" s="1">
        <f t="shared" si="80"/>
        <v>-6.2</v>
      </c>
      <c r="BP76" s="1">
        <f t="shared" si="81"/>
        <v>-2.8</v>
      </c>
      <c r="BQ76" s="1">
        <f t="shared" si="82"/>
        <v>-12</v>
      </c>
      <c r="BR76" s="1">
        <f t="shared" si="83"/>
        <v>86.1</v>
      </c>
      <c r="BS76" s="1">
        <f t="shared" si="84"/>
        <v>73.599999999999994</v>
      </c>
      <c r="BT76" s="1">
        <f t="shared" si="85"/>
        <v>1.4</v>
      </c>
      <c r="BU76" s="1">
        <f t="shared" si="86"/>
        <v>6.2</v>
      </c>
      <c r="BV76" s="33">
        <f t="shared" si="87"/>
        <v>13.4</v>
      </c>
      <c r="BW76" s="34">
        <f t="shared" si="88"/>
        <v>1.5429999999999999</v>
      </c>
      <c r="BX76" s="20">
        <f t="shared" si="89"/>
        <v>-0.4</v>
      </c>
      <c r="BY76" s="1">
        <f t="shared" si="90"/>
        <v>-7.2</v>
      </c>
      <c r="BZ76" s="1">
        <f t="shared" si="91"/>
        <v>2.1</v>
      </c>
      <c r="CA76" s="1">
        <f t="shared" si="92"/>
        <v>-18.2</v>
      </c>
      <c r="CB76" s="1">
        <f t="shared" si="93"/>
        <v>0</v>
      </c>
      <c r="CC76" s="1">
        <f t="shared" si="94"/>
        <v>0.8</v>
      </c>
      <c r="CD76" s="1">
        <f t="shared" si="95"/>
        <v>1.4</v>
      </c>
      <c r="CE76" s="1" t="str">
        <f t="shared" si="96"/>
        <v>NAN</v>
      </c>
      <c r="CF76" s="1">
        <f t="shared" si="97"/>
        <v>0.36699999999999999</v>
      </c>
      <c r="CG76" s="1">
        <f t="shared" si="98"/>
        <v>0.13200000000000001</v>
      </c>
      <c r="CI76" s="1">
        <f t="shared" si="62"/>
        <v>2879</v>
      </c>
      <c r="CJ76" s="1">
        <f t="shared" si="63"/>
        <v>0.27</v>
      </c>
      <c r="CK76" s="1">
        <f t="shared" si="64"/>
        <v>0.187</v>
      </c>
      <c r="CL76" s="1">
        <f t="shared" si="65"/>
        <v>5.3999999999999999E-2</v>
      </c>
      <c r="CM76" s="1">
        <f t="shared" si="66"/>
        <v>1.4999999999999999E-2</v>
      </c>
      <c r="CN76" s="1">
        <f t="shared" si="67"/>
        <v>1.4E-2</v>
      </c>
      <c r="CO76" s="1">
        <f t="shared" si="68"/>
        <v>2.4E-2</v>
      </c>
      <c r="CP76" s="1">
        <f t="shared" si="69"/>
        <v>0.11600000000000001</v>
      </c>
      <c r="CQ76" s="1">
        <f t="shared" si="70"/>
        <v>0.32100000000000001</v>
      </c>
      <c r="CS76" s="1">
        <f t="shared" si="101"/>
        <v>4.9000000000000004</v>
      </c>
      <c r="CT76" s="1">
        <f t="shared" si="102"/>
        <v>-6.1999999999999993</v>
      </c>
    </row>
    <row r="77" spans="1:98" x14ac:dyDescent="0.2">
      <c r="A77" s="8">
        <f t="shared" si="99"/>
        <v>43902</v>
      </c>
      <c r="B77" s="1">
        <v>72</v>
      </c>
      <c r="C77" s="1">
        <v>11</v>
      </c>
      <c r="D77" s="2">
        <v>13</v>
      </c>
      <c r="E77" s="2">
        <v>-3.6219999999999999</v>
      </c>
      <c r="F77" s="2">
        <v>-5.3949999999999996</v>
      </c>
      <c r="G77" s="2">
        <v>-8.66</v>
      </c>
      <c r="H77" s="2">
        <v>88.1</v>
      </c>
      <c r="I77" s="2">
        <v>-0.372</v>
      </c>
      <c r="J77" s="2">
        <v>-0.879</v>
      </c>
      <c r="K77" s="2">
        <v>3.5000000000000003E-2</v>
      </c>
      <c r="L77" s="2">
        <v>0.78</v>
      </c>
      <c r="M77" s="2">
        <v>1.35</v>
      </c>
      <c r="N77" s="2">
        <v>-4.4119999999999999</v>
      </c>
      <c r="O77" s="2">
        <v>90.1</v>
      </c>
      <c r="P77" s="2">
        <v>-0.28699999999999998</v>
      </c>
      <c r="Q77" s="2">
        <v>-0.78500000000000003</v>
      </c>
      <c r="R77" s="2">
        <v>0.114</v>
      </c>
      <c r="S77" s="2">
        <v>0.85599999999999998</v>
      </c>
      <c r="T77" s="2">
        <v>1.427</v>
      </c>
      <c r="U77" s="2">
        <v>-11.98</v>
      </c>
      <c r="V77" s="2">
        <v>83.6</v>
      </c>
      <c r="W77" s="2">
        <v>-0.44800000000000001</v>
      </c>
      <c r="X77" s="2">
        <v>-0.96099999999999997</v>
      </c>
      <c r="Y77" s="2">
        <v>-5.6000000000000001E-2</v>
      </c>
      <c r="Z77" s="2">
        <v>0.69399999999999995</v>
      </c>
      <c r="AA77" s="2">
        <v>1.268</v>
      </c>
      <c r="AB77" s="2">
        <v>1.0529999999999999</v>
      </c>
      <c r="AC77" s="2">
        <v>0</v>
      </c>
      <c r="AD77" s="2">
        <v>2.5339999999999998</v>
      </c>
      <c r="AE77" s="2">
        <v>7.8220000000000001</v>
      </c>
      <c r="AF77" s="2">
        <v>0.875</v>
      </c>
      <c r="AG77" s="2">
        <v>3.6930000000000001</v>
      </c>
      <c r="AH77" s="2">
        <v>-10.34</v>
      </c>
      <c r="AI77" s="2">
        <v>-0.24099999999999999</v>
      </c>
      <c r="AJ77" s="2">
        <v>-18.22</v>
      </c>
      <c r="AK77" s="2">
        <v>8.0000000000000002E-3</v>
      </c>
      <c r="AL77" s="2">
        <v>-12.85</v>
      </c>
      <c r="AM77" s="2">
        <v>1.0740000000000001</v>
      </c>
      <c r="AN77" s="2" t="s">
        <v>122</v>
      </c>
      <c r="AO77" s="2">
        <v>500</v>
      </c>
      <c r="AP77" s="2">
        <v>686</v>
      </c>
      <c r="AQ77" s="2">
        <v>595</v>
      </c>
      <c r="AR77" s="2">
        <v>128</v>
      </c>
      <c r="AS77" s="2">
        <v>71</v>
      </c>
      <c r="AT77" s="2">
        <v>88</v>
      </c>
      <c r="AU77" s="2">
        <v>307</v>
      </c>
      <c r="AV77" s="2">
        <v>504</v>
      </c>
      <c r="AW77" s="2"/>
      <c r="AX77" s="1">
        <f t="shared" si="71"/>
        <v>1.4969999999999999</v>
      </c>
      <c r="AY77" s="21">
        <f t="shared" si="72"/>
        <v>-0.4</v>
      </c>
      <c r="AZ77" s="5">
        <v>16.559999999999999</v>
      </c>
      <c r="BA77" s="1">
        <v>7.58</v>
      </c>
      <c r="BB77" s="1">
        <v>7.2</v>
      </c>
      <c r="BC77" s="6">
        <f t="shared" si="100"/>
        <v>0.94986807387862793</v>
      </c>
      <c r="BE77" s="30">
        <v>3.8</v>
      </c>
      <c r="BF77" s="27">
        <v>1537</v>
      </c>
      <c r="BG77" s="1">
        <f t="shared" si="73"/>
        <v>90.1</v>
      </c>
      <c r="BH77" s="1">
        <f t="shared" si="74"/>
        <v>88.1</v>
      </c>
      <c r="BI77" s="1">
        <f t="shared" si="75"/>
        <v>83.6</v>
      </c>
      <c r="BJ77" s="7">
        <f t="shared" si="76"/>
        <v>0.36799999999999999</v>
      </c>
      <c r="BK77" s="7">
        <f t="shared" si="77"/>
        <v>7.1999999999999995E-2</v>
      </c>
      <c r="BM77" s="5">
        <f t="shared" si="78"/>
        <v>7.58</v>
      </c>
      <c r="BN77" s="5">
        <f t="shared" si="79"/>
        <v>7.2</v>
      </c>
      <c r="BO77" s="1">
        <f t="shared" si="80"/>
        <v>-8.6999999999999993</v>
      </c>
      <c r="BP77" s="1">
        <f t="shared" si="81"/>
        <v>-4.4000000000000004</v>
      </c>
      <c r="BQ77" s="1">
        <f t="shared" si="82"/>
        <v>-12</v>
      </c>
      <c r="BR77" s="1">
        <f t="shared" si="83"/>
        <v>88.1</v>
      </c>
      <c r="BS77" s="1">
        <f t="shared" si="84"/>
        <v>83.6</v>
      </c>
      <c r="BT77" s="1">
        <f t="shared" si="85"/>
        <v>0.9</v>
      </c>
      <c r="BU77" s="1">
        <f t="shared" si="86"/>
        <v>3.7</v>
      </c>
      <c r="BV77" s="33">
        <f t="shared" si="87"/>
        <v>3.8</v>
      </c>
      <c r="BW77" s="34">
        <f t="shared" si="88"/>
        <v>1.5369999999999999</v>
      </c>
      <c r="BX77" s="20">
        <f t="shared" si="89"/>
        <v>-0.4</v>
      </c>
      <c r="BY77" s="1">
        <f t="shared" si="90"/>
        <v>-10.3</v>
      </c>
      <c r="BZ77" s="1">
        <f t="shared" si="91"/>
        <v>-0.2</v>
      </c>
      <c r="CA77" s="1">
        <f t="shared" si="92"/>
        <v>-18.2</v>
      </c>
      <c r="CB77" s="1">
        <f t="shared" si="93"/>
        <v>0</v>
      </c>
      <c r="CC77" s="1">
        <f t="shared" si="94"/>
        <v>0.8</v>
      </c>
      <c r="CD77" s="1">
        <f t="shared" si="95"/>
        <v>1.4</v>
      </c>
      <c r="CE77" s="1" t="str">
        <f t="shared" si="96"/>
        <v>NAN</v>
      </c>
      <c r="CF77" s="1">
        <f t="shared" si="97"/>
        <v>0.36799999999999999</v>
      </c>
      <c r="CG77" s="1">
        <f t="shared" si="98"/>
        <v>7.1999999999999995E-2</v>
      </c>
      <c r="CI77" s="1">
        <f t="shared" si="62"/>
        <v>2879</v>
      </c>
      <c r="CJ77" s="1">
        <f t="shared" si="63"/>
        <v>0.17399999999999999</v>
      </c>
      <c r="CK77" s="1">
        <f t="shared" si="64"/>
        <v>0.23799999999999999</v>
      </c>
      <c r="CL77" s="1">
        <f t="shared" si="65"/>
        <v>0.20699999999999999</v>
      </c>
      <c r="CM77" s="1">
        <f t="shared" si="66"/>
        <v>4.3999999999999997E-2</v>
      </c>
      <c r="CN77" s="1">
        <f t="shared" si="67"/>
        <v>2.5000000000000001E-2</v>
      </c>
      <c r="CO77" s="1">
        <f t="shared" si="68"/>
        <v>3.1E-2</v>
      </c>
      <c r="CP77" s="1">
        <f t="shared" si="69"/>
        <v>0.107</v>
      </c>
      <c r="CQ77" s="1">
        <f t="shared" si="70"/>
        <v>0.17499999999999999</v>
      </c>
      <c r="CS77" s="1">
        <f t="shared" si="101"/>
        <v>4.2</v>
      </c>
      <c r="CT77" s="1">
        <f t="shared" si="102"/>
        <v>-6.1999999999999993</v>
      </c>
    </row>
    <row r="78" spans="1:98" x14ac:dyDescent="0.2">
      <c r="A78" s="8">
        <f t="shared" si="99"/>
        <v>43903</v>
      </c>
      <c r="B78" s="1">
        <v>73</v>
      </c>
      <c r="C78" s="1">
        <v>11</v>
      </c>
      <c r="D78" s="2">
        <v>13</v>
      </c>
      <c r="E78" s="2">
        <v>-4.2910000000000004</v>
      </c>
      <c r="F78" s="2">
        <v>-5.1559999999999997</v>
      </c>
      <c r="G78" s="2">
        <v>-11.19</v>
      </c>
      <c r="H78" s="2">
        <v>86.5</v>
      </c>
      <c r="I78" s="2">
        <v>-0.38300000000000001</v>
      </c>
      <c r="J78" s="2">
        <v>-0.90500000000000003</v>
      </c>
      <c r="K78" s="2">
        <v>3.6999999999999998E-2</v>
      </c>
      <c r="L78" s="2">
        <v>0.77800000000000002</v>
      </c>
      <c r="M78" s="2">
        <v>1.3460000000000001</v>
      </c>
      <c r="N78" s="2">
        <v>-9.3000000000000007</v>
      </c>
      <c r="O78" s="2">
        <v>87.9</v>
      </c>
      <c r="P78" s="2">
        <v>-0.29699999999999999</v>
      </c>
      <c r="Q78" s="2">
        <v>-0.82299999999999995</v>
      </c>
      <c r="R78" s="2">
        <v>0.125</v>
      </c>
      <c r="S78" s="2">
        <v>0.85199999999999998</v>
      </c>
      <c r="T78" s="2">
        <v>1.4139999999999999</v>
      </c>
      <c r="U78" s="2">
        <v>-14.66</v>
      </c>
      <c r="V78" s="2">
        <v>83.9</v>
      </c>
      <c r="W78" s="2">
        <v>-0.48499999999999999</v>
      </c>
      <c r="X78" s="2">
        <v>-0.98399999999999999</v>
      </c>
      <c r="Y78" s="2">
        <v>-4.1000000000000002E-2</v>
      </c>
      <c r="Z78" s="2">
        <v>0.69899999999999995</v>
      </c>
      <c r="AA78" s="2">
        <v>1.26</v>
      </c>
      <c r="AB78" s="25">
        <v>0.55000000000000004</v>
      </c>
      <c r="AC78" s="2">
        <v>0</v>
      </c>
      <c r="AD78" s="2">
        <v>4.0350000000000001</v>
      </c>
      <c r="AE78" s="2">
        <v>6.1340000000000003</v>
      </c>
      <c r="AF78" s="2">
        <v>2.0089999999999999</v>
      </c>
      <c r="AG78" s="2">
        <v>4.3659999999999997</v>
      </c>
      <c r="AH78" s="2">
        <v>-11.68</v>
      </c>
      <c r="AI78" s="2">
        <v>-8.73</v>
      </c>
      <c r="AJ78" s="2">
        <v>-15.49</v>
      </c>
      <c r="AK78" s="2">
        <v>-7.6269999999999998</v>
      </c>
      <c r="AL78" s="2">
        <v>-15.05</v>
      </c>
      <c r="AM78" s="2">
        <v>0.57199999999999995</v>
      </c>
      <c r="AN78" s="2" t="s">
        <v>122</v>
      </c>
      <c r="AO78" s="2">
        <v>243</v>
      </c>
      <c r="AP78" s="2">
        <v>2035</v>
      </c>
      <c r="AQ78" s="2">
        <v>504</v>
      </c>
      <c r="AR78" s="2">
        <v>42</v>
      </c>
      <c r="AS78" s="2">
        <v>23</v>
      </c>
      <c r="AT78" s="2">
        <v>6</v>
      </c>
      <c r="AU78" s="2">
        <v>5</v>
      </c>
      <c r="AV78" s="2">
        <v>22</v>
      </c>
      <c r="AW78" s="2"/>
      <c r="AX78" s="1">
        <f t="shared" si="71"/>
        <v>1.9999999999999998</v>
      </c>
      <c r="AY78" s="21">
        <f t="shared" si="72"/>
        <v>-0.4</v>
      </c>
      <c r="AZ78" s="5">
        <v>16.82</v>
      </c>
      <c r="BA78" s="1">
        <v>6.16</v>
      </c>
      <c r="BB78" s="1">
        <v>5.64</v>
      </c>
      <c r="BC78" s="6">
        <f t="shared" si="100"/>
        <v>0.9155844155844155</v>
      </c>
      <c r="BE78" s="30">
        <v>49.8</v>
      </c>
      <c r="BF78" s="27">
        <v>2033</v>
      </c>
      <c r="BG78" s="1">
        <f t="shared" si="73"/>
        <v>87.9</v>
      </c>
      <c r="BH78" s="1">
        <f t="shared" si="74"/>
        <v>86.5</v>
      </c>
      <c r="BI78" s="1">
        <f t="shared" si="75"/>
        <v>83.9</v>
      </c>
      <c r="BJ78" s="7">
        <f t="shared" si="76"/>
        <v>0.253</v>
      </c>
      <c r="BK78" s="7">
        <f t="shared" si="77"/>
        <v>4.9000000000000002E-2</v>
      </c>
      <c r="BM78" s="5">
        <f t="shared" si="78"/>
        <v>6.16</v>
      </c>
      <c r="BN78" s="5">
        <f t="shared" si="79"/>
        <v>5.64</v>
      </c>
      <c r="BO78" s="1">
        <f t="shared" si="80"/>
        <v>-11.2</v>
      </c>
      <c r="BP78" s="1">
        <f t="shared" si="81"/>
        <v>-9.3000000000000007</v>
      </c>
      <c r="BQ78" s="1">
        <f t="shared" si="82"/>
        <v>-14.7</v>
      </c>
      <c r="BR78" s="1">
        <f t="shared" si="83"/>
        <v>86.5</v>
      </c>
      <c r="BS78" s="1">
        <f t="shared" si="84"/>
        <v>83.9</v>
      </c>
      <c r="BT78" s="1">
        <f t="shared" si="85"/>
        <v>2</v>
      </c>
      <c r="BU78" s="1">
        <f t="shared" si="86"/>
        <v>4.4000000000000004</v>
      </c>
      <c r="BV78" s="33">
        <f t="shared" si="87"/>
        <v>49.8</v>
      </c>
      <c r="BW78" s="34">
        <f t="shared" si="88"/>
        <v>2.0329999999999999</v>
      </c>
      <c r="BX78" s="20">
        <f t="shared" si="89"/>
        <v>-0.4</v>
      </c>
      <c r="BY78" s="1">
        <f t="shared" si="90"/>
        <v>-11.7</v>
      </c>
      <c r="BZ78" s="1">
        <f t="shared" si="91"/>
        <v>-8.6999999999999993</v>
      </c>
      <c r="CA78" s="1">
        <f t="shared" si="92"/>
        <v>-15.5</v>
      </c>
      <c r="CB78" s="1">
        <f t="shared" si="93"/>
        <v>0</v>
      </c>
      <c r="CC78" s="1">
        <f t="shared" si="94"/>
        <v>0.8</v>
      </c>
      <c r="CD78" s="1">
        <f t="shared" si="95"/>
        <v>1.3</v>
      </c>
      <c r="CE78" s="1" t="str">
        <f t="shared" si="96"/>
        <v>NAN</v>
      </c>
      <c r="CF78" s="1">
        <f t="shared" si="97"/>
        <v>0.253</v>
      </c>
      <c r="CG78" s="1">
        <f t="shared" si="98"/>
        <v>4.9000000000000002E-2</v>
      </c>
      <c r="CI78" s="1">
        <f t="shared" si="62"/>
        <v>2880</v>
      </c>
      <c r="CJ78" s="1">
        <f t="shared" si="63"/>
        <v>8.4000000000000005E-2</v>
      </c>
      <c r="CK78" s="1">
        <f t="shared" si="64"/>
        <v>0.70699999999999996</v>
      </c>
      <c r="CL78" s="1">
        <f t="shared" si="65"/>
        <v>0.17499999999999999</v>
      </c>
      <c r="CM78" s="1">
        <f t="shared" si="66"/>
        <v>1.4999999999999999E-2</v>
      </c>
      <c r="CN78" s="1">
        <f t="shared" si="67"/>
        <v>8.0000000000000002E-3</v>
      </c>
      <c r="CO78" s="1">
        <f t="shared" si="68"/>
        <v>2E-3</v>
      </c>
      <c r="CP78" s="1">
        <f t="shared" si="69"/>
        <v>2E-3</v>
      </c>
      <c r="CQ78" s="1">
        <f t="shared" si="70"/>
        <v>8.0000000000000002E-3</v>
      </c>
      <c r="CS78" s="1">
        <f t="shared" si="101"/>
        <v>0.60000000000000142</v>
      </c>
      <c r="CT78" s="1">
        <f t="shared" si="102"/>
        <v>-0.80000000000000071</v>
      </c>
    </row>
    <row r="79" spans="1:98" x14ac:dyDescent="0.2">
      <c r="A79" s="8">
        <f t="shared" si="99"/>
        <v>43904</v>
      </c>
      <c r="B79" s="1">
        <v>74</v>
      </c>
      <c r="C79" s="1">
        <v>11</v>
      </c>
      <c r="D79" s="2">
        <v>13.01</v>
      </c>
      <c r="E79" s="2">
        <v>-4.8529999999999998</v>
      </c>
      <c r="F79" s="2">
        <v>-5.4180000000000001</v>
      </c>
      <c r="G79" s="2">
        <v>-16.079999999999998</v>
      </c>
      <c r="H79" s="2">
        <v>81.599999999999994</v>
      </c>
      <c r="I79" s="2">
        <v>-0.39</v>
      </c>
      <c r="J79" s="2">
        <v>-0.91800000000000004</v>
      </c>
      <c r="K79" s="2">
        <v>3.6999999999999998E-2</v>
      </c>
      <c r="L79" s="2">
        <v>0.77600000000000002</v>
      </c>
      <c r="M79" s="2">
        <v>1.3420000000000001</v>
      </c>
      <c r="N79" s="2">
        <v>-11.44</v>
      </c>
      <c r="O79" s="2">
        <v>83.8</v>
      </c>
      <c r="P79" s="2">
        <v>-0.314</v>
      </c>
      <c r="Q79" s="2">
        <v>-0.85399999999999998</v>
      </c>
      <c r="R79" s="2">
        <v>0.107</v>
      </c>
      <c r="S79" s="2">
        <v>0.84299999999999997</v>
      </c>
      <c r="T79" s="2">
        <v>1.409</v>
      </c>
      <c r="U79" s="2">
        <v>-18.940000000000001</v>
      </c>
      <c r="V79" s="2">
        <v>78.930000000000007</v>
      </c>
      <c r="W79" s="2">
        <v>-0.46700000000000003</v>
      </c>
      <c r="X79" s="2">
        <v>-0.98899999999999999</v>
      </c>
      <c r="Y79" s="2">
        <v>-4.5999999999999999E-2</v>
      </c>
      <c r="Z79" s="2">
        <v>0.69299999999999995</v>
      </c>
      <c r="AA79" s="2">
        <v>1.264</v>
      </c>
      <c r="AB79" s="25">
        <v>0.7</v>
      </c>
      <c r="AC79" s="2">
        <v>0</v>
      </c>
      <c r="AD79" s="2">
        <v>10.87</v>
      </c>
      <c r="AE79" s="2">
        <v>10.94</v>
      </c>
      <c r="AF79" s="2">
        <v>2.3559999999999999</v>
      </c>
      <c r="AG79" s="2">
        <v>5.0759999999999996</v>
      </c>
      <c r="AH79" s="2">
        <v>-16.8</v>
      </c>
      <c r="AI79" s="2">
        <v>-8.92</v>
      </c>
      <c r="AJ79" s="2">
        <v>-21.19</v>
      </c>
      <c r="AK79" s="2">
        <v>-7.6609999999999996</v>
      </c>
      <c r="AL79" s="2">
        <v>-19.239999999999998</v>
      </c>
      <c r="AM79" s="2">
        <v>0.77400000000000002</v>
      </c>
      <c r="AN79" s="2" t="s">
        <v>122</v>
      </c>
      <c r="AO79" s="2">
        <v>175</v>
      </c>
      <c r="AP79" s="2">
        <v>2047</v>
      </c>
      <c r="AQ79" s="2">
        <v>638</v>
      </c>
      <c r="AR79" s="2">
        <v>19</v>
      </c>
      <c r="AS79" s="2">
        <v>0</v>
      </c>
      <c r="AT79" s="2">
        <v>0</v>
      </c>
      <c r="AU79" s="2">
        <v>0</v>
      </c>
      <c r="AV79" s="2">
        <v>1</v>
      </c>
      <c r="AW79" s="2"/>
      <c r="AX79" s="1">
        <f t="shared" si="71"/>
        <v>1.8499999999999999</v>
      </c>
      <c r="AY79" s="21">
        <f t="shared" si="72"/>
        <v>-0.4</v>
      </c>
      <c r="AZ79" s="5">
        <v>17.079999999999998</v>
      </c>
      <c r="BA79" s="1">
        <v>10.87</v>
      </c>
      <c r="BB79" s="1">
        <v>10.07</v>
      </c>
      <c r="BC79" s="6">
        <f t="shared" si="100"/>
        <v>0.92640294388224476</v>
      </c>
      <c r="BE79" s="30">
        <v>1.2</v>
      </c>
      <c r="BF79" s="27">
        <v>1841.9999999999998</v>
      </c>
      <c r="BG79" s="1">
        <f t="shared" si="73"/>
        <v>83.8</v>
      </c>
      <c r="BH79" s="1">
        <f t="shared" si="74"/>
        <v>81.599999999999994</v>
      </c>
      <c r="BI79" s="1">
        <f t="shared" si="75"/>
        <v>78.900000000000006</v>
      </c>
      <c r="BJ79" s="7">
        <f t="shared" si="76"/>
        <v>0.20100000000000001</v>
      </c>
      <c r="BK79" s="7">
        <f t="shared" si="77"/>
        <v>5.3999999999999999E-2</v>
      </c>
      <c r="BM79" s="5">
        <f t="shared" si="78"/>
        <v>10.87</v>
      </c>
      <c r="BN79" s="5">
        <f t="shared" si="79"/>
        <v>10.07</v>
      </c>
      <c r="BO79" s="1">
        <f t="shared" si="80"/>
        <v>-16.100000000000001</v>
      </c>
      <c r="BP79" s="1">
        <f t="shared" si="81"/>
        <v>-11.4</v>
      </c>
      <c r="BQ79" s="1">
        <f t="shared" si="82"/>
        <v>-18.899999999999999</v>
      </c>
      <c r="BR79" s="1">
        <f t="shared" si="83"/>
        <v>81.599999999999994</v>
      </c>
      <c r="BS79" s="1">
        <f t="shared" si="84"/>
        <v>78.900000000000006</v>
      </c>
      <c r="BT79" s="1">
        <f t="shared" si="85"/>
        <v>2.4</v>
      </c>
      <c r="BU79" s="1">
        <f t="shared" si="86"/>
        <v>5.0999999999999996</v>
      </c>
      <c r="BV79" s="33">
        <f t="shared" si="87"/>
        <v>1.2</v>
      </c>
      <c r="BW79" s="34">
        <f t="shared" si="88"/>
        <v>1.8420000000000001</v>
      </c>
      <c r="BX79" s="20">
        <f t="shared" si="89"/>
        <v>-0.4</v>
      </c>
      <c r="BY79" s="1">
        <f t="shared" si="90"/>
        <v>-16.8</v>
      </c>
      <c r="BZ79" s="1">
        <f t="shared" si="91"/>
        <v>-8.9</v>
      </c>
      <c r="CA79" s="1">
        <f t="shared" si="92"/>
        <v>-21.2</v>
      </c>
      <c r="CB79" s="1">
        <f t="shared" si="93"/>
        <v>0</v>
      </c>
      <c r="CC79" s="1">
        <f t="shared" si="94"/>
        <v>0.8</v>
      </c>
      <c r="CD79" s="1">
        <f t="shared" si="95"/>
        <v>1.3</v>
      </c>
      <c r="CE79" s="1" t="str">
        <f t="shared" si="96"/>
        <v>NAN</v>
      </c>
      <c r="CF79" s="1">
        <f t="shared" si="97"/>
        <v>0.20100000000000001</v>
      </c>
      <c r="CG79" s="1">
        <f t="shared" si="98"/>
        <v>5.3999999999999999E-2</v>
      </c>
      <c r="CI79" s="1">
        <f t="shared" si="62"/>
        <v>2880</v>
      </c>
      <c r="CJ79" s="1">
        <f t="shared" si="63"/>
        <v>6.0999999999999999E-2</v>
      </c>
      <c r="CK79" s="1">
        <f t="shared" si="64"/>
        <v>0.71099999999999997</v>
      </c>
      <c r="CL79" s="1">
        <f t="shared" si="65"/>
        <v>0.222</v>
      </c>
      <c r="CM79" s="1">
        <f t="shared" si="66"/>
        <v>7.0000000000000001E-3</v>
      </c>
      <c r="CN79" s="1">
        <f t="shared" si="67"/>
        <v>0</v>
      </c>
      <c r="CO79" s="1">
        <f t="shared" si="68"/>
        <v>0</v>
      </c>
      <c r="CP79" s="1">
        <f t="shared" si="69"/>
        <v>0</v>
      </c>
      <c r="CQ79" s="1">
        <f t="shared" si="70"/>
        <v>0</v>
      </c>
      <c r="CS79" s="1">
        <f t="shared" si="101"/>
        <v>2.5</v>
      </c>
      <c r="CT79" s="1">
        <f t="shared" si="102"/>
        <v>-2.3000000000000007</v>
      </c>
    </row>
    <row r="80" spans="1:98" x14ac:dyDescent="0.2">
      <c r="A80" s="8">
        <f t="shared" si="99"/>
        <v>43905</v>
      </c>
      <c r="B80" s="1">
        <v>75</v>
      </c>
      <c r="C80" s="1">
        <v>11</v>
      </c>
      <c r="D80" s="2">
        <v>13.02</v>
      </c>
      <c r="E80" s="2">
        <v>-4.8730000000000002</v>
      </c>
      <c r="F80" s="2">
        <v>-8.58</v>
      </c>
      <c r="G80" s="2">
        <v>-13.3</v>
      </c>
      <c r="H80" s="2">
        <v>72.209999999999994</v>
      </c>
      <c r="I80" s="2">
        <v>-0.39400000000000002</v>
      </c>
      <c r="J80" s="2">
        <v>-0.92600000000000005</v>
      </c>
      <c r="K80" s="2">
        <v>3.3000000000000002E-2</v>
      </c>
      <c r="L80" s="2">
        <v>0.76700000000000002</v>
      </c>
      <c r="M80" s="2">
        <v>1.3320000000000001</v>
      </c>
      <c r="N80" s="2">
        <v>-7.3570000000000002</v>
      </c>
      <c r="O80" s="2">
        <v>81.599999999999994</v>
      </c>
      <c r="P80" s="2">
        <v>-0.312</v>
      </c>
      <c r="Q80" s="2">
        <v>-0.83799999999999997</v>
      </c>
      <c r="R80" s="2">
        <v>0.11</v>
      </c>
      <c r="S80" s="2">
        <v>0.83599999999999997</v>
      </c>
      <c r="T80" s="2">
        <v>1.4279999999999999</v>
      </c>
      <c r="U80" s="2">
        <v>-19.18</v>
      </c>
      <c r="V80" s="2">
        <v>60.29</v>
      </c>
      <c r="W80" s="2">
        <v>-0.498</v>
      </c>
      <c r="X80" s="2">
        <v>-1.032</v>
      </c>
      <c r="Y80" s="2">
        <v>-7.3999999999999996E-2</v>
      </c>
      <c r="Z80" s="2">
        <v>0.68300000000000005</v>
      </c>
      <c r="AA80" s="2">
        <v>1.236</v>
      </c>
      <c r="AB80" s="25">
        <v>1</v>
      </c>
      <c r="AC80" s="2">
        <v>0</v>
      </c>
      <c r="AD80" s="2">
        <v>15.32</v>
      </c>
      <c r="AE80" s="2">
        <v>17.14</v>
      </c>
      <c r="AF80" s="2">
        <v>4.1150000000000002</v>
      </c>
      <c r="AG80" s="2">
        <v>6.69</v>
      </c>
      <c r="AH80" s="2">
        <v>-14.55</v>
      </c>
      <c r="AI80" s="2">
        <v>-6.4290000000000003</v>
      </c>
      <c r="AJ80" s="2">
        <v>-22.08</v>
      </c>
      <c r="AK80" s="2">
        <v>-3.7829999999999999</v>
      </c>
      <c r="AL80" s="2">
        <v>-19.739999999999998</v>
      </c>
      <c r="AM80" s="2">
        <v>1.036</v>
      </c>
      <c r="AN80" s="2" t="s">
        <v>122</v>
      </c>
      <c r="AO80" s="2">
        <v>36</v>
      </c>
      <c r="AP80" s="2">
        <v>1769</v>
      </c>
      <c r="AQ80" s="2">
        <v>1067</v>
      </c>
      <c r="AR80" s="2">
        <v>8</v>
      </c>
      <c r="AS80" s="2">
        <v>0</v>
      </c>
      <c r="AT80" s="2">
        <v>0</v>
      </c>
      <c r="AU80" s="2">
        <v>0</v>
      </c>
      <c r="AV80" s="2">
        <v>0</v>
      </c>
      <c r="AW80" s="2"/>
      <c r="AX80" s="1">
        <f t="shared" si="71"/>
        <v>1.5499999999999998</v>
      </c>
      <c r="AY80" s="21">
        <f t="shared" si="72"/>
        <v>-0.4</v>
      </c>
      <c r="AZ80" s="5">
        <v>17.34</v>
      </c>
      <c r="BA80" s="1">
        <v>16.72</v>
      </c>
      <c r="BB80" s="1">
        <v>15.77</v>
      </c>
      <c r="BC80" s="6">
        <f t="shared" si="100"/>
        <v>0.94318181818181823</v>
      </c>
      <c r="BE80" s="30">
        <v>0</v>
      </c>
      <c r="BF80" s="27">
        <v>1570</v>
      </c>
      <c r="BG80" s="1">
        <f t="shared" si="73"/>
        <v>81.599999999999994</v>
      </c>
      <c r="BH80" s="1">
        <f t="shared" si="74"/>
        <v>72.2</v>
      </c>
      <c r="BI80" s="1">
        <f t="shared" si="75"/>
        <v>60.3</v>
      </c>
      <c r="BJ80" s="7">
        <f t="shared" si="76"/>
        <v>0.21199999999999999</v>
      </c>
      <c r="BK80" s="7">
        <f t="shared" si="77"/>
        <v>0.14000000000000001</v>
      </c>
      <c r="BM80" s="5">
        <f t="shared" si="78"/>
        <v>16.72</v>
      </c>
      <c r="BN80" s="5">
        <f t="shared" si="79"/>
        <v>15.77</v>
      </c>
      <c r="BO80" s="1">
        <f t="shared" si="80"/>
        <v>-13.3</v>
      </c>
      <c r="BP80" s="1">
        <f t="shared" si="81"/>
        <v>-7.4</v>
      </c>
      <c r="BQ80" s="1">
        <f t="shared" si="82"/>
        <v>-19.2</v>
      </c>
      <c r="BR80" s="1">
        <f t="shared" si="83"/>
        <v>72.2</v>
      </c>
      <c r="BS80" s="1">
        <f t="shared" si="84"/>
        <v>60.3</v>
      </c>
      <c r="BT80" s="1">
        <f t="shared" si="85"/>
        <v>4.0999999999999996</v>
      </c>
      <c r="BU80" s="1">
        <f t="shared" si="86"/>
        <v>6.7</v>
      </c>
      <c r="BV80" s="33">
        <f t="shared" si="87"/>
        <v>0</v>
      </c>
      <c r="BW80" s="34">
        <f t="shared" si="88"/>
        <v>1.57</v>
      </c>
      <c r="BX80" s="20">
        <f t="shared" si="89"/>
        <v>-0.4</v>
      </c>
      <c r="BY80" s="1">
        <f t="shared" si="90"/>
        <v>-14.6</v>
      </c>
      <c r="BZ80" s="1">
        <f t="shared" si="91"/>
        <v>-6.4</v>
      </c>
      <c r="CA80" s="1">
        <f t="shared" si="92"/>
        <v>-22.1</v>
      </c>
      <c r="CB80" s="1">
        <f t="shared" si="93"/>
        <v>0</v>
      </c>
      <c r="CC80" s="1">
        <f t="shared" si="94"/>
        <v>0.8</v>
      </c>
      <c r="CD80" s="1">
        <f t="shared" si="95"/>
        <v>1.3</v>
      </c>
      <c r="CE80" s="1" t="str">
        <f t="shared" si="96"/>
        <v>NAN</v>
      </c>
      <c r="CF80" s="1">
        <f t="shared" si="97"/>
        <v>0.21199999999999999</v>
      </c>
      <c r="CG80" s="1">
        <f t="shared" si="98"/>
        <v>0.14000000000000001</v>
      </c>
      <c r="CI80" s="1">
        <f t="shared" si="62"/>
        <v>2880</v>
      </c>
      <c r="CJ80" s="1">
        <f t="shared" si="63"/>
        <v>1.2999999999999999E-2</v>
      </c>
      <c r="CK80" s="1">
        <f t="shared" si="64"/>
        <v>0.61399999999999999</v>
      </c>
      <c r="CL80" s="1">
        <f t="shared" si="65"/>
        <v>0.37</v>
      </c>
      <c r="CM80" s="1">
        <f t="shared" si="66"/>
        <v>3.0000000000000001E-3</v>
      </c>
      <c r="CN80" s="1">
        <f t="shared" si="67"/>
        <v>0</v>
      </c>
      <c r="CO80" s="1">
        <f t="shared" si="68"/>
        <v>0</v>
      </c>
      <c r="CP80" s="1">
        <f t="shared" si="69"/>
        <v>0</v>
      </c>
      <c r="CQ80" s="1">
        <f t="shared" si="70"/>
        <v>0</v>
      </c>
      <c r="CS80" s="1">
        <f t="shared" si="101"/>
        <v>1</v>
      </c>
      <c r="CT80" s="1">
        <f t="shared" si="102"/>
        <v>-2.9000000000000021</v>
      </c>
    </row>
    <row r="81" spans="1:98" x14ac:dyDescent="0.2">
      <c r="A81" s="8">
        <f t="shared" si="99"/>
        <v>43906</v>
      </c>
      <c r="B81" s="1">
        <v>76</v>
      </c>
      <c r="C81" s="1">
        <v>11</v>
      </c>
      <c r="D81" s="2">
        <v>13.01</v>
      </c>
      <c r="E81" s="2">
        <v>-1.8440000000000001</v>
      </c>
      <c r="F81" s="2">
        <v>-9.23</v>
      </c>
      <c r="G81" s="2">
        <v>-3.7269999999999999</v>
      </c>
      <c r="H81" s="2">
        <v>51.38</v>
      </c>
      <c r="I81" s="2">
        <v>-0.41099999999999998</v>
      </c>
      <c r="J81" s="2">
        <v>-0.93899999999999995</v>
      </c>
      <c r="K81" s="2">
        <v>2.5000000000000001E-2</v>
      </c>
      <c r="L81" s="2">
        <v>0.754</v>
      </c>
      <c r="M81" s="2">
        <v>1.319</v>
      </c>
      <c r="N81" s="2">
        <v>6.93</v>
      </c>
      <c r="O81" s="2">
        <v>81.8</v>
      </c>
      <c r="P81" s="2">
        <v>-0.32300000000000001</v>
      </c>
      <c r="Q81" s="2">
        <v>-0.86099999999999999</v>
      </c>
      <c r="R81" s="2">
        <v>0.1</v>
      </c>
      <c r="S81" s="2">
        <v>0.82799999999999996</v>
      </c>
      <c r="T81" s="2">
        <v>1.395</v>
      </c>
      <c r="U81" s="2">
        <v>-11.39</v>
      </c>
      <c r="V81" s="2">
        <v>25.84</v>
      </c>
      <c r="W81" s="2">
        <v>-0.503</v>
      </c>
      <c r="X81" s="2">
        <v>-1.04</v>
      </c>
      <c r="Y81" s="2">
        <v>-0.06</v>
      </c>
      <c r="Z81" s="2">
        <v>0.68100000000000005</v>
      </c>
      <c r="AA81" s="2">
        <v>1.2430000000000001</v>
      </c>
      <c r="AB81" s="2">
        <v>1.077</v>
      </c>
      <c r="AC81" s="2">
        <v>0</v>
      </c>
      <c r="AD81" s="2">
        <v>15.33</v>
      </c>
      <c r="AE81" s="2">
        <v>16.62</v>
      </c>
      <c r="AF81" s="2">
        <v>2.113</v>
      </c>
      <c r="AG81" s="2">
        <v>5.83</v>
      </c>
      <c r="AH81" s="2">
        <v>-6.3470000000000004</v>
      </c>
      <c r="AI81" s="2">
        <v>5.7359999999999998</v>
      </c>
      <c r="AJ81" s="2">
        <v>-14.79</v>
      </c>
      <c r="AK81" s="2">
        <v>13.46</v>
      </c>
      <c r="AL81" s="2">
        <v>-11.51</v>
      </c>
      <c r="AM81" s="2">
        <v>1.0860000000000001</v>
      </c>
      <c r="AN81" s="2" t="s">
        <v>122</v>
      </c>
      <c r="AO81" s="2">
        <v>62</v>
      </c>
      <c r="AP81" s="2">
        <v>802</v>
      </c>
      <c r="AQ81" s="2">
        <v>1219</v>
      </c>
      <c r="AR81" s="2">
        <v>85</v>
      </c>
      <c r="AS81" s="2">
        <v>79</v>
      </c>
      <c r="AT81" s="2">
        <v>320</v>
      </c>
      <c r="AU81" s="2">
        <v>235</v>
      </c>
      <c r="AV81" s="2">
        <v>78</v>
      </c>
      <c r="AW81" s="2"/>
      <c r="AX81" s="1">
        <f t="shared" si="71"/>
        <v>1.4729999999999999</v>
      </c>
      <c r="AY81" s="21">
        <f t="shared" si="72"/>
        <v>-0.4</v>
      </c>
      <c r="AZ81" s="5">
        <v>17.600000000000001</v>
      </c>
      <c r="BA81" s="1">
        <v>16.149999999999999</v>
      </c>
      <c r="BB81" s="1">
        <v>15.29</v>
      </c>
      <c r="BC81" s="6">
        <f t="shared" si="100"/>
        <v>0.94674922600619194</v>
      </c>
      <c r="BE81" s="30">
        <v>0</v>
      </c>
      <c r="BF81" s="27">
        <v>1513</v>
      </c>
      <c r="BG81" s="1">
        <f t="shared" si="73"/>
        <v>81.8</v>
      </c>
      <c r="BH81" s="1">
        <f t="shared" si="74"/>
        <v>51.4</v>
      </c>
      <c r="BI81" s="1">
        <f t="shared" si="75"/>
        <v>25.8</v>
      </c>
      <c r="BJ81" s="7">
        <f t="shared" si="76"/>
        <v>0.25700000000000001</v>
      </c>
      <c r="BK81" s="7">
        <f t="shared" si="77"/>
        <v>0.73899999999999999</v>
      </c>
      <c r="BM81" s="5">
        <f t="shared" si="78"/>
        <v>16.149999999999999</v>
      </c>
      <c r="BN81" s="5">
        <f t="shared" si="79"/>
        <v>15.29</v>
      </c>
      <c r="BO81" s="1">
        <f t="shared" si="80"/>
        <v>-3.7</v>
      </c>
      <c r="BP81" s="1">
        <f t="shared" si="81"/>
        <v>6.9</v>
      </c>
      <c r="BQ81" s="1">
        <f t="shared" si="82"/>
        <v>-11.4</v>
      </c>
      <c r="BR81" s="1">
        <f t="shared" si="83"/>
        <v>51.4</v>
      </c>
      <c r="BS81" s="1">
        <f t="shared" si="84"/>
        <v>25.8</v>
      </c>
      <c r="BT81" s="1">
        <f t="shared" si="85"/>
        <v>2.1</v>
      </c>
      <c r="BU81" s="1">
        <f t="shared" si="86"/>
        <v>5.8</v>
      </c>
      <c r="BV81" s="33">
        <f t="shared" si="87"/>
        <v>0</v>
      </c>
      <c r="BW81" s="34">
        <f t="shared" si="88"/>
        <v>1.5129999999999999</v>
      </c>
      <c r="BX81" s="20">
        <f t="shared" si="89"/>
        <v>-0.4</v>
      </c>
      <c r="BY81" s="1">
        <f t="shared" si="90"/>
        <v>-6.3</v>
      </c>
      <c r="BZ81" s="1">
        <f t="shared" si="91"/>
        <v>5.7</v>
      </c>
      <c r="CA81" s="1">
        <f t="shared" si="92"/>
        <v>-14.8</v>
      </c>
      <c r="CB81" s="1">
        <f t="shared" si="93"/>
        <v>0</v>
      </c>
      <c r="CC81" s="1">
        <f t="shared" si="94"/>
        <v>0.8</v>
      </c>
      <c r="CD81" s="1">
        <f t="shared" si="95"/>
        <v>1.3</v>
      </c>
      <c r="CE81" s="1" t="str">
        <f t="shared" si="96"/>
        <v>NAN</v>
      </c>
      <c r="CF81" s="1">
        <f t="shared" si="97"/>
        <v>0.25700000000000001</v>
      </c>
      <c r="CG81" s="1">
        <f t="shared" si="98"/>
        <v>0.73899999999999999</v>
      </c>
      <c r="CI81" s="1">
        <f t="shared" si="62"/>
        <v>2880</v>
      </c>
      <c r="CJ81" s="1">
        <f t="shared" si="63"/>
        <v>2.1999999999999999E-2</v>
      </c>
      <c r="CK81" s="1">
        <f t="shared" si="64"/>
        <v>0.27800000000000002</v>
      </c>
      <c r="CL81" s="1">
        <f t="shared" si="65"/>
        <v>0.42299999999999999</v>
      </c>
      <c r="CM81" s="1">
        <f t="shared" si="66"/>
        <v>0.03</v>
      </c>
      <c r="CN81" s="1">
        <f t="shared" si="67"/>
        <v>2.7E-2</v>
      </c>
      <c r="CO81" s="1">
        <f t="shared" si="68"/>
        <v>0.111</v>
      </c>
      <c r="CP81" s="1">
        <f t="shared" si="69"/>
        <v>8.2000000000000003E-2</v>
      </c>
      <c r="CQ81" s="1">
        <f t="shared" si="70"/>
        <v>2.7E-2</v>
      </c>
      <c r="CS81" s="1">
        <f t="shared" si="101"/>
        <v>-1.2000000000000002</v>
      </c>
      <c r="CT81" s="1">
        <f t="shared" si="102"/>
        <v>-3.4000000000000004</v>
      </c>
    </row>
    <row r="82" spans="1:98" x14ac:dyDescent="0.2">
      <c r="A82" s="8">
        <f t="shared" si="99"/>
        <v>43907</v>
      </c>
      <c r="B82" s="1">
        <v>77</v>
      </c>
      <c r="C82" s="1">
        <v>11</v>
      </c>
      <c r="D82" s="2">
        <v>13.01</v>
      </c>
      <c r="E82" s="2">
        <v>-1.3939999999999999</v>
      </c>
      <c r="F82" s="2">
        <v>-6.8840000000000003</v>
      </c>
      <c r="G82" s="2">
        <v>-1.7949999999999999</v>
      </c>
      <c r="H82" s="2">
        <v>53.28</v>
      </c>
      <c r="I82" s="2">
        <v>-0.40300000000000002</v>
      </c>
      <c r="J82" s="2">
        <v>-0.92500000000000004</v>
      </c>
      <c r="K82" s="2">
        <v>2.9000000000000001E-2</v>
      </c>
      <c r="L82" s="2">
        <v>0.755</v>
      </c>
      <c r="M82" s="2">
        <v>1.3169999999999999</v>
      </c>
      <c r="N82" s="2">
        <v>3.8359999999999999</v>
      </c>
      <c r="O82" s="2">
        <v>66.239999999999995</v>
      </c>
      <c r="P82" s="2">
        <v>-0.32300000000000001</v>
      </c>
      <c r="Q82" s="2">
        <v>-0.83899999999999997</v>
      </c>
      <c r="R82" s="2">
        <v>0.104</v>
      </c>
      <c r="S82" s="2">
        <v>0.83099999999999996</v>
      </c>
      <c r="T82" s="2">
        <v>1.41</v>
      </c>
      <c r="U82" s="2">
        <v>-5.431</v>
      </c>
      <c r="V82" s="2">
        <v>37.76</v>
      </c>
      <c r="W82" s="2">
        <v>-0.49299999999999999</v>
      </c>
      <c r="X82" s="2">
        <v>-1.012</v>
      </c>
      <c r="Y82" s="2">
        <v>-7.1999999999999995E-2</v>
      </c>
      <c r="Z82" s="2">
        <v>0.65500000000000003</v>
      </c>
      <c r="AA82" s="2">
        <v>1.222</v>
      </c>
      <c r="AB82" s="2">
        <v>1.105</v>
      </c>
      <c r="AC82" s="2">
        <v>0</v>
      </c>
      <c r="AD82" s="2">
        <v>13.34</v>
      </c>
      <c r="AE82" s="2">
        <v>13.42</v>
      </c>
      <c r="AF82" s="2">
        <v>1.718</v>
      </c>
      <c r="AG82" s="2">
        <v>3.8639999999999999</v>
      </c>
      <c r="AH82" s="2">
        <v>-4.75</v>
      </c>
      <c r="AI82" s="2">
        <v>5.4889999999999999</v>
      </c>
      <c r="AJ82" s="2">
        <v>-10.27</v>
      </c>
      <c r="AK82" s="2">
        <v>9.93</v>
      </c>
      <c r="AL82" s="2">
        <v>-5.4790000000000001</v>
      </c>
      <c r="AM82" s="2">
        <v>1.1140000000000001</v>
      </c>
      <c r="AN82" s="2" t="s">
        <v>122</v>
      </c>
      <c r="AO82" s="2">
        <v>205</v>
      </c>
      <c r="AP82" s="2">
        <v>1751</v>
      </c>
      <c r="AQ82" s="2">
        <v>907</v>
      </c>
      <c r="AR82" s="2">
        <v>10</v>
      </c>
      <c r="AS82" s="2">
        <v>0</v>
      </c>
      <c r="AT82" s="2">
        <v>0</v>
      </c>
      <c r="AU82" s="2">
        <v>0</v>
      </c>
      <c r="AV82" s="2">
        <v>7</v>
      </c>
      <c r="AW82" s="2"/>
      <c r="AX82" s="1">
        <f t="shared" si="71"/>
        <v>1.4449999999999998</v>
      </c>
      <c r="AY82" s="21">
        <f t="shared" si="72"/>
        <v>-0.4</v>
      </c>
      <c r="AZ82" s="5">
        <v>17.850000000000001</v>
      </c>
      <c r="BA82" s="1">
        <v>13.7</v>
      </c>
      <c r="BB82" s="1">
        <v>12.35</v>
      </c>
      <c r="BC82" s="6">
        <f t="shared" si="100"/>
        <v>0.9014598540145986</v>
      </c>
      <c r="BE82" s="30">
        <v>0</v>
      </c>
      <c r="BF82" s="27">
        <v>1484.9999999999998</v>
      </c>
      <c r="BG82" s="1">
        <f t="shared" si="73"/>
        <v>66.2</v>
      </c>
      <c r="BH82" s="1">
        <f t="shared" si="74"/>
        <v>53.3</v>
      </c>
      <c r="BI82" s="1">
        <f t="shared" si="75"/>
        <v>37.799999999999997</v>
      </c>
      <c r="BJ82" s="7">
        <f t="shared" si="76"/>
        <v>0.30399999999999999</v>
      </c>
      <c r="BK82" s="7">
        <f t="shared" si="77"/>
        <v>0.5</v>
      </c>
      <c r="BM82" s="5">
        <f t="shared" si="78"/>
        <v>13.7</v>
      </c>
      <c r="BN82" s="5">
        <f t="shared" si="79"/>
        <v>12.35</v>
      </c>
      <c r="BO82" s="1">
        <f t="shared" si="80"/>
        <v>-1.8</v>
      </c>
      <c r="BP82" s="1">
        <f t="shared" si="81"/>
        <v>3.8</v>
      </c>
      <c r="BQ82" s="1">
        <f t="shared" si="82"/>
        <v>-5.4</v>
      </c>
      <c r="BR82" s="1">
        <f t="shared" si="83"/>
        <v>53.3</v>
      </c>
      <c r="BS82" s="1">
        <f t="shared" si="84"/>
        <v>37.799999999999997</v>
      </c>
      <c r="BT82" s="1">
        <f t="shared" si="85"/>
        <v>1.7</v>
      </c>
      <c r="BU82" s="1">
        <f t="shared" si="86"/>
        <v>3.9</v>
      </c>
      <c r="BV82" s="33">
        <f t="shared" si="87"/>
        <v>0</v>
      </c>
      <c r="BW82" s="34">
        <f t="shared" si="88"/>
        <v>1.4850000000000001</v>
      </c>
      <c r="BX82" s="20">
        <f t="shared" si="89"/>
        <v>-0.4</v>
      </c>
      <c r="BY82" s="1">
        <f t="shared" si="90"/>
        <v>-4.8</v>
      </c>
      <c r="BZ82" s="1">
        <f t="shared" si="91"/>
        <v>5.5</v>
      </c>
      <c r="CA82" s="1">
        <f t="shared" si="92"/>
        <v>-10.3</v>
      </c>
      <c r="CB82" s="1">
        <f t="shared" si="93"/>
        <v>0</v>
      </c>
      <c r="CC82" s="1">
        <f t="shared" si="94"/>
        <v>0.8</v>
      </c>
      <c r="CD82" s="1">
        <f t="shared" si="95"/>
        <v>1.3</v>
      </c>
      <c r="CE82" s="1" t="str">
        <f t="shared" si="96"/>
        <v>NAN</v>
      </c>
      <c r="CF82" s="1">
        <f t="shared" si="97"/>
        <v>0.30399999999999999</v>
      </c>
      <c r="CG82" s="1">
        <f t="shared" si="98"/>
        <v>0.5</v>
      </c>
      <c r="CI82" s="1">
        <f t="shared" si="62"/>
        <v>2880</v>
      </c>
      <c r="CJ82" s="1">
        <f t="shared" si="63"/>
        <v>7.0999999999999994E-2</v>
      </c>
      <c r="CK82" s="1">
        <f t="shared" si="64"/>
        <v>0.60799999999999998</v>
      </c>
      <c r="CL82" s="1">
        <f t="shared" si="65"/>
        <v>0.315</v>
      </c>
      <c r="CM82" s="1">
        <f t="shared" si="66"/>
        <v>3.0000000000000001E-3</v>
      </c>
      <c r="CN82" s="1">
        <f t="shared" si="67"/>
        <v>0</v>
      </c>
      <c r="CO82" s="1">
        <f t="shared" si="68"/>
        <v>0</v>
      </c>
      <c r="CP82" s="1">
        <f t="shared" si="69"/>
        <v>0</v>
      </c>
      <c r="CQ82" s="1">
        <f t="shared" si="70"/>
        <v>2E-3</v>
      </c>
      <c r="CS82" s="1">
        <f t="shared" si="101"/>
        <v>1.7000000000000002</v>
      </c>
      <c r="CT82" s="1">
        <f t="shared" si="102"/>
        <v>-4.9000000000000004</v>
      </c>
    </row>
    <row r="83" spans="1:98" x14ac:dyDescent="0.2">
      <c r="A83" s="8">
        <f t="shared" si="99"/>
        <v>43908</v>
      </c>
      <c r="B83" s="1">
        <v>78</v>
      </c>
      <c r="C83" s="1">
        <v>11</v>
      </c>
      <c r="D83" s="2">
        <v>13.01</v>
      </c>
      <c r="E83" s="2">
        <v>-1.0960000000000001</v>
      </c>
      <c r="F83" s="2">
        <v>-5.569</v>
      </c>
      <c r="G83" s="2">
        <v>-2.778</v>
      </c>
      <c r="H83" s="2">
        <v>51.05</v>
      </c>
      <c r="I83" s="2">
        <v>-0.39400000000000002</v>
      </c>
      <c r="J83" s="2">
        <v>-0.90400000000000003</v>
      </c>
      <c r="K83" s="2">
        <v>3.1E-2</v>
      </c>
      <c r="L83" s="2">
        <v>0.75700000000000001</v>
      </c>
      <c r="M83" s="2">
        <v>1.319</v>
      </c>
      <c r="N83" s="2">
        <v>2.641</v>
      </c>
      <c r="O83" s="2">
        <v>66.430000000000007</v>
      </c>
      <c r="P83" s="2">
        <v>-0.314</v>
      </c>
      <c r="Q83" s="2">
        <v>-0.81499999999999995</v>
      </c>
      <c r="R83" s="2">
        <v>0.11600000000000001</v>
      </c>
      <c r="S83" s="2">
        <v>0.84299999999999997</v>
      </c>
      <c r="T83" s="2">
        <v>1.4059999999999999</v>
      </c>
      <c r="U83" s="2">
        <v>-6.65</v>
      </c>
      <c r="V83" s="2">
        <v>25.02</v>
      </c>
      <c r="W83" s="2">
        <v>-0.49099999999999999</v>
      </c>
      <c r="X83" s="2">
        <v>-1</v>
      </c>
      <c r="Y83" s="2">
        <v>-7.5999999999999998E-2</v>
      </c>
      <c r="Z83" s="2">
        <v>0.66500000000000004</v>
      </c>
      <c r="AA83" s="2">
        <v>1.2170000000000001</v>
      </c>
      <c r="AB83" s="2">
        <v>1.1339999999999999</v>
      </c>
      <c r="AC83" s="2">
        <v>0</v>
      </c>
      <c r="AD83" s="2">
        <v>15.83</v>
      </c>
      <c r="AE83" s="2">
        <v>15.93</v>
      </c>
      <c r="AF83" s="2">
        <v>1.883</v>
      </c>
      <c r="AG83" s="2">
        <v>3.7749999999999999</v>
      </c>
      <c r="AH83" s="2">
        <v>-5.3310000000000004</v>
      </c>
      <c r="AI83" s="2">
        <v>3.9140000000000001</v>
      </c>
      <c r="AJ83" s="2">
        <v>-12.34</v>
      </c>
      <c r="AK83" s="2">
        <v>9.06</v>
      </c>
      <c r="AL83" s="2">
        <v>-6.4960000000000004</v>
      </c>
      <c r="AM83" s="2">
        <v>1.1479999999999999</v>
      </c>
      <c r="AN83" s="2" t="s">
        <v>122</v>
      </c>
      <c r="AO83" s="2">
        <v>364</v>
      </c>
      <c r="AP83" s="2">
        <v>1519</v>
      </c>
      <c r="AQ83" s="2">
        <v>873</v>
      </c>
      <c r="AR83" s="2">
        <v>26</v>
      </c>
      <c r="AS83" s="2">
        <v>1</v>
      </c>
      <c r="AT83" s="2">
        <v>3</v>
      </c>
      <c r="AU83" s="2">
        <v>19</v>
      </c>
      <c r="AV83" s="2">
        <v>75</v>
      </c>
      <c r="AW83" s="2"/>
      <c r="AX83" s="1">
        <f t="shared" si="71"/>
        <v>1.4159999999999999</v>
      </c>
      <c r="AY83" s="21">
        <f t="shared" si="72"/>
        <v>-0.4</v>
      </c>
      <c r="AZ83" s="5">
        <v>18.12</v>
      </c>
      <c r="BA83" s="1">
        <v>16.170000000000002</v>
      </c>
      <c r="BB83" s="1">
        <v>14.65</v>
      </c>
      <c r="BC83" s="6">
        <f t="shared" si="100"/>
        <v>0.9059987631416202</v>
      </c>
      <c r="BE83" s="30">
        <v>0</v>
      </c>
      <c r="BF83" s="27">
        <v>1456</v>
      </c>
      <c r="BG83" s="1">
        <f t="shared" si="73"/>
        <v>66.400000000000006</v>
      </c>
      <c r="BH83" s="1">
        <f t="shared" si="74"/>
        <v>51.1</v>
      </c>
      <c r="BI83" s="1">
        <f t="shared" si="75"/>
        <v>25</v>
      </c>
      <c r="BJ83" s="7">
        <f t="shared" si="76"/>
        <v>0.185</v>
      </c>
      <c r="BK83" s="7">
        <f t="shared" si="77"/>
        <v>0.55500000000000005</v>
      </c>
      <c r="BM83" s="5">
        <f t="shared" si="78"/>
        <v>16.170000000000002</v>
      </c>
      <c r="BN83" s="5">
        <f t="shared" si="79"/>
        <v>14.65</v>
      </c>
      <c r="BO83" s="1">
        <f t="shared" si="80"/>
        <v>-2.8</v>
      </c>
      <c r="BP83" s="1">
        <f t="shared" si="81"/>
        <v>2.6</v>
      </c>
      <c r="BQ83" s="1">
        <f t="shared" si="82"/>
        <v>-6.7</v>
      </c>
      <c r="BR83" s="1">
        <f t="shared" si="83"/>
        <v>51.1</v>
      </c>
      <c r="BS83" s="1">
        <f t="shared" si="84"/>
        <v>25</v>
      </c>
      <c r="BT83" s="1">
        <f t="shared" si="85"/>
        <v>1.9</v>
      </c>
      <c r="BU83" s="1">
        <f t="shared" si="86"/>
        <v>3.8</v>
      </c>
      <c r="BV83" s="33">
        <f t="shared" si="87"/>
        <v>0</v>
      </c>
      <c r="BW83" s="34">
        <f t="shared" si="88"/>
        <v>1.456</v>
      </c>
      <c r="BX83" s="20">
        <f t="shared" si="89"/>
        <v>-0.4</v>
      </c>
      <c r="BY83" s="1">
        <f t="shared" si="90"/>
        <v>-5.3</v>
      </c>
      <c r="BZ83" s="1">
        <f t="shared" si="91"/>
        <v>3.9</v>
      </c>
      <c r="CA83" s="1">
        <f t="shared" si="92"/>
        <v>-12.3</v>
      </c>
      <c r="CB83" s="1">
        <f t="shared" si="93"/>
        <v>0</v>
      </c>
      <c r="CC83" s="1">
        <f t="shared" si="94"/>
        <v>0.8</v>
      </c>
      <c r="CD83" s="1">
        <f t="shared" si="95"/>
        <v>1.3</v>
      </c>
      <c r="CE83" s="1" t="str">
        <f t="shared" si="96"/>
        <v>NAN</v>
      </c>
      <c r="CF83" s="1">
        <f t="shared" si="97"/>
        <v>0.185</v>
      </c>
      <c r="CG83" s="1">
        <f t="shared" si="98"/>
        <v>0.55500000000000005</v>
      </c>
      <c r="CI83" s="1">
        <f t="shared" si="62"/>
        <v>2880</v>
      </c>
      <c r="CJ83" s="1">
        <f t="shared" si="63"/>
        <v>0.126</v>
      </c>
      <c r="CK83" s="1">
        <f t="shared" si="64"/>
        <v>0.52700000000000002</v>
      </c>
      <c r="CL83" s="1">
        <f t="shared" si="65"/>
        <v>0.30299999999999999</v>
      </c>
      <c r="CM83" s="1">
        <f t="shared" si="66"/>
        <v>8.9999999999999993E-3</v>
      </c>
      <c r="CN83" s="1">
        <f t="shared" si="67"/>
        <v>0</v>
      </c>
      <c r="CO83" s="1">
        <f t="shared" si="68"/>
        <v>1E-3</v>
      </c>
      <c r="CP83" s="1">
        <f t="shared" si="69"/>
        <v>7.0000000000000001E-3</v>
      </c>
      <c r="CQ83" s="1">
        <f t="shared" si="70"/>
        <v>2.5999999999999999E-2</v>
      </c>
      <c r="CS83" s="1">
        <f t="shared" si="101"/>
        <v>1.2999999999999998</v>
      </c>
      <c r="CT83" s="1">
        <f t="shared" si="102"/>
        <v>-5.6000000000000005</v>
      </c>
    </row>
    <row r="84" spans="1:98" x14ac:dyDescent="0.2">
      <c r="A84" s="8">
        <f t="shared" si="99"/>
        <v>43909</v>
      </c>
      <c r="B84" s="1">
        <v>79</v>
      </c>
      <c r="C84" s="1">
        <v>11</v>
      </c>
      <c r="D84" s="2">
        <v>13.01</v>
      </c>
      <c r="E84" s="2">
        <v>-5.1999999999999998E-2</v>
      </c>
      <c r="F84" s="2">
        <v>-7.5049999999999999</v>
      </c>
      <c r="G84" s="2">
        <v>-1.7370000000000001</v>
      </c>
      <c r="H84" s="2">
        <v>46.8</v>
      </c>
      <c r="I84" s="2">
        <v>-0.38600000000000001</v>
      </c>
      <c r="J84" s="2">
        <v>-0.877</v>
      </c>
      <c r="K84" s="2">
        <v>3.4000000000000002E-2</v>
      </c>
      <c r="L84" s="2">
        <v>0.755</v>
      </c>
      <c r="M84" s="2">
        <v>1.3149999999999999</v>
      </c>
      <c r="N84" s="2">
        <v>7.1859999999999999</v>
      </c>
      <c r="O84" s="2">
        <v>70.89</v>
      </c>
      <c r="P84" s="2">
        <v>-0.29299999999999998</v>
      </c>
      <c r="Q84" s="2">
        <v>-0.77700000000000002</v>
      </c>
      <c r="R84" s="2">
        <v>0.13200000000000001</v>
      </c>
      <c r="S84" s="2">
        <v>0.82799999999999996</v>
      </c>
      <c r="T84" s="2">
        <v>1.42</v>
      </c>
      <c r="U84" s="2">
        <v>-9.36</v>
      </c>
      <c r="V84" s="2">
        <v>21.46</v>
      </c>
      <c r="W84" s="2">
        <v>-0.496</v>
      </c>
      <c r="X84" s="2">
        <v>-0.997</v>
      </c>
      <c r="Y84" s="2">
        <v>-6.7000000000000004E-2</v>
      </c>
      <c r="Z84" s="2">
        <v>0.65600000000000003</v>
      </c>
      <c r="AA84" s="2">
        <v>1.2270000000000001</v>
      </c>
      <c r="AB84" s="2">
        <v>1.151</v>
      </c>
      <c r="AC84" s="2">
        <v>0</v>
      </c>
      <c r="AD84" s="2">
        <v>15.63</v>
      </c>
      <c r="AE84" s="2">
        <v>15.22</v>
      </c>
      <c r="AF84" s="2">
        <v>1.075</v>
      </c>
      <c r="AG84" s="2">
        <v>3.1909999999999998</v>
      </c>
      <c r="AH84" s="2">
        <v>-5.1349999999999998</v>
      </c>
      <c r="AI84" s="2">
        <v>6.327</v>
      </c>
      <c r="AJ84" s="2">
        <v>-14.68</v>
      </c>
      <c r="AK84" s="2">
        <v>13.05</v>
      </c>
      <c r="AL84" s="2">
        <v>-8.84</v>
      </c>
      <c r="AM84" s="2">
        <v>1.1599999999999999</v>
      </c>
      <c r="AN84" s="2" t="s">
        <v>122</v>
      </c>
      <c r="AO84" s="2">
        <v>117</v>
      </c>
      <c r="AP84" s="2">
        <v>182</v>
      </c>
      <c r="AQ84" s="2">
        <v>1478</v>
      </c>
      <c r="AR84" s="2">
        <v>80</v>
      </c>
      <c r="AS84" s="2">
        <v>111</v>
      </c>
      <c r="AT84" s="2">
        <v>356</v>
      </c>
      <c r="AU84" s="2">
        <v>350</v>
      </c>
      <c r="AV84" s="2">
        <v>206</v>
      </c>
      <c r="AW84" s="2"/>
      <c r="AX84" s="1">
        <f t="shared" si="71"/>
        <v>1.3989999999999998</v>
      </c>
      <c r="AY84" s="21">
        <f t="shared" si="72"/>
        <v>-0.4</v>
      </c>
      <c r="AZ84" s="5">
        <v>18.38</v>
      </c>
      <c r="BA84" s="1">
        <v>15.81</v>
      </c>
      <c r="BB84" s="1">
        <v>14.01</v>
      </c>
      <c r="BC84" s="6">
        <f t="shared" si="100"/>
        <v>0.88614800759013279</v>
      </c>
      <c r="BE84" s="30">
        <v>0</v>
      </c>
      <c r="BF84" s="27">
        <v>1438.9999999999998</v>
      </c>
      <c r="BG84" s="1">
        <f t="shared" si="73"/>
        <v>70.900000000000006</v>
      </c>
      <c r="BH84" s="1">
        <f t="shared" si="74"/>
        <v>46.8</v>
      </c>
      <c r="BI84" s="1">
        <f t="shared" si="75"/>
        <v>21.5</v>
      </c>
      <c r="BJ84" s="7">
        <f t="shared" si="76"/>
        <v>0.218</v>
      </c>
      <c r="BK84" s="7">
        <f t="shared" si="77"/>
        <v>0.79600000000000004</v>
      </c>
      <c r="BM84" s="5">
        <f t="shared" si="78"/>
        <v>15.81</v>
      </c>
      <c r="BN84" s="5">
        <f t="shared" si="79"/>
        <v>14.01</v>
      </c>
      <c r="BO84" s="1">
        <f t="shared" si="80"/>
        <v>-1.7</v>
      </c>
      <c r="BP84" s="1">
        <f t="shared" si="81"/>
        <v>7.2</v>
      </c>
      <c r="BQ84" s="1">
        <f t="shared" si="82"/>
        <v>-9.4</v>
      </c>
      <c r="BR84" s="1">
        <f t="shared" si="83"/>
        <v>46.8</v>
      </c>
      <c r="BS84" s="1">
        <f t="shared" si="84"/>
        <v>21.5</v>
      </c>
      <c r="BT84" s="1">
        <f t="shared" si="85"/>
        <v>1.1000000000000001</v>
      </c>
      <c r="BU84" s="1">
        <f t="shared" si="86"/>
        <v>3.2</v>
      </c>
      <c r="BV84" s="33">
        <f t="shared" si="87"/>
        <v>0</v>
      </c>
      <c r="BW84" s="34">
        <f t="shared" si="88"/>
        <v>1.4390000000000001</v>
      </c>
      <c r="BX84" s="20">
        <f t="shared" si="89"/>
        <v>-0.4</v>
      </c>
      <c r="BY84" s="1">
        <f t="shared" si="90"/>
        <v>-5.0999999999999996</v>
      </c>
      <c r="BZ84" s="1">
        <f t="shared" si="91"/>
        <v>6.3</v>
      </c>
      <c r="CA84" s="1">
        <f t="shared" si="92"/>
        <v>-14.7</v>
      </c>
      <c r="CB84" s="1">
        <f t="shared" si="93"/>
        <v>0</v>
      </c>
      <c r="CC84" s="1">
        <f t="shared" si="94"/>
        <v>0.8</v>
      </c>
      <c r="CD84" s="1">
        <f t="shared" si="95"/>
        <v>1.3</v>
      </c>
      <c r="CE84" s="1" t="str">
        <f t="shared" si="96"/>
        <v>NAN</v>
      </c>
      <c r="CF84" s="1">
        <f t="shared" si="97"/>
        <v>0.218</v>
      </c>
      <c r="CG84" s="1">
        <f t="shared" si="98"/>
        <v>0.79600000000000004</v>
      </c>
      <c r="CI84" s="1">
        <f t="shared" si="62"/>
        <v>2880</v>
      </c>
      <c r="CJ84" s="1">
        <f t="shared" si="63"/>
        <v>4.1000000000000002E-2</v>
      </c>
      <c r="CK84" s="1">
        <f t="shared" si="64"/>
        <v>6.3E-2</v>
      </c>
      <c r="CL84" s="1">
        <f t="shared" si="65"/>
        <v>0.51300000000000001</v>
      </c>
      <c r="CM84" s="1">
        <f t="shared" si="66"/>
        <v>2.8000000000000001E-2</v>
      </c>
      <c r="CN84" s="1">
        <f t="shared" si="67"/>
        <v>3.9E-2</v>
      </c>
      <c r="CO84" s="1">
        <f t="shared" si="68"/>
        <v>0.124</v>
      </c>
      <c r="CP84" s="1">
        <f t="shared" si="69"/>
        <v>0.122</v>
      </c>
      <c r="CQ84" s="1">
        <f t="shared" si="70"/>
        <v>7.1999999999999995E-2</v>
      </c>
      <c r="CS84" s="1">
        <f t="shared" si="101"/>
        <v>-0.90000000000000036</v>
      </c>
      <c r="CT84" s="1">
        <f t="shared" si="102"/>
        <v>-5.2999999999999989</v>
      </c>
    </row>
    <row r="85" spans="1:98" x14ac:dyDescent="0.2">
      <c r="A85" s="8">
        <f t="shared" si="99"/>
        <v>43910</v>
      </c>
      <c r="B85" s="1">
        <v>80</v>
      </c>
      <c r="C85" s="1">
        <v>11</v>
      </c>
      <c r="D85" s="2">
        <v>13.01</v>
      </c>
      <c r="E85" s="2">
        <v>0.88300000000000001</v>
      </c>
      <c r="F85" s="2">
        <v>-8.5299999999999994</v>
      </c>
      <c r="G85" s="2">
        <v>-0.57099999999999995</v>
      </c>
      <c r="H85" s="2">
        <v>46.24</v>
      </c>
      <c r="I85" s="2">
        <v>-0.36899999999999999</v>
      </c>
      <c r="J85" s="2">
        <v>-0.84299999999999997</v>
      </c>
      <c r="K85" s="2">
        <v>3.7999999999999999E-2</v>
      </c>
      <c r="L85" s="2">
        <v>0.755</v>
      </c>
      <c r="M85" s="2">
        <v>1.3120000000000001</v>
      </c>
      <c r="N85" s="2">
        <v>5.7910000000000004</v>
      </c>
      <c r="O85" s="2">
        <v>68.27</v>
      </c>
      <c r="P85" s="2">
        <v>-0.251</v>
      </c>
      <c r="Q85" s="2">
        <v>-0.73199999999999998</v>
      </c>
      <c r="R85" s="2">
        <v>0.125</v>
      </c>
      <c r="S85" s="2">
        <v>0.83599999999999997</v>
      </c>
      <c r="T85" s="2">
        <v>1.413</v>
      </c>
      <c r="U85" s="2">
        <v>-5.2789999999999999</v>
      </c>
      <c r="V85" s="2">
        <v>28.38</v>
      </c>
      <c r="W85" s="2">
        <v>-0.50600000000000001</v>
      </c>
      <c r="X85" s="2">
        <v>-0.97</v>
      </c>
      <c r="Y85" s="2">
        <v>-6.8000000000000005E-2</v>
      </c>
      <c r="Z85" s="2">
        <v>0.63</v>
      </c>
      <c r="AA85" s="2">
        <v>1.1990000000000001</v>
      </c>
      <c r="AB85" s="2">
        <v>1.1739999999999999</v>
      </c>
      <c r="AC85" s="2">
        <v>0</v>
      </c>
      <c r="AD85" s="2">
        <v>16.16</v>
      </c>
      <c r="AE85" s="2">
        <v>15.61</v>
      </c>
      <c r="AF85" s="2">
        <v>1.167</v>
      </c>
      <c r="AG85" s="2">
        <v>3.895</v>
      </c>
      <c r="AH85" s="2">
        <v>-4.1289999999999996</v>
      </c>
      <c r="AI85" s="2">
        <v>5.9749999999999996</v>
      </c>
      <c r="AJ85" s="2">
        <v>-11.46</v>
      </c>
      <c r="AK85" s="2">
        <v>10.93</v>
      </c>
      <c r="AL85" s="2">
        <v>-5.0449999999999999</v>
      </c>
      <c r="AM85" s="2">
        <v>1.1819999999999999</v>
      </c>
      <c r="AN85" s="2" t="s">
        <v>122</v>
      </c>
      <c r="AO85" s="2">
        <v>501</v>
      </c>
      <c r="AP85" s="2">
        <v>1078</v>
      </c>
      <c r="AQ85" s="2">
        <v>812</v>
      </c>
      <c r="AR85" s="2">
        <v>30</v>
      </c>
      <c r="AS85" s="2">
        <v>7</v>
      </c>
      <c r="AT85" s="2">
        <v>19</v>
      </c>
      <c r="AU85" s="2">
        <v>113</v>
      </c>
      <c r="AV85" s="2">
        <v>320</v>
      </c>
      <c r="AW85" s="2"/>
      <c r="AX85" s="1">
        <f t="shared" si="71"/>
        <v>1.3759999999999999</v>
      </c>
      <c r="AY85" s="21">
        <f t="shared" si="72"/>
        <v>-0.4</v>
      </c>
      <c r="AZ85" s="5">
        <v>18.649999999999999</v>
      </c>
      <c r="BA85" s="1">
        <v>16.420000000000002</v>
      </c>
      <c r="BB85" s="1">
        <v>14.36</v>
      </c>
      <c r="BC85" s="6">
        <f t="shared" si="100"/>
        <v>0.87454323995127881</v>
      </c>
      <c r="BE85" s="30">
        <v>0</v>
      </c>
      <c r="BF85" s="27">
        <v>1416</v>
      </c>
      <c r="BG85" s="1">
        <f t="shared" si="73"/>
        <v>68.3</v>
      </c>
      <c r="BH85" s="1">
        <f t="shared" si="74"/>
        <v>46.2</v>
      </c>
      <c r="BI85" s="1">
        <f t="shared" si="75"/>
        <v>28.4</v>
      </c>
      <c r="BJ85" s="7">
        <f t="shared" si="76"/>
        <v>0.26200000000000001</v>
      </c>
      <c r="BK85" s="7">
        <f t="shared" si="77"/>
        <v>0.66100000000000003</v>
      </c>
      <c r="BM85" s="5">
        <f t="shared" si="78"/>
        <v>16.420000000000002</v>
      </c>
      <c r="BN85" s="5">
        <f t="shared" si="79"/>
        <v>14.36</v>
      </c>
      <c r="BO85" s="1">
        <f t="shared" si="80"/>
        <v>-0.6</v>
      </c>
      <c r="BP85" s="1">
        <f t="shared" si="81"/>
        <v>5.8</v>
      </c>
      <c r="BQ85" s="1">
        <f t="shared" si="82"/>
        <v>-5.3</v>
      </c>
      <c r="BR85" s="1">
        <f t="shared" si="83"/>
        <v>46.2</v>
      </c>
      <c r="BS85" s="1">
        <f t="shared" si="84"/>
        <v>28.4</v>
      </c>
      <c r="BT85" s="1">
        <f t="shared" si="85"/>
        <v>1.2</v>
      </c>
      <c r="BU85" s="1">
        <f t="shared" si="86"/>
        <v>3.9</v>
      </c>
      <c r="BV85" s="33">
        <f t="shared" si="87"/>
        <v>0</v>
      </c>
      <c r="BW85" s="34">
        <f t="shared" si="88"/>
        <v>1.4159999999999999</v>
      </c>
      <c r="BX85" s="20">
        <f t="shared" si="89"/>
        <v>-0.4</v>
      </c>
      <c r="BY85" s="1">
        <f t="shared" si="90"/>
        <v>-4.0999999999999996</v>
      </c>
      <c r="BZ85" s="1">
        <f t="shared" si="91"/>
        <v>6</v>
      </c>
      <c r="CA85" s="1">
        <f t="shared" si="92"/>
        <v>-11.5</v>
      </c>
      <c r="CB85" s="1">
        <f t="shared" si="93"/>
        <v>0</v>
      </c>
      <c r="CC85" s="1">
        <f t="shared" si="94"/>
        <v>0.8</v>
      </c>
      <c r="CD85" s="1">
        <f t="shared" si="95"/>
        <v>1.3</v>
      </c>
      <c r="CE85" s="1" t="str">
        <f t="shared" si="96"/>
        <v>NAN</v>
      </c>
      <c r="CF85" s="1">
        <f t="shared" si="97"/>
        <v>0.26200000000000001</v>
      </c>
      <c r="CG85" s="1">
        <f t="shared" si="98"/>
        <v>0.66100000000000003</v>
      </c>
      <c r="CI85" s="1">
        <f t="shared" si="62"/>
        <v>2880</v>
      </c>
      <c r="CJ85" s="1">
        <f t="shared" si="63"/>
        <v>0.17399999999999999</v>
      </c>
      <c r="CK85" s="1">
        <f t="shared" si="64"/>
        <v>0.374</v>
      </c>
      <c r="CL85" s="1">
        <f t="shared" si="65"/>
        <v>0.28199999999999997</v>
      </c>
      <c r="CM85" s="1">
        <f t="shared" si="66"/>
        <v>0.01</v>
      </c>
      <c r="CN85" s="1">
        <f t="shared" si="67"/>
        <v>2E-3</v>
      </c>
      <c r="CO85" s="1">
        <f t="shared" si="68"/>
        <v>7.0000000000000001E-3</v>
      </c>
      <c r="CP85" s="1">
        <f t="shared" si="69"/>
        <v>3.9E-2</v>
      </c>
      <c r="CQ85" s="1">
        <f t="shared" si="70"/>
        <v>0.111</v>
      </c>
      <c r="CS85" s="1">
        <f t="shared" si="101"/>
        <v>0.20000000000000018</v>
      </c>
      <c r="CT85" s="1">
        <f t="shared" si="102"/>
        <v>-6.2</v>
      </c>
    </row>
    <row r="86" spans="1:98" x14ac:dyDescent="0.2">
      <c r="A86" s="8">
        <f t="shared" si="99"/>
        <v>43911</v>
      </c>
      <c r="B86" s="1">
        <v>81</v>
      </c>
      <c r="C86" s="1">
        <v>11</v>
      </c>
      <c r="D86" s="2">
        <v>13.01</v>
      </c>
      <c r="E86" s="2">
        <v>1.351</v>
      </c>
      <c r="F86" s="2">
        <v>-7.6390000000000002</v>
      </c>
      <c r="G86" s="2">
        <v>-2.3940000000000001</v>
      </c>
      <c r="H86" s="2">
        <v>53.75</v>
      </c>
      <c r="I86" s="2">
        <v>-0.35199999999999998</v>
      </c>
      <c r="J86" s="2">
        <v>-0.81200000000000006</v>
      </c>
      <c r="K86" s="2">
        <v>0.04</v>
      </c>
      <c r="L86" s="2">
        <v>0.755</v>
      </c>
      <c r="M86" s="2">
        <v>1.3089999999999999</v>
      </c>
      <c r="N86" s="2">
        <v>3.0409999999999999</v>
      </c>
      <c r="O86" s="2">
        <v>79.89</v>
      </c>
      <c r="P86" s="2">
        <v>-0.25700000000000001</v>
      </c>
      <c r="Q86" s="2">
        <v>-0.71299999999999997</v>
      </c>
      <c r="R86" s="2">
        <v>0.13600000000000001</v>
      </c>
      <c r="S86" s="2">
        <v>0.86299999999999999</v>
      </c>
      <c r="T86" s="2">
        <v>1.403</v>
      </c>
      <c r="U86" s="2">
        <v>-7.0860000000000003</v>
      </c>
      <c r="V86" s="2">
        <v>29.84</v>
      </c>
      <c r="W86" s="2">
        <v>-0.51</v>
      </c>
      <c r="X86" s="2">
        <v>-0.95799999999999996</v>
      </c>
      <c r="Y86" s="2">
        <v>-7.3999999999999996E-2</v>
      </c>
      <c r="Z86" s="2">
        <v>0.65200000000000002</v>
      </c>
      <c r="AA86" s="2">
        <v>1.212</v>
      </c>
      <c r="AB86" s="2">
        <v>1.1910000000000001</v>
      </c>
      <c r="AC86" s="2">
        <v>0</v>
      </c>
      <c r="AD86" s="2">
        <v>16.37</v>
      </c>
      <c r="AE86" s="2">
        <v>15.57</v>
      </c>
      <c r="AF86" s="2">
        <v>1.196</v>
      </c>
      <c r="AG86" s="2">
        <v>4.4509999999999996</v>
      </c>
      <c r="AH86" s="2">
        <v>-5.6740000000000004</v>
      </c>
      <c r="AI86" s="2">
        <v>4.4400000000000004</v>
      </c>
      <c r="AJ86" s="2">
        <v>-13.03</v>
      </c>
      <c r="AK86" s="2">
        <v>8.69</v>
      </c>
      <c r="AL86" s="2">
        <v>-7.1589999999999998</v>
      </c>
      <c r="AM86" s="2">
        <v>1.2030000000000001</v>
      </c>
      <c r="AN86" s="2" t="s">
        <v>122</v>
      </c>
      <c r="AO86" s="2">
        <v>675</v>
      </c>
      <c r="AP86" s="2">
        <v>642</v>
      </c>
      <c r="AQ86" s="2">
        <v>230</v>
      </c>
      <c r="AR86" s="2">
        <v>128</v>
      </c>
      <c r="AS86" s="2">
        <v>173</v>
      </c>
      <c r="AT86" s="2">
        <v>215</v>
      </c>
      <c r="AU86" s="2">
        <v>300</v>
      </c>
      <c r="AV86" s="2">
        <v>517</v>
      </c>
      <c r="AW86" s="2"/>
      <c r="AX86" s="1">
        <f t="shared" si="71"/>
        <v>1.3589999999999998</v>
      </c>
      <c r="AY86" s="21">
        <f t="shared" si="72"/>
        <v>-0.4</v>
      </c>
      <c r="AZ86" s="5">
        <v>18.91</v>
      </c>
      <c r="BA86" s="1">
        <v>16.61</v>
      </c>
      <c r="BB86" s="1">
        <v>14.33</v>
      </c>
      <c r="BC86" s="6">
        <f t="shared" si="100"/>
        <v>0.86273329319686942</v>
      </c>
      <c r="BE86" s="30">
        <v>0</v>
      </c>
      <c r="BF86" s="27">
        <v>1398.9999999999998</v>
      </c>
      <c r="BG86" s="1">
        <f t="shared" si="73"/>
        <v>79.900000000000006</v>
      </c>
      <c r="BH86" s="1">
        <f t="shared" si="74"/>
        <v>53.8</v>
      </c>
      <c r="BI86" s="1">
        <f t="shared" si="75"/>
        <v>29.8</v>
      </c>
      <c r="BJ86" s="7">
        <f t="shared" si="76"/>
        <v>0.22600000000000001</v>
      </c>
      <c r="BK86" s="7">
        <f t="shared" si="77"/>
        <v>0.53200000000000003</v>
      </c>
      <c r="BM86" s="5">
        <f t="shared" si="78"/>
        <v>16.61</v>
      </c>
      <c r="BN86" s="5">
        <f t="shared" si="79"/>
        <v>14.33</v>
      </c>
      <c r="BO86" s="1">
        <f t="shared" si="80"/>
        <v>-2.4</v>
      </c>
      <c r="BP86" s="1">
        <f t="shared" si="81"/>
        <v>3</v>
      </c>
      <c r="BQ86" s="1">
        <f t="shared" si="82"/>
        <v>-7.1</v>
      </c>
      <c r="BR86" s="1">
        <f t="shared" si="83"/>
        <v>53.8</v>
      </c>
      <c r="BS86" s="1">
        <f t="shared" si="84"/>
        <v>29.8</v>
      </c>
      <c r="BT86" s="1">
        <f t="shared" si="85"/>
        <v>1.2</v>
      </c>
      <c r="BU86" s="1">
        <f t="shared" si="86"/>
        <v>4.5</v>
      </c>
      <c r="BV86" s="33">
        <f t="shared" si="87"/>
        <v>0</v>
      </c>
      <c r="BW86" s="34">
        <f t="shared" si="88"/>
        <v>1.399</v>
      </c>
      <c r="BX86" s="20">
        <f t="shared" si="89"/>
        <v>-0.4</v>
      </c>
      <c r="BY86" s="1">
        <f t="shared" si="90"/>
        <v>-5.7</v>
      </c>
      <c r="BZ86" s="1">
        <f t="shared" si="91"/>
        <v>4.4000000000000004</v>
      </c>
      <c r="CA86" s="1">
        <f t="shared" si="92"/>
        <v>-13</v>
      </c>
      <c r="CB86" s="1">
        <f t="shared" si="93"/>
        <v>0</v>
      </c>
      <c r="CC86" s="1">
        <f t="shared" si="94"/>
        <v>0.8</v>
      </c>
      <c r="CD86" s="1">
        <f t="shared" si="95"/>
        <v>1.3</v>
      </c>
      <c r="CE86" s="1" t="str">
        <f t="shared" si="96"/>
        <v>NAN</v>
      </c>
      <c r="CF86" s="1">
        <f t="shared" si="97"/>
        <v>0.22600000000000001</v>
      </c>
      <c r="CG86" s="1">
        <f t="shared" si="98"/>
        <v>0.53200000000000003</v>
      </c>
      <c r="CI86" s="1">
        <f t="shared" si="62"/>
        <v>2880</v>
      </c>
      <c r="CJ86" s="1">
        <f t="shared" si="63"/>
        <v>0.23400000000000001</v>
      </c>
      <c r="CK86" s="1">
        <f t="shared" si="64"/>
        <v>0.223</v>
      </c>
      <c r="CL86" s="1">
        <f t="shared" si="65"/>
        <v>0.08</v>
      </c>
      <c r="CM86" s="1">
        <f t="shared" si="66"/>
        <v>4.3999999999999997E-2</v>
      </c>
      <c r="CN86" s="1">
        <f t="shared" si="67"/>
        <v>0.06</v>
      </c>
      <c r="CO86" s="1">
        <f t="shared" si="68"/>
        <v>7.4999999999999997E-2</v>
      </c>
      <c r="CP86" s="1">
        <f t="shared" si="69"/>
        <v>0.104</v>
      </c>
      <c r="CQ86" s="1">
        <f t="shared" si="70"/>
        <v>0.18</v>
      </c>
      <c r="CS86" s="1">
        <f t="shared" si="101"/>
        <v>1.4000000000000004</v>
      </c>
      <c r="CT86" s="1">
        <f t="shared" si="102"/>
        <v>-5.9</v>
      </c>
    </row>
    <row r="87" spans="1:98" x14ac:dyDescent="0.2">
      <c r="A87" s="8">
        <f t="shared" si="99"/>
        <v>43912</v>
      </c>
      <c r="B87" s="1">
        <v>82</v>
      </c>
      <c r="C87" s="1">
        <v>11</v>
      </c>
      <c r="D87" s="2">
        <v>13.01</v>
      </c>
      <c r="E87" s="2">
        <v>1.351</v>
      </c>
      <c r="F87" s="2">
        <v>-10.19</v>
      </c>
      <c r="G87" s="2">
        <v>-1.976</v>
      </c>
      <c r="H87" s="2">
        <v>49.44</v>
      </c>
      <c r="I87" s="2">
        <v>-0.34499999999999997</v>
      </c>
      <c r="J87" s="2">
        <v>-0.79200000000000004</v>
      </c>
      <c r="K87" s="2">
        <v>3.1E-2</v>
      </c>
      <c r="L87" s="2">
        <v>0.745</v>
      </c>
      <c r="M87" s="2">
        <v>1.2949999999999999</v>
      </c>
      <c r="N87" s="2">
        <v>5.7229999999999999</v>
      </c>
      <c r="O87" s="2">
        <v>77.89</v>
      </c>
      <c r="P87" s="2">
        <v>-0.23899999999999999</v>
      </c>
      <c r="Q87" s="2">
        <v>-0.7</v>
      </c>
      <c r="R87" s="2">
        <v>0.122</v>
      </c>
      <c r="S87" s="2">
        <v>0.83199999999999996</v>
      </c>
      <c r="T87" s="2">
        <v>1.411</v>
      </c>
      <c r="U87" s="2">
        <v>-8.07</v>
      </c>
      <c r="V87" s="2">
        <v>23.46</v>
      </c>
      <c r="W87" s="2">
        <v>-0.54300000000000004</v>
      </c>
      <c r="X87" s="2">
        <v>-0.96699999999999997</v>
      </c>
      <c r="Y87" s="2">
        <v>-7.8E-2</v>
      </c>
      <c r="Z87" s="2">
        <v>0.61</v>
      </c>
      <c r="AA87" s="2">
        <v>1.1679999999999999</v>
      </c>
      <c r="AB87" s="2">
        <v>1.204</v>
      </c>
      <c r="AC87" s="2">
        <v>0</v>
      </c>
      <c r="AD87" s="2">
        <v>10.53</v>
      </c>
      <c r="AE87" s="2">
        <v>8.86</v>
      </c>
      <c r="AF87" s="2">
        <v>1.272</v>
      </c>
      <c r="AG87" s="2">
        <v>3.9319999999999999</v>
      </c>
      <c r="AH87" s="2">
        <v>-5.7610000000000001</v>
      </c>
      <c r="AI87" s="2">
        <v>5.359</v>
      </c>
      <c r="AJ87" s="2">
        <v>-13.28</v>
      </c>
      <c r="AK87" s="2">
        <v>10.050000000000001</v>
      </c>
      <c r="AL87" s="2">
        <v>-7.89</v>
      </c>
      <c r="AM87" s="2">
        <v>1.2130000000000001</v>
      </c>
      <c r="AN87" s="2" t="s">
        <v>122</v>
      </c>
      <c r="AO87" s="2">
        <v>112</v>
      </c>
      <c r="AP87" s="2">
        <v>264</v>
      </c>
      <c r="AQ87" s="2">
        <v>224</v>
      </c>
      <c r="AR87" s="2">
        <v>144</v>
      </c>
      <c r="AS87" s="2">
        <v>502</v>
      </c>
      <c r="AT87" s="2">
        <v>969</v>
      </c>
      <c r="AU87" s="2">
        <v>505</v>
      </c>
      <c r="AV87" s="2">
        <v>160</v>
      </c>
      <c r="AW87" s="2"/>
      <c r="AX87" s="1">
        <f t="shared" si="71"/>
        <v>1.3459999999999999</v>
      </c>
      <c r="AY87" s="21">
        <f t="shared" si="72"/>
        <v>-0.4</v>
      </c>
      <c r="AZ87" s="5">
        <v>19.170000000000002</v>
      </c>
      <c r="BA87" s="1">
        <v>10.53</v>
      </c>
      <c r="BB87" s="1">
        <v>8.15</v>
      </c>
      <c r="BC87" s="6">
        <f t="shared" si="100"/>
        <v>0.77397910731244068</v>
      </c>
      <c r="BE87" s="30">
        <v>0</v>
      </c>
      <c r="BF87" s="27">
        <v>1386</v>
      </c>
      <c r="BG87" s="1">
        <f t="shared" si="73"/>
        <v>77.900000000000006</v>
      </c>
      <c r="BH87" s="1">
        <f t="shared" si="74"/>
        <v>49.4</v>
      </c>
      <c r="BI87" s="1">
        <f t="shared" si="75"/>
        <v>23.5</v>
      </c>
      <c r="BJ87" s="7">
        <f t="shared" si="76"/>
        <v>0.215</v>
      </c>
      <c r="BK87" s="7">
        <f t="shared" si="77"/>
        <v>0.7</v>
      </c>
      <c r="BM87" s="5">
        <f t="shared" si="78"/>
        <v>10.53</v>
      </c>
      <c r="BN87" s="5">
        <f t="shared" si="79"/>
        <v>8.15</v>
      </c>
      <c r="BO87" s="1">
        <f t="shared" si="80"/>
        <v>-2</v>
      </c>
      <c r="BP87" s="1">
        <f t="shared" si="81"/>
        <v>5.7</v>
      </c>
      <c r="BQ87" s="1">
        <f t="shared" si="82"/>
        <v>-8.1</v>
      </c>
      <c r="BR87" s="1">
        <f t="shared" si="83"/>
        <v>49.4</v>
      </c>
      <c r="BS87" s="1">
        <f t="shared" si="84"/>
        <v>23.5</v>
      </c>
      <c r="BT87" s="1">
        <f t="shared" si="85"/>
        <v>1.3</v>
      </c>
      <c r="BU87" s="1">
        <f t="shared" si="86"/>
        <v>3.9</v>
      </c>
      <c r="BV87" s="33">
        <f t="shared" si="87"/>
        <v>0</v>
      </c>
      <c r="BW87" s="34">
        <f t="shared" si="88"/>
        <v>1.3859999999999999</v>
      </c>
      <c r="BX87" s="20">
        <f t="shared" si="89"/>
        <v>-0.4</v>
      </c>
      <c r="BY87" s="1">
        <f t="shared" si="90"/>
        <v>-5.8</v>
      </c>
      <c r="BZ87" s="1">
        <f t="shared" si="91"/>
        <v>5.4</v>
      </c>
      <c r="CA87" s="1">
        <f t="shared" si="92"/>
        <v>-13.3</v>
      </c>
      <c r="CB87" s="1">
        <f t="shared" si="93"/>
        <v>0</v>
      </c>
      <c r="CC87" s="1">
        <f t="shared" si="94"/>
        <v>0.7</v>
      </c>
      <c r="CD87" s="1">
        <f t="shared" si="95"/>
        <v>1.3</v>
      </c>
      <c r="CE87" s="1" t="str">
        <f t="shared" si="96"/>
        <v>NAN</v>
      </c>
      <c r="CF87" s="1">
        <f t="shared" si="97"/>
        <v>0.215</v>
      </c>
      <c r="CG87" s="1">
        <f t="shared" si="98"/>
        <v>0.7</v>
      </c>
      <c r="CI87" s="1">
        <f t="shared" si="62"/>
        <v>2880</v>
      </c>
      <c r="CJ87" s="1">
        <f t="shared" si="63"/>
        <v>3.9E-2</v>
      </c>
      <c r="CK87" s="1">
        <f t="shared" si="64"/>
        <v>9.1999999999999998E-2</v>
      </c>
      <c r="CL87" s="1">
        <f t="shared" si="65"/>
        <v>7.8E-2</v>
      </c>
      <c r="CM87" s="1">
        <f t="shared" si="66"/>
        <v>0.05</v>
      </c>
      <c r="CN87" s="1">
        <f t="shared" si="67"/>
        <v>0.17399999999999999</v>
      </c>
      <c r="CO87" s="1">
        <f t="shared" si="68"/>
        <v>0.33600000000000002</v>
      </c>
      <c r="CP87" s="1">
        <f t="shared" si="69"/>
        <v>0.17499999999999999</v>
      </c>
      <c r="CQ87" s="1">
        <f t="shared" si="70"/>
        <v>5.6000000000000001E-2</v>
      </c>
      <c r="CS87" s="1">
        <f t="shared" si="101"/>
        <v>-0.29999999999999982</v>
      </c>
      <c r="CT87" s="1">
        <f t="shared" si="102"/>
        <v>-5.2000000000000011</v>
      </c>
    </row>
    <row r="88" spans="1:98" x14ac:dyDescent="0.2">
      <c r="A88" s="8">
        <f t="shared" si="99"/>
        <v>43913</v>
      </c>
      <c r="B88" s="1">
        <v>83</v>
      </c>
      <c r="C88" s="1">
        <v>11</v>
      </c>
      <c r="D88" s="2">
        <v>13.01</v>
      </c>
      <c r="E88" s="2">
        <v>-1.202</v>
      </c>
      <c r="F88" s="2">
        <v>-9.19</v>
      </c>
      <c r="G88" s="2">
        <v>-4.4829999999999997</v>
      </c>
      <c r="H88" s="2">
        <v>67.22</v>
      </c>
      <c r="I88" s="2">
        <v>-0.32700000000000001</v>
      </c>
      <c r="J88" s="2">
        <v>-0.76500000000000001</v>
      </c>
      <c r="K88" s="2">
        <v>2.9000000000000001E-2</v>
      </c>
      <c r="L88" s="2">
        <v>0.74099999999999999</v>
      </c>
      <c r="M88" s="2">
        <v>1.288</v>
      </c>
      <c r="N88" s="2">
        <v>1.012</v>
      </c>
      <c r="O88" s="2">
        <v>90.5</v>
      </c>
      <c r="P88" s="2">
        <v>-0.24399999999999999</v>
      </c>
      <c r="Q88" s="2">
        <v>-0.67800000000000005</v>
      </c>
      <c r="R88" s="2">
        <v>0.10299999999999999</v>
      </c>
      <c r="S88" s="2">
        <v>0.81</v>
      </c>
      <c r="T88" s="2">
        <v>1.381</v>
      </c>
      <c r="U88" s="2">
        <v>-8.51</v>
      </c>
      <c r="V88" s="2">
        <v>34.36</v>
      </c>
      <c r="W88" s="2">
        <v>-0.47599999999999998</v>
      </c>
      <c r="X88" s="2">
        <v>-0.91500000000000004</v>
      </c>
      <c r="Y88" s="2">
        <v>-0.06</v>
      </c>
      <c r="Z88" s="2">
        <v>0.66</v>
      </c>
      <c r="AA88" s="2">
        <v>1.1990000000000001</v>
      </c>
      <c r="AB88" s="2">
        <v>1.2</v>
      </c>
      <c r="AC88" s="2">
        <v>0</v>
      </c>
      <c r="AD88" s="2">
        <v>10.81</v>
      </c>
      <c r="AE88" s="2">
        <v>10.49</v>
      </c>
      <c r="AF88" s="2">
        <v>1.1439999999999999</v>
      </c>
      <c r="AG88" s="2">
        <v>3.8839999999999999</v>
      </c>
      <c r="AH88" s="2">
        <v>-7.3079999999999998</v>
      </c>
      <c r="AI88" s="2">
        <v>3.9540000000000002</v>
      </c>
      <c r="AJ88" s="2">
        <v>-13.28</v>
      </c>
      <c r="AK88" s="2">
        <v>5.351</v>
      </c>
      <c r="AL88" s="2">
        <v>-8.61</v>
      </c>
      <c r="AM88" s="2">
        <v>1.2170000000000001</v>
      </c>
      <c r="AN88" s="2" t="s">
        <v>122</v>
      </c>
      <c r="AO88" s="2">
        <v>490</v>
      </c>
      <c r="AP88" s="2">
        <v>654</v>
      </c>
      <c r="AQ88" s="2">
        <v>262</v>
      </c>
      <c r="AR88" s="2">
        <v>177</v>
      </c>
      <c r="AS88" s="2">
        <v>89</v>
      </c>
      <c r="AT88" s="2">
        <v>191</v>
      </c>
      <c r="AU88" s="2">
        <v>507</v>
      </c>
      <c r="AV88" s="2">
        <v>510</v>
      </c>
      <c r="AW88" s="2"/>
      <c r="AX88" s="1">
        <f t="shared" si="71"/>
        <v>1.3499999999999999</v>
      </c>
      <c r="AY88" s="21">
        <f t="shared" si="72"/>
        <v>-0.4</v>
      </c>
      <c r="AZ88" s="5">
        <v>19.43</v>
      </c>
      <c r="BA88" s="1">
        <v>11.12</v>
      </c>
      <c r="BB88" s="1">
        <v>9.65</v>
      </c>
      <c r="BC88" s="6">
        <f t="shared" si="100"/>
        <v>0.8678057553956835</v>
      </c>
      <c r="BE88" s="30">
        <v>0</v>
      </c>
      <c r="BF88" s="27">
        <v>1390</v>
      </c>
      <c r="BG88" s="1">
        <f t="shared" si="73"/>
        <v>90.5</v>
      </c>
      <c r="BH88" s="1">
        <f t="shared" si="74"/>
        <v>67.2</v>
      </c>
      <c r="BI88" s="1">
        <f t="shared" si="75"/>
        <v>34.4</v>
      </c>
      <c r="BJ88" s="7">
        <f t="shared" si="76"/>
        <v>0.22600000000000001</v>
      </c>
      <c r="BK88" s="7">
        <f t="shared" si="77"/>
        <v>0.43099999999999999</v>
      </c>
      <c r="BM88" s="5">
        <f t="shared" si="78"/>
        <v>11.12</v>
      </c>
      <c r="BN88" s="5">
        <f t="shared" si="79"/>
        <v>9.65</v>
      </c>
      <c r="BO88" s="1">
        <f t="shared" si="80"/>
        <v>-4.5</v>
      </c>
      <c r="BP88" s="1">
        <f t="shared" si="81"/>
        <v>1</v>
      </c>
      <c r="BQ88" s="1">
        <f t="shared" si="82"/>
        <v>-8.5</v>
      </c>
      <c r="BR88" s="1">
        <f t="shared" si="83"/>
        <v>67.2</v>
      </c>
      <c r="BS88" s="1">
        <f t="shared" si="84"/>
        <v>34.4</v>
      </c>
      <c r="BT88" s="1">
        <f t="shared" si="85"/>
        <v>1.1000000000000001</v>
      </c>
      <c r="BU88" s="1">
        <f t="shared" si="86"/>
        <v>3.9</v>
      </c>
      <c r="BV88" s="33">
        <f t="shared" si="87"/>
        <v>0</v>
      </c>
      <c r="BW88" s="34">
        <f t="shared" si="88"/>
        <v>1.39</v>
      </c>
      <c r="BX88" s="20">
        <f t="shared" si="89"/>
        <v>-0.4</v>
      </c>
      <c r="BY88" s="1">
        <f t="shared" si="90"/>
        <v>-7.3</v>
      </c>
      <c r="BZ88" s="1">
        <f t="shared" si="91"/>
        <v>4</v>
      </c>
      <c r="CA88" s="1">
        <f t="shared" si="92"/>
        <v>-13.3</v>
      </c>
      <c r="CB88" s="1">
        <f t="shared" si="93"/>
        <v>0</v>
      </c>
      <c r="CC88" s="1">
        <f t="shared" si="94"/>
        <v>0.7</v>
      </c>
      <c r="CD88" s="1">
        <f t="shared" si="95"/>
        <v>1.3</v>
      </c>
      <c r="CE88" s="1" t="str">
        <f t="shared" si="96"/>
        <v>NAN</v>
      </c>
      <c r="CF88" s="1">
        <f t="shared" si="97"/>
        <v>0.22600000000000001</v>
      </c>
      <c r="CG88" s="1">
        <f t="shared" si="98"/>
        <v>0.43099999999999999</v>
      </c>
      <c r="CI88" s="1">
        <f t="shared" si="62"/>
        <v>2880</v>
      </c>
      <c r="CJ88" s="1">
        <f t="shared" si="63"/>
        <v>0.17</v>
      </c>
      <c r="CK88" s="1">
        <f t="shared" si="64"/>
        <v>0.22700000000000001</v>
      </c>
      <c r="CL88" s="1">
        <f t="shared" si="65"/>
        <v>9.0999999999999998E-2</v>
      </c>
      <c r="CM88" s="1">
        <f t="shared" si="66"/>
        <v>6.0999999999999999E-2</v>
      </c>
      <c r="CN88" s="1">
        <f t="shared" si="67"/>
        <v>3.1E-2</v>
      </c>
      <c r="CO88" s="1">
        <f t="shared" si="68"/>
        <v>6.6000000000000003E-2</v>
      </c>
      <c r="CP88" s="1">
        <f t="shared" si="69"/>
        <v>0.17599999999999999</v>
      </c>
      <c r="CQ88" s="1">
        <f t="shared" si="70"/>
        <v>0.17699999999999999</v>
      </c>
      <c r="CS88" s="1">
        <f t="shared" si="101"/>
        <v>3</v>
      </c>
      <c r="CT88" s="1">
        <f t="shared" si="102"/>
        <v>-4.8000000000000007</v>
      </c>
    </row>
    <row r="89" spans="1:98" x14ac:dyDescent="0.2">
      <c r="A89" s="8">
        <f t="shared" si="99"/>
        <v>43914</v>
      </c>
      <c r="B89" s="1">
        <v>84</v>
      </c>
      <c r="C89" s="1">
        <v>11</v>
      </c>
      <c r="D89" s="2">
        <v>13</v>
      </c>
      <c r="E89" s="2">
        <v>-2.8919999999999999</v>
      </c>
      <c r="F89" s="2">
        <v>-10.72</v>
      </c>
      <c r="G89" s="2">
        <v>-6.5339999999999998</v>
      </c>
      <c r="H89" s="2">
        <v>74.78</v>
      </c>
      <c r="I89" s="2">
        <v>-0.33400000000000002</v>
      </c>
      <c r="J89" s="2">
        <v>-0.77200000000000002</v>
      </c>
      <c r="K89" s="2">
        <v>1.9E-2</v>
      </c>
      <c r="L89" s="2">
        <v>0.72799999999999998</v>
      </c>
      <c r="M89" s="2">
        <v>1.2729999999999999</v>
      </c>
      <c r="N89" s="2">
        <v>-0.876</v>
      </c>
      <c r="O89" s="2">
        <v>89.8</v>
      </c>
      <c r="P89" s="2">
        <v>-0.251</v>
      </c>
      <c r="Q89" s="2">
        <v>-0.69899999999999995</v>
      </c>
      <c r="R89" s="2">
        <v>9.4E-2</v>
      </c>
      <c r="S89" s="2">
        <v>0.80600000000000005</v>
      </c>
      <c r="T89" s="2">
        <v>1.357</v>
      </c>
      <c r="U89" s="2">
        <v>-9.6</v>
      </c>
      <c r="V89" s="2">
        <v>45.03</v>
      </c>
      <c r="W89" s="2">
        <v>-0.45200000000000001</v>
      </c>
      <c r="X89" s="2">
        <v>-0.88300000000000001</v>
      </c>
      <c r="Y89" s="2">
        <v>-7.0999999999999994E-2</v>
      </c>
      <c r="Z89" s="2">
        <v>0.63900000000000001</v>
      </c>
      <c r="AA89" s="2">
        <v>1.173</v>
      </c>
      <c r="AB89" s="2">
        <v>1.2030000000000001</v>
      </c>
      <c r="AC89" s="2">
        <v>0</v>
      </c>
      <c r="AD89" s="2">
        <v>8</v>
      </c>
      <c r="AE89" s="2">
        <v>7.4029999999999996</v>
      </c>
      <c r="AF89" s="2">
        <v>0.88100000000000001</v>
      </c>
      <c r="AG89" s="2">
        <v>3.1640000000000001</v>
      </c>
      <c r="AH89" s="2">
        <v>-8.27</v>
      </c>
      <c r="AI89" s="2">
        <v>2.7050000000000001</v>
      </c>
      <c r="AJ89" s="2">
        <v>-14.17</v>
      </c>
      <c r="AK89" s="2">
        <v>6.0309999999999997</v>
      </c>
      <c r="AL89" s="2">
        <v>-9.3800000000000008</v>
      </c>
      <c r="AM89" s="2">
        <v>1.22</v>
      </c>
      <c r="AN89" s="2" t="s">
        <v>122</v>
      </c>
      <c r="AO89" s="2">
        <v>655</v>
      </c>
      <c r="AP89" s="2">
        <v>808</v>
      </c>
      <c r="AQ89" s="2">
        <v>803</v>
      </c>
      <c r="AR89" s="2">
        <v>37</v>
      </c>
      <c r="AS89" s="2">
        <v>1</v>
      </c>
      <c r="AT89" s="2">
        <v>27</v>
      </c>
      <c r="AU89" s="2">
        <v>139</v>
      </c>
      <c r="AV89" s="2">
        <v>410</v>
      </c>
      <c r="AW89" s="2"/>
      <c r="AX89" s="1">
        <f t="shared" si="71"/>
        <v>1.3469999999999998</v>
      </c>
      <c r="AY89" s="21">
        <f t="shared" si="72"/>
        <v>-0.4</v>
      </c>
      <c r="AZ89" s="5">
        <v>19.7</v>
      </c>
      <c r="BA89" s="1">
        <v>8</v>
      </c>
      <c r="BB89" s="1">
        <v>6.81</v>
      </c>
      <c r="BC89" s="6">
        <f t="shared" si="100"/>
        <v>0.85124999999999995</v>
      </c>
      <c r="BE89" s="30">
        <v>3</v>
      </c>
      <c r="BF89" s="27">
        <v>1410</v>
      </c>
      <c r="BG89" s="1">
        <f t="shared" si="73"/>
        <v>89.8</v>
      </c>
      <c r="BH89" s="1">
        <f t="shared" si="74"/>
        <v>74.8</v>
      </c>
      <c r="BI89" s="1">
        <f t="shared" si="75"/>
        <v>45</v>
      </c>
      <c r="BJ89" s="7">
        <f t="shared" si="76"/>
        <v>0.25800000000000001</v>
      </c>
      <c r="BK89" s="7">
        <f t="shared" si="77"/>
        <v>0.315</v>
      </c>
      <c r="BM89" s="5">
        <f t="shared" si="78"/>
        <v>8</v>
      </c>
      <c r="BN89" s="5">
        <f t="shared" si="79"/>
        <v>6.81</v>
      </c>
      <c r="BO89" s="1">
        <f t="shared" si="80"/>
        <v>-6.5</v>
      </c>
      <c r="BP89" s="1">
        <f t="shared" si="81"/>
        <v>-0.9</v>
      </c>
      <c r="BQ89" s="1">
        <f t="shared" si="82"/>
        <v>-9.6</v>
      </c>
      <c r="BR89" s="1">
        <f t="shared" si="83"/>
        <v>74.8</v>
      </c>
      <c r="BS89" s="1">
        <f t="shared" si="84"/>
        <v>45</v>
      </c>
      <c r="BT89" s="1">
        <f t="shared" si="85"/>
        <v>0.9</v>
      </c>
      <c r="BU89" s="1">
        <f t="shared" si="86"/>
        <v>3.2</v>
      </c>
      <c r="BV89" s="33">
        <f t="shared" si="87"/>
        <v>3</v>
      </c>
      <c r="BW89" s="34">
        <f t="shared" si="88"/>
        <v>1.41</v>
      </c>
      <c r="BX89" s="20">
        <f t="shared" si="89"/>
        <v>-0.4</v>
      </c>
      <c r="BY89" s="1">
        <f t="shared" si="90"/>
        <v>-8.3000000000000007</v>
      </c>
      <c r="BZ89" s="1">
        <f t="shared" si="91"/>
        <v>2.7</v>
      </c>
      <c r="CA89" s="1">
        <f t="shared" si="92"/>
        <v>-14.2</v>
      </c>
      <c r="CB89" s="1">
        <f t="shared" si="93"/>
        <v>0</v>
      </c>
      <c r="CC89" s="1">
        <f t="shared" si="94"/>
        <v>0.7</v>
      </c>
      <c r="CD89" s="1">
        <f t="shared" si="95"/>
        <v>1.3</v>
      </c>
      <c r="CE89" s="1" t="str">
        <f t="shared" si="96"/>
        <v>NAN</v>
      </c>
      <c r="CF89" s="1">
        <f t="shared" si="97"/>
        <v>0.25800000000000001</v>
      </c>
      <c r="CG89" s="1">
        <f t="shared" si="98"/>
        <v>0.315</v>
      </c>
      <c r="CI89" s="1">
        <f t="shared" si="62"/>
        <v>2880</v>
      </c>
      <c r="CJ89" s="1">
        <f t="shared" si="63"/>
        <v>0.22700000000000001</v>
      </c>
      <c r="CK89" s="1">
        <f t="shared" si="64"/>
        <v>0.28100000000000003</v>
      </c>
      <c r="CL89" s="1">
        <f t="shared" si="65"/>
        <v>0.27900000000000003</v>
      </c>
      <c r="CM89" s="1">
        <f t="shared" si="66"/>
        <v>1.2999999999999999E-2</v>
      </c>
      <c r="CN89" s="1">
        <f t="shared" si="67"/>
        <v>0</v>
      </c>
      <c r="CO89" s="1">
        <f t="shared" si="68"/>
        <v>8.9999999999999993E-3</v>
      </c>
      <c r="CP89" s="1">
        <f t="shared" si="69"/>
        <v>4.8000000000000001E-2</v>
      </c>
      <c r="CQ89" s="1">
        <f t="shared" si="70"/>
        <v>0.14199999999999999</v>
      </c>
      <c r="CS89" s="1">
        <f t="shared" si="101"/>
        <v>3.6</v>
      </c>
      <c r="CT89" s="1">
        <f t="shared" si="102"/>
        <v>-4.5999999999999996</v>
      </c>
    </row>
    <row r="90" spans="1:98" x14ac:dyDescent="0.2">
      <c r="A90" s="8">
        <f t="shared" si="99"/>
        <v>43915</v>
      </c>
      <c r="B90" s="1">
        <v>85</v>
      </c>
      <c r="C90" s="1">
        <v>11</v>
      </c>
      <c r="D90" s="2">
        <v>13.01</v>
      </c>
      <c r="E90" s="2">
        <v>-3.3420000000000001</v>
      </c>
      <c r="F90" s="2">
        <v>-9.1</v>
      </c>
      <c r="G90" s="2">
        <v>-7.5140000000000002</v>
      </c>
      <c r="H90" s="2">
        <v>67.33</v>
      </c>
      <c r="I90" s="2">
        <v>-0.35699999999999998</v>
      </c>
      <c r="J90" s="2">
        <v>-0.80700000000000005</v>
      </c>
      <c r="K90" s="2">
        <v>2E-3</v>
      </c>
      <c r="L90" s="2">
        <v>0.70799999999999996</v>
      </c>
      <c r="M90" s="2">
        <v>1.26</v>
      </c>
      <c r="N90" s="2">
        <v>-2.14</v>
      </c>
      <c r="O90" s="2">
        <v>89.8</v>
      </c>
      <c r="P90" s="2">
        <v>-0.26200000000000001</v>
      </c>
      <c r="Q90" s="2">
        <v>-0.70599999999999996</v>
      </c>
      <c r="R90" s="2">
        <v>0.106</v>
      </c>
      <c r="S90" s="2">
        <v>0.80700000000000005</v>
      </c>
      <c r="T90" s="2">
        <v>1.3520000000000001</v>
      </c>
      <c r="U90" s="2">
        <v>-11.46</v>
      </c>
      <c r="V90" s="2">
        <v>36.840000000000003</v>
      </c>
      <c r="W90" s="2">
        <v>-0.50800000000000001</v>
      </c>
      <c r="X90" s="2">
        <v>-0.91500000000000004</v>
      </c>
      <c r="Y90" s="2">
        <v>-0.121</v>
      </c>
      <c r="Z90" s="2">
        <v>0.60799999999999998</v>
      </c>
      <c r="AA90" s="2">
        <v>1.17</v>
      </c>
      <c r="AB90" s="2">
        <v>1.175</v>
      </c>
      <c r="AC90" s="2">
        <v>0</v>
      </c>
      <c r="AD90" s="2">
        <v>17.39</v>
      </c>
      <c r="AE90" s="2">
        <v>17.96</v>
      </c>
      <c r="AF90" s="2">
        <v>1.5589999999999999</v>
      </c>
      <c r="AG90" s="2">
        <v>4.2910000000000004</v>
      </c>
      <c r="AH90" s="2">
        <v>-9.43</v>
      </c>
      <c r="AI90" s="2">
        <v>-0.72599999999999998</v>
      </c>
      <c r="AJ90" s="2">
        <v>-16.09</v>
      </c>
      <c r="AK90" s="2">
        <v>3.4129999999999998</v>
      </c>
      <c r="AL90" s="2">
        <v>-11.72</v>
      </c>
      <c r="AM90" s="2">
        <v>1.194</v>
      </c>
      <c r="AN90" s="2" t="s">
        <v>122</v>
      </c>
      <c r="AO90" s="2">
        <v>749</v>
      </c>
      <c r="AP90" s="2">
        <v>1132</v>
      </c>
      <c r="AQ90" s="2">
        <v>346</v>
      </c>
      <c r="AR90" s="2">
        <v>28</v>
      </c>
      <c r="AS90" s="2">
        <v>8</v>
      </c>
      <c r="AT90" s="2">
        <v>22</v>
      </c>
      <c r="AU90" s="2">
        <v>132</v>
      </c>
      <c r="AV90" s="2">
        <v>463</v>
      </c>
      <c r="AW90" s="2"/>
      <c r="AX90" s="1">
        <f t="shared" si="71"/>
        <v>1.3749999999999998</v>
      </c>
      <c r="AY90" s="21">
        <f t="shared" si="72"/>
        <v>-0.4</v>
      </c>
      <c r="AZ90" s="5">
        <v>19.96</v>
      </c>
      <c r="BA90" s="1">
        <v>18.05</v>
      </c>
      <c r="BB90" s="1">
        <v>16.52</v>
      </c>
      <c r="BC90" s="6">
        <f t="shared" si="100"/>
        <v>0.9152354570637119</v>
      </c>
      <c r="BE90" s="30">
        <v>2.6</v>
      </c>
      <c r="BF90" s="27">
        <v>1414.9999999999998</v>
      </c>
      <c r="BG90" s="1">
        <f t="shared" si="73"/>
        <v>89.8</v>
      </c>
      <c r="BH90" s="1">
        <f t="shared" si="74"/>
        <v>67.3</v>
      </c>
      <c r="BI90" s="1">
        <f t="shared" si="75"/>
        <v>36.799999999999997</v>
      </c>
      <c r="BJ90" s="7">
        <f t="shared" si="76"/>
        <v>0.192</v>
      </c>
      <c r="BK90" s="7">
        <f t="shared" si="77"/>
        <v>0.33</v>
      </c>
      <c r="BM90" s="5">
        <f t="shared" si="78"/>
        <v>18.05</v>
      </c>
      <c r="BN90" s="5">
        <f t="shared" si="79"/>
        <v>16.52</v>
      </c>
      <c r="BO90" s="1">
        <f t="shared" si="80"/>
        <v>-7.5</v>
      </c>
      <c r="BP90" s="1">
        <f t="shared" si="81"/>
        <v>-2.1</v>
      </c>
      <c r="BQ90" s="1">
        <f t="shared" si="82"/>
        <v>-11.5</v>
      </c>
      <c r="BR90" s="1">
        <f t="shared" si="83"/>
        <v>67.3</v>
      </c>
      <c r="BS90" s="1">
        <f t="shared" si="84"/>
        <v>36.799999999999997</v>
      </c>
      <c r="BT90" s="1">
        <f t="shared" si="85"/>
        <v>1.6</v>
      </c>
      <c r="BU90" s="1">
        <f t="shared" si="86"/>
        <v>4.3</v>
      </c>
      <c r="BV90" s="33">
        <f t="shared" si="87"/>
        <v>2.6</v>
      </c>
      <c r="BW90" s="34">
        <f t="shared" si="88"/>
        <v>1.415</v>
      </c>
      <c r="BX90" s="20">
        <f t="shared" si="89"/>
        <v>-0.4</v>
      </c>
      <c r="BY90" s="1">
        <f t="shared" si="90"/>
        <v>-9.4</v>
      </c>
      <c r="BZ90" s="1">
        <f t="shared" si="91"/>
        <v>-0.7</v>
      </c>
      <c r="CA90" s="1">
        <f t="shared" si="92"/>
        <v>-16.100000000000001</v>
      </c>
      <c r="CB90" s="1">
        <f t="shared" si="93"/>
        <v>0</v>
      </c>
      <c r="CC90" s="1">
        <f t="shared" si="94"/>
        <v>0.7</v>
      </c>
      <c r="CD90" s="1">
        <f t="shared" si="95"/>
        <v>1.3</v>
      </c>
      <c r="CE90" s="1" t="str">
        <f t="shared" si="96"/>
        <v>NAN</v>
      </c>
      <c r="CF90" s="1">
        <f t="shared" si="97"/>
        <v>0.192</v>
      </c>
      <c r="CG90" s="1">
        <f t="shared" si="98"/>
        <v>0.33</v>
      </c>
      <c r="CI90" s="1">
        <f t="shared" si="62"/>
        <v>2880</v>
      </c>
      <c r="CJ90" s="1">
        <f t="shared" si="63"/>
        <v>0.26</v>
      </c>
      <c r="CK90" s="1">
        <f t="shared" si="64"/>
        <v>0.39300000000000002</v>
      </c>
      <c r="CL90" s="1">
        <f t="shared" si="65"/>
        <v>0.12</v>
      </c>
      <c r="CM90" s="1">
        <f t="shared" si="66"/>
        <v>0.01</v>
      </c>
      <c r="CN90" s="1">
        <f t="shared" si="67"/>
        <v>3.0000000000000001E-3</v>
      </c>
      <c r="CO90" s="1">
        <f t="shared" si="68"/>
        <v>8.0000000000000002E-3</v>
      </c>
      <c r="CP90" s="1">
        <f t="shared" si="69"/>
        <v>4.5999999999999999E-2</v>
      </c>
      <c r="CQ90" s="1">
        <f t="shared" si="70"/>
        <v>0.161</v>
      </c>
      <c r="CS90" s="1">
        <f t="shared" si="101"/>
        <v>1.4000000000000001</v>
      </c>
      <c r="CT90" s="1">
        <f t="shared" si="102"/>
        <v>-4.6000000000000014</v>
      </c>
    </row>
    <row r="91" spans="1:98" x14ac:dyDescent="0.2">
      <c r="A91" s="8">
        <f t="shared" si="99"/>
        <v>43916</v>
      </c>
      <c r="B91" s="1">
        <v>86</v>
      </c>
      <c r="C91" s="1">
        <v>11</v>
      </c>
      <c r="D91" s="2">
        <v>12.97</v>
      </c>
      <c r="E91" s="2">
        <v>-3.9220000000000002</v>
      </c>
      <c r="F91" s="2">
        <v>-10.029999999999999</v>
      </c>
      <c r="G91" s="2">
        <v>-6.0620000000000003</v>
      </c>
      <c r="H91" s="2">
        <v>78.040000000000006</v>
      </c>
      <c r="I91" s="2">
        <v>-0.35299999999999998</v>
      </c>
      <c r="J91" s="2">
        <v>-0.82399999999999995</v>
      </c>
      <c r="K91" s="2">
        <v>2.1000000000000001E-2</v>
      </c>
      <c r="L91" s="2">
        <v>0.72599999999999998</v>
      </c>
      <c r="M91" s="2">
        <v>1.272</v>
      </c>
      <c r="N91" s="2">
        <v>-2.202</v>
      </c>
      <c r="O91" s="2">
        <v>91.6</v>
      </c>
      <c r="P91" s="2">
        <v>-0.27600000000000002</v>
      </c>
      <c r="Q91" s="2">
        <v>-0.754</v>
      </c>
      <c r="R91" s="2">
        <v>9.0999999999999998E-2</v>
      </c>
      <c r="S91" s="2">
        <v>0.80100000000000005</v>
      </c>
      <c r="T91" s="2">
        <v>1.351</v>
      </c>
      <c r="U91" s="2">
        <v>-11.09</v>
      </c>
      <c r="V91" s="2">
        <v>62.14</v>
      </c>
      <c r="W91" s="2">
        <v>-0.435</v>
      </c>
      <c r="X91" s="2">
        <v>-0.90800000000000003</v>
      </c>
      <c r="Y91" s="2">
        <v>-7.9000000000000001E-2</v>
      </c>
      <c r="Z91" s="2">
        <v>0.63500000000000001</v>
      </c>
      <c r="AA91" s="2">
        <v>1.1739999999999999</v>
      </c>
      <c r="AB91" s="2">
        <v>1.1879999999999999</v>
      </c>
      <c r="AC91" s="2">
        <v>0</v>
      </c>
      <c r="AD91" s="2">
        <v>7.1219999999999999</v>
      </c>
      <c r="AE91" s="2">
        <v>6.3840000000000003</v>
      </c>
      <c r="AF91" s="2">
        <v>1.6240000000000001</v>
      </c>
      <c r="AG91" s="2">
        <v>4.3449999999999998</v>
      </c>
      <c r="AH91" s="2">
        <v>-7.4989999999999997</v>
      </c>
      <c r="AI91" s="2">
        <v>0.28699999999999998</v>
      </c>
      <c r="AJ91" s="2">
        <v>-15.96</v>
      </c>
      <c r="AK91" s="2">
        <v>0.39400000000000002</v>
      </c>
      <c r="AL91" s="2">
        <v>-11.32</v>
      </c>
      <c r="AM91" s="2">
        <v>1.2</v>
      </c>
      <c r="AN91" s="2" t="s">
        <v>122</v>
      </c>
      <c r="AO91" s="2">
        <v>469</v>
      </c>
      <c r="AP91" s="2">
        <v>81</v>
      </c>
      <c r="AQ91" s="2">
        <v>19</v>
      </c>
      <c r="AR91" s="2">
        <v>12</v>
      </c>
      <c r="AS91" s="2">
        <v>54</v>
      </c>
      <c r="AT91" s="2">
        <v>234</v>
      </c>
      <c r="AU91" s="2">
        <v>962</v>
      </c>
      <c r="AV91" s="2">
        <v>1048</v>
      </c>
      <c r="AW91" s="2"/>
      <c r="AX91" s="1">
        <f t="shared" si="71"/>
        <v>1.3619999999999999</v>
      </c>
      <c r="AY91" s="21">
        <f t="shared" si="72"/>
        <v>-0.4</v>
      </c>
      <c r="AZ91" s="5">
        <v>20.22</v>
      </c>
      <c r="BA91" s="1">
        <v>7.12</v>
      </c>
      <c r="BB91" s="1">
        <v>5.87</v>
      </c>
      <c r="BC91" s="6">
        <f t="shared" si="100"/>
        <v>0.824438202247191</v>
      </c>
      <c r="BE91" s="30">
        <v>0</v>
      </c>
      <c r="BF91" s="27">
        <v>1402</v>
      </c>
      <c r="BG91" s="1">
        <f t="shared" si="73"/>
        <v>91.6</v>
      </c>
      <c r="BH91" s="1">
        <f t="shared" si="74"/>
        <v>78</v>
      </c>
      <c r="BI91" s="1">
        <f t="shared" si="75"/>
        <v>62.1</v>
      </c>
      <c r="BJ91" s="7">
        <f t="shared" si="76"/>
        <v>0.32200000000000001</v>
      </c>
      <c r="BK91" s="7">
        <f t="shared" si="77"/>
        <v>0.19700000000000001</v>
      </c>
      <c r="BM91" s="5">
        <f t="shared" si="78"/>
        <v>7.12</v>
      </c>
      <c r="BN91" s="5">
        <f t="shared" si="79"/>
        <v>5.87</v>
      </c>
      <c r="BO91" s="1">
        <f t="shared" si="80"/>
        <v>-6.1</v>
      </c>
      <c r="BP91" s="1">
        <f t="shared" si="81"/>
        <v>-2.2000000000000002</v>
      </c>
      <c r="BQ91" s="1">
        <f t="shared" si="82"/>
        <v>-11.1</v>
      </c>
      <c r="BR91" s="1">
        <f t="shared" si="83"/>
        <v>78</v>
      </c>
      <c r="BS91" s="1">
        <f t="shared" si="84"/>
        <v>62.1</v>
      </c>
      <c r="BT91" s="1">
        <f t="shared" si="85"/>
        <v>1.6</v>
      </c>
      <c r="BU91" s="1">
        <f t="shared" si="86"/>
        <v>4.3</v>
      </c>
      <c r="BV91" s="33">
        <f t="shared" si="87"/>
        <v>0</v>
      </c>
      <c r="BW91" s="34">
        <f t="shared" si="88"/>
        <v>1.4019999999999999</v>
      </c>
      <c r="BX91" s="20">
        <f t="shared" si="89"/>
        <v>-0.4</v>
      </c>
      <c r="BY91" s="1">
        <f t="shared" si="90"/>
        <v>-7.5</v>
      </c>
      <c r="BZ91" s="1">
        <f t="shared" si="91"/>
        <v>0.3</v>
      </c>
      <c r="CA91" s="1">
        <f t="shared" si="92"/>
        <v>-16</v>
      </c>
      <c r="CB91" s="1">
        <f t="shared" si="93"/>
        <v>0</v>
      </c>
      <c r="CC91" s="1">
        <f t="shared" si="94"/>
        <v>0.7</v>
      </c>
      <c r="CD91" s="1">
        <f t="shared" si="95"/>
        <v>1.3</v>
      </c>
      <c r="CE91" s="1" t="str">
        <f t="shared" si="96"/>
        <v>NAN</v>
      </c>
      <c r="CF91" s="1">
        <f t="shared" si="97"/>
        <v>0.32200000000000001</v>
      </c>
      <c r="CG91" s="1">
        <f t="shared" si="98"/>
        <v>0.19700000000000001</v>
      </c>
      <c r="CI91" s="1">
        <f t="shared" si="62"/>
        <v>2879</v>
      </c>
      <c r="CJ91" s="1">
        <f t="shared" si="63"/>
        <v>0.16300000000000001</v>
      </c>
      <c r="CK91" s="1">
        <f t="shared" si="64"/>
        <v>2.8000000000000001E-2</v>
      </c>
      <c r="CL91" s="1">
        <f t="shared" si="65"/>
        <v>7.0000000000000001E-3</v>
      </c>
      <c r="CM91" s="1">
        <f t="shared" si="66"/>
        <v>4.0000000000000001E-3</v>
      </c>
      <c r="CN91" s="1">
        <f t="shared" si="67"/>
        <v>1.9E-2</v>
      </c>
      <c r="CO91" s="1">
        <f t="shared" si="68"/>
        <v>8.1000000000000003E-2</v>
      </c>
      <c r="CP91" s="1">
        <f t="shared" si="69"/>
        <v>0.33400000000000002</v>
      </c>
      <c r="CQ91" s="1">
        <f t="shared" si="70"/>
        <v>0.36399999999999999</v>
      </c>
      <c r="CS91" s="1">
        <f t="shared" si="101"/>
        <v>2.5</v>
      </c>
      <c r="CT91" s="1">
        <f t="shared" si="102"/>
        <v>-4.9000000000000004</v>
      </c>
    </row>
    <row r="92" spans="1:98" x14ac:dyDescent="0.2">
      <c r="A92" s="8">
        <f t="shared" si="99"/>
        <v>43917</v>
      </c>
      <c r="B92" s="1">
        <v>87</v>
      </c>
      <c r="C92" s="1">
        <v>11</v>
      </c>
      <c r="D92" s="2">
        <v>12.96</v>
      </c>
      <c r="E92" s="2">
        <v>-1.778</v>
      </c>
      <c r="F92" s="2">
        <v>-5.7880000000000003</v>
      </c>
      <c r="G92" s="2">
        <v>-3.5089999999999999</v>
      </c>
      <c r="H92" s="2">
        <v>80.8</v>
      </c>
      <c r="I92" s="2">
        <v>-0.35499999999999998</v>
      </c>
      <c r="J92" s="2">
        <v>-0.84499999999999997</v>
      </c>
      <c r="K92" s="2">
        <v>3.4000000000000002E-2</v>
      </c>
      <c r="L92" s="2">
        <v>0.73899999999999999</v>
      </c>
      <c r="M92" s="2">
        <v>1.2889999999999999</v>
      </c>
      <c r="N92" s="2">
        <v>-0.17599999999999999</v>
      </c>
      <c r="O92" s="2">
        <v>94.5</v>
      </c>
      <c r="P92" s="2">
        <v>-0.27400000000000002</v>
      </c>
      <c r="Q92" s="2">
        <v>-0.75700000000000001</v>
      </c>
      <c r="R92" s="2">
        <v>0.109</v>
      </c>
      <c r="S92" s="2">
        <v>0.81299999999999994</v>
      </c>
      <c r="T92" s="2">
        <v>1.3660000000000001</v>
      </c>
      <c r="U92" s="2">
        <v>-6.1710000000000003</v>
      </c>
      <c r="V92" s="2">
        <v>64.64</v>
      </c>
      <c r="W92" s="2">
        <v>-0.46200000000000002</v>
      </c>
      <c r="X92" s="2">
        <v>-0.94399999999999995</v>
      </c>
      <c r="Y92" s="2">
        <v>-5.3999999999999999E-2</v>
      </c>
      <c r="Z92" s="2">
        <v>0.65300000000000002</v>
      </c>
      <c r="AA92" s="2">
        <v>1.204</v>
      </c>
      <c r="AB92" s="2">
        <v>1.177</v>
      </c>
      <c r="AC92" s="2">
        <v>0</v>
      </c>
      <c r="AD92" s="2">
        <v>7.2169999999999996</v>
      </c>
      <c r="AE92" s="2">
        <v>6.3220000000000001</v>
      </c>
      <c r="AF92" s="2">
        <v>1.9330000000000001</v>
      </c>
      <c r="AG92" s="2">
        <v>5.1269999999999998</v>
      </c>
      <c r="AH92" s="2">
        <v>-3.9660000000000002</v>
      </c>
      <c r="AI92" s="2">
        <v>0.504</v>
      </c>
      <c r="AJ92" s="2">
        <v>-6.8120000000000003</v>
      </c>
      <c r="AK92" s="2">
        <v>1.9730000000000001</v>
      </c>
      <c r="AL92" s="2">
        <v>-6.3090000000000002</v>
      </c>
      <c r="AM92" s="2">
        <v>1.1830000000000001</v>
      </c>
      <c r="AN92" s="2" t="s">
        <v>122</v>
      </c>
      <c r="AO92" s="2">
        <v>279</v>
      </c>
      <c r="AP92" s="2">
        <v>18</v>
      </c>
      <c r="AQ92" s="2">
        <v>4</v>
      </c>
      <c r="AR92" s="2">
        <v>1</v>
      </c>
      <c r="AS92" s="2">
        <v>19</v>
      </c>
      <c r="AT92" s="2">
        <v>217</v>
      </c>
      <c r="AU92" s="2">
        <v>1131</v>
      </c>
      <c r="AV92" s="2">
        <v>1211</v>
      </c>
      <c r="AW92" s="2"/>
      <c r="AX92" s="1">
        <f t="shared" si="71"/>
        <v>1.3729999999999998</v>
      </c>
      <c r="AY92" s="21">
        <f t="shared" si="72"/>
        <v>-0.4</v>
      </c>
      <c r="AZ92" s="5">
        <v>20.48</v>
      </c>
      <c r="BA92" s="1">
        <v>7.22</v>
      </c>
      <c r="BB92" s="1">
        <v>5.82</v>
      </c>
      <c r="BC92" s="6">
        <f t="shared" si="100"/>
        <v>0.80609418282548484</v>
      </c>
      <c r="BE92" s="30">
        <v>2.9</v>
      </c>
      <c r="BF92" s="27">
        <v>1412.9999999999998</v>
      </c>
      <c r="BG92" s="1">
        <f t="shared" si="73"/>
        <v>94.5</v>
      </c>
      <c r="BH92" s="1">
        <f t="shared" si="74"/>
        <v>80.8</v>
      </c>
      <c r="BI92" s="1">
        <f t="shared" si="75"/>
        <v>64.599999999999994</v>
      </c>
      <c r="BJ92" s="7">
        <f t="shared" si="76"/>
        <v>0.38900000000000001</v>
      </c>
      <c r="BK92" s="7">
        <f t="shared" si="77"/>
        <v>0.21299999999999999</v>
      </c>
      <c r="BM92" s="5">
        <f t="shared" si="78"/>
        <v>7.22</v>
      </c>
      <c r="BN92" s="5">
        <f t="shared" si="79"/>
        <v>5.82</v>
      </c>
      <c r="BO92" s="1">
        <f t="shared" si="80"/>
        <v>-3.5</v>
      </c>
      <c r="BP92" s="1">
        <f t="shared" si="81"/>
        <v>-0.2</v>
      </c>
      <c r="BQ92" s="1">
        <f t="shared" si="82"/>
        <v>-6.2</v>
      </c>
      <c r="BR92" s="1">
        <f t="shared" si="83"/>
        <v>80.8</v>
      </c>
      <c r="BS92" s="1">
        <f t="shared" si="84"/>
        <v>64.599999999999994</v>
      </c>
      <c r="BT92" s="1">
        <f t="shared" si="85"/>
        <v>1.9</v>
      </c>
      <c r="BU92" s="1">
        <f t="shared" si="86"/>
        <v>5.0999999999999996</v>
      </c>
      <c r="BV92" s="33">
        <f t="shared" si="87"/>
        <v>2.9</v>
      </c>
      <c r="BW92" s="34">
        <f t="shared" si="88"/>
        <v>1.413</v>
      </c>
      <c r="BX92" s="20">
        <f t="shared" si="89"/>
        <v>-0.4</v>
      </c>
      <c r="BY92" s="1">
        <f t="shared" si="90"/>
        <v>-4</v>
      </c>
      <c r="BZ92" s="1">
        <f t="shared" si="91"/>
        <v>0.5</v>
      </c>
      <c r="CA92" s="1">
        <f t="shared" si="92"/>
        <v>-6.8</v>
      </c>
      <c r="CB92" s="1">
        <f t="shared" si="93"/>
        <v>0</v>
      </c>
      <c r="CC92" s="1">
        <f t="shared" si="94"/>
        <v>0.7</v>
      </c>
      <c r="CD92" s="1">
        <f t="shared" si="95"/>
        <v>1.3</v>
      </c>
      <c r="CE92" s="1" t="str">
        <f t="shared" si="96"/>
        <v>NAN</v>
      </c>
      <c r="CF92" s="1">
        <f t="shared" si="97"/>
        <v>0.38900000000000001</v>
      </c>
      <c r="CG92" s="1">
        <f t="shared" si="98"/>
        <v>0.21299999999999999</v>
      </c>
      <c r="CI92" s="1">
        <f t="shared" si="62"/>
        <v>2880</v>
      </c>
      <c r="CJ92" s="1">
        <f t="shared" si="63"/>
        <v>9.7000000000000003E-2</v>
      </c>
      <c r="CK92" s="1">
        <f t="shared" si="64"/>
        <v>6.0000000000000001E-3</v>
      </c>
      <c r="CL92" s="1">
        <f t="shared" si="65"/>
        <v>1E-3</v>
      </c>
      <c r="CM92" s="1">
        <f t="shared" si="66"/>
        <v>0</v>
      </c>
      <c r="CN92" s="1">
        <f t="shared" si="67"/>
        <v>7.0000000000000001E-3</v>
      </c>
      <c r="CO92" s="1">
        <f t="shared" si="68"/>
        <v>7.4999999999999997E-2</v>
      </c>
      <c r="CP92" s="1">
        <f t="shared" si="69"/>
        <v>0.39300000000000002</v>
      </c>
      <c r="CQ92" s="1">
        <f t="shared" si="70"/>
        <v>0.42</v>
      </c>
      <c r="CS92" s="1">
        <f t="shared" si="101"/>
        <v>0.7</v>
      </c>
      <c r="CT92" s="1">
        <f t="shared" si="102"/>
        <v>-0.59999999999999964</v>
      </c>
    </row>
    <row r="93" spans="1:98" x14ac:dyDescent="0.2">
      <c r="A93" s="8">
        <f t="shared" si="99"/>
        <v>43918</v>
      </c>
      <c r="B93" s="1">
        <v>88</v>
      </c>
      <c r="C93" s="1">
        <v>11</v>
      </c>
      <c r="D93" s="2">
        <v>12.94</v>
      </c>
      <c r="E93" s="2">
        <v>1.0999999999999999E-2</v>
      </c>
      <c r="F93" s="2">
        <v>-3.988</v>
      </c>
      <c r="G93" s="2">
        <v>-0.96699999999999997</v>
      </c>
      <c r="H93" s="2">
        <v>81.400000000000006</v>
      </c>
      <c r="I93" s="2">
        <v>-0.35799999999999998</v>
      </c>
      <c r="J93" s="2">
        <v>-0.86299999999999999</v>
      </c>
      <c r="K93" s="2">
        <v>4.2999999999999997E-2</v>
      </c>
      <c r="L93" s="2">
        <v>0.746</v>
      </c>
      <c r="M93" s="2">
        <v>1.296</v>
      </c>
      <c r="N93" s="2">
        <v>4.2370000000000001</v>
      </c>
      <c r="O93" s="2">
        <v>95.3</v>
      </c>
      <c r="P93" s="2">
        <v>-0.26700000000000002</v>
      </c>
      <c r="Q93" s="2">
        <v>-0.78700000000000003</v>
      </c>
      <c r="R93" s="2">
        <v>0.11700000000000001</v>
      </c>
      <c r="S93" s="2">
        <v>0.81799999999999995</v>
      </c>
      <c r="T93" s="2">
        <v>1.369</v>
      </c>
      <c r="U93" s="2">
        <v>-3.9729999999999999</v>
      </c>
      <c r="V93" s="2">
        <v>51.33</v>
      </c>
      <c r="W93" s="2">
        <v>-0.46600000000000003</v>
      </c>
      <c r="X93" s="2">
        <v>-0.95199999999999996</v>
      </c>
      <c r="Y93" s="2">
        <v>-4.2000000000000003E-2</v>
      </c>
      <c r="Z93" s="2">
        <v>0.65600000000000003</v>
      </c>
      <c r="AA93" s="2">
        <v>1.212</v>
      </c>
      <c r="AB93" s="2">
        <v>1.1679999999999999</v>
      </c>
      <c r="AC93" s="2">
        <v>0</v>
      </c>
      <c r="AD93" s="2">
        <v>8.14</v>
      </c>
      <c r="AE93" s="2">
        <v>7.218</v>
      </c>
      <c r="AF93" s="2">
        <v>1.8240000000000001</v>
      </c>
      <c r="AG93" s="2">
        <v>5.2220000000000004</v>
      </c>
      <c r="AH93" s="2">
        <v>-2.125</v>
      </c>
      <c r="AI93" s="2">
        <v>5.524</v>
      </c>
      <c r="AJ93" s="2">
        <v>-7.4909999999999997</v>
      </c>
      <c r="AK93" s="2">
        <v>8.83</v>
      </c>
      <c r="AL93" s="2">
        <v>-3.915</v>
      </c>
      <c r="AM93" s="2">
        <v>1.1719999999999999</v>
      </c>
      <c r="AN93" s="2" t="s">
        <v>122</v>
      </c>
      <c r="AO93" s="2">
        <v>54</v>
      </c>
      <c r="AP93" s="2">
        <v>0</v>
      </c>
      <c r="AQ93" s="2">
        <v>0</v>
      </c>
      <c r="AR93" s="2">
        <v>22</v>
      </c>
      <c r="AS93" s="2">
        <v>373</v>
      </c>
      <c r="AT93" s="2">
        <v>1437</v>
      </c>
      <c r="AU93" s="2">
        <v>745</v>
      </c>
      <c r="AV93" s="2">
        <v>249</v>
      </c>
      <c r="AW93" s="2"/>
      <c r="AX93" s="1">
        <f t="shared" si="71"/>
        <v>1.3819999999999999</v>
      </c>
      <c r="AY93" s="21">
        <f t="shared" si="72"/>
        <v>-0.4</v>
      </c>
      <c r="AZ93" s="5">
        <v>20.74</v>
      </c>
      <c r="BA93" s="1">
        <v>8.14</v>
      </c>
      <c r="BB93" s="1">
        <v>6.64</v>
      </c>
      <c r="BC93" s="6">
        <f t="shared" si="100"/>
        <v>0.81572481572481559</v>
      </c>
      <c r="BE93" s="30">
        <v>4.2</v>
      </c>
      <c r="BF93" s="27">
        <v>1422</v>
      </c>
      <c r="BG93" s="1">
        <f t="shared" si="73"/>
        <v>95.3</v>
      </c>
      <c r="BH93" s="1">
        <f t="shared" si="74"/>
        <v>81.400000000000006</v>
      </c>
      <c r="BI93" s="1">
        <f t="shared" si="75"/>
        <v>51.3</v>
      </c>
      <c r="BJ93" s="7">
        <f t="shared" si="76"/>
        <v>0.42399999999999999</v>
      </c>
      <c r="BK93" s="7">
        <f t="shared" si="77"/>
        <v>0.40300000000000002</v>
      </c>
      <c r="BM93" s="5">
        <f t="shared" si="78"/>
        <v>8.14</v>
      </c>
      <c r="BN93" s="5">
        <f t="shared" si="79"/>
        <v>6.64</v>
      </c>
      <c r="BO93" s="1">
        <f t="shared" si="80"/>
        <v>-1</v>
      </c>
      <c r="BP93" s="1">
        <f t="shared" si="81"/>
        <v>4.2</v>
      </c>
      <c r="BQ93" s="1">
        <f t="shared" si="82"/>
        <v>-4</v>
      </c>
      <c r="BR93" s="1">
        <f t="shared" si="83"/>
        <v>81.400000000000006</v>
      </c>
      <c r="BS93" s="1">
        <f t="shared" si="84"/>
        <v>51.3</v>
      </c>
      <c r="BT93" s="1">
        <f t="shared" si="85"/>
        <v>1.8</v>
      </c>
      <c r="BU93" s="1">
        <f t="shared" si="86"/>
        <v>5.2</v>
      </c>
      <c r="BV93" s="33">
        <f t="shared" si="87"/>
        <v>4.2</v>
      </c>
      <c r="BW93" s="34">
        <f t="shared" si="88"/>
        <v>1.4219999999999999</v>
      </c>
      <c r="BX93" s="20">
        <f t="shared" si="89"/>
        <v>-0.4</v>
      </c>
      <c r="BY93" s="1">
        <f t="shared" si="90"/>
        <v>-2.1</v>
      </c>
      <c r="BZ93" s="1">
        <f t="shared" si="91"/>
        <v>5.5</v>
      </c>
      <c r="CA93" s="1">
        <f t="shared" si="92"/>
        <v>-7.5</v>
      </c>
      <c r="CB93" s="1">
        <f t="shared" si="93"/>
        <v>0</v>
      </c>
      <c r="CC93" s="1">
        <f t="shared" si="94"/>
        <v>0.7</v>
      </c>
      <c r="CD93" s="1">
        <f t="shared" si="95"/>
        <v>1.3</v>
      </c>
      <c r="CE93" s="1" t="str">
        <f t="shared" si="96"/>
        <v>NAN</v>
      </c>
      <c r="CF93" s="1">
        <f t="shared" si="97"/>
        <v>0.42399999999999999</v>
      </c>
      <c r="CG93" s="1">
        <f t="shared" si="98"/>
        <v>0.40300000000000002</v>
      </c>
      <c r="CI93" s="1">
        <f t="shared" si="62"/>
        <v>2880</v>
      </c>
      <c r="CJ93" s="1">
        <f t="shared" si="63"/>
        <v>1.9E-2</v>
      </c>
      <c r="CK93" s="1">
        <f t="shared" si="64"/>
        <v>0</v>
      </c>
      <c r="CL93" s="1">
        <f t="shared" si="65"/>
        <v>0</v>
      </c>
      <c r="CM93" s="1">
        <f t="shared" si="66"/>
        <v>8.0000000000000002E-3</v>
      </c>
      <c r="CN93" s="1">
        <f t="shared" si="67"/>
        <v>0.13</v>
      </c>
      <c r="CO93" s="1">
        <f t="shared" si="68"/>
        <v>0.499</v>
      </c>
      <c r="CP93" s="1">
        <f t="shared" si="69"/>
        <v>0.25900000000000001</v>
      </c>
      <c r="CQ93" s="1">
        <f t="shared" si="70"/>
        <v>8.5999999999999993E-2</v>
      </c>
      <c r="CS93" s="1">
        <f t="shared" si="101"/>
        <v>1.2999999999999998</v>
      </c>
      <c r="CT93" s="1">
        <f t="shared" si="102"/>
        <v>-3.5</v>
      </c>
    </row>
    <row r="94" spans="1:98" x14ac:dyDescent="0.2">
      <c r="A94" s="8">
        <f t="shared" si="99"/>
        <v>43919</v>
      </c>
      <c r="B94" s="1">
        <v>89</v>
      </c>
      <c r="C94" s="1">
        <v>11</v>
      </c>
      <c r="D94" s="2">
        <v>13.01</v>
      </c>
      <c r="E94" s="2">
        <v>0.45800000000000002</v>
      </c>
      <c r="F94" s="2">
        <v>-3.6219999999999999</v>
      </c>
      <c r="G94" s="2">
        <v>-1.0900000000000001</v>
      </c>
      <c r="H94" s="2">
        <v>73.62</v>
      </c>
      <c r="I94" s="2">
        <v>-0.35299999999999998</v>
      </c>
      <c r="J94" s="2">
        <v>-0.86</v>
      </c>
      <c r="K94" s="2">
        <v>4.9000000000000002E-2</v>
      </c>
      <c r="L94" s="2">
        <v>0.748</v>
      </c>
      <c r="M94" s="2">
        <v>1.292</v>
      </c>
      <c r="N94" s="2">
        <v>3.754</v>
      </c>
      <c r="O94" s="2">
        <v>94.6</v>
      </c>
      <c r="P94" s="2">
        <v>-0.26600000000000001</v>
      </c>
      <c r="Q94" s="2">
        <v>-0.77200000000000002</v>
      </c>
      <c r="R94" s="2">
        <v>0.126</v>
      </c>
      <c r="S94" s="2">
        <v>0.82299999999999995</v>
      </c>
      <c r="T94" s="2">
        <v>1.3740000000000001</v>
      </c>
      <c r="U94" s="2">
        <v>-4.08</v>
      </c>
      <c r="V94" s="2">
        <v>45.08</v>
      </c>
      <c r="W94" s="2">
        <v>-0.436</v>
      </c>
      <c r="X94" s="2">
        <v>-0.94299999999999995</v>
      </c>
      <c r="Y94" s="2">
        <v>-2.9000000000000001E-2</v>
      </c>
      <c r="Z94" s="2">
        <v>0.67200000000000004</v>
      </c>
      <c r="AA94" s="2">
        <v>1.2070000000000001</v>
      </c>
      <c r="AB94" s="2">
        <v>1.216</v>
      </c>
      <c r="AC94" s="2">
        <v>0</v>
      </c>
      <c r="AD94" s="2">
        <v>11.4</v>
      </c>
      <c r="AE94" s="2">
        <v>11.02</v>
      </c>
      <c r="AF94" s="2">
        <v>2.024</v>
      </c>
      <c r="AG94" s="2">
        <v>4.97</v>
      </c>
      <c r="AH94" s="2">
        <v>-2.1309999999999998</v>
      </c>
      <c r="AI94" s="2">
        <v>5.7830000000000004</v>
      </c>
      <c r="AJ94" s="2">
        <v>-6.8090000000000002</v>
      </c>
      <c r="AK94" s="2">
        <v>8.19</v>
      </c>
      <c r="AL94" s="2">
        <v>-4.1609999999999996</v>
      </c>
      <c r="AM94" s="2">
        <v>1.2230000000000001</v>
      </c>
      <c r="AN94" s="2" t="s">
        <v>122</v>
      </c>
      <c r="AO94" s="2">
        <v>91</v>
      </c>
      <c r="AP94" s="2">
        <v>11</v>
      </c>
      <c r="AQ94" s="2">
        <v>39</v>
      </c>
      <c r="AR94" s="2">
        <v>96</v>
      </c>
      <c r="AS94" s="2">
        <v>373</v>
      </c>
      <c r="AT94" s="2">
        <v>1117</v>
      </c>
      <c r="AU94" s="2">
        <v>862</v>
      </c>
      <c r="AV94" s="2">
        <v>291</v>
      </c>
      <c r="AW94" s="2"/>
      <c r="AX94" s="1">
        <f t="shared" si="71"/>
        <v>1.3339999999999999</v>
      </c>
      <c r="AY94" s="21">
        <f t="shared" si="72"/>
        <v>-0.4</v>
      </c>
      <c r="AZ94" s="5">
        <v>21</v>
      </c>
      <c r="BA94" s="1">
        <v>11.54</v>
      </c>
      <c r="BB94" s="1">
        <v>10.14</v>
      </c>
      <c r="BC94" s="6">
        <f t="shared" si="100"/>
        <v>0.87868284228769511</v>
      </c>
      <c r="BE94" s="30">
        <v>0</v>
      </c>
      <c r="BF94" s="27">
        <v>1374</v>
      </c>
      <c r="BG94" s="1">
        <f t="shared" si="73"/>
        <v>94.6</v>
      </c>
      <c r="BH94" s="1">
        <f t="shared" si="74"/>
        <v>73.599999999999994</v>
      </c>
      <c r="BI94" s="1">
        <f t="shared" si="75"/>
        <v>45.1</v>
      </c>
      <c r="BJ94" s="7">
        <f t="shared" si="76"/>
        <v>0.36</v>
      </c>
      <c r="BK94" s="7">
        <f t="shared" si="77"/>
        <v>0.438</v>
      </c>
      <c r="BM94" s="5">
        <f t="shared" si="78"/>
        <v>11.54</v>
      </c>
      <c r="BN94" s="5">
        <f t="shared" si="79"/>
        <v>10.14</v>
      </c>
      <c r="BO94" s="1">
        <f t="shared" si="80"/>
        <v>-1.1000000000000001</v>
      </c>
      <c r="BP94" s="1">
        <f t="shared" si="81"/>
        <v>3.8</v>
      </c>
      <c r="BQ94" s="1">
        <f t="shared" si="82"/>
        <v>-4.0999999999999996</v>
      </c>
      <c r="BR94" s="1">
        <f t="shared" si="83"/>
        <v>73.599999999999994</v>
      </c>
      <c r="BS94" s="1">
        <f t="shared" si="84"/>
        <v>45.1</v>
      </c>
      <c r="BT94" s="1">
        <f t="shared" si="85"/>
        <v>2</v>
      </c>
      <c r="BU94" s="1">
        <f t="shared" si="86"/>
        <v>5</v>
      </c>
      <c r="BV94" s="33">
        <f t="shared" si="87"/>
        <v>0</v>
      </c>
      <c r="BW94" s="34">
        <f t="shared" si="88"/>
        <v>1.3740000000000001</v>
      </c>
      <c r="BX94" s="20">
        <f t="shared" si="89"/>
        <v>-0.4</v>
      </c>
      <c r="BY94" s="1">
        <f t="shared" si="90"/>
        <v>-2.1</v>
      </c>
      <c r="BZ94" s="1">
        <f t="shared" si="91"/>
        <v>5.8</v>
      </c>
      <c r="CA94" s="1">
        <f t="shared" si="92"/>
        <v>-6.8</v>
      </c>
      <c r="CB94" s="1">
        <f t="shared" si="93"/>
        <v>0</v>
      </c>
      <c r="CC94" s="1">
        <f t="shared" si="94"/>
        <v>0.7</v>
      </c>
      <c r="CD94" s="1">
        <f t="shared" si="95"/>
        <v>1.3</v>
      </c>
      <c r="CE94" s="1" t="str">
        <f t="shared" si="96"/>
        <v>NAN</v>
      </c>
      <c r="CF94" s="1">
        <f t="shared" si="97"/>
        <v>0.36</v>
      </c>
      <c r="CG94" s="1">
        <f t="shared" si="98"/>
        <v>0.438</v>
      </c>
      <c r="CI94" s="1">
        <f t="shared" si="62"/>
        <v>2880</v>
      </c>
      <c r="CJ94" s="1">
        <f t="shared" si="63"/>
        <v>3.2000000000000001E-2</v>
      </c>
      <c r="CK94" s="1">
        <f t="shared" si="64"/>
        <v>4.0000000000000001E-3</v>
      </c>
      <c r="CL94" s="1">
        <f t="shared" si="65"/>
        <v>1.4E-2</v>
      </c>
      <c r="CM94" s="1">
        <f t="shared" si="66"/>
        <v>3.3000000000000002E-2</v>
      </c>
      <c r="CN94" s="1">
        <f t="shared" si="67"/>
        <v>0.13</v>
      </c>
      <c r="CO94" s="1">
        <f t="shared" si="68"/>
        <v>0.38800000000000001</v>
      </c>
      <c r="CP94" s="1">
        <f t="shared" si="69"/>
        <v>0.29899999999999999</v>
      </c>
      <c r="CQ94" s="1">
        <f t="shared" si="70"/>
        <v>0.10100000000000001</v>
      </c>
      <c r="CS94" s="1">
        <f t="shared" si="101"/>
        <v>2</v>
      </c>
      <c r="CT94" s="1">
        <f t="shared" si="102"/>
        <v>-2.7</v>
      </c>
    </row>
    <row r="95" spans="1:98" x14ac:dyDescent="0.2">
      <c r="A95" s="8">
        <f t="shared" si="99"/>
        <v>43920</v>
      </c>
      <c r="B95" s="1">
        <v>90</v>
      </c>
      <c r="C95" s="1">
        <v>11</v>
      </c>
      <c r="D95" s="2">
        <v>13.01</v>
      </c>
      <c r="E95" s="2">
        <v>-2.2480000000000002</v>
      </c>
      <c r="F95" s="2">
        <v>-6.2039999999999997</v>
      </c>
      <c r="G95" s="2">
        <v>-4.6239999999999997</v>
      </c>
      <c r="H95" s="2">
        <v>73.650000000000006</v>
      </c>
      <c r="I95" s="2">
        <v>-0.35799999999999998</v>
      </c>
      <c r="J95" s="2">
        <v>-0.84699999999999998</v>
      </c>
      <c r="K95" s="2">
        <v>3.6999999999999998E-2</v>
      </c>
      <c r="L95" s="2">
        <v>0.73499999999999999</v>
      </c>
      <c r="M95" s="2">
        <v>1.274</v>
      </c>
      <c r="N95" s="2">
        <v>-1.127</v>
      </c>
      <c r="O95" s="2">
        <v>93.7</v>
      </c>
      <c r="P95" s="2">
        <v>-0.27700000000000002</v>
      </c>
      <c r="Q95" s="2">
        <v>-0.76200000000000001</v>
      </c>
      <c r="R95" s="2">
        <v>0.114</v>
      </c>
      <c r="S95" s="2">
        <v>0.81399999999999995</v>
      </c>
      <c r="T95" s="2">
        <v>1.341</v>
      </c>
      <c r="U95" s="2">
        <v>-8.27</v>
      </c>
      <c r="V95" s="2">
        <v>46.24</v>
      </c>
      <c r="W95" s="2">
        <v>-0.46600000000000003</v>
      </c>
      <c r="X95" s="2">
        <v>-0.93500000000000005</v>
      </c>
      <c r="Y95" s="2">
        <v>-7.0999999999999994E-2</v>
      </c>
      <c r="Z95" s="2">
        <v>0.626</v>
      </c>
      <c r="AA95" s="2">
        <v>1.181</v>
      </c>
      <c r="AB95" s="2">
        <v>1.1659999999999999</v>
      </c>
      <c r="AC95" s="2">
        <v>0</v>
      </c>
      <c r="AD95" s="2">
        <v>9.3000000000000007</v>
      </c>
      <c r="AE95" s="2">
        <v>9.2899999999999991</v>
      </c>
      <c r="AF95" s="2">
        <v>2.35</v>
      </c>
      <c r="AG95" s="2">
        <v>6.2050000000000001</v>
      </c>
      <c r="AH95" s="2">
        <v>-5.9820000000000002</v>
      </c>
      <c r="AI95" s="2">
        <v>2.302</v>
      </c>
      <c r="AJ95" s="2">
        <v>-12.02</v>
      </c>
      <c r="AK95" s="2">
        <v>3.2879999999999998</v>
      </c>
      <c r="AL95" s="2">
        <v>-8.2799999999999994</v>
      </c>
      <c r="AM95" s="2">
        <v>1.1830000000000001</v>
      </c>
      <c r="AN95" s="2" t="s">
        <v>122</v>
      </c>
      <c r="AO95" s="2">
        <v>193</v>
      </c>
      <c r="AP95" s="2">
        <v>60</v>
      </c>
      <c r="AQ95" s="2">
        <v>188</v>
      </c>
      <c r="AR95" s="2">
        <v>61</v>
      </c>
      <c r="AS95" s="2">
        <v>342</v>
      </c>
      <c r="AT95" s="2">
        <v>740</v>
      </c>
      <c r="AU95" s="2">
        <v>673</v>
      </c>
      <c r="AV95" s="2">
        <v>623</v>
      </c>
      <c r="AW95" s="2"/>
      <c r="AX95" s="1">
        <f t="shared" si="71"/>
        <v>1.3839999999999999</v>
      </c>
      <c r="AY95" s="21">
        <f t="shared" si="72"/>
        <v>-0.4</v>
      </c>
      <c r="AZ95" s="5">
        <v>21.27</v>
      </c>
      <c r="BA95" s="1">
        <v>9.35</v>
      </c>
      <c r="BB95" s="1">
        <v>8.5399999999999991</v>
      </c>
      <c r="BC95" s="6">
        <f t="shared" si="100"/>
        <v>0.91336898395721922</v>
      </c>
      <c r="BE95" s="30">
        <v>6.7</v>
      </c>
      <c r="BF95" s="27">
        <v>1424</v>
      </c>
      <c r="BG95" s="1">
        <f t="shared" si="73"/>
        <v>93.7</v>
      </c>
      <c r="BH95" s="1">
        <f t="shared" si="74"/>
        <v>73.7</v>
      </c>
      <c r="BI95" s="1">
        <f t="shared" si="75"/>
        <v>46.2</v>
      </c>
      <c r="BJ95" s="7">
        <f t="shared" si="76"/>
        <v>0.26</v>
      </c>
      <c r="BK95" s="7">
        <f t="shared" si="77"/>
        <v>0.30299999999999999</v>
      </c>
      <c r="BM95" s="5">
        <f t="shared" si="78"/>
        <v>9.35</v>
      </c>
      <c r="BN95" s="5">
        <f t="shared" si="79"/>
        <v>8.5399999999999991</v>
      </c>
      <c r="BO95" s="1">
        <f t="shared" si="80"/>
        <v>-4.5999999999999996</v>
      </c>
      <c r="BP95" s="1">
        <f t="shared" si="81"/>
        <v>-1.1000000000000001</v>
      </c>
      <c r="BQ95" s="1">
        <f t="shared" si="82"/>
        <v>-8.3000000000000007</v>
      </c>
      <c r="BR95" s="1">
        <f t="shared" si="83"/>
        <v>73.7</v>
      </c>
      <c r="BS95" s="1">
        <f t="shared" si="84"/>
        <v>46.2</v>
      </c>
      <c r="BT95" s="1">
        <f t="shared" si="85"/>
        <v>2.4</v>
      </c>
      <c r="BU95" s="1">
        <f t="shared" si="86"/>
        <v>6.2</v>
      </c>
      <c r="BV95" s="33">
        <f t="shared" si="87"/>
        <v>6.7</v>
      </c>
      <c r="BW95" s="34">
        <f t="shared" si="88"/>
        <v>1.4239999999999999</v>
      </c>
      <c r="BX95" s="20">
        <f t="shared" si="89"/>
        <v>-0.4</v>
      </c>
      <c r="BY95" s="1">
        <f t="shared" si="90"/>
        <v>-6</v>
      </c>
      <c r="BZ95" s="1">
        <f t="shared" si="91"/>
        <v>2.2999999999999998</v>
      </c>
      <c r="CA95" s="1">
        <f t="shared" si="92"/>
        <v>-12</v>
      </c>
      <c r="CB95" s="1">
        <f t="shared" si="93"/>
        <v>0</v>
      </c>
      <c r="CC95" s="1">
        <f t="shared" si="94"/>
        <v>0.7</v>
      </c>
      <c r="CD95" s="1">
        <f t="shared" si="95"/>
        <v>1.3</v>
      </c>
      <c r="CE95" s="1" t="str">
        <f t="shared" si="96"/>
        <v>NAN</v>
      </c>
      <c r="CF95" s="1">
        <f t="shared" si="97"/>
        <v>0.26</v>
      </c>
      <c r="CG95" s="1">
        <f t="shared" si="98"/>
        <v>0.30299999999999999</v>
      </c>
      <c r="CI95" s="1">
        <f t="shared" si="62"/>
        <v>2880</v>
      </c>
      <c r="CJ95" s="1">
        <f t="shared" si="63"/>
        <v>6.7000000000000004E-2</v>
      </c>
      <c r="CK95" s="1">
        <f t="shared" si="64"/>
        <v>2.1000000000000001E-2</v>
      </c>
      <c r="CL95" s="1">
        <f t="shared" si="65"/>
        <v>6.5000000000000002E-2</v>
      </c>
      <c r="CM95" s="1">
        <f t="shared" si="66"/>
        <v>2.1000000000000001E-2</v>
      </c>
      <c r="CN95" s="1">
        <f t="shared" si="67"/>
        <v>0.11899999999999999</v>
      </c>
      <c r="CO95" s="1">
        <f t="shared" si="68"/>
        <v>0.25700000000000001</v>
      </c>
      <c r="CP95" s="1">
        <f t="shared" si="69"/>
        <v>0.23400000000000001</v>
      </c>
      <c r="CQ95" s="1">
        <f t="shared" si="70"/>
        <v>0.216</v>
      </c>
      <c r="CS95" s="1">
        <f t="shared" si="101"/>
        <v>3.4</v>
      </c>
      <c r="CT95" s="1">
        <f t="shared" si="102"/>
        <v>-3.6999999999999993</v>
      </c>
    </row>
    <row r="96" spans="1:98" x14ac:dyDescent="0.2">
      <c r="A96" s="8">
        <f t="shared" si="99"/>
        <v>43921</v>
      </c>
      <c r="B96" s="1">
        <v>91</v>
      </c>
      <c r="C96" s="1">
        <v>11</v>
      </c>
      <c r="D96" s="2">
        <v>13.01</v>
      </c>
      <c r="E96" s="2">
        <v>-3.2130000000000001</v>
      </c>
      <c r="F96" s="2">
        <v>-7.7270000000000003</v>
      </c>
      <c r="G96" s="2">
        <v>-7.0149999999999997</v>
      </c>
      <c r="H96" s="2">
        <v>77.31</v>
      </c>
      <c r="I96" s="2">
        <v>-0.35299999999999998</v>
      </c>
      <c r="J96" s="2">
        <v>-0.81</v>
      </c>
      <c r="K96" s="2">
        <v>0.03</v>
      </c>
      <c r="L96" s="2">
        <v>0.72399999999999998</v>
      </c>
      <c r="M96" s="2">
        <v>1.2629999999999999</v>
      </c>
      <c r="N96" s="2">
        <v>-0.74199999999999999</v>
      </c>
      <c r="O96" s="2">
        <v>91.4</v>
      </c>
      <c r="P96" s="2">
        <v>-0.27300000000000002</v>
      </c>
      <c r="Q96" s="2">
        <v>-0.71099999999999997</v>
      </c>
      <c r="R96" s="2">
        <v>0.11700000000000001</v>
      </c>
      <c r="S96" s="2">
        <v>0.79900000000000004</v>
      </c>
      <c r="T96" s="2">
        <v>1.34</v>
      </c>
      <c r="U96" s="2">
        <v>-10.89</v>
      </c>
      <c r="V96" s="2">
        <v>43.1</v>
      </c>
      <c r="W96" s="2">
        <v>-0.45500000000000002</v>
      </c>
      <c r="X96" s="2">
        <v>-0.89700000000000002</v>
      </c>
      <c r="Y96" s="2">
        <v>-6.5000000000000002E-2</v>
      </c>
      <c r="Z96" s="2">
        <v>0.63100000000000001</v>
      </c>
      <c r="AA96" s="2">
        <v>1.1619999999999999</v>
      </c>
      <c r="AB96" s="2">
        <v>1.1859999999999999</v>
      </c>
      <c r="AC96" s="2">
        <v>0</v>
      </c>
      <c r="AD96" s="2">
        <v>11.27</v>
      </c>
      <c r="AE96" s="2">
        <v>10.96</v>
      </c>
      <c r="AF96" s="2">
        <v>1.169</v>
      </c>
      <c r="AG96" s="2">
        <v>3.823</v>
      </c>
      <c r="AH96" s="2">
        <v>-8.6199999999999992</v>
      </c>
      <c r="AI96" s="2">
        <v>4.8159999999999998</v>
      </c>
      <c r="AJ96" s="2">
        <v>-14.08</v>
      </c>
      <c r="AK96" s="2">
        <v>5.234</v>
      </c>
      <c r="AL96" s="2">
        <v>-10.75</v>
      </c>
      <c r="AM96" s="2">
        <v>1.2090000000000001</v>
      </c>
      <c r="AN96" s="2" t="s">
        <v>122</v>
      </c>
      <c r="AO96" s="2">
        <v>737</v>
      </c>
      <c r="AP96" s="2">
        <v>929</v>
      </c>
      <c r="AQ96" s="2">
        <v>645</v>
      </c>
      <c r="AR96" s="2">
        <v>55</v>
      </c>
      <c r="AS96" s="2">
        <v>12</v>
      </c>
      <c r="AT96" s="2">
        <v>27</v>
      </c>
      <c r="AU96" s="2">
        <v>96</v>
      </c>
      <c r="AV96" s="2">
        <v>379</v>
      </c>
      <c r="AW96" s="2"/>
      <c r="AX96" s="1">
        <f t="shared" si="71"/>
        <v>1.3639999999999999</v>
      </c>
      <c r="AY96" s="21">
        <f t="shared" si="72"/>
        <v>-0.4</v>
      </c>
      <c r="AZ96" s="5">
        <v>21.52</v>
      </c>
      <c r="BA96" s="1">
        <v>11.3</v>
      </c>
      <c r="BB96" s="1">
        <v>10.08</v>
      </c>
      <c r="BC96" s="6">
        <f t="shared" si="100"/>
        <v>0.89203539823008848</v>
      </c>
      <c r="BE96" s="30">
        <v>0</v>
      </c>
      <c r="BF96" s="27">
        <v>1404</v>
      </c>
      <c r="BG96" s="1">
        <f t="shared" si="73"/>
        <v>91.4</v>
      </c>
      <c r="BH96" s="1">
        <f t="shared" si="74"/>
        <v>77.3</v>
      </c>
      <c r="BI96" s="1">
        <f t="shared" si="75"/>
        <v>43.1</v>
      </c>
      <c r="BJ96" s="7">
        <f t="shared" si="76"/>
        <v>0.249</v>
      </c>
      <c r="BK96" s="7">
        <f t="shared" si="77"/>
        <v>0.32900000000000001</v>
      </c>
      <c r="BM96" s="5">
        <f t="shared" si="78"/>
        <v>11.3</v>
      </c>
      <c r="BN96" s="5">
        <f t="shared" si="79"/>
        <v>10.08</v>
      </c>
      <c r="BO96" s="1">
        <f t="shared" si="80"/>
        <v>-7</v>
      </c>
      <c r="BP96" s="1">
        <f t="shared" si="81"/>
        <v>-0.7</v>
      </c>
      <c r="BQ96" s="1">
        <f t="shared" si="82"/>
        <v>-10.9</v>
      </c>
      <c r="BR96" s="1">
        <f t="shared" si="83"/>
        <v>77.3</v>
      </c>
      <c r="BS96" s="1">
        <f t="shared" si="84"/>
        <v>43.1</v>
      </c>
      <c r="BT96" s="1">
        <f t="shared" si="85"/>
        <v>1.2</v>
      </c>
      <c r="BU96" s="1">
        <f t="shared" si="86"/>
        <v>3.8</v>
      </c>
      <c r="BV96" s="33">
        <f t="shared" si="87"/>
        <v>0</v>
      </c>
      <c r="BW96" s="34">
        <f t="shared" si="88"/>
        <v>1.4039999999999999</v>
      </c>
      <c r="BX96" s="20">
        <f t="shared" si="89"/>
        <v>-0.4</v>
      </c>
      <c r="BY96" s="1">
        <f t="shared" si="90"/>
        <v>-8.6</v>
      </c>
      <c r="BZ96" s="1">
        <f t="shared" si="91"/>
        <v>4.8</v>
      </c>
      <c r="CA96" s="1">
        <f t="shared" si="92"/>
        <v>-14.1</v>
      </c>
      <c r="CB96" s="1">
        <f t="shared" si="93"/>
        <v>0</v>
      </c>
      <c r="CC96" s="1">
        <f t="shared" si="94"/>
        <v>0.7</v>
      </c>
      <c r="CD96" s="1">
        <f t="shared" si="95"/>
        <v>1.3</v>
      </c>
      <c r="CE96" s="1" t="str">
        <f t="shared" si="96"/>
        <v>NAN</v>
      </c>
      <c r="CF96" s="1">
        <f t="shared" si="97"/>
        <v>0.249</v>
      </c>
      <c r="CG96" s="1">
        <f t="shared" si="98"/>
        <v>0.32900000000000001</v>
      </c>
      <c r="CI96" s="1">
        <f t="shared" si="62"/>
        <v>2880</v>
      </c>
      <c r="CJ96" s="1">
        <f t="shared" si="63"/>
        <v>0.25600000000000001</v>
      </c>
      <c r="CK96" s="1">
        <f t="shared" si="64"/>
        <v>0.32300000000000001</v>
      </c>
      <c r="CL96" s="1">
        <f t="shared" si="65"/>
        <v>0.224</v>
      </c>
      <c r="CM96" s="1">
        <f t="shared" si="66"/>
        <v>1.9E-2</v>
      </c>
      <c r="CN96" s="1">
        <f t="shared" si="67"/>
        <v>4.0000000000000001E-3</v>
      </c>
      <c r="CO96" s="1">
        <f t="shared" si="68"/>
        <v>8.9999999999999993E-3</v>
      </c>
      <c r="CP96" s="1">
        <f t="shared" si="69"/>
        <v>3.3000000000000002E-2</v>
      </c>
      <c r="CQ96" s="1">
        <f t="shared" si="70"/>
        <v>0.13200000000000001</v>
      </c>
      <c r="CS96" s="1">
        <f t="shared" si="101"/>
        <v>5.5</v>
      </c>
      <c r="CT96" s="1">
        <f t="shared" si="102"/>
        <v>-3.1999999999999993</v>
      </c>
    </row>
    <row r="97" spans="1:98" x14ac:dyDescent="0.2">
      <c r="A97" s="8">
        <f t="shared" si="99"/>
        <v>43922</v>
      </c>
      <c r="B97" s="1">
        <v>92</v>
      </c>
      <c r="C97" s="1">
        <v>11</v>
      </c>
      <c r="D97" s="2">
        <v>13</v>
      </c>
      <c r="E97" s="2">
        <v>-5.3949999999999996</v>
      </c>
      <c r="F97" s="2">
        <v>-11.09</v>
      </c>
      <c r="G97" s="2">
        <v>-11.37</v>
      </c>
      <c r="H97" s="2">
        <v>76.05</v>
      </c>
      <c r="I97" s="2">
        <v>-0.35399999999999998</v>
      </c>
      <c r="J97" s="2">
        <v>-0.78700000000000003</v>
      </c>
      <c r="K97" s="2">
        <v>5.0000000000000001E-3</v>
      </c>
      <c r="L97" s="2">
        <v>0.69699999999999995</v>
      </c>
      <c r="M97" s="2">
        <v>1.238</v>
      </c>
      <c r="N97" s="2">
        <v>-6.2389999999999999</v>
      </c>
      <c r="O97" s="2">
        <v>91.4</v>
      </c>
      <c r="P97" s="2">
        <v>-0.26300000000000001</v>
      </c>
      <c r="Q97" s="2">
        <v>-0.69499999999999995</v>
      </c>
      <c r="R97" s="2">
        <v>8.6999999999999994E-2</v>
      </c>
      <c r="S97" s="2">
        <v>0.78700000000000003</v>
      </c>
      <c r="T97" s="2">
        <v>1.3169999999999999</v>
      </c>
      <c r="U97" s="2">
        <v>-15.8</v>
      </c>
      <c r="V97" s="2">
        <v>50.47</v>
      </c>
      <c r="W97" s="2">
        <v>-0.49299999999999999</v>
      </c>
      <c r="X97" s="2">
        <v>-0.89600000000000002</v>
      </c>
      <c r="Y97" s="2">
        <v>-0.11</v>
      </c>
      <c r="Z97" s="2">
        <v>0.58699999999999997</v>
      </c>
      <c r="AA97" s="2">
        <v>1.1519999999999999</v>
      </c>
      <c r="AB97" s="2">
        <v>1.1719999999999999</v>
      </c>
      <c r="AC97" s="2">
        <v>0</v>
      </c>
      <c r="AD97" s="2">
        <v>17.78</v>
      </c>
      <c r="AE97" s="2">
        <v>17.54</v>
      </c>
      <c r="AF97" s="2">
        <v>2.0939999999999999</v>
      </c>
      <c r="AG97" s="2">
        <v>4.6870000000000003</v>
      </c>
      <c r="AH97" s="2">
        <v>-11.83</v>
      </c>
      <c r="AI97" s="2">
        <v>-1.5609999999999999</v>
      </c>
      <c r="AJ97" s="2">
        <v>-20.51</v>
      </c>
      <c r="AK97" s="2">
        <v>-0.43</v>
      </c>
      <c r="AL97" s="2">
        <v>-15.79</v>
      </c>
      <c r="AM97" s="2">
        <v>1.2070000000000001</v>
      </c>
      <c r="AN97" s="2" t="s">
        <v>122</v>
      </c>
      <c r="AO97" s="2">
        <v>522</v>
      </c>
      <c r="AP97" s="2">
        <v>1560</v>
      </c>
      <c r="AQ97" s="2">
        <v>490</v>
      </c>
      <c r="AR97" s="2">
        <v>68</v>
      </c>
      <c r="AS97" s="2">
        <v>24</v>
      </c>
      <c r="AT97" s="2">
        <v>33</v>
      </c>
      <c r="AU97" s="2">
        <v>37</v>
      </c>
      <c r="AV97" s="2">
        <v>146</v>
      </c>
      <c r="AW97" s="2"/>
      <c r="AX97" s="1">
        <f t="shared" si="71"/>
        <v>1.3779999999999999</v>
      </c>
      <c r="AY97" s="21">
        <f t="shared" si="72"/>
        <v>-0.4</v>
      </c>
      <c r="AZ97" s="5">
        <v>21.78</v>
      </c>
      <c r="BA97" s="1">
        <v>17.78</v>
      </c>
      <c r="BB97" s="1">
        <v>16.14</v>
      </c>
      <c r="BC97" s="6">
        <f t="shared" si="100"/>
        <v>0.90776152980877389</v>
      </c>
      <c r="BE97" s="30">
        <v>0</v>
      </c>
      <c r="BF97" s="27">
        <v>1403</v>
      </c>
      <c r="BG97" s="1">
        <f t="shared" si="73"/>
        <v>91.4</v>
      </c>
      <c r="BH97" s="1">
        <f t="shared" si="74"/>
        <v>76.099999999999994</v>
      </c>
      <c r="BI97" s="1">
        <f t="shared" si="75"/>
        <v>50.5</v>
      </c>
      <c r="BJ97" s="7">
        <f t="shared" si="76"/>
        <v>0.193</v>
      </c>
      <c r="BK97" s="7">
        <f t="shared" si="77"/>
        <v>0.189</v>
      </c>
      <c r="BM97" s="5">
        <f t="shared" si="78"/>
        <v>17.78</v>
      </c>
      <c r="BN97" s="5">
        <f t="shared" si="79"/>
        <v>16.14</v>
      </c>
      <c r="BO97" s="1">
        <f t="shared" si="80"/>
        <v>-11.4</v>
      </c>
      <c r="BP97" s="1">
        <f t="shared" si="81"/>
        <v>-6.2</v>
      </c>
      <c r="BQ97" s="1">
        <f t="shared" si="82"/>
        <v>-15.8</v>
      </c>
      <c r="BR97" s="1">
        <f t="shared" si="83"/>
        <v>76.099999999999994</v>
      </c>
      <c r="BS97" s="1">
        <f t="shared" si="84"/>
        <v>50.5</v>
      </c>
      <c r="BT97" s="1">
        <f t="shared" si="85"/>
        <v>2.1</v>
      </c>
      <c r="BU97" s="1">
        <f t="shared" si="86"/>
        <v>4.7</v>
      </c>
      <c r="BV97" s="33">
        <f t="shared" si="87"/>
        <v>0</v>
      </c>
      <c r="BW97" s="34">
        <f t="shared" si="88"/>
        <v>1.403</v>
      </c>
      <c r="BX97" s="20">
        <f t="shared" si="89"/>
        <v>-0.4</v>
      </c>
      <c r="BY97" s="1">
        <f t="shared" si="90"/>
        <v>-11.8</v>
      </c>
      <c r="BZ97" s="1">
        <f t="shared" si="91"/>
        <v>-1.6</v>
      </c>
      <c r="CA97" s="1">
        <f t="shared" si="92"/>
        <v>-20.5</v>
      </c>
      <c r="CB97" s="1">
        <f t="shared" si="93"/>
        <v>0</v>
      </c>
      <c r="CC97" s="1">
        <f t="shared" si="94"/>
        <v>0.7</v>
      </c>
      <c r="CD97" s="1">
        <f t="shared" si="95"/>
        <v>1.2</v>
      </c>
      <c r="CE97" s="1" t="str">
        <f t="shared" si="96"/>
        <v>NAN</v>
      </c>
      <c r="CF97" s="1">
        <f t="shared" si="97"/>
        <v>0.193</v>
      </c>
      <c r="CG97" s="1">
        <f t="shared" si="98"/>
        <v>0.189</v>
      </c>
      <c r="CI97" s="1">
        <f t="shared" si="62"/>
        <v>2880</v>
      </c>
      <c r="CJ97" s="1">
        <f t="shared" si="63"/>
        <v>0.18099999999999999</v>
      </c>
      <c r="CK97" s="1">
        <f t="shared" si="64"/>
        <v>0.54200000000000004</v>
      </c>
      <c r="CL97" s="1">
        <f t="shared" si="65"/>
        <v>0.17</v>
      </c>
      <c r="CM97" s="1">
        <f t="shared" si="66"/>
        <v>2.4E-2</v>
      </c>
      <c r="CN97" s="1">
        <f t="shared" si="67"/>
        <v>8.0000000000000002E-3</v>
      </c>
      <c r="CO97" s="1">
        <f t="shared" si="68"/>
        <v>1.0999999999999999E-2</v>
      </c>
      <c r="CP97" s="1">
        <f t="shared" si="69"/>
        <v>1.2999999999999999E-2</v>
      </c>
      <c r="CQ97" s="1">
        <f t="shared" si="70"/>
        <v>5.0999999999999997E-2</v>
      </c>
      <c r="CS97" s="1">
        <f t="shared" si="101"/>
        <v>4.5999999999999996</v>
      </c>
      <c r="CT97" s="1">
        <f t="shared" si="102"/>
        <v>-4.6999999999999993</v>
      </c>
    </row>
    <row r="98" spans="1:98" x14ac:dyDescent="0.2">
      <c r="A98" s="8">
        <f t="shared" si="99"/>
        <v>43923</v>
      </c>
      <c r="B98" s="1">
        <v>93</v>
      </c>
      <c r="C98" s="1">
        <v>11</v>
      </c>
      <c r="D98" s="2">
        <v>12.99</v>
      </c>
      <c r="E98" s="2">
        <v>-5.1779999999999999</v>
      </c>
      <c r="F98" s="2">
        <v>-13.47</v>
      </c>
      <c r="G98" s="2">
        <v>-9.4700000000000006</v>
      </c>
      <c r="H98" s="2">
        <v>69.989999999999995</v>
      </c>
      <c r="I98" s="2">
        <v>-0.34699999999999998</v>
      </c>
      <c r="J98" s="2">
        <v>-0.77300000000000002</v>
      </c>
      <c r="K98" s="2">
        <v>5.0000000000000001E-3</v>
      </c>
      <c r="L98" s="2">
        <v>0.69499999999999995</v>
      </c>
      <c r="M98" s="2">
        <v>1.2330000000000001</v>
      </c>
      <c r="N98" s="2">
        <v>-1.9239999999999999</v>
      </c>
      <c r="O98" s="2">
        <v>91</v>
      </c>
      <c r="P98" s="2">
        <v>-0.24399999999999999</v>
      </c>
      <c r="Q98" s="2">
        <v>-0.69099999999999995</v>
      </c>
      <c r="R98" s="2">
        <v>0.08</v>
      </c>
      <c r="S98" s="2">
        <v>0.77100000000000002</v>
      </c>
      <c r="T98" s="2">
        <v>1.321</v>
      </c>
      <c r="U98" s="2">
        <v>-17.16</v>
      </c>
      <c r="V98" s="2">
        <v>32.69</v>
      </c>
      <c r="W98" s="2">
        <v>-0.49099999999999999</v>
      </c>
      <c r="X98" s="2">
        <v>-0.89200000000000002</v>
      </c>
      <c r="Y98" s="2">
        <v>-0.108</v>
      </c>
      <c r="Z98" s="2">
        <v>0.58299999999999996</v>
      </c>
      <c r="AA98" s="2">
        <v>1.135</v>
      </c>
      <c r="AB98" s="2">
        <v>1.1819999999999999</v>
      </c>
      <c r="AC98" s="2">
        <v>0</v>
      </c>
      <c r="AD98" s="2">
        <v>16.14</v>
      </c>
      <c r="AE98" s="2">
        <v>15.4</v>
      </c>
      <c r="AF98" s="2">
        <v>1.2889999999999999</v>
      </c>
      <c r="AG98" s="2">
        <v>5.12</v>
      </c>
      <c r="AH98" s="2">
        <v>-10.89</v>
      </c>
      <c r="AI98" s="2">
        <v>1.42</v>
      </c>
      <c r="AJ98" s="2">
        <v>-22.38</v>
      </c>
      <c r="AK98" s="2">
        <v>3.9740000000000002</v>
      </c>
      <c r="AL98" s="2">
        <v>-17.420000000000002</v>
      </c>
      <c r="AM98" s="2">
        <v>1.2010000000000001</v>
      </c>
      <c r="AN98" s="2" t="s">
        <v>122</v>
      </c>
      <c r="AO98" s="2">
        <v>396</v>
      </c>
      <c r="AP98" s="2">
        <v>630</v>
      </c>
      <c r="AQ98" s="2">
        <v>267</v>
      </c>
      <c r="AR98" s="2">
        <v>74</v>
      </c>
      <c r="AS98" s="2">
        <v>52</v>
      </c>
      <c r="AT98" s="2">
        <v>230</v>
      </c>
      <c r="AU98" s="2">
        <v>633</v>
      </c>
      <c r="AV98" s="2">
        <v>598</v>
      </c>
      <c r="AW98" s="2"/>
      <c r="AX98" s="1">
        <f t="shared" si="71"/>
        <v>1.3679999999999999</v>
      </c>
      <c r="AY98" s="21">
        <f t="shared" si="72"/>
        <v>-0.4</v>
      </c>
      <c r="AZ98" s="5">
        <v>22.03</v>
      </c>
      <c r="BA98" s="1">
        <v>16.14</v>
      </c>
      <c r="BB98" s="1">
        <v>14.17</v>
      </c>
      <c r="BC98" s="6">
        <f t="shared" si="100"/>
        <v>0.87794299876084259</v>
      </c>
      <c r="BE98" s="30">
        <v>1.4</v>
      </c>
      <c r="BF98" s="27">
        <v>1417</v>
      </c>
      <c r="BG98" s="1">
        <f t="shared" si="73"/>
        <v>91</v>
      </c>
      <c r="BH98" s="1">
        <f t="shared" si="74"/>
        <v>70</v>
      </c>
      <c r="BI98" s="1">
        <f t="shared" si="75"/>
        <v>32.700000000000003</v>
      </c>
      <c r="BJ98" s="7">
        <f t="shared" si="76"/>
        <v>0.17299999999999999</v>
      </c>
      <c r="BK98" s="7">
        <f t="shared" si="77"/>
        <v>0.35599999999999998</v>
      </c>
      <c r="BM98" s="5">
        <f t="shared" si="78"/>
        <v>16.14</v>
      </c>
      <c r="BN98" s="5">
        <f t="shared" si="79"/>
        <v>14.17</v>
      </c>
      <c r="BO98" s="1">
        <f t="shared" si="80"/>
        <v>-9.5</v>
      </c>
      <c r="BP98" s="1">
        <f t="shared" si="81"/>
        <v>-1.9</v>
      </c>
      <c r="BQ98" s="1">
        <f t="shared" si="82"/>
        <v>-17.2</v>
      </c>
      <c r="BR98" s="1">
        <f t="shared" si="83"/>
        <v>70</v>
      </c>
      <c r="BS98" s="1">
        <f t="shared" si="84"/>
        <v>32.700000000000003</v>
      </c>
      <c r="BT98" s="1">
        <f t="shared" si="85"/>
        <v>1.3</v>
      </c>
      <c r="BU98" s="1">
        <f t="shared" si="86"/>
        <v>5.0999999999999996</v>
      </c>
      <c r="BV98" s="33">
        <f t="shared" si="87"/>
        <v>1.4</v>
      </c>
      <c r="BW98" s="34">
        <f t="shared" si="88"/>
        <v>1.417</v>
      </c>
      <c r="BX98" s="20">
        <f t="shared" si="89"/>
        <v>-0.4</v>
      </c>
      <c r="BY98" s="1">
        <f t="shared" si="90"/>
        <v>-10.9</v>
      </c>
      <c r="BZ98" s="1">
        <f t="shared" si="91"/>
        <v>1.4</v>
      </c>
      <c r="CA98" s="1">
        <f t="shared" si="92"/>
        <v>-22.4</v>
      </c>
      <c r="CB98" s="1">
        <f t="shared" si="93"/>
        <v>0</v>
      </c>
      <c r="CC98" s="1">
        <f t="shared" si="94"/>
        <v>0.7</v>
      </c>
      <c r="CD98" s="1">
        <f t="shared" si="95"/>
        <v>1.2</v>
      </c>
      <c r="CE98" s="1" t="str">
        <f t="shared" si="96"/>
        <v>NAN</v>
      </c>
      <c r="CF98" s="1">
        <f t="shared" si="97"/>
        <v>0.17299999999999999</v>
      </c>
      <c r="CG98" s="1">
        <f t="shared" si="98"/>
        <v>0.35599999999999998</v>
      </c>
      <c r="CI98" s="1">
        <f t="shared" si="62"/>
        <v>2880</v>
      </c>
      <c r="CJ98" s="1">
        <f t="shared" si="63"/>
        <v>0.13800000000000001</v>
      </c>
      <c r="CK98" s="1">
        <f t="shared" si="64"/>
        <v>0.219</v>
      </c>
      <c r="CL98" s="1">
        <f t="shared" si="65"/>
        <v>9.2999999999999999E-2</v>
      </c>
      <c r="CM98" s="1">
        <f t="shared" si="66"/>
        <v>2.5999999999999999E-2</v>
      </c>
      <c r="CN98" s="1">
        <f t="shared" si="67"/>
        <v>1.7999999999999999E-2</v>
      </c>
      <c r="CO98" s="1">
        <f t="shared" si="68"/>
        <v>0.08</v>
      </c>
      <c r="CP98" s="1">
        <f t="shared" si="69"/>
        <v>0.22</v>
      </c>
      <c r="CQ98" s="1">
        <f t="shared" si="70"/>
        <v>0.20799999999999999</v>
      </c>
      <c r="CS98" s="1">
        <f t="shared" si="101"/>
        <v>3.3</v>
      </c>
      <c r="CT98" s="1">
        <f t="shared" si="102"/>
        <v>-5.1999999999999993</v>
      </c>
    </row>
    <row r="99" spans="1:98" x14ac:dyDescent="0.2">
      <c r="A99" s="8">
        <f t="shared" si="99"/>
        <v>43924</v>
      </c>
      <c r="B99" s="1">
        <v>94</v>
      </c>
      <c r="C99" s="1">
        <v>11</v>
      </c>
      <c r="D99" s="2">
        <v>12.99</v>
      </c>
      <c r="E99" s="2">
        <v>-5.766</v>
      </c>
      <c r="F99" s="2">
        <v>-7.7270000000000003</v>
      </c>
      <c r="G99" s="2">
        <v>-8.9499999999999993</v>
      </c>
      <c r="H99" s="2">
        <v>81.5</v>
      </c>
      <c r="I99" s="2">
        <v>-0.33600000000000002</v>
      </c>
      <c r="J99" s="2">
        <v>-0.77700000000000002</v>
      </c>
      <c r="K99" s="2">
        <v>1.7000000000000001E-2</v>
      </c>
      <c r="L99" s="2">
        <v>0.70599999999999996</v>
      </c>
      <c r="M99" s="2">
        <v>1.244</v>
      </c>
      <c r="N99" s="2">
        <v>-3.6549999999999998</v>
      </c>
      <c r="O99" s="2">
        <v>89.7</v>
      </c>
      <c r="P99" s="2">
        <v>-0.246</v>
      </c>
      <c r="Q99" s="2">
        <v>-0.69899999999999995</v>
      </c>
      <c r="R99" s="2">
        <v>8.4000000000000005E-2</v>
      </c>
      <c r="S99" s="2">
        <v>0.77300000000000002</v>
      </c>
      <c r="T99" s="2">
        <v>1.3160000000000001</v>
      </c>
      <c r="U99" s="2">
        <v>-14.25</v>
      </c>
      <c r="V99" s="2">
        <v>59.95</v>
      </c>
      <c r="W99" s="2">
        <v>-0.40899999999999997</v>
      </c>
      <c r="X99" s="2">
        <v>-0.85699999999999998</v>
      </c>
      <c r="Y99" s="2">
        <v>-6.8000000000000005E-2</v>
      </c>
      <c r="Z99" s="2">
        <v>0.628</v>
      </c>
      <c r="AA99" s="2">
        <v>1.165</v>
      </c>
      <c r="AB99" s="2">
        <v>1.117</v>
      </c>
      <c r="AC99" s="2">
        <v>0</v>
      </c>
      <c r="AD99" s="2">
        <v>9.07</v>
      </c>
      <c r="AE99" s="2">
        <v>8.9700000000000006</v>
      </c>
      <c r="AF99" s="2">
        <v>1.64</v>
      </c>
      <c r="AG99" s="2">
        <v>5.3319999999999999</v>
      </c>
      <c r="AH99" s="2">
        <v>-9.93</v>
      </c>
      <c r="AI99" s="2">
        <v>0.879</v>
      </c>
      <c r="AJ99" s="2">
        <v>-19.760000000000002</v>
      </c>
      <c r="AK99" s="2">
        <v>1.383</v>
      </c>
      <c r="AL99" s="2">
        <v>-14.87</v>
      </c>
      <c r="AM99" s="2">
        <v>1.1459999999999999</v>
      </c>
      <c r="AN99" s="2" t="s">
        <v>122</v>
      </c>
      <c r="AO99" s="2">
        <v>472</v>
      </c>
      <c r="AP99" s="2">
        <v>482</v>
      </c>
      <c r="AQ99" s="2">
        <v>175</v>
      </c>
      <c r="AR99" s="2">
        <v>3</v>
      </c>
      <c r="AS99" s="2">
        <v>17</v>
      </c>
      <c r="AT99" s="2">
        <v>205</v>
      </c>
      <c r="AU99" s="2">
        <v>686</v>
      </c>
      <c r="AV99" s="2">
        <v>840</v>
      </c>
      <c r="AW99" s="2"/>
      <c r="AX99" s="1">
        <f t="shared" si="71"/>
        <v>1.4329999999999998</v>
      </c>
      <c r="AY99" s="21">
        <f t="shared" si="72"/>
        <v>-0.4</v>
      </c>
      <c r="AZ99" s="5">
        <v>22.29</v>
      </c>
      <c r="BA99" s="1">
        <v>9.19</v>
      </c>
      <c r="BB99" s="1">
        <v>8.25</v>
      </c>
      <c r="BC99" s="6">
        <f t="shared" si="100"/>
        <v>0.89771490750816108</v>
      </c>
      <c r="BE99" s="30">
        <v>3.5</v>
      </c>
      <c r="BF99" s="27">
        <v>1437</v>
      </c>
      <c r="BG99" s="1">
        <f t="shared" si="73"/>
        <v>89.7</v>
      </c>
      <c r="BH99" s="1">
        <f t="shared" si="74"/>
        <v>81.5</v>
      </c>
      <c r="BI99" s="1">
        <f t="shared" si="75"/>
        <v>60</v>
      </c>
      <c r="BJ99" s="7">
        <f t="shared" si="76"/>
        <v>0.28000000000000003</v>
      </c>
      <c r="BK99" s="7">
        <f t="shared" si="77"/>
        <v>0.187</v>
      </c>
      <c r="BM99" s="5">
        <f t="shared" si="78"/>
        <v>9.19</v>
      </c>
      <c r="BN99" s="5">
        <f t="shared" si="79"/>
        <v>8.25</v>
      </c>
      <c r="BO99" s="1">
        <f t="shared" si="80"/>
        <v>-9</v>
      </c>
      <c r="BP99" s="1">
        <f t="shared" si="81"/>
        <v>-3.7</v>
      </c>
      <c r="BQ99" s="1">
        <f t="shared" si="82"/>
        <v>-14.3</v>
      </c>
      <c r="BR99" s="1">
        <f t="shared" si="83"/>
        <v>81.5</v>
      </c>
      <c r="BS99" s="1">
        <f t="shared" si="84"/>
        <v>60</v>
      </c>
      <c r="BT99" s="1">
        <f t="shared" si="85"/>
        <v>1.6</v>
      </c>
      <c r="BU99" s="1">
        <f t="shared" si="86"/>
        <v>5.3</v>
      </c>
      <c r="BV99" s="33">
        <f t="shared" si="87"/>
        <v>3.5</v>
      </c>
      <c r="BW99" s="34">
        <f t="shared" si="88"/>
        <v>1.4370000000000001</v>
      </c>
      <c r="BX99" s="20">
        <f t="shared" si="89"/>
        <v>-0.4</v>
      </c>
      <c r="BY99" s="1">
        <f t="shared" si="90"/>
        <v>-9.9</v>
      </c>
      <c r="BZ99" s="1">
        <f t="shared" si="91"/>
        <v>0.9</v>
      </c>
      <c r="CA99" s="1">
        <f t="shared" si="92"/>
        <v>-19.8</v>
      </c>
      <c r="CB99" s="1">
        <f t="shared" si="93"/>
        <v>0</v>
      </c>
      <c r="CC99" s="1">
        <f t="shared" si="94"/>
        <v>0.7</v>
      </c>
      <c r="CD99" s="1">
        <f t="shared" si="95"/>
        <v>1.2</v>
      </c>
      <c r="CE99" s="1" t="str">
        <f t="shared" si="96"/>
        <v>NAN</v>
      </c>
      <c r="CF99" s="1">
        <f t="shared" si="97"/>
        <v>0.28000000000000003</v>
      </c>
      <c r="CG99" s="1">
        <f t="shared" si="98"/>
        <v>0.187</v>
      </c>
      <c r="CI99" s="1">
        <f t="shared" si="62"/>
        <v>2880</v>
      </c>
      <c r="CJ99" s="1">
        <f t="shared" si="63"/>
        <v>0.16400000000000001</v>
      </c>
      <c r="CK99" s="1">
        <f t="shared" si="64"/>
        <v>0.16700000000000001</v>
      </c>
      <c r="CL99" s="1">
        <f t="shared" si="65"/>
        <v>6.0999999999999999E-2</v>
      </c>
      <c r="CM99" s="1">
        <f t="shared" si="66"/>
        <v>1E-3</v>
      </c>
      <c r="CN99" s="1">
        <f t="shared" si="67"/>
        <v>6.0000000000000001E-3</v>
      </c>
      <c r="CO99" s="1">
        <f t="shared" si="68"/>
        <v>7.0999999999999994E-2</v>
      </c>
      <c r="CP99" s="1">
        <f t="shared" si="69"/>
        <v>0.23799999999999999</v>
      </c>
      <c r="CQ99" s="1">
        <f t="shared" si="70"/>
        <v>0.29199999999999998</v>
      </c>
      <c r="CS99" s="1">
        <f t="shared" si="101"/>
        <v>4.6000000000000005</v>
      </c>
      <c r="CT99" s="1">
        <f t="shared" si="102"/>
        <v>-5.5</v>
      </c>
    </row>
    <row r="100" spans="1:98" x14ac:dyDescent="0.2">
      <c r="A100" s="8">
        <f t="shared" si="99"/>
        <v>43925</v>
      </c>
      <c r="B100" s="1">
        <v>95</v>
      </c>
      <c r="C100" s="1">
        <v>11</v>
      </c>
      <c r="D100" s="2">
        <v>13.02</v>
      </c>
      <c r="E100" s="2">
        <v>-4.7220000000000004</v>
      </c>
      <c r="F100" s="2">
        <v>-8.2200000000000006</v>
      </c>
      <c r="G100" s="2">
        <v>-8.8699999999999992</v>
      </c>
      <c r="H100" s="2">
        <v>70.930000000000007</v>
      </c>
      <c r="I100" s="2">
        <v>-0.34499999999999997</v>
      </c>
      <c r="J100" s="2">
        <v>-0.81399999999999995</v>
      </c>
      <c r="K100" s="2">
        <v>2.1000000000000001E-2</v>
      </c>
      <c r="L100" s="2">
        <v>0.70699999999999996</v>
      </c>
      <c r="M100" s="2">
        <v>1.2390000000000001</v>
      </c>
      <c r="N100" s="2">
        <v>-3.899</v>
      </c>
      <c r="O100" s="2">
        <v>85.7</v>
      </c>
      <c r="P100" s="2">
        <v>-0.26700000000000002</v>
      </c>
      <c r="Q100" s="2">
        <v>-0.73099999999999998</v>
      </c>
      <c r="R100" s="2">
        <v>9.5000000000000001E-2</v>
      </c>
      <c r="S100" s="2">
        <v>0.78</v>
      </c>
      <c r="T100" s="2">
        <v>1.306</v>
      </c>
      <c r="U100" s="2">
        <v>-14.18</v>
      </c>
      <c r="V100" s="2">
        <v>46.53</v>
      </c>
      <c r="W100" s="2">
        <v>-0.42899999999999999</v>
      </c>
      <c r="X100" s="2">
        <v>-0.91500000000000004</v>
      </c>
      <c r="Y100" s="2">
        <v>-6.9000000000000006E-2</v>
      </c>
      <c r="Z100" s="2">
        <v>0.62</v>
      </c>
      <c r="AA100" s="2">
        <v>1.1579999999999999</v>
      </c>
      <c r="AB100" s="2">
        <v>1.179</v>
      </c>
      <c r="AC100" s="2">
        <v>0</v>
      </c>
      <c r="AD100" s="2">
        <v>10.07</v>
      </c>
      <c r="AE100" s="2">
        <v>9.24</v>
      </c>
      <c r="AF100" s="2">
        <v>0.73299999999999998</v>
      </c>
      <c r="AG100" s="2">
        <v>2.69</v>
      </c>
      <c r="AH100" s="2">
        <v>-10.51</v>
      </c>
      <c r="AI100" s="2">
        <v>-2.0939999999999999</v>
      </c>
      <c r="AJ100" s="2">
        <v>-17.86</v>
      </c>
      <c r="AK100" s="2">
        <v>0.23</v>
      </c>
      <c r="AL100" s="2">
        <v>-14.7</v>
      </c>
      <c r="AM100" s="2">
        <v>1.2010000000000001</v>
      </c>
      <c r="AN100" s="2" t="s">
        <v>122</v>
      </c>
      <c r="AO100" s="2">
        <v>21</v>
      </c>
      <c r="AP100" s="2">
        <v>107</v>
      </c>
      <c r="AQ100" s="2">
        <v>870</v>
      </c>
      <c r="AR100" s="2">
        <v>434</v>
      </c>
      <c r="AS100" s="2">
        <v>499</v>
      </c>
      <c r="AT100" s="2">
        <v>607</v>
      </c>
      <c r="AU100" s="2">
        <v>285</v>
      </c>
      <c r="AV100" s="2">
        <v>57</v>
      </c>
      <c r="AW100" s="2"/>
      <c r="AX100" s="1">
        <f t="shared" si="71"/>
        <v>1.3709999999999998</v>
      </c>
      <c r="AY100" s="21">
        <f t="shared" si="72"/>
        <v>-0.4</v>
      </c>
      <c r="AZ100" s="5">
        <v>22.55</v>
      </c>
      <c r="BA100" s="1">
        <v>10.07</v>
      </c>
      <c r="BB100" s="1">
        <v>8.5</v>
      </c>
      <c r="BC100" s="6">
        <f t="shared" si="100"/>
        <v>0.84409136047666333</v>
      </c>
      <c r="BE100" s="30">
        <v>0</v>
      </c>
      <c r="BF100" s="27">
        <v>1410.9999999999998</v>
      </c>
      <c r="BG100" s="1">
        <f t="shared" si="73"/>
        <v>85.7</v>
      </c>
      <c r="BH100" s="1">
        <f t="shared" si="74"/>
        <v>70.900000000000006</v>
      </c>
      <c r="BI100" s="1">
        <f t="shared" si="75"/>
        <v>46.5</v>
      </c>
      <c r="BJ100" s="7">
        <f t="shared" si="76"/>
        <v>0.21299999999999999</v>
      </c>
      <c r="BK100" s="7">
        <f t="shared" si="77"/>
        <v>0.245</v>
      </c>
      <c r="BM100" s="5">
        <f t="shared" si="78"/>
        <v>10.07</v>
      </c>
      <c r="BN100" s="5">
        <f t="shared" si="79"/>
        <v>8.5</v>
      </c>
      <c r="BO100" s="1">
        <f t="shared" si="80"/>
        <v>-8.9</v>
      </c>
      <c r="BP100" s="1">
        <f t="shared" si="81"/>
        <v>-3.9</v>
      </c>
      <c r="BQ100" s="1">
        <f t="shared" si="82"/>
        <v>-14.2</v>
      </c>
      <c r="BR100" s="1">
        <f t="shared" si="83"/>
        <v>70.900000000000006</v>
      </c>
      <c r="BS100" s="1">
        <f t="shared" si="84"/>
        <v>46.5</v>
      </c>
      <c r="BT100" s="1">
        <f t="shared" si="85"/>
        <v>0.7</v>
      </c>
      <c r="BU100" s="1">
        <f t="shared" si="86"/>
        <v>2.7</v>
      </c>
      <c r="BV100" s="33">
        <f t="shared" si="87"/>
        <v>0</v>
      </c>
      <c r="BW100" s="34">
        <f t="shared" si="88"/>
        <v>1.411</v>
      </c>
      <c r="BX100" s="20">
        <f t="shared" si="89"/>
        <v>-0.4</v>
      </c>
      <c r="BY100" s="1">
        <f t="shared" si="90"/>
        <v>-10.5</v>
      </c>
      <c r="BZ100" s="1">
        <f t="shared" si="91"/>
        <v>-2.1</v>
      </c>
      <c r="CA100" s="1">
        <f t="shared" si="92"/>
        <v>-17.899999999999999</v>
      </c>
      <c r="CB100" s="1">
        <f t="shared" si="93"/>
        <v>0</v>
      </c>
      <c r="CC100" s="1">
        <f t="shared" si="94"/>
        <v>0.7</v>
      </c>
      <c r="CD100" s="1">
        <f t="shared" si="95"/>
        <v>1.2</v>
      </c>
      <c r="CE100" s="1" t="str">
        <f t="shared" si="96"/>
        <v>NAN</v>
      </c>
      <c r="CF100" s="1">
        <f t="shared" si="97"/>
        <v>0.21299999999999999</v>
      </c>
      <c r="CG100" s="1">
        <f t="shared" si="98"/>
        <v>0.245</v>
      </c>
      <c r="CI100" s="1">
        <f t="shared" si="62"/>
        <v>2880</v>
      </c>
      <c r="CJ100" s="1">
        <f t="shared" si="63"/>
        <v>7.0000000000000001E-3</v>
      </c>
      <c r="CK100" s="1">
        <f t="shared" si="64"/>
        <v>3.6999999999999998E-2</v>
      </c>
      <c r="CL100" s="1">
        <f t="shared" si="65"/>
        <v>0.30199999999999999</v>
      </c>
      <c r="CM100" s="1">
        <f t="shared" si="66"/>
        <v>0.151</v>
      </c>
      <c r="CN100" s="1">
        <f t="shared" si="67"/>
        <v>0.17299999999999999</v>
      </c>
      <c r="CO100" s="1">
        <f t="shared" si="68"/>
        <v>0.21099999999999999</v>
      </c>
      <c r="CP100" s="1">
        <f t="shared" si="69"/>
        <v>9.9000000000000005E-2</v>
      </c>
      <c r="CQ100" s="1">
        <f t="shared" si="70"/>
        <v>0.02</v>
      </c>
      <c r="CS100" s="1">
        <f t="shared" si="101"/>
        <v>1.7999999999999998</v>
      </c>
      <c r="CT100" s="1">
        <f t="shared" si="102"/>
        <v>-3.6999999999999993</v>
      </c>
    </row>
    <row r="101" spans="1:98" x14ac:dyDescent="0.2">
      <c r="A101" s="8">
        <f t="shared" si="99"/>
        <v>43926</v>
      </c>
      <c r="B101" s="1">
        <v>96</v>
      </c>
      <c r="C101" s="1">
        <v>11</v>
      </c>
      <c r="D101" s="2">
        <v>12.98</v>
      </c>
      <c r="E101" s="2">
        <v>-3.9220000000000002</v>
      </c>
      <c r="F101" s="2">
        <v>-7.6159999999999997</v>
      </c>
      <c r="G101" s="2">
        <v>-5.6879999999999997</v>
      </c>
      <c r="H101" s="2">
        <v>76.34</v>
      </c>
      <c r="I101" s="2">
        <v>-0.35499999999999998</v>
      </c>
      <c r="J101" s="2">
        <v>-0.85099999999999998</v>
      </c>
      <c r="K101" s="2">
        <v>2.5000000000000001E-2</v>
      </c>
      <c r="L101" s="2">
        <v>0.71099999999999997</v>
      </c>
      <c r="M101" s="2">
        <v>1.242</v>
      </c>
      <c r="N101" s="2">
        <v>-1.9570000000000001</v>
      </c>
      <c r="O101" s="2">
        <v>92.7</v>
      </c>
      <c r="P101" s="2">
        <v>-0.27400000000000002</v>
      </c>
      <c r="Q101" s="2">
        <v>-0.76200000000000001</v>
      </c>
      <c r="R101" s="2">
        <v>9.2999999999999999E-2</v>
      </c>
      <c r="S101" s="2">
        <v>0.78300000000000003</v>
      </c>
      <c r="T101" s="2">
        <v>1.33</v>
      </c>
      <c r="U101" s="2">
        <v>-10.28</v>
      </c>
      <c r="V101" s="2">
        <v>52.89</v>
      </c>
      <c r="W101" s="2">
        <v>-0.46600000000000003</v>
      </c>
      <c r="X101" s="2">
        <v>-0.94499999999999995</v>
      </c>
      <c r="Y101" s="2">
        <v>-5.1999999999999998E-2</v>
      </c>
      <c r="Z101" s="2">
        <v>0.61399999999999999</v>
      </c>
      <c r="AA101" s="2">
        <v>1.167</v>
      </c>
      <c r="AB101" s="2">
        <v>1.1439999999999999</v>
      </c>
      <c r="AC101" s="2">
        <v>0</v>
      </c>
      <c r="AD101" s="2">
        <v>8.7899999999999991</v>
      </c>
      <c r="AE101" s="2">
        <v>7.806</v>
      </c>
      <c r="AF101" s="2">
        <v>0.90600000000000003</v>
      </c>
      <c r="AG101" s="2">
        <v>2.9289999999999998</v>
      </c>
      <c r="AH101" s="2">
        <v>-6.6</v>
      </c>
      <c r="AI101" s="2">
        <v>1.103</v>
      </c>
      <c r="AJ101" s="2">
        <v>-14.7</v>
      </c>
      <c r="AK101" s="2">
        <v>4.0380000000000003</v>
      </c>
      <c r="AL101" s="2">
        <v>-10.25</v>
      </c>
      <c r="AM101" s="2">
        <v>1.1579999999999999</v>
      </c>
      <c r="AN101" s="2" t="s">
        <v>122</v>
      </c>
      <c r="AO101" s="2">
        <v>75</v>
      </c>
      <c r="AP101" s="2">
        <v>368</v>
      </c>
      <c r="AQ101" s="2">
        <v>388</v>
      </c>
      <c r="AR101" s="2">
        <v>392</v>
      </c>
      <c r="AS101" s="2">
        <v>290</v>
      </c>
      <c r="AT101" s="2">
        <v>574</v>
      </c>
      <c r="AU101" s="2">
        <v>650</v>
      </c>
      <c r="AV101" s="2">
        <v>143</v>
      </c>
      <c r="AW101" s="2"/>
      <c r="AX101" s="1">
        <f t="shared" si="71"/>
        <v>1.4059999999999999</v>
      </c>
      <c r="AY101" s="21">
        <f t="shared" si="72"/>
        <v>-0.4</v>
      </c>
      <c r="AZ101" s="5">
        <v>22.8</v>
      </c>
      <c r="BA101" s="1">
        <v>8.83</v>
      </c>
      <c r="BB101" s="1">
        <v>7.18</v>
      </c>
      <c r="BC101" s="6">
        <f t="shared" si="100"/>
        <v>0.8131370328425821</v>
      </c>
      <c r="BE101" s="30">
        <v>6</v>
      </c>
      <c r="BF101" s="27">
        <v>1446</v>
      </c>
      <c r="BG101" s="1">
        <f t="shared" si="73"/>
        <v>92.7</v>
      </c>
      <c r="BH101" s="1">
        <f t="shared" si="74"/>
        <v>76.3</v>
      </c>
      <c r="BI101" s="1">
        <f t="shared" si="75"/>
        <v>52.9</v>
      </c>
      <c r="BJ101" s="7">
        <f t="shared" si="76"/>
        <v>0.28000000000000003</v>
      </c>
      <c r="BK101" s="7">
        <f t="shared" si="77"/>
        <v>0.249</v>
      </c>
      <c r="BM101" s="5">
        <f t="shared" si="78"/>
        <v>8.83</v>
      </c>
      <c r="BN101" s="5">
        <f t="shared" si="79"/>
        <v>7.18</v>
      </c>
      <c r="BO101" s="1">
        <f t="shared" si="80"/>
        <v>-5.7</v>
      </c>
      <c r="BP101" s="1">
        <f t="shared" si="81"/>
        <v>-2</v>
      </c>
      <c r="BQ101" s="1">
        <f t="shared" si="82"/>
        <v>-10.3</v>
      </c>
      <c r="BR101" s="1">
        <f t="shared" si="83"/>
        <v>76.3</v>
      </c>
      <c r="BS101" s="1">
        <f t="shared" si="84"/>
        <v>52.9</v>
      </c>
      <c r="BT101" s="1">
        <f t="shared" si="85"/>
        <v>0.9</v>
      </c>
      <c r="BU101" s="1">
        <f t="shared" si="86"/>
        <v>2.9</v>
      </c>
      <c r="BV101" s="33">
        <f t="shared" si="87"/>
        <v>6</v>
      </c>
      <c r="BW101" s="34">
        <f t="shared" si="88"/>
        <v>1.446</v>
      </c>
      <c r="BX101" s="20">
        <f t="shared" si="89"/>
        <v>-0.4</v>
      </c>
      <c r="BY101" s="1">
        <f t="shared" si="90"/>
        <v>-6.6</v>
      </c>
      <c r="BZ101" s="1">
        <f t="shared" si="91"/>
        <v>1.1000000000000001</v>
      </c>
      <c r="CA101" s="1">
        <f t="shared" si="92"/>
        <v>-14.7</v>
      </c>
      <c r="CB101" s="1">
        <f t="shared" si="93"/>
        <v>0</v>
      </c>
      <c r="CC101" s="1">
        <f t="shared" si="94"/>
        <v>0.7</v>
      </c>
      <c r="CD101" s="1">
        <f t="shared" si="95"/>
        <v>1.2</v>
      </c>
      <c r="CE101" s="1" t="str">
        <f t="shared" si="96"/>
        <v>NAN</v>
      </c>
      <c r="CF101" s="1">
        <f t="shared" si="97"/>
        <v>0.28000000000000003</v>
      </c>
      <c r="CG101" s="1">
        <f t="shared" si="98"/>
        <v>0.249</v>
      </c>
      <c r="CI101" s="1">
        <f t="shared" si="62"/>
        <v>2880</v>
      </c>
      <c r="CJ101" s="1">
        <f t="shared" si="63"/>
        <v>2.5999999999999999E-2</v>
      </c>
      <c r="CK101" s="1">
        <f t="shared" si="64"/>
        <v>0.128</v>
      </c>
      <c r="CL101" s="1">
        <f t="shared" si="65"/>
        <v>0.13500000000000001</v>
      </c>
      <c r="CM101" s="1">
        <f t="shared" si="66"/>
        <v>0.13600000000000001</v>
      </c>
      <c r="CN101" s="1">
        <f t="shared" si="67"/>
        <v>0.10100000000000001</v>
      </c>
      <c r="CO101" s="1">
        <f t="shared" si="68"/>
        <v>0.19900000000000001</v>
      </c>
      <c r="CP101" s="1">
        <f t="shared" si="69"/>
        <v>0.22600000000000001</v>
      </c>
      <c r="CQ101" s="1">
        <f t="shared" si="70"/>
        <v>0.05</v>
      </c>
      <c r="CS101" s="1">
        <f t="shared" si="101"/>
        <v>3.1</v>
      </c>
      <c r="CT101" s="1">
        <f t="shared" si="102"/>
        <v>-4.3999999999999986</v>
      </c>
    </row>
    <row r="102" spans="1:98" x14ac:dyDescent="0.2">
      <c r="A102" s="8">
        <f t="shared" si="99"/>
        <v>43927</v>
      </c>
      <c r="B102" s="1">
        <v>97</v>
      </c>
      <c r="C102" s="1">
        <v>11</v>
      </c>
      <c r="D102" s="2">
        <v>13.01</v>
      </c>
      <c r="E102" s="2">
        <v>-0.77700000000000002</v>
      </c>
      <c r="F102" s="2">
        <v>-5.8310000000000004</v>
      </c>
      <c r="G102" s="2">
        <v>-2.7519999999999998</v>
      </c>
      <c r="H102" s="2">
        <v>64.36</v>
      </c>
      <c r="I102" s="2">
        <v>-0.36299999999999999</v>
      </c>
      <c r="J102" s="2">
        <v>-0.879</v>
      </c>
      <c r="K102" s="2">
        <v>3.1E-2</v>
      </c>
      <c r="L102" s="2">
        <v>0.71599999999999997</v>
      </c>
      <c r="M102" s="2">
        <v>1.2529999999999999</v>
      </c>
      <c r="N102" s="2">
        <v>3.9990000000000001</v>
      </c>
      <c r="O102" s="2">
        <v>90.9</v>
      </c>
      <c r="P102" s="2">
        <v>-0.28299999999999997</v>
      </c>
      <c r="Q102" s="2">
        <v>-0.79</v>
      </c>
      <c r="R102" s="2">
        <v>0.11899999999999999</v>
      </c>
      <c r="S102" s="2">
        <v>0.78900000000000003</v>
      </c>
      <c r="T102" s="2">
        <v>1.325</v>
      </c>
      <c r="U102" s="2">
        <v>-9.98</v>
      </c>
      <c r="V102" s="2">
        <v>38.299999999999997</v>
      </c>
      <c r="W102" s="2">
        <v>-0.48599999999999999</v>
      </c>
      <c r="X102" s="2">
        <v>-0.97099999999999997</v>
      </c>
      <c r="Y102" s="2">
        <v>-7.6999999999999999E-2</v>
      </c>
      <c r="Z102" s="2">
        <v>0.625</v>
      </c>
      <c r="AA102" s="2">
        <v>1.1579999999999999</v>
      </c>
      <c r="AB102" s="2">
        <v>1.194</v>
      </c>
      <c r="AC102" s="2">
        <v>0</v>
      </c>
      <c r="AD102" s="2">
        <v>17.39</v>
      </c>
      <c r="AE102" s="2">
        <v>17.93</v>
      </c>
      <c r="AF102" s="2">
        <v>1.641</v>
      </c>
      <c r="AG102" s="2">
        <v>5.0309999999999997</v>
      </c>
      <c r="AH102" s="2">
        <v>-4.7430000000000003</v>
      </c>
      <c r="AI102" s="2">
        <v>4.93</v>
      </c>
      <c r="AJ102" s="2">
        <v>-15.03</v>
      </c>
      <c r="AK102" s="2">
        <v>9.15</v>
      </c>
      <c r="AL102" s="2">
        <v>-10.33</v>
      </c>
      <c r="AM102" s="2">
        <v>1.202</v>
      </c>
      <c r="AN102" s="2" t="s">
        <v>122</v>
      </c>
      <c r="AO102" s="2">
        <v>206</v>
      </c>
      <c r="AP102" s="2">
        <v>438</v>
      </c>
      <c r="AQ102" s="2">
        <v>591</v>
      </c>
      <c r="AR102" s="2">
        <v>46</v>
      </c>
      <c r="AS102" s="2">
        <v>55</v>
      </c>
      <c r="AT102" s="2">
        <v>330</v>
      </c>
      <c r="AU102" s="2">
        <v>681</v>
      </c>
      <c r="AV102" s="2">
        <v>533</v>
      </c>
      <c r="AW102" s="2"/>
      <c r="AX102" s="1">
        <f t="shared" ref="AX102:AX133" si="103">AX$1-AB102</f>
        <v>1.3559999999999999</v>
      </c>
      <c r="AY102" s="21">
        <f t="shared" ref="AY102:AY133" si="104">ROUND(AVERAGE(I102:K102),1)</f>
        <v>-0.4</v>
      </c>
      <c r="AZ102" s="5">
        <v>23.06</v>
      </c>
      <c r="BA102" s="1">
        <v>17.89</v>
      </c>
      <c r="BB102" s="1">
        <v>16.5</v>
      </c>
      <c r="BC102" s="6">
        <f t="shared" si="100"/>
        <v>0.92230296254890998</v>
      </c>
      <c r="BE102" s="30">
        <v>0</v>
      </c>
      <c r="BF102" s="27">
        <v>1396</v>
      </c>
      <c r="BG102" s="1">
        <f t="shared" si="73"/>
        <v>90.9</v>
      </c>
      <c r="BH102" s="1">
        <f t="shared" si="74"/>
        <v>64.400000000000006</v>
      </c>
      <c r="BI102" s="1">
        <f t="shared" si="75"/>
        <v>38.299999999999997</v>
      </c>
      <c r="BJ102" s="7">
        <f t="shared" si="76"/>
        <v>0.311</v>
      </c>
      <c r="BK102" s="7">
        <f t="shared" si="77"/>
        <v>0.501</v>
      </c>
      <c r="BM102" s="5">
        <f t="shared" si="78"/>
        <v>17.89</v>
      </c>
      <c r="BN102" s="5">
        <f t="shared" si="79"/>
        <v>16.5</v>
      </c>
      <c r="BO102" s="1">
        <f t="shared" si="80"/>
        <v>-2.8</v>
      </c>
      <c r="BP102" s="1">
        <f t="shared" si="81"/>
        <v>4</v>
      </c>
      <c r="BQ102" s="1">
        <f t="shared" si="82"/>
        <v>-10</v>
      </c>
      <c r="BR102" s="1">
        <f t="shared" si="83"/>
        <v>64.400000000000006</v>
      </c>
      <c r="BS102" s="1">
        <f t="shared" si="84"/>
        <v>38.299999999999997</v>
      </c>
      <c r="BT102" s="1">
        <f t="shared" si="85"/>
        <v>1.6</v>
      </c>
      <c r="BU102" s="1">
        <f t="shared" si="86"/>
        <v>5</v>
      </c>
      <c r="BV102" s="33">
        <f t="shared" si="87"/>
        <v>0</v>
      </c>
      <c r="BW102" s="34">
        <f t="shared" ref="BW102:BW133" si="105">ROUND(BF102/1000,3)</f>
        <v>1.3959999999999999</v>
      </c>
      <c r="BX102" s="20">
        <f t="shared" si="89"/>
        <v>-0.4</v>
      </c>
      <c r="BY102" s="1">
        <f t="shared" si="90"/>
        <v>-4.7</v>
      </c>
      <c r="BZ102" s="1">
        <f t="shared" si="91"/>
        <v>4.9000000000000004</v>
      </c>
      <c r="CA102" s="1">
        <f t="shared" si="92"/>
        <v>-15</v>
      </c>
      <c r="CB102" s="1">
        <f t="shared" si="93"/>
        <v>0</v>
      </c>
      <c r="CC102" s="1">
        <f t="shared" si="94"/>
        <v>0.7</v>
      </c>
      <c r="CD102" s="1">
        <f t="shared" si="95"/>
        <v>1.3</v>
      </c>
      <c r="CE102" s="1" t="str">
        <f t="shared" si="96"/>
        <v>NAN</v>
      </c>
      <c r="CF102" s="1">
        <f t="shared" si="97"/>
        <v>0.311</v>
      </c>
      <c r="CG102" s="1">
        <f t="shared" si="98"/>
        <v>0.501</v>
      </c>
      <c r="CI102" s="1">
        <f t="shared" si="62"/>
        <v>2880</v>
      </c>
      <c r="CJ102" s="1">
        <f t="shared" si="63"/>
        <v>7.1999999999999995E-2</v>
      </c>
      <c r="CK102" s="1">
        <f t="shared" si="64"/>
        <v>0.152</v>
      </c>
      <c r="CL102" s="1">
        <f t="shared" si="65"/>
        <v>0.20499999999999999</v>
      </c>
      <c r="CM102" s="1">
        <f t="shared" si="66"/>
        <v>1.6E-2</v>
      </c>
      <c r="CN102" s="1">
        <f t="shared" si="67"/>
        <v>1.9E-2</v>
      </c>
      <c r="CO102" s="1">
        <f t="shared" si="68"/>
        <v>0.115</v>
      </c>
      <c r="CP102" s="1">
        <f t="shared" si="69"/>
        <v>0.23599999999999999</v>
      </c>
      <c r="CQ102" s="1">
        <f t="shared" si="70"/>
        <v>0.185</v>
      </c>
      <c r="CS102" s="1">
        <f t="shared" si="101"/>
        <v>0.90000000000000036</v>
      </c>
      <c r="CT102" s="1">
        <f t="shared" si="102"/>
        <v>-5</v>
      </c>
    </row>
    <row r="103" spans="1:98" x14ac:dyDescent="0.2">
      <c r="A103" s="8">
        <f t="shared" si="99"/>
        <v>43928</v>
      </c>
      <c r="B103" s="1">
        <v>98</v>
      </c>
      <c r="C103" s="1">
        <v>11</v>
      </c>
      <c r="D103" s="2">
        <v>13.02</v>
      </c>
      <c r="E103" s="2">
        <v>0.436</v>
      </c>
      <c r="F103" s="2">
        <v>-4.7220000000000004</v>
      </c>
      <c r="G103" s="2">
        <v>-0.73099999999999998</v>
      </c>
      <c r="H103" s="2">
        <v>55.3</v>
      </c>
      <c r="I103" s="2">
        <v>-0.36199999999999999</v>
      </c>
      <c r="J103" s="2">
        <v>-0.89100000000000001</v>
      </c>
      <c r="K103" s="2">
        <v>3.9E-2</v>
      </c>
      <c r="L103" s="2">
        <v>0.72199999999999998</v>
      </c>
      <c r="M103" s="2">
        <v>1.2549999999999999</v>
      </c>
      <c r="N103" s="2">
        <v>4.976</v>
      </c>
      <c r="O103" s="2">
        <v>80.400000000000006</v>
      </c>
      <c r="P103" s="2">
        <v>-0.27200000000000002</v>
      </c>
      <c r="Q103" s="2">
        <v>-0.81</v>
      </c>
      <c r="R103" s="2">
        <v>0.123</v>
      </c>
      <c r="S103" s="2">
        <v>0.79600000000000004</v>
      </c>
      <c r="T103" s="2">
        <v>1.3280000000000001</v>
      </c>
      <c r="U103" s="2">
        <v>-4.6859999999999999</v>
      </c>
      <c r="V103" s="2">
        <v>31.16</v>
      </c>
      <c r="W103" s="2">
        <v>-0.47799999999999998</v>
      </c>
      <c r="X103" s="2">
        <v>-1.002</v>
      </c>
      <c r="Y103" s="2">
        <v>-5.7000000000000002E-2</v>
      </c>
      <c r="Z103" s="2">
        <v>0.63900000000000001</v>
      </c>
      <c r="AA103" s="2">
        <v>1.159</v>
      </c>
      <c r="AB103" s="2">
        <v>1.244</v>
      </c>
      <c r="AC103" s="2">
        <v>0</v>
      </c>
      <c r="AD103" s="2">
        <v>19.05</v>
      </c>
      <c r="AE103" s="2">
        <v>17.48</v>
      </c>
      <c r="AF103" s="2">
        <v>1.502</v>
      </c>
      <c r="AG103" s="2">
        <v>5.1849999999999996</v>
      </c>
      <c r="AH103" s="2">
        <v>-2.79</v>
      </c>
      <c r="AI103" s="2">
        <v>5.53</v>
      </c>
      <c r="AJ103" s="2">
        <v>-8.84</v>
      </c>
      <c r="AK103" s="2">
        <v>10.08</v>
      </c>
      <c r="AL103" s="2">
        <v>-4.9390000000000001</v>
      </c>
      <c r="AM103" s="2">
        <v>1.2549999999999999</v>
      </c>
      <c r="AN103" s="2" t="s">
        <v>122</v>
      </c>
      <c r="AO103" s="2">
        <v>695</v>
      </c>
      <c r="AP103" s="2">
        <v>295</v>
      </c>
      <c r="AQ103" s="2">
        <v>144</v>
      </c>
      <c r="AR103" s="2">
        <v>103</v>
      </c>
      <c r="AS103" s="2">
        <v>82</v>
      </c>
      <c r="AT103" s="2">
        <v>146</v>
      </c>
      <c r="AU103" s="2">
        <v>501</v>
      </c>
      <c r="AV103" s="2">
        <v>914</v>
      </c>
      <c r="AW103" s="2"/>
      <c r="AX103" s="1">
        <f t="shared" si="103"/>
        <v>1.3059999999999998</v>
      </c>
      <c r="AY103" s="21">
        <f t="shared" si="104"/>
        <v>-0.4</v>
      </c>
      <c r="AZ103" s="5">
        <v>23.31</v>
      </c>
      <c r="BA103" s="1">
        <v>19.05</v>
      </c>
      <c r="BB103" s="1">
        <v>16.079999999999998</v>
      </c>
      <c r="BC103" s="6">
        <f t="shared" si="100"/>
        <v>0.84409448818897626</v>
      </c>
      <c r="BE103" s="30">
        <v>0</v>
      </c>
      <c r="BF103" s="27">
        <v>1345.9999999999998</v>
      </c>
      <c r="BG103" s="1">
        <f t="shared" si="73"/>
        <v>80.400000000000006</v>
      </c>
      <c r="BH103" s="1">
        <f t="shared" si="74"/>
        <v>55.3</v>
      </c>
      <c r="BI103" s="1">
        <f t="shared" si="75"/>
        <v>31.2</v>
      </c>
      <c r="BJ103" s="7">
        <f t="shared" si="76"/>
        <v>0.27200000000000002</v>
      </c>
      <c r="BK103" s="7">
        <f t="shared" si="77"/>
        <v>0.6</v>
      </c>
      <c r="BM103" s="5">
        <f t="shared" si="78"/>
        <v>19.05</v>
      </c>
      <c r="BN103" s="5">
        <f t="shared" si="79"/>
        <v>16.079999999999998</v>
      </c>
      <c r="BO103" s="1">
        <f t="shared" si="80"/>
        <v>-0.7</v>
      </c>
      <c r="BP103" s="1">
        <f t="shared" si="81"/>
        <v>5</v>
      </c>
      <c r="BQ103" s="1">
        <f t="shared" si="82"/>
        <v>-4.7</v>
      </c>
      <c r="BR103" s="1">
        <f t="shared" si="83"/>
        <v>55.3</v>
      </c>
      <c r="BS103" s="1">
        <f t="shared" si="84"/>
        <v>31.2</v>
      </c>
      <c r="BT103" s="1">
        <f t="shared" si="85"/>
        <v>1.5</v>
      </c>
      <c r="BU103" s="1">
        <f t="shared" si="86"/>
        <v>5.2</v>
      </c>
      <c r="BV103" s="33">
        <f t="shared" si="87"/>
        <v>0</v>
      </c>
      <c r="BW103" s="34">
        <f t="shared" si="105"/>
        <v>1.3460000000000001</v>
      </c>
      <c r="BX103" s="20">
        <f t="shared" si="89"/>
        <v>-0.4</v>
      </c>
      <c r="BY103" s="1">
        <f t="shared" si="90"/>
        <v>-2.8</v>
      </c>
      <c r="BZ103" s="1">
        <f t="shared" si="91"/>
        <v>5.5</v>
      </c>
      <c r="CA103" s="1">
        <f t="shared" si="92"/>
        <v>-8.8000000000000007</v>
      </c>
      <c r="CB103" s="1">
        <f t="shared" si="93"/>
        <v>0</v>
      </c>
      <c r="CC103" s="1">
        <f t="shared" si="94"/>
        <v>0.7</v>
      </c>
      <c r="CD103" s="1">
        <f t="shared" si="95"/>
        <v>1.3</v>
      </c>
      <c r="CE103" s="1" t="str">
        <f t="shared" si="96"/>
        <v>NAN</v>
      </c>
      <c r="CF103" s="1">
        <f t="shared" si="97"/>
        <v>0.27200000000000002</v>
      </c>
      <c r="CG103" s="1">
        <f t="shared" si="98"/>
        <v>0.6</v>
      </c>
      <c r="CI103" s="1">
        <f t="shared" si="62"/>
        <v>2880</v>
      </c>
      <c r="CJ103" s="1">
        <f t="shared" si="63"/>
        <v>0.24099999999999999</v>
      </c>
      <c r="CK103" s="1">
        <f t="shared" si="64"/>
        <v>0.10199999999999999</v>
      </c>
      <c r="CL103" s="1">
        <f t="shared" si="65"/>
        <v>0.05</v>
      </c>
      <c r="CM103" s="1">
        <f t="shared" si="66"/>
        <v>3.5999999999999997E-2</v>
      </c>
      <c r="CN103" s="1">
        <f t="shared" si="67"/>
        <v>2.8000000000000001E-2</v>
      </c>
      <c r="CO103" s="1">
        <f t="shared" si="68"/>
        <v>5.0999999999999997E-2</v>
      </c>
      <c r="CP103" s="1">
        <f t="shared" si="69"/>
        <v>0.17399999999999999</v>
      </c>
      <c r="CQ103" s="1">
        <f t="shared" si="70"/>
        <v>0.317</v>
      </c>
      <c r="CS103" s="1">
        <f t="shared" si="101"/>
        <v>0.5</v>
      </c>
      <c r="CT103" s="1">
        <f t="shared" si="102"/>
        <v>-4.1000000000000005</v>
      </c>
    </row>
    <row r="104" spans="1:98" x14ac:dyDescent="0.2">
      <c r="A104" s="8">
        <f t="shared" si="99"/>
        <v>43929</v>
      </c>
      <c r="B104" s="1">
        <v>99</v>
      </c>
      <c r="C104" s="1">
        <v>11</v>
      </c>
      <c r="D104" s="2">
        <v>13.02</v>
      </c>
      <c r="E104" s="2">
        <v>1.6919999999999999</v>
      </c>
      <c r="F104" s="2">
        <v>-7.2389999999999999</v>
      </c>
      <c r="G104" s="2">
        <v>1.4999999999999999E-2</v>
      </c>
      <c r="H104" s="2">
        <v>35.86</v>
      </c>
      <c r="I104" s="2">
        <v>-0.36299999999999999</v>
      </c>
      <c r="J104" s="2">
        <v>-0.88900000000000001</v>
      </c>
      <c r="K104" s="2">
        <v>4.2000000000000003E-2</v>
      </c>
      <c r="L104" s="2">
        <v>0.72399999999999998</v>
      </c>
      <c r="M104" s="2">
        <v>1.258</v>
      </c>
      <c r="N104" s="2">
        <v>6.7069999999999999</v>
      </c>
      <c r="O104" s="2">
        <v>70.650000000000006</v>
      </c>
      <c r="P104" s="2">
        <v>-0.26900000000000002</v>
      </c>
      <c r="Q104" s="2">
        <v>-0.78700000000000003</v>
      </c>
      <c r="R104" s="2">
        <v>0.13300000000000001</v>
      </c>
      <c r="S104" s="2">
        <v>0.8</v>
      </c>
      <c r="T104" s="2">
        <v>1.3420000000000001</v>
      </c>
      <c r="U104" s="2">
        <v>-7.6289999999999996</v>
      </c>
      <c r="V104" s="2">
        <v>16.77</v>
      </c>
      <c r="W104" s="2">
        <v>-0.53500000000000003</v>
      </c>
      <c r="X104" s="2">
        <v>-1.038</v>
      </c>
      <c r="Y104" s="2">
        <v>-6.8000000000000005E-2</v>
      </c>
      <c r="Z104" s="2">
        <v>0.59299999999999997</v>
      </c>
      <c r="AA104" s="2">
        <v>1.149</v>
      </c>
      <c r="AB104" s="2">
        <v>1.2549999999999999</v>
      </c>
      <c r="AC104" s="2">
        <v>0</v>
      </c>
      <c r="AD104" s="2">
        <v>19.07</v>
      </c>
      <c r="AE104" s="2">
        <v>16.760000000000002</v>
      </c>
      <c r="AF104" s="2">
        <v>1.1850000000000001</v>
      </c>
      <c r="AG104" s="2">
        <v>3.5739999999999998</v>
      </c>
      <c r="AH104" s="2">
        <v>-2.5960000000000001</v>
      </c>
      <c r="AI104" s="2">
        <v>7.4969999999999999</v>
      </c>
      <c r="AJ104" s="2">
        <v>-12.11</v>
      </c>
      <c r="AK104" s="2">
        <v>13.31</v>
      </c>
      <c r="AL104" s="2">
        <v>-7.3959999999999999</v>
      </c>
      <c r="AM104" s="2">
        <v>1.2589999999999999</v>
      </c>
      <c r="AN104" s="2" t="s">
        <v>122</v>
      </c>
      <c r="AO104" s="2">
        <v>473</v>
      </c>
      <c r="AP104" s="2">
        <v>1121</v>
      </c>
      <c r="AQ104" s="2">
        <v>823</v>
      </c>
      <c r="AR104" s="2">
        <v>131</v>
      </c>
      <c r="AS104" s="2">
        <v>22</v>
      </c>
      <c r="AT104" s="2">
        <v>16</v>
      </c>
      <c r="AU104" s="2">
        <v>74</v>
      </c>
      <c r="AV104" s="2">
        <v>219</v>
      </c>
      <c r="AW104" s="2"/>
      <c r="AX104" s="1">
        <f t="shared" si="103"/>
        <v>1.2949999999999999</v>
      </c>
      <c r="AY104" s="21">
        <f t="shared" si="104"/>
        <v>-0.4</v>
      </c>
      <c r="AZ104" s="5">
        <v>23.56</v>
      </c>
      <c r="BA104" s="1">
        <v>19.07</v>
      </c>
      <c r="BB104" s="1">
        <v>15.42</v>
      </c>
      <c r="BC104" s="6">
        <f t="shared" si="100"/>
        <v>0.80859989512323016</v>
      </c>
      <c r="BE104" s="30">
        <v>0</v>
      </c>
      <c r="BF104" s="27">
        <v>1335</v>
      </c>
      <c r="BG104" s="1">
        <f t="shared" si="73"/>
        <v>70.7</v>
      </c>
      <c r="BH104" s="1">
        <f t="shared" si="74"/>
        <v>35.9</v>
      </c>
      <c r="BI104" s="1">
        <f t="shared" si="75"/>
        <v>16.8</v>
      </c>
      <c r="BJ104" s="7">
        <f t="shared" si="76"/>
        <v>0.16500000000000001</v>
      </c>
      <c r="BK104" s="7">
        <f t="shared" si="77"/>
        <v>0.81699999999999995</v>
      </c>
      <c r="BM104" s="5">
        <f t="shared" si="78"/>
        <v>19.07</v>
      </c>
      <c r="BN104" s="5">
        <f t="shared" si="79"/>
        <v>15.42</v>
      </c>
      <c r="BO104" s="1">
        <f t="shared" si="80"/>
        <v>0</v>
      </c>
      <c r="BP104" s="1">
        <f t="shared" si="81"/>
        <v>6.7</v>
      </c>
      <c r="BQ104" s="1">
        <f t="shared" si="82"/>
        <v>-7.6</v>
      </c>
      <c r="BR104" s="1">
        <f t="shared" si="83"/>
        <v>35.9</v>
      </c>
      <c r="BS104" s="1">
        <f t="shared" si="84"/>
        <v>16.8</v>
      </c>
      <c r="BT104" s="1">
        <f t="shared" si="85"/>
        <v>1.2</v>
      </c>
      <c r="BU104" s="1">
        <f t="shared" si="86"/>
        <v>3.6</v>
      </c>
      <c r="BV104" s="33">
        <f t="shared" si="87"/>
        <v>0</v>
      </c>
      <c r="BW104" s="34">
        <f t="shared" si="105"/>
        <v>1.335</v>
      </c>
      <c r="BX104" s="20">
        <f t="shared" si="89"/>
        <v>-0.4</v>
      </c>
      <c r="BY104" s="1">
        <f t="shared" si="90"/>
        <v>-2.6</v>
      </c>
      <c r="BZ104" s="1">
        <f t="shared" si="91"/>
        <v>7.5</v>
      </c>
      <c r="CA104" s="1">
        <f t="shared" si="92"/>
        <v>-12.1</v>
      </c>
      <c r="CB104" s="1">
        <f t="shared" si="93"/>
        <v>0</v>
      </c>
      <c r="CC104" s="1">
        <f t="shared" si="94"/>
        <v>0.7</v>
      </c>
      <c r="CD104" s="1">
        <f t="shared" si="95"/>
        <v>1.3</v>
      </c>
      <c r="CE104" s="1" t="str">
        <f t="shared" si="96"/>
        <v>NAN</v>
      </c>
      <c r="CF104" s="1">
        <f t="shared" si="97"/>
        <v>0.16500000000000001</v>
      </c>
      <c r="CG104" s="1">
        <f t="shared" si="98"/>
        <v>0.81699999999999995</v>
      </c>
      <c r="CI104" s="1">
        <f t="shared" si="62"/>
        <v>2879</v>
      </c>
      <c r="CJ104" s="1">
        <f t="shared" si="63"/>
        <v>0.16400000000000001</v>
      </c>
      <c r="CK104" s="1">
        <f t="shared" si="64"/>
        <v>0.38900000000000001</v>
      </c>
      <c r="CL104" s="1">
        <f t="shared" si="65"/>
        <v>0.28599999999999998</v>
      </c>
      <c r="CM104" s="1">
        <f t="shared" si="66"/>
        <v>4.5999999999999999E-2</v>
      </c>
      <c r="CN104" s="1">
        <f t="shared" si="67"/>
        <v>8.0000000000000002E-3</v>
      </c>
      <c r="CO104" s="1">
        <f t="shared" si="68"/>
        <v>6.0000000000000001E-3</v>
      </c>
      <c r="CP104" s="1">
        <f t="shared" si="69"/>
        <v>2.5999999999999999E-2</v>
      </c>
      <c r="CQ104" s="1">
        <f t="shared" si="70"/>
        <v>7.5999999999999998E-2</v>
      </c>
      <c r="CS104" s="1">
        <f t="shared" si="101"/>
        <v>0.79999999999999982</v>
      </c>
      <c r="CT104" s="1">
        <f t="shared" si="102"/>
        <v>-4.5</v>
      </c>
    </row>
    <row r="105" spans="1:98" x14ac:dyDescent="0.2">
      <c r="A105" s="8">
        <f t="shared" si="99"/>
        <v>43930</v>
      </c>
      <c r="B105" s="1">
        <v>100</v>
      </c>
      <c r="C105" s="1">
        <v>11</v>
      </c>
      <c r="D105" s="2">
        <v>13.02</v>
      </c>
      <c r="E105" s="2">
        <v>7.8819999999999997</v>
      </c>
      <c r="F105" s="2">
        <v>-5.5259999999999998</v>
      </c>
      <c r="G105" s="2">
        <v>5.46</v>
      </c>
      <c r="H105" s="2">
        <v>35.24</v>
      </c>
      <c r="I105" s="2">
        <v>-0.34200000000000003</v>
      </c>
      <c r="J105" s="2">
        <v>-0.83599999999999997</v>
      </c>
      <c r="K105" s="2">
        <v>4.5999999999999999E-2</v>
      </c>
      <c r="L105" s="2">
        <v>0.72899999999999998</v>
      </c>
      <c r="M105" s="2">
        <v>1.2729999999999999</v>
      </c>
      <c r="N105" s="2">
        <v>12.49</v>
      </c>
      <c r="O105" s="2">
        <v>66.819999999999993</v>
      </c>
      <c r="P105" s="2">
        <v>-0.215</v>
      </c>
      <c r="Q105" s="2">
        <v>-0.70599999999999996</v>
      </c>
      <c r="R105" s="2">
        <v>0.156</v>
      </c>
      <c r="S105" s="2">
        <v>0.82</v>
      </c>
      <c r="T105" s="2">
        <v>1.4059999999999999</v>
      </c>
      <c r="U105" s="2">
        <v>-1.9970000000000001</v>
      </c>
      <c r="V105" s="2">
        <v>16.22</v>
      </c>
      <c r="W105" s="2">
        <v>-0.51600000000000001</v>
      </c>
      <c r="X105" s="2">
        <v>-1.0169999999999999</v>
      </c>
      <c r="Y105" s="2">
        <v>-7.2999999999999995E-2</v>
      </c>
      <c r="Z105" s="2">
        <v>0.60599999999999998</v>
      </c>
      <c r="AA105" s="2">
        <v>1.1459999999999999</v>
      </c>
      <c r="AB105" s="2">
        <v>1.31</v>
      </c>
      <c r="AC105" s="2">
        <v>0</v>
      </c>
      <c r="AD105" s="2">
        <v>20.309999999999999</v>
      </c>
      <c r="AE105" s="2">
        <v>17.12</v>
      </c>
      <c r="AF105" s="2">
        <v>1.196</v>
      </c>
      <c r="AG105" s="2">
        <v>4.181</v>
      </c>
      <c r="AH105" s="2">
        <v>1.355</v>
      </c>
      <c r="AI105" s="2">
        <v>9.76</v>
      </c>
      <c r="AJ105" s="2">
        <v>-6.4960000000000004</v>
      </c>
      <c r="AK105" s="2">
        <v>17.64</v>
      </c>
      <c r="AL105" s="2">
        <v>-1.6850000000000001</v>
      </c>
      <c r="AM105" s="2">
        <v>1.302</v>
      </c>
      <c r="AN105" s="2" t="s">
        <v>122</v>
      </c>
      <c r="AO105" s="2">
        <v>398</v>
      </c>
      <c r="AP105" s="2">
        <v>344</v>
      </c>
      <c r="AQ105" s="2">
        <v>792</v>
      </c>
      <c r="AR105" s="2">
        <v>78</v>
      </c>
      <c r="AS105" s="2">
        <v>41</v>
      </c>
      <c r="AT105" s="2">
        <v>189</v>
      </c>
      <c r="AU105" s="2">
        <v>529</v>
      </c>
      <c r="AV105" s="2">
        <v>509</v>
      </c>
      <c r="AW105" s="2"/>
      <c r="AX105" s="1">
        <f t="shared" si="103"/>
        <v>1.2399999999999998</v>
      </c>
      <c r="AY105" s="21">
        <f t="shared" si="104"/>
        <v>-0.4</v>
      </c>
      <c r="AZ105" s="5">
        <v>23.81</v>
      </c>
      <c r="BA105" s="1">
        <v>20.309999999999999</v>
      </c>
      <c r="BB105" s="1">
        <v>15.75</v>
      </c>
      <c r="BC105" s="6">
        <f t="shared" si="100"/>
        <v>0.77548005908419504</v>
      </c>
      <c r="BE105" s="30">
        <v>0</v>
      </c>
      <c r="BF105" s="27">
        <v>1279.9999999999998</v>
      </c>
      <c r="BG105" s="1">
        <f t="shared" si="73"/>
        <v>66.8</v>
      </c>
      <c r="BH105" s="1">
        <f t="shared" si="74"/>
        <v>35.200000000000003</v>
      </c>
      <c r="BI105" s="1">
        <f t="shared" si="75"/>
        <v>16.2</v>
      </c>
      <c r="BJ105" s="7">
        <f t="shared" si="76"/>
        <v>0.23499999999999999</v>
      </c>
      <c r="BK105" s="7">
        <f t="shared" si="77"/>
        <v>1.216</v>
      </c>
      <c r="BM105" s="5">
        <f t="shared" si="78"/>
        <v>20.309999999999999</v>
      </c>
      <c r="BN105" s="5">
        <f t="shared" si="79"/>
        <v>15.75</v>
      </c>
      <c r="BO105" s="1">
        <f t="shared" si="80"/>
        <v>5.5</v>
      </c>
      <c r="BP105" s="1">
        <f t="shared" si="81"/>
        <v>12.5</v>
      </c>
      <c r="BQ105" s="1">
        <f t="shared" si="82"/>
        <v>-2</v>
      </c>
      <c r="BR105" s="1">
        <f t="shared" si="83"/>
        <v>35.200000000000003</v>
      </c>
      <c r="BS105" s="1">
        <f t="shared" si="84"/>
        <v>16.2</v>
      </c>
      <c r="BT105" s="1">
        <f t="shared" si="85"/>
        <v>1.2</v>
      </c>
      <c r="BU105" s="1">
        <f t="shared" si="86"/>
        <v>4.2</v>
      </c>
      <c r="BV105" s="33">
        <f t="shared" si="87"/>
        <v>0</v>
      </c>
      <c r="BW105" s="34">
        <f t="shared" si="105"/>
        <v>1.28</v>
      </c>
      <c r="BX105" s="20">
        <f t="shared" si="89"/>
        <v>-0.4</v>
      </c>
      <c r="BY105" s="1">
        <f t="shared" si="90"/>
        <v>1.4</v>
      </c>
      <c r="BZ105" s="1">
        <f t="shared" si="91"/>
        <v>9.8000000000000007</v>
      </c>
      <c r="CA105" s="1">
        <f t="shared" si="92"/>
        <v>-6.5</v>
      </c>
      <c r="CB105" s="1">
        <f t="shared" si="93"/>
        <v>0</v>
      </c>
      <c r="CC105" s="1">
        <f t="shared" si="94"/>
        <v>0.7</v>
      </c>
      <c r="CD105" s="1">
        <f t="shared" si="95"/>
        <v>1.3</v>
      </c>
      <c r="CE105" s="1" t="str">
        <f t="shared" si="96"/>
        <v>NAN</v>
      </c>
      <c r="CF105" s="1">
        <f t="shared" si="97"/>
        <v>0.23499999999999999</v>
      </c>
      <c r="CG105" s="1">
        <f t="shared" si="98"/>
        <v>1.216</v>
      </c>
      <c r="CI105" s="1">
        <f t="shared" si="62"/>
        <v>2880</v>
      </c>
      <c r="CJ105" s="1">
        <f t="shared" si="63"/>
        <v>0.13800000000000001</v>
      </c>
      <c r="CK105" s="1">
        <f t="shared" si="64"/>
        <v>0.11899999999999999</v>
      </c>
      <c r="CL105" s="1">
        <f t="shared" si="65"/>
        <v>0.27500000000000002</v>
      </c>
      <c r="CM105" s="1">
        <f t="shared" si="66"/>
        <v>2.7E-2</v>
      </c>
      <c r="CN105" s="1">
        <f t="shared" si="67"/>
        <v>1.4E-2</v>
      </c>
      <c r="CO105" s="1">
        <f t="shared" si="68"/>
        <v>6.6000000000000003E-2</v>
      </c>
      <c r="CP105" s="1">
        <f t="shared" si="69"/>
        <v>0.184</v>
      </c>
      <c r="CQ105" s="1">
        <f t="shared" si="70"/>
        <v>0.17699999999999999</v>
      </c>
      <c r="CS105" s="1">
        <f t="shared" si="101"/>
        <v>-2.6999999999999993</v>
      </c>
      <c r="CT105" s="1">
        <f t="shared" si="102"/>
        <v>-4.5</v>
      </c>
    </row>
    <row r="106" spans="1:98" x14ac:dyDescent="0.2">
      <c r="A106" s="8">
        <f t="shared" si="99"/>
        <v>43931</v>
      </c>
      <c r="B106" s="1">
        <v>101</v>
      </c>
      <c r="C106" s="1">
        <v>11</v>
      </c>
      <c r="D106" s="2">
        <v>12.99</v>
      </c>
      <c r="E106" s="2">
        <v>7.7939999999999996</v>
      </c>
      <c r="F106" s="2">
        <v>-2.056</v>
      </c>
      <c r="G106" s="2">
        <v>2.6360000000000001</v>
      </c>
      <c r="H106" s="2">
        <v>64.849999999999994</v>
      </c>
      <c r="I106" s="2">
        <v>-0.28399999999999997</v>
      </c>
      <c r="J106" s="2">
        <v>-0.72</v>
      </c>
      <c r="K106" s="2">
        <v>6.2E-2</v>
      </c>
      <c r="L106" s="2">
        <v>0.746</v>
      </c>
      <c r="M106" s="2">
        <v>1.2809999999999999</v>
      </c>
      <c r="N106" s="2">
        <v>7.54</v>
      </c>
      <c r="O106" s="2">
        <v>94.5</v>
      </c>
      <c r="P106" s="2">
        <v>-0.17799999999999999</v>
      </c>
      <c r="Q106" s="2">
        <v>-0.58699999999999997</v>
      </c>
      <c r="R106" s="2">
        <v>0.16300000000000001</v>
      </c>
      <c r="S106" s="2">
        <v>0.82899999999999996</v>
      </c>
      <c r="T106" s="2">
        <v>1.4239999999999999</v>
      </c>
      <c r="U106" s="2">
        <v>-2.9929999999999999</v>
      </c>
      <c r="V106" s="2">
        <v>44.1</v>
      </c>
      <c r="W106" s="2">
        <v>-0.42</v>
      </c>
      <c r="X106" s="2">
        <v>-0.84899999999999998</v>
      </c>
      <c r="Y106" s="2">
        <v>-2.5000000000000001E-2</v>
      </c>
      <c r="Z106" s="2">
        <v>0.66900000000000004</v>
      </c>
      <c r="AA106" s="2">
        <v>1.1539999999999999</v>
      </c>
      <c r="AB106" s="2">
        <v>1.23</v>
      </c>
      <c r="AC106" s="2">
        <v>0</v>
      </c>
      <c r="AD106" s="2">
        <v>16.34</v>
      </c>
      <c r="AE106" s="2">
        <v>12.8</v>
      </c>
      <c r="AF106" s="2">
        <v>1.333</v>
      </c>
      <c r="AG106" s="2">
        <v>3.9660000000000002</v>
      </c>
      <c r="AH106" s="2">
        <v>1.006</v>
      </c>
      <c r="AI106" s="2">
        <v>8.5</v>
      </c>
      <c r="AJ106" s="2">
        <v>-3.302</v>
      </c>
      <c r="AK106" s="2">
        <v>13.75</v>
      </c>
      <c r="AL106" s="2">
        <v>-3.1309999999999998</v>
      </c>
      <c r="AM106" s="2">
        <v>1.2370000000000001</v>
      </c>
      <c r="AN106" s="2" t="s">
        <v>122</v>
      </c>
      <c r="AO106" s="2">
        <v>802</v>
      </c>
      <c r="AP106" s="2">
        <v>1230</v>
      </c>
      <c r="AQ106" s="2">
        <v>381</v>
      </c>
      <c r="AR106" s="2">
        <v>58</v>
      </c>
      <c r="AS106" s="2">
        <v>12</v>
      </c>
      <c r="AT106" s="2">
        <v>28</v>
      </c>
      <c r="AU106" s="2">
        <v>89</v>
      </c>
      <c r="AV106" s="2">
        <v>280</v>
      </c>
      <c r="AW106" s="2"/>
      <c r="AX106" s="1">
        <f t="shared" si="103"/>
        <v>1.3199999999999998</v>
      </c>
      <c r="AY106" s="21">
        <f t="shared" si="104"/>
        <v>-0.3</v>
      </c>
      <c r="AZ106" s="5">
        <v>24.05</v>
      </c>
      <c r="BA106" s="1">
        <v>16.34</v>
      </c>
      <c r="BB106" s="1">
        <v>11.78</v>
      </c>
      <c r="BC106" s="6">
        <f t="shared" si="100"/>
        <v>0.72093023255813948</v>
      </c>
      <c r="BE106" s="30">
        <v>14.6</v>
      </c>
      <c r="BF106" s="27">
        <v>1359.9999999999998</v>
      </c>
      <c r="BG106" s="1">
        <f t="shared" si="73"/>
        <v>94.5</v>
      </c>
      <c r="BH106" s="1">
        <f t="shared" si="74"/>
        <v>64.900000000000006</v>
      </c>
      <c r="BI106" s="1">
        <f t="shared" si="75"/>
        <v>44.1</v>
      </c>
      <c r="BJ106" s="7">
        <f t="shared" si="76"/>
        <v>0.45800000000000002</v>
      </c>
      <c r="BK106" s="7">
        <f t="shared" si="77"/>
        <v>0.58099999999999996</v>
      </c>
      <c r="BM106" s="5">
        <f t="shared" si="78"/>
        <v>16.34</v>
      </c>
      <c r="BN106" s="5">
        <f t="shared" si="79"/>
        <v>11.78</v>
      </c>
      <c r="BO106" s="1">
        <f t="shared" si="80"/>
        <v>2.6</v>
      </c>
      <c r="BP106" s="1">
        <f t="shared" si="81"/>
        <v>7.5</v>
      </c>
      <c r="BQ106" s="1">
        <f t="shared" si="82"/>
        <v>-3</v>
      </c>
      <c r="BR106" s="1">
        <f t="shared" si="83"/>
        <v>64.900000000000006</v>
      </c>
      <c r="BS106" s="1">
        <f t="shared" si="84"/>
        <v>44.1</v>
      </c>
      <c r="BT106" s="1">
        <f t="shared" si="85"/>
        <v>1.3</v>
      </c>
      <c r="BU106" s="1">
        <f t="shared" si="86"/>
        <v>4</v>
      </c>
      <c r="BV106" s="33">
        <f t="shared" si="87"/>
        <v>14.6</v>
      </c>
      <c r="BW106" s="34">
        <f t="shared" si="105"/>
        <v>1.36</v>
      </c>
      <c r="BX106" s="20">
        <f t="shared" si="89"/>
        <v>-0.3</v>
      </c>
      <c r="BY106" s="1">
        <f t="shared" si="90"/>
        <v>1</v>
      </c>
      <c r="BZ106" s="1">
        <f t="shared" si="91"/>
        <v>8.5</v>
      </c>
      <c r="CA106" s="1">
        <f t="shared" si="92"/>
        <v>-3.3</v>
      </c>
      <c r="CB106" s="1">
        <f t="shared" si="93"/>
        <v>0.1</v>
      </c>
      <c r="CC106" s="1">
        <f t="shared" si="94"/>
        <v>0.7</v>
      </c>
      <c r="CD106" s="1">
        <f t="shared" si="95"/>
        <v>1.3</v>
      </c>
      <c r="CE106" s="1" t="str">
        <f t="shared" si="96"/>
        <v>NAN</v>
      </c>
      <c r="CF106" s="1">
        <f t="shared" si="97"/>
        <v>0.45800000000000002</v>
      </c>
      <c r="CG106" s="1">
        <f t="shared" si="98"/>
        <v>0.58099999999999996</v>
      </c>
      <c r="CI106" s="1">
        <f t="shared" si="62"/>
        <v>2880</v>
      </c>
      <c r="CJ106" s="1">
        <f t="shared" si="63"/>
        <v>0.27800000000000002</v>
      </c>
      <c r="CK106" s="1">
        <f t="shared" si="64"/>
        <v>0.42699999999999999</v>
      </c>
      <c r="CL106" s="1">
        <f t="shared" si="65"/>
        <v>0.13200000000000001</v>
      </c>
      <c r="CM106" s="1">
        <f t="shared" si="66"/>
        <v>0.02</v>
      </c>
      <c r="CN106" s="1">
        <f t="shared" si="67"/>
        <v>4.0000000000000001E-3</v>
      </c>
      <c r="CO106" s="1">
        <f t="shared" si="68"/>
        <v>0.01</v>
      </c>
      <c r="CP106" s="1">
        <f t="shared" si="69"/>
        <v>3.1E-2</v>
      </c>
      <c r="CQ106" s="1">
        <f t="shared" si="70"/>
        <v>9.7000000000000003E-2</v>
      </c>
      <c r="CS106" s="1">
        <f t="shared" si="101"/>
        <v>1</v>
      </c>
      <c r="CT106" s="1">
        <f t="shared" si="102"/>
        <v>-0.29999999999999982</v>
      </c>
    </row>
    <row r="107" spans="1:98" x14ac:dyDescent="0.2">
      <c r="A107" s="8">
        <f t="shared" si="99"/>
        <v>43932</v>
      </c>
      <c r="B107" s="1">
        <v>102</v>
      </c>
      <c r="C107" s="1">
        <v>11</v>
      </c>
      <c r="D107" s="2">
        <v>13.03</v>
      </c>
      <c r="E107" s="2">
        <v>0.60799999999999998</v>
      </c>
      <c r="F107" s="2">
        <v>-11.49</v>
      </c>
      <c r="G107" s="2">
        <v>-6.0739999999999998</v>
      </c>
      <c r="H107" s="2">
        <v>74.180000000000007</v>
      </c>
      <c r="I107" s="2">
        <v>-0.254</v>
      </c>
      <c r="J107" s="2">
        <v>-0.59799999999999998</v>
      </c>
      <c r="K107" s="2">
        <v>1.9E-2</v>
      </c>
      <c r="L107" s="2">
        <v>0.70299999999999996</v>
      </c>
      <c r="M107" s="2">
        <v>1.214</v>
      </c>
      <c r="N107" s="2">
        <v>-1.3029999999999999</v>
      </c>
      <c r="O107" s="2">
        <v>94</v>
      </c>
      <c r="P107" s="2">
        <v>-0.13100000000000001</v>
      </c>
      <c r="Q107" s="2">
        <v>-0.46100000000000002</v>
      </c>
      <c r="R107" s="2">
        <v>0.122</v>
      </c>
      <c r="S107" s="2">
        <v>0.79500000000000004</v>
      </c>
      <c r="T107" s="2">
        <v>1.3180000000000001</v>
      </c>
      <c r="U107" s="2">
        <v>-11.19</v>
      </c>
      <c r="V107" s="2">
        <v>40.36</v>
      </c>
      <c r="W107" s="2">
        <v>-0.34399999999999997</v>
      </c>
      <c r="X107" s="2">
        <v>-0.72699999999999998</v>
      </c>
      <c r="Y107" s="2">
        <v>-0.10299999999999999</v>
      </c>
      <c r="Z107" s="2">
        <v>0.58199999999999996</v>
      </c>
      <c r="AA107" s="2">
        <v>1.079</v>
      </c>
      <c r="AB107" s="2">
        <v>1.24</v>
      </c>
      <c r="AC107" s="2">
        <v>0</v>
      </c>
      <c r="AD107" s="2">
        <v>6.8339999999999996</v>
      </c>
      <c r="AE107" s="2">
        <v>14.5</v>
      </c>
      <c r="AF107" s="2">
        <v>1.175</v>
      </c>
      <c r="AG107" s="2">
        <v>4.2560000000000002</v>
      </c>
      <c r="AH107" s="2">
        <v>-7.7489999999999997</v>
      </c>
      <c r="AI107" s="2">
        <v>3.7610000000000001</v>
      </c>
      <c r="AJ107" s="2">
        <v>-17.600000000000001</v>
      </c>
      <c r="AK107" s="2">
        <v>6.0609999999999999</v>
      </c>
      <c r="AL107" s="2">
        <v>-11.11</v>
      </c>
      <c r="AM107" s="2">
        <v>1.2649999999999999</v>
      </c>
      <c r="AN107" s="2" t="s">
        <v>122</v>
      </c>
      <c r="AO107" s="2">
        <v>495</v>
      </c>
      <c r="AP107" s="2">
        <v>358</v>
      </c>
      <c r="AQ107" s="2">
        <v>278</v>
      </c>
      <c r="AR107" s="2">
        <v>292</v>
      </c>
      <c r="AS107" s="2">
        <v>186</v>
      </c>
      <c r="AT107" s="2">
        <v>223</v>
      </c>
      <c r="AU107" s="2">
        <v>470</v>
      </c>
      <c r="AV107" s="2">
        <v>577</v>
      </c>
      <c r="AW107" s="2"/>
      <c r="AX107" s="1">
        <f t="shared" si="103"/>
        <v>1.3099999999999998</v>
      </c>
      <c r="AY107" s="21">
        <f t="shared" si="104"/>
        <v>-0.3</v>
      </c>
      <c r="AZ107" s="5">
        <v>24.3</v>
      </c>
      <c r="BA107" s="1">
        <v>14.12</v>
      </c>
      <c r="BB107" s="1">
        <v>13.34</v>
      </c>
      <c r="BC107" s="6">
        <f t="shared" si="100"/>
        <v>0.94475920679886694</v>
      </c>
      <c r="BE107" s="30">
        <v>5.5</v>
      </c>
      <c r="BF107" s="27">
        <v>1349.9999999999998</v>
      </c>
      <c r="BG107" s="1">
        <f t="shared" si="73"/>
        <v>94</v>
      </c>
      <c r="BH107" s="1">
        <f t="shared" si="74"/>
        <v>74.2</v>
      </c>
      <c r="BI107" s="1">
        <f t="shared" si="75"/>
        <v>40.4</v>
      </c>
      <c r="BJ107" s="7">
        <f t="shared" si="76"/>
        <v>0.224</v>
      </c>
      <c r="BK107" s="7">
        <f t="shared" si="77"/>
        <v>0.33</v>
      </c>
      <c r="BM107" s="5">
        <f t="shared" si="78"/>
        <v>14.12</v>
      </c>
      <c r="BN107" s="5">
        <f t="shared" si="79"/>
        <v>13.34</v>
      </c>
      <c r="BO107" s="1">
        <f t="shared" si="80"/>
        <v>-6.1</v>
      </c>
      <c r="BP107" s="1">
        <f t="shared" si="81"/>
        <v>-1.3</v>
      </c>
      <c r="BQ107" s="1">
        <f t="shared" si="82"/>
        <v>-11.2</v>
      </c>
      <c r="BR107" s="1">
        <f t="shared" si="83"/>
        <v>74.2</v>
      </c>
      <c r="BS107" s="1">
        <f t="shared" si="84"/>
        <v>40.4</v>
      </c>
      <c r="BT107" s="1">
        <f t="shared" si="85"/>
        <v>1.2</v>
      </c>
      <c r="BU107" s="1">
        <f t="shared" si="86"/>
        <v>4.3</v>
      </c>
      <c r="BV107" s="33">
        <f t="shared" si="87"/>
        <v>5.5</v>
      </c>
      <c r="BW107" s="34">
        <f t="shared" si="105"/>
        <v>1.35</v>
      </c>
      <c r="BX107" s="20">
        <f t="shared" si="89"/>
        <v>-0.3</v>
      </c>
      <c r="BY107" s="1">
        <f t="shared" si="90"/>
        <v>-7.7</v>
      </c>
      <c r="BZ107" s="1">
        <f t="shared" si="91"/>
        <v>3.8</v>
      </c>
      <c r="CA107" s="1">
        <f t="shared" si="92"/>
        <v>-17.600000000000001</v>
      </c>
      <c r="CB107" s="1">
        <f t="shared" si="93"/>
        <v>0</v>
      </c>
      <c r="CC107" s="1">
        <f t="shared" si="94"/>
        <v>0.7</v>
      </c>
      <c r="CD107" s="1">
        <f t="shared" si="95"/>
        <v>1.2</v>
      </c>
      <c r="CE107" s="1" t="str">
        <f t="shared" si="96"/>
        <v>NAN</v>
      </c>
      <c r="CF107" s="1">
        <f t="shared" si="97"/>
        <v>0.224</v>
      </c>
      <c r="CG107" s="1">
        <f t="shared" si="98"/>
        <v>0.33</v>
      </c>
      <c r="CI107" s="1">
        <f t="shared" si="62"/>
        <v>2879</v>
      </c>
      <c r="CJ107" s="1">
        <f t="shared" si="63"/>
        <v>0.17199999999999999</v>
      </c>
      <c r="CK107" s="1">
        <f t="shared" si="64"/>
        <v>0.124</v>
      </c>
      <c r="CL107" s="1">
        <f t="shared" si="65"/>
        <v>9.7000000000000003E-2</v>
      </c>
      <c r="CM107" s="1">
        <f t="shared" si="66"/>
        <v>0.10100000000000001</v>
      </c>
      <c r="CN107" s="1">
        <f t="shared" si="67"/>
        <v>6.5000000000000002E-2</v>
      </c>
      <c r="CO107" s="1">
        <f t="shared" si="68"/>
        <v>7.6999999999999999E-2</v>
      </c>
      <c r="CP107" s="1">
        <f t="shared" si="69"/>
        <v>0.16300000000000001</v>
      </c>
      <c r="CQ107" s="1">
        <f t="shared" si="70"/>
        <v>0.2</v>
      </c>
      <c r="CS107" s="1">
        <f t="shared" si="101"/>
        <v>5.0999999999999996</v>
      </c>
      <c r="CT107" s="1">
        <f t="shared" si="102"/>
        <v>-6.4000000000000021</v>
      </c>
    </row>
    <row r="108" spans="1:98" x14ac:dyDescent="0.2">
      <c r="A108" s="8">
        <f t="shared" si="99"/>
        <v>43933</v>
      </c>
      <c r="B108" s="1">
        <v>103</v>
      </c>
      <c r="C108" s="1">
        <v>11</v>
      </c>
      <c r="D108" s="2">
        <v>13.04</v>
      </c>
      <c r="E108" s="2">
        <v>1.288</v>
      </c>
      <c r="F108" s="2">
        <v>-14.67</v>
      </c>
      <c r="G108" s="2">
        <v>-7.069</v>
      </c>
      <c r="H108" s="2">
        <v>50.51</v>
      </c>
      <c r="I108" s="2">
        <v>-0.222</v>
      </c>
      <c r="J108" s="2">
        <v>-0.47</v>
      </c>
      <c r="K108" s="2">
        <v>6.0000000000000001E-3</v>
      </c>
      <c r="L108" s="2">
        <v>0.68799999999999994</v>
      </c>
      <c r="M108" s="2">
        <v>1.2030000000000001</v>
      </c>
      <c r="N108" s="2">
        <v>0.02</v>
      </c>
      <c r="O108" s="2">
        <v>79.510000000000005</v>
      </c>
      <c r="P108" s="2">
        <v>-5.6000000000000001E-2</v>
      </c>
      <c r="Q108" s="2">
        <v>-0.318</v>
      </c>
      <c r="R108" s="2">
        <v>0.123</v>
      </c>
      <c r="S108" s="2">
        <v>0.79400000000000004</v>
      </c>
      <c r="T108" s="2">
        <v>1.3720000000000001</v>
      </c>
      <c r="U108" s="2">
        <v>-13.18</v>
      </c>
      <c r="V108" s="2">
        <v>24.58</v>
      </c>
      <c r="W108" s="2">
        <v>-0.36299999999999999</v>
      </c>
      <c r="X108" s="2">
        <v>-0.60599999999999998</v>
      </c>
      <c r="Y108" s="2">
        <v>-0.111</v>
      </c>
      <c r="Z108" s="2">
        <v>0.56699999999999995</v>
      </c>
      <c r="AA108" s="2">
        <v>1.0920000000000001</v>
      </c>
      <c r="AB108" s="2">
        <v>1.2729999999999999</v>
      </c>
      <c r="AC108" s="2">
        <v>0</v>
      </c>
      <c r="AD108" s="2">
        <v>21.16</v>
      </c>
      <c r="AE108" s="2">
        <v>20.12</v>
      </c>
      <c r="AF108" s="2">
        <v>1.052</v>
      </c>
      <c r="AG108" s="2">
        <v>4.3419999999999996</v>
      </c>
      <c r="AH108" s="2">
        <v>-10.09</v>
      </c>
      <c r="AI108" s="2">
        <v>3.375</v>
      </c>
      <c r="AJ108" s="2">
        <v>-19.34</v>
      </c>
      <c r="AK108" s="2">
        <v>6.4080000000000004</v>
      </c>
      <c r="AL108" s="2">
        <v>-12.79</v>
      </c>
      <c r="AM108" s="2">
        <v>1.294</v>
      </c>
      <c r="AN108" s="2" t="s">
        <v>122</v>
      </c>
      <c r="AO108" s="2">
        <v>382</v>
      </c>
      <c r="AP108" s="2">
        <v>459</v>
      </c>
      <c r="AQ108" s="2">
        <v>891</v>
      </c>
      <c r="AR108" s="2">
        <v>380</v>
      </c>
      <c r="AS108" s="2">
        <v>231</v>
      </c>
      <c r="AT108" s="2">
        <v>163</v>
      </c>
      <c r="AU108" s="2">
        <v>124</v>
      </c>
      <c r="AV108" s="2">
        <v>250</v>
      </c>
      <c r="AW108" s="2"/>
      <c r="AX108" s="1">
        <f t="shared" si="103"/>
        <v>1.2769999999999999</v>
      </c>
      <c r="AY108" s="21">
        <f t="shared" si="104"/>
        <v>-0.2</v>
      </c>
      <c r="AZ108" s="5">
        <v>24.53</v>
      </c>
      <c r="BA108" s="1">
        <v>21.16</v>
      </c>
      <c r="BB108" s="1">
        <v>18.510000000000002</v>
      </c>
      <c r="BC108" s="6">
        <f t="shared" si="100"/>
        <v>0.87476370510396984</v>
      </c>
      <c r="BE108" s="30">
        <v>0</v>
      </c>
      <c r="BF108" s="27">
        <v>1317</v>
      </c>
      <c r="BG108" s="1">
        <f t="shared" si="73"/>
        <v>79.5</v>
      </c>
      <c r="BH108" s="1">
        <f t="shared" si="74"/>
        <v>50.5</v>
      </c>
      <c r="BI108" s="1">
        <f t="shared" si="75"/>
        <v>24.6</v>
      </c>
      <c r="BJ108" s="7">
        <f t="shared" si="76"/>
        <v>0.15</v>
      </c>
      <c r="BK108" s="7">
        <f t="shared" si="77"/>
        <v>0.46</v>
      </c>
      <c r="BM108" s="5">
        <f t="shared" si="78"/>
        <v>21.16</v>
      </c>
      <c r="BN108" s="5">
        <f t="shared" si="79"/>
        <v>18.510000000000002</v>
      </c>
      <c r="BO108" s="1">
        <f t="shared" si="80"/>
        <v>-7.1</v>
      </c>
      <c r="BP108" s="1">
        <f t="shared" si="81"/>
        <v>0</v>
      </c>
      <c r="BQ108" s="1">
        <f t="shared" si="82"/>
        <v>-13.2</v>
      </c>
      <c r="BR108" s="1">
        <f t="shared" si="83"/>
        <v>50.5</v>
      </c>
      <c r="BS108" s="1">
        <f t="shared" si="84"/>
        <v>24.6</v>
      </c>
      <c r="BT108" s="1">
        <f t="shared" si="85"/>
        <v>1.1000000000000001</v>
      </c>
      <c r="BU108" s="1">
        <f t="shared" si="86"/>
        <v>4.3</v>
      </c>
      <c r="BV108" s="33">
        <f t="shared" si="87"/>
        <v>0</v>
      </c>
      <c r="BW108" s="34">
        <f t="shared" si="105"/>
        <v>1.3169999999999999</v>
      </c>
      <c r="BX108" s="20">
        <f t="shared" si="89"/>
        <v>-0.2</v>
      </c>
      <c r="BY108" s="1">
        <f t="shared" si="90"/>
        <v>-10.1</v>
      </c>
      <c r="BZ108" s="1">
        <f t="shared" si="91"/>
        <v>3.4</v>
      </c>
      <c r="CA108" s="1">
        <f t="shared" si="92"/>
        <v>-19.3</v>
      </c>
      <c r="CB108" s="1">
        <f t="shared" si="93"/>
        <v>0</v>
      </c>
      <c r="CC108" s="1">
        <f t="shared" si="94"/>
        <v>0.7</v>
      </c>
      <c r="CD108" s="1">
        <f t="shared" si="95"/>
        <v>1.2</v>
      </c>
      <c r="CE108" s="1" t="str">
        <f t="shared" si="96"/>
        <v>NAN</v>
      </c>
      <c r="CF108" s="1">
        <f t="shared" si="97"/>
        <v>0.15</v>
      </c>
      <c r="CG108" s="1">
        <f t="shared" si="98"/>
        <v>0.46</v>
      </c>
      <c r="CI108" s="1">
        <f t="shared" si="62"/>
        <v>2880</v>
      </c>
      <c r="CJ108" s="1">
        <f t="shared" si="63"/>
        <v>0.13300000000000001</v>
      </c>
      <c r="CK108" s="1">
        <f t="shared" si="64"/>
        <v>0.159</v>
      </c>
      <c r="CL108" s="1">
        <f t="shared" si="65"/>
        <v>0.309</v>
      </c>
      <c r="CM108" s="1">
        <f t="shared" si="66"/>
        <v>0.13200000000000001</v>
      </c>
      <c r="CN108" s="1">
        <f t="shared" si="67"/>
        <v>0.08</v>
      </c>
      <c r="CO108" s="1">
        <f t="shared" si="68"/>
        <v>5.7000000000000002E-2</v>
      </c>
      <c r="CP108" s="1">
        <f t="shared" si="69"/>
        <v>4.2999999999999997E-2</v>
      </c>
      <c r="CQ108" s="1">
        <f t="shared" si="70"/>
        <v>8.6999999999999994E-2</v>
      </c>
      <c r="CS108" s="1">
        <f t="shared" si="101"/>
        <v>3.4</v>
      </c>
      <c r="CT108" s="1">
        <f t="shared" si="102"/>
        <v>-6.1000000000000014</v>
      </c>
    </row>
    <row r="109" spans="1:98" x14ac:dyDescent="0.2">
      <c r="A109" s="8">
        <f t="shared" si="99"/>
        <v>43934</v>
      </c>
      <c r="B109" s="1">
        <v>104</v>
      </c>
      <c r="C109" s="1">
        <v>11</v>
      </c>
      <c r="D109" s="2">
        <v>12.99</v>
      </c>
      <c r="E109" s="2">
        <v>3.165</v>
      </c>
      <c r="F109" s="2">
        <v>-13.15</v>
      </c>
      <c r="G109" s="2">
        <v>-3</v>
      </c>
      <c r="H109" s="2">
        <v>39.25</v>
      </c>
      <c r="I109" s="2">
        <v>-0.155</v>
      </c>
      <c r="J109" s="2">
        <v>-0.33200000000000002</v>
      </c>
      <c r="K109" s="2">
        <v>3.4000000000000002E-2</v>
      </c>
      <c r="L109" s="2">
        <v>0.71299999999999997</v>
      </c>
      <c r="M109" s="2">
        <v>1.234</v>
      </c>
      <c r="N109" s="2">
        <v>3.9849999999999999</v>
      </c>
      <c r="O109" s="2">
        <v>61.75</v>
      </c>
      <c r="P109" s="2">
        <v>-7.0000000000000001E-3</v>
      </c>
      <c r="Q109" s="2">
        <v>-0.19400000000000001</v>
      </c>
      <c r="R109" s="2">
        <v>0.16200000000000001</v>
      </c>
      <c r="S109" s="2">
        <v>0.82299999999999995</v>
      </c>
      <c r="T109" s="2">
        <v>1.413</v>
      </c>
      <c r="U109" s="2">
        <v>-10.53</v>
      </c>
      <c r="V109" s="2">
        <v>22.47</v>
      </c>
      <c r="W109" s="2">
        <v>-0.308</v>
      </c>
      <c r="X109" s="2">
        <v>-0.49</v>
      </c>
      <c r="Y109" s="2">
        <v>-6.4000000000000001E-2</v>
      </c>
      <c r="Z109" s="2">
        <v>0.60799999999999998</v>
      </c>
      <c r="AA109" s="2">
        <v>1.119</v>
      </c>
      <c r="AB109" s="2">
        <v>1.292</v>
      </c>
      <c r="AC109" s="2">
        <v>0</v>
      </c>
      <c r="AD109" s="2">
        <v>19.53</v>
      </c>
      <c r="AE109" s="2">
        <v>17.510000000000002</v>
      </c>
      <c r="AF109" s="2">
        <v>1.0409999999999999</v>
      </c>
      <c r="AG109" s="2">
        <v>5.274</v>
      </c>
      <c r="AH109" s="2">
        <v>-5.8630000000000004</v>
      </c>
      <c r="AI109" s="2">
        <v>5.0419999999999998</v>
      </c>
      <c r="AJ109" s="2">
        <v>-16.48</v>
      </c>
      <c r="AK109" s="2">
        <v>9.09</v>
      </c>
      <c r="AL109" s="2">
        <v>-10.58</v>
      </c>
      <c r="AM109" s="2">
        <v>1.294</v>
      </c>
      <c r="AN109" s="2" t="s">
        <v>122</v>
      </c>
      <c r="AO109" s="2">
        <v>615</v>
      </c>
      <c r="AP109" s="2">
        <v>436</v>
      </c>
      <c r="AQ109" s="2">
        <v>256</v>
      </c>
      <c r="AR109" s="2">
        <v>157</v>
      </c>
      <c r="AS109" s="2">
        <v>184</v>
      </c>
      <c r="AT109" s="2">
        <v>258</v>
      </c>
      <c r="AU109" s="2">
        <v>373</v>
      </c>
      <c r="AV109" s="2">
        <v>601</v>
      </c>
      <c r="AW109" s="2"/>
      <c r="AX109" s="1">
        <f t="shared" si="103"/>
        <v>1.2579999999999998</v>
      </c>
      <c r="AY109" s="21">
        <f t="shared" si="104"/>
        <v>-0.2</v>
      </c>
      <c r="AZ109" s="5">
        <v>24.78</v>
      </c>
      <c r="BA109" s="1">
        <v>19.53</v>
      </c>
      <c r="BB109" s="1">
        <v>16.11</v>
      </c>
      <c r="BC109" s="6">
        <f t="shared" si="100"/>
        <v>0.82488479262672798</v>
      </c>
      <c r="BE109" s="30">
        <v>0</v>
      </c>
      <c r="BF109" s="27">
        <v>1297.9999999999998</v>
      </c>
      <c r="BG109" s="1">
        <f t="shared" si="73"/>
        <v>61.8</v>
      </c>
      <c r="BH109" s="1">
        <f t="shared" si="74"/>
        <v>39.299999999999997</v>
      </c>
      <c r="BI109" s="1">
        <f t="shared" si="75"/>
        <v>22.5</v>
      </c>
      <c r="BJ109" s="7">
        <f t="shared" si="76"/>
        <v>0.183</v>
      </c>
      <c r="BK109" s="7">
        <f t="shared" si="77"/>
        <v>0.63</v>
      </c>
      <c r="BM109" s="5">
        <f t="shared" si="78"/>
        <v>19.53</v>
      </c>
      <c r="BN109" s="5">
        <f t="shared" si="79"/>
        <v>16.11</v>
      </c>
      <c r="BO109" s="1">
        <f t="shared" si="80"/>
        <v>-3</v>
      </c>
      <c r="BP109" s="1">
        <f t="shared" si="81"/>
        <v>4</v>
      </c>
      <c r="BQ109" s="1">
        <f t="shared" si="82"/>
        <v>-10.5</v>
      </c>
      <c r="BR109" s="1">
        <f t="shared" si="83"/>
        <v>39.299999999999997</v>
      </c>
      <c r="BS109" s="1">
        <f t="shared" si="84"/>
        <v>22.5</v>
      </c>
      <c r="BT109" s="1">
        <f t="shared" si="85"/>
        <v>1</v>
      </c>
      <c r="BU109" s="1">
        <f t="shared" si="86"/>
        <v>5.3</v>
      </c>
      <c r="BV109" s="33">
        <f t="shared" si="87"/>
        <v>0</v>
      </c>
      <c r="BW109" s="34">
        <f t="shared" si="105"/>
        <v>1.298</v>
      </c>
      <c r="BX109" s="20">
        <f t="shared" si="89"/>
        <v>-0.2</v>
      </c>
      <c r="BY109" s="1">
        <f t="shared" si="90"/>
        <v>-5.9</v>
      </c>
      <c r="BZ109" s="1">
        <f t="shared" si="91"/>
        <v>5</v>
      </c>
      <c r="CA109" s="1">
        <f t="shared" si="92"/>
        <v>-16.5</v>
      </c>
      <c r="CB109" s="1">
        <f t="shared" si="93"/>
        <v>0</v>
      </c>
      <c r="CC109" s="1">
        <f t="shared" si="94"/>
        <v>0.7</v>
      </c>
      <c r="CD109" s="1">
        <f t="shared" si="95"/>
        <v>1.2</v>
      </c>
      <c r="CE109" s="1" t="str">
        <f t="shared" si="96"/>
        <v>NAN</v>
      </c>
      <c r="CF109" s="1">
        <f t="shared" si="97"/>
        <v>0.183</v>
      </c>
      <c r="CG109" s="1">
        <f t="shared" si="98"/>
        <v>0.63</v>
      </c>
      <c r="CI109" s="1">
        <f t="shared" si="62"/>
        <v>2880</v>
      </c>
      <c r="CJ109" s="1">
        <f t="shared" si="63"/>
        <v>0.214</v>
      </c>
      <c r="CK109" s="1">
        <f t="shared" si="64"/>
        <v>0.151</v>
      </c>
      <c r="CL109" s="1">
        <f t="shared" si="65"/>
        <v>8.8999999999999996E-2</v>
      </c>
      <c r="CM109" s="1">
        <f t="shared" si="66"/>
        <v>5.5E-2</v>
      </c>
      <c r="CN109" s="1">
        <f t="shared" si="67"/>
        <v>6.4000000000000001E-2</v>
      </c>
      <c r="CO109" s="1">
        <f t="shared" si="68"/>
        <v>0.09</v>
      </c>
      <c r="CP109" s="1">
        <f t="shared" si="69"/>
        <v>0.13</v>
      </c>
      <c r="CQ109" s="1">
        <f t="shared" si="70"/>
        <v>0.20899999999999999</v>
      </c>
      <c r="CS109" s="1">
        <f t="shared" si="101"/>
        <v>1</v>
      </c>
      <c r="CT109" s="1">
        <f t="shared" si="102"/>
        <v>-6</v>
      </c>
    </row>
    <row r="110" spans="1:98" x14ac:dyDescent="0.2">
      <c r="A110" s="8">
        <f t="shared" si="99"/>
        <v>43935</v>
      </c>
      <c r="B110" s="1">
        <v>105</v>
      </c>
      <c r="C110" s="1">
        <v>11</v>
      </c>
      <c r="D110" s="2">
        <v>12.91</v>
      </c>
      <c r="E110" s="2">
        <v>1.841</v>
      </c>
      <c r="F110" s="2">
        <v>-3.556</v>
      </c>
      <c r="G110" s="2">
        <v>-0.74399999999999999</v>
      </c>
      <c r="H110" s="2">
        <v>87.1</v>
      </c>
      <c r="I110" s="2">
        <v>-9.2999999999999999E-2</v>
      </c>
      <c r="J110" s="2">
        <v>-0.23599999999999999</v>
      </c>
      <c r="K110" s="2">
        <v>5.8999999999999997E-2</v>
      </c>
      <c r="L110" s="2">
        <v>0.73399999999999999</v>
      </c>
      <c r="M110" s="2">
        <v>1.2470000000000001</v>
      </c>
      <c r="N110" s="2">
        <v>2.835</v>
      </c>
      <c r="O110" s="2">
        <v>96.5</v>
      </c>
      <c r="P110" s="2">
        <v>-3.0000000000000001E-3</v>
      </c>
      <c r="Q110" s="2">
        <v>-0.14599999999999999</v>
      </c>
      <c r="R110" s="2">
        <v>0.14799999999999999</v>
      </c>
      <c r="S110" s="2">
        <v>0.83099999999999996</v>
      </c>
      <c r="T110" s="2">
        <v>1.37</v>
      </c>
      <c r="U110" s="2">
        <v>-3.5649999999999999</v>
      </c>
      <c r="V110" s="2">
        <v>41.15</v>
      </c>
      <c r="W110" s="2">
        <v>-0.17399999999999999</v>
      </c>
      <c r="X110" s="2">
        <v>-0.33700000000000002</v>
      </c>
      <c r="Y110" s="2">
        <v>-2.3E-2</v>
      </c>
      <c r="Z110" s="2">
        <v>0.65100000000000002</v>
      </c>
      <c r="AA110" s="2">
        <v>1.1519999999999999</v>
      </c>
      <c r="AB110" s="2">
        <v>1.2529999999999999</v>
      </c>
      <c r="AC110" s="2">
        <v>0</v>
      </c>
      <c r="AD110" s="2">
        <v>5.2110000000000003</v>
      </c>
      <c r="AE110" s="2">
        <v>4.5490000000000004</v>
      </c>
      <c r="AF110" s="2">
        <v>1.2649999999999999</v>
      </c>
      <c r="AG110" s="2">
        <v>4.3860000000000001</v>
      </c>
      <c r="AH110" s="2">
        <v>-1.1819999999999999</v>
      </c>
      <c r="AI110" s="2">
        <v>2.9729999999999999</v>
      </c>
      <c r="AJ110" s="2">
        <v>-4.1040000000000001</v>
      </c>
      <c r="AK110" s="2">
        <v>4.8609999999999998</v>
      </c>
      <c r="AL110" s="2">
        <v>-3.794</v>
      </c>
      <c r="AM110" s="2">
        <v>1.2549999999999999</v>
      </c>
      <c r="AN110" s="2" t="s">
        <v>122</v>
      </c>
      <c r="AO110" s="2">
        <v>446</v>
      </c>
      <c r="AP110" s="2">
        <v>255</v>
      </c>
      <c r="AQ110" s="2">
        <v>163</v>
      </c>
      <c r="AR110" s="2">
        <v>136</v>
      </c>
      <c r="AS110" s="2">
        <v>242</v>
      </c>
      <c r="AT110" s="2">
        <v>400</v>
      </c>
      <c r="AU110" s="2">
        <v>624</v>
      </c>
      <c r="AV110" s="2">
        <v>614</v>
      </c>
      <c r="AW110" s="2"/>
      <c r="AX110" s="1">
        <f t="shared" si="103"/>
        <v>1.2969999999999999</v>
      </c>
      <c r="AY110" s="21">
        <f t="shared" si="104"/>
        <v>-0.1</v>
      </c>
      <c r="AZ110" s="5">
        <v>25.02</v>
      </c>
      <c r="BA110" s="1">
        <v>5.21</v>
      </c>
      <c r="BB110" s="1">
        <v>4.1900000000000004</v>
      </c>
      <c r="BC110" s="6">
        <f t="shared" si="100"/>
        <v>0.80422264875239935</v>
      </c>
      <c r="BE110" s="30">
        <v>8</v>
      </c>
      <c r="BF110" s="27">
        <v>1337</v>
      </c>
      <c r="BG110" s="1">
        <f t="shared" si="73"/>
        <v>96.5</v>
      </c>
      <c r="BH110" s="1">
        <f t="shared" si="74"/>
        <v>87.1</v>
      </c>
      <c r="BI110" s="1">
        <f t="shared" si="75"/>
        <v>41.2</v>
      </c>
      <c r="BJ110" s="7">
        <f t="shared" si="76"/>
        <v>0.308</v>
      </c>
      <c r="BK110" s="7">
        <f t="shared" si="77"/>
        <v>0.44</v>
      </c>
      <c r="BM110" s="5">
        <f t="shared" si="78"/>
        <v>5.21</v>
      </c>
      <c r="BN110" s="5">
        <f t="shared" si="79"/>
        <v>4.1900000000000004</v>
      </c>
      <c r="BO110" s="1">
        <f t="shared" si="80"/>
        <v>-0.7</v>
      </c>
      <c r="BP110" s="1">
        <f t="shared" si="81"/>
        <v>2.8</v>
      </c>
      <c r="BQ110" s="1">
        <f t="shared" si="82"/>
        <v>-3.6</v>
      </c>
      <c r="BR110" s="1">
        <f t="shared" si="83"/>
        <v>87.1</v>
      </c>
      <c r="BS110" s="1">
        <f t="shared" si="84"/>
        <v>41.2</v>
      </c>
      <c r="BT110" s="1">
        <f t="shared" si="85"/>
        <v>1.3</v>
      </c>
      <c r="BU110" s="1">
        <f t="shared" si="86"/>
        <v>4.4000000000000004</v>
      </c>
      <c r="BV110" s="33">
        <f t="shared" si="87"/>
        <v>8</v>
      </c>
      <c r="BW110" s="34">
        <f t="shared" si="105"/>
        <v>1.337</v>
      </c>
      <c r="BX110" s="20">
        <f t="shared" si="89"/>
        <v>-0.1</v>
      </c>
      <c r="BY110" s="1">
        <f t="shared" si="90"/>
        <v>-1.2</v>
      </c>
      <c r="BZ110" s="1">
        <f t="shared" si="91"/>
        <v>3</v>
      </c>
      <c r="CA110" s="1">
        <f t="shared" si="92"/>
        <v>-4.0999999999999996</v>
      </c>
      <c r="CB110" s="1">
        <f t="shared" si="93"/>
        <v>0.1</v>
      </c>
      <c r="CC110" s="1">
        <f t="shared" si="94"/>
        <v>0.7</v>
      </c>
      <c r="CD110" s="1">
        <f t="shared" si="95"/>
        <v>1.2</v>
      </c>
      <c r="CE110" s="1" t="str">
        <f t="shared" si="96"/>
        <v>NAN</v>
      </c>
      <c r="CF110" s="1">
        <f t="shared" si="97"/>
        <v>0.308</v>
      </c>
      <c r="CG110" s="1">
        <f t="shared" si="98"/>
        <v>0.44</v>
      </c>
      <c r="CI110" s="1">
        <f t="shared" si="62"/>
        <v>2880</v>
      </c>
      <c r="CJ110" s="1">
        <f t="shared" si="63"/>
        <v>0.155</v>
      </c>
      <c r="CK110" s="1">
        <f t="shared" si="64"/>
        <v>8.8999999999999996E-2</v>
      </c>
      <c r="CL110" s="1">
        <f t="shared" si="65"/>
        <v>5.7000000000000002E-2</v>
      </c>
      <c r="CM110" s="1">
        <f t="shared" si="66"/>
        <v>4.7E-2</v>
      </c>
      <c r="CN110" s="1">
        <f t="shared" si="67"/>
        <v>8.4000000000000005E-2</v>
      </c>
      <c r="CO110" s="1">
        <f t="shared" si="68"/>
        <v>0.13900000000000001</v>
      </c>
      <c r="CP110" s="1">
        <f t="shared" si="69"/>
        <v>0.217</v>
      </c>
      <c r="CQ110" s="1">
        <f t="shared" si="70"/>
        <v>0.21299999999999999</v>
      </c>
      <c r="CS110" s="1">
        <f t="shared" si="101"/>
        <v>0.20000000000000018</v>
      </c>
      <c r="CT110" s="1">
        <f t="shared" si="102"/>
        <v>-0.49999999999999956</v>
      </c>
    </row>
    <row r="111" spans="1:98" x14ac:dyDescent="0.2">
      <c r="A111" s="8">
        <f t="shared" si="99"/>
        <v>43936</v>
      </c>
      <c r="B111" s="1">
        <v>106</v>
      </c>
      <c r="C111" s="1">
        <v>11</v>
      </c>
      <c r="D111" s="2">
        <v>13.02</v>
      </c>
      <c r="E111" s="2">
        <v>4.2560000000000002</v>
      </c>
      <c r="F111" s="2">
        <v>-8.44</v>
      </c>
      <c r="G111" s="2">
        <v>-1.0069999999999999</v>
      </c>
      <c r="H111" s="2">
        <v>69.27</v>
      </c>
      <c r="I111" s="2">
        <v>-8.1000000000000003E-2</v>
      </c>
      <c r="J111" s="2">
        <v>-0.22500000000000001</v>
      </c>
      <c r="K111" s="2">
        <v>4.8000000000000001E-2</v>
      </c>
      <c r="L111" s="2">
        <v>0.72299999999999998</v>
      </c>
      <c r="M111" s="2">
        <v>1.246</v>
      </c>
      <c r="N111" s="2">
        <v>4.1470000000000002</v>
      </c>
      <c r="O111" s="2">
        <v>96.2</v>
      </c>
      <c r="P111" s="2">
        <v>4.5999999999999999E-2</v>
      </c>
      <c r="Q111" s="2">
        <v>-0.10299999999999999</v>
      </c>
      <c r="R111" s="2">
        <v>0.17699999999999999</v>
      </c>
      <c r="S111" s="2">
        <v>0.86399999999999999</v>
      </c>
      <c r="T111" s="2">
        <v>1.4079999999999999</v>
      </c>
      <c r="U111" s="2">
        <v>-6.7409999999999997</v>
      </c>
      <c r="V111" s="2">
        <v>33.29</v>
      </c>
      <c r="W111" s="2">
        <v>-0.189</v>
      </c>
      <c r="X111" s="2">
        <v>-0.315</v>
      </c>
      <c r="Y111" s="2">
        <v>-7.4999999999999997E-2</v>
      </c>
      <c r="Z111" s="2">
        <v>0.60299999999999998</v>
      </c>
      <c r="AA111" s="2">
        <v>1.099</v>
      </c>
      <c r="AB111" s="2">
        <v>1.2829999999999999</v>
      </c>
      <c r="AC111" s="2">
        <v>0</v>
      </c>
      <c r="AD111" s="2">
        <v>17.010000000000002</v>
      </c>
      <c r="AE111" s="2">
        <v>18.13</v>
      </c>
      <c r="AF111" s="2">
        <v>1.1879999999999999</v>
      </c>
      <c r="AG111" s="2">
        <v>4.8840000000000003</v>
      </c>
      <c r="AH111" s="2">
        <v>-1.7929999999999999</v>
      </c>
      <c r="AI111" s="2">
        <v>6.4429999999999996</v>
      </c>
      <c r="AJ111" s="2">
        <v>-10.58</v>
      </c>
      <c r="AK111" s="2">
        <v>9.6300000000000008</v>
      </c>
      <c r="AL111" s="2">
        <v>-6.6719999999999997</v>
      </c>
      <c r="AM111" s="2">
        <v>1.296</v>
      </c>
      <c r="AN111" s="2" t="s">
        <v>122</v>
      </c>
      <c r="AO111" s="2">
        <v>415</v>
      </c>
      <c r="AP111" s="2">
        <v>386</v>
      </c>
      <c r="AQ111" s="2">
        <v>534</v>
      </c>
      <c r="AR111" s="2">
        <v>335</v>
      </c>
      <c r="AS111" s="2">
        <v>219</v>
      </c>
      <c r="AT111" s="2">
        <v>298</v>
      </c>
      <c r="AU111" s="2">
        <v>318</v>
      </c>
      <c r="AV111" s="2">
        <v>375</v>
      </c>
      <c r="AW111" s="2"/>
      <c r="AX111" s="1">
        <f t="shared" si="103"/>
        <v>1.2669999999999999</v>
      </c>
      <c r="AY111" s="21">
        <f t="shared" si="104"/>
        <v>-0.1</v>
      </c>
      <c r="AZ111" s="5">
        <v>25.26</v>
      </c>
      <c r="BA111" s="1">
        <v>18.77</v>
      </c>
      <c r="BB111" s="1">
        <v>16.68</v>
      </c>
      <c r="BC111" s="6">
        <f t="shared" si="100"/>
        <v>0.88865210442194997</v>
      </c>
      <c r="BE111" s="30">
        <v>0</v>
      </c>
      <c r="BF111" s="27">
        <v>1307</v>
      </c>
      <c r="BG111" s="1">
        <f t="shared" si="73"/>
        <v>96.2</v>
      </c>
      <c r="BH111" s="1">
        <f t="shared" si="74"/>
        <v>69.3</v>
      </c>
      <c r="BI111" s="1">
        <f t="shared" si="75"/>
        <v>33.299999999999997</v>
      </c>
      <c r="BJ111" s="7">
        <f t="shared" si="76"/>
        <v>0.27400000000000002</v>
      </c>
      <c r="BK111" s="7">
        <f t="shared" si="77"/>
        <v>0.54900000000000004</v>
      </c>
      <c r="BM111" s="5">
        <f t="shared" si="78"/>
        <v>18.77</v>
      </c>
      <c r="BN111" s="5">
        <f t="shared" si="79"/>
        <v>16.68</v>
      </c>
      <c r="BO111" s="1">
        <f t="shared" si="80"/>
        <v>-1</v>
      </c>
      <c r="BP111" s="1">
        <f t="shared" si="81"/>
        <v>4.0999999999999996</v>
      </c>
      <c r="BQ111" s="1">
        <f t="shared" si="82"/>
        <v>-6.7</v>
      </c>
      <c r="BR111" s="1">
        <f t="shared" si="83"/>
        <v>69.3</v>
      </c>
      <c r="BS111" s="1">
        <f t="shared" si="84"/>
        <v>33.299999999999997</v>
      </c>
      <c r="BT111" s="1">
        <f t="shared" si="85"/>
        <v>1.2</v>
      </c>
      <c r="BU111" s="1">
        <f t="shared" si="86"/>
        <v>4.9000000000000004</v>
      </c>
      <c r="BV111" s="33">
        <f t="shared" si="87"/>
        <v>0</v>
      </c>
      <c r="BW111" s="34">
        <f t="shared" si="105"/>
        <v>1.3069999999999999</v>
      </c>
      <c r="BX111" s="20">
        <f t="shared" si="89"/>
        <v>-0.1</v>
      </c>
      <c r="BY111" s="1">
        <f t="shared" si="90"/>
        <v>-1.8</v>
      </c>
      <c r="BZ111" s="1">
        <f t="shared" si="91"/>
        <v>6.4</v>
      </c>
      <c r="CA111" s="1">
        <f t="shared" si="92"/>
        <v>-10.6</v>
      </c>
      <c r="CB111" s="1">
        <f t="shared" si="93"/>
        <v>0</v>
      </c>
      <c r="CC111" s="1">
        <f t="shared" si="94"/>
        <v>0.7</v>
      </c>
      <c r="CD111" s="1">
        <f t="shared" si="95"/>
        <v>1.2</v>
      </c>
      <c r="CE111" s="1" t="str">
        <f t="shared" si="96"/>
        <v>NAN</v>
      </c>
      <c r="CF111" s="1">
        <f t="shared" si="97"/>
        <v>0.27400000000000002</v>
      </c>
      <c r="CG111" s="1">
        <f t="shared" si="98"/>
        <v>0.54900000000000004</v>
      </c>
      <c r="CI111" s="1">
        <f t="shared" si="62"/>
        <v>2880</v>
      </c>
      <c r="CJ111" s="1">
        <f t="shared" si="63"/>
        <v>0.14399999999999999</v>
      </c>
      <c r="CK111" s="1">
        <f t="shared" si="64"/>
        <v>0.13400000000000001</v>
      </c>
      <c r="CL111" s="1">
        <f t="shared" si="65"/>
        <v>0.185</v>
      </c>
      <c r="CM111" s="1">
        <f t="shared" si="66"/>
        <v>0.11600000000000001</v>
      </c>
      <c r="CN111" s="1">
        <f t="shared" si="67"/>
        <v>7.5999999999999998E-2</v>
      </c>
      <c r="CO111" s="1">
        <f t="shared" si="68"/>
        <v>0.10299999999999999</v>
      </c>
      <c r="CP111" s="1">
        <f t="shared" si="69"/>
        <v>0.11</v>
      </c>
      <c r="CQ111" s="1">
        <f t="shared" si="70"/>
        <v>0.13</v>
      </c>
      <c r="CS111" s="1">
        <f t="shared" si="101"/>
        <v>2.3000000000000007</v>
      </c>
      <c r="CT111" s="1">
        <f t="shared" si="102"/>
        <v>-3.8999999999999995</v>
      </c>
    </row>
    <row r="112" spans="1:98" x14ac:dyDescent="0.2">
      <c r="A112" s="8">
        <f t="shared" si="99"/>
        <v>43937</v>
      </c>
      <c r="B112" s="1">
        <v>107</v>
      </c>
      <c r="C112" s="1">
        <v>11</v>
      </c>
      <c r="D112" s="2">
        <v>13.03</v>
      </c>
      <c r="E112" s="2">
        <v>7.1589999999999998</v>
      </c>
      <c r="F112" s="2">
        <v>-9.9600000000000009</v>
      </c>
      <c r="G112" s="2">
        <v>1.002</v>
      </c>
      <c r="H112" s="2">
        <v>40.549999999999997</v>
      </c>
      <c r="I112" s="2">
        <v>-8.5999999999999993E-2</v>
      </c>
      <c r="J112" s="2">
        <v>-0.216</v>
      </c>
      <c r="K112" s="2">
        <v>5.2999999999999999E-2</v>
      </c>
      <c r="L112" s="2">
        <v>0.72599999999999998</v>
      </c>
      <c r="M112" s="2">
        <v>1.252</v>
      </c>
      <c r="N112" s="2">
        <v>8.24</v>
      </c>
      <c r="O112" s="2">
        <v>72.63</v>
      </c>
      <c r="P112" s="2">
        <v>6.8000000000000005E-2</v>
      </c>
      <c r="Q112" s="2">
        <v>-4.7E-2</v>
      </c>
      <c r="R112" s="2">
        <v>0.20100000000000001</v>
      </c>
      <c r="S112" s="2">
        <v>0.88200000000000001</v>
      </c>
      <c r="T112" s="2">
        <v>1.4570000000000001</v>
      </c>
      <c r="U112" s="2">
        <v>-7.08</v>
      </c>
      <c r="V112" s="2">
        <v>17.510000000000002</v>
      </c>
      <c r="W112" s="2">
        <v>-0.26600000000000001</v>
      </c>
      <c r="X112" s="2">
        <v>-0.36399999999999999</v>
      </c>
      <c r="Y112" s="2">
        <v>-5.6000000000000001E-2</v>
      </c>
      <c r="Z112" s="2">
        <v>0.60499999999999998</v>
      </c>
      <c r="AA112" s="2">
        <v>1.087</v>
      </c>
      <c r="AB112" s="2">
        <v>1.3029999999999999</v>
      </c>
      <c r="AC112" s="2">
        <v>0</v>
      </c>
      <c r="AD112" s="2">
        <v>21.89</v>
      </c>
      <c r="AE112" s="2">
        <v>18.55</v>
      </c>
      <c r="AF112" s="2">
        <v>1.0469999999999999</v>
      </c>
      <c r="AG112" s="2">
        <v>3.3889999999999998</v>
      </c>
      <c r="AH112" s="2">
        <v>-2.153</v>
      </c>
      <c r="AI112" s="2">
        <v>8.35</v>
      </c>
      <c r="AJ112" s="2">
        <v>-11.83</v>
      </c>
      <c r="AK112" s="2">
        <v>15.25</v>
      </c>
      <c r="AL112" s="2">
        <v>-6.8730000000000002</v>
      </c>
      <c r="AM112" s="2">
        <v>1.304</v>
      </c>
      <c r="AN112" s="2" t="s">
        <v>122</v>
      </c>
      <c r="AO112" s="2">
        <v>565</v>
      </c>
      <c r="AP112" s="2">
        <v>795</v>
      </c>
      <c r="AQ112" s="2">
        <v>374</v>
      </c>
      <c r="AR112" s="2">
        <v>81</v>
      </c>
      <c r="AS112" s="2">
        <v>41</v>
      </c>
      <c r="AT112" s="2">
        <v>115</v>
      </c>
      <c r="AU112" s="2">
        <v>310</v>
      </c>
      <c r="AV112" s="2">
        <v>599</v>
      </c>
      <c r="AW112" s="2"/>
      <c r="AX112" s="1">
        <f t="shared" si="103"/>
        <v>1.2469999999999999</v>
      </c>
      <c r="AY112" s="21">
        <f t="shared" si="104"/>
        <v>-0.1</v>
      </c>
      <c r="AZ112" s="5">
        <v>25.49</v>
      </c>
      <c r="BA112" s="1">
        <v>21.89</v>
      </c>
      <c r="BB112" s="1">
        <v>17.059999999999999</v>
      </c>
      <c r="BC112" s="6">
        <f t="shared" si="100"/>
        <v>0.77935130196436719</v>
      </c>
      <c r="BE112" s="30">
        <v>0</v>
      </c>
      <c r="BF112" s="27">
        <v>1287</v>
      </c>
      <c r="BG112" s="1">
        <f t="shared" si="73"/>
        <v>72.599999999999994</v>
      </c>
      <c r="BH112" s="1">
        <f t="shared" si="74"/>
        <v>40.6</v>
      </c>
      <c r="BI112" s="1">
        <f t="shared" si="75"/>
        <v>17.5</v>
      </c>
      <c r="BJ112" s="7">
        <f t="shared" si="76"/>
        <v>0.191</v>
      </c>
      <c r="BK112" s="7">
        <f t="shared" si="77"/>
        <v>0.9</v>
      </c>
      <c r="BM112" s="5">
        <f t="shared" si="78"/>
        <v>21.89</v>
      </c>
      <c r="BN112" s="5">
        <f t="shared" si="79"/>
        <v>17.059999999999999</v>
      </c>
      <c r="BO112" s="1">
        <f t="shared" si="80"/>
        <v>1</v>
      </c>
      <c r="BP112" s="1">
        <f t="shared" si="81"/>
        <v>8.1999999999999993</v>
      </c>
      <c r="BQ112" s="1">
        <f t="shared" si="82"/>
        <v>-7.1</v>
      </c>
      <c r="BR112" s="1">
        <f t="shared" si="83"/>
        <v>40.6</v>
      </c>
      <c r="BS112" s="1">
        <f t="shared" si="84"/>
        <v>17.5</v>
      </c>
      <c r="BT112" s="1">
        <f t="shared" si="85"/>
        <v>1</v>
      </c>
      <c r="BU112" s="1">
        <f t="shared" si="86"/>
        <v>3.4</v>
      </c>
      <c r="BV112" s="33">
        <f t="shared" si="87"/>
        <v>0</v>
      </c>
      <c r="BW112" s="34">
        <f t="shared" si="105"/>
        <v>1.2869999999999999</v>
      </c>
      <c r="BX112" s="20">
        <f t="shared" si="89"/>
        <v>-0.1</v>
      </c>
      <c r="BY112" s="1">
        <f t="shared" si="90"/>
        <v>-2.2000000000000002</v>
      </c>
      <c r="BZ112" s="1">
        <f t="shared" si="91"/>
        <v>8.4</v>
      </c>
      <c r="CA112" s="1">
        <f t="shared" si="92"/>
        <v>-11.8</v>
      </c>
      <c r="CB112" s="1">
        <f t="shared" si="93"/>
        <v>0.1</v>
      </c>
      <c r="CC112" s="1">
        <f t="shared" si="94"/>
        <v>0.7</v>
      </c>
      <c r="CD112" s="1">
        <f t="shared" si="95"/>
        <v>1.3</v>
      </c>
      <c r="CE112" s="1" t="str">
        <f t="shared" si="96"/>
        <v>NAN</v>
      </c>
      <c r="CF112" s="1">
        <f t="shared" si="97"/>
        <v>0.191</v>
      </c>
      <c r="CG112" s="1">
        <f t="shared" si="98"/>
        <v>0.9</v>
      </c>
      <c r="CI112" s="1">
        <f t="shared" si="62"/>
        <v>2880</v>
      </c>
      <c r="CJ112" s="1">
        <f t="shared" si="63"/>
        <v>0.19600000000000001</v>
      </c>
      <c r="CK112" s="1">
        <f t="shared" si="64"/>
        <v>0.27600000000000002</v>
      </c>
      <c r="CL112" s="1">
        <f t="shared" si="65"/>
        <v>0.13</v>
      </c>
      <c r="CM112" s="1">
        <f t="shared" si="66"/>
        <v>2.8000000000000001E-2</v>
      </c>
      <c r="CN112" s="1">
        <f t="shared" si="67"/>
        <v>1.4E-2</v>
      </c>
      <c r="CO112" s="1">
        <f t="shared" si="68"/>
        <v>0.04</v>
      </c>
      <c r="CP112" s="1">
        <f t="shared" si="69"/>
        <v>0.108</v>
      </c>
      <c r="CQ112" s="1">
        <f t="shared" si="70"/>
        <v>0.20799999999999999</v>
      </c>
      <c r="CS112" s="1">
        <f t="shared" si="101"/>
        <v>0.20000000000000107</v>
      </c>
      <c r="CT112" s="1">
        <f t="shared" si="102"/>
        <v>-4.7000000000000011</v>
      </c>
    </row>
    <row r="113" spans="1:98" x14ac:dyDescent="0.2">
      <c r="A113" s="8">
        <f t="shared" si="99"/>
        <v>43938</v>
      </c>
      <c r="B113" s="1">
        <v>108</v>
      </c>
      <c r="C113" s="1">
        <v>11</v>
      </c>
      <c r="D113" s="2">
        <v>13.01</v>
      </c>
      <c r="E113" s="2">
        <v>6.8319999999999999</v>
      </c>
      <c r="F113" s="2">
        <v>-6.0279999999999996</v>
      </c>
      <c r="G113" s="2">
        <v>1.4790000000000001</v>
      </c>
      <c r="H113" s="2">
        <v>62.61</v>
      </c>
      <c r="I113" s="2">
        <v>-7.1999999999999995E-2</v>
      </c>
      <c r="J113" s="2">
        <v>-0.186</v>
      </c>
      <c r="K113" s="2">
        <v>4.8000000000000001E-2</v>
      </c>
      <c r="L113" s="2">
        <v>0.72199999999999998</v>
      </c>
      <c r="M113" s="2">
        <v>1.2350000000000001</v>
      </c>
      <c r="N113" s="2">
        <v>7.133</v>
      </c>
      <c r="O113" s="2">
        <v>90.7</v>
      </c>
      <c r="P113" s="2">
        <v>2.7E-2</v>
      </c>
      <c r="Q113" s="2">
        <v>-9.0999999999999998E-2</v>
      </c>
      <c r="R113" s="2">
        <v>0.13200000000000001</v>
      </c>
      <c r="S113" s="2">
        <v>0.80400000000000005</v>
      </c>
      <c r="T113" s="2">
        <v>1.3560000000000001</v>
      </c>
      <c r="U113" s="2">
        <v>-2.0920000000000001</v>
      </c>
      <c r="V113" s="2">
        <v>37.79</v>
      </c>
      <c r="W113" s="2">
        <v>-0.249</v>
      </c>
      <c r="X113" s="2">
        <v>-0.316</v>
      </c>
      <c r="Y113" s="2">
        <v>-3.3000000000000002E-2</v>
      </c>
      <c r="Z113" s="2">
        <v>0.64700000000000002</v>
      </c>
      <c r="AA113" s="2">
        <v>1.08</v>
      </c>
      <c r="AB113" s="2">
        <v>1.331</v>
      </c>
      <c r="AC113" s="2">
        <v>0</v>
      </c>
      <c r="AD113" s="2">
        <v>13.59</v>
      </c>
      <c r="AE113" s="2">
        <v>10.06</v>
      </c>
      <c r="AF113" s="2">
        <v>1.1399999999999999</v>
      </c>
      <c r="AG113" s="2">
        <v>4.3280000000000003</v>
      </c>
      <c r="AH113" s="2">
        <v>-0.71899999999999997</v>
      </c>
      <c r="AI113" s="2">
        <v>6.8070000000000004</v>
      </c>
      <c r="AJ113" s="2">
        <v>-6.4859999999999998</v>
      </c>
      <c r="AK113" s="2">
        <v>11.87</v>
      </c>
      <c r="AL113" s="2">
        <v>-2.1120000000000001</v>
      </c>
      <c r="AM113" s="2">
        <v>1.3320000000000001</v>
      </c>
      <c r="AN113" s="2" t="s">
        <v>122</v>
      </c>
      <c r="AO113" s="2">
        <v>308</v>
      </c>
      <c r="AP113" s="2">
        <v>665</v>
      </c>
      <c r="AQ113" s="2">
        <v>318</v>
      </c>
      <c r="AR113" s="2">
        <v>27</v>
      </c>
      <c r="AS113" s="2">
        <v>39</v>
      </c>
      <c r="AT113" s="2">
        <v>238</v>
      </c>
      <c r="AU113" s="2">
        <v>707</v>
      </c>
      <c r="AV113" s="2">
        <v>577</v>
      </c>
      <c r="AW113" s="2"/>
      <c r="AX113" s="1">
        <f t="shared" si="103"/>
        <v>1.2189999999999999</v>
      </c>
      <c r="AY113" s="21">
        <f t="shared" si="104"/>
        <v>-0.1</v>
      </c>
      <c r="AZ113" s="5">
        <v>25.73</v>
      </c>
      <c r="BA113" s="1">
        <v>13.59</v>
      </c>
      <c r="BB113" s="1">
        <v>9.26</v>
      </c>
      <c r="BC113" s="6">
        <f t="shared" si="100"/>
        <v>0.68138337012509198</v>
      </c>
      <c r="BE113" s="30">
        <v>0</v>
      </c>
      <c r="BF113" s="27">
        <v>1259</v>
      </c>
      <c r="BG113" s="1">
        <f t="shared" si="73"/>
        <v>90.7</v>
      </c>
      <c r="BH113" s="1">
        <f t="shared" si="74"/>
        <v>62.6</v>
      </c>
      <c r="BI113" s="1">
        <f t="shared" si="75"/>
        <v>37.799999999999997</v>
      </c>
      <c r="BJ113" s="7">
        <f t="shared" si="76"/>
        <v>0.38200000000000001</v>
      </c>
      <c r="BK113" s="7">
        <f t="shared" si="77"/>
        <v>0.629</v>
      </c>
      <c r="BM113" s="5">
        <f t="shared" si="78"/>
        <v>13.59</v>
      </c>
      <c r="BN113" s="5">
        <f t="shared" si="79"/>
        <v>9.26</v>
      </c>
      <c r="BO113" s="1">
        <f t="shared" si="80"/>
        <v>1.5</v>
      </c>
      <c r="BP113" s="1">
        <f t="shared" si="81"/>
        <v>7.1</v>
      </c>
      <c r="BQ113" s="1">
        <f t="shared" si="82"/>
        <v>-2.1</v>
      </c>
      <c r="BR113" s="1">
        <f t="shared" si="83"/>
        <v>62.6</v>
      </c>
      <c r="BS113" s="1">
        <f t="shared" si="84"/>
        <v>37.799999999999997</v>
      </c>
      <c r="BT113" s="1">
        <f t="shared" si="85"/>
        <v>1.1000000000000001</v>
      </c>
      <c r="BU113" s="1">
        <f t="shared" si="86"/>
        <v>4.3</v>
      </c>
      <c r="BV113" s="33">
        <f t="shared" si="87"/>
        <v>0</v>
      </c>
      <c r="BW113" s="34">
        <f t="shared" si="105"/>
        <v>1.2589999999999999</v>
      </c>
      <c r="BX113" s="20">
        <f t="shared" si="89"/>
        <v>-0.1</v>
      </c>
      <c r="BY113" s="1">
        <f t="shared" si="90"/>
        <v>-0.7</v>
      </c>
      <c r="BZ113" s="1">
        <f t="shared" si="91"/>
        <v>6.8</v>
      </c>
      <c r="CA113" s="1">
        <f t="shared" si="92"/>
        <v>-6.5</v>
      </c>
      <c r="CB113" s="1">
        <f t="shared" si="93"/>
        <v>0</v>
      </c>
      <c r="CC113" s="1">
        <f t="shared" si="94"/>
        <v>0.7</v>
      </c>
      <c r="CD113" s="1">
        <f t="shared" si="95"/>
        <v>1.2</v>
      </c>
      <c r="CE113" s="1" t="str">
        <f t="shared" si="96"/>
        <v>NAN</v>
      </c>
      <c r="CF113" s="1">
        <f t="shared" si="97"/>
        <v>0.38200000000000001</v>
      </c>
      <c r="CG113" s="1">
        <f t="shared" si="98"/>
        <v>0.629</v>
      </c>
      <c r="CI113" s="1">
        <f t="shared" si="62"/>
        <v>2879</v>
      </c>
      <c r="CJ113" s="1">
        <f t="shared" si="63"/>
        <v>0.107</v>
      </c>
      <c r="CK113" s="1">
        <f t="shared" si="64"/>
        <v>0.23100000000000001</v>
      </c>
      <c r="CL113" s="1">
        <f t="shared" si="65"/>
        <v>0.11</v>
      </c>
      <c r="CM113" s="1">
        <f t="shared" si="66"/>
        <v>8.9999999999999993E-3</v>
      </c>
      <c r="CN113" s="1">
        <f t="shared" si="67"/>
        <v>1.4E-2</v>
      </c>
      <c r="CO113" s="1">
        <f t="shared" si="68"/>
        <v>8.3000000000000004E-2</v>
      </c>
      <c r="CP113" s="1">
        <f t="shared" si="69"/>
        <v>0.246</v>
      </c>
      <c r="CQ113" s="1">
        <f t="shared" si="70"/>
        <v>0.2</v>
      </c>
      <c r="CS113" s="1">
        <f t="shared" si="101"/>
        <v>-0.29999999999999982</v>
      </c>
      <c r="CT113" s="1">
        <f t="shared" si="102"/>
        <v>-4.4000000000000004</v>
      </c>
    </row>
    <row r="114" spans="1:98" x14ac:dyDescent="0.2">
      <c r="A114" s="8">
        <f t="shared" si="99"/>
        <v>43939</v>
      </c>
      <c r="B114" s="1">
        <v>109</v>
      </c>
      <c r="C114" s="1">
        <v>11</v>
      </c>
      <c r="D114" s="2">
        <v>13.03</v>
      </c>
      <c r="E114" s="2">
        <v>7.9930000000000003</v>
      </c>
      <c r="F114" s="2">
        <v>-2.9550000000000001</v>
      </c>
      <c r="G114" s="2">
        <v>1.272</v>
      </c>
      <c r="H114" s="2">
        <v>80.5</v>
      </c>
      <c r="I114" s="2">
        <v>-4.2999999999999997E-2</v>
      </c>
      <c r="J114" s="2">
        <v>-0.13700000000000001</v>
      </c>
      <c r="K114" s="2">
        <v>5.3999999999999999E-2</v>
      </c>
      <c r="L114" s="2">
        <v>0.72899999999999998</v>
      </c>
      <c r="M114" s="2">
        <v>1.242</v>
      </c>
      <c r="N114" s="2">
        <v>6.617</v>
      </c>
      <c r="O114" s="2">
        <v>94.9</v>
      </c>
      <c r="P114" s="2">
        <v>8.5000000000000006E-2</v>
      </c>
      <c r="Q114" s="2">
        <v>-1.4999999999999999E-2</v>
      </c>
      <c r="R114" s="2">
        <v>0.16</v>
      </c>
      <c r="S114" s="2">
        <v>0.83799999999999997</v>
      </c>
      <c r="T114" s="2">
        <v>1.4059999999999999</v>
      </c>
      <c r="U114" s="2">
        <v>-1.0249999999999999</v>
      </c>
      <c r="V114" s="2">
        <v>53.23</v>
      </c>
      <c r="W114" s="2">
        <v>-0.126</v>
      </c>
      <c r="X114" s="2">
        <v>-0.22700000000000001</v>
      </c>
      <c r="Y114" s="2">
        <v>-3.3000000000000002E-2</v>
      </c>
      <c r="Z114" s="2">
        <v>0.64600000000000002</v>
      </c>
      <c r="AA114" s="2">
        <v>1.1319999999999999</v>
      </c>
      <c r="AB114" s="2">
        <v>1.361</v>
      </c>
      <c r="AC114" s="2">
        <v>0</v>
      </c>
      <c r="AD114" s="2">
        <v>16.39</v>
      </c>
      <c r="AE114" s="2">
        <v>12.86</v>
      </c>
      <c r="AF114" s="2">
        <v>0.95399999999999996</v>
      </c>
      <c r="AG114" s="2">
        <v>3.1709999999999998</v>
      </c>
      <c r="AH114" s="2">
        <v>0.502</v>
      </c>
      <c r="AI114" s="2">
        <v>7.9409999999999998</v>
      </c>
      <c r="AJ114" s="2">
        <v>-3.3260000000000001</v>
      </c>
      <c r="AK114" s="2">
        <v>13.91</v>
      </c>
      <c r="AL114" s="2">
        <v>-1.2150000000000001</v>
      </c>
      <c r="AM114" s="2">
        <v>1.36</v>
      </c>
      <c r="AN114" s="2" t="s">
        <v>122</v>
      </c>
      <c r="AO114" s="2">
        <v>826</v>
      </c>
      <c r="AP114" s="2">
        <v>1116</v>
      </c>
      <c r="AQ114" s="2">
        <v>415</v>
      </c>
      <c r="AR114" s="2">
        <v>105</v>
      </c>
      <c r="AS114" s="2">
        <v>38</v>
      </c>
      <c r="AT114" s="2">
        <v>9</v>
      </c>
      <c r="AU114" s="2">
        <v>64</v>
      </c>
      <c r="AV114" s="2">
        <v>307</v>
      </c>
      <c r="AW114" s="2"/>
      <c r="AX114" s="1">
        <f t="shared" si="103"/>
        <v>1.1889999999999998</v>
      </c>
      <c r="AY114" s="21">
        <f t="shared" si="104"/>
        <v>0</v>
      </c>
      <c r="AZ114" s="5">
        <v>25.96</v>
      </c>
      <c r="BA114" s="1">
        <v>16.39</v>
      </c>
      <c r="BB114" s="1">
        <v>11.83</v>
      </c>
      <c r="BC114" s="6">
        <f t="shared" si="100"/>
        <v>0.72178157413056743</v>
      </c>
      <c r="BE114" s="30">
        <v>0</v>
      </c>
      <c r="BF114" s="27">
        <v>1235</v>
      </c>
      <c r="BG114" s="1">
        <f t="shared" si="73"/>
        <v>94.9</v>
      </c>
      <c r="BH114" s="1">
        <f t="shared" si="74"/>
        <v>80.5</v>
      </c>
      <c r="BI114" s="1">
        <f t="shared" si="75"/>
        <v>53.2</v>
      </c>
      <c r="BJ114" s="7">
        <f t="shared" si="76"/>
        <v>0.51900000000000002</v>
      </c>
      <c r="BK114" s="7">
        <f t="shared" si="77"/>
        <v>0.45700000000000002</v>
      </c>
      <c r="BM114" s="5">
        <f t="shared" si="78"/>
        <v>16.39</v>
      </c>
      <c r="BN114" s="5">
        <f t="shared" si="79"/>
        <v>11.83</v>
      </c>
      <c r="BO114" s="1">
        <f t="shared" si="80"/>
        <v>1.3</v>
      </c>
      <c r="BP114" s="1">
        <f t="shared" si="81"/>
        <v>6.6</v>
      </c>
      <c r="BQ114" s="1">
        <f t="shared" si="82"/>
        <v>-1</v>
      </c>
      <c r="BR114" s="1">
        <f t="shared" si="83"/>
        <v>80.5</v>
      </c>
      <c r="BS114" s="1">
        <f t="shared" si="84"/>
        <v>53.2</v>
      </c>
      <c r="BT114" s="1">
        <f t="shared" si="85"/>
        <v>1</v>
      </c>
      <c r="BU114" s="1">
        <f t="shared" si="86"/>
        <v>3.2</v>
      </c>
      <c r="BV114" s="33">
        <f t="shared" si="87"/>
        <v>0</v>
      </c>
      <c r="BW114" s="34">
        <f t="shared" si="105"/>
        <v>1.2350000000000001</v>
      </c>
      <c r="BX114" s="20">
        <f t="shared" si="89"/>
        <v>0</v>
      </c>
      <c r="BY114" s="1">
        <f t="shared" si="90"/>
        <v>0.5</v>
      </c>
      <c r="BZ114" s="1">
        <f t="shared" si="91"/>
        <v>7.9</v>
      </c>
      <c r="CA114" s="1">
        <f t="shared" si="92"/>
        <v>-3.3</v>
      </c>
      <c r="CB114" s="1">
        <f t="shared" si="93"/>
        <v>0.1</v>
      </c>
      <c r="CC114" s="1">
        <f t="shared" si="94"/>
        <v>0.7</v>
      </c>
      <c r="CD114" s="1">
        <f t="shared" si="95"/>
        <v>1.2</v>
      </c>
      <c r="CE114" s="1" t="str">
        <f t="shared" si="96"/>
        <v>NAN</v>
      </c>
      <c r="CF114" s="1">
        <f t="shared" si="97"/>
        <v>0.51900000000000002</v>
      </c>
      <c r="CG114" s="1">
        <f t="shared" si="98"/>
        <v>0.45700000000000002</v>
      </c>
      <c r="CI114" s="1">
        <f t="shared" si="62"/>
        <v>2880</v>
      </c>
      <c r="CJ114" s="1">
        <f t="shared" si="63"/>
        <v>0.28699999999999998</v>
      </c>
      <c r="CK114" s="1">
        <f t="shared" si="64"/>
        <v>0.38800000000000001</v>
      </c>
      <c r="CL114" s="1">
        <f t="shared" si="65"/>
        <v>0.14399999999999999</v>
      </c>
      <c r="CM114" s="1">
        <f t="shared" si="66"/>
        <v>3.5999999999999997E-2</v>
      </c>
      <c r="CN114" s="1">
        <f t="shared" si="67"/>
        <v>1.2999999999999999E-2</v>
      </c>
      <c r="CO114" s="1">
        <f t="shared" si="68"/>
        <v>3.0000000000000001E-3</v>
      </c>
      <c r="CP114" s="1">
        <f t="shared" si="69"/>
        <v>2.1999999999999999E-2</v>
      </c>
      <c r="CQ114" s="1">
        <f t="shared" si="70"/>
        <v>0.107</v>
      </c>
      <c r="CS114" s="1">
        <f t="shared" si="101"/>
        <v>1.3000000000000007</v>
      </c>
      <c r="CT114" s="1">
        <f t="shared" si="102"/>
        <v>-2.2999999999999998</v>
      </c>
    </row>
    <row r="115" spans="1:98" x14ac:dyDescent="0.2">
      <c r="A115" s="8">
        <f t="shared" si="99"/>
        <v>43940</v>
      </c>
      <c r="B115" s="1">
        <v>110</v>
      </c>
      <c r="C115" s="1">
        <v>11</v>
      </c>
      <c r="D115" s="2">
        <v>13</v>
      </c>
      <c r="E115" s="2">
        <v>9.17</v>
      </c>
      <c r="F115" s="2">
        <v>-2.9550000000000001</v>
      </c>
      <c r="G115" s="2">
        <v>3.1080000000000001</v>
      </c>
      <c r="H115" s="2">
        <v>71.08</v>
      </c>
      <c r="I115" s="2">
        <v>-2.7E-2</v>
      </c>
      <c r="J115" s="2">
        <v>-8.8999999999999996E-2</v>
      </c>
      <c r="K115" s="2">
        <v>0.06</v>
      </c>
      <c r="L115" s="2">
        <v>0.73499999999999999</v>
      </c>
      <c r="M115" s="2">
        <v>1.254</v>
      </c>
      <c r="N115" s="2">
        <v>8.5399999999999991</v>
      </c>
      <c r="O115" s="2">
        <v>94.4</v>
      </c>
      <c r="P115" s="2">
        <v>8.5000000000000006E-2</v>
      </c>
      <c r="Q115" s="2">
        <v>1.6E-2</v>
      </c>
      <c r="R115" s="2">
        <v>0.16500000000000001</v>
      </c>
      <c r="S115" s="2">
        <v>0.84099999999999997</v>
      </c>
      <c r="T115" s="2">
        <v>1.395</v>
      </c>
      <c r="U115" s="2">
        <v>0.29199999999999998</v>
      </c>
      <c r="V115" s="2">
        <v>41.59</v>
      </c>
      <c r="W115" s="2">
        <v>-0.126</v>
      </c>
      <c r="X115" s="2">
        <v>-0.19700000000000001</v>
      </c>
      <c r="Y115" s="2">
        <v>-3.4000000000000002E-2</v>
      </c>
      <c r="Z115" s="2">
        <v>0.65300000000000002</v>
      </c>
      <c r="AA115" s="2">
        <v>1.143</v>
      </c>
      <c r="AB115" s="2">
        <v>1.3879999999999999</v>
      </c>
      <c r="AC115" s="2">
        <v>0</v>
      </c>
      <c r="AD115" s="2">
        <v>14.27</v>
      </c>
      <c r="AE115" s="2">
        <v>10.35</v>
      </c>
      <c r="AF115" s="2">
        <v>0.95099999999999996</v>
      </c>
      <c r="AG115" s="2">
        <v>3.536</v>
      </c>
      <c r="AH115" s="2">
        <v>1.665</v>
      </c>
      <c r="AI115" s="2">
        <v>8.67</v>
      </c>
      <c r="AJ115" s="2">
        <v>-2.742</v>
      </c>
      <c r="AK115" s="2">
        <v>14.9</v>
      </c>
      <c r="AL115" s="2">
        <v>-8.2000000000000003E-2</v>
      </c>
      <c r="AM115" s="2">
        <v>1.3859999999999999</v>
      </c>
      <c r="AN115" s="2" t="s">
        <v>122</v>
      </c>
      <c r="AO115" s="2">
        <v>641</v>
      </c>
      <c r="AP115" s="2">
        <v>771</v>
      </c>
      <c r="AQ115" s="2">
        <v>441</v>
      </c>
      <c r="AR115" s="2">
        <v>56</v>
      </c>
      <c r="AS115" s="2">
        <v>35</v>
      </c>
      <c r="AT115" s="2">
        <v>68</v>
      </c>
      <c r="AU115" s="2">
        <v>284</v>
      </c>
      <c r="AV115" s="2">
        <v>584</v>
      </c>
      <c r="AW115" s="2"/>
      <c r="AX115" s="1">
        <f t="shared" si="103"/>
        <v>1.1619999999999999</v>
      </c>
      <c r="AY115" s="21">
        <f t="shared" si="104"/>
        <v>0</v>
      </c>
      <c r="AZ115" s="5">
        <v>26.18</v>
      </c>
      <c r="BA115" s="1">
        <v>14.27</v>
      </c>
      <c r="BB115" s="1">
        <v>9.52</v>
      </c>
      <c r="BC115" s="6">
        <f t="shared" si="100"/>
        <v>0.66713384723195512</v>
      </c>
      <c r="BE115" s="30">
        <v>0</v>
      </c>
      <c r="BF115" s="27">
        <v>1202</v>
      </c>
      <c r="BG115" s="1">
        <f t="shared" si="73"/>
        <v>94.4</v>
      </c>
      <c r="BH115" s="1">
        <f t="shared" si="74"/>
        <v>71.099999999999994</v>
      </c>
      <c r="BI115" s="1">
        <f t="shared" si="75"/>
        <v>41.6</v>
      </c>
      <c r="BJ115" s="7">
        <f t="shared" si="76"/>
        <v>0.46300000000000002</v>
      </c>
      <c r="BK115" s="7">
        <f t="shared" si="77"/>
        <v>0.65</v>
      </c>
      <c r="BM115" s="5">
        <f t="shared" si="78"/>
        <v>14.27</v>
      </c>
      <c r="BN115" s="5">
        <f t="shared" si="79"/>
        <v>9.52</v>
      </c>
      <c r="BO115" s="1">
        <f t="shared" si="80"/>
        <v>3.1</v>
      </c>
      <c r="BP115" s="1">
        <f t="shared" si="81"/>
        <v>8.5</v>
      </c>
      <c r="BQ115" s="1">
        <f t="shared" si="82"/>
        <v>0.3</v>
      </c>
      <c r="BR115" s="1">
        <f t="shared" si="83"/>
        <v>71.099999999999994</v>
      </c>
      <c r="BS115" s="1">
        <f t="shared" si="84"/>
        <v>41.6</v>
      </c>
      <c r="BT115" s="1">
        <f t="shared" si="85"/>
        <v>1</v>
      </c>
      <c r="BU115" s="1">
        <f t="shared" si="86"/>
        <v>3.5</v>
      </c>
      <c r="BV115" s="33">
        <f t="shared" si="87"/>
        <v>0</v>
      </c>
      <c r="BW115" s="34">
        <f t="shared" si="105"/>
        <v>1.202</v>
      </c>
      <c r="BX115" s="20">
        <f t="shared" si="89"/>
        <v>0</v>
      </c>
      <c r="BY115" s="1">
        <f t="shared" si="90"/>
        <v>1.7</v>
      </c>
      <c r="BZ115" s="1">
        <f t="shared" si="91"/>
        <v>8.6999999999999993</v>
      </c>
      <c r="CA115" s="1">
        <f t="shared" si="92"/>
        <v>-2.7</v>
      </c>
      <c r="CB115" s="1">
        <f t="shared" si="93"/>
        <v>0.1</v>
      </c>
      <c r="CC115" s="1">
        <f t="shared" si="94"/>
        <v>0.7</v>
      </c>
      <c r="CD115" s="1">
        <f t="shared" si="95"/>
        <v>1.3</v>
      </c>
      <c r="CE115" s="1" t="str">
        <f t="shared" si="96"/>
        <v>NAN</v>
      </c>
      <c r="CF115" s="1">
        <f t="shared" si="97"/>
        <v>0.46300000000000002</v>
      </c>
      <c r="CG115" s="1">
        <f t="shared" si="98"/>
        <v>0.65</v>
      </c>
      <c r="CI115" s="1">
        <f t="shared" si="62"/>
        <v>2880</v>
      </c>
      <c r="CJ115" s="1">
        <f t="shared" si="63"/>
        <v>0.223</v>
      </c>
      <c r="CK115" s="1">
        <f t="shared" si="64"/>
        <v>0.26800000000000002</v>
      </c>
      <c r="CL115" s="1">
        <f t="shared" si="65"/>
        <v>0.153</v>
      </c>
      <c r="CM115" s="1">
        <f t="shared" si="66"/>
        <v>1.9E-2</v>
      </c>
      <c r="CN115" s="1">
        <f t="shared" si="67"/>
        <v>1.2E-2</v>
      </c>
      <c r="CO115" s="1">
        <f t="shared" si="68"/>
        <v>2.4E-2</v>
      </c>
      <c r="CP115" s="1">
        <f t="shared" si="69"/>
        <v>9.9000000000000005E-2</v>
      </c>
      <c r="CQ115" s="1">
        <f t="shared" si="70"/>
        <v>0.20300000000000001</v>
      </c>
      <c r="CS115" s="1">
        <f t="shared" si="101"/>
        <v>0.19999999999999929</v>
      </c>
      <c r="CT115" s="1">
        <f t="shared" si="102"/>
        <v>-3</v>
      </c>
    </row>
    <row r="116" spans="1:98" x14ac:dyDescent="0.2">
      <c r="A116" s="8">
        <f t="shared" si="99"/>
        <v>43941</v>
      </c>
      <c r="B116" s="1">
        <v>111</v>
      </c>
      <c r="C116" s="1">
        <v>11</v>
      </c>
      <c r="D116" s="2">
        <v>13.04</v>
      </c>
      <c r="E116" s="2">
        <v>13.28</v>
      </c>
      <c r="F116" s="2">
        <v>-4.3330000000000002</v>
      </c>
      <c r="G116" s="2">
        <v>5.7770000000000001</v>
      </c>
      <c r="H116" s="2">
        <v>55.77</v>
      </c>
      <c r="I116" s="2">
        <v>-2.1000000000000001E-2</v>
      </c>
      <c r="J116" s="2">
        <v>-5.6000000000000001E-2</v>
      </c>
      <c r="K116" s="2">
        <v>5.8000000000000003E-2</v>
      </c>
      <c r="L116" s="2">
        <v>0.73499999999999999</v>
      </c>
      <c r="M116" s="2">
        <v>1.264</v>
      </c>
      <c r="N116" s="2">
        <v>13.75</v>
      </c>
      <c r="O116" s="2">
        <v>85.8</v>
      </c>
      <c r="P116" s="2">
        <v>0.122</v>
      </c>
      <c r="Q116" s="2">
        <v>9.5000000000000001E-2</v>
      </c>
      <c r="R116" s="2">
        <v>0.182</v>
      </c>
      <c r="S116" s="2">
        <v>0.875</v>
      </c>
      <c r="T116" s="2">
        <v>1.4610000000000001</v>
      </c>
      <c r="U116" s="2">
        <v>-0.98099999999999998</v>
      </c>
      <c r="V116" s="2">
        <v>22.38</v>
      </c>
      <c r="W116" s="2">
        <v>-0.151</v>
      </c>
      <c r="X116" s="2">
        <v>-0.17599999999999999</v>
      </c>
      <c r="Y116" s="2">
        <v>-2.7E-2</v>
      </c>
      <c r="Z116" s="2">
        <v>0.64</v>
      </c>
      <c r="AA116" s="2">
        <v>1.103</v>
      </c>
      <c r="AB116" s="2">
        <v>1.427</v>
      </c>
      <c r="AC116" s="2">
        <v>0</v>
      </c>
      <c r="AD116" s="2">
        <v>21.7</v>
      </c>
      <c r="AE116" s="2">
        <v>15.83</v>
      </c>
      <c r="AF116" s="2">
        <v>0.997</v>
      </c>
      <c r="AG116" s="2">
        <v>3.581</v>
      </c>
      <c r="AH116" s="2">
        <v>2.3290000000000002</v>
      </c>
      <c r="AI116" s="2">
        <v>10.28</v>
      </c>
      <c r="AJ116" s="2">
        <v>-4.3140000000000001</v>
      </c>
      <c r="AK116" s="2">
        <v>20.2</v>
      </c>
      <c r="AL116" s="2">
        <v>-1.0109999999999999</v>
      </c>
      <c r="AM116" s="2">
        <v>1.427</v>
      </c>
      <c r="AN116" s="2" t="s">
        <v>122</v>
      </c>
      <c r="AO116" s="2">
        <v>211</v>
      </c>
      <c r="AP116" s="2">
        <v>106</v>
      </c>
      <c r="AQ116" s="2">
        <v>770</v>
      </c>
      <c r="AR116" s="2">
        <v>201</v>
      </c>
      <c r="AS116" s="2">
        <v>164</v>
      </c>
      <c r="AT116" s="2">
        <v>447</v>
      </c>
      <c r="AU116" s="2">
        <v>690</v>
      </c>
      <c r="AV116" s="2">
        <v>291</v>
      </c>
      <c r="AW116" s="2"/>
      <c r="AX116" s="1">
        <f t="shared" si="103"/>
        <v>1.1229999999999998</v>
      </c>
      <c r="AY116" s="21">
        <f t="shared" si="104"/>
        <v>0</v>
      </c>
      <c r="AZ116" s="5">
        <v>26.41</v>
      </c>
      <c r="BA116" s="1">
        <v>21.7</v>
      </c>
      <c r="BB116" s="1">
        <v>14.56</v>
      </c>
      <c r="BC116" s="6">
        <f t="shared" si="100"/>
        <v>0.67096774193548392</v>
      </c>
      <c r="BE116" s="30">
        <v>0</v>
      </c>
      <c r="BF116" s="27">
        <v>1162.9999999999998</v>
      </c>
      <c r="BG116" s="1">
        <f t="shared" si="73"/>
        <v>85.8</v>
      </c>
      <c r="BH116" s="1">
        <f t="shared" si="74"/>
        <v>55.8</v>
      </c>
      <c r="BI116" s="1">
        <f t="shared" si="75"/>
        <v>22.4</v>
      </c>
      <c r="BJ116" s="7">
        <f t="shared" si="76"/>
        <v>0.35199999999999998</v>
      </c>
      <c r="BK116" s="7">
        <f t="shared" si="77"/>
        <v>1.2190000000000001</v>
      </c>
      <c r="BM116" s="5">
        <f t="shared" si="78"/>
        <v>21.7</v>
      </c>
      <c r="BN116" s="5">
        <f t="shared" si="79"/>
        <v>14.56</v>
      </c>
      <c r="BO116" s="1">
        <f t="shared" si="80"/>
        <v>5.8</v>
      </c>
      <c r="BP116" s="1">
        <f t="shared" si="81"/>
        <v>13.8</v>
      </c>
      <c r="BQ116" s="1">
        <f t="shared" si="82"/>
        <v>-1</v>
      </c>
      <c r="BR116" s="1">
        <f t="shared" si="83"/>
        <v>55.8</v>
      </c>
      <c r="BS116" s="1">
        <f t="shared" si="84"/>
        <v>22.4</v>
      </c>
      <c r="BT116" s="1">
        <f t="shared" si="85"/>
        <v>1</v>
      </c>
      <c r="BU116" s="1">
        <f t="shared" si="86"/>
        <v>3.6</v>
      </c>
      <c r="BV116" s="33">
        <f t="shared" si="87"/>
        <v>0</v>
      </c>
      <c r="BW116" s="34">
        <f t="shared" si="105"/>
        <v>1.163</v>
      </c>
      <c r="BX116" s="20">
        <f t="shared" si="89"/>
        <v>0</v>
      </c>
      <c r="BY116" s="1">
        <f t="shared" si="90"/>
        <v>2.2999999999999998</v>
      </c>
      <c r="BZ116" s="1">
        <f t="shared" si="91"/>
        <v>10.3</v>
      </c>
      <c r="CA116" s="1">
        <f t="shared" si="92"/>
        <v>-4.3</v>
      </c>
      <c r="CB116" s="1">
        <f t="shared" si="93"/>
        <v>0.1</v>
      </c>
      <c r="CC116" s="1">
        <f t="shared" si="94"/>
        <v>0.7</v>
      </c>
      <c r="CD116" s="1">
        <f t="shared" si="95"/>
        <v>1.3</v>
      </c>
      <c r="CE116" s="1" t="str">
        <f t="shared" si="96"/>
        <v>NAN</v>
      </c>
      <c r="CF116" s="1">
        <f t="shared" si="97"/>
        <v>0.35199999999999998</v>
      </c>
      <c r="CG116" s="1">
        <f t="shared" si="98"/>
        <v>1.2190000000000001</v>
      </c>
      <c r="CI116" s="1">
        <f t="shared" si="62"/>
        <v>2880</v>
      </c>
      <c r="CJ116" s="1">
        <f t="shared" si="63"/>
        <v>7.2999999999999995E-2</v>
      </c>
      <c r="CK116" s="1">
        <f t="shared" si="64"/>
        <v>3.6999999999999998E-2</v>
      </c>
      <c r="CL116" s="1">
        <f t="shared" si="65"/>
        <v>0.26700000000000002</v>
      </c>
      <c r="CM116" s="1">
        <f t="shared" si="66"/>
        <v>7.0000000000000007E-2</v>
      </c>
      <c r="CN116" s="1">
        <f t="shared" si="67"/>
        <v>5.7000000000000002E-2</v>
      </c>
      <c r="CO116" s="1">
        <f t="shared" si="68"/>
        <v>0.155</v>
      </c>
      <c r="CP116" s="1">
        <f t="shared" si="69"/>
        <v>0.24</v>
      </c>
      <c r="CQ116" s="1">
        <f t="shared" si="70"/>
        <v>0.10100000000000001</v>
      </c>
      <c r="CS116" s="1">
        <f t="shared" si="101"/>
        <v>-3.5</v>
      </c>
      <c r="CT116" s="1">
        <f t="shared" si="102"/>
        <v>-3.3</v>
      </c>
    </row>
    <row r="117" spans="1:98" x14ac:dyDescent="0.2">
      <c r="A117" s="8">
        <f t="shared" si="99"/>
        <v>43942</v>
      </c>
      <c r="B117" s="1">
        <v>112</v>
      </c>
      <c r="C117" s="1">
        <v>11</v>
      </c>
      <c r="D117" s="2">
        <v>13.04</v>
      </c>
      <c r="E117" s="2">
        <v>10.29</v>
      </c>
      <c r="F117" s="2">
        <v>-3.0840000000000001</v>
      </c>
      <c r="G117" s="2">
        <v>2.2170000000000001</v>
      </c>
      <c r="H117" s="2">
        <v>68.150000000000006</v>
      </c>
      <c r="I117" s="2">
        <v>-5.0000000000000001E-3</v>
      </c>
      <c r="J117" s="2">
        <v>-2.5000000000000001E-2</v>
      </c>
      <c r="K117" s="2">
        <v>5.2999999999999999E-2</v>
      </c>
      <c r="L117" s="2">
        <v>0.72799999999999998</v>
      </c>
      <c r="M117" s="2">
        <v>1.2430000000000001</v>
      </c>
      <c r="N117" s="2">
        <v>9.93</v>
      </c>
      <c r="O117" s="2">
        <v>82</v>
      </c>
      <c r="P117" s="2">
        <v>0.14499999999999999</v>
      </c>
      <c r="Q117" s="2">
        <v>0.122</v>
      </c>
      <c r="R117" s="2">
        <v>0.158</v>
      </c>
      <c r="S117" s="2">
        <v>0.84599999999999997</v>
      </c>
      <c r="T117" s="2">
        <v>1.375</v>
      </c>
      <c r="U117" s="2">
        <v>-1.601</v>
      </c>
      <c r="V117" s="2">
        <v>38.47</v>
      </c>
      <c r="W117" s="2">
        <v>-9.2999999999999999E-2</v>
      </c>
      <c r="X117" s="2">
        <v>-0.109</v>
      </c>
      <c r="Y117" s="2">
        <v>-2.8000000000000001E-2</v>
      </c>
      <c r="Z117" s="2">
        <v>0.63100000000000001</v>
      </c>
      <c r="AA117" s="2">
        <v>1.1439999999999999</v>
      </c>
      <c r="AB117" s="2">
        <v>1.4530000000000001</v>
      </c>
      <c r="AC117" s="2">
        <v>0</v>
      </c>
      <c r="AD117" s="2">
        <v>14.82</v>
      </c>
      <c r="AE117" s="2">
        <v>11.13</v>
      </c>
      <c r="AF117" s="2">
        <v>1.667</v>
      </c>
      <c r="AG117" s="2">
        <v>4.4749999999999996</v>
      </c>
      <c r="AH117" s="2">
        <v>0.51700000000000002</v>
      </c>
      <c r="AI117" s="2">
        <v>8.51</v>
      </c>
      <c r="AJ117" s="2">
        <v>-3.3980000000000001</v>
      </c>
      <c r="AK117" s="2">
        <v>15.51</v>
      </c>
      <c r="AL117" s="2">
        <v>-1.841</v>
      </c>
      <c r="AM117" s="2">
        <v>1.4570000000000001</v>
      </c>
      <c r="AN117" s="2" t="s">
        <v>122</v>
      </c>
      <c r="AO117" s="2">
        <v>709</v>
      </c>
      <c r="AP117" s="2">
        <v>260</v>
      </c>
      <c r="AQ117" s="2">
        <v>71</v>
      </c>
      <c r="AR117" s="2">
        <v>30</v>
      </c>
      <c r="AS117" s="2">
        <v>28</v>
      </c>
      <c r="AT117" s="2">
        <v>149</v>
      </c>
      <c r="AU117" s="2">
        <v>628</v>
      </c>
      <c r="AV117" s="2">
        <v>1005</v>
      </c>
      <c r="AW117" s="2"/>
      <c r="AX117" s="1">
        <f t="shared" si="103"/>
        <v>1.0969999999999998</v>
      </c>
      <c r="AY117" s="21">
        <f t="shared" si="104"/>
        <v>0</v>
      </c>
      <c r="AZ117" s="5">
        <v>26.63</v>
      </c>
      <c r="BA117" s="1">
        <v>14.82</v>
      </c>
      <c r="BB117" s="1">
        <v>10.24</v>
      </c>
      <c r="BC117" s="6">
        <f t="shared" si="100"/>
        <v>0.69095816464237514</v>
      </c>
      <c r="BE117" s="30">
        <v>0</v>
      </c>
      <c r="BF117" s="27">
        <v>1136.9999999999998</v>
      </c>
      <c r="BG117" s="1">
        <f t="shared" si="73"/>
        <v>82</v>
      </c>
      <c r="BH117" s="1">
        <f t="shared" si="74"/>
        <v>68.2</v>
      </c>
      <c r="BI117" s="1">
        <f t="shared" si="75"/>
        <v>38.5</v>
      </c>
      <c r="BJ117" s="7">
        <f t="shared" si="76"/>
        <v>0.47</v>
      </c>
      <c r="BK117" s="7">
        <f t="shared" si="77"/>
        <v>0.751</v>
      </c>
      <c r="BM117" s="5">
        <f t="shared" si="78"/>
        <v>14.82</v>
      </c>
      <c r="BN117" s="5">
        <f t="shared" si="79"/>
        <v>10.24</v>
      </c>
      <c r="BO117" s="1">
        <f t="shared" si="80"/>
        <v>2.2000000000000002</v>
      </c>
      <c r="BP117" s="1">
        <f t="shared" si="81"/>
        <v>9.9</v>
      </c>
      <c r="BQ117" s="1">
        <f t="shared" si="82"/>
        <v>-1.6</v>
      </c>
      <c r="BR117" s="1">
        <f t="shared" si="83"/>
        <v>68.2</v>
      </c>
      <c r="BS117" s="1">
        <f t="shared" si="84"/>
        <v>38.5</v>
      </c>
      <c r="BT117" s="1">
        <f t="shared" si="85"/>
        <v>1.7</v>
      </c>
      <c r="BU117" s="1">
        <f t="shared" si="86"/>
        <v>4.5</v>
      </c>
      <c r="BV117" s="33">
        <f t="shared" si="87"/>
        <v>0</v>
      </c>
      <c r="BW117" s="34">
        <f t="shared" si="105"/>
        <v>1.137</v>
      </c>
      <c r="BX117" s="20">
        <f t="shared" si="89"/>
        <v>0</v>
      </c>
      <c r="BY117" s="1">
        <f t="shared" si="90"/>
        <v>0.5</v>
      </c>
      <c r="BZ117" s="1">
        <f t="shared" si="91"/>
        <v>8.5</v>
      </c>
      <c r="CA117" s="1">
        <f t="shared" si="92"/>
        <v>-3.4</v>
      </c>
      <c r="CB117" s="1">
        <f t="shared" si="93"/>
        <v>0.1</v>
      </c>
      <c r="CC117" s="1">
        <f t="shared" si="94"/>
        <v>0.7</v>
      </c>
      <c r="CD117" s="1">
        <f t="shared" si="95"/>
        <v>1.2</v>
      </c>
      <c r="CE117" s="1" t="str">
        <f t="shared" si="96"/>
        <v>NAN</v>
      </c>
      <c r="CF117" s="1">
        <f t="shared" si="97"/>
        <v>0.47</v>
      </c>
      <c r="CG117" s="1">
        <f t="shared" si="98"/>
        <v>0.751</v>
      </c>
      <c r="CI117" s="1">
        <f t="shared" si="62"/>
        <v>2880</v>
      </c>
      <c r="CJ117" s="1">
        <f t="shared" si="63"/>
        <v>0.246</v>
      </c>
      <c r="CK117" s="1">
        <f t="shared" si="64"/>
        <v>0.09</v>
      </c>
      <c r="CL117" s="1">
        <f t="shared" si="65"/>
        <v>2.5000000000000001E-2</v>
      </c>
      <c r="CM117" s="1">
        <f t="shared" si="66"/>
        <v>0.01</v>
      </c>
      <c r="CN117" s="1">
        <f t="shared" si="67"/>
        <v>0.01</v>
      </c>
      <c r="CO117" s="1">
        <f t="shared" si="68"/>
        <v>5.1999999999999998E-2</v>
      </c>
      <c r="CP117" s="1">
        <f t="shared" si="69"/>
        <v>0.218</v>
      </c>
      <c r="CQ117" s="1">
        <f t="shared" si="70"/>
        <v>0.34899999999999998</v>
      </c>
      <c r="CS117" s="1">
        <f t="shared" si="101"/>
        <v>-1.4000000000000004</v>
      </c>
      <c r="CT117" s="1">
        <f t="shared" si="102"/>
        <v>-1.7999999999999998</v>
      </c>
    </row>
    <row r="118" spans="1:98" x14ac:dyDescent="0.2">
      <c r="A118" s="8">
        <f t="shared" si="99"/>
        <v>43943</v>
      </c>
      <c r="B118" s="1">
        <v>113</v>
      </c>
      <c r="C118" s="1">
        <v>11</v>
      </c>
      <c r="D118" s="2">
        <v>12.99</v>
      </c>
      <c r="E118" s="2">
        <v>6.4820000000000002</v>
      </c>
      <c r="F118" s="2">
        <v>-3.2989999999999999</v>
      </c>
      <c r="G118" s="2">
        <v>0.49199999999999999</v>
      </c>
      <c r="H118" s="2">
        <v>84.1</v>
      </c>
      <c r="I118" s="2">
        <v>-1.4999999999999999E-2</v>
      </c>
      <c r="J118" s="2">
        <v>-2.5999999999999999E-2</v>
      </c>
      <c r="K118" s="2">
        <v>4.7E-2</v>
      </c>
      <c r="L118" s="2">
        <v>0.71399999999999997</v>
      </c>
      <c r="M118" s="2">
        <v>1.216</v>
      </c>
      <c r="N118" s="2">
        <v>4.9269999999999996</v>
      </c>
      <c r="O118" s="2">
        <v>96.1</v>
      </c>
      <c r="P118" s="2">
        <v>8.1000000000000003E-2</v>
      </c>
      <c r="Q118" s="2">
        <v>5.8000000000000003E-2</v>
      </c>
      <c r="R118" s="2">
        <v>0.14199999999999999</v>
      </c>
      <c r="S118" s="2">
        <v>0.80300000000000005</v>
      </c>
      <c r="T118" s="2">
        <v>1.333</v>
      </c>
      <c r="U118" s="2">
        <v>-2.343</v>
      </c>
      <c r="V118" s="2">
        <v>59.43</v>
      </c>
      <c r="W118" s="2">
        <v>-0.111</v>
      </c>
      <c r="X118" s="2">
        <v>-0.114</v>
      </c>
      <c r="Y118" s="2">
        <v>-4.2999999999999997E-2</v>
      </c>
      <c r="Z118" s="2">
        <v>0.61799999999999999</v>
      </c>
      <c r="AA118" s="2">
        <v>1.123</v>
      </c>
      <c r="AB118" s="2">
        <v>1.415</v>
      </c>
      <c r="AC118" s="2">
        <v>0</v>
      </c>
      <c r="AD118" s="2">
        <v>10.88</v>
      </c>
      <c r="AE118" s="2">
        <v>7.3869999999999996</v>
      </c>
      <c r="AF118" s="2">
        <v>0.86699999999999999</v>
      </c>
      <c r="AG118" s="2">
        <v>3.5529999999999999</v>
      </c>
      <c r="AH118" s="2">
        <v>-0.21299999999999999</v>
      </c>
      <c r="AI118" s="2">
        <v>5.1580000000000004</v>
      </c>
      <c r="AJ118" s="2">
        <v>-3.726</v>
      </c>
      <c r="AK118" s="2">
        <v>9.5500000000000007</v>
      </c>
      <c r="AL118" s="2">
        <v>-2.488</v>
      </c>
      <c r="AM118" s="2">
        <v>1.4179999999999999</v>
      </c>
      <c r="AN118" s="2" t="s">
        <v>122</v>
      </c>
      <c r="AO118" s="2">
        <v>369</v>
      </c>
      <c r="AP118" s="2">
        <v>49</v>
      </c>
      <c r="AQ118" s="2">
        <v>6</v>
      </c>
      <c r="AR118" s="2">
        <v>5</v>
      </c>
      <c r="AS118" s="2">
        <v>26</v>
      </c>
      <c r="AT118" s="2">
        <v>442</v>
      </c>
      <c r="AU118" s="2">
        <v>1189</v>
      </c>
      <c r="AV118" s="2">
        <v>794</v>
      </c>
      <c r="AW118" s="2"/>
      <c r="AX118" s="1">
        <f t="shared" si="103"/>
        <v>1.1349999999999998</v>
      </c>
      <c r="AY118" s="21">
        <f t="shared" si="104"/>
        <v>0</v>
      </c>
      <c r="AZ118" s="5">
        <v>26.85</v>
      </c>
      <c r="BA118" s="1">
        <v>10.88</v>
      </c>
      <c r="BB118" s="1">
        <v>6.8</v>
      </c>
      <c r="BC118" s="6">
        <f t="shared" si="100"/>
        <v>0.62499999999999989</v>
      </c>
      <c r="BE118" s="30">
        <v>4.3</v>
      </c>
      <c r="BF118" s="27">
        <v>1174.9999999999998</v>
      </c>
      <c r="BG118" s="1">
        <f t="shared" si="73"/>
        <v>96.1</v>
      </c>
      <c r="BH118" s="1">
        <f t="shared" si="74"/>
        <v>84.1</v>
      </c>
      <c r="BI118" s="1">
        <f t="shared" si="75"/>
        <v>59.4</v>
      </c>
      <c r="BJ118" s="7">
        <f t="shared" si="76"/>
        <v>0.51500000000000001</v>
      </c>
      <c r="BK118" s="7">
        <f t="shared" si="77"/>
        <v>0.35199999999999998</v>
      </c>
      <c r="BM118" s="5">
        <f t="shared" si="78"/>
        <v>10.88</v>
      </c>
      <c r="BN118" s="5">
        <f t="shared" si="79"/>
        <v>6.8</v>
      </c>
      <c r="BO118" s="1">
        <f t="shared" si="80"/>
        <v>0.5</v>
      </c>
      <c r="BP118" s="1">
        <f t="shared" si="81"/>
        <v>4.9000000000000004</v>
      </c>
      <c r="BQ118" s="1">
        <f t="shared" si="82"/>
        <v>-2.2999999999999998</v>
      </c>
      <c r="BR118" s="1">
        <f t="shared" si="83"/>
        <v>84.1</v>
      </c>
      <c r="BS118" s="1">
        <f t="shared" si="84"/>
        <v>59.4</v>
      </c>
      <c r="BT118" s="1">
        <f t="shared" si="85"/>
        <v>0.9</v>
      </c>
      <c r="BU118" s="1">
        <f t="shared" si="86"/>
        <v>3.6</v>
      </c>
      <c r="BV118" s="33">
        <f t="shared" si="87"/>
        <v>4.3</v>
      </c>
      <c r="BW118" s="34">
        <f t="shared" si="105"/>
        <v>1.175</v>
      </c>
      <c r="BX118" s="20">
        <f t="shared" si="89"/>
        <v>0</v>
      </c>
      <c r="BY118" s="1">
        <f t="shared" si="90"/>
        <v>-0.2</v>
      </c>
      <c r="BZ118" s="1">
        <f t="shared" si="91"/>
        <v>5.2</v>
      </c>
      <c r="CA118" s="1">
        <f t="shared" si="92"/>
        <v>-3.7</v>
      </c>
      <c r="CB118" s="1">
        <f t="shared" si="93"/>
        <v>0</v>
      </c>
      <c r="CC118" s="1">
        <f t="shared" si="94"/>
        <v>0.7</v>
      </c>
      <c r="CD118" s="1">
        <f t="shared" si="95"/>
        <v>1.2</v>
      </c>
      <c r="CE118" s="1" t="str">
        <f t="shared" si="96"/>
        <v>NAN</v>
      </c>
      <c r="CF118" s="1">
        <f t="shared" si="97"/>
        <v>0.51500000000000001</v>
      </c>
      <c r="CG118" s="1">
        <f t="shared" si="98"/>
        <v>0.35199999999999998</v>
      </c>
      <c r="CI118" s="1">
        <f t="shared" si="62"/>
        <v>2880</v>
      </c>
      <c r="CJ118" s="1">
        <f t="shared" si="63"/>
        <v>0.128</v>
      </c>
      <c r="CK118" s="1">
        <f t="shared" si="64"/>
        <v>1.7000000000000001E-2</v>
      </c>
      <c r="CL118" s="1">
        <f t="shared" si="65"/>
        <v>2E-3</v>
      </c>
      <c r="CM118" s="1">
        <f t="shared" si="66"/>
        <v>2E-3</v>
      </c>
      <c r="CN118" s="1">
        <f t="shared" si="67"/>
        <v>8.9999999999999993E-3</v>
      </c>
      <c r="CO118" s="1">
        <f t="shared" si="68"/>
        <v>0.153</v>
      </c>
      <c r="CP118" s="1">
        <f t="shared" si="69"/>
        <v>0.41299999999999998</v>
      </c>
      <c r="CQ118" s="1">
        <f t="shared" si="70"/>
        <v>0.27600000000000002</v>
      </c>
      <c r="CS118" s="1">
        <f t="shared" si="101"/>
        <v>0.29999999999999982</v>
      </c>
      <c r="CT118" s="1">
        <f t="shared" si="102"/>
        <v>-1.4000000000000004</v>
      </c>
    </row>
    <row r="119" spans="1:98" x14ac:dyDescent="0.2">
      <c r="A119" s="8">
        <f t="shared" si="99"/>
        <v>43944</v>
      </c>
      <c r="B119" s="1">
        <v>114</v>
      </c>
      <c r="C119" s="1">
        <v>11</v>
      </c>
      <c r="D119" s="2">
        <v>13.02</v>
      </c>
      <c r="E119" s="2">
        <v>5.7430000000000003</v>
      </c>
      <c r="F119" s="2">
        <v>-3.5990000000000002</v>
      </c>
      <c r="G119" s="2">
        <v>6.5000000000000002E-2</v>
      </c>
      <c r="H119" s="2">
        <v>86.6</v>
      </c>
      <c r="I119" s="2">
        <v>-1.2E-2</v>
      </c>
      <c r="J119" s="2">
        <v>-1.9E-2</v>
      </c>
      <c r="K119" s="2">
        <v>4.9000000000000002E-2</v>
      </c>
      <c r="L119" s="2">
        <v>0.70899999999999996</v>
      </c>
      <c r="M119" s="2">
        <v>1.196</v>
      </c>
      <c r="N119" s="2">
        <v>4.452</v>
      </c>
      <c r="O119" s="2">
        <v>96</v>
      </c>
      <c r="P119" s="2">
        <v>9.1999999999999998E-2</v>
      </c>
      <c r="Q119" s="2">
        <v>9.1999999999999998E-2</v>
      </c>
      <c r="R119" s="2">
        <v>0.19800000000000001</v>
      </c>
      <c r="S119" s="2">
        <v>0.85199999999999998</v>
      </c>
      <c r="T119" s="2">
        <v>1.3580000000000001</v>
      </c>
      <c r="U119" s="2">
        <v>-2.177</v>
      </c>
      <c r="V119" s="2">
        <v>59.59</v>
      </c>
      <c r="W119" s="2">
        <v>-0.107</v>
      </c>
      <c r="X119" s="2">
        <v>-0.1</v>
      </c>
      <c r="Y119" s="2">
        <v>-3.7999999999999999E-2</v>
      </c>
      <c r="Z119" s="2">
        <v>0.61899999999999999</v>
      </c>
      <c r="AA119" s="2">
        <v>1.1020000000000001</v>
      </c>
      <c r="AB119" s="2">
        <v>1.4450000000000001</v>
      </c>
      <c r="AC119" s="2">
        <v>0</v>
      </c>
      <c r="AD119" s="2">
        <v>9.58</v>
      </c>
      <c r="AE119" s="2">
        <v>9.5</v>
      </c>
      <c r="AF119" s="2">
        <v>1.0820000000000001</v>
      </c>
      <c r="AG119" s="2">
        <v>5.5880000000000001</v>
      </c>
      <c r="AH119" s="2">
        <v>-0.67900000000000005</v>
      </c>
      <c r="AI119" s="2">
        <v>5.1639999999999997</v>
      </c>
      <c r="AJ119" s="2">
        <v>-5.3470000000000004</v>
      </c>
      <c r="AK119" s="2">
        <v>8.61</v>
      </c>
      <c r="AL119" s="2">
        <v>-2.944</v>
      </c>
      <c r="AM119" s="2">
        <v>1.45</v>
      </c>
      <c r="AN119" s="2" t="s">
        <v>122</v>
      </c>
      <c r="AO119" s="2">
        <v>886</v>
      </c>
      <c r="AP119" s="2">
        <v>275</v>
      </c>
      <c r="AQ119" s="2">
        <v>46</v>
      </c>
      <c r="AR119" s="2">
        <v>5</v>
      </c>
      <c r="AS119" s="2">
        <v>8</v>
      </c>
      <c r="AT119" s="2">
        <v>95</v>
      </c>
      <c r="AU119" s="2">
        <v>658</v>
      </c>
      <c r="AV119" s="2">
        <v>907</v>
      </c>
      <c r="AW119" s="2"/>
      <c r="AX119" s="1">
        <f t="shared" si="103"/>
        <v>1.1049999999999998</v>
      </c>
      <c r="AY119" s="21">
        <f t="shared" si="104"/>
        <v>0</v>
      </c>
      <c r="AZ119" s="5">
        <v>27.07</v>
      </c>
      <c r="BA119" s="1">
        <v>10.72</v>
      </c>
      <c r="BB119" s="1">
        <v>8.74</v>
      </c>
      <c r="BC119" s="6">
        <f t="shared" si="100"/>
        <v>0.81529850746268651</v>
      </c>
      <c r="BE119" s="30">
        <v>0</v>
      </c>
      <c r="BF119" s="27">
        <v>1144.9999999999998</v>
      </c>
      <c r="BG119" s="1">
        <f t="shared" si="73"/>
        <v>96</v>
      </c>
      <c r="BH119" s="1">
        <f t="shared" si="74"/>
        <v>86.6</v>
      </c>
      <c r="BI119" s="1">
        <f t="shared" si="75"/>
        <v>59.6</v>
      </c>
      <c r="BJ119" s="7">
        <f t="shared" si="76"/>
        <v>0.5</v>
      </c>
      <c r="BK119" s="7">
        <f t="shared" si="77"/>
        <v>0.33900000000000002</v>
      </c>
      <c r="BM119" s="5">
        <f t="shared" si="78"/>
        <v>10.72</v>
      </c>
      <c r="BN119" s="5">
        <f t="shared" si="79"/>
        <v>8.74</v>
      </c>
      <c r="BO119" s="1">
        <f t="shared" si="80"/>
        <v>0.1</v>
      </c>
      <c r="BP119" s="1">
        <f t="shared" si="81"/>
        <v>4.5</v>
      </c>
      <c r="BQ119" s="1">
        <f t="shared" si="82"/>
        <v>-2.2000000000000002</v>
      </c>
      <c r="BR119" s="1">
        <f t="shared" si="83"/>
        <v>86.6</v>
      </c>
      <c r="BS119" s="1">
        <f t="shared" si="84"/>
        <v>59.6</v>
      </c>
      <c r="BT119" s="1">
        <f t="shared" si="85"/>
        <v>1.1000000000000001</v>
      </c>
      <c r="BU119" s="1">
        <f t="shared" si="86"/>
        <v>5.6</v>
      </c>
      <c r="BV119" s="33">
        <f t="shared" si="87"/>
        <v>0</v>
      </c>
      <c r="BW119" s="34">
        <f t="shared" si="105"/>
        <v>1.145</v>
      </c>
      <c r="BX119" s="20">
        <f t="shared" si="89"/>
        <v>0</v>
      </c>
      <c r="BY119" s="1">
        <f t="shared" si="90"/>
        <v>-0.7</v>
      </c>
      <c r="BZ119" s="1">
        <f t="shared" si="91"/>
        <v>5.2</v>
      </c>
      <c r="CA119" s="1">
        <f t="shared" si="92"/>
        <v>-5.3</v>
      </c>
      <c r="CB119" s="1">
        <f t="shared" si="93"/>
        <v>0</v>
      </c>
      <c r="CC119" s="1">
        <f t="shared" si="94"/>
        <v>0.7</v>
      </c>
      <c r="CD119" s="1">
        <f t="shared" si="95"/>
        <v>1.2</v>
      </c>
      <c r="CE119" s="1" t="str">
        <f t="shared" si="96"/>
        <v>NAN</v>
      </c>
      <c r="CF119" s="1">
        <f t="shared" si="97"/>
        <v>0.5</v>
      </c>
      <c r="CG119" s="1">
        <f t="shared" si="98"/>
        <v>0.33900000000000002</v>
      </c>
      <c r="CI119" s="1">
        <f t="shared" si="62"/>
        <v>2880</v>
      </c>
      <c r="CJ119" s="1">
        <f t="shared" si="63"/>
        <v>0.308</v>
      </c>
      <c r="CK119" s="1">
        <f t="shared" si="64"/>
        <v>9.5000000000000001E-2</v>
      </c>
      <c r="CL119" s="1">
        <f t="shared" si="65"/>
        <v>1.6E-2</v>
      </c>
      <c r="CM119" s="1">
        <f t="shared" si="66"/>
        <v>2E-3</v>
      </c>
      <c r="CN119" s="1">
        <f t="shared" si="67"/>
        <v>3.0000000000000001E-3</v>
      </c>
      <c r="CO119" s="1">
        <f t="shared" si="68"/>
        <v>3.3000000000000002E-2</v>
      </c>
      <c r="CP119" s="1">
        <f t="shared" si="69"/>
        <v>0.22800000000000001</v>
      </c>
      <c r="CQ119" s="1">
        <f t="shared" si="70"/>
        <v>0.315</v>
      </c>
      <c r="CS119" s="1">
        <f t="shared" si="101"/>
        <v>0.70000000000000018</v>
      </c>
      <c r="CT119" s="1">
        <f t="shared" si="102"/>
        <v>-3.0999999999999996</v>
      </c>
    </row>
    <row r="120" spans="1:98" x14ac:dyDescent="0.2">
      <c r="A120" s="8">
        <f t="shared" si="99"/>
        <v>43945</v>
      </c>
      <c r="B120" s="1">
        <v>115</v>
      </c>
      <c r="C120" s="1">
        <v>11</v>
      </c>
      <c r="D120" s="2">
        <v>13.04</v>
      </c>
      <c r="E120" s="2">
        <v>10.63</v>
      </c>
      <c r="F120" s="2">
        <v>-6.5540000000000003</v>
      </c>
      <c r="G120" s="2">
        <v>2.5219999999999998</v>
      </c>
      <c r="H120" s="2">
        <v>63.13</v>
      </c>
      <c r="I120" s="2">
        <v>-8.0000000000000002E-3</v>
      </c>
      <c r="J120" s="2">
        <v>-1.4E-2</v>
      </c>
      <c r="K120" s="2">
        <v>5.0999999999999997E-2</v>
      </c>
      <c r="L120" s="2">
        <v>0.70399999999999996</v>
      </c>
      <c r="M120" s="2">
        <v>1.1879999999999999</v>
      </c>
      <c r="N120" s="2">
        <v>9.86</v>
      </c>
      <c r="O120" s="2">
        <v>94.4</v>
      </c>
      <c r="P120" s="2">
        <v>0.16900000000000001</v>
      </c>
      <c r="Q120" s="2">
        <v>0.14499999999999999</v>
      </c>
      <c r="R120" s="2">
        <v>0.193</v>
      </c>
      <c r="S120" s="2">
        <v>0.82499999999999996</v>
      </c>
      <c r="T120" s="2">
        <v>1.3069999999999999</v>
      </c>
      <c r="U120" s="2">
        <v>-3.8250000000000002</v>
      </c>
      <c r="V120" s="2">
        <v>20.52</v>
      </c>
      <c r="W120" s="2">
        <v>-0.14399999999999999</v>
      </c>
      <c r="X120" s="2">
        <v>-0.123</v>
      </c>
      <c r="Y120" s="2">
        <v>-4.7E-2</v>
      </c>
      <c r="Z120" s="2">
        <v>0.59899999999999998</v>
      </c>
      <c r="AA120" s="2">
        <v>1.0249999999999999</v>
      </c>
      <c r="AB120" s="2">
        <v>1.462</v>
      </c>
      <c r="AC120" s="2">
        <v>0</v>
      </c>
      <c r="AD120" s="2">
        <v>16.690000000000001</v>
      </c>
      <c r="AE120" s="2">
        <v>12.02</v>
      </c>
      <c r="AF120" s="2">
        <v>0.93899999999999995</v>
      </c>
      <c r="AG120" s="2">
        <v>3.4750000000000001</v>
      </c>
      <c r="AH120" s="2">
        <v>0.34300000000000003</v>
      </c>
      <c r="AI120" s="2">
        <v>8.25</v>
      </c>
      <c r="AJ120" s="2">
        <v>-6.1420000000000003</v>
      </c>
      <c r="AK120" s="2">
        <v>15.66</v>
      </c>
      <c r="AL120" s="2">
        <v>-4.08</v>
      </c>
      <c r="AM120" s="2">
        <v>1.4610000000000001</v>
      </c>
      <c r="AN120" s="2" t="s">
        <v>122</v>
      </c>
      <c r="AO120" s="2">
        <v>37</v>
      </c>
      <c r="AP120" s="2">
        <v>47</v>
      </c>
      <c r="AQ120" s="2">
        <v>634</v>
      </c>
      <c r="AR120" s="2">
        <v>207</v>
      </c>
      <c r="AS120" s="2">
        <v>378</v>
      </c>
      <c r="AT120" s="2">
        <v>824</v>
      </c>
      <c r="AU120" s="2">
        <v>610</v>
      </c>
      <c r="AV120" s="2">
        <v>143</v>
      </c>
      <c r="AW120" s="2"/>
      <c r="AX120" s="1">
        <f t="shared" si="103"/>
        <v>1.0879999999999999</v>
      </c>
      <c r="AY120" s="21">
        <f t="shared" si="104"/>
        <v>0</v>
      </c>
      <c r="AZ120" s="5">
        <v>27.29</v>
      </c>
      <c r="BA120" s="1">
        <v>16.690000000000001</v>
      </c>
      <c r="BB120" s="1">
        <v>11.05</v>
      </c>
      <c r="BC120" s="6">
        <f t="shared" si="100"/>
        <v>0.66207309766327138</v>
      </c>
      <c r="BE120" s="30">
        <v>0</v>
      </c>
      <c r="BF120" s="27">
        <v>1128</v>
      </c>
      <c r="BG120" s="1">
        <f t="shared" si="73"/>
        <v>94.4</v>
      </c>
      <c r="BH120" s="1">
        <f t="shared" si="74"/>
        <v>63.1</v>
      </c>
      <c r="BI120" s="1">
        <f t="shared" si="75"/>
        <v>20.5</v>
      </c>
      <c r="BJ120" s="7">
        <f t="shared" si="76"/>
        <v>0.249</v>
      </c>
      <c r="BK120" s="7">
        <f t="shared" si="77"/>
        <v>0.96599999999999997</v>
      </c>
      <c r="BM120" s="5">
        <f t="shared" si="78"/>
        <v>16.690000000000001</v>
      </c>
      <c r="BN120" s="5">
        <f t="shared" si="79"/>
        <v>11.05</v>
      </c>
      <c r="BO120" s="1">
        <f t="shared" si="80"/>
        <v>2.5</v>
      </c>
      <c r="BP120" s="1">
        <f t="shared" si="81"/>
        <v>9.9</v>
      </c>
      <c r="BQ120" s="1">
        <f t="shared" si="82"/>
        <v>-3.8</v>
      </c>
      <c r="BR120" s="1">
        <f t="shared" si="83"/>
        <v>63.1</v>
      </c>
      <c r="BS120" s="1">
        <f t="shared" si="84"/>
        <v>20.5</v>
      </c>
      <c r="BT120" s="1">
        <f t="shared" si="85"/>
        <v>0.9</v>
      </c>
      <c r="BU120" s="1">
        <f t="shared" si="86"/>
        <v>3.5</v>
      </c>
      <c r="BV120" s="33">
        <f t="shared" si="87"/>
        <v>0</v>
      </c>
      <c r="BW120" s="34">
        <f t="shared" si="105"/>
        <v>1.1279999999999999</v>
      </c>
      <c r="BX120" s="20">
        <f t="shared" si="89"/>
        <v>0</v>
      </c>
      <c r="BY120" s="1">
        <f t="shared" si="90"/>
        <v>0.3</v>
      </c>
      <c r="BZ120" s="1">
        <f t="shared" si="91"/>
        <v>8.3000000000000007</v>
      </c>
      <c r="CA120" s="1">
        <f t="shared" si="92"/>
        <v>-6.1</v>
      </c>
      <c r="CB120" s="1">
        <f t="shared" si="93"/>
        <v>0.1</v>
      </c>
      <c r="CC120" s="1">
        <f t="shared" si="94"/>
        <v>0.7</v>
      </c>
      <c r="CD120" s="1">
        <f t="shared" si="95"/>
        <v>1.2</v>
      </c>
      <c r="CE120" s="1" t="str">
        <f t="shared" si="96"/>
        <v>NAN</v>
      </c>
      <c r="CF120" s="1">
        <f t="shared" si="97"/>
        <v>0.249</v>
      </c>
      <c r="CG120" s="1">
        <f t="shared" si="98"/>
        <v>0.96599999999999997</v>
      </c>
      <c r="CI120" s="1">
        <f t="shared" si="62"/>
        <v>2880</v>
      </c>
      <c r="CJ120" s="1">
        <f t="shared" si="63"/>
        <v>1.2999999999999999E-2</v>
      </c>
      <c r="CK120" s="1">
        <f t="shared" si="64"/>
        <v>1.6E-2</v>
      </c>
      <c r="CL120" s="1">
        <f t="shared" si="65"/>
        <v>0.22</v>
      </c>
      <c r="CM120" s="1">
        <f t="shared" si="66"/>
        <v>7.1999999999999995E-2</v>
      </c>
      <c r="CN120" s="1">
        <f t="shared" si="67"/>
        <v>0.13100000000000001</v>
      </c>
      <c r="CO120" s="1">
        <f t="shared" si="68"/>
        <v>0.28599999999999998</v>
      </c>
      <c r="CP120" s="1">
        <f t="shared" si="69"/>
        <v>0.21199999999999999</v>
      </c>
      <c r="CQ120" s="1">
        <f t="shared" si="70"/>
        <v>0.05</v>
      </c>
      <c r="CS120" s="1">
        <f t="shared" si="101"/>
        <v>-1.5999999999999996</v>
      </c>
      <c r="CT120" s="1">
        <f t="shared" si="102"/>
        <v>-2.2999999999999998</v>
      </c>
    </row>
    <row r="121" spans="1:98" x14ac:dyDescent="0.2">
      <c r="A121" s="8">
        <f t="shared" si="99"/>
        <v>43946</v>
      </c>
      <c r="B121" s="1">
        <v>116</v>
      </c>
      <c r="C121" s="1">
        <v>11</v>
      </c>
      <c r="D121" s="2">
        <v>13.06</v>
      </c>
      <c r="E121" s="2">
        <v>4.2560000000000002</v>
      </c>
      <c r="F121" s="2">
        <v>-4.2450000000000001</v>
      </c>
      <c r="G121" s="2">
        <v>0.82099999999999995</v>
      </c>
      <c r="H121" s="2">
        <v>74.73</v>
      </c>
      <c r="I121" s="2">
        <v>-2E-3</v>
      </c>
      <c r="J121" s="2">
        <v>-8.9999999999999993E-3</v>
      </c>
      <c r="K121" s="2">
        <v>0.05</v>
      </c>
      <c r="L121" s="2">
        <v>0.69899999999999995</v>
      </c>
      <c r="M121" s="2">
        <v>1.1819999999999999</v>
      </c>
      <c r="N121" s="2">
        <v>5.9219999999999997</v>
      </c>
      <c r="O121" s="2">
        <v>94.3</v>
      </c>
      <c r="P121" s="2">
        <v>8.6999999999999994E-2</v>
      </c>
      <c r="Q121" s="2">
        <v>9.1999999999999998E-2</v>
      </c>
      <c r="R121" s="2">
        <v>0.13500000000000001</v>
      </c>
      <c r="S121" s="2">
        <v>0.79400000000000004</v>
      </c>
      <c r="T121" s="2">
        <v>1.29</v>
      </c>
      <c r="U121" s="2">
        <v>-2.4790000000000001</v>
      </c>
      <c r="V121" s="2">
        <v>58.75</v>
      </c>
      <c r="W121" s="2">
        <v>-9.5000000000000001E-2</v>
      </c>
      <c r="X121" s="2">
        <v>-8.7999999999999995E-2</v>
      </c>
      <c r="Y121" s="2">
        <v>-4.5999999999999999E-2</v>
      </c>
      <c r="Z121" s="2">
        <v>0.61499999999999999</v>
      </c>
      <c r="AA121" s="2">
        <v>1.0740000000000001</v>
      </c>
      <c r="AB121" s="2">
        <v>1.472</v>
      </c>
      <c r="AC121" s="2">
        <v>0</v>
      </c>
      <c r="AD121" s="2">
        <v>9.8699999999999992</v>
      </c>
      <c r="AE121" s="2">
        <v>7.11</v>
      </c>
      <c r="AF121" s="2">
        <v>2.5350000000000001</v>
      </c>
      <c r="AG121" s="2">
        <v>6.5259999999999998</v>
      </c>
      <c r="AH121" s="2">
        <v>-0.64500000000000002</v>
      </c>
      <c r="AI121" s="2">
        <v>5.1660000000000004</v>
      </c>
      <c r="AJ121" s="2">
        <v>-4.7539999999999996</v>
      </c>
      <c r="AK121" s="2">
        <v>8.0500000000000007</v>
      </c>
      <c r="AL121" s="2">
        <v>-2.73</v>
      </c>
      <c r="AM121" s="2">
        <v>1.4770000000000001</v>
      </c>
      <c r="AN121" s="2" t="s">
        <v>122</v>
      </c>
      <c r="AO121" s="2">
        <v>142</v>
      </c>
      <c r="AP121" s="2">
        <v>12</v>
      </c>
      <c r="AQ121" s="2">
        <v>17</v>
      </c>
      <c r="AR121" s="2">
        <v>114</v>
      </c>
      <c r="AS121" s="2">
        <v>484</v>
      </c>
      <c r="AT121" s="2">
        <v>832</v>
      </c>
      <c r="AU121" s="2">
        <v>681</v>
      </c>
      <c r="AV121" s="2">
        <v>597</v>
      </c>
      <c r="AW121" s="2"/>
      <c r="AX121" s="1">
        <f t="shared" si="103"/>
        <v>1.0779999999999998</v>
      </c>
      <c r="AY121" s="21">
        <f t="shared" si="104"/>
        <v>0</v>
      </c>
      <c r="AZ121" s="5">
        <v>27.5</v>
      </c>
      <c r="BA121" s="1">
        <v>9.8699999999999992</v>
      </c>
      <c r="BB121" s="1">
        <v>6.54</v>
      </c>
      <c r="BC121" s="6">
        <f t="shared" si="100"/>
        <v>0.66261398176291797</v>
      </c>
      <c r="BE121" s="30">
        <v>2</v>
      </c>
      <c r="BF121" s="27">
        <v>1117.9999999999998</v>
      </c>
      <c r="BG121" s="1">
        <f t="shared" si="73"/>
        <v>94.3</v>
      </c>
      <c r="BH121" s="1">
        <f t="shared" si="74"/>
        <v>74.7</v>
      </c>
      <c r="BI121" s="1">
        <f t="shared" si="75"/>
        <v>58.8</v>
      </c>
      <c r="BJ121" s="7">
        <f t="shared" si="76"/>
        <v>0.54700000000000004</v>
      </c>
      <c r="BK121" s="7">
        <f t="shared" si="77"/>
        <v>0.38300000000000001</v>
      </c>
      <c r="BM121" s="5">
        <f t="shared" si="78"/>
        <v>9.8699999999999992</v>
      </c>
      <c r="BN121" s="5">
        <f t="shared" si="79"/>
        <v>6.54</v>
      </c>
      <c r="BO121" s="1">
        <f t="shared" si="80"/>
        <v>0.8</v>
      </c>
      <c r="BP121" s="1">
        <f t="shared" si="81"/>
        <v>5.9</v>
      </c>
      <c r="BQ121" s="1">
        <f t="shared" si="82"/>
        <v>-2.5</v>
      </c>
      <c r="BR121" s="1">
        <f t="shared" si="83"/>
        <v>74.7</v>
      </c>
      <c r="BS121" s="1">
        <f t="shared" si="84"/>
        <v>58.8</v>
      </c>
      <c r="BT121" s="1">
        <f t="shared" si="85"/>
        <v>2.5</v>
      </c>
      <c r="BU121" s="1">
        <f t="shared" si="86"/>
        <v>6.5</v>
      </c>
      <c r="BV121" s="33">
        <f t="shared" si="87"/>
        <v>2</v>
      </c>
      <c r="BW121" s="34">
        <f t="shared" si="105"/>
        <v>1.1180000000000001</v>
      </c>
      <c r="BX121" s="20">
        <f t="shared" si="89"/>
        <v>0</v>
      </c>
      <c r="BY121" s="1">
        <f t="shared" si="90"/>
        <v>-0.6</v>
      </c>
      <c r="BZ121" s="1">
        <f t="shared" si="91"/>
        <v>5.2</v>
      </c>
      <c r="CA121" s="1">
        <f t="shared" si="92"/>
        <v>-4.8</v>
      </c>
      <c r="CB121" s="1">
        <f t="shared" si="93"/>
        <v>0.1</v>
      </c>
      <c r="CC121" s="1">
        <f t="shared" si="94"/>
        <v>0.7</v>
      </c>
      <c r="CD121" s="1">
        <f t="shared" si="95"/>
        <v>1.2</v>
      </c>
      <c r="CE121" s="1" t="str">
        <f t="shared" si="96"/>
        <v>NAN</v>
      </c>
      <c r="CF121" s="1">
        <f t="shared" si="97"/>
        <v>0.54700000000000004</v>
      </c>
      <c r="CG121" s="1">
        <f t="shared" si="98"/>
        <v>0.38300000000000001</v>
      </c>
      <c r="CI121" s="1">
        <f t="shared" si="62"/>
        <v>2879</v>
      </c>
      <c r="CJ121" s="1">
        <f t="shared" si="63"/>
        <v>4.9000000000000002E-2</v>
      </c>
      <c r="CK121" s="1">
        <f t="shared" si="64"/>
        <v>4.0000000000000001E-3</v>
      </c>
      <c r="CL121" s="1">
        <f t="shared" si="65"/>
        <v>6.0000000000000001E-3</v>
      </c>
      <c r="CM121" s="1">
        <f t="shared" si="66"/>
        <v>0.04</v>
      </c>
      <c r="CN121" s="1">
        <f t="shared" si="67"/>
        <v>0.16800000000000001</v>
      </c>
      <c r="CO121" s="1">
        <f t="shared" si="68"/>
        <v>0.28899999999999998</v>
      </c>
      <c r="CP121" s="1">
        <f t="shared" si="69"/>
        <v>0.23699999999999999</v>
      </c>
      <c r="CQ121" s="1">
        <f t="shared" si="70"/>
        <v>0.20699999999999999</v>
      </c>
      <c r="CS121" s="1">
        <f t="shared" si="101"/>
        <v>-0.70000000000000018</v>
      </c>
      <c r="CT121" s="1">
        <f t="shared" si="102"/>
        <v>-2.2999999999999998</v>
      </c>
    </row>
    <row r="122" spans="1:98" x14ac:dyDescent="0.2">
      <c r="A122" s="8">
        <f t="shared" si="99"/>
        <v>43947</v>
      </c>
      <c r="B122" s="1">
        <v>117</v>
      </c>
      <c r="C122" s="1">
        <v>11</v>
      </c>
      <c r="D122" s="2">
        <v>13.05</v>
      </c>
      <c r="E122" s="2">
        <v>9.24</v>
      </c>
      <c r="F122" s="2">
        <v>-7.04</v>
      </c>
      <c r="G122" s="2">
        <v>1.2</v>
      </c>
      <c r="H122" s="2">
        <v>59.39</v>
      </c>
      <c r="I122" s="2">
        <v>-1.0999999999999999E-2</v>
      </c>
      <c r="J122" s="2">
        <v>-1.4E-2</v>
      </c>
      <c r="K122" s="2">
        <v>5.0999999999999997E-2</v>
      </c>
      <c r="L122" s="2">
        <v>0.70099999999999996</v>
      </c>
      <c r="M122" s="2">
        <v>1.1850000000000001</v>
      </c>
      <c r="N122" s="2">
        <v>6.7770000000000001</v>
      </c>
      <c r="O122" s="2">
        <v>85</v>
      </c>
      <c r="P122" s="2">
        <v>9.2999999999999999E-2</v>
      </c>
      <c r="Q122" s="2">
        <v>7.5999999999999998E-2</v>
      </c>
      <c r="R122" s="2">
        <v>0.18</v>
      </c>
      <c r="S122" s="2">
        <v>0.81799999999999995</v>
      </c>
      <c r="T122" s="2">
        <v>1.331</v>
      </c>
      <c r="U122" s="2">
        <v>-4.5720000000000001</v>
      </c>
      <c r="V122" s="2">
        <v>33.28</v>
      </c>
      <c r="W122" s="2">
        <v>-0.128</v>
      </c>
      <c r="X122" s="2">
        <v>-0.12</v>
      </c>
      <c r="Y122" s="2">
        <v>-4.7E-2</v>
      </c>
      <c r="Z122" s="2">
        <v>0.58699999999999997</v>
      </c>
      <c r="AA122" s="2">
        <v>0.96899999999999997</v>
      </c>
      <c r="AB122" s="2">
        <v>1.486</v>
      </c>
      <c r="AC122" s="2">
        <v>0</v>
      </c>
      <c r="AD122" s="2">
        <v>17.04</v>
      </c>
      <c r="AE122" s="2">
        <v>11.33</v>
      </c>
      <c r="AF122" s="2">
        <v>1.587</v>
      </c>
      <c r="AG122" s="2">
        <v>5.4749999999999996</v>
      </c>
      <c r="AH122" s="2">
        <v>-0.32500000000000001</v>
      </c>
      <c r="AI122" s="2">
        <v>7.0190000000000001</v>
      </c>
      <c r="AJ122" s="2">
        <v>-7.3490000000000002</v>
      </c>
      <c r="AK122" s="2">
        <v>12.42</v>
      </c>
      <c r="AL122" s="2">
        <v>-4.2560000000000002</v>
      </c>
      <c r="AM122" s="2">
        <v>1.482</v>
      </c>
      <c r="AN122" s="2" t="s">
        <v>122</v>
      </c>
      <c r="AO122" s="2">
        <v>213</v>
      </c>
      <c r="AP122" s="2">
        <v>55</v>
      </c>
      <c r="AQ122" s="2">
        <v>98</v>
      </c>
      <c r="AR122" s="2">
        <v>151</v>
      </c>
      <c r="AS122" s="2">
        <v>426</v>
      </c>
      <c r="AT122" s="2">
        <v>864</v>
      </c>
      <c r="AU122" s="2">
        <v>626</v>
      </c>
      <c r="AV122" s="2">
        <v>447</v>
      </c>
      <c r="AW122" s="2"/>
      <c r="AX122" s="1">
        <f t="shared" si="103"/>
        <v>1.0639999999999998</v>
      </c>
      <c r="AY122" s="21">
        <f t="shared" si="104"/>
        <v>0</v>
      </c>
      <c r="AZ122" s="5">
        <v>27.71</v>
      </c>
      <c r="BA122" s="1">
        <v>17.04</v>
      </c>
      <c r="BB122" s="1">
        <v>10.42</v>
      </c>
      <c r="BC122" s="6">
        <f t="shared" si="100"/>
        <v>0.61150234741784038</v>
      </c>
      <c r="BE122" s="30">
        <v>0</v>
      </c>
      <c r="BF122" s="27">
        <v>1103.9999999999998</v>
      </c>
      <c r="BG122" s="1">
        <f t="shared" si="73"/>
        <v>85</v>
      </c>
      <c r="BH122" s="1">
        <f t="shared" si="74"/>
        <v>59.4</v>
      </c>
      <c r="BI122" s="1">
        <f t="shared" si="75"/>
        <v>33.299999999999997</v>
      </c>
      <c r="BJ122" s="7">
        <f t="shared" si="76"/>
        <v>0.32800000000000001</v>
      </c>
      <c r="BK122" s="7">
        <f t="shared" si="77"/>
        <v>0.65700000000000003</v>
      </c>
      <c r="BM122" s="5">
        <f t="shared" si="78"/>
        <v>17.04</v>
      </c>
      <c r="BN122" s="5">
        <f t="shared" si="79"/>
        <v>10.42</v>
      </c>
      <c r="BO122" s="1">
        <f t="shared" si="80"/>
        <v>1.2</v>
      </c>
      <c r="BP122" s="1">
        <f t="shared" si="81"/>
        <v>6.8</v>
      </c>
      <c r="BQ122" s="1">
        <f t="shared" si="82"/>
        <v>-4.5999999999999996</v>
      </c>
      <c r="BR122" s="1">
        <f t="shared" si="83"/>
        <v>59.4</v>
      </c>
      <c r="BS122" s="1">
        <f t="shared" si="84"/>
        <v>33.299999999999997</v>
      </c>
      <c r="BT122" s="1">
        <f t="shared" si="85"/>
        <v>1.6</v>
      </c>
      <c r="BU122" s="1">
        <f t="shared" si="86"/>
        <v>5.5</v>
      </c>
      <c r="BV122" s="33">
        <f t="shared" si="87"/>
        <v>0</v>
      </c>
      <c r="BW122" s="34">
        <f t="shared" si="105"/>
        <v>1.1040000000000001</v>
      </c>
      <c r="BX122" s="20">
        <f t="shared" si="89"/>
        <v>0</v>
      </c>
      <c r="BY122" s="1">
        <f t="shared" si="90"/>
        <v>-0.3</v>
      </c>
      <c r="BZ122" s="1">
        <f t="shared" si="91"/>
        <v>7</v>
      </c>
      <c r="CA122" s="1">
        <f t="shared" si="92"/>
        <v>-7.3</v>
      </c>
      <c r="CB122" s="1">
        <f t="shared" si="93"/>
        <v>0.1</v>
      </c>
      <c r="CC122" s="1">
        <f t="shared" si="94"/>
        <v>0.7</v>
      </c>
      <c r="CD122" s="1">
        <f t="shared" si="95"/>
        <v>1.2</v>
      </c>
      <c r="CE122" s="1" t="str">
        <f t="shared" si="96"/>
        <v>NAN</v>
      </c>
      <c r="CF122" s="1">
        <f t="shared" si="97"/>
        <v>0.32800000000000001</v>
      </c>
      <c r="CG122" s="1">
        <f t="shared" si="98"/>
        <v>0.65700000000000003</v>
      </c>
      <c r="CI122" s="1">
        <f t="shared" si="62"/>
        <v>2880</v>
      </c>
      <c r="CJ122" s="1">
        <f t="shared" si="63"/>
        <v>7.3999999999999996E-2</v>
      </c>
      <c r="CK122" s="1">
        <f t="shared" si="64"/>
        <v>1.9E-2</v>
      </c>
      <c r="CL122" s="1">
        <f t="shared" si="65"/>
        <v>3.4000000000000002E-2</v>
      </c>
      <c r="CM122" s="1">
        <f t="shared" si="66"/>
        <v>5.1999999999999998E-2</v>
      </c>
      <c r="CN122" s="1">
        <f t="shared" si="67"/>
        <v>0.14799999999999999</v>
      </c>
      <c r="CO122" s="1">
        <f t="shared" si="68"/>
        <v>0.3</v>
      </c>
      <c r="CP122" s="1">
        <f t="shared" si="69"/>
        <v>0.217</v>
      </c>
      <c r="CQ122" s="1">
        <f t="shared" si="70"/>
        <v>0.155</v>
      </c>
      <c r="CS122" s="1">
        <f t="shared" si="101"/>
        <v>0.20000000000000018</v>
      </c>
      <c r="CT122" s="1">
        <f t="shared" si="102"/>
        <v>-2.7</v>
      </c>
    </row>
    <row r="123" spans="1:98" x14ac:dyDescent="0.2">
      <c r="A123" s="8">
        <f t="shared" si="99"/>
        <v>43948</v>
      </c>
      <c r="B123" s="1">
        <v>118</v>
      </c>
      <c r="C123" s="1">
        <v>11</v>
      </c>
      <c r="D123" s="2">
        <v>13.06</v>
      </c>
      <c r="E123" s="2">
        <v>6.5039999999999996</v>
      </c>
      <c r="F123" s="2">
        <v>-5.6779999999999999</v>
      </c>
      <c r="G123" s="2">
        <v>1.0549999999999999</v>
      </c>
      <c r="H123" s="2">
        <v>62.41</v>
      </c>
      <c r="I123" s="2">
        <v>5.0000000000000001E-3</v>
      </c>
      <c r="J123" s="2">
        <v>1E-3</v>
      </c>
      <c r="K123" s="2">
        <v>5.7000000000000002E-2</v>
      </c>
      <c r="L123" s="2">
        <v>0.70699999999999996</v>
      </c>
      <c r="M123" s="2">
        <v>1.194</v>
      </c>
      <c r="N123" s="2">
        <v>6.3490000000000002</v>
      </c>
      <c r="O123" s="2">
        <v>86.8</v>
      </c>
      <c r="P123" s="2">
        <v>0.122</v>
      </c>
      <c r="Q123" s="2">
        <v>0.12</v>
      </c>
      <c r="R123" s="2">
        <v>0.17799999999999999</v>
      </c>
      <c r="S123" s="2">
        <v>0.83299999999999996</v>
      </c>
      <c r="T123" s="2">
        <v>1.3180000000000001</v>
      </c>
      <c r="U123" s="2">
        <v>-3.016</v>
      </c>
      <c r="V123" s="2">
        <v>40.24</v>
      </c>
      <c r="W123" s="2">
        <v>-0.107</v>
      </c>
      <c r="X123" s="2">
        <v>-9.5000000000000001E-2</v>
      </c>
      <c r="Y123" s="2">
        <v>-3.9E-2</v>
      </c>
      <c r="Z123" s="2">
        <v>0.61399999999999999</v>
      </c>
      <c r="AA123" s="2">
        <v>1.02</v>
      </c>
      <c r="AB123" s="2">
        <v>1.494</v>
      </c>
      <c r="AC123" s="2">
        <v>0</v>
      </c>
      <c r="AD123" s="2">
        <v>17.670000000000002</v>
      </c>
      <c r="AE123" s="2">
        <v>12.95</v>
      </c>
      <c r="AF123" s="2">
        <v>2.31</v>
      </c>
      <c r="AG123" s="2">
        <v>6.444</v>
      </c>
      <c r="AH123" s="2">
        <v>-0.53600000000000003</v>
      </c>
      <c r="AI123" s="2">
        <v>6.6239999999999997</v>
      </c>
      <c r="AJ123" s="2">
        <v>-6.2640000000000002</v>
      </c>
      <c r="AK123" s="2">
        <v>10.24</v>
      </c>
      <c r="AL123" s="2">
        <v>-3.274</v>
      </c>
      <c r="AM123" s="2">
        <v>1.502</v>
      </c>
      <c r="AN123" s="2" t="s">
        <v>122</v>
      </c>
      <c r="AO123" s="2">
        <v>433</v>
      </c>
      <c r="AP123" s="2">
        <v>84</v>
      </c>
      <c r="AQ123" s="2">
        <v>12</v>
      </c>
      <c r="AR123" s="2">
        <v>26</v>
      </c>
      <c r="AS123" s="2">
        <v>129</v>
      </c>
      <c r="AT123" s="2">
        <v>671</v>
      </c>
      <c r="AU123" s="2">
        <v>760</v>
      </c>
      <c r="AV123" s="2">
        <v>765</v>
      </c>
      <c r="AW123" s="2"/>
      <c r="AX123" s="1">
        <f t="shared" si="103"/>
        <v>1.0559999999999998</v>
      </c>
      <c r="AY123" s="21">
        <f t="shared" si="104"/>
        <v>0</v>
      </c>
      <c r="AZ123" s="5">
        <v>27.92</v>
      </c>
      <c r="BA123" s="1">
        <v>17.670000000000002</v>
      </c>
      <c r="BB123" s="1">
        <v>11.92</v>
      </c>
      <c r="BC123" s="6">
        <f t="shared" si="100"/>
        <v>0.67458970005659302</v>
      </c>
      <c r="BE123" s="30">
        <v>1</v>
      </c>
      <c r="BF123" s="27">
        <v>1095.9999999999998</v>
      </c>
      <c r="BG123" s="1">
        <f t="shared" si="73"/>
        <v>86.8</v>
      </c>
      <c r="BH123" s="1">
        <f t="shared" si="74"/>
        <v>62.4</v>
      </c>
      <c r="BI123" s="1">
        <f t="shared" si="75"/>
        <v>40.200000000000003</v>
      </c>
      <c r="BJ123" s="7">
        <f t="shared" si="76"/>
        <v>0.38500000000000001</v>
      </c>
      <c r="BK123" s="7">
        <f t="shared" si="77"/>
        <v>0.57299999999999995</v>
      </c>
      <c r="BM123" s="5">
        <f t="shared" si="78"/>
        <v>17.670000000000002</v>
      </c>
      <c r="BN123" s="5">
        <f t="shared" si="79"/>
        <v>11.92</v>
      </c>
      <c r="BO123" s="1">
        <f t="shared" si="80"/>
        <v>1.1000000000000001</v>
      </c>
      <c r="BP123" s="1">
        <f t="shared" si="81"/>
        <v>6.3</v>
      </c>
      <c r="BQ123" s="1">
        <f t="shared" si="82"/>
        <v>-3</v>
      </c>
      <c r="BR123" s="1">
        <f t="shared" si="83"/>
        <v>62.4</v>
      </c>
      <c r="BS123" s="1">
        <f t="shared" si="84"/>
        <v>40.200000000000003</v>
      </c>
      <c r="BT123" s="1">
        <f t="shared" si="85"/>
        <v>2.2999999999999998</v>
      </c>
      <c r="BU123" s="1">
        <f t="shared" si="86"/>
        <v>6.4</v>
      </c>
      <c r="BV123" s="33">
        <f t="shared" si="87"/>
        <v>1</v>
      </c>
      <c r="BW123" s="34">
        <f t="shared" si="105"/>
        <v>1.0960000000000001</v>
      </c>
      <c r="BX123" s="20">
        <f t="shared" si="89"/>
        <v>0</v>
      </c>
      <c r="BY123" s="1">
        <f t="shared" si="90"/>
        <v>-0.5</v>
      </c>
      <c r="BZ123" s="1">
        <f t="shared" si="91"/>
        <v>6.6</v>
      </c>
      <c r="CA123" s="1">
        <f t="shared" si="92"/>
        <v>-6.3</v>
      </c>
      <c r="CB123" s="1">
        <f t="shared" si="93"/>
        <v>0.1</v>
      </c>
      <c r="CC123" s="1">
        <f t="shared" si="94"/>
        <v>0.7</v>
      </c>
      <c r="CD123" s="1">
        <f t="shared" si="95"/>
        <v>1.2</v>
      </c>
      <c r="CE123" s="1" t="str">
        <f t="shared" si="96"/>
        <v>NAN</v>
      </c>
      <c r="CF123" s="1">
        <f t="shared" si="97"/>
        <v>0.38500000000000001</v>
      </c>
      <c r="CG123" s="1">
        <f t="shared" si="98"/>
        <v>0.57299999999999995</v>
      </c>
      <c r="CI123" s="1">
        <f t="shared" si="62"/>
        <v>2880</v>
      </c>
      <c r="CJ123" s="1">
        <f t="shared" si="63"/>
        <v>0.15</v>
      </c>
      <c r="CK123" s="1">
        <f t="shared" si="64"/>
        <v>2.9000000000000001E-2</v>
      </c>
      <c r="CL123" s="1">
        <f t="shared" si="65"/>
        <v>4.0000000000000001E-3</v>
      </c>
      <c r="CM123" s="1">
        <f t="shared" si="66"/>
        <v>8.9999999999999993E-3</v>
      </c>
      <c r="CN123" s="1">
        <f t="shared" si="67"/>
        <v>4.4999999999999998E-2</v>
      </c>
      <c r="CO123" s="1">
        <f t="shared" si="68"/>
        <v>0.23300000000000001</v>
      </c>
      <c r="CP123" s="1">
        <f t="shared" si="69"/>
        <v>0.26400000000000001</v>
      </c>
      <c r="CQ123" s="1">
        <f t="shared" si="70"/>
        <v>0.26600000000000001</v>
      </c>
      <c r="CS123" s="1">
        <f t="shared" si="101"/>
        <v>0.29999999999999982</v>
      </c>
      <c r="CT123" s="1">
        <f t="shared" si="102"/>
        <v>-3.3</v>
      </c>
    </row>
    <row r="124" spans="1:98" x14ac:dyDescent="0.2">
      <c r="A124" s="8">
        <f t="shared" si="99"/>
        <v>43949</v>
      </c>
      <c r="B124" s="1">
        <v>119</v>
      </c>
      <c r="C124" s="1">
        <v>11</v>
      </c>
      <c r="D124" s="2">
        <v>12.97</v>
      </c>
      <c r="E124" s="2">
        <v>10.86</v>
      </c>
      <c r="F124" s="2">
        <v>-7.5940000000000003</v>
      </c>
      <c r="G124" s="2">
        <v>1.7350000000000001</v>
      </c>
      <c r="H124" s="2">
        <v>63.24</v>
      </c>
      <c r="I124" s="2">
        <v>-0.01</v>
      </c>
      <c r="J124" s="2">
        <v>-0.01</v>
      </c>
      <c r="K124" s="2">
        <v>5.0999999999999997E-2</v>
      </c>
      <c r="L124" s="2">
        <v>0.70599999999999996</v>
      </c>
      <c r="M124" s="2">
        <v>1.1819999999999999</v>
      </c>
      <c r="N124" s="2">
        <v>10.41</v>
      </c>
      <c r="O124" s="2">
        <v>88.4</v>
      </c>
      <c r="P124" s="2">
        <v>0.111</v>
      </c>
      <c r="Q124" s="2">
        <v>0.108</v>
      </c>
      <c r="R124" s="2">
        <v>0.17199999999999999</v>
      </c>
      <c r="S124" s="2">
        <v>0.83499999999999996</v>
      </c>
      <c r="T124" s="2">
        <v>1.3120000000000001</v>
      </c>
      <c r="U124" s="2">
        <v>-5.0140000000000002</v>
      </c>
      <c r="V124" s="2">
        <v>27.14</v>
      </c>
      <c r="W124" s="2">
        <v>-0.153</v>
      </c>
      <c r="X124" s="2">
        <v>-0.112</v>
      </c>
      <c r="Y124" s="2">
        <v>-5.0999999999999997E-2</v>
      </c>
      <c r="Z124" s="2">
        <v>0.6</v>
      </c>
      <c r="AA124" s="2">
        <v>1.0309999999999999</v>
      </c>
      <c r="AB124" s="2">
        <v>1.52</v>
      </c>
      <c r="AC124" s="2">
        <v>0</v>
      </c>
      <c r="AD124" s="2">
        <v>15.52</v>
      </c>
      <c r="AE124" s="2">
        <v>10.39</v>
      </c>
      <c r="AF124" s="2">
        <v>1.127</v>
      </c>
      <c r="AG124" s="2">
        <v>3.581</v>
      </c>
      <c r="AH124" s="2">
        <v>-0.41899999999999998</v>
      </c>
      <c r="AI124" s="2">
        <v>8.2799999999999994</v>
      </c>
      <c r="AJ124" s="2">
        <v>-8.0299999999999994</v>
      </c>
      <c r="AK124" s="2">
        <v>15.71</v>
      </c>
      <c r="AL124" s="2">
        <v>-5.0940000000000003</v>
      </c>
      <c r="AM124" s="2">
        <v>1.514</v>
      </c>
      <c r="AN124" s="2" t="s">
        <v>122</v>
      </c>
      <c r="AO124" s="2">
        <v>158</v>
      </c>
      <c r="AP124" s="2">
        <v>126</v>
      </c>
      <c r="AQ124" s="2">
        <v>179</v>
      </c>
      <c r="AR124" s="2">
        <v>400</v>
      </c>
      <c r="AS124" s="2">
        <v>554</v>
      </c>
      <c r="AT124" s="2">
        <v>739</v>
      </c>
      <c r="AU124" s="2">
        <v>547</v>
      </c>
      <c r="AV124" s="2">
        <v>177</v>
      </c>
      <c r="AW124" s="2"/>
      <c r="AX124" s="1">
        <f t="shared" si="103"/>
        <v>1.0299999999999998</v>
      </c>
      <c r="AY124" s="21">
        <f t="shared" si="104"/>
        <v>0</v>
      </c>
      <c r="AZ124" s="5">
        <v>28.12</v>
      </c>
      <c r="BA124" s="1">
        <v>15.52</v>
      </c>
      <c r="BB124" s="1">
        <v>9.5500000000000007</v>
      </c>
      <c r="BC124" s="6">
        <f t="shared" si="100"/>
        <v>0.61533505154639179</v>
      </c>
      <c r="BE124" s="30">
        <v>1</v>
      </c>
      <c r="BF124" s="27">
        <v>1069.9999999999998</v>
      </c>
      <c r="BG124" s="1">
        <f t="shared" si="73"/>
        <v>88.4</v>
      </c>
      <c r="BH124" s="1">
        <f t="shared" si="74"/>
        <v>63.2</v>
      </c>
      <c r="BI124" s="1">
        <f t="shared" si="75"/>
        <v>27.1</v>
      </c>
      <c r="BJ124" s="7">
        <f t="shared" si="76"/>
        <v>0.34200000000000003</v>
      </c>
      <c r="BK124" s="7">
        <f t="shared" si="77"/>
        <v>0.92</v>
      </c>
      <c r="BM124" s="5">
        <f t="shared" si="78"/>
        <v>15.52</v>
      </c>
      <c r="BN124" s="5">
        <f t="shared" si="79"/>
        <v>9.5500000000000007</v>
      </c>
      <c r="BO124" s="1">
        <f t="shared" si="80"/>
        <v>1.7</v>
      </c>
      <c r="BP124" s="1">
        <f t="shared" si="81"/>
        <v>10.4</v>
      </c>
      <c r="BQ124" s="1">
        <f t="shared" si="82"/>
        <v>-5</v>
      </c>
      <c r="BR124" s="1">
        <f t="shared" si="83"/>
        <v>63.2</v>
      </c>
      <c r="BS124" s="1">
        <f t="shared" si="84"/>
        <v>27.1</v>
      </c>
      <c r="BT124" s="1">
        <f t="shared" si="85"/>
        <v>1.1000000000000001</v>
      </c>
      <c r="BU124" s="1">
        <f t="shared" si="86"/>
        <v>3.6</v>
      </c>
      <c r="BV124" s="33">
        <f t="shared" si="87"/>
        <v>1</v>
      </c>
      <c r="BW124" s="34">
        <f t="shared" si="105"/>
        <v>1.07</v>
      </c>
      <c r="BX124" s="20">
        <f t="shared" si="89"/>
        <v>0</v>
      </c>
      <c r="BY124" s="1">
        <f t="shared" si="90"/>
        <v>-0.4</v>
      </c>
      <c r="BZ124" s="1">
        <f t="shared" si="91"/>
        <v>8.3000000000000007</v>
      </c>
      <c r="CA124" s="1">
        <f t="shared" si="92"/>
        <v>-8</v>
      </c>
      <c r="CB124" s="1">
        <f t="shared" si="93"/>
        <v>0.1</v>
      </c>
      <c r="CC124" s="1">
        <f t="shared" si="94"/>
        <v>0.7</v>
      </c>
      <c r="CD124" s="1">
        <f t="shared" si="95"/>
        <v>1.2</v>
      </c>
      <c r="CE124" s="1" t="str">
        <f t="shared" si="96"/>
        <v>NAN</v>
      </c>
      <c r="CF124" s="1">
        <f t="shared" si="97"/>
        <v>0.34200000000000003</v>
      </c>
      <c r="CG124" s="1">
        <f t="shared" si="98"/>
        <v>0.92</v>
      </c>
      <c r="CI124" s="1">
        <f t="shared" si="62"/>
        <v>2880</v>
      </c>
      <c r="CJ124" s="1">
        <f t="shared" si="63"/>
        <v>5.5E-2</v>
      </c>
      <c r="CK124" s="1">
        <f t="shared" si="64"/>
        <v>4.3999999999999997E-2</v>
      </c>
      <c r="CL124" s="1">
        <f t="shared" si="65"/>
        <v>6.2E-2</v>
      </c>
      <c r="CM124" s="1">
        <f t="shared" si="66"/>
        <v>0.13900000000000001</v>
      </c>
      <c r="CN124" s="1">
        <f t="shared" si="67"/>
        <v>0.192</v>
      </c>
      <c r="CO124" s="1">
        <f t="shared" si="68"/>
        <v>0.25700000000000001</v>
      </c>
      <c r="CP124" s="1">
        <f t="shared" si="69"/>
        <v>0.19</v>
      </c>
      <c r="CQ124" s="1">
        <f t="shared" si="70"/>
        <v>6.0999999999999999E-2</v>
      </c>
      <c r="CS124" s="1">
        <f t="shared" si="101"/>
        <v>-2.0999999999999996</v>
      </c>
      <c r="CT124" s="1">
        <f t="shared" si="102"/>
        <v>-3</v>
      </c>
    </row>
    <row r="125" spans="1:98" x14ac:dyDescent="0.2">
      <c r="A125" s="8">
        <f t="shared" si="99"/>
        <v>43950</v>
      </c>
      <c r="B125" s="1">
        <v>120</v>
      </c>
      <c r="C125" s="1">
        <v>11</v>
      </c>
      <c r="D125" s="2">
        <v>13.04</v>
      </c>
      <c r="E125" s="2">
        <v>12</v>
      </c>
      <c r="F125" s="2">
        <v>-0.60599999999999998</v>
      </c>
      <c r="G125" s="2">
        <v>5.9950000000000001</v>
      </c>
      <c r="H125" s="2">
        <v>57.65</v>
      </c>
      <c r="I125" s="2">
        <v>2.4E-2</v>
      </c>
      <c r="J125" s="2">
        <v>2.1999999999999999E-2</v>
      </c>
      <c r="K125" s="2">
        <v>7.8E-2</v>
      </c>
      <c r="L125" s="2">
        <v>0.73499999999999999</v>
      </c>
      <c r="M125" s="2">
        <v>1.208</v>
      </c>
      <c r="N125" s="2">
        <v>12.85</v>
      </c>
      <c r="O125" s="2">
        <v>73.39</v>
      </c>
      <c r="P125" s="2">
        <v>0.123</v>
      </c>
      <c r="Q125" s="2">
        <v>0.1</v>
      </c>
      <c r="R125" s="2">
        <v>0.17699999999999999</v>
      </c>
      <c r="S125" s="2">
        <v>0.82699999999999996</v>
      </c>
      <c r="T125" s="2">
        <v>1.3220000000000001</v>
      </c>
      <c r="U125" s="2">
        <v>1.7849999999999999</v>
      </c>
      <c r="V125" s="2">
        <v>31.24</v>
      </c>
      <c r="W125" s="2">
        <v>-7.0000000000000007E-2</v>
      </c>
      <c r="X125" s="2">
        <v>-5.6000000000000001E-2</v>
      </c>
      <c r="Y125" s="2">
        <v>-6.0000000000000001E-3</v>
      </c>
      <c r="Z125" s="2">
        <v>0.64</v>
      </c>
      <c r="AA125" s="2">
        <v>1.0900000000000001</v>
      </c>
      <c r="AB125" s="2">
        <v>1.544</v>
      </c>
      <c r="AC125" s="2">
        <v>0</v>
      </c>
      <c r="AD125" s="2">
        <v>14.36</v>
      </c>
      <c r="AE125" s="2">
        <v>9.3000000000000007</v>
      </c>
      <c r="AF125" s="2">
        <v>1.4650000000000001</v>
      </c>
      <c r="AG125" s="2">
        <v>5.3209999999999997</v>
      </c>
      <c r="AH125" s="2">
        <v>2.9950000000000001</v>
      </c>
      <c r="AI125" s="2">
        <v>8.58</v>
      </c>
      <c r="AJ125" s="2">
        <v>-0.42099999999999999</v>
      </c>
      <c r="AK125" s="2">
        <v>16.03</v>
      </c>
      <c r="AL125" s="2">
        <v>1.619</v>
      </c>
      <c r="AM125" s="2">
        <v>1.5289999999999999</v>
      </c>
      <c r="AN125" s="2" t="s">
        <v>122</v>
      </c>
      <c r="AO125" s="2">
        <v>5</v>
      </c>
      <c r="AP125" s="2">
        <v>9</v>
      </c>
      <c r="AQ125" s="2">
        <v>60</v>
      </c>
      <c r="AR125" s="2">
        <v>384</v>
      </c>
      <c r="AS125" s="2">
        <v>994</v>
      </c>
      <c r="AT125" s="2">
        <v>1090</v>
      </c>
      <c r="AU125" s="2">
        <v>305</v>
      </c>
      <c r="AV125" s="2">
        <v>33</v>
      </c>
      <c r="AW125" s="2"/>
      <c r="AX125" s="1">
        <f t="shared" si="103"/>
        <v>1.0059999999999998</v>
      </c>
      <c r="AY125" s="21">
        <f t="shared" si="104"/>
        <v>0</v>
      </c>
      <c r="AZ125" s="5">
        <v>28.32</v>
      </c>
      <c r="BA125" s="1">
        <v>14.36</v>
      </c>
      <c r="BB125" s="1">
        <v>8.56</v>
      </c>
      <c r="BC125" s="6">
        <f t="shared" si="100"/>
        <v>0.59610027855153214</v>
      </c>
      <c r="BE125" s="30">
        <v>0</v>
      </c>
      <c r="BF125" s="27">
        <v>1045.9999999999998</v>
      </c>
      <c r="BG125" s="1">
        <f t="shared" si="73"/>
        <v>73.400000000000006</v>
      </c>
      <c r="BH125" s="1">
        <f t="shared" si="74"/>
        <v>57.7</v>
      </c>
      <c r="BI125" s="1">
        <f t="shared" si="75"/>
        <v>31.2</v>
      </c>
      <c r="BJ125" s="7">
        <f t="shared" si="76"/>
        <v>0.46300000000000002</v>
      </c>
      <c r="BK125" s="7">
        <f t="shared" si="77"/>
        <v>1.0209999999999999</v>
      </c>
      <c r="BM125" s="5">
        <f t="shared" si="78"/>
        <v>14.36</v>
      </c>
      <c r="BN125" s="5">
        <f t="shared" si="79"/>
        <v>8.56</v>
      </c>
      <c r="BO125" s="1">
        <f t="shared" si="80"/>
        <v>6</v>
      </c>
      <c r="BP125" s="1">
        <f t="shared" si="81"/>
        <v>12.9</v>
      </c>
      <c r="BQ125" s="1">
        <f t="shared" si="82"/>
        <v>1.8</v>
      </c>
      <c r="BR125" s="1">
        <f t="shared" si="83"/>
        <v>57.7</v>
      </c>
      <c r="BS125" s="1">
        <f t="shared" si="84"/>
        <v>31.2</v>
      </c>
      <c r="BT125" s="1">
        <f t="shared" si="85"/>
        <v>1.5</v>
      </c>
      <c r="BU125" s="1">
        <f t="shared" si="86"/>
        <v>5.3</v>
      </c>
      <c r="BV125" s="33">
        <f t="shared" si="87"/>
        <v>0</v>
      </c>
      <c r="BW125" s="34">
        <f t="shared" si="105"/>
        <v>1.046</v>
      </c>
      <c r="BX125" s="20">
        <f t="shared" si="89"/>
        <v>0</v>
      </c>
      <c r="BY125" s="1">
        <f t="shared" si="90"/>
        <v>3</v>
      </c>
      <c r="BZ125" s="1">
        <f t="shared" si="91"/>
        <v>8.6</v>
      </c>
      <c r="CA125" s="1">
        <f t="shared" si="92"/>
        <v>-0.4</v>
      </c>
      <c r="CB125" s="1">
        <f t="shared" si="93"/>
        <v>0.1</v>
      </c>
      <c r="CC125" s="1">
        <f t="shared" si="94"/>
        <v>0.7</v>
      </c>
      <c r="CD125" s="1">
        <f t="shared" si="95"/>
        <v>1.2</v>
      </c>
      <c r="CE125" s="1" t="str">
        <f t="shared" si="96"/>
        <v>NAN</v>
      </c>
      <c r="CF125" s="1">
        <f t="shared" si="97"/>
        <v>0.46300000000000002</v>
      </c>
      <c r="CG125" s="1">
        <f t="shared" si="98"/>
        <v>1.0209999999999999</v>
      </c>
      <c r="CI125" s="1">
        <f t="shared" si="62"/>
        <v>2880</v>
      </c>
      <c r="CJ125" s="1">
        <f t="shared" si="63"/>
        <v>2E-3</v>
      </c>
      <c r="CK125" s="1">
        <f t="shared" si="64"/>
        <v>3.0000000000000001E-3</v>
      </c>
      <c r="CL125" s="1">
        <f t="shared" si="65"/>
        <v>2.1000000000000001E-2</v>
      </c>
      <c r="CM125" s="1">
        <f t="shared" si="66"/>
        <v>0.13300000000000001</v>
      </c>
      <c r="CN125" s="1">
        <f t="shared" si="67"/>
        <v>0.34499999999999997</v>
      </c>
      <c r="CO125" s="1">
        <f t="shared" si="68"/>
        <v>0.378</v>
      </c>
      <c r="CP125" s="1">
        <f t="shared" si="69"/>
        <v>0.106</v>
      </c>
      <c r="CQ125" s="1">
        <f t="shared" si="70"/>
        <v>1.0999999999999999E-2</v>
      </c>
      <c r="CS125" s="1">
        <f t="shared" si="101"/>
        <v>-4.3000000000000007</v>
      </c>
      <c r="CT125" s="1">
        <f t="shared" si="102"/>
        <v>-2.2000000000000002</v>
      </c>
    </row>
    <row r="126" spans="1:98" x14ac:dyDescent="0.2">
      <c r="A126" s="8">
        <f t="shared" si="99"/>
        <v>43951</v>
      </c>
      <c r="B126" s="1">
        <v>121</v>
      </c>
      <c r="C126" s="1">
        <v>11</v>
      </c>
      <c r="D126" s="2">
        <v>13.07</v>
      </c>
      <c r="E126" s="2">
        <v>8.1300000000000008</v>
      </c>
      <c r="F126" s="2">
        <v>-5.7880000000000003</v>
      </c>
      <c r="G126" s="2">
        <v>2.7</v>
      </c>
      <c r="H126" s="2">
        <v>64.260000000000005</v>
      </c>
      <c r="I126" s="2">
        <v>1.7999999999999999E-2</v>
      </c>
      <c r="J126" s="2">
        <v>1.7000000000000001E-2</v>
      </c>
      <c r="K126" s="2">
        <v>7.0999999999999994E-2</v>
      </c>
      <c r="L126" s="2">
        <v>0.752</v>
      </c>
      <c r="M126" s="2">
        <v>1.1910000000000001</v>
      </c>
      <c r="N126" s="2">
        <v>6.3380000000000001</v>
      </c>
      <c r="O126" s="2">
        <v>82.9</v>
      </c>
      <c r="P126" s="2">
        <v>0.154</v>
      </c>
      <c r="Q126" s="2">
        <v>0.14499999999999999</v>
      </c>
      <c r="R126" s="2">
        <v>0.191</v>
      </c>
      <c r="S126" s="2">
        <v>0.85699999999999998</v>
      </c>
      <c r="T126" s="2">
        <v>1.3280000000000001</v>
      </c>
      <c r="U126" s="2">
        <v>-2.8759999999999999</v>
      </c>
      <c r="V126" s="2">
        <v>39.49</v>
      </c>
      <c r="W126" s="2">
        <v>-9.5000000000000001E-2</v>
      </c>
      <c r="X126" s="2">
        <v>-9.4E-2</v>
      </c>
      <c r="Y126" s="2">
        <v>-4.5999999999999999E-2</v>
      </c>
      <c r="Z126" s="2">
        <v>0.66700000000000004</v>
      </c>
      <c r="AA126" s="2">
        <v>1.054</v>
      </c>
      <c r="AB126" s="2">
        <v>1.59</v>
      </c>
      <c r="AC126" s="2">
        <v>0</v>
      </c>
      <c r="AD126" s="2">
        <v>21.87</v>
      </c>
      <c r="AE126" s="2">
        <v>15.24</v>
      </c>
      <c r="AF126" s="2">
        <v>1.383</v>
      </c>
      <c r="AG126" s="2">
        <v>4.9969999999999999</v>
      </c>
      <c r="AH126" s="2">
        <v>1.1890000000000001</v>
      </c>
      <c r="AI126" s="2">
        <v>6.8840000000000003</v>
      </c>
      <c r="AJ126" s="2">
        <v>-5.0540000000000003</v>
      </c>
      <c r="AK126" s="2">
        <v>11.67</v>
      </c>
      <c r="AL126" s="2">
        <v>-3.1379999999999999</v>
      </c>
      <c r="AM126" s="2">
        <v>1.5960000000000001</v>
      </c>
      <c r="AN126" s="2" t="s">
        <v>122</v>
      </c>
      <c r="AO126" s="2">
        <v>644</v>
      </c>
      <c r="AP126" s="2">
        <v>305</v>
      </c>
      <c r="AQ126" s="2">
        <v>281</v>
      </c>
      <c r="AR126" s="2">
        <v>62</v>
      </c>
      <c r="AS126" s="2">
        <v>77</v>
      </c>
      <c r="AT126" s="2">
        <v>214</v>
      </c>
      <c r="AU126" s="2">
        <v>530</v>
      </c>
      <c r="AV126" s="2">
        <v>765</v>
      </c>
      <c r="AW126" s="2"/>
      <c r="AX126" s="1">
        <f t="shared" si="103"/>
        <v>0.95999999999999974</v>
      </c>
      <c r="AY126" s="21">
        <f t="shared" si="104"/>
        <v>0</v>
      </c>
      <c r="AZ126" s="5">
        <v>28.52</v>
      </c>
      <c r="BA126" s="1">
        <v>21.86</v>
      </c>
      <c r="BB126" s="1">
        <v>14.02</v>
      </c>
      <c r="BC126" s="6">
        <f t="shared" si="100"/>
        <v>0.64135407136322053</v>
      </c>
      <c r="BE126" s="30">
        <v>0</v>
      </c>
      <c r="BF126" s="27">
        <v>999.99999999999977</v>
      </c>
      <c r="BG126" s="1">
        <f t="shared" si="73"/>
        <v>82.9</v>
      </c>
      <c r="BH126" s="1">
        <f t="shared" si="74"/>
        <v>64.3</v>
      </c>
      <c r="BI126" s="1">
        <f t="shared" si="75"/>
        <v>39.5</v>
      </c>
      <c r="BJ126" s="7">
        <f t="shared" si="76"/>
        <v>0.378</v>
      </c>
      <c r="BK126" s="7">
        <f t="shared" si="77"/>
        <v>0.57899999999999996</v>
      </c>
      <c r="BM126" s="5">
        <f t="shared" si="78"/>
        <v>21.86</v>
      </c>
      <c r="BN126" s="5">
        <f t="shared" si="79"/>
        <v>14.02</v>
      </c>
      <c r="BO126" s="1">
        <f t="shared" si="80"/>
        <v>2.7</v>
      </c>
      <c r="BP126" s="1">
        <f t="shared" si="81"/>
        <v>6.3</v>
      </c>
      <c r="BQ126" s="1">
        <f t="shared" si="82"/>
        <v>-2.9</v>
      </c>
      <c r="BR126" s="1">
        <f t="shared" si="83"/>
        <v>64.3</v>
      </c>
      <c r="BS126" s="1">
        <f t="shared" si="84"/>
        <v>39.5</v>
      </c>
      <c r="BT126" s="1">
        <f t="shared" si="85"/>
        <v>1.4</v>
      </c>
      <c r="BU126" s="1">
        <f t="shared" si="86"/>
        <v>5</v>
      </c>
      <c r="BV126" s="33">
        <f t="shared" si="87"/>
        <v>0</v>
      </c>
      <c r="BW126" s="34">
        <f t="shared" si="105"/>
        <v>1</v>
      </c>
      <c r="BX126" s="20">
        <f t="shared" si="89"/>
        <v>0</v>
      </c>
      <c r="BY126" s="1">
        <f t="shared" si="90"/>
        <v>1.2</v>
      </c>
      <c r="BZ126" s="1">
        <f t="shared" si="91"/>
        <v>6.9</v>
      </c>
      <c r="CA126" s="1">
        <f t="shared" si="92"/>
        <v>-5.0999999999999996</v>
      </c>
      <c r="CB126" s="1">
        <f t="shared" si="93"/>
        <v>0.1</v>
      </c>
      <c r="CC126" s="1">
        <f t="shared" si="94"/>
        <v>0.8</v>
      </c>
      <c r="CD126" s="1">
        <f t="shared" si="95"/>
        <v>1.2</v>
      </c>
      <c r="CE126" s="1" t="str">
        <f t="shared" si="96"/>
        <v>NAN</v>
      </c>
      <c r="CF126" s="1">
        <f t="shared" si="97"/>
        <v>0.378</v>
      </c>
      <c r="CG126" s="1">
        <f t="shared" si="98"/>
        <v>0.57899999999999996</v>
      </c>
      <c r="CI126" s="1">
        <f t="shared" si="62"/>
        <v>2878</v>
      </c>
      <c r="CJ126" s="1">
        <f t="shared" si="63"/>
        <v>0.224</v>
      </c>
      <c r="CK126" s="1">
        <f t="shared" si="64"/>
        <v>0.106</v>
      </c>
      <c r="CL126" s="1">
        <f t="shared" si="65"/>
        <v>9.8000000000000004E-2</v>
      </c>
      <c r="CM126" s="1">
        <f t="shared" si="66"/>
        <v>2.1999999999999999E-2</v>
      </c>
      <c r="CN126" s="1">
        <f t="shared" si="67"/>
        <v>2.7E-2</v>
      </c>
      <c r="CO126" s="1">
        <f t="shared" si="68"/>
        <v>7.3999999999999996E-2</v>
      </c>
      <c r="CP126" s="1">
        <f t="shared" si="69"/>
        <v>0.184</v>
      </c>
      <c r="CQ126" s="1">
        <f t="shared" si="70"/>
        <v>0.26600000000000001</v>
      </c>
      <c r="CS126" s="1">
        <f t="shared" si="101"/>
        <v>0.60000000000000053</v>
      </c>
      <c r="CT126" s="1">
        <f t="shared" si="102"/>
        <v>-2.1999999999999997</v>
      </c>
    </row>
    <row r="127" spans="1:98" x14ac:dyDescent="0.2">
      <c r="A127" s="8">
        <f t="shared" si="99"/>
        <v>43952</v>
      </c>
      <c r="B127" s="1">
        <v>122</v>
      </c>
      <c r="C127" s="1">
        <v>11</v>
      </c>
      <c r="D127" s="2">
        <v>13.06</v>
      </c>
      <c r="E127" s="2">
        <v>10.56</v>
      </c>
      <c r="F127" s="2">
        <v>-5.766</v>
      </c>
      <c r="G127" s="2">
        <v>3.1970000000000001</v>
      </c>
      <c r="H127" s="2">
        <v>53.53</v>
      </c>
      <c r="I127" s="2">
        <v>-1E-3</v>
      </c>
      <c r="J127" s="2">
        <v>5.0000000000000001E-3</v>
      </c>
      <c r="K127" s="2">
        <v>6.2E-2</v>
      </c>
      <c r="L127" s="2">
        <v>0.77100000000000002</v>
      </c>
      <c r="M127" s="2">
        <v>1.1180000000000001</v>
      </c>
      <c r="N127" s="2">
        <v>10.85</v>
      </c>
      <c r="O127" s="2">
        <v>75.900000000000006</v>
      </c>
      <c r="P127" s="2">
        <v>0.122</v>
      </c>
      <c r="Q127" s="2">
        <v>0.14399999999999999</v>
      </c>
      <c r="R127" s="2">
        <v>0.16900000000000001</v>
      </c>
      <c r="S127" s="2">
        <v>0.88400000000000001</v>
      </c>
      <c r="T127" s="2">
        <v>1.2829999999999999</v>
      </c>
      <c r="U127" s="2">
        <v>-2.1339999999999999</v>
      </c>
      <c r="V127" s="2">
        <v>32.67</v>
      </c>
      <c r="W127" s="2">
        <v>-0.126</v>
      </c>
      <c r="X127" s="2">
        <v>-9.4E-2</v>
      </c>
      <c r="Y127" s="2">
        <v>-3.2000000000000001E-2</v>
      </c>
      <c r="Z127" s="2">
        <v>0.65700000000000003</v>
      </c>
      <c r="AA127" s="2">
        <v>0.95799999999999996</v>
      </c>
      <c r="AB127" s="2">
        <v>1.615</v>
      </c>
      <c r="AC127" s="2">
        <v>0</v>
      </c>
      <c r="AD127" s="2">
        <v>17.690000000000001</v>
      </c>
      <c r="AE127" s="2">
        <v>11.47</v>
      </c>
      <c r="AF127" s="2">
        <v>1.381</v>
      </c>
      <c r="AG127" s="2">
        <v>4.3109999999999999</v>
      </c>
      <c r="AH127" s="2">
        <v>0.46600000000000003</v>
      </c>
      <c r="AI127" s="2">
        <v>9.3000000000000007</v>
      </c>
      <c r="AJ127" s="2">
        <v>-4.7249999999999996</v>
      </c>
      <c r="AK127" s="2">
        <v>16.47</v>
      </c>
      <c r="AL127" s="2">
        <v>-2.4169999999999998</v>
      </c>
      <c r="AM127" s="2">
        <v>1.6140000000000001</v>
      </c>
      <c r="AN127" s="2" t="s">
        <v>122</v>
      </c>
      <c r="AO127" s="2">
        <v>15</v>
      </c>
      <c r="AP127" s="2">
        <v>379</v>
      </c>
      <c r="AQ127" s="2">
        <v>364</v>
      </c>
      <c r="AR127" s="2">
        <v>160</v>
      </c>
      <c r="AS127" s="2">
        <v>481</v>
      </c>
      <c r="AT127" s="2">
        <v>963</v>
      </c>
      <c r="AU127" s="2">
        <v>465</v>
      </c>
      <c r="AV127" s="2">
        <v>53</v>
      </c>
      <c r="AW127" s="2"/>
      <c r="AX127" s="1">
        <f t="shared" si="103"/>
        <v>0.93499999999999983</v>
      </c>
      <c r="AY127" s="21">
        <f t="shared" si="104"/>
        <v>0</v>
      </c>
      <c r="AZ127" s="5">
        <v>28.7</v>
      </c>
      <c r="BA127" s="1">
        <v>17.690000000000001</v>
      </c>
      <c r="BB127" s="1">
        <v>10.55</v>
      </c>
      <c r="BC127" s="6">
        <f t="shared" si="100"/>
        <v>0.59638213680045227</v>
      </c>
      <c r="BE127" s="30">
        <v>0</v>
      </c>
      <c r="BF127" s="27">
        <v>974.99999999999989</v>
      </c>
      <c r="BG127" s="1">
        <f t="shared" si="73"/>
        <v>75.900000000000006</v>
      </c>
      <c r="BH127" s="1">
        <f t="shared" si="74"/>
        <v>53.5</v>
      </c>
      <c r="BI127" s="1">
        <f t="shared" si="75"/>
        <v>32.700000000000003</v>
      </c>
      <c r="BJ127" s="7">
        <f t="shared" si="76"/>
        <v>0.42499999999999999</v>
      </c>
      <c r="BK127" s="7">
        <f t="shared" si="77"/>
        <v>0.875</v>
      </c>
      <c r="BM127" s="5">
        <f t="shared" si="78"/>
        <v>17.690000000000001</v>
      </c>
      <c r="BN127" s="5">
        <f t="shared" si="79"/>
        <v>10.55</v>
      </c>
      <c r="BO127" s="1">
        <f t="shared" si="80"/>
        <v>3.2</v>
      </c>
      <c r="BP127" s="1">
        <f t="shared" si="81"/>
        <v>10.9</v>
      </c>
      <c r="BQ127" s="1">
        <f t="shared" si="82"/>
        <v>-2.1</v>
      </c>
      <c r="BR127" s="1">
        <f t="shared" si="83"/>
        <v>53.5</v>
      </c>
      <c r="BS127" s="1">
        <f t="shared" si="84"/>
        <v>32.700000000000003</v>
      </c>
      <c r="BT127" s="1">
        <f t="shared" si="85"/>
        <v>1.4</v>
      </c>
      <c r="BU127" s="1">
        <f t="shared" si="86"/>
        <v>4.3</v>
      </c>
      <c r="BV127" s="33">
        <f t="shared" si="87"/>
        <v>0</v>
      </c>
      <c r="BW127" s="34">
        <f t="shared" si="105"/>
        <v>0.97499999999999998</v>
      </c>
      <c r="BX127" s="20">
        <f t="shared" si="89"/>
        <v>0</v>
      </c>
      <c r="BY127" s="1">
        <f t="shared" si="90"/>
        <v>0.5</v>
      </c>
      <c r="BZ127" s="1">
        <f t="shared" si="91"/>
        <v>9.3000000000000007</v>
      </c>
      <c r="CA127" s="1">
        <f t="shared" si="92"/>
        <v>-4.7</v>
      </c>
      <c r="CB127" s="1">
        <f t="shared" si="93"/>
        <v>0.1</v>
      </c>
      <c r="CC127" s="1">
        <f t="shared" si="94"/>
        <v>0.8</v>
      </c>
      <c r="CD127" s="1">
        <f t="shared" si="95"/>
        <v>1.1000000000000001</v>
      </c>
      <c r="CE127" s="1" t="str">
        <f t="shared" si="96"/>
        <v>NAN</v>
      </c>
      <c r="CF127" s="1">
        <f t="shared" si="97"/>
        <v>0.42499999999999999</v>
      </c>
      <c r="CG127" s="1">
        <f t="shared" si="98"/>
        <v>0.875</v>
      </c>
      <c r="CI127" s="1">
        <f t="shared" si="62"/>
        <v>2880</v>
      </c>
      <c r="CJ127" s="1">
        <f t="shared" si="63"/>
        <v>5.0000000000000001E-3</v>
      </c>
      <c r="CK127" s="1">
        <f t="shared" si="64"/>
        <v>0.13200000000000001</v>
      </c>
      <c r="CL127" s="1">
        <f t="shared" si="65"/>
        <v>0.126</v>
      </c>
      <c r="CM127" s="1">
        <f t="shared" si="66"/>
        <v>5.6000000000000001E-2</v>
      </c>
      <c r="CN127" s="1">
        <f t="shared" si="67"/>
        <v>0.16700000000000001</v>
      </c>
      <c r="CO127" s="1">
        <f t="shared" si="68"/>
        <v>0.33400000000000002</v>
      </c>
      <c r="CP127" s="1">
        <f t="shared" si="69"/>
        <v>0.161</v>
      </c>
      <c r="CQ127" s="1">
        <f t="shared" si="70"/>
        <v>1.7999999999999999E-2</v>
      </c>
      <c r="CS127" s="1">
        <f t="shared" si="101"/>
        <v>-1.5999999999999996</v>
      </c>
      <c r="CT127" s="1">
        <f t="shared" si="102"/>
        <v>-2.6</v>
      </c>
    </row>
    <row r="128" spans="1:98" x14ac:dyDescent="0.2">
      <c r="A128" s="8">
        <f t="shared" si="99"/>
        <v>43953</v>
      </c>
      <c r="B128" s="1">
        <v>123</v>
      </c>
      <c r="C128" s="1">
        <v>11</v>
      </c>
      <c r="D128" s="2">
        <v>13</v>
      </c>
      <c r="E128" s="2">
        <v>10.61</v>
      </c>
      <c r="F128" s="2">
        <v>-3.6219999999999999</v>
      </c>
      <c r="G128" s="2">
        <v>3.2490000000000001</v>
      </c>
      <c r="H128" s="2">
        <v>61.76</v>
      </c>
      <c r="I128" s="2">
        <v>1.0999999999999999E-2</v>
      </c>
      <c r="J128" s="2">
        <v>1.2999999999999999E-2</v>
      </c>
      <c r="K128" s="2">
        <v>6.5000000000000002E-2</v>
      </c>
      <c r="L128" s="2">
        <v>0.77300000000000002</v>
      </c>
      <c r="M128" s="2">
        <v>1.1080000000000001</v>
      </c>
      <c r="N128" s="2">
        <v>10.17</v>
      </c>
      <c r="O128" s="2">
        <v>95.4</v>
      </c>
      <c r="P128" s="2">
        <v>0.123</v>
      </c>
      <c r="Q128" s="2">
        <v>0.12</v>
      </c>
      <c r="R128" s="2">
        <v>0.16900000000000001</v>
      </c>
      <c r="S128" s="2">
        <v>0.88200000000000001</v>
      </c>
      <c r="T128" s="2">
        <v>1.2829999999999999</v>
      </c>
      <c r="U128" s="2">
        <v>-2.044</v>
      </c>
      <c r="V128" s="2">
        <v>38.07</v>
      </c>
      <c r="W128" s="2">
        <v>-8.1000000000000003E-2</v>
      </c>
      <c r="X128" s="2">
        <v>-7.9000000000000001E-2</v>
      </c>
      <c r="Y128" s="2">
        <v>-0.03</v>
      </c>
      <c r="Z128" s="2">
        <v>0.68200000000000005</v>
      </c>
      <c r="AA128" s="2">
        <v>0.96699999999999997</v>
      </c>
      <c r="AB128" s="2">
        <v>1.5229999999999999</v>
      </c>
      <c r="AC128" s="2">
        <v>0</v>
      </c>
      <c r="AD128" s="2">
        <v>14.48</v>
      </c>
      <c r="AE128" s="2">
        <v>9.6999999999999993</v>
      </c>
      <c r="AF128" s="2">
        <v>2.0409999999999999</v>
      </c>
      <c r="AG128" s="2">
        <v>5.734</v>
      </c>
      <c r="AH128" s="2">
        <v>0.72899999999999998</v>
      </c>
      <c r="AI128" s="2">
        <v>7.2809999999999997</v>
      </c>
      <c r="AJ128" s="2">
        <v>-4.01</v>
      </c>
      <c r="AK128" s="2">
        <v>14.02</v>
      </c>
      <c r="AL128" s="2">
        <v>-2.2589999999999999</v>
      </c>
      <c r="AM128" s="2">
        <v>1.5289999999999999</v>
      </c>
      <c r="AN128" s="2" t="s">
        <v>122</v>
      </c>
      <c r="AO128" s="2">
        <v>127</v>
      </c>
      <c r="AP128" s="2">
        <v>38</v>
      </c>
      <c r="AQ128" s="2">
        <v>38</v>
      </c>
      <c r="AR128" s="2">
        <v>173</v>
      </c>
      <c r="AS128" s="2">
        <v>710</v>
      </c>
      <c r="AT128" s="2">
        <v>1184</v>
      </c>
      <c r="AU128" s="2">
        <v>423</v>
      </c>
      <c r="AV128" s="2">
        <v>187</v>
      </c>
      <c r="AW128" s="2"/>
      <c r="AX128" s="1">
        <f t="shared" si="103"/>
        <v>1.0269999999999999</v>
      </c>
      <c r="AY128" s="21">
        <f t="shared" si="104"/>
        <v>0</v>
      </c>
      <c r="AZ128" s="5">
        <v>28.89</v>
      </c>
      <c r="BA128" s="1">
        <v>14.47</v>
      </c>
      <c r="BB128" s="1">
        <v>8.92</v>
      </c>
      <c r="BC128" s="6">
        <f t="shared" si="100"/>
        <v>0.61644782308223911</v>
      </c>
      <c r="BE128" s="30">
        <v>13.7</v>
      </c>
      <c r="BF128" s="27">
        <v>1067</v>
      </c>
      <c r="BG128" s="1">
        <f t="shared" si="73"/>
        <v>95.4</v>
      </c>
      <c r="BH128" s="1">
        <f t="shared" si="74"/>
        <v>61.8</v>
      </c>
      <c r="BI128" s="1">
        <f t="shared" si="75"/>
        <v>38.1</v>
      </c>
      <c r="BJ128" s="7">
        <f t="shared" si="76"/>
        <v>0.47299999999999998</v>
      </c>
      <c r="BK128" s="7">
        <f t="shared" si="77"/>
        <v>0.76800000000000002</v>
      </c>
      <c r="BM128" s="5">
        <f t="shared" si="78"/>
        <v>14.47</v>
      </c>
      <c r="BN128" s="5">
        <f t="shared" si="79"/>
        <v>8.92</v>
      </c>
      <c r="BO128" s="1">
        <f t="shared" si="80"/>
        <v>3.2</v>
      </c>
      <c r="BP128" s="1">
        <f t="shared" si="81"/>
        <v>10.199999999999999</v>
      </c>
      <c r="BQ128" s="1">
        <f t="shared" si="82"/>
        <v>-2</v>
      </c>
      <c r="BR128" s="1">
        <f t="shared" si="83"/>
        <v>61.8</v>
      </c>
      <c r="BS128" s="1">
        <f t="shared" si="84"/>
        <v>38.1</v>
      </c>
      <c r="BT128" s="1">
        <f t="shared" si="85"/>
        <v>2</v>
      </c>
      <c r="BU128" s="1">
        <f t="shared" si="86"/>
        <v>5.7</v>
      </c>
      <c r="BV128" s="33">
        <f t="shared" si="87"/>
        <v>13.7</v>
      </c>
      <c r="BW128" s="34">
        <f t="shared" si="105"/>
        <v>1.0669999999999999</v>
      </c>
      <c r="BX128" s="20">
        <f t="shared" si="89"/>
        <v>0</v>
      </c>
      <c r="BY128" s="1">
        <f t="shared" si="90"/>
        <v>0.7</v>
      </c>
      <c r="BZ128" s="1">
        <f t="shared" si="91"/>
        <v>7.3</v>
      </c>
      <c r="CA128" s="1">
        <f t="shared" si="92"/>
        <v>-4</v>
      </c>
      <c r="CB128" s="1">
        <f t="shared" si="93"/>
        <v>0.1</v>
      </c>
      <c r="CC128" s="1">
        <f t="shared" si="94"/>
        <v>0.8</v>
      </c>
      <c r="CD128" s="1">
        <f t="shared" si="95"/>
        <v>1.1000000000000001</v>
      </c>
      <c r="CE128" s="1" t="str">
        <f t="shared" si="96"/>
        <v>NAN</v>
      </c>
      <c r="CF128" s="1">
        <f t="shared" si="97"/>
        <v>0.47299999999999998</v>
      </c>
      <c r="CG128" s="1">
        <f t="shared" si="98"/>
        <v>0.76800000000000002</v>
      </c>
      <c r="CI128" s="1">
        <f t="shared" ref="CI128:CI191" si="106">SUM(AO128:AV128)</f>
        <v>2880</v>
      </c>
      <c r="CJ128" s="1">
        <f t="shared" ref="CJ128:CJ191" si="107">ROUND(AO128/$CI128,3)</f>
        <v>4.3999999999999997E-2</v>
      </c>
      <c r="CK128" s="1">
        <f t="shared" ref="CK128:CK191" si="108">ROUND(AP128/$CI128,3)</f>
        <v>1.2999999999999999E-2</v>
      </c>
      <c r="CL128" s="1">
        <f t="shared" ref="CL128:CL191" si="109">ROUND(AQ128/$CI128,3)</f>
        <v>1.2999999999999999E-2</v>
      </c>
      <c r="CM128" s="1">
        <f t="shared" ref="CM128:CM191" si="110">ROUND(AR128/$CI128,3)</f>
        <v>0.06</v>
      </c>
      <c r="CN128" s="1">
        <f t="shared" ref="CN128:CN191" si="111">ROUND(AS128/$CI128,3)</f>
        <v>0.247</v>
      </c>
      <c r="CO128" s="1">
        <f t="shared" ref="CO128:CO191" si="112">ROUND(AT128/$CI128,3)</f>
        <v>0.41099999999999998</v>
      </c>
      <c r="CP128" s="1">
        <f t="shared" ref="CP128:CP191" si="113">ROUND(AU128/$CI128,3)</f>
        <v>0.14699999999999999</v>
      </c>
      <c r="CQ128" s="1">
        <f t="shared" ref="CQ128:CQ191" si="114">ROUND(AV128/$CI128,3)</f>
        <v>6.5000000000000002E-2</v>
      </c>
      <c r="CS128" s="1">
        <f t="shared" si="101"/>
        <v>-2.8999999999999995</v>
      </c>
      <c r="CT128" s="1">
        <f t="shared" si="102"/>
        <v>-2</v>
      </c>
    </row>
    <row r="129" spans="1:98" x14ac:dyDescent="0.2">
      <c r="A129" s="8">
        <f t="shared" si="99"/>
        <v>43954</v>
      </c>
      <c r="B129" s="1">
        <v>124</v>
      </c>
      <c r="C129" s="1">
        <v>11</v>
      </c>
      <c r="D129" s="2">
        <v>13.07</v>
      </c>
      <c r="E129" s="2">
        <v>3.9350000000000001</v>
      </c>
      <c r="F129" s="2">
        <v>-7.1059999999999999</v>
      </c>
      <c r="G129" s="2">
        <v>-2.2229999999999999</v>
      </c>
      <c r="H129" s="2">
        <v>80.099999999999994</v>
      </c>
      <c r="I129" s="2">
        <v>-1.0999999999999999E-2</v>
      </c>
      <c r="J129" s="2">
        <v>-8.9999999999999993E-3</v>
      </c>
      <c r="K129" s="2">
        <v>4.2999999999999997E-2</v>
      </c>
      <c r="L129" s="2">
        <v>0.753</v>
      </c>
      <c r="M129" s="2">
        <v>1.0660000000000001</v>
      </c>
      <c r="N129" s="2">
        <v>2.8959999999999999</v>
      </c>
      <c r="O129" s="2">
        <v>94.5</v>
      </c>
      <c r="P129" s="2">
        <v>0.155</v>
      </c>
      <c r="Q129" s="2">
        <v>0.13200000000000001</v>
      </c>
      <c r="R129" s="2">
        <v>0.2</v>
      </c>
      <c r="S129" s="2">
        <v>0.91300000000000003</v>
      </c>
      <c r="T129" s="2">
        <v>1.194</v>
      </c>
      <c r="U129" s="2">
        <v>-5.4269999999999996</v>
      </c>
      <c r="V129" s="2">
        <v>55.92</v>
      </c>
      <c r="W129" s="2">
        <v>-0.122</v>
      </c>
      <c r="X129" s="2">
        <v>-0.115</v>
      </c>
      <c r="Y129" s="2">
        <v>-0.11799999999999999</v>
      </c>
      <c r="Z129" s="2">
        <v>0.59199999999999997</v>
      </c>
      <c r="AA129" s="2">
        <v>0.94</v>
      </c>
      <c r="AB129" s="2">
        <v>1.603</v>
      </c>
      <c r="AC129" s="2">
        <v>0</v>
      </c>
      <c r="AD129" s="2">
        <v>15.21</v>
      </c>
      <c r="AE129" s="2">
        <v>15.75</v>
      </c>
      <c r="AF129" s="2">
        <v>1.847</v>
      </c>
      <c r="AG129" s="2">
        <v>4.9020000000000001</v>
      </c>
      <c r="AH129" s="2">
        <v>-2.7989999999999999</v>
      </c>
      <c r="AI129" s="2">
        <v>5.968</v>
      </c>
      <c r="AJ129" s="2">
        <v>-8.42</v>
      </c>
      <c r="AK129" s="2">
        <v>8.5399999999999991</v>
      </c>
      <c r="AL129" s="2">
        <v>-5.649</v>
      </c>
      <c r="AM129" s="2">
        <v>1.6180000000000001</v>
      </c>
      <c r="AN129" s="2" t="s">
        <v>122</v>
      </c>
      <c r="AO129" s="2">
        <v>741</v>
      </c>
      <c r="AP129" s="2">
        <v>154</v>
      </c>
      <c r="AQ129" s="2">
        <v>59</v>
      </c>
      <c r="AR129" s="2">
        <v>34</v>
      </c>
      <c r="AS129" s="2">
        <v>44</v>
      </c>
      <c r="AT129" s="2">
        <v>159</v>
      </c>
      <c r="AU129" s="2">
        <v>587</v>
      </c>
      <c r="AV129" s="2">
        <v>1101</v>
      </c>
      <c r="AW129" s="2"/>
      <c r="AX129" s="1">
        <f t="shared" si="103"/>
        <v>0.94699999999999984</v>
      </c>
      <c r="AY129" s="21">
        <f t="shared" si="104"/>
        <v>0</v>
      </c>
      <c r="AZ129" s="5">
        <v>29.07</v>
      </c>
      <c r="BA129" s="1">
        <v>16.98</v>
      </c>
      <c r="BB129" s="1">
        <v>14.49</v>
      </c>
      <c r="BC129" s="6">
        <f t="shared" si="100"/>
        <v>0.85335689045936391</v>
      </c>
      <c r="BE129" s="30">
        <v>3.2</v>
      </c>
      <c r="BF129" s="27">
        <v>986.99999999999989</v>
      </c>
      <c r="BG129" s="1">
        <f t="shared" si="73"/>
        <v>94.5</v>
      </c>
      <c r="BH129" s="1">
        <f t="shared" si="74"/>
        <v>80.099999999999994</v>
      </c>
      <c r="BI129" s="1">
        <f t="shared" si="75"/>
        <v>55.9</v>
      </c>
      <c r="BJ129" s="7">
        <f t="shared" si="76"/>
        <v>0.42</v>
      </c>
      <c r="BK129" s="7">
        <f t="shared" si="77"/>
        <v>0.33100000000000002</v>
      </c>
      <c r="BM129" s="5">
        <f t="shared" si="78"/>
        <v>16.98</v>
      </c>
      <c r="BN129" s="5">
        <f t="shared" si="79"/>
        <v>14.49</v>
      </c>
      <c r="BO129" s="1">
        <f t="shared" si="80"/>
        <v>-2.2000000000000002</v>
      </c>
      <c r="BP129" s="1">
        <f t="shared" si="81"/>
        <v>2.9</v>
      </c>
      <c r="BQ129" s="1">
        <f t="shared" si="82"/>
        <v>-5.4</v>
      </c>
      <c r="BR129" s="1">
        <f t="shared" si="83"/>
        <v>80.099999999999994</v>
      </c>
      <c r="BS129" s="1">
        <f t="shared" si="84"/>
        <v>55.9</v>
      </c>
      <c r="BT129" s="1">
        <f t="shared" si="85"/>
        <v>1.8</v>
      </c>
      <c r="BU129" s="1">
        <f t="shared" si="86"/>
        <v>4.9000000000000004</v>
      </c>
      <c r="BV129" s="33">
        <f t="shared" si="87"/>
        <v>3.2</v>
      </c>
      <c r="BW129" s="34">
        <f t="shared" si="105"/>
        <v>0.98699999999999999</v>
      </c>
      <c r="BX129" s="20">
        <f t="shared" si="89"/>
        <v>0</v>
      </c>
      <c r="BY129" s="1">
        <f t="shared" si="90"/>
        <v>-2.8</v>
      </c>
      <c r="BZ129" s="1">
        <f t="shared" si="91"/>
        <v>6</v>
      </c>
      <c r="CA129" s="1">
        <f t="shared" si="92"/>
        <v>-8.4</v>
      </c>
      <c r="CB129" s="1">
        <f t="shared" si="93"/>
        <v>0</v>
      </c>
      <c r="CC129" s="1">
        <f t="shared" si="94"/>
        <v>0.8</v>
      </c>
      <c r="CD129" s="1">
        <f t="shared" si="95"/>
        <v>1.1000000000000001</v>
      </c>
      <c r="CE129" s="1" t="str">
        <f t="shared" si="96"/>
        <v>NAN</v>
      </c>
      <c r="CF129" s="1">
        <f t="shared" si="97"/>
        <v>0.42</v>
      </c>
      <c r="CG129" s="1">
        <f t="shared" si="98"/>
        <v>0.33100000000000002</v>
      </c>
      <c r="CI129" s="1">
        <f t="shared" si="106"/>
        <v>2879</v>
      </c>
      <c r="CJ129" s="1">
        <f t="shared" si="107"/>
        <v>0.25700000000000001</v>
      </c>
      <c r="CK129" s="1">
        <f t="shared" si="108"/>
        <v>5.2999999999999999E-2</v>
      </c>
      <c r="CL129" s="1">
        <f t="shared" si="109"/>
        <v>0.02</v>
      </c>
      <c r="CM129" s="1">
        <f t="shared" si="110"/>
        <v>1.2E-2</v>
      </c>
      <c r="CN129" s="1">
        <f t="shared" si="111"/>
        <v>1.4999999999999999E-2</v>
      </c>
      <c r="CO129" s="1">
        <f t="shared" si="112"/>
        <v>5.5E-2</v>
      </c>
      <c r="CP129" s="1">
        <f t="shared" si="113"/>
        <v>0.20399999999999999</v>
      </c>
      <c r="CQ129" s="1">
        <f t="shared" si="114"/>
        <v>0.38200000000000001</v>
      </c>
      <c r="CS129" s="1">
        <f t="shared" si="101"/>
        <v>3.1</v>
      </c>
      <c r="CT129" s="1">
        <f t="shared" si="102"/>
        <v>-3</v>
      </c>
    </row>
    <row r="130" spans="1:98" x14ac:dyDescent="0.2">
      <c r="A130" s="8">
        <f t="shared" si="99"/>
        <v>43955</v>
      </c>
      <c r="B130" s="1">
        <v>125</v>
      </c>
      <c r="C130" s="1">
        <v>11</v>
      </c>
      <c r="D130" s="2">
        <v>13.09</v>
      </c>
      <c r="E130" s="2">
        <v>9.52</v>
      </c>
      <c r="F130" s="2">
        <v>-10.07</v>
      </c>
      <c r="G130" s="2">
        <v>0.99199999999999999</v>
      </c>
      <c r="H130" s="2">
        <v>56.52</v>
      </c>
      <c r="I130" s="2">
        <v>-1.2E-2</v>
      </c>
      <c r="J130" s="2">
        <v>-8.0000000000000002E-3</v>
      </c>
      <c r="K130" s="2">
        <v>5.6000000000000001E-2</v>
      </c>
      <c r="L130" s="2">
        <v>0.746</v>
      </c>
      <c r="M130" s="2">
        <v>1.1259999999999999</v>
      </c>
      <c r="N130" s="2">
        <v>9.15</v>
      </c>
      <c r="O130" s="2">
        <v>89.3</v>
      </c>
      <c r="P130" s="2">
        <v>0.13900000000000001</v>
      </c>
      <c r="Q130" s="2">
        <v>0.154</v>
      </c>
      <c r="R130" s="2">
        <v>0.23799999999999999</v>
      </c>
      <c r="S130" s="2">
        <v>0.94099999999999995</v>
      </c>
      <c r="T130" s="2">
        <v>1.343</v>
      </c>
      <c r="U130" s="2">
        <v>-7.4189999999999996</v>
      </c>
      <c r="V130" s="2">
        <v>23.34</v>
      </c>
      <c r="W130" s="2">
        <v>-0.17699999999999999</v>
      </c>
      <c r="X130" s="2">
        <v>-0.13200000000000001</v>
      </c>
      <c r="Y130" s="2">
        <v>-8.8999999999999996E-2</v>
      </c>
      <c r="Z130" s="2">
        <v>0.621</v>
      </c>
      <c r="AA130" s="2">
        <v>0.94299999999999995</v>
      </c>
      <c r="AB130" s="2">
        <v>1.6259999999999999</v>
      </c>
      <c r="AC130" s="2">
        <v>0</v>
      </c>
      <c r="AD130" s="2">
        <v>23.07</v>
      </c>
      <c r="AE130" s="2">
        <v>17.07</v>
      </c>
      <c r="AF130" s="2">
        <v>0.99199999999999999</v>
      </c>
      <c r="AG130" s="2">
        <v>3.669</v>
      </c>
      <c r="AH130" s="2">
        <v>-1.28</v>
      </c>
      <c r="AI130" s="2">
        <v>7.944</v>
      </c>
      <c r="AJ130" s="2">
        <v>-10.89</v>
      </c>
      <c r="AK130" s="2">
        <v>14.49</v>
      </c>
      <c r="AL130" s="2">
        <v>-7.5720000000000001</v>
      </c>
      <c r="AM130" s="2">
        <v>1.6240000000000001</v>
      </c>
      <c r="AN130" s="2" t="s">
        <v>122</v>
      </c>
      <c r="AO130" s="2">
        <v>118</v>
      </c>
      <c r="AP130" s="2">
        <v>233</v>
      </c>
      <c r="AQ130" s="2">
        <v>327</v>
      </c>
      <c r="AR130" s="2">
        <v>198</v>
      </c>
      <c r="AS130" s="2">
        <v>385</v>
      </c>
      <c r="AT130" s="2">
        <v>785</v>
      </c>
      <c r="AU130" s="2">
        <v>638</v>
      </c>
      <c r="AV130" s="2">
        <v>196</v>
      </c>
      <c r="AW130" s="2"/>
      <c r="AX130" s="1">
        <f t="shared" si="103"/>
        <v>0.92399999999999993</v>
      </c>
      <c r="AY130" s="21">
        <f t="shared" si="104"/>
        <v>0</v>
      </c>
      <c r="AZ130" s="5">
        <v>29.25</v>
      </c>
      <c r="BA130" s="1">
        <v>23.07</v>
      </c>
      <c r="BB130" s="1">
        <v>15.7</v>
      </c>
      <c r="BC130" s="6">
        <f t="shared" si="100"/>
        <v>0.68053749458170776</v>
      </c>
      <c r="BE130" s="30">
        <v>1</v>
      </c>
      <c r="BF130" s="27">
        <v>964</v>
      </c>
      <c r="BG130" s="1">
        <f t="shared" si="73"/>
        <v>89.3</v>
      </c>
      <c r="BH130" s="1">
        <f t="shared" si="74"/>
        <v>56.5</v>
      </c>
      <c r="BI130" s="1">
        <f t="shared" si="75"/>
        <v>23.3</v>
      </c>
      <c r="BJ130" s="7">
        <f t="shared" si="76"/>
        <v>0.27</v>
      </c>
      <c r="BK130" s="7">
        <f t="shared" si="77"/>
        <v>0.88900000000000001</v>
      </c>
      <c r="BM130" s="5">
        <f t="shared" si="78"/>
        <v>23.07</v>
      </c>
      <c r="BN130" s="5">
        <f t="shared" si="79"/>
        <v>15.7</v>
      </c>
      <c r="BO130" s="1">
        <f t="shared" si="80"/>
        <v>1</v>
      </c>
      <c r="BP130" s="1">
        <f t="shared" si="81"/>
        <v>9.1999999999999993</v>
      </c>
      <c r="BQ130" s="1">
        <f t="shared" si="82"/>
        <v>-7.4</v>
      </c>
      <c r="BR130" s="1">
        <f t="shared" si="83"/>
        <v>56.5</v>
      </c>
      <c r="BS130" s="1">
        <f t="shared" si="84"/>
        <v>23.3</v>
      </c>
      <c r="BT130" s="1">
        <f t="shared" si="85"/>
        <v>1</v>
      </c>
      <c r="BU130" s="1">
        <f t="shared" si="86"/>
        <v>3.7</v>
      </c>
      <c r="BV130" s="33">
        <f t="shared" si="87"/>
        <v>1</v>
      </c>
      <c r="BW130" s="34">
        <f t="shared" si="105"/>
        <v>0.96399999999999997</v>
      </c>
      <c r="BX130" s="20">
        <f t="shared" si="89"/>
        <v>0</v>
      </c>
      <c r="BY130" s="1">
        <f t="shared" si="90"/>
        <v>-1.3</v>
      </c>
      <c r="BZ130" s="1">
        <f t="shared" si="91"/>
        <v>7.9</v>
      </c>
      <c r="CA130" s="1">
        <f t="shared" si="92"/>
        <v>-10.9</v>
      </c>
      <c r="CB130" s="1">
        <f t="shared" si="93"/>
        <v>0.1</v>
      </c>
      <c r="CC130" s="1">
        <f t="shared" si="94"/>
        <v>0.7</v>
      </c>
      <c r="CD130" s="1">
        <f t="shared" si="95"/>
        <v>1.1000000000000001</v>
      </c>
      <c r="CE130" s="1" t="str">
        <f t="shared" si="96"/>
        <v>NAN</v>
      </c>
      <c r="CF130" s="1">
        <f t="shared" si="97"/>
        <v>0.27</v>
      </c>
      <c r="CG130" s="1">
        <f t="shared" si="98"/>
        <v>0.88900000000000001</v>
      </c>
      <c r="CI130" s="1">
        <f t="shared" si="106"/>
        <v>2880</v>
      </c>
      <c r="CJ130" s="1">
        <f t="shared" si="107"/>
        <v>4.1000000000000002E-2</v>
      </c>
      <c r="CK130" s="1">
        <f t="shared" si="108"/>
        <v>8.1000000000000003E-2</v>
      </c>
      <c r="CL130" s="1">
        <f t="shared" si="109"/>
        <v>0.114</v>
      </c>
      <c r="CM130" s="1">
        <f t="shared" si="110"/>
        <v>6.9000000000000006E-2</v>
      </c>
      <c r="CN130" s="1">
        <f t="shared" si="111"/>
        <v>0.13400000000000001</v>
      </c>
      <c r="CO130" s="1">
        <f t="shared" si="112"/>
        <v>0.27300000000000002</v>
      </c>
      <c r="CP130" s="1">
        <f t="shared" si="113"/>
        <v>0.222</v>
      </c>
      <c r="CQ130" s="1">
        <f t="shared" si="114"/>
        <v>6.8000000000000005E-2</v>
      </c>
      <c r="CS130" s="1">
        <f t="shared" si="101"/>
        <v>-1.2999999999999989</v>
      </c>
      <c r="CT130" s="1">
        <f t="shared" si="102"/>
        <v>-3.5</v>
      </c>
    </row>
    <row r="131" spans="1:98" x14ac:dyDescent="0.2">
      <c r="A131" s="8">
        <f t="shared" si="99"/>
        <v>43956</v>
      </c>
      <c r="B131" s="1">
        <v>126</v>
      </c>
      <c r="C131" s="1">
        <v>11</v>
      </c>
      <c r="D131" s="2">
        <v>13.06</v>
      </c>
      <c r="E131" s="2">
        <v>10.16</v>
      </c>
      <c r="F131" s="2">
        <v>-2.3140000000000001</v>
      </c>
      <c r="G131" s="2">
        <v>4.9109999999999996</v>
      </c>
      <c r="H131" s="2">
        <v>50.04</v>
      </c>
      <c r="I131" s="2">
        <v>1.7999999999999999E-2</v>
      </c>
      <c r="J131" s="2">
        <v>1.7999999999999999E-2</v>
      </c>
      <c r="K131" s="2">
        <v>6.9000000000000006E-2</v>
      </c>
      <c r="L131" s="2">
        <v>0.749</v>
      </c>
      <c r="M131" s="2">
        <v>1.137</v>
      </c>
      <c r="N131" s="2">
        <v>11.12</v>
      </c>
      <c r="O131" s="2">
        <v>60.89</v>
      </c>
      <c r="P131" s="2">
        <v>0.157</v>
      </c>
      <c r="Q131" s="2">
        <v>0.124</v>
      </c>
      <c r="R131" s="2">
        <v>0.186</v>
      </c>
      <c r="S131" s="2">
        <v>0.87</v>
      </c>
      <c r="T131" s="2">
        <v>1.276</v>
      </c>
      <c r="U131" s="2">
        <v>-7.4999999999999997E-2</v>
      </c>
      <c r="V131" s="2">
        <v>33.18</v>
      </c>
      <c r="W131" s="2">
        <v>-9.4E-2</v>
      </c>
      <c r="X131" s="2">
        <v>-8.5000000000000006E-2</v>
      </c>
      <c r="Y131" s="2">
        <v>-2.5000000000000001E-2</v>
      </c>
      <c r="Z131" s="2">
        <v>0.66</v>
      </c>
      <c r="AA131" s="2">
        <v>0.92400000000000004</v>
      </c>
      <c r="AB131" s="2">
        <v>1.6519999999999999</v>
      </c>
      <c r="AC131" s="2">
        <v>0</v>
      </c>
      <c r="AD131" s="2">
        <v>14.91</v>
      </c>
      <c r="AE131" s="2">
        <v>9.9600000000000009</v>
      </c>
      <c r="AF131" s="2">
        <v>1.5489999999999999</v>
      </c>
      <c r="AG131" s="2">
        <v>4.0110000000000001</v>
      </c>
      <c r="AH131" s="2">
        <v>1.83</v>
      </c>
      <c r="AI131" s="2">
        <v>8.6199999999999992</v>
      </c>
      <c r="AJ131" s="2">
        <v>-3.6139999999999999</v>
      </c>
      <c r="AK131" s="2">
        <v>16.010000000000002</v>
      </c>
      <c r="AL131" s="2">
        <v>-0.34699999999999998</v>
      </c>
      <c r="AM131" s="2">
        <v>1.64</v>
      </c>
      <c r="AN131" s="2" t="s">
        <v>122</v>
      </c>
      <c r="AO131" s="2">
        <v>6</v>
      </c>
      <c r="AP131" s="2">
        <v>6</v>
      </c>
      <c r="AQ131" s="2">
        <v>19</v>
      </c>
      <c r="AR131" s="2">
        <v>152</v>
      </c>
      <c r="AS131" s="2">
        <v>850</v>
      </c>
      <c r="AT131" s="2">
        <v>1351</v>
      </c>
      <c r="AU131" s="2">
        <v>454</v>
      </c>
      <c r="AV131" s="2">
        <v>42</v>
      </c>
      <c r="AW131" s="2"/>
      <c r="AX131" s="1">
        <f t="shared" si="103"/>
        <v>0.89799999999999991</v>
      </c>
      <c r="AY131" s="21">
        <f t="shared" si="104"/>
        <v>0</v>
      </c>
      <c r="AZ131" s="5">
        <v>29.43</v>
      </c>
      <c r="BA131" s="1">
        <v>14.91</v>
      </c>
      <c r="BB131" s="1">
        <v>9.16</v>
      </c>
      <c r="BC131" s="6">
        <f t="shared" si="100"/>
        <v>0.61435278336686783</v>
      </c>
      <c r="BE131" s="30">
        <v>0</v>
      </c>
      <c r="BF131" s="27">
        <v>938</v>
      </c>
      <c r="BG131" s="1">
        <f t="shared" si="73"/>
        <v>60.9</v>
      </c>
      <c r="BH131" s="1">
        <f t="shared" si="74"/>
        <v>50</v>
      </c>
      <c r="BI131" s="1">
        <f t="shared" si="75"/>
        <v>33.200000000000003</v>
      </c>
      <c r="BJ131" s="7">
        <f t="shared" si="76"/>
        <v>0.439</v>
      </c>
      <c r="BK131" s="7">
        <f t="shared" si="77"/>
        <v>0.88300000000000001</v>
      </c>
      <c r="BM131" s="5">
        <f t="shared" si="78"/>
        <v>14.91</v>
      </c>
      <c r="BN131" s="5">
        <f t="shared" si="79"/>
        <v>9.16</v>
      </c>
      <c r="BO131" s="1">
        <f t="shared" si="80"/>
        <v>4.9000000000000004</v>
      </c>
      <c r="BP131" s="1">
        <f t="shared" si="81"/>
        <v>11.1</v>
      </c>
      <c r="BQ131" s="1">
        <f t="shared" si="82"/>
        <v>-0.1</v>
      </c>
      <c r="BR131" s="1">
        <f t="shared" si="83"/>
        <v>50</v>
      </c>
      <c r="BS131" s="1">
        <f t="shared" si="84"/>
        <v>33.200000000000003</v>
      </c>
      <c r="BT131" s="1">
        <f t="shared" si="85"/>
        <v>1.5</v>
      </c>
      <c r="BU131" s="1">
        <f t="shared" si="86"/>
        <v>4</v>
      </c>
      <c r="BV131" s="33">
        <f t="shared" si="87"/>
        <v>0</v>
      </c>
      <c r="BW131" s="34">
        <f t="shared" si="105"/>
        <v>0.93799999999999994</v>
      </c>
      <c r="BX131" s="20">
        <f t="shared" si="89"/>
        <v>0</v>
      </c>
      <c r="BY131" s="1">
        <f t="shared" si="90"/>
        <v>1.8</v>
      </c>
      <c r="BZ131" s="1">
        <f t="shared" si="91"/>
        <v>8.6</v>
      </c>
      <c r="CA131" s="1">
        <f t="shared" si="92"/>
        <v>-3.6</v>
      </c>
      <c r="CB131" s="1">
        <f t="shared" si="93"/>
        <v>0.1</v>
      </c>
      <c r="CC131" s="1">
        <f t="shared" si="94"/>
        <v>0.7</v>
      </c>
      <c r="CD131" s="1">
        <f t="shared" si="95"/>
        <v>1.1000000000000001</v>
      </c>
      <c r="CE131" s="1" t="str">
        <f t="shared" si="96"/>
        <v>NAN</v>
      </c>
      <c r="CF131" s="1">
        <f t="shared" si="97"/>
        <v>0.439</v>
      </c>
      <c r="CG131" s="1">
        <f t="shared" si="98"/>
        <v>0.88300000000000001</v>
      </c>
      <c r="CI131" s="1">
        <f t="shared" si="106"/>
        <v>2880</v>
      </c>
      <c r="CJ131" s="1">
        <f t="shared" si="107"/>
        <v>2E-3</v>
      </c>
      <c r="CK131" s="1">
        <f t="shared" si="108"/>
        <v>2E-3</v>
      </c>
      <c r="CL131" s="1">
        <f t="shared" si="109"/>
        <v>7.0000000000000001E-3</v>
      </c>
      <c r="CM131" s="1">
        <f t="shared" si="110"/>
        <v>5.2999999999999999E-2</v>
      </c>
      <c r="CN131" s="1">
        <f t="shared" si="111"/>
        <v>0.29499999999999998</v>
      </c>
      <c r="CO131" s="1">
        <f t="shared" si="112"/>
        <v>0.46899999999999997</v>
      </c>
      <c r="CP131" s="1">
        <f t="shared" si="113"/>
        <v>0.158</v>
      </c>
      <c r="CQ131" s="1">
        <f t="shared" si="114"/>
        <v>1.4999999999999999E-2</v>
      </c>
      <c r="CS131" s="1">
        <f t="shared" si="101"/>
        <v>-2.5</v>
      </c>
      <c r="CT131" s="1">
        <f t="shared" si="102"/>
        <v>-3.5</v>
      </c>
    </row>
    <row r="132" spans="1:98" x14ac:dyDescent="0.2">
      <c r="A132" s="8">
        <f t="shared" si="99"/>
        <v>43957</v>
      </c>
      <c r="B132" s="1">
        <v>127</v>
      </c>
      <c r="C132" s="1">
        <v>11</v>
      </c>
      <c r="D132" s="2">
        <v>13.02</v>
      </c>
      <c r="E132" s="2">
        <v>2.63</v>
      </c>
      <c r="F132" s="2">
        <v>-1.9930000000000001</v>
      </c>
      <c r="G132" s="2">
        <v>-9.4E-2</v>
      </c>
      <c r="H132" s="2">
        <v>87.1</v>
      </c>
      <c r="I132" s="2">
        <v>-3.0000000000000001E-3</v>
      </c>
      <c r="J132" s="2">
        <v>-3.0000000000000001E-3</v>
      </c>
      <c r="K132" s="2">
        <v>4.3999999999999997E-2</v>
      </c>
      <c r="L132" s="2">
        <v>0.72</v>
      </c>
      <c r="M132" s="2">
        <v>1.1060000000000001</v>
      </c>
      <c r="N132" s="2">
        <v>4.5659999999999998</v>
      </c>
      <c r="O132" s="2">
        <v>95.4</v>
      </c>
      <c r="P132" s="2">
        <v>9.9000000000000005E-2</v>
      </c>
      <c r="Q132" s="2">
        <v>0.104</v>
      </c>
      <c r="R132" s="2">
        <v>0.159</v>
      </c>
      <c r="S132" s="2">
        <v>0.82299999999999995</v>
      </c>
      <c r="T132" s="2">
        <v>1.2190000000000001</v>
      </c>
      <c r="U132" s="2">
        <v>-2.3149999999999999</v>
      </c>
      <c r="V132" s="2">
        <v>56.82</v>
      </c>
      <c r="W132" s="2">
        <v>-0.115</v>
      </c>
      <c r="X132" s="2">
        <v>-0.113</v>
      </c>
      <c r="Y132" s="2">
        <v>-6.9000000000000006E-2</v>
      </c>
      <c r="Z132" s="2">
        <v>0.6</v>
      </c>
      <c r="AA132" s="2">
        <v>1.0049999999999999</v>
      </c>
      <c r="AB132" s="2">
        <v>1.3740000000000001</v>
      </c>
      <c r="AC132" s="2">
        <v>0</v>
      </c>
      <c r="AD132" s="2">
        <v>1.931</v>
      </c>
      <c r="AE132" s="2">
        <v>6.9169999999999998</v>
      </c>
      <c r="AF132" s="2">
        <v>1.7190000000000001</v>
      </c>
      <c r="AG132" s="2">
        <v>6.5229999999999997</v>
      </c>
      <c r="AH132" s="2">
        <v>-0.79300000000000004</v>
      </c>
      <c r="AI132" s="2">
        <v>1.9950000000000001</v>
      </c>
      <c r="AJ132" s="2">
        <v>-3.109</v>
      </c>
      <c r="AK132" s="2">
        <v>4.1769999999999996</v>
      </c>
      <c r="AL132" s="2">
        <v>-2.4870000000000001</v>
      </c>
      <c r="AM132" s="2">
        <v>1.379</v>
      </c>
      <c r="AN132" s="2" t="s">
        <v>122</v>
      </c>
      <c r="AO132" s="2">
        <v>669</v>
      </c>
      <c r="AP132" s="2">
        <v>416</v>
      </c>
      <c r="AQ132" s="2">
        <v>162</v>
      </c>
      <c r="AR132" s="2">
        <v>90</v>
      </c>
      <c r="AS132" s="2">
        <v>177</v>
      </c>
      <c r="AT132" s="2">
        <v>193</v>
      </c>
      <c r="AU132" s="2">
        <v>302</v>
      </c>
      <c r="AV132" s="2">
        <v>871</v>
      </c>
      <c r="AW132" s="2"/>
      <c r="AX132" s="1">
        <f t="shared" si="103"/>
        <v>1.1759999999999997</v>
      </c>
      <c r="AY132" s="21">
        <f t="shared" si="104"/>
        <v>0</v>
      </c>
      <c r="AZ132" s="5">
        <v>29.61</v>
      </c>
      <c r="BA132" s="1">
        <v>6.7</v>
      </c>
      <c r="BB132" s="1">
        <v>6.36</v>
      </c>
      <c r="BC132" s="6">
        <f t="shared" si="100"/>
        <v>0.94925373134328361</v>
      </c>
      <c r="BE132" s="30">
        <v>32.6</v>
      </c>
      <c r="BF132" s="27">
        <v>1215.9999999999998</v>
      </c>
      <c r="BG132" s="1">
        <f t="shared" si="73"/>
        <v>95.4</v>
      </c>
      <c r="BH132" s="1">
        <f t="shared" si="74"/>
        <v>87.1</v>
      </c>
      <c r="BI132" s="1">
        <f t="shared" si="75"/>
        <v>56.8</v>
      </c>
      <c r="BJ132" s="7">
        <f t="shared" si="76"/>
        <v>0.48</v>
      </c>
      <c r="BK132" s="7">
        <f t="shared" si="77"/>
        <v>0.36499999999999999</v>
      </c>
      <c r="BM132" s="5">
        <f t="shared" si="78"/>
        <v>6.7</v>
      </c>
      <c r="BN132" s="5">
        <f t="shared" si="79"/>
        <v>6.36</v>
      </c>
      <c r="BO132" s="1">
        <f t="shared" si="80"/>
        <v>-0.1</v>
      </c>
      <c r="BP132" s="1">
        <f t="shared" si="81"/>
        <v>4.5999999999999996</v>
      </c>
      <c r="BQ132" s="1">
        <f t="shared" si="82"/>
        <v>-2.2999999999999998</v>
      </c>
      <c r="BR132" s="1">
        <f t="shared" si="83"/>
        <v>87.1</v>
      </c>
      <c r="BS132" s="1">
        <f t="shared" si="84"/>
        <v>56.8</v>
      </c>
      <c r="BT132" s="1">
        <f t="shared" si="85"/>
        <v>1.7</v>
      </c>
      <c r="BU132" s="1">
        <f t="shared" si="86"/>
        <v>6.5</v>
      </c>
      <c r="BV132" s="33">
        <f t="shared" si="87"/>
        <v>32.6</v>
      </c>
      <c r="BW132" s="34">
        <f t="shared" si="105"/>
        <v>1.216</v>
      </c>
      <c r="BX132" s="20">
        <f t="shared" si="89"/>
        <v>0</v>
      </c>
      <c r="BY132" s="1">
        <f t="shared" si="90"/>
        <v>-0.8</v>
      </c>
      <c r="BZ132" s="1">
        <f t="shared" si="91"/>
        <v>2</v>
      </c>
      <c r="CA132" s="1">
        <f t="shared" si="92"/>
        <v>-3.1</v>
      </c>
      <c r="CB132" s="1">
        <f t="shared" si="93"/>
        <v>0</v>
      </c>
      <c r="CC132" s="1">
        <f t="shared" si="94"/>
        <v>0.7</v>
      </c>
      <c r="CD132" s="1">
        <f t="shared" si="95"/>
        <v>1.1000000000000001</v>
      </c>
      <c r="CE132" s="1" t="str">
        <f t="shared" si="96"/>
        <v>NAN</v>
      </c>
      <c r="CF132" s="1">
        <f t="shared" si="97"/>
        <v>0.48</v>
      </c>
      <c r="CG132" s="1">
        <f t="shared" si="98"/>
        <v>0.36499999999999999</v>
      </c>
      <c r="CI132" s="1">
        <f t="shared" si="106"/>
        <v>2880</v>
      </c>
      <c r="CJ132" s="1">
        <f t="shared" si="107"/>
        <v>0.23200000000000001</v>
      </c>
      <c r="CK132" s="1">
        <f t="shared" si="108"/>
        <v>0.14399999999999999</v>
      </c>
      <c r="CL132" s="1">
        <f t="shared" si="109"/>
        <v>5.6000000000000001E-2</v>
      </c>
      <c r="CM132" s="1">
        <f t="shared" si="110"/>
        <v>3.1E-2</v>
      </c>
      <c r="CN132" s="1">
        <f t="shared" si="111"/>
        <v>6.0999999999999999E-2</v>
      </c>
      <c r="CO132" s="1">
        <f t="shared" si="112"/>
        <v>6.7000000000000004E-2</v>
      </c>
      <c r="CP132" s="1">
        <f t="shared" si="113"/>
        <v>0.105</v>
      </c>
      <c r="CQ132" s="1">
        <f t="shared" si="114"/>
        <v>0.30199999999999999</v>
      </c>
      <c r="CS132" s="1">
        <f t="shared" si="101"/>
        <v>-2.5999999999999996</v>
      </c>
      <c r="CT132" s="1">
        <f t="shared" si="102"/>
        <v>-0.80000000000000027</v>
      </c>
    </row>
    <row r="133" spans="1:98" x14ac:dyDescent="0.2">
      <c r="A133" s="8">
        <f t="shared" si="99"/>
        <v>43958</v>
      </c>
      <c r="B133" s="1">
        <v>128</v>
      </c>
      <c r="C133" s="1">
        <v>11</v>
      </c>
      <c r="D133" s="2">
        <v>13.09</v>
      </c>
      <c r="E133" s="2">
        <v>7.1589999999999998</v>
      </c>
      <c r="F133" s="2">
        <v>-3.4929999999999999</v>
      </c>
      <c r="G133" s="2">
        <v>1.07</v>
      </c>
      <c r="H133" s="2">
        <v>80.400000000000006</v>
      </c>
      <c r="I133" s="2">
        <v>1.7000000000000001E-2</v>
      </c>
      <c r="J133" s="2">
        <v>1.7000000000000001E-2</v>
      </c>
      <c r="K133" s="2">
        <v>7.0000000000000007E-2</v>
      </c>
      <c r="L133" s="2">
        <v>0.73899999999999999</v>
      </c>
      <c r="M133" s="2">
        <v>1.149</v>
      </c>
      <c r="N133" s="2">
        <v>6.9560000000000004</v>
      </c>
      <c r="O133" s="2">
        <v>93.6</v>
      </c>
      <c r="P133" s="2">
        <v>0.22</v>
      </c>
      <c r="Q133" s="2">
        <v>0.20799999999999999</v>
      </c>
      <c r="R133" s="2">
        <v>0.23799999999999999</v>
      </c>
      <c r="S133" s="2">
        <v>0.91400000000000003</v>
      </c>
      <c r="T133" s="2">
        <v>1.3740000000000001</v>
      </c>
      <c r="U133" s="2">
        <v>-2.621</v>
      </c>
      <c r="V133" s="2">
        <v>50.72</v>
      </c>
      <c r="W133" s="2">
        <v>-9.8000000000000004E-2</v>
      </c>
      <c r="X133" s="2">
        <v>-0.106</v>
      </c>
      <c r="Y133" s="2">
        <v>-8.4000000000000005E-2</v>
      </c>
      <c r="Z133" s="2">
        <v>0.58899999999999997</v>
      </c>
      <c r="AA133" s="2">
        <v>1.0069999999999999</v>
      </c>
      <c r="AB133" s="2">
        <v>1.5489999999999999</v>
      </c>
      <c r="AC133" s="2">
        <v>0</v>
      </c>
      <c r="AD133" s="2">
        <v>18.38</v>
      </c>
      <c r="AE133" s="2">
        <v>16.690000000000001</v>
      </c>
      <c r="AF133" s="2">
        <v>1.1619999999999999</v>
      </c>
      <c r="AG133" s="2">
        <v>4.1029999999999998</v>
      </c>
      <c r="AH133" s="2">
        <v>0.26900000000000002</v>
      </c>
      <c r="AI133" s="2">
        <v>8.9499999999999993</v>
      </c>
      <c r="AJ133" s="2">
        <v>-4.7919999999999998</v>
      </c>
      <c r="AK133" s="2">
        <v>14.05</v>
      </c>
      <c r="AL133" s="2">
        <v>-2.782</v>
      </c>
      <c r="AM133" s="2">
        <v>1.5509999999999999</v>
      </c>
      <c r="AN133" s="2" t="s">
        <v>122</v>
      </c>
      <c r="AO133" s="2">
        <v>694</v>
      </c>
      <c r="AP133" s="2">
        <v>712</v>
      </c>
      <c r="AQ133" s="2">
        <v>446</v>
      </c>
      <c r="AR133" s="2">
        <v>210</v>
      </c>
      <c r="AS133" s="2">
        <v>108</v>
      </c>
      <c r="AT133" s="2">
        <v>95</v>
      </c>
      <c r="AU133" s="2">
        <v>160</v>
      </c>
      <c r="AV133" s="2">
        <v>455</v>
      </c>
      <c r="AW133" s="2"/>
      <c r="AX133" s="1">
        <f t="shared" si="103"/>
        <v>1.0009999999999999</v>
      </c>
      <c r="AY133" s="21">
        <f t="shared" si="104"/>
        <v>0</v>
      </c>
      <c r="AZ133" s="5">
        <v>29.77</v>
      </c>
      <c r="BA133" s="1">
        <v>19.46</v>
      </c>
      <c r="BB133" s="1">
        <v>15.36</v>
      </c>
      <c r="BC133" s="6">
        <f t="shared" si="100"/>
        <v>0.78931140801644395</v>
      </c>
      <c r="BE133" s="30">
        <v>0</v>
      </c>
      <c r="BF133" s="27">
        <v>1041</v>
      </c>
      <c r="BG133" s="1">
        <f t="shared" si="73"/>
        <v>93.6</v>
      </c>
      <c r="BH133" s="1">
        <f t="shared" si="74"/>
        <v>80.400000000000006</v>
      </c>
      <c r="BI133" s="1">
        <f t="shared" si="75"/>
        <v>50.7</v>
      </c>
      <c r="BJ133" s="7">
        <f t="shared" si="76"/>
        <v>0.50600000000000001</v>
      </c>
      <c r="BK133" s="7">
        <f t="shared" si="77"/>
        <v>0.49199999999999999</v>
      </c>
      <c r="BL133" s="5"/>
      <c r="BM133" s="5">
        <f t="shared" si="78"/>
        <v>19.46</v>
      </c>
      <c r="BN133" s="5">
        <f t="shared" si="79"/>
        <v>15.36</v>
      </c>
      <c r="BO133" s="1">
        <f t="shared" si="80"/>
        <v>1.1000000000000001</v>
      </c>
      <c r="BP133" s="1">
        <f t="shared" si="81"/>
        <v>7</v>
      </c>
      <c r="BQ133" s="1">
        <f t="shared" si="82"/>
        <v>-2.6</v>
      </c>
      <c r="BR133" s="1">
        <f t="shared" si="83"/>
        <v>80.400000000000006</v>
      </c>
      <c r="BS133" s="1">
        <f t="shared" si="84"/>
        <v>50.7</v>
      </c>
      <c r="BT133" s="1">
        <f t="shared" si="85"/>
        <v>1.2</v>
      </c>
      <c r="BU133" s="1">
        <f t="shared" si="86"/>
        <v>4.0999999999999996</v>
      </c>
      <c r="BV133" s="33">
        <f t="shared" si="87"/>
        <v>0</v>
      </c>
      <c r="BW133" s="34">
        <f t="shared" si="105"/>
        <v>1.0409999999999999</v>
      </c>
      <c r="BX133" s="20">
        <f t="shared" si="89"/>
        <v>0</v>
      </c>
      <c r="BY133" s="1">
        <f t="shared" si="90"/>
        <v>0.3</v>
      </c>
      <c r="BZ133" s="1">
        <f t="shared" si="91"/>
        <v>9</v>
      </c>
      <c r="CA133" s="1">
        <f t="shared" si="92"/>
        <v>-4.8</v>
      </c>
      <c r="CB133" s="1">
        <f t="shared" si="93"/>
        <v>0.1</v>
      </c>
      <c r="CC133" s="1">
        <f t="shared" si="94"/>
        <v>0.7</v>
      </c>
      <c r="CD133" s="1">
        <f t="shared" si="95"/>
        <v>1.1000000000000001</v>
      </c>
      <c r="CE133" s="1" t="str">
        <f t="shared" si="96"/>
        <v>NAN</v>
      </c>
      <c r="CF133" s="1">
        <f t="shared" si="97"/>
        <v>0.50600000000000001</v>
      </c>
      <c r="CG133" s="1">
        <f t="shared" si="98"/>
        <v>0.49199999999999999</v>
      </c>
      <c r="CH133" s="5"/>
      <c r="CI133" s="1">
        <f t="shared" si="106"/>
        <v>2880</v>
      </c>
      <c r="CJ133" s="1">
        <f t="shared" si="107"/>
        <v>0.24099999999999999</v>
      </c>
      <c r="CK133" s="1">
        <f t="shared" si="108"/>
        <v>0.247</v>
      </c>
      <c r="CL133" s="1">
        <f t="shared" si="109"/>
        <v>0.155</v>
      </c>
      <c r="CM133" s="1">
        <f t="shared" si="110"/>
        <v>7.2999999999999995E-2</v>
      </c>
      <c r="CN133" s="1">
        <f t="shared" si="111"/>
        <v>3.7999999999999999E-2</v>
      </c>
      <c r="CO133" s="1">
        <f t="shared" si="112"/>
        <v>3.3000000000000002E-2</v>
      </c>
      <c r="CP133" s="1">
        <f t="shared" si="113"/>
        <v>5.6000000000000001E-2</v>
      </c>
      <c r="CQ133" s="1">
        <f t="shared" si="114"/>
        <v>0.158</v>
      </c>
      <c r="CS133" s="1">
        <f t="shared" si="101"/>
        <v>2</v>
      </c>
      <c r="CT133" s="1">
        <f t="shared" si="102"/>
        <v>-2.1999999999999997</v>
      </c>
    </row>
    <row r="134" spans="1:98" x14ac:dyDescent="0.2">
      <c r="A134" s="8">
        <f t="shared" si="99"/>
        <v>43959</v>
      </c>
      <c r="B134" s="1">
        <v>129</v>
      </c>
      <c r="C134" s="1">
        <v>11</v>
      </c>
      <c r="D134" s="2">
        <v>13.09</v>
      </c>
      <c r="E134" s="2">
        <v>15.63</v>
      </c>
      <c r="F134" s="2">
        <v>-4.548</v>
      </c>
      <c r="G134" s="2">
        <v>5.8579999999999997</v>
      </c>
      <c r="H134" s="2">
        <v>65.83</v>
      </c>
      <c r="I134" s="2">
        <v>1.2E-2</v>
      </c>
      <c r="J134" s="2">
        <v>1.2E-2</v>
      </c>
      <c r="K134" s="2">
        <v>6.4000000000000001E-2</v>
      </c>
      <c r="L134" s="2">
        <v>0.73099999999999998</v>
      </c>
      <c r="M134" s="2">
        <v>1.137</v>
      </c>
      <c r="N134" s="2">
        <v>14.63</v>
      </c>
      <c r="O134" s="2">
        <v>94.5</v>
      </c>
      <c r="P134" s="2">
        <v>0.14699999999999999</v>
      </c>
      <c r="Q134" s="2">
        <v>0.13200000000000001</v>
      </c>
      <c r="R134" s="2">
        <v>0.19700000000000001</v>
      </c>
      <c r="S134" s="2">
        <v>0.872</v>
      </c>
      <c r="T134" s="2">
        <v>1.33</v>
      </c>
      <c r="U134" s="2">
        <v>-1.966</v>
      </c>
      <c r="V134" s="2">
        <v>34.69</v>
      </c>
      <c r="W134" s="2">
        <v>-8.7999999999999995E-2</v>
      </c>
      <c r="X134" s="2">
        <v>-8.4000000000000005E-2</v>
      </c>
      <c r="Y134" s="2">
        <v>-5.1999999999999998E-2</v>
      </c>
      <c r="Z134" s="2">
        <v>0.60099999999999998</v>
      </c>
      <c r="AA134" s="2">
        <v>0.99199999999999999</v>
      </c>
      <c r="AB134" s="2">
        <v>1.633</v>
      </c>
      <c r="AC134" s="2">
        <v>0</v>
      </c>
      <c r="AD134" s="2">
        <v>24.95</v>
      </c>
      <c r="AE134" s="2">
        <v>18.36</v>
      </c>
      <c r="AF134" s="2">
        <v>1.141</v>
      </c>
      <c r="AG134" s="2">
        <v>4.1399999999999997</v>
      </c>
      <c r="AH134" s="2">
        <v>2.7850000000000001</v>
      </c>
      <c r="AI134" s="2">
        <v>11.99</v>
      </c>
      <c r="AJ134" s="2">
        <v>-5.9050000000000002</v>
      </c>
      <c r="AK134" s="2">
        <v>22.48</v>
      </c>
      <c r="AL134" s="2">
        <v>-2.25</v>
      </c>
      <c r="AM134" s="2">
        <v>1.621</v>
      </c>
      <c r="AN134" s="2" t="s">
        <v>122</v>
      </c>
      <c r="AO134" s="2">
        <v>103</v>
      </c>
      <c r="AP134" s="2">
        <v>617</v>
      </c>
      <c r="AQ134" s="2">
        <v>692</v>
      </c>
      <c r="AR134" s="2">
        <v>379</v>
      </c>
      <c r="AS134" s="2">
        <v>356</v>
      </c>
      <c r="AT134" s="2">
        <v>402</v>
      </c>
      <c r="AU134" s="2">
        <v>256</v>
      </c>
      <c r="AV134" s="2">
        <v>75</v>
      </c>
      <c r="AW134" s="2"/>
      <c r="AX134" s="1">
        <f t="shared" ref="AX134:AX158" si="115">AX$1-AB134</f>
        <v>0.91699999999999982</v>
      </c>
      <c r="AY134" s="21">
        <f t="shared" ref="AY134:AY144" si="116">ROUND(AVERAGE(I134:K134),1)</f>
        <v>0</v>
      </c>
      <c r="AZ134" s="5">
        <v>29.94</v>
      </c>
      <c r="BA134" s="1">
        <v>24.95</v>
      </c>
      <c r="BB134" s="1">
        <v>16.89</v>
      </c>
      <c r="BC134" s="6">
        <f t="shared" si="100"/>
        <v>0.67695390781563125</v>
      </c>
      <c r="BE134" s="30">
        <v>0</v>
      </c>
      <c r="BF134" s="27">
        <v>956.99999999999989</v>
      </c>
      <c r="BG134" s="1">
        <f t="shared" ref="BG134:BG197" si="117">ROUND(BH$1*O134+BH$2,1)</f>
        <v>94.5</v>
      </c>
      <c r="BH134" s="1">
        <f t="shared" ref="BH134:BH197" si="118">ROUND(H134*BH$1+BH$2,1)</f>
        <v>65.8</v>
      </c>
      <c r="BI134" s="1">
        <f t="shared" ref="BI134:BI197" si="119">ROUND(V134*BH$1+BH$2,1)</f>
        <v>34.700000000000003</v>
      </c>
      <c r="BJ134" s="7">
        <f t="shared" ref="BJ134:BJ197" si="120">ROUND((0.6105*(EXP((17.273*N134)/(N134+237.3))))*BI134/100,3)</f>
        <v>0.57799999999999996</v>
      </c>
      <c r="BK134" s="7">
        <f t="shared" ref="BK134:BK197" si="121">ROUND(BJ134/BI134*(100-BI134),3)</f>
        <v>1.0880000000000001</v>
      </c>
      <c r="BL134" s="5"/>
      <c r="BM134" s="5">
        <f t="shared" ref="BM134:BM197" si="122">BA134</f>
        <v>24.95</v>
      </c>
      <c r="BN134" s="5">
        <f t="shared" ref="BN134:BN197" si="123">BB134</f>
        <v>16.89</v>
      </c>
      <c r="BO134" s="1">
        <f t="shared" ref="BO134:BO197" si="124">ROUND(G134,1)</f>
        <v>5.9</v>
      </c>
      <c r="BP134" s="1">
        <f t="shared" ref="BP134:BP197" si="125">ROUND(N134,1)</f>
        <v>14.6</v>
      </c>
      <c r="BQ134" s="1">
        <f t="shared" ref="BQ134:BQ197" si="126">ROUND(U134,1)</f>
        <v>-2</v>
      </c>
      <c r="BR134" s="1">
        <f t="shared" ref="BR134:BR197" si="127">BH134</f>
        <v>65.8</v>
      </c>
      <c r="BS134" s="1">
        <f t="shared" ref="BS134:BS197" si="128">BI134</f>
        <v>34.700000000000003</v>
      </c>
      <c r="BT134" s="1">
        <f t="shared" ref="BT134:BT197" si="129">ROUND(AF134,1)</f>
        <v>1.1000000000000001</v>
      </c>
      <c r="BU134" s="1">
        <f t="shared" ref="BU134:BU197" si="130">ROUND(AG134,1)</f>
        <v>4.0999999999999996</v>
      </c>
      <c r="BV134" s="33">
        <f t="shared" ref="BV134:BV197" si="131">BE134</f>
        <v>0</v>
      </c>
      <c r="BW134" s="34">
        <f t="shared" ref="BW134:BW159" si="132">ROUND(BF134/1000,3)</f>
        <v>0.95699999999999996</v>
      </c>
      <c r="BX134" s="20">
        <f t="shared" ref="BX134:BX197" si="133">IF(AY134="","NAN",AY134)</f>
        <v>0</v>
      </c>
      <c r="BY134" s="1">
        <f t="shared" ref="BY134:BY197" si="134">IF(AH134="NAN", "NAN", ROUND(AH134,1))</f>
        <v>2.8</v>
      </c>
      <c r="BZ134" s="1">
        <f t="shared" ref="BZ134:BZ197" si="135">IF(AI134="NAN", "NAN", ROUND(AI134,1))</f>
        <v>12</v>
      </c>
      <c r="CA134" s="1">
        <f t="shared" ref="CA134:CA197" si="136">IF(AJ134="NAN", "NAN", ROUND(AJ134,1))</f>
        <v>-5.9</v>
      </c>
      <c r="CB134" s="1">
        <f t="shared" ref="CB134:CB197" si="137">ROUND(K134,1)</f>
        <v>0.1</v>
      </c>
      <c r="CC134" s="1">
        <f t="shared" ref="CC134:CC197" si="138">ROUND(L134,1)</f>
        <v>0.7</v>
      </c>
      <c r="CD134" s="1">
        <f t="shared" ref="CD134:CD197" si="139">ROUND(M134,1)</f>
        <v>1.1000000000000001</v>
      </c>
      <c r="CE134" s="1" t="str">
        <f t="shared" ref="CE134:CE197" si="140">AN134</f>
        <v>NAN</v>
      </c>
      <c r="CF134" s="1">
        <f t="shared" si="97"/>
        <v>0.57799999999999996</v>
      </c>
      <c r="CG134" s="1">
        <f t="shared" si="98"/>
        <v>1.0880000000000001</v>
      </c>
      <c r="CH134" s="5"/>
      <c r="CI134" s="1">
        <f t="shared" si="106"/>
        <v>2880</v>
      </c>
      <c r="CJ134" s="1">
        <f t="shared" si="107"/>
        <v>3.5999999999999997E-2</v>
      </c>
      <c r="CK134" s="1">
        <f t="shared" si="108"/>
        <v>0.214</v>
      </c>
      <c r="CL134" s="1">
        <f t="shared" si="109"/>
        <v>0.24</v>
      </c>
      <c r="CM134" s="1">
        <f t="shared" si="110"/>
        <v>0.13200000000000001</v>
      </c>
      <c r="CN134" s="1">
        <f t="shared" si="111"/>
        <v>0.124</v>
      </c>
      <c r="CO134" s="1">
        <f t="shared" si="112"/>
        <v>0.14000000000000001</v>
      </c>
      <c r="CP134" s="1">
        <f t="shared" si="113"/>
        <v>8.8999999999999996E-2</v>
      </c>
      <c r="CQ134" s="1">
        <f t="shared" si="114"/>
        <v>2.5999999999999999E-2</v>
      </c>
      <c r="CS134" s="1">
        <f t="shared" si="101"/>
        <v>-2.5999999999999996</v>
      </c>
      <c r="CT134" s="1">
        <f t="shared" si="102"/>
        <v>-3.9000000000000004</v>
      </c>
    </row>
    <row r="135" spans="1:98" x14ac:dyDescent="0.2">
      <c r="A135" s="8">
        <f t="shared" si="99"/>
        <v>43960</v>
      </c>
      <c r="B135" s="1">
        <v>130</v>
      </c>
      <c r="C135" s="1">
        <v>11</v>
      </c>
      <c r="D135" s="2">
        <v>13.09</v>
      </c>
      <c r="E135" s="2">
        <v>16.739999999999998</v>
      </c>
      <c r="F135" s="2">
        <v>-0.84099999999999997</v>
      </c>
      <c r="G135" s="2">
        <v>8.65</v>
      </c>
      <c r="H135" s="2">
        <v>53.91</v>
      </c>
      <c r="I135" s="2">
        <v>2.9000000000000001E-2</v>
      </c>
      <c r="J135" s="2">
        <v>2.8000000000000001E-2</v>
      </c>
      <c r="K135" s="2">
        <v>8.1000000000000003E-2</v>
      </c>
      <c r="L135" s="2">
        <v>0.77700000000000002</v>
      </c>
      <c r="M135" s="2">
        <v>1.0640000000000001</v>
      </c>
      <c r="N135" s="2">
        <v>15.78</v>
      </c>
      <c r="O135" s="2">
        <v>77.709999999999994</v>
      </c>
      <c r="P135" s="2">
        <v>0.153</v>
      </c>
      <c r="Q135" s="2">
        <v>0.14699999999999999</v>
      </c>
      <c r="R135" s="2">
        <v>0.189</v>
      </c>
      <c r="S135" s="2">
        <v>0.873</v>
      </c>
      <c r="T135" s="2">
        <v>1.2210000000000001</v>
      </c>
      <c r="U135" s="2">
        <v>2.98</v>
      </c>
      <c r="V135" s="2">
        <v>30.15</v>
      </c>
      <c r="W135" s="2">
        <v>-7.5999999999999998E-2</v>
      </c>
      <c r="X135" s="2">
        <v>-6.3E-2</v>
      </c>
      <c r="Y135" s="2">
        <v>-2.4E-2</v>
      </c>
      <c r="Z135" s="2">
        <v>0.67500000000000004</v>
      </c>
      <c r="AA135" s="2">
        <v>0.88400000000000001</v>
      </c>
      <c r="AB135" s="2">
        <v>1.6919999999999999</v>
      </c>
      <c r="AC135" s="2">
        <v>0</v>
      </c>
      <c r="AD135" s="2">
        <v>25.52</v>
      </c>
      <c r="AE135" s="2">
        <v>16.87</v>
      </c>
      <c r="AF135" s="2">
        <v>0.97899999999999998</v>
      </c>
      <c r="AG135" s="2">
        <v>3.714</v>
      </c>
      <c r="AH135" s="2">
        <v>4.4459999999999997</v>
      </c>
      <c r="AI135" s="2">
        <v>11.82</v>
      </c>
      <c r="AJ135" s="2">
        <v>-1.3740000000000001</v>
      </c>
      <c r="AK135" s="2">
        <v>22.85</v>
      </c>
      <c r="AL135" s="2">
        <v>2.819</v>
      </c>
      <c r="AM135" s="2">
        <v>1.673</v>
      </c>
      <c r="AN135" s="2" t="s">
        <v>122</v>
      </c>
      <c r="AO135" s="2">
        <v>62</v>
      </c>
      <c r="AP135" s="2">
        <v>139</v>
      </c>
      <c r="AQ135" s="2">
        <v>358</v>
      </c>
      <c r="AR135" s="2">
        <v>561</v>
      </c>
      <c r="AS135" s="2">
        <v>695</v>
      </c>
      <c r="AT135" s="2">
        <v>672</v>
      </c>
      <c r="AU135" s="2">
        <v>314</v>
      </c>
      <c r="AV135" s="2">
        <v>79</v>
      </c>
      <c r="AW135" s="2"/>
      <c r="AX135" s="1">
        <f t="shared" si="115"/>
        <v>0.85799999999999987</v>
      </c>
      <c r="AY135" s="21">
        <f t="shared" si="116"/>
        <v>0</v>
      </c>
      <c r="AZ135" s="5">
        <v>30.1</v>
      </c>
      <c r="BA135" s="1">
        <v>25.52</v>
      </c>
      <c r="BB135" s="1">
        <v>15.52</v>
      </c>
      <c r="BC135" s="6">
        <f t="shared" si="100"/>
        <v>0.60815047021943569</v>
      </c>
      <c r="BE135" s="30">
        <v>0</v>
      </c>
      <c r="BF135" s="27">
        <v>897.99999999999989</v>
      </c>
      <c r="BG135" s="1">
        <f t="shared" si="117"/>
        <v>77.7</v>
      </c>
      <c r="BH135" s="1">
        <f t="shared" si="118"/>
        <v>53.9</v>
      </c>
      <c r="BI135" s="1">
        <f t="shared" si="119"/>
        <v>30.2</v>
      </c>
      <c r="BJ135" s="7">
        <f t="shared" si="120"/>
        <v>0.54100000000000004</v>
      </c>
      <c r="BK135" s="7">
        <f t="shared" si="121"/>
        <v>1.25</v>
      </c>
      <c r="BL135" s="5"/>
      <c r="BM135" s="5">
        <f t="shared" si="122"/>
        <v>25.52</v>
      </c>
      <c r="BN135" s="5">
        <f t="shared" si="123"/>
        <v>15.52</v>
      </c>
      <c r="BO135" s="1">
        <f t="shared" si="124"/>
        <v>8.6999999999999993</v>
      </c>
      <c r="BP135" s="1">
        <f t="shared" si="125"/>
        <v>15.8</v>
      </c>
      <c r="BQ135" s="1">
        <f t="shared" si="126"/>
        <v>3</v>
      </c>
      <c r="BR135" s="1">
        <f t="shared" si="127"/>
        <v>53.9</v>
      </c>
      <c r="BS135" s="1">
        <f t="shared" si="128"/>
        <v>30.2</v>
      </c>
      <c r="BT135" s="1">
        <f t="shared" si="129"/>
        <v>1</v>
      </c>
      <c r="BU135" s="1">
        <f t="shared" si="130"/>
        <v>3.7</v>
      </c>
      <c r="BV135" s="33">
        <f t="shared" si="131"/>
        <v>0</v>
      </c>
      <c r="BW135" s="34">
        <f t="shared" si="132"/>
        <v>0.89800000000000002</v>
      </c>
      <c r="BX135" s="20">
        <f t="shared" si="133"/>
        <v>0</v>
      </c>
      <c r="BY135" s="1">
        <f t="shared" si="134"/>
        <v>4.4000000000000004</v>
      </c>
      <c r="BZ135" s="1">
        <f t="shared" si="135"/>
        <v>11.8</v>
      </c>
      <c r="CA135" s="1">
        <f t="shared" si="136"/>
        <v>-1.4</v>
      </c>
      <c r="CB135" s="1">
        <f t="shared" si="137"/>
        <v>0.1</v>
      </c>
      <c r="CC135" s="1">
        <f t="shared" si="138"/>
        <v>0.8</v>
      </c>
      <c r="CD135" s="1">
        <f t="shared" si="139"/>
        <v>1.1000000000000001</v>
      </c>
      <c r="CE135" s="1" t="str">
        <f t="shared" si="140"/>
        <v>NAN</v>
      </c>
      <c r="CF135" s="1">
        <f t="shared" ref="CF135:CF198" si="141">BJ135</f>
        <v>0.54100000000000004</v>
      </c>
      <c r="CG135" s="1">
        <f t="shared" ref="CG135:CG198" si="142">BK135</f>
        <v>1.25</v>
      </c>
      <c r="CH135" s="5"/>
      <c r="CI135" s="1">
        <f t="shared" si="106"/>
        <v>2880</v>
      </c>
      <c r="CJ135" s="1">
        <f t="shared" si="107"/>
        <v>2.1999999999999999E-2</v>
      </c>
      <c r="CK135" s="1">
        <f t="shared" si="108"/>
        <v>4.8000000000000001E-2</v>
      </c>
      <c r="CL135" s="1">
        <f t="shared" si="109"/>
        <v>0.124</v>
      </c>
      <c r="CM135" s="1">
        <f t="shared" si="110"/>
        <v>0.19500000000000001</v>
      </c>
      <c r="CN135" s="1">
        <f t="shared" si="111"/>
        <v>0.24099999999999999</v>
      </c>
      <c r="CO135" s="1">
        <f t="shared" si="112"/>
        <v>0.23300000000000001</v>
      </c>
      <c r="CP135" s="1">
        <f t="shared" si="113"/>
        <v>0.109</v>
      </c>
      <c r="CQ135" s="1">
        <f t="shared" si="114"/>
        <v>2.7E-2</v>
      </c>
      <c r="CS135" s="1">
        <f t="shared" si="101"/>
        <v>-4</v>
      </c>
      <c r="CT135" s="1">
        <f t="shared" si="102"/>
        <v>-4.4000000000000004</v>
      </c>
    </row>
    <row r="136" spans="1:98" x14ac:dyDescent="0.2">
      <c r="A136" s="8">
        <f t="shared" ref="A136:A199" si="143">A135+1</f>
        <v>43961</v>
      </c>
      <c r="B136" s="1">
        <v>131</v>
      </c>
      <c r="C136" s="1">
        <v>11</v>
      </c>
      <c r="D136" s="2">
        <v>13.09</v>
      </c>
      <c r="E136" s="2">
        <v>17.690000000000001</v>
      </c>
      <c r="F136" s="2">
        <v>1.5860000000000001</v>
      </c>
      <c r="G136" s="2">
        <v>8.5299999999999994</v>
      </c>
      <c r="H136" s="2">
        <v>48.8</v>
      </c>
      <c r="I136" s="2">
        <v>3.4000000000000002E-2</v>
      </c>
      <c r="J136" s="2">
        <v>3.1E-2</v>
      </c>
      <c r="K136" s="2">
        <v>8.4000000000000005E-2</v>
      </c>
      <c r="L136" s="2">
        <v>0.8</v>
      </c>
      <c r="M136" s="2">
        <v>0.97199999999999998</v>
      </c>
      <c r="N136" s="2">
        <v>16.420000000000002</v>
      </c>
      <c r="O136" s="2">
        <v>67.930000000000007</v>
      </c>
      <c r="P136" s="2">
        <v>0.14399999999999999</v>
      </c>
      <c r="Q136" s="2">
        <v>0.13500000000000001</v>
      </c>
      <c r="R136" s="2">
        <v>0.17899999999999999</v>
      </c>
      <c r="S136" s="2">
        <v>0.88700000000000001</v>
      </c>
      <c r="T136" s="2">
        <v>1.139</v>
      </c>
      <c r="U136" s="2">
        <v>4.431</v>
      </c>
      <c r="V136" s="2">
        <v>28.01</v>
      </c>
      <c r="W136" s="2">
        <v>-7.4999999999999997E-2</v>
      </c>
      <c r="X136" s="2">
        <v>-7.0000000000000007E-2</v>
      </c>
      <c r="Y136" s="2">
        <v>-2.1999999999999999E-2</v>
      </c>
      <c r="Z136" s="2">
        <v>0.69899999999999995</v>
      </c>
      <c r="AA136" s="2">
        <v>0.82399999999999995</v>
      </c>
      <c r="AB136" s="2">
        <v>1.746</v>
      </c>
      <c r="AC136" s="2">
        <v>0</v>
      </c>
      <c r="AD136" s="2">
        <v>22.3</v>
      </c>
      <c r="AE136" s="2">
        <v>13.92</v>
      </c>
      <c r="AF136" s="2">
        <v>0.999</v>
      </c>
      <c r="AG136" s="2">
        <v>3.3519999999999999</v>
      </c>
      <c r="AH136" s="2">
        <v>4.5670000000000002</v>
      </c>
      <c r="AI136" s="2">
        <v>12.42</v>
      </c>
      <c r="AJ136" s="2">
        <v>0.26800000000000002</v>
      </c>
      <c r="AK136" s="2">
        <v>25.11</v>
      </c>
      <c r="AL136" s="2">
        <v>4.3780000000000001</v>
      </c>
      <c r="AM136" s="2">
        <v>1.7310000000000001</v>
      </c>
      <c r="AN136" s="2" t="s">
        <v>122</v>
      </c>
      <c r="AO136" s="2">
        <v>186</v>
      </c>
      <c r="AP136" s="2">
        <v>421</v>
      </c>
      <c r="AQ136" s="2">
        <v>420</v>
      </c>
      <c r="AR136" s="2">
        <v>487</v>
      </c>
      <c r="AS136" s="2">
        <v>662</v>
      </c>
      <c r="AT136" s="2">
        <v>409</v>
      </c>
      <c r="AU136" s="2">
        <v>202</v>
      </c>
      <c r="AV136" s="2">
        <v>93</v>
      </c>
      <c r="AW136" s="2"/>
      <c r="AX136" s="1">
        <f t="shared" si="115"/>
        <v>0.80399999999999983</v>
      </c>
      <c r="AY136" s="21">
        <f t="shared" si="116"/>
        <v>0</v>
      </c>
      <c r="AZ136" s="5">
        <v>30.26</v>
      </c>
      <c r="BA136" s="1">
        <v>22.3</v>
      </c>
      <c r="BB136" s="1">
        <v>12.81</v>
      </c>
      <c r="BC136" s="6">
        <f t="shared" ref="BC136:BC199" si="144">BB136/BA136</f>
        <v>0.57443946188340811</v>
      </c>
      <c r="BE136" s="30">
        <v>0</v>
      </c>
      <c r="BF136" s="27">
        <v>843.99999999999989</v>
      </c>
      <c r="BG136" s="1">
        <f t="shared" si="117"/>
        <v>67.900000000000006</v>
      </c>
      <c r="BH136" s="1">
        <f t="shared" si="118"/>
        <v>48.8</v>
      </c>
      <c r="BI136" s="1">
        <f t="shared" si="119"/>
        <v>28</v>
      </c>
      <c r="BJ136" s="7">
        <f t="shared" si="120"/>
        <v>0.52300000000000002</v>
      </c>
      <c r="BK136" s="7">
        <f t="shared" si="121"/>
        <v>1.345</v>
      </c>
      <c r="BL136" s="5"/>
      <c r="BM136" s="5">
        <f t="shared" si="122"/>
        <v>22.3</v>
      </c>
      <c r="BN136" s="5">
        <f t="shared" si="123"/>
        <v>12.81</v>
      </c>
      <c r="BO136" s="1">
        <f t="shared" si="124"/>
        <v>8.5</v>
      </c>
      <c r="BP136" s="1">
        <f t="shared" si="125"/>
        <v>16.399999999999999</v>
      </c>
      <c r="BQ136" s="1">
        <f t="shared" si="126"/>
        <v>4.4000000000000004</v>
      </c>
      <c r="BR136" s="1">
        <f t="shared" si="127"/>
        <v>48.8</v>
      </c>
      <c r="BS136" s="1">
        <f t="shared" si="128"/>
        <v>28</v>
      </c>
      <c r="BT136" s="1">
        <f t="shared" si="129"/>
        <v>1</v>
      </c>
      <c r="BU136" s="1">
        <f t="shared" si="130"/>
        <v>3.4</v>
      </c>
      <c r="BV136" s="33">
        <f t="shared" si="131"/>
        <v>0</v>
      </c>
      <c r="BW136" s="34">
        <f t="shared" si="132"/>
        <v>0.84399999999999997</v>
      </c>
      <c r="BX136" s="20">
        <f t="shared" si="133"/>
        <v>0</v>
      </c>
      <c r="BY136" s="1">
        <f t="shared" si="134"/>
        <v>4.5999999999999996</v>
      </c>
      <c r="BZ136" s="1">
        <f t="shared" si="135"/>
        <v>12.4</v>
      </c>
      <c r="CA136" s="1">
        <f t="shared" si="136"/>
        <v>0.3</v>
      </c>
      <c r="CB136" s="1">
        <f t="shared" si="137"/>
        <v>0.1</v>
      </c>
      <c r="CC136" s="1">
        <f t="shared" si="138"/>
        <v>0.8</v>
      </c>
      <c r="CD136" s="1">
        <f t="shared" si="139"/>
        <v>1</v>
      </c>
      <c r="CE136" s="1" t="str">
        <f t="shared" si="140"/>
        <v>NAN</v>
      </c>
      <c r="CF136" s="1">
        <f t="shared" si="141"/>
        <v>0.52300000000000002</v>
      </c>
      <c r="CG136" s="1">
        <f t="shared" si="142"/>
        <v>1.345</v>
      </c>
      <c r="CH136" s="5"/>
      <c r="CI136" s="1">
        <f t="shared" si="106"/>
        <v>2880</v>
      </c>
      <c r="CJ136" s="1">
        <f t="shared" si="107"/>
        <v>6.5000000000000002E-2</v>
      </c>
      <c r="CK136" s="1">
        <f t="shared" si="108"/>
        <v>0.14599999999999999</v>
      </c>
      <c r="CL136" s="1">
        <f t="shared" si="109"/>
        <v>0.14599999999999999</v>
      </c>
      <c r="CM136" s="1">
        <f t="shared" si="110"/>
        <v>0.16900000000000001</v>
      </c>
      <c r="CN136" s="1">
        <f t="shared" si="111"/>
        <v>0.23</v>
      </c>
      <c r="CO136" s="1">
        <f t="shared" si="112"/>
        <v>0.14199999999999999</v>
      </c>
      <c r="CP136" s="1">
        <f t="shared" si="113"/>
        <v>7.0000000000000007E-2</v>
      </c>
      <c r="CQ136" s="1">
        <f t="shared" si="114"/>
        <v>3.2000000000000001E-2</v>
      </c>
      <c r="CS136" s="1">
        <f t="shared" ref="CS136:CS199" si="145">IF(BZ136="NAN","NAN",BZ136-BP136)</f>
        <v>-3.9999999999999982</v>
      </c>
      <c r="CT136" s="1">
        <f t="shared" ref="CT136:CT199" si="146">IF(CA136="NAN","NAN",CA136-BQ136)</f>
        <v>-4.1000000000000005</v>
      </c>
    </row>
    <row r="137" spans="1:98" x14ac:dyDescent="0.2">
      <c r="A137" s="8">
        <f t="shared" si="143"/>
        <v>43962</v>
      </c>
      <c r="B137" s="1">
        <v>132</v>
      </c>
      <c r="C137" s="1">
        <v>11</v>
      </c>
      <c r="D137" s="2">
        <v>13.09</v>
      </c>
      <c r="E137" s="2">
        <v>15.36</v>
      </c>
      <c r="F137" s="2">
        <v>0.41499999999999998</v>
      </c>
      <c r="G137" s="2">
        <v>6.9180000000000001</v>
      </c>
      <c r="H137" s="2">
        <v>57.33</v>
      </c>
      <c r="I137" s="2">
        <v>3.1E-2</v>
      </c>
      <c r="J137" s="2">
        <v>3.1E-2</v>
      </c>
      <c r="K137" s="2">
        <v>8.4000000000000005E-2</v>
      </c>
      <c r="L137" s="2">
        <v>0.77400000000000002</v>
      </c>
      <c r="M137" s="2">
        <v>0.91900000000000004</v>
      </c>
      <c r="N137" s="2">
        <v>13.48</v>
      </c>
      <c r="O137" s="2">
        <v>74.849999999999994</v>
      </c>
      <c r="P137" s="2">
        <v>0.13600000000000001</v>
      </c>
      <c r="Q137" s="2">
        <v>0.158</v>
      </c>
      <c r="R137" s="2">
        <v>0.189</v>
      </c>
      <c r="S137" s="2">
        <v>0.86399999999999999</v>
      </c>
      <c r="T137" s="2">
        <v>1.0900000000000001</v>
      </c>
      <c r="U137" s="2">
        <v>2.363</v>
      </c>
      <c r="V137" s="2">
        <v>37.03</v>
      </c>
      <c r="W137" s="2">
        <v>-7.4999999999999997E-2</v>
      </c>
      <c r="X137" s="2">
        <v>-0.08</v>
      </c>
      <c r="Y137" s="2">
        <v>-1.4999999999999999E-2</v>
      </c>
      <c r="Z137" s="2">
        <v>0.67700000000000005</v>
      </c>
      <c r="AA137" s="2">
        <v>0.76500000000000001</v>
      </c>
      <c r="AB137" s="2">
        <v>1.8009999999999999</v>
      </c>
      <c r="AC137" s="2">
        <v>0</v>
      </c>
      <c r="AD137" s="2">
        <v>22.6</v>
      </c>
      <c r="AE137" s="2">
        <v>13.99</v>
      </c>
      <c r="AF137" s="2">
        <v>0.92400000000000004</v>
      </c>
      <c r="AG137" s="2">
        <v>2.9489999999999998</v>
      </c>
      <c r="AH137" s="2">
        <v>4.0419999999999998</v>
      </c>
      <c r="AI137" s="2">
        <v>11.55</v>
      </c>
      <c r="AJ137" s="2">
        <v>-0.23200000000000001</v>
      </c>
      <c r="AK137" s="2">
        <v>21.13</v>
      </c>
      <c r="AL137" s="2">
        <v>2.2050000000000001</v>
      </c>
      <c r="AM137" s="2">
        <v>1.788</v>
      </c>
      <c r="AN137" s="2" t="s">
        <v>122</v>
      </c>
      <c r="AO137" s="2">
        <v>165</v>
      </c>
      <c r="AP137" s="2">
        <v>606</v>
      </c>
      <c r="AQ137" s="2">
        <v>679</v>
      </c>
      <c r="AR137" s="2">
        <v>519</v>
      </c>
      <c r="AS137" s="2">
        <v>353</v>
      </c>
      <c r="AT137" s="2">
        <v>301</v>
      </c>
      <c r="AU137" s="2">
        <v>172</v>
      </c>
      <c r="AV137" s="2">
        <v>85</v>
      </c>
      <c r="AW137" s="2"/>
      <c r="AX137" s="1">
        <f t="shared" si="115"/>
        <v>0.74899999999999989</v>
      </c>
      <c r="AY137" s="21">
        <f t="shared" si="116"/>
        <v>0</v>
      </c>
      <c r="AZ137" s="5">
        <v>30.42</v>
      </c>
      <c r="BA137" s="1">
        <v>22.6</v>
      </c>
      <c r="BB137" s="1">
        <v>12.87</v>
      </c>
      <c r="BC137" s="6">
        <f t="shared" si="144"/>
        <v>0.56946902654867249</v>
      </c>
      <c r="BE137" s="30">
        <v>0</v>
      </c>
      <c r="BF137" s="27">
        <v>788.99999999999989</v>
      </c>
      <c r="BG137" s="1">
        <f t="shared" si="117"/>
        <v>74.900000000000006</v>
      </c>
      <c r="BH137" s="1">
        <f t="shared" si="118"/>
        <v>57.3</v>
      </c>
      <c r="BI137" s="1">
        <f t="shared" si="119"/>
        <v>37</v>
      </c>
      <c r="BJ137" s="7">
        <f t="shared" si="120"/>
        <v>0.57199999999999995</v>
      </c>
      <c r="BK137" s="7">
        <f t="shared" si="121"/>
        <v>0.97399999999999998</v>
      </c>
      <c r="BL137" s="5"/>
      <c r="BM137" s="5">
        <f t="shared" si="122"/>
        <v>22.6</v>
      </c>
      <c r="BN137" s="5">
        <f t="shared" si="123"/>
        <v>12.87</v>
      </c>
      <c r="BO137" s="1">
        <f t="shared" si="124"/>
        <v>6.9</v>
      </c>
      <c r="BP137" s="1">
        <f t="shared" si="125"/>
        <v>13.5</v>
      </c>
      <c r="BQ137" s="1">
        <f t="shared" si="126"/>
        <v>2.4</v>
      </c>
      <c r="BR137" s="1">
        <f t="shared" si="127"/>
        <v>57.3</v>
      </c>
      <c r="BS137" s="1">
        <f t="shared" si="128"/>
        <v>37</v>
      </c>
      <c r="BT137" s="1">
        <f t="shared" si="129"/>
        <v>0.9</v>
      </c>
      <c r="BU137" s="1">
        <f t="shared" si="130"/>
        <v>2.9</v>
      </c>
      <c r="BV137" s="33">
        <f t="shared" si="131"/>
        <v>0</v>
      </c>
      <c r="BW137" s="34">
        <f t="shared" si="132"/>
        <v>0.78900000000000003</v>
      </c>
      <c r="BX137" s="20">
        <f t="shared" si="133"/>
        <v>0</v>
      </c>
      <c r="BY137" s="1">
        <f t="shared" si="134"/>
        <v>4</v>
      </c>
      <c r="BZ137" s="1">
        <f t="shared" si="135"/>
        <v>11.6</v>
      </c>
      <c r="CA137" s="1">
        <f t="shared" si="136"/>
        <v>-0.2</v>
      </c>
      <c r="CB137" s="1">
        <f t="shared" si="137"/>
        <v>0.1</v>
      </c>
      <c r="CC137" s="1">
        <f t="shared" si="138"/>
        <v>0.8</v>
      </c>
      <c r="CD137" s="1">
        <f t="shared" si="139"/>
        <v>0.9</v>
      </c>
      <c r="CE137" s="1" t="str">
        <f t="shared" si="140"/>
        <v>NAN</v>
      </c>
      <c r="CF137" s="1">
        <f t="shared" si="141"/>
        <v>0.57199999999999995</v>
      </c>
      <c r="CG137" s="1">
        <f t="shared" si="142"/>
        <v>0.97399999999999998</v>
      </c>
      <c r="CH137" s="5"/>
      <c r="CI137" s="1">
        <f t="shared" si="106"/>
        <v>2880</v>
      </c>
      <c r="CJ137" s="1">
        <f t="shared" si="107"/>
        <v>5.7000000000000002E-2</v>
      </c>
      <c r="CK137" s="1">
        <f t="shared" si="108"/>
        <v>0.21</v>
      </c>
      <c r="CL137" s="1">
        <f t="shared" si="109"/>
        <v>0.23599999999999999</v>
      </c>
      <c r="CM137" s="1">
        <f t="shared" si="110"/>
        <v>0.18</v>
      </c>
      <c r="CN137" s="1">
        <f t="shared" si="111"/>
        <v>0.123</v>
      </c>
      <c r="CO137" s="1">
        <f t="shared" si="112"/>
        <v>0.105</v>
      </c>
      <c r="CP137" s="1">
        <f t="shared" si="113"/>
        <v>0.06</v>
      </c>
      <c r="CQ137" s="1">
        <f t="shared" si="114"/>
        <v>0.03</v>
      </c>
      <c r="CS137" s="1">
        <f t="shared" si="145"/>
        <v>-1.9000000000000004</v>
      </c>
      <c r="CT137" s="1">
        <f t="shared" si="146"/>
        <v>-2.6</v>
      </c>
    </row>
    <row r="138" spans="1:98" x14ac:dyDescent="0.2">
      <c r="A138" s="8">
        <f t="shared" si="143"/>
        <v>43963</v>
      </c>
      <c r="B138" s="1">
        <v>133</v>
      </c>
      <c r="C138" s="1">
        <v>11</v>
      </c>
      <c r="D138" s="2">
        <v>13.03</v>
      </c>
      <c r="E138" s="2">
        <v>8.39</v>
      </c>
      <c r="F138" s="2">
        <v>0.71399999999999997</v>
      </c>
      <c r="G138" s="2">
        <v>3.7130000000000001</v>
      </c>
      <c r="H138" s="2">
        <v>76.63</v>
      </c>
      <c r="I138" s="2">
        <v>2.4E-2</v>
      </c>
      <c r="J138" s="2">
        <v>2.3E-2</v>
      </c>
      <c r="K138" s="2">
        <v>7.1999999999999995E-2</v>
      </c>
      <c r="L138" s="2">
        <v>0.72599999999999998</v>
      </c>
      <c r="M138" s="2">
        <v>0.88500000000000001</v>
      </c>
      <c r="N138" s="2">
        <v>7.9740000000000002</v>
      </c>
      <c r="O138" s="2">
        <v>95.5</v>
      </c>
      <c r="P138" s="2">
        <v>0.10199999999999999</v>
      </c>
      <c r="Q138" s="2">
        <v>0.105</v>
      </c>
      <c r="R138" s="2">
        <v>0.14899999999999999</v>
      </c>
      <c r="S138" s="2">
        <v>0.81399999999999995</v>
      </c>
      <c r="T138" s="2">
        <v>1.0129999999999999</v>
      </c>
      <c r="U138" s="2">
        <v>0.73299999999999998</v>
      </c>
      <c r="V138" s="2">
        <v>57.77</v>
      </c>
      <c r="W138" s="2">
        <v>-6.0999999999999999E-2</v>
      </c>
      <c r="X138" s="2">
        <v>-5.8000000000000003E-2</v>
      </c>
      <c r="Y138" s="2">
        <v>-5.0000000000000001E-3</v>
      </c>
      <c r="Z138" s="2">
        <v>0.63300000000000001</v>
      </c>
      <c r="AA138" s="2">
        <v>0.76100000000000001</v>
      </c>
      <c r="AB138" s="2">
        <v>1.8320000000000001</v>
      </c>
      <c r="AC138" s="2">
        <v>0</v>
      </c>
      <c r="AD138" s="2">
        <v>10.44</v>
      </c>
      <c r="AE138" s="2">
        <v>6.2990000000000004</v>
      </c>
      <c r="AF138" s="2">
        <v>0.86599999999999999</v>
      </c>
      <c r="AG138" s="2">
        <v>3.1779999999999999</v>
      </c>
      <c r="AH138" s="2">
        <v>2.1240000000000001</v>
      </c>
      <c r="AI138" s="2">
        <v>7.2939999999999996</v>
      </c>
      <c r="AJ138" s="2">
        <v>8.4000000000000005E-2</v>
      </c>
      <c r="AK138" s="2">
        <v>12.88</v>
      </c>
      <c r="AL138" s="2">
        <v>0.53500000000000003</v>
      </c>
      <c r="AM138" s="2">
        <v>1.825</v>
      </c>
      <c r="AN138" s="2" t="s">
        <v>122</v>
      </c>
      <c r="AO138" s="2">
        <v>102</v>
      </c>
      <c r="AP138" s="2">
        <v>102</v>
      </c>
      <c r="AQ138" s="2">
        <v>194</v>
      </c>
      <c r="AR138" s="2">
        <v>352</v>
      </c>
      <c r="AS138" s="2">
        <v>452</v>
      </c>
      <c r="AT138" s="2">
        <v>658</v>
      </c>
      <c r="AU138" s="2">
        <v>766</v>
      </c>
      <c r="AV138" s="2">
        <v>254</v>
      </c>
      <c r="AW138" s="2"/>
      <c r="AX138" s="1">
        <f t="shared" si="115"/>
        <v>0.71799999999999975</v>
      </c>
      <c r="AY138" s="21">
        <f t="shared" si="116"/>
        <v>0</v>
      </c>
      <c r="AZ138" s="5">
        <v>30.57</v>
      </c>
      <c r="BA138" s="1">
        <v>10.44</v>
      </c>
      <c r="BB138" s="1">
        <v>5.79</v>
      </c>
      <c r="BC138" s="6">
        <f t="shared" si="144"/>
        <v>0.5545977011494253</v>
      </c>
      <c r="BE138" s="30">
        <v>0</v>
      </c>
      <c r="BF138" s="27">
        <v>757.99999999999977</v>
      </c>
      <c r="BG138" s="1">
        <f t="shared" si="117"/>
        <v>95.5</v>
      </c>
      <c r="BH138" s="1">
        <f t="shared" si="118"/>
        <v>76.599999999999994</v>
      </c>
      <c r="BI138" s="1">
        <f t="shared" si="119"/>
        <v>57.8</v>
      </c>
      <c r="BJ138" s="7">
        <f t="shared" si="120"/>
        <v>0.61899999999999999</v>
      </c>
      <c r="BK138" s="7">
        <f t="shared" si="121"/>
        <v>0.45200000000000001</v>
      </c>
      <c r="BL138" s="5"/>
      <c r="BM138" s="5">
        <f t="shared" si="122"/>
        <v>10.44</v>
      </c>
      <c r="BN138" s="5">
        <f t="shared" si="123"/>
        <v>5.79</v>
      </c>
      <c r="BO138" s="1">
        <f t="shared" si="124"/>
        <v>3.7</v>
      </c>
      <c r="BP138" s="1">
        <f t="shared" si="125"/>
        <v>8</v>
      </c>
      <c r="BQ138" s="1">
        <f t="shared" si="126"/>
        <v>0.7</v>
      </c>
      <c r="BR138" s="1">
        <f t="shared" si="127"/>
        <v>76.599999999999994</v>
      </c>
      <c r="BS138" s="1">
        <f t="shared" si="128"/>
        <v>57.8</v>
      </c>
      <c r="BT138" s="1">
        <f t="shared" si="129"/>
        <v>0.9</v>
      </c>
      <c r="BU138" s="1">
        <f t="shared" si="130"/>
        <v>3.2</v>
      </c>
      <c r="BV138" s="33">
        <f t="shared" si="131"/>
        <v>0</v>
      </c>
      <c r="BW138" s="34">
        <f t="shared" si="132"/>
        <v>0.75800000000000001</v>
      </c>
      <c r="BX138" s="20">
        <f t="shared" si="133"/>
        <v>0</v>
      </c>
      <c r="BY138" s="1">
        <f t="shared" si="134"/>
        <v>2.1</v>
      </c>
      <c r="BZ138" s="1">
        <f t="shared" si="135"/>
        <v>7.3</v>
      </c>
      <c r="CA138" s="1">
        <f t="shared" si="136"/>
        <v>0.1</v>
      </c>
      <c r="CB138" s="1">
        <f t="shared" si="137"/>
        <v>0.1</v>
      </c>
      <c r="CC138" s="1">
        <f t="shared" si="138"/>
        <v>0.7</v>
      </c>
      <c r="CD138" s="1">
        <f t="shared" si="139"/>
        <v>0.9</v>
      </c>
      <c r="CE138" s="1" t="str">
        <f t="shared" si="140"/>
        <v>NAN</v>
      </c>
      <c r="CF138" s="1">
        <f t="shared" si="141"/>
        <v>0.61899999999999999</v>
      </c>
      <c r="CG138" s="1">
        <f t="shared" si="142"/>
        <v>0.45200000000000001</v>
      </c>
      <c r="CH138" s="5"/>
      <c r="CI138" s="1">
        <f t="shared" si="106"/>
        <v>2880</v>
      </c>
      <c r="CJ138" s="1">
        <f t="shared" si="107"/>
        <v>3.5000000000000003E-2</v>
      </c>
      <c r="CK138" s="1">
        <f t="shared" si="108"/>
        <v>3.5000000000000003E-2</v>
      </c>
      <c r="CL138" s="1">
        <f t="shared" si="109"/>
        <v>6.7000000000000004E-2</v>
      </c>
      <c r="CM138" s="1">
        <f t="shared" si="110"/>
        <v>0.122</v>
      </c>
      <c r="CN138" s="1">
        <f t="shared" si="111"/>
        <v>0.157</v>
      </c>
      <c r="CO138" s="1">
        <f t="shared" si="112"/>
        <v>0.22800000000000001</v>
      </c>
      <c r="CP138" s="1">
        <f t="shared" si="113"/>
        <v>0.26600000000000001</v>
      </c>
      <c r="CQ138" s="1">
        <f t="shared" si="114"/>
        <v>8.7999999999999995E-2</v>
      </c>
      <c r="CS138" s="1">
        <f t="shared" si="145"/>
        <v>-0.70000000000000018</v>
      </c>
      <c r="CT138" s="1">
        <f t="shared" si="146"/>
        <v>-0.6</v>
      </c>
    </row>
    <row r="139" spans="1:98" x14ac:dyDescent="0.2">
      <c r="A139" s="8">
        <f t="shared" si="143"/>
        <v>43964</v>
      </c>
      <c r="B139" s="1">
        <v>134</v>
      </c>
      <c r="C139" s="1">
        <v>11</v>
      </c>
      <c r="D139" s="2">
        <v>12.96</v>
      </c>
      <c r="E139" s="2">
        <v>10.9</v>
      </c>
      <c r="F139" s="2">
        <v>0.16</v>
      </c>
      <c r="G139" s="2">
        <v>3.7709999999999999</v>
      </c>
      <c r="H139" s="2">
        <v>80.3</v>
      </c>
      <c r="I139" s="2">
        <v>2.5000000000000001E-2</v>
      </c>
      <c r="J139" s="2">
        <v>2.5999999999999999E-2</v>
      </c>
      <c r="K139" s="2">
        <v>7.2999999999999995E-2</v>
      </c>
      <c r="L139" s="2">
        <v>0.71899999999999997</v>
      </c>
      <c r="M139" s="2">
        <v>0.90600000000000003</v>
      </c>
      <c r="N139" s="2">
        <v>11.26</v>
      </c>
      <c r="O139" s="2">
        <v>96.3</v>
      </c>
      <c r="P139" s="2">
        <v>0.111</v>
      </c>
      <c r="Q139" s="2">
        <v>0.125</v>
      </c>
      <c r="R139" s="2">
        <v>0.16700000000000001</v>
      </c>
      <c r="S139" s="2">
        <v>0.81100000000000005</v>
      </c>
      <c r="T139" s="2">
        <v>1.0760000000000001</v>
      </c>
      <c r="U139" s="2">
        <v>1.1060000000000001</v>
      </c>
      <c r="V139" s="2">
        <v>38.4</v>
      </c>
      <c r="W139" s="2">
        <v>-8.1000000000000003E-2</v>
      </c>
      <c r="X139" s="2">
        <v>-6.7000000000000004E-2</v>
      </c>
      <c r="Y139" s="2">
        <v>-2.1000000000000001E-2</v>
      </c>
      <c r="Z139" s="2">
        <v>0.622</v>
      </c>
      <c r="AA139" s="2">
        <v>0.755</v>
      </c>
      <c r="AB139" s="2">
        <v>1.8660000000000001</v>
      </c>
      <c r="AC139" s="2">
        <v>0</v>
      </c>
      <c r="AD139" s="2">
        <v>14.52</v>
      </c>
      <c r="AE139" s="2">
        <v>9.16</v>
      </c>
      <c r="AF139" s="2">
        <v>1.167</v>
      </c>
      <c r="AG139" s="2">
        <v>4.2910000000000004</v>
      </c>
      <c r="AH139" s="2">
        <v>2.194</v>
      </c>
      <c r="AI139" s="2">
        <v>10.210000000000001</v>
      </c>
      <c r="AJ139" s="2">
        <v>-1.276</v>
      </c>
      <c r="AK139" s="2">
        <v>17.22</v>
      </c>
      <c r="AL139" s="2">
        <v>0.31</v>
      </c>
      <c r="AM139" s="2">
        <v>1.861</v>
      </c>
      <c r="AN139" s="2" t="s">
        <v>122</v>
      </c>
      <c r="AO139" s="2">
        <v>351</v>
      </c>
      <c r="AP139" s="2">
        <v>145</v>
      </c>
      <c r="AQ139" s="2">
        <v>175</v>
      </c>
      <c r="AR139" s="2">
        <v>123</v>
      </c>
      <c r="AS139" s="2">
        <v>142</v>
      </c>
      <c r="AT139" s="2">
        <v>479</v>
      </c>
      <c r="AU139" s="2">
        <v>734</v>
      </c>
      <c r="AV139" s="2">
        <v>731</v>
      </c>
      <c r="AW139" s="2"/>
      <c r="AX139" s="1">
        <f t="shared" si="115"/>
        <v>0.68399999999999972</v>
      </c>
      <c r="AY139" s="21">
        <f t="shared" si="116"/>
        <v>0</v>
      </c>
      <c r="AZ139" s="5">
        <v>30.71</v>
      </c>
      <c r="BA139" s="1">
        <v>14.52</v>
      </c>
      <c r="BB139" s="1">
        <v>8.43</v>
      </c>
      <c r="BC139" s="6">
        <f t="shared" si="144"/>
        <v>0.58057851239669422</v>
      </c>
      <c r="BE139" s="30">
        <v>3</v>
      </c>
      <c r="BF139" s="27">
        <v>723.99999999999977</v>
      </c>
      <c r="BG139" s="1">
        <f t="shared" si="117"/>
        <v>96.3</v>
      </c>
      <c r="BH139" s="1">
        <f t="shared" si="118"/>
        <v>80.3</v>
      </c>
      <c r="BI139" s="1">
        <f t="shared" si="119"/>
        <v>38.4</v>
      </c>
      <c r="BJ139" s="7">
        <f t="shared" si="120"/>
        <v>0.51300000000000001</v>
      </c>
      <c r="BK139" s="7">
        <f t="shared" si="121"/>
        <v>0.82299999999999995</v>
      </c>
      <c r="BL139" s="5"/>
      <c r="BM139" s="5">
        <f t="shared" si="122"/>
        <v>14.52</v>
      </c>
      <c r="BN139" s="5">
        <f t="shared" si="123"/>
        <v>8.43</v>
      </c>
      <c r="BO139" s="1">
        <f t="shared" si="124"/>
        <v>3.8</v>
      </c>
      <c r="BP139" s="1">
        <f t="shared" si="125"/>
        <v>11.3</v>
      </c>
      <c r="BQ139" s="1">
        <f t="shared" si="126"/>
        <v>1.1000000000000001</v>
      </c>
      <c r="BR139" s="1">
        <f t="shared" si="127"/>
        <v>80.3</v>
      </c>
      <c r="BS139" s="1">
        <f t="shared" si="128"/>
        <v>38.4</v>
      </c>
      <c r="BT139" s="1">
        <f t="shared" si="129"/>
        <v>1.2</v>
      </c>
      <c r="BU139" s="1">
        <f t="shared" si="130"/>
        <v>4.3</v>
      </c>
      <c r="BV139" s="33">
        <f t="shared" si="131"/>
        <v>3</v>
      </c>
      <c r="BW139" s="34">
        <f t="shared" si="132"/>
        <v>0.72399999999999998</v>
      </c>
      <c r="BX139" s="20">
        <f t="shared" si="133"/>
        <v>0</v>
      </c>
      <c r="BY139" s="1">
        <f t="shared" si="134"/>
        <v>2.2000000000000002</v>
      </c>
      <c r="BZ139" s="1">
        <f t="shared" si="135"/>
        <v>10.199999999999999</v>
      </c>
      <c r="CA139" s="1">
        <f t="shared" si="136"/>
        <v>-1.3</v>
      </c>
      <c r="CB139" s="1">
        <f t="shared" si="137"/>
        <v>0.1</v>
      </c>
      <c r="CC139" s="1">
        <f t="shared" si="138"/>
        <v>0.7</v>
      </c>
      <c r="CD139" s="1">
        <f t="shared" si="139"/>
        <v>0.9</v>
      </c>
      <c r="CE139" s="1" t="str">
        <f t="shared" si="140"/>
        <v>NAN</v>
      </c>
      <c r="CF139" s="1">
        <f t="shared" si="141"/>
        <v>0.51300000000000001</v>
      </c>
      <c r="CG139" s="1">
        <f t="shared" si="142"/>
        <v>0.82299999999999995</v>
      </c>
      <c r="CH139" s="5"/>
      <c r="CI139" s="1">
        <f t="shared" si="106"/>
        <v>2880</v>
      </c>
      <c r="CJ139" s="1">
        <f t="shared" si="107"/>
        <v>0.122</v>
      </c>
      <c r="CK139" s="1">
        <f t="shared" si="108"/>
        <v>0.05</v>
      </c>
      <c r="CL139" s="1">
        <f t="shared" si="109"/>
        <v>6.0999999999999999E-2</v>
      </c>
      <c r="CM139" s="1">
        <f t="shared" si="110"/>
        <v>4.2999999999999997E-2</v>
      </c>
      <c r="CN139" s="1">
        <f t="shared" si="111"/>
        <v>4.9000000000000002E-2</v>
      </c>
      <c r="CO139" s="1">
        <f t="shared" si="112"/>
        <v>0.16600000000000001</v>
      </c>
      <c r="CP139" s="1">
        <f t="shared" si="113"/>
        <v>0.255</v>
      </c>
      <c r="CQ139" s="1">
        <f t="shared" si="114"/>
        <v>0.254</v>
      </c>
      <c r="CS139" s="1">
        <f t="shared" si="145"/>
        <v>-1.1000000000000014</v>
      </c>
      <c r="CT139" s="1">
        <f t="shared" si="146"/>
        <v>-2.4000000000000004</v>
      </c>
    </row>
    <row r="140" spans="1:98" x14ac:dyDescent="0.2">
      <c r="A140" s="8">
        <f t="shared" si="143"/>
        <v>43965</v>
      </c>
      <c r="B140" s="1">
        <v>135</v>
      </c>
      <c r="C140" s="1">
        <v>11</v>
      </c>
      <c r="D140" s="2">
        <v>13.09</v>
      </c>
      <c r="E140" s="2">
        <v>11.22</v>
      </c>
      <c r="F140" s="2">
        <v>-0.79800000000000004</v>
      </c>
      <c r="G140" s="2">
        <v>3.2810000000000001</v>
      </c>
      <c r="H140" s="2">
        <v>84.4</v>
      </c>
      <c r="I140" s="2">
        <v>1.7999999999999999E-2</v>
      </c>
      <c r="J140" s="2">
        <v>1.7999999999999999E-2</v>
      </c>
      <c r="K140" s="2">
        <v>6.8000000000000005E-2</v>
      </c>
      <c r="L140" s="2">
        <v>0.70899999999999996</v>
      </c>
      <c r="M140" s="2">
        <v>0.86599999999999999</v>
      </c>
      <c r="N140" s="2">
        <v>10.44</v>
      </c>
      <c r="O140" s="2">
        <v>96.5</v>
      </c>
      <c r="P140" s="2">
        <v>0.13300000000000001</v>
      </c>
      <c r="Q140" s="2">
        <v>0.114</v>
      </c>
      <c r="R140" s="2">
        <v>0.16800000000000001</v>
      </c>
      <c r="S140" s="2">
        <v>0.80500000000000005</v>
      </c>
      <c r="T140" s="2">
        <v>1.038</v>
      </c>
      <c r="U140" s="2">
        <v>-0.28499999999999998</v>
      </c>
      <c r="V140" s="2">
        <v>44.61</v>
      </c>
      <c r="W140" s="2">
        <v>-8.3000000000000004E-2</v>
      </c>
      <c r="X140" s="2">
        <v>-7.4999999999999997E-2</v>
      </c>
      <c r="Y140" s="2">
        <v>-3.1E-2</v>
      </c>
      <c r="Z140" s="2">
        <v>0.60699999999999998</v>
      </c>
      <c r="AA140" s="2">
        <v>0.72</v>
      </c>
      <c r="AB140" s="2">
        <v>1.8979999999999999</v>
      </c>
      <c r="AC140" s="2">
        <v>0</v>
      </c>
      <c r="AD140" s="2">
        <v>14.77</v>
      </c>
      <c r="AE140" s="2">
        <v>9.01</v>
      </c>
      <c r="AF140" s="2">
        <v>0.74099999999999999</v>
      </c>
      <c r="AG140" s="2">
        <v>3.4470000000000001</v>
      </c>
      <c r="AH140" s="2">
        <v>1.881</v>
      </c>
      <c r="AI140" s="2">
        <v>9.7100000000000009</v>
      </c>
      <c r="AJ140" s="2">
        <v>-1.286</v>
      </c>
      <c r="AK140" s="2">
        <v>16.61</v>
      </c>
      <c r="AL140" s="2">
        <v>-0.84099999999999997</v>
      </c>
      <c r="AM140" s="2">
        <v>1.893</v>
      </c>
      <c r="AN140" s="2" t="s">
        <v>122</v>
      </c>
      <c r="AO140" s="2">
        <v>15</v>
      </c>
      <c r="AP140" s="2">
        <v>28</v>
      </c>
      <c r="AQ140" s="2">
        <v>573</v>
      </c>
      <c r="AR140" s="2">
        <v>414</v>
      </c>
      <c r="AS140" s="2">
        <v>268</v>
      </c>
      <c r="AT140" s="2">
        <v>864</v>
      </c>
      <c r="AU140" s="2">
        <v>619</v>
      </c>
      <c r="AV140" s="2">
        <v>99</v>
      </c>
      <c r="AW140" s="2"/>
      <c r="AX140" s="1">
        <f t="shared" si="115"/>
        <v>0.65199999999999991</v>
      </c>
      <c r="AY140" s="21">
        <f t="shared" si="116"/>
        <v>0</v>
      </c>
      <c r="AZ140" s="5">
        <v>30.86</v>
      </c>
      <c r="BA140" s="1">
        <v>14.77</v>
      </c>
      <c r="BB140" s="1">
        <v>8.2899999999999991</v>
      </c>
      <c r="BC140" s="6">
        <f t="shared" si="144"/>
        <v>0.5612728503723764</v>
      </c>
      <c r="BE140" s="30">
        <v>0</v>
      </c>
      <c r="BF140" s="27">
        <v>692</v>
      </c>
      <c r="BG140" s="1">
        <f t="shared" si="117"/>
        <v>96.5</v>
      </c>
      <c r="BH140" s="1">
        <f t="shared" si="118"/>
        <v>84.4</v>
      </c>
      <c r="BI140" s="1">
        <f t="shared" si="119"/>
        <v>44.6</v>
      </c>
      <c r="BJ140" s="7">
        <f t="shared" si="120"/>
        <v>0.56399999999999995</v>
      </c>
      <c r="BK140" s="7">
        <f t="shared" si="121"/>
        <v>0.70099999999999996</v>
      </c>
      <c r="BM140" s="5">
        <f t="shared" si="122"/>
        <v>14.77</v>
      </c>
      <c r="BN140" s="5">
        <f t="shared" si="123"/>
        <v>8.2899999999999991</v>
      </c>
      <c r="BO140" s="1">
        <f t="shared" si="124"/>
        <v>3.3</v>
      </c>
      <c r="BP140" s="1">
        <f t="shared" si="125"/>
        <v>10.4</v>
      </c>
      <c r="BQ140" s="1">
        <f t="shared" si="126"/>
        <v>-0.3</v>
      </c>
      <c r="BR140" s="1">
        <f t="shared" si="127"/>
        <v>84.4</v>
      </c>
      <c r="BS140" s="1">
        <f t="shared" si="128"/>
        <v>44.6</v>
      </c>
      <c r="BT140" s="1">
        <f t="shared" si="129"/>
        <v>0.7</v>
      </c>
      <c r="BU140" s="1">
        <f t="shared" si="130"/>
        <v>3.4</v>
      </c>
      <c r="BV140" s="33">
        <f t="shared" si="131"/>
        <v>0</v>
      </c>
      <c r="BW140" s="34">
        <f t="shared" si="132"/>
        <v>0.69199999999999995</v>
      </c>
      <c r="BX140" s="20">
        <f t="shared" si="133"/>
        <v>0</v>
      </c>
      <c r="BY140" s="1">
        <f t="shared" si="134"/>
        <v>1.9</v>
      </c>
      <c r="BZ140" s="1">
        <f t="shared" si="135"/>
        <v>9.6999999999999993</v>
      </c>
      <c r="CA140" s="1">
        <f t="shared" si="136"/>
        <v>-1.3</v>
      </c>
      <c r="CB140" s="1">
        <f t="shared" si="137"/>
        <v>0.1</v>
      </c>
      <c r="CC140" s="1">
        <f t="shared" si="138"/>
        <v>0.7</v>
      </c>
      <c r="CD140" s="1">
        <f t="shared" si="139"/>
        <v>0.9</v>
      </c>
      <c r="CE140" s="1" t="str">
        <f t="shared" si="140"/>
        <v>NAN</v>
      </c>
      <c r="CF140" s="1">
        <f t="shared" si="141"/>
        <v>0.56399999999999995</v>
      </c>
      <c r="CG140" s="1">
        <f t="shared" si="142"/>
        <v>0.70099999999999996</v>
      </c>
      <c r="CI140" s="1">
        <f t="shared" si="106"/>
        <v>2880</v>
      </c>
      <c r="CJ140" s="1">
        <f t="shared" si="107"/>
        <v>5.0000000000000001E-3</v>
      </c>
      <c r="CK140" s="1">
        <f t="shared" si="108"/>
        <v>0.01</v>
      </c>
      <c r="CL140" s="1">
        <f t="shared" si="109"/>
        <v>0.19900000000000001</v>
      </c>
      <c r="CM140" s="1">
        <f t="shared" si="110"/>
        <v>0.14399999999999999</v>
      </c>
      <c r="CN140" s="1">
        <f t="shared" si="111"/>
        <v>9.2999999999999999E-2</v>
      </c>
      <c r="CO140" s="1">
        <f t="shared" si="112"/>
        <v>0.3</v>
      </c>
      <c r="CP140" s="1">
        <f t="shared" si="113"/>
        <v>0.215</v>
      </c>
      <c r="CQ140" s="1">
        <f t="shared" si="114"/>
        <v>3.4000000000000002E-2</v>
      </c>
      <c r="CS140" s="1">
        <f t="shared" si="145"/>
        <v>-0.70000000000000107</v>
      </c>
      <c r="CT140" s="1">
        <f t="shared" si="146"/>
        <v>-1</v>
      </c>
    </row>
    <row r="141" spans="1:98" x14ac:dyDescent="0.2">
      <c r="A141" s="8">
        <f t="shared" si="143"/>
        <v>43966</v>
      </c>
      <c r="B141" s="1">
        <v>136</v>
      </c>
      <c r="C141" s="1">
        <v>11</v>
      </c>
      <c r="D141" s="2">
        <v>13.11</v>
      </c>
      <c r="E141" s="2">
        <v>9.6199999999999992</v>
      </c>
      <c r="F141" s="2">
        <v>-2.2480000000000002</v>
      </c>
      <c r="G141" s="2">
        <v>3.9020000000000001</v>
      </c>
      <c r="H141" s="2">
        <v>81.099999999999994</v>
      </c>
      <c r="I141" s="2">
        <v>1.9E-2</v>
      </c>
      <c r="J141" s="2">
        <v>1.9E-2</v>
      </c>
      <c r="K141" s="2">
        <v>6.7000000000000004E-2</v>
      </c>
      <c r="L141" s="2">
        <v>0.68600000000000005</v>
      </c>
      <c r="M141" s="2">
        <v>0.88600000000000001</v>
      </c>
      <c r="N141" s="2">
        <v>9.8699999999999992</v>
      </c>
      <c r="O141" s="2">
        <v>96.1</v>
      </c>
      <c r="P141" s="2">
        <v>0.11899999999999999</v>
      </c>
      <c r="Q141" s="2">
        <v>0.11600000000000001</v>
      </c>
      <c r="R141" s="2">
        <v>0.159</v>
      </c>
      <c r="S141" s="2">
        <v>0.76600000000000001</v>
      </c>
      <c r="T141" s="2">
        <v>1.0529999999999999</v>
      </c>
      <c r="U141" s="2">
        <v>-0.44800000000000001</v>
      </c>
      <c r="V141" s="2">
        <v>52.44</v>
      </c>
      <c r="W141" s="2">
        <v>-0.09</v>
      </c>
      <c r="X141" s="2">
        <v>-7.2999999999999995E-2</v>
      </c>
      <c r="Y141" s="2">
        <v>-0.03</v>
      </c>
      <c r="Z141" s="2">
        <v>0.59899999999999998</v>
      </c>
      <c r="AA141" s="2">
        <v>0.73099999999999998</v>
      </c>
      <c r="AB141" s="2">
        <v>1.9239999999999999</v>
      </c>
      <c r="AC141" s="2">
        <v>0</v>
      </c>
      <c r="AD141" s="2">
        <v>11.88</v>
      </c>
      <c r="AE141" s="2">
        <v>7.4530000000000003</v>
      </c>
      <c r="AF141" s="2">
        <v>0.70699999999999996</v>
      </c>
      <c r="AG141" s="2">
        <v>2.6859999999999999</v>
      </c>
      <c r="AH141" s="2">
        <v>2.1150000000000002</v>
      </c>
      <c r="AI141" s="2">
        <v>9.94</v>
      </c>
      <c r="AJ141" s="2">
        <v>-2.2989999999999999</v>
      </c>
      <c r="AK141" s="2">
        <v>15.93</v>
      </c>
      <c r="AL141" s="2">
        <v>-1.042</v>
      </c>
      <c r="AM141" s="2">
        <v>1.9159999999999999</v>
      </c>
      <c r="AN141" s="2" t="s">
        <v>122</v>
      </c>
      <c r="AO141" s="2">
        <v>155</v>
      </c>
      <c r="AP141" s="2">
        <v>229</v>
      </c>
      <c r="AQ141" s="2">
        <v>509</v>
      </c>
      <c r="AR141" s="2">
        <v>188</v>
      </c>
      <c r="AS141" s="2">
        <v>463</v>
      </c>
      <c r="AT141" s="2">
        <v>713</v>
      </c>
      <c r="AU141" s="2">
        <v>417</v>
      </c>
      <c r="AV141" s="2">
        <v>206</v>
      </c>
      <c r="AW141" s="2"/>
      <c r="AX141" s="1">
        <f t="shared" si="115"/>
        <v>0.62599999999999989</v>
      </c>
      <c r="AY141" s="21">
        <f t="shared" si="116"/>
        <v>0</v>
      </c>
      <c r="AZ141" s="5">
        <v>31</v>
      </c>
      <c r="BA141" s="1">
        <v>11.88</v>
      </c>
      <c r="BB141" s="1">
        <v>6.86</v>
      </c>
      <c r="BC141" s="6">
        <f t="shared" si="144"/>
        <v>0.57744107744107742</v>
      </c>
      <c r="BE141" s="30">
        <v>0</v>
      </c>
      <c r="BF141" s="27">
        <v>665.99999999999989</v>
      </c>
      <c r="BG141" s="1">
        <f t="shared" si="117"/>
        <v>96.1</v>
      </c>
      <c r="BH141" s="1">
        <f t="shared" si="118"/>
        <v>81.099999999999994</v>
      </c>
      <c r="BI141" s="1">
        <f t="shared" si="119"/>
        <v>52.4</v>
      </c>
      <c r="BJ141" s="7">
        <f t="shared" si="120"/>
        <v>0.63800000000000001</v>
      </c>
      <c r="BK141" s="7">
        <f t="shared" si="121"/>
        <v>0.57999999999999996</v>
      </c>
      <c r="BM141" s="5">
        <f t="shared" si="122"/>
        <v>11.88</v>
      </c>
      <c r="BN141" s="5">
        <f t="shared" si="123"/>
        <v>6.86</v>
      </c>
      <c r="BO141" s="1">
        <f t="shared" si="124"/>
        <v>3.9</v>
      </c>
      <c r="BP141" s="1">
        <f t="shared" si="125"/>
        <v>9.9</v>
      </c>
      <c r="BQ141" s="1">
        <f t="shared" si="126"/>
        <v>-0.4</v>
      </c>
      <c r="BR141" s="1">
        <f t="shared" si="127"/>
        <v>81.099999999999994</v>
      </c>
      <c r="BS141" s="1">
        <f t="shared" si="128"/>
        <v>52.4</v>
      </c>
      <c r="BT141" s="1">
        <f t="shared" si="129"/>
        <v>0.7</v>
      </c>
      <c r="BU141" s="1">
        <f t="shared" si="130"/>
        <v>2.7</v>
      </c>
      <c r="BV141" s="33">
        <f t="shared" si="131"/>
        <v>0</v>
      </c>
      <c r="BW141" s="34">
        <f t="shared" si="132"/>
        <v>0.66600000000000004</v>
      </c>
      <c r="BX141" s="20">
        <f t="shared" si="133"/>
        <v>0</v>
      </c>
      <c r="BY141" s="1">
        <f t="shared" si="134"/>
        <v>2.1</v>
      </c>
      <c r="BZ141" s="1">
        <f t="shared" si="135"/>
        <v>9.9</v>
      </c>
      <c r="CA141" s="1">
        <f t="shared" si="136"/>
        <v>-2.2999999999999998</v>
      </c>
      <c r="CB141" s="1">
        <f t="shared" si="137"/>
        <v>0.1</v>
      </c>
      <c r="CC141" s="1">
        <f t="shared" si="138"/>
        <v>0.7</v>
      </c>
      <c r="CD141" s="1">
        <f t="shared" si="139"/>
        <v>0.9</v>
      </c>
      <c r="CE141" s="1" t="str">
        <f t="shared" si="140"/>
        <v>NAN</v>
      </c>
      <c r="CF141" s="1">
        <f t="shared" si="141"/>
        <v>0.63800000000000001</v>
      </c>
      <c r="CG141" s="1">
        <f t="shared" si="142"/>
        <v>0.57999999999999996</v>
      </c>
      <c r="CI141" s="1">
        <f t="shared" si="106"/>
        <v>2880</v>
      </c>
      <c r="CJ141" s="1">
        <f t="shared" si="107"/>
        <v>5.3999999999999999E-2</v>
      </c>
      <c r="CK141" s="1">
        <f t="shared" si="108"/>
        <v>0.08</v>
      </c>
      <c r="CL141" s="1">
        <f t="shared" si="109"/>
        <v>0.17699999999999999</v>
      </c>
      <c r="CM141" s="1">
        <f t="shared" si="110"/>
        <v>6.5000000000000002E-2</v>
      </c>
      <c r="CN141" s="1">
        <f t="shared" si="111"/>
        <v>0.161</v>
      </c>
      <c r="CO141" s="1">
        <f t="shared" si="112"/>
        <v>0.248</v>
      </c>
      <c r="CP141" s="1">
        <f t="shared" si="113"/>
        <v>0.14499999999999999</v>
      </c>
      <c r="CQ141" s="1">
        <f t="shared" si="114"/>
        <v>7.1999999999999995E-2</v>
      </c>
      <c r="CS141" s="1">
        <f t="shared" si="145"/>
        <v>0</v>
      </c>
      <c r="CT141" s="1">
        <f t="shared" si="146"/>
        <v>-1.9</v>
      </c>
    </row>
    <row r="142" spans="1:98" x14ac:dyDescent="0.2">
      <c r="A142" s="8">
        <f t="shared" si="143"/>
        <v>43967</v>
      </c>
      <c r="B142" s="1">
        <v>137</v>
      </c>
      <c r="C142" s="1">
        <v>11</v>
      </c>
      <c r="D142" s="2">
        <v>12.98</v>
      </c>
      <c r="E142" s="2">
        <v>7.8390000000000004</v>
      </c>
      <c r="F142" s="2">
        <v>-0.18099999999999999</v>
      </c>
      <c r="G142" s="2">
        <v>3.7149999999999999</v>
      </c>
      <c r="H142" s="2">
        <v>84.3</v>
      </c>
      <c r="I142" s="2">
        <v>2.4E-2</v>
      </c>
      <c r="J142" s="2">
        <v>2.3E-2</v>
      </c>
      <c r="K142" s="2">
        <v>7.3999999999999996E-2</v>
      </c>
      <c r="L142" s="2">
        <v>0.68799999999999994</v>
      </c>
      <c r="M142" s="2">
        <v>0.91300000000000003</v>
      </c>
      <c r="N142" s="2">
        <v>8.11</v>
      </c>
      <c r="O142" s="2">
        <v>95.9</v>
      </c>
      <c r="P142" s="2">
        <v>0.114</v>
      </c>
      <c r="Q142" s="2">
        <v>0.11</v>
      </c>
      <c r="R142" s="2">
        <v>0.157</v>
      </c>
      <c r="S142" s="2">
        <v>0.77400000000000002</v>
      </c>
      <c r="T142" s="2">
        <v>1.018</v>
      </c>
      <c r="U142" s="2">
        <v>1.4119999999999999</v>
      </c>
      <c r="V142" s="2">
        <v>58.9</v>
      </c>
      <c r="W142" s="2">
        <v>-5.7000000000000002E-2</v>
      </c>
      <c r="X142" s="2">
        <v>-5.2999999999999999E-2</v>
      </c>
      <c r="Y142" s="2">
        <v>-8.9999999999999993E-3</v>
      </c>
      <c r="Z142" s="2">
        <v>0.59499999999999997</v>
      </c>
      <c r="AA142" s="2">
        <v>0.82099999999999995</v>
      </c>
      <c r="AB142" s="2">
        <v>1.944</v>
      </c>
      <c r="AC142" s="2">
        <v>0</v>
      </c>
      <c r="AD142" s="2">
        <v>9.02</v>
      </c>
      <c r="AE142" s="2">
        <v>5.4029999999999996</v>
      </c>
      <c r="AF142" s="2">
        <v>2.0649999999999999</v>
      </c>
      <c r="AG142" s="2">
        <v>4.2629999999999999</v>
      </c>
      <c r="AH142" s="2">
        <v>1.7070000000000001</v>
      </c>
      <c r="AI142" s="2">
        <v>5.8179999999999996</v>
      </c>
      <c r="AJ142" s="2">
        <v>-0.84899999999999998</v>
      </c>
      <c r="AK142" s="2">
        <v>10.84</v>
      </c>
      <c r="AL142" s="2">
        <v>1.208</v>
      </c>
      <c r="AM142" s="2">
        <v>1.9319999999999999</v>
      </c>
      <c r="AN142" s="2" t="s">
        <v>122</v>
      </c>
      <c r="AO142" s="2">
        <v>7</v>
      </c>
      <c r="AP142" s="2">
        <v>4</v>
      </c>
      <c r="AQ142" s="2">
        <v>15</v>
      </c>
      <c r="AR142" s="2">
        <v>104</v>
      </c>
      <c r="AS142" s="2">
        <v>789</v>
      </c>
      <c r="AT142" s="2">
        <v>1539</v>
      </c>
      <c r="AU142" s="2">
        <v>394</v>
      </c>
      <c r="AV142" s="2">
        <v>28</v>
      </c>
      <c r="AW142" s="2"/>
      <c r="AX142" s="1">
        <f t="shared" si="115"/>
        <v>0.60599999999999987</v>
      </c>
      <c r="AY142" s="21">
        <f t="shared" si="116"/>
        <v>0</v>
      </c>
      <c r="AZ142" s="5">
        <v>31.14</v>
      </c>
      <c r="BA142" s="1">
        <v>9.02</v>
      </c>
      <c r="BB142" s="1">
        <v>4.97</v>
      </c>
      <c r="BC142" s="6">
        <f t="shared" si="144"/>
        <v>0.5509977827050998</v>
      </c>
      <c r="BE142" s="30">
        <v>2</v>
      </c>
      <c r="BF142" s="27">
        <v>645.99999999999989</v>
      </c>
      <c r="BG142" s="1">
        <f t="shared" si="117"/>
        <v>95.9</v>
      </c>
      <c r="BH142" s="1">
        <f t="shared" si="118"/>
        <v>84.3</v>
      </c>
      <c r="BI142" s="1">
        <f t="shared" si="119"/>
        <v>58.9</v>
      </c>
      <c r="BJ142" s="7">
        <f t="shared" si="120"/>
        <v>0.63600000000000001</v>
      </c>
      <c r="BK142" s="7">
        <f t="shared" si="121"/>
        <v>0.44400000000000001</v>
      </c>
      <c r="BM142" s="5">
        <f t="shared" si="122"/>
        <v>9.02</v>
      </c>
      <c r="BN142" s="5">
        <f t="shared" si="123"/>
        <v>4.97</v>
      </c>
      <c r="BO142" s="1">
        <f t="shared" si="124"/>
        <v>3.7</v>
      </c>
      <c r="BP142" s="1">
        <f t="shared" si="125"/>
        <v>8.1</v>
      </c>
      <c r="BQ142" s="1">
        <f t="shared" si="126"/>
        <v>1.4</v>
      </c>
      <c r="BR142" s="1">
        <f t="shared" si="127"/>
        <v>84.3</v>
      </c>
      <c r="BS142" s="1">
        <f t="shared" si="128"/>
        <v>58.9</v>
      </c>
      <c r="BT142" s="1">
        <f t="shared" si="129"/>
        <v>2.1</v>
      </c>
      <c r="BU142" s="1">
        <f t="shared" si="130"/>
        <v>4.3</v>
      </c>
      <c r="BV142" s="33">
        <f t="shared" si="131"/>
        <v>2</v>
      </c>
      <c r="BW142" s="34">
        <f t="shared" si="132"/>
        <v>0.64600000000000002</v>
      </c>
      <c r="BX142" s="20">
        <f t="shared" si="133"/>
        <v>0</v>
      </c>
      <c r="BY142" s="1">
        <f t="shared" si="134"/>
        <v>1.7</v>
      </c>
      <c r="BZ142" s="1">
        <f t="shared" si="135"/>
        <v>5.8</v>
      </c>
      <c r="CA142" s="1">
        <f t="shared" si="136"/>
        <v>-0.8</v>
      </c>
      <c r="CB142" s="1">
        <f t="shared" si="137"/>
        <v>0.1</v>
      </c>
      <c r="CC142" s="1">
        <f t="shared" si="138"/>
        <v>0.7</v>
      </c>
      <c r="CD142" s="1">
        <f t="shared" si="139"/>
        <v>0.9</v>
      </c>
      <c r="CE142" s="1" t="str">
        <f t="shared" si="140"/>
        <v>NAN</v>
      </c>
      <c r="CF142" s="1">
        <f t="shared" si="141"/>
        <v>0.63600000000000001</v>
      </c>
      <c r="CG142" s="1">
        <f t="shared" si="142"/>
        <v>0.44400000000000001</v>
      </c>
      <c r="CI142" s="1">
        <f t="shared" si="106"/>
        <v>2880</v>
      </c>
      <c r="CJ142" s="1">
        <f t="shared" si="107"/>
        <v>2E-3</v>
      </c>
      <c r="CK142" s="1">
        <f t="shared" si="108"/>
        <v>1E-3</v>
      </c>
      <c r="CL142" s="1">
        <f t="shared" si="109"/>
        <v>5.0000000000000001E-3</v>
      </c>
      <c r="CM142" s="1">
        <f t="shared" si="110"/>
        <v>3.5999999999999997E-2</v>
      </c>
      <c r="CN142" s="1">
        <f t="shared" si="111"/>
        <v>0.27400000000000002</v>
      </c>
      <c r="CO142" s="1">
        <f t="shared" si="112"/>
        <v>0.53400000000000003</v>
      </c>
      <c r="CP142" s="1">
        <f t="shared" si="113"/>
        <v>0.13700000000000001</v>
      </c>
      <c r="CQ142" s="1">
        <f t="shared" si="114"/>
        <v>0.01</v>
      </c>
      <c r="CS142" s="1">
        <f t="shared" si="145"/>
        <v>-2.2999999999999998</v>
      </c>
      <c r="CT142" s="1">
        <f t="shared" si="146"/>
        <v>-2.2000000000000002</v>
      </c>
    </row>
    <row r="143" spans="1:98" x14ac:dyDescent="0.2">
      <c r="A143" s="8">
        <f t="shared" si="143"/>
        <v>43968</v>
      </c>
      <c r="B143" s="1">
        <v>138</v>
      </c>
      <c r="C143" s="1">
        <v>11</v>
      </c>
      <c r="D143" s="2">
        <v>12.94</v>
      </c>
      <c r="E143" s="2">
        <v>12.28</v>
      </c>
      <c r="F143" s="2">
        <v>0.60799999999999998</v>
      </c>
      <c r="G143" s="2">
        <v>3.26</v>
      </c>
      <c r="H143" s="2">
        <v>92.5</v>
      </c>
      <c r="I143" s="2">
        <v>2.3E-2</v>
      </c>
      <c r="J143" s="2">
        <v>0.02</v>
      </c>
      <c r="K143" s="2">
        <v>7.1999999999999995E-2</v>
      </c>
      <c r="L143" s="2">
        <v>0.69599999999999995</v>
      </c>
      <c r="M143" s="2">
        <v>0.86399999999999999</v>
      </c>
      <c r="N143" s="2">
        <v>11.43</v>
      </c>
      <c r="O143" s="2">
        <v>96.9</v>
      </c>
      <c r="P143" s="2">
        <v>9.8000000000000004E-2</v>
      </c>
      <c r="Q143" s="2">
        <v>0.1</v>
      </c>
      <c r="R143" s="2">
        <v>0.17699999999999999</v>
      </c>
      <c r="S143" s="2">
        <v>0.78600000000000003</v>
      </c>
      <c r="T143" s="2">
        <v>1.032</v>
      </c>
      <c r="U143" s="2">
        <v>0.76700000000000002</v>
      </c>
      <c r="V143" s="2">
        <v>56.65</v>
      </c>
      <c r="W143" s="2">
        <v>-9.1999999999999998E-2</v>
      </c>
      <c r="X143" s="2">
        <v>-7.9000000000000001E-2</v>
      </c>
      <c r="Y143" s="2">
        <v>-3.2000000000000001E-2</v>
      </c>
      <c r="Z143" s="2">
        <v>0.60699999999999998</v>
      </c>
      <c r="AA143" s="2">
        <v>0.69599999999999995</v>
      </c>
      <c r="AB143" s="2">
        <v>1.97</v>
      </c>
      <c r="AC143" s="2">
        <v>0</v>
      </c>
      <c r="AD143" s="2">
        <v>8.23</v>
      </c>
      <c r="AE143" s="2">
        <v>4.5460000000000003</v>
      </c>
      <c r="AF143" s="2">
        <v>1.0669999999999999</v>
      </c>
      <c r="AG143" s="2">
        <v>4.2190000000000003</v>
      </c>
      <c r="AH143" s="2">
        <v>1.853</v>
      </c>
      <c r="AI143" s="2">
        <v>10.45</v>
      </c>
      <c r="AJ143" s="2">
        <v>2.9000000000000001E-2</v>
      </c>
      <c r="AK143" s="2">
        <v>17.79</v>
      </c>
      <c r="AL143" s="2">
        <v>0.23699999999999999</v>
      </c>
      <c r="AM143" s="2">
        <v>1.9650000000000001</v>
      </c>
      <c r="AN143" s="2" t="s">
        <v>122</v>
      </c>
      <c r="AO143" s="2">
        <v>82</v>
      </c>
      <c r="AP143" s="2">
        <v>118</v>
      </c>
      <c r="AQ143" s="2">
        <v>175</v>
      </c>
      <c r="AR143" s="2">
        <v>244</v>
      </c>
      <c r="AS143" s="2">
        <v>604</v>
      </c>
      <c r="AT143" s="2">
        <v>1032</v>
      </c>
      <c r="AU143" s="2">
        <v>489</v>
      </c>
      <c r="AV143" s="2">
        <v>136</v>
      </c>
      <c r="AW143" s="2"/>
      <c r="AX143" s="1">
        <f t="shared" si="115"/>
        <v>0.57999999999999985</v>
      </c>
      <c r="AY143" s="21">
        <f t="shared" si="116"/>
        <v>0</v>
      </c>
      <c r="AZ143" s="5">
        <v>31.27</v>
      </c>
      <c r="BA143" s="1">
        <v>8.23</v>
      </c>
      <c r="BB143" s="1">
        <v>4.18</v>
      </c>
      <c r="BC143" s="6">
        <f t="shared" si="144"/>
        <v>0.50789793438639119</v>
      </c>
      <c r="BE143" s="30">
        <v>24</v>
      </c>
      <c r="BF143" s="27">
        <v>619.99999999999989</v>
      </c>
      <c r="BG143" s="1">
        <f t="shared" si="117"/>
        <v>96.9</v>
      </c>
      <c r="BH143" s="1">
        <f t="shared" si="118"/>
        <v>92.5</v>
      </c>
      <c r="BI143" s="1">
        <f t="shared" si="119"/>
        <v>56.7</v>
      </c>
      <c r="BJ143" s="7">
        <f t="shared" si="120"/>
        <v>0.76600000000000001</v>
      </c>
      <c r="BK143" s="7">
        <f t="shared" si="121"/>
        <v>0.58499999999999996</v>
      </c>
      <c r="BL143" s="5"/>
      <c r="BM143" s="5">
        <f t="shared" si="122"/>
        <v>8.23</v>
      </c>
      <c r="BN143" s="5">
        <f t="shared" si="123"/>
        <v>4.18</v>
      </c>
      <c r="BO143" s="1">
        <f t="shared" si="124"/>
        <v>3.3</v>
      </c>
      <c r="BP143" s="1">
        <f t="shared" si="125"/>
        <v>11.4</v>
      </c>
      <c r="BQ143" s="1">
        <f t="shared" si="126"/>
        <v>0.8</v>
      </c>
      <c r="BR143" s="1">
        <f t="shared" si="127"/>
        <v>92.5</v>
      </c>
      <c r="BS143" s="1">
        <f t="shared" si="128"/>
        <v>56.7</v>
      </c>
      <c r="BT143" s="1">
        <f t="shared" si="129"/>
        <v>1.1000000000000001</v>
      </c>
      <c r="BU143" s="1">
        <f t="shared" si="130"/>
        <v>4.2</v>
      </c>
      <c r="BV143" s="33">
        <f t="shared" si="131"/>
        <v>24</v>
      </c>
      <c r="BW143" s="34">
        <f t="shared" si="132"/>
        <v>0.62</v>
      </c>
      <c r="BX143" s="20">
        <f t="shared" si="133"/>
        <v>0</v>
      </c>
      <c r="BY143" s="1">
        <f t="shared" si="134"/>
        <v>1.9</v>
      </c>
      <c r="BZ143" s="1">
        <f t="shared" si="135"/>
        <v>10.5</v>
      </c>
      <c r="CA143" s="1">
        <f t="shared" si="136"/>
        <v>0</v>
      </c>
      <c r="CB143" s="1">
        <f t="shared" si="137"/>
        <v>0.1</v>
      </c>
      <c r="CC143" s="1">
        <f t="shared" si="138"/>
        <v>0.7</v>
      </c>
      <c r="CD143" s="1">
        <f t="shared" si="139"/>
        <v>0.9</v>
      </c>
      <c r="CE143" s="1" t="str">
        <f t="shared" si="140"/>
        <v>NAN</v>
      </c>
      <c r="CF143" s="1">
        <f t="shared" si="141"/>
        <v>0.76600000000000001</v>
      </c>
      <c r="CG143" s="1">
        <f t="shared" si="142"/>
        <v>0.58499999999999996</v>
      </c>
      <c r="CH143" s="5"/>
      <c r="CI143" s="1">
        <f t="shared" si="106"/>
        <v>2880</v>
      </c>
      <c r="CJ143" s="1">
        <f t="shared" si="107"/>
        <v>2.8000000000000001E-2</v>
      </c>
      <c r="CK143" s="1">
        <f t="shared" si="108"/>
        <v>4.1000000000000002E-2</v>
      </c>
      <c r="CL143" s="1">
        <f t="shared" si="109"/>
        <v>6.0999999999999999E-2</v>
      </c>
      <c r="CM143" s="1">
        <f t="shared" si="110"/>
        <v>8.5000000000000006E-2</v>
      </c>
      <c r="CN143" s="1">
        <f t="shared" si="111"/>
        <v>0.21</v>
      </c>
      <c r="CO143" s="1">
        <f t="shared" si="112"/>
        <v>0.35799999999999998</v>
      </c>
      <c r="CP143" s="1">
        <f t="shared" si="113"/>
        <v>0.17</v>
      </c>
      <c r="CQ143" s="1">
        <f t="shared" si="114"/>
        <v>4.7E-2</v>
      </c>
      <c r="CS143" s="1">
        <f t="shared" si="145"/>
        <v>-0.90000000000000036</v>
      </c>
      <c r="CT143" s="1">
        <f t="shared" si="146"/>
        <v>-0.8</v>
      </c>
    </row>
    <row r="144" spans="1:98" x14ac:dyDescent="0.2">
      <c r="A144" s="8">
        <f t="shared" si="143"/>
        <v>43969</v>
      </c>
      <c r="B144" s="1">
        <v>139</v>
      </c>
      <c r="C144" s="1">
        <v>11</v>
      </c>
      <c r="D144" s="2">
        <v>13.05</v>
      </c>
      <c r="E144" s="2">
        <v>13.3</v>
      </c>
      <c r="F144" s="2">
        <v>-1.48</v>
      </c>
      <c r="G144" s="2">
        <v>4.3339999999999996</v>
      </c>
      <c r="H144" s="2">
        <v>83.5</v>
      </c>
      <c r="I144" s="2">
        <v>1.4E-2</v>
      </c>
      <c r="J144" s="2">
        <v>1.4E-2</v>
      </c>
      <c r="K144" s="2">
        <v>6.8000000000000005E-2</v>
      </c>
      <c r="L144" s="2">
        <v>0.65900000000000003</v>
      </c>
      <c r="M144" s="2">
        <v>0.81699999999999995</v>
      </c>
      <c r="N144" s="2">
        <v>11.19</v>
      </c>
      <c r="O144" s="2">
        <v>96.8</v>
      </c>
      <c r="P144" s="2">
        <v>0.123</v>
      </c>
      <c r="Q144" s="2">
        <v>0.13600000000000001</v>
      </c>
      <c r="R144" s="2">
        <v>0.18099999999999999</v>
      </c>
      <c r="S144" s="2">
        <v>0.76800000000000002</v>
      </c>
      <c r="T144" s="2">
        <v>0.98099999999999998</v>
      </c>
      <c r="U144" s="2">
        <v>-0.48899999999999999</v>
      </c>
      <c r="V144" s="2">
        <v>45.18</v>
      </c>
      <c r="W144" s="2">
        <v>-0.13200000000000001</v>
      </c>
      <c r="X144" s="2">
        <v>-9.5000000000000001E-2</v>
      </c>
      <c r="Y144" s="2">
        <v>-3.3000000000000002E-2</v>
      </c>
      <c r="Z144" s="2">
        <v>0.55500000000000005</v>
      </c>
      <c r="AA144" s="2">
        <v>0.67600000000000005</v>
      </c>
      <c r="AB144" s="2">
        <v>2.012</v>
      </c>
      <c r="AC144" s="2">
        <v>0</v>
      </c>
      <c r="AD144" s="2">
        <v>15.87</v>
      </c>
      <c r="AE144" s="2">
        <v>8.84</v>
      </c>
      <c r="AF144" s="2">
        <v>0.68300000000000005</v>
      </c>
      <c r="AG144" s="2">
        <v>2.85</v>
      </c>
      <c r="AH144" s="2">
        <v>2.7029999999999998</v>
      </c>
      <c r="AI144" s="2">
        <v>11.91</v>
      </c>
      <c r="AJ144" s="2">
        <v>-1.4059999999999999</v>
      </c>
      <c r="AK144" s="2">
        <v>21.15</v>
      </c>
      <c r="AL144" s="2">
        <v>-1.3080000000000001</v>
      </c>
      <c r="AM144" s="2">
        <v>2.0019999999999998</v>
      </c>
      <c r="AN144" s="2" t="s">
        <v>122</v>
      </c>
      <c r="AO144" s="2">
        <v>216</v>
      </c>
      <c r="AP144" s="2">
        <v>578</v>
      </c>
      <c r="AQ144" s="2">
        <v>839</v>
      </c>
      <c r="AR144" s="2">
        <v>157</v>
      </c>
      <c r="AS144" s="2">
        <v>174</v>
      </c>
      <c r="AT144" s="2">
        <v>414</v>
      </c>
      <c r="AU144" s="2">
        <v>380</v>
      </c>
      <c r="AV144" s="2">
        <v>122</v>
      </c>
      <c r="AW144" s="2"/>
      <c r="AX144" s="1">
        <f t="shared" si="115"/>
        <v>0.53799999999999981</v>
      </c>
      <c r="AY144" s="21">
        <f t="shared" si="116"/>
        <v>0</v>
      </c>
      <c r="AZ144" s="5">
        <v>31.4</v>
      </c>
      <c r="BA144" s="1">
        <v>15.87</v>
      </c>
      <c r="BB144" s="1">
        <v>8.1300000000000008</v>
      </c>
      <c r="BC144" s="6">
        <f t="shared" si="144"/>
        <v>0.5122873345935729</v>
      </c>
      <c r="BE144" s="30">
        <v>3</v>
      </c>
      <c r="BF144" s="27">
        <v>577.99999999999989</v>
      </c>
      <c r="BG144" s="1">
        <f t="shared" si="117"/>
        <v>96.8</v>
      </c>
      <c r="BH144" s="1">
        <f t="shared" si="118"/>
        <v>83.5</v>
      </c>
      <c r="BI144" s="1">
        <f t="shared" si="119"/>
        <v>45.2</v>
      </c>
      <c r="BJ144" s="7">
        <f t="shared" si="120"/>
        <v>0.60099999999999998</v>
      </c>
      <c r="BK144" s="7">
        <f t="shared" si="121"/>
        <v>0.72899999999999998</v>
      </c>
      <c r="BL144" s="5"/>
      <c r="BM144" s="5">
        <f t="shared" si="122"/>
        <v>15.87</v>
      </c>
      <c r="BN144" s="5">
        <f t="shared" si="123"/>
        <v>8.1300000000000008</v>
      </c>
      <c r="BO144" s="1">
        <f t="shared" si="124"/>
        <v>4.3</v>
      </c>
      <c r="BP144" s="1">
        <f t="shared" si="125"/>
        <v>11.2</v>
      </c>
      <c r="BQ144" s="1">
        <f t="shared" si="126"/>
        <v>-0.5</v>
      </c>
      <c r="BR144" s="1">
        <f t="shared" si="127"/>
        <v>83.5</v>
      </c>
      <c r="BS144" s="1">
        <f t="shared" si="128"/>
        <v>45.2</v>
      </c>
      <c r="BT144" s="1">
        <f t="shared" si="129"/>
        <v>0.7</v>
      </c>
      <c r="BU144" s="1">
        <f t="shared" si="130"/>
        <v>2.9</v>
      </c>
      <c r="BV144" s="33">
        <f t="shared" si="131"/>
        <v>3</v>
      </c>
      <c r="BW144" s="34">
        <f t="shared" si="132"/>
        <v>0.57799999999999996</v>
      </c>
      <c r="BX144" s="20">
        <f t="shared" si="133"/>
        <v>0</v>
      </c>
      <c r="BY144" s="1">
        <f t="shared" si="134"/>
        <v>2.7</v>
      </c>
      <c r="BZ144" s="1">
        <f t="shared" si="135"/>
        <v>11.9</v>
      </c>
      <c r="CA144" s="1">
        <f t="shared" si="136"/>
        <v>-1.4</v>
      </c>
      <c r="CB144" s="1">
        <f t="shared" si="137"/>
        <v>0.1</v>
      </c>
      <c r="CC144" s="1">
        <f t="shared" si="138"/>
        <v>0.7</v>
      </c>
      <c r="CD144" s="1">
        <f t="shared" si="139"/>
        <v>0.8</v>
      </c>
      <c r="CE144" s="1" t="str">
        <f t="shared" si="140"/>
        <v>NAN</v>
      </c>
      <c r="CF144" s="1">
        <f t="shared" si="141"/>
        <v>0.60099999999999998</v>
      </c>
      <c r="CG144" s="1">
        <f t="shared" si="142"/>
        <v>0.72899999999999998</v>
      </c>
      <c r="CH144" s="5"/>
      <c r="CI144" s="1">
        <f t="shared" si="106"/>
        <v>2880</v>
      </c>
      <c r="CJ144" s="1">
        <f t="shared" si="107"/>
        <v>7.4999999999999997E-2</v>
      </c>
      <c r="CK144" s="1">
        <f t="shared" si="108"/>
        <v>0.20100000000000001</v>
      </c>
      <c r="CL144" s="1">
        <f t="shared" si="109"/>
        <v>0.29099999999999998</v>
      </c>
      <c r="CM144" s="1">
        <f t="shared" si="110"/>
        <v>5.5E-2</v>
      </c>
      <c r="CN144" s="1">
        <f t="shared" si="111"/>
        <v>0.06</v>
      </c>
      <c r="CO144" s="1">
        <f t="shared" si="112"/>
        <v>0.14399999999999999</v>
      </c>
      <c r="CP144" s="1">
        <f t="shared" si="113"/>
        <v>0.13200000000000001</v>
      </c>
      <c r="CQ144" s="1">
        <f t="shared" si="114"/>
        <v>4.2000000000000003E-2</v>
      </c>
      <c r="CS144" s="1">
        <f t="shared" si="145"/>
        <v>0.70000000000000107</v>
      </c>
      <c r="CT144" s="1">
        <f t="shared" si="146"/>
        <v>-0.89999999999999991</v>
      </c>
    </row>
    <row r="145" spans="1:98" x14ac:dyDescent="0.2">
      <c r="A145" s="8">
        <f t="shared" si="143"/>
        <v>43970</v>
      </c>
      <c r="B145" s="1">
        <v>140</v>
      </c>
      <c r="C145" s="1">
        <v>11</v>
      </c>
      <c r="D145" s="2">
        <v>13.06</v>
      </c>
      <c r="E145" s="2">
        <v>15.68</v>
      </c>
      <c r="F145" s="2">
        <v>-0.82</v>
      </c>
      <c r="G145" s="2">
        <v>6.7480000000000002</v>
      </c>
      <c r="H145" s="2">
        <v>72.53</v>
      </c>
      <c r="I145" s="2">
        <v>2.5999999999999999E-2</v>
      </c>
      <c r="J145" s="2">
        <v>0.04</v>
      </c>
      <c r="K145" s="2">
        <v>8.2000000000000003E-2</v>
      </c>
      <c r="L145" s="2">
        <v>0.65200000000000002</v>
      </c>
      <c r="M145" s="2">
        <v>0.84</v>
      </c>
      <c r="N145" s="2">
        <v>13.31</v>
      </c>
      <c r="O145" s="2">
        <v>96.1</v>
      </c>
      <c r="P145" s="2">
        <v>0.16400000000000001</v>
      </c>
      <c r="Q145" s="2">
        <v>0.20599999999999999</v>
      </c>
      <c r="R145" s="2">
        <v>0.19900000000000001</v>
      </c>
      <c r="S145" s="2">
        <v>0.75700000000000001</v>
      </c>
      <c r="T145" s="2">
        <v>0.98699999999999999</v>
      </c>
      <c r="U145" s="2">
        <v>2.2610000000000001</v>
      </c>
      <c r="V145" s="2">
        <v>33.299999999999997</v>
      </c>
      <c r="W145" s="2">
        <v>-7.5999999999999998E-2</v>
      </c>
      <c r="X145" s="2">
        <v>-6.2E-2</v>
      </c>
      <c r="Y145" s="2">
        <v>-3.5000000000000003E-2</v>
      </c>
      <c r="Z145" s="2">
        <v>0.54900000000000004</v>
      </c>
      <c r="AA145" s="2">
        <v>0.67800000000000005</v>
      </c>
      <c r="AB145" s="2">
        <v>2.0710000000000002</v>
      </c>
      <c r="AC145" s="2">
        <v>0</v>
      </c>
      <c r="AD145" s="2">
        <v>27.31</v>
      </c>
      <c r="AE145" s="2">
        <v>16.59</v>
      </c>
      <c r="AF145" s="2">
        <v>1.2549999999999999</v>
      </c>
      <c r="AG145" s="2">
        <v>3.738</v>
      </c>
      <c r="AH145" s="2">
        <v>4.03</v>
      </c>
      <c r="AI145" s="2">
        <v>11.32</v>
      </c>
      <c r="AJ145" s="2">
        <v>-0.45600000000000002</v>
      </c>
      <c r="AK145" s="2">
        <v>21.1</v>
      </c>
      <c r="AL145" s="2">
        <v>1.901</v>
      </c>
      <c r="AM145" s="2">
        <v>2.0550000000000002</v>
      </c>
      <c r="AN145" s="2" t="s">
        <v>122</v>
      </c>
      <c r="AO145" s="2">
        <v>512</v>
      </c>
      <c r="AP145" s="2">
        <v>1299</v>
      </c>
      <c r="AQ145" s="2">
        <v>625</v>
      </c>
      <c r="AR145" s="2">
        <v>69</v>
      </c>
      <c r="AS145" s="2">
        <v>62</v>
      </c>
      <c r="AT145" s="2">
        <v>77</v>
      </c>
      <c r="AU145" s="2">
        <v>79</v>
      </c>
      <c r="AV145" s="2">
        <v>157</v>
      </c>
      <c r="AW145" s="2"/>
      <c r="AX145" s="1">
        <f t="shared" si="115"/>
        <v>0.47899999999999965</v>
      </c>
      <c r="AY145" s="22">
        <f t="shared" ref="AY145:AY152" si="147">ROUND(AVERAGE(J145:K145),1)</f>
        <v>0.1</v>
      </c>
      <c r="AZ145" s="5">
        <v>31.52</v>
      </c>
      <c r="BA145" s="1">
        <v>27.31</v>
      </c>
      <c r="BB145" s="1">
        <v>15.26</v>
      </c>
      <c r="BC145" s="6">
        <f t="shared" si="144"/>
        <v>0.55876968143537165</v>
      </c>
      <c r="BE145" s="30">
        <v>1</v>
      </c>
      <c r="BF145" s="27">
        <v>518.99999999999966</v>
      </c>
      <c r="BG145" s="1">
        <f t="shared" si="117"/>
        <v>96.1</v>
      </c>
      <c r="BH145" s="1">
        <f t="shared" si="118"/>
        <v>72.5</v>
      </c>
      <c r="BI145" s="1">
        <f t="shared" si="119"/>
        <v>33.299999999999997</v>
      </c>
      <c r="BJ145" s="7">
        <f t="shared" si="120"/>
        <v>0.50900000000000001</v>
      </c>
      <c r="BK145" s="7">
        <f t="shared" si="121"/>
        <v>1.02</v>
      </c>
      <c r="BM145" s="5">
        <f t="shared" si="122"/>
        <v>27.31</v>
      </c>
      <c r="BN145" s="5">
        <f t="shared" si="123"/>
        <v>15.26</v>
      </c>
      <c r="BO145" s="1">
        <f t="shared" si="124"/>
        <v>6.7</v>
      </c>
      <c r="BP145" s="1">
        <f t="shared" si="125"/>
        <v>13.3</v>
      </c>
      <c r="BQ145" s="1">
        <f t="shared" si="126"/>
        <v>2.2999999999999998</v>
      </c>
      <c r="BR145" s="1">
        <f t="shared" si="127"/>
        <v>72.5</v>
      </c>
      <c r="BS145" s="1">
        <f t="shared" si="128"/>
        <v>33.299999999999997</v>
      </c>
      <c r="BT145" s="1">
        <f t="shared" si="129"/>
        <v>1.3</v>
      </c>
      <c r="BU145" s="1">
        <f t="shared" si="130"/>
        <v>3.7</v>
      </c>
      <c r="BV145" s="33">
        <f t="shared" si="131"/>
        <v>1</v>
      </c>
      <c r="BW145" s="34">
        <f t="shared" si="132"/>
        <v>0.51900000000000002</v>
      </c>
      <c r="BX145" s="20">
        <f t="shared" si="133"/>
        <v>0.1</v>
      </c>
      <c r="BY145" s="1">
        <f t="shared" si="134"/>
        <v>4</v>
      </c>
      <c r="BZ145" s="1">
        <f t="shared" si="135"/>
        <v>11.3</v>
      </c>
      <c r="CA145" s="1">
        <f t="shared" si="136"/>
        <v>-0.5</v>
      </c>
      <c r="CB145" s="1">
        <f t="shared" si="137"/>
        <v>0.1</v>
      </c>
      <c r="CC145" s="1">
        <f t="shared" si="138"/>
        <v>0.7</v>
      </c>
      <c r="CD145" s="1">
        <f t="shared" si="139"/>
        <v>0.8</v>
      </c>
      <c r="CE145" s="1" t="str">
        <f t="shared" si="140"/>
        <v>NAN</v>
      </c>
      <c r="CF145" s="1">
        <f t="shared" si="141"/>
        <v>0.50900000000000001</v>
      </c>
      <c r="CG145" s="1">
        <f t="shared" si="142"/>
        <v>1.02</v>
      </c>
      <c r="CI145" s="1">
        <f t="shared" si="106"/>
        <v>2880</v>
      </c>
      <c r="CJ145" s="1">
        <f t="shared" si="107"/>
        <v>0.17799999999999999</v>
      </c>
      <c r="CK145" s="1">
        <f t="shared" si="108"/>
        <v>0.45100000000000001</v>
      </c>
      <c r="CL145" s="1">
        <f t="shared" si="109"/>
        <v>0.217</v>
      </c>
      <c r="CM145" s="1">
        <f t="shared" si="110"/>
        <v>2.4E-2</v>
      </c>
      <c r="CN145" s="1">
        <f t="shared" si="111"/>
        <v>2.1999999999999999E-2</v>
      </c>
      <c r="CO145" s="1">
        <f t="shared" si="112"/>
        <v>2.7E-2</v>
      </c>
      <c r="CP145" s="1">
        <f t="shared" si="113"/>
        <v>2.7E-2</v>
      </c>
      <c r="CQ145" s="1">
        <f t="shared" si="114"/>
        <v>5.5E-2</v>
      </c>
      <c r="CS145" s="1">
        <f t="shared" si="145"/>
        <v>-2</v>
      </c>
      <c r="CT145" s="1">
        <f t="shared" si="146"/>
        <v>-2.8</v>
      </c>
    </row>
    <row r="146" spans="1:98" x14ac:dyDescent="0.2">
      <c r="A146" s="8">
        <f t="shared" si="143"/>
        <v>43971</v>
      </c>
      <c r="B146" s="1">
        <v>141</v>
      </c>
      <c r="C146" s="1">
        <v>11</v>
      </c>
      <c r="D146" s="2">
        <v>13.06</v>
      </c>
      <c r="E146" s="2">
        <v>12.21</v>
      </c>
      <c r="F146" s="2">
        <v>0.56499999999999995</v>
      </c>
      <c r="G146" s="2">
        <v>5.9020000000000001</v>
      </c>
      <c r="H146" s="2">
        <v>76.23</v>
      </c>
      <c r="I146" s="2">
        <v>3.3000000000000002E-2</v>
      </c>
      <c r="J146" s="2">
        <v>4.9000000000000002E-2</v>
      </c>
      <c r="K146" s="2">
        <v>8.6999999999999994E-2</v>
      </c>
      <c r="L146" s="2">
        <v>0.64900000000000002</v>
      </c>
      <c r="M146" s="2">
        <v>0.82599999999999996</v>
      </c>
      <c r="N146" s="2">
        <v>10.84</v>
      </c>
      <c r="O146" s="2">
        <v>91.6</v>
      </c>
      <c r="P146" s="2">
        <v>0.125</v>
      </c>
      <c r="Q146" s="2">
        <v>0.17499999999999999</v>
      </c>
      <c r="R146" s="2">
        <v>0.184</v>
      </c>
      <c r="S146" s="2">
        <v>0.74299999999999999</v>
      </c>
      <c r="T146" s="2">
        <v>0.95</v>
      </c>
      <c r="U146" s="2">
        <v>1.3779999999999999</v>
      </c>
      <c r="V146" s="2">
        <v>57.29</v>
      </c>
      <c r="W146" s="2">
        <v>-5.8999999999999997E-2</v>
      </c>
      <c r="X146" s="2">
        <v>-5.8999999999999997E-2</v>
      </c>
      <c r="Y146" s="2">
        <v>-1.6E-2</v>
      </c>
      <c r="Z146" s="2">
        <v>0.54900000000000004</v>
      </c>
      <c r="AA146" s="2">
        <v>0.73399999999999999</v>
      </c>
      <c r="AB146" s="2">
        <v>2.1120000000000001</v>
      </c>
      <c r="AC146" s="2">
        <v>0</v>
      </c>
      <c r="AD146" s="2">
        <v>17.18</v>
      </c>
      <c r="AE146" s="2">
        <v>9.57</v>
      </c>
      <c r="AF146" s="2">
        <v>1.659</v>
      </c>
      <c r="AG146" s="2">
        <v>4.3689999999999998</v>
      </c>
      <c r="AH146" s="2">
        <v>3.194</v>
      </c>
      <c r="AI146" s="2">
        <v>8.81</v>
      </c>
      <c r="AJ146" s="2">
        <v>0.11700000000000001</v>
      </c>
      <c r="AK146" s="2">
        <v>15.03</v>
      </c>
      <c r="AL146" s="2">
        <v>1.1850000000000001</v>
      </c>
      <c r="AM146" s="2">
        <v>2.1059999999999999</v>
      </c>
      <c r="AN146" s="2" t="s">
        <v>122</v>
      </c>
      <c r="AO146" s="2">
        <v>643</v>
      </c>
      <c r="AP146" s="2">
        <v>1024</v>
      </c>
      <c r="AQ146" s="2">
        <v>227</v>
      </c>
      <c r="AR146" s="2">
        <v>26</v>
      </c>
      <c r="AS146" s="2">
        <v>26</v>
      </c>
      <c r="AT146" s="2">
        <v>108</v>
      </c>
      <c r="AU146" s="2">
        <v>246</v>
      </c>
      <c r="AV146" s="2">
        <v>580</v>
      </c>
      <c r="AW146" s="2"/>
      <c r="AX146" s="1">
        <f t="shared" si="115"/>
        <v>0.43799999999999972</v>
      </c>
      <c r="AY146" s="22">
        <f t="shared" si="147"/>
        <v>0.1</v>
      </c>
      <c r="AZ146" s="5">
        <v>31.65</v>
      </c>
      <c r="BA146" s="1">
        <v>17.18</v>
      </c>
      <c r="BB146" s="1">
        <v>8.81</v>
      </c>
      <c r="BC146" s="6">
        <f t="shared" si="144"/>
        <v>0.51280558789289876</v>
      </c>
      <c r="BE146" s="30">
        <v>0</v>
      </c>
      <c r="BF146" s="27">
        <v>477.99999999999977</v>
      </c>
      <c r="BG146" s="1">
        <f t="shared" si="117"/>
        <v>91.6</v>
      </c>
      <c r="BH146" s="1">
        <f t="shared" si="118"/>
        <v>76.2</v>
      </c>
      <c r="BI146" s="1">
        <f t="shared" si="119"/>
        <v>57.3</v>
      </c>
      <c r="BJ146" s="7">
        <f t="shared" si="120"/>
        <v>0.74399999999999999</v>
      </c>
      <c r="BK146" s="7">
        <f t="shared" si="121"/>
        <v>0.55400000000000005</v>
      </c>
      <c r="BM146" s="5">
        <f t="shared" si="122"/>
        <v>17.18</v>
      </c>
      <c r="BN146" s="5">
        <f t="shared" si="123"/>
        <v>8.81</v>
      </c>
      <c r="BO146" s="1">
        <f t="shared" si="124"/>
        <v>5.9</v>
      </c>
      <c r="BP146" s="1">
        <f t="shared" si="125"/>
        <v>10.8</v>
      </c>
      <c r="BQ146" s="1">
        <f t="shared" si="126"/>
        <v>1.4</v>
      </c>
      <c r="BR146" s="1">
        <f t="shared" si="127"/>
        <v>76.2</v>
      </c>
      <c r="BS146" s="1">
        <f t="shared" si="128"/>
        <v>57.3</v>
      </c>
      <c r="BT146" s="1">
        <f t="shared" si="129"/>
        <v>1.7</v>
      </c>
      <c r="BU146" s="1">
        <f t="shared" si="130"/>
        <v>4.4000000000000004</v>
      </c>
      <c r="BV146" s="33">
        <f t="shared" si="131"/>
        <v>0</v>
      </c>
      <c r="BW146" s="34">
        <f t="shared" si="132"/>
        <v>0.47799999999999998</v>
      </c>
      <c r="BX146" s="20">
        <f t="shared" si="133"/>
        <v>0.1</v>
      </c>
      <c r="BY146" s="1">
        <f t="shared" si="134"/>
        <v>3.2</v>
      </c>
      <c r="BZ146" s="1">
        <f t="shared" si="135"/>
        <v>8.8000000000000007</v>
      </c>
      <c r="CA146" s="1">
        <f t="shared" si="136"/>
        <v>0.1</v>
      </c>
      <c r="CB146" s="1">
        <f t="shared" si="137"/>
        <v>0.1</v>
      </c>
      <c r="CC146" s="1">
        <f t="shared" si="138"/>
        <v>0.6</v>
      </c>
      <c r="CD146" s="1">
        <f t="shared" si="139"/>
        <v>0.8</v>
      </c>
      <c r="CE146" s="1" t="str">
        <f t="shared" si="140"/>
        <v>NAN</v>
      </c>
      <c r="CF146" s="1">
        <f t="shared" si="141"/>
        <v>0.74399999999999999</v>
      </c>
      <c r="CG146" s="1">
        <f t="shared" si="142"/>
        <v>0.55400000000000005</v>
      </c>
      <c r="CI146" s="1">
        <f t="shared" si="106"/>
        <v>2880</v>
      </c>
      <c r="CJ146" s="1">
        <f t="shared" si="107"/>
        <v>0.223</v>
      </c>
      <c r="CK146" s="1">
        <f t="shared" si="108"/>
        <v>0.35599999999999998</v>
      </c>
      <c r="CL146" s="1">
        <f t="shared" si="109"/>
        <v>7.9000000000000001E-2</v>
      </c>
      <c r="CM146" s="1">
        <f t="shared" si="110"/>
        <v>8.9999999999999993E-3</v>
      </c>
      <c r="CN146" s="1">
        <f t="shared" si="111"/>
        <v>8.9999999999999993E-3</v>
      </c>
      <c r="CO146" s="1">
        <f t="shared" si="112"/>
        <v>3.7999999999999999E-2</v>
      </c>
      <c r="CP146" s="1">
        <f t="shared" si="113"/>
        <v>8.5000000000000006E-2</v>
      </c>
      <c r="CQ146" s="1">
        <f t="shared" si="114"/>
        <v>0.20100000000000001</v>
      </c>
      <c r="CS146" s="1">
        <f t="shared" si="145"/>
        <v>-2</v>
      </c>
      <c r="CT146" s="1">
        <f t="shared" si="146"/>
        <v>-1.2999999999999998</v>
      </c>
    </row>
    <row r="147" spans="1:98" x14ac:dyDescent="0.2">
      <c r="A147" s="8">
        <f t="shared" si="143"/>
        <v>43972</v>
      </c>
      <c r="B147" s="1">
        <v>142</v>
      </c>
      <c r="C147" s="1">
        <v>11</v>
      </c>
      <c r="D147" s="2">
        <v>12.97</v>
      </c>
      <c r="E147" s="2">
        <v>7.532</v>
      </c>
      <c r="F147" s="2">
        <v>-1.609</v>
      </c>
      <c r="G147" s="2">
        <v>0.33600000000000002</v>
      </c>
      <c r="H147" s="2">
        <v>87.6</v>
      </c>
      <c r="I147" s="2">
        <v>1.0999999999999999E-2</v>
      </c>
      <c r="J147" s="2">
        <v>3.9E-2</v>
      </c>
      <c r="K147" s="2">
        <v>6.3E-2</v>
      </c>
      <c r="L147" s="2">
        <v>0.61499999999999999</v>
      </c>
      <c r="M147" s="2">
        <v>0.81200000000000006</v>
      </c>
      <c r="N147" s="2">
        <v>5.0289999999999999</v>
      </c>
      <c r="O147" s="2">
        <v>95.3</v>
      </c>
      <c r="P147" s="2">
        <v>0.123</v>
      </c>
      <c r="Q147" s="2">
        <v>0.33</v>
      </c>
      <c r="R147" s="2">
        <v>0.182</v>
      </c>
      <c r="S147" s="2">
        <v>0.72199999999999998</v>
      </c>
      <c r="T147" s="2">
        <v>0.95899999999999996</v>
      </c>
      <c r="U147" s="2">
        <v>-1.67</v>
      </c>
      <c r="V147" s="2">
        <v>61.69</v>
      </c>
      <c r="W147" s="2">
        <v>-7.6999999999999999E-2</v>
      </c>
      <c r="X147" s="2">
        <v>-7.4999999999999997E-2</v>
      </c>
      <c r="Y147" s="2">
        <v>-3.6999999999999998E-2</v>
      </c>
      <c r="Z147" s="2">
        <v>0.52600000000000002</v>
      </c>
      <c r="AA147" s="2">
        <v>0.65700000000000003</v>
      </c>
      <c r="AB147" s="2">
        <v>2.0579999999999998</v>
      </c>
      <c r="AC147" s="2">
        <v>0</v>
      </c>
      <c r="AD147" s="2">
        <v>12.96</v>
      </c>
      <c r="AE147" s="2">
        <v>8.6</v>
      </c>
      <c r="AF147" s="2">
        <v>1.762</v>
      </c>
      <c r="AG147" s="2">
        <v>4.9359999999999999</v>
      </c>
      <c r="AH147" s="2">
        <v>0.124</v>
      </c>
      <c r="AI147" s="2">
        <v>6.7030000000000003</v>
      </c>
      <c r="AJ147" s="2">
        <v>-1.917</v>
      </c>
      <c r="AK147" s="2">
        <v>9.6</v>
      </c>
      <c r="AL147" s="2">
        <v>-1.802</v>
      </c>
      <c r="AM147" s="2">
        <v>2.0640000000000001</v>
      </c>
      <c r="AN147" s="2" t="s">
        <v>122</v>
      </c>
      <c r="AO147" s="2">
        <v>802</v>
      </c>
      <c r="AP147" s="2">
        <v>253</v>
      </c>
      <c r="AQ147" s="2">
        <v>58</v>
      </c>
      <c r="AR147" s="2">
        <v>14</v>
      </c>
      <c r="AS147" s="2">
        <v>22</v>
      </c>
      <c r="AT147" s="2">
        <v>114</v>
      </c>
      <c r="AU147" s="2">
        <v>502</v>
      </c>
      <c r="AV147" s="2">
        <v>1115</v>
      </c>
      <c r="AW147" s="2"/>
      <c r="AX147" s="1">
        <f t="shared" si="115"/>
        <v>0.49199999999999999</v>
      </c>
      <c r="AY147" s="22">
        <f t="shared" si="147"/>
        <v>0.1</v>
      </c>
      <c r="AZ147" s="5">
        <v>31.76</v>
      </c>
      <c r="BA147" s="1">
        <v>12.96</v>
      </c>
      <c r="BB147" s="1">
        <v>7.91</v>
      </c>
      <c r="BC147" s="6">
        <f t="shared" si="144"/>
        <v>0.6103395061728395</v>
      </c>
      <c r="BE147" s="30">
        <v>13</v>
      </c>
      <c r="BF147" s="27">
        <v>532</v>
      </c>
      <c r="BG147" s="1">
        <f t="shared" si="117"/>
        <v>95.3</v>
      </c>
      <c r="BH147" s="1">
        <f t="shared" si="118"/>
        <v>87.6</v>
      </c>
      <c r="BI147" s="1">
        <f t="shared" si="119"/>
        <v>61.7</v>
      </c>
      <c r="BJ147" s="7">
        <f t="shared" si="120"/>
        <v>0.53900000000000003</v>
      </c>
      <c r="BK147" s="7">
        <f t="shared" si="121"/>
        <v>0.33500000000000002</v>
      </c>
      <c r="BM147" s="5">
        <f t="shared" si="122"/>
        <v>12.96</v>
      </c>
      <c r="BN147" s="5">
        <f t="shared" si="123"/>
        <v>7.91</v>
      </c>
      <c r="BO147" s="1">
        <f t="shared" si="124"/>
        <v>0.3</v>
      </c>
      <c r="BP147" s="1">
        <f t="shared" si="125"/>
        <v>5</v>
      </c>
      <c r="BQ147" s="1">
        <f t="shared" si="126"/>
        <v>-1.7</v>
      </c>
      <c r="BR147" s="1">
        <f t="shared" si="127"/>
        <v>87.6</v>
      </c>
      <c r="BS147" s="1">
        <f t="shared" si="128"/>
        <v>61.7</v>
      </c>
      <c r="BT147" s="1">
        <f t="shared" si="129"/>
        <v>1.8</v>
      </c>
      <c r="BU147" s="1">
        <f t="shared" si="130"/>
        <v>4.9000000000000004</v>
      </c>
      <c r="BV147" s="33">
        <f t="shared" si="131"/>
        <v>13</v>
      </c>
      <c r="BW147" s="34">
        <f t="shared" si="132"/>
        <v>0.53200000000000003</v>
      </c>
      <c r="BX147" s="20">
        <f t="shared" si="133"/>
        <v>0.1</v>
      </c>
      <c r="BY147" s="1">
        <f t="shared" si="134"/>
        <v>0.1</v>
      </c>
      <c r="BZ147" s="1">
        <f t="shared" si="135"/>
        <v>6.7</v>
      </c>
      <c r="CA147" s="1">
        <f t="shared" si="136"/>
        <v>-1.9</v>
      </c>
      <c r="CB147" s="1">
        <f t="shared" si="137"/>
        <v>0.1</v>
      </c>
      <c r="CC147" s="1">
        <f t="shared" si="138"/>
        <v>0.6</v>
      </c>
      <c r="CD147" s="1">
        <f t="shared" si="139"/>
        <v>0.8</v>
      </c>
      <c r="CE147" s="1" t="str">
        <f t="shared" si="140"/>
        <v>NAN</v>
      </c>
      <c r="CF147" s="1">
        <f t="shared" si="141"/>
        <v>0.53900000000000003</v>
      </c>
      <c r="CG147" s="1">
        <f t="shared" si="142"/>
        <v>0.33500000000000002</v>
      </c>
      <c r="CI147" s="1">
        <f t="shared" si="106"/>
        <v>2880</v>
      </c>
      <c r="CJ147" s="1">
        <f t="shared" si="107"/>
        <v>0.27800000000000002</v>
      </c>
      <c r="CK147" s="1">
        <f t="shared" si="108"/>
        <v>8.7999999999999995E-2</v>
      </c>
      <c r="CL147" s="1">
        <f t="shared" si="109"/>
        <v>0.02</v>
      </c>
      <c r="CM147" s="1">
        <f t="shared" si="110"/>
        <v>5.0000000000000001E-3</v>
      </c>
      <c r="CN147" s="1">
        <f t="shared" si="111"/>
        <v>8.0000000000000002E-3</v>
      </c>
      <c r="CO147" s="1">
        <f t="shared" si="112"/>
        <v>0.04</v>
      </c>
      <c r="CP147" s="1">
        <f t="shared" si="113"/>
        <v>0.17399999999999999</v>
      </c>
      <c r="CQ147" s="1">
        <f t="shared" si="114"/>
        <v>0.38700000000000001</v>
      </c>
      <c r="CS147" s="1">
        <f t="shared" si="145"/>
        <v>1.7000000000000002</v>
      </c>
      <c r="CT147" s="1">
        <f t="shared" si="146"/>
        <v>-0.19999999999999996</v>
      </c>
    </row>
    <row r="148" spans="1:98" x14ac:dyDescent="0.2">
      <c r="A148" s="8">
        <f t="shared" si="143"/>
        <v>43973</v>
      </c>
      <c r="B148" s="1">
        <v>143</v>
      </c>
      <c r="C148" s="1">
        <v>11</v>
      </c>
      <c r="D148" s="2">
        <v>12.97</v>
      </c>
      <c r="E148" s="2">
        <v>1.2669999999999999</v>
      </c>
      <c r="F148" s="2">
        <v>-1.758</v>
      </c>
      <c r="G148" s="2">
        <v>-0.48899999999999999</v>
      </c>
      <c r="H148" s="2">
        <v>95.8</v>
      </c>
      <c r="I148" s="2">
        <v>1E-3</v>
      </c>
      <c r="J148" s="2">
        <v>2E-3</v>
      </c>
      <c r="K148" s="2">
        <v>5.5E-2</v>
      </c>
      <c r="L148" s="2">
        <v>0.61299999999999999</v>
      </c>
      <c r="M148" s="2">
        <v>0.85699999999999998</v>
      </c>
      <c r="N148" s="2">
        <v>0.83499999999999996</v>
      </c>
      <c r="O148" s="2">
        <v>96.4</v>
      </c>
      <c r="P148" s="2">
        <v>7.4999999999999997E-2</v>
      </c>
      <c r="Q148" s="2">
        <v>9.6000000000000002E-2</v>
      </c>
      <c r="R148" s="2">
        <v>0.13900000000000001</v>
      </c>
      <c r="S148" s="2">
        <v>0.69599999999999995</v>
      </c>
      <c r="T148" s="2">
        <v>0.95099999999999996</v>
      </c>
      <c r="U148" s="2">
        <v>-1.738</v>
      </c>
      <c r="V148" s="2">
        <v>95.1</v>
      </c>
      <c r="W148" s="2">
        <v>-6.8000000000000005E-2</v>
      </c>
      <c r="X148" s="2">
        <v>-7.2999999999999995E-2</v>
      </c>
      <c r="Y148" s="2">
        <v>-1.0999999999999999E-2</v>
      </c>
      <c r="Z148" s="2">
        <v>0.53200000000000003</v>
      </c>
      <c r="AA148" s="2">
        <v>0.77200000000000002</v>
      </c>
      <c r="AB148" s="2">
        <v>1.78</v>
      </c>
      <c r="AC148" s="2">
        <v>0</v>
      </c>
      <c r="AD148" s="2">
        <v>4.9809999999999999</v>
      </c>
      <c r="AE148" s="2">
        <v>4.9800000000000004</v>
      </c>
      <c r="AF148" s="2">
        <v>1.7290000000000001</v>
      </c>
      <c r="AG148" s="2">
        <v>4.4989999999999997</v>
      </c>
      <c r="AH148" s="2">
        <v>-0.89800000000000002</v>
      </c>
      <c r="AI148" s="2">
        <v>0.86899999999999999</v>
      </c>
      <c r="AJ148" s="2">
        <v>-2.0920000000000001</v>
      </c>
      <c r="AK148" s="2">
        <v>1.0720000000000001</v>
      </c>
      <c r="AL148" s="2">
        <v>-1.921</v>
      </c>
      <c r="AM148" s="2">
        <v>1.782</v>
      </c>
      <c r="AN148" s="2" t="s">
        <v>122</v>
      </c>
      <c r="AO148" s="2">
        <v>635</v>
      </c>
      <c r="AP148" s="2">
        <v>78</v>
      </c>
      <c r="AQ148" s="2">
        <v>19</v>
      </c>
      <c r="AR148" s="2">
        <v>10</v>
      </c>
      <c r="AS148" s="2">
        <v>27</v>
      </c>
      <c r="AT148" s="2">
        <v>143</v>
      </c>
      <c r="AU148" s="2">
        <v>734</v>
      </c>
      <c r="AV148" s="2">
        <v>1234</v>
      </c>
      <c r="AW148" s="2"/>
      <c r="AX148" s="1">
        <f t="shared" si="115"/>
        <v>0.7699999999999998</v>
      </c>
      <c r="AY148" s="22">
        <f t="shared" si="147"/>
        <v>0</v>
      </c>
      <c r="AZ148" s="5">
        <v>31.88</v>
      </c>
      <c r="BA148" s="1">
        <v>5.22</v>
      </c>
      <c r="BB148" s="1">
        <v>4.58</v>
      </c>
      <c r="BC148" s="6">
        <f t="shared" si="144"/>
        <v>0.87739463601532575</v>
      </c>
      <c r="BE148" s="30">
        <v>48</v>
      </c>
      <c r="BF148" s="27">
        <v>817</v>
      </c>
      <c r="BG148" s="1">
        <f t="shared" si="117"/>
        <v>96.4</v>
      </c>
      <c r="BH148" s="1">
        <f t="shared" si="118"/>
        <v>95.8</v>
      </c>
      <c r="BI148" s="1">
        <f t="shared" si="119"/>
        <v>95.1</v>
      </c>
      <c r="BJ148" s="7">
        <f t="shared" si="120"/>
        <v>0.61699999999999999</v>
      </c>
      <c r="BK148" s="7">
        <f t="shared" si="121"/>
        <v>3.2000000000000001E-2</v>
      </c>
      <c r="BM148" s="5">
        <f t="shared" si="122"/>
        <v>5.22</v>
      </c>
      <c r="BN148" s="5">
        <f t="shared" si="123"/>
        <v>4.58</v>
      </c>
      <c r="BO148" s="1">
        <f t="shared" si="124"/>
        <v>-0.5</v>
      </c>
      <c r="BP148" s="1">
        <f t="shared" si="125"/>
        <v>0.8</v>
      </c>
      <c r="BQ148" s="1">
        <f t="shared" si="126"/>
        <v>-1.7</v>
      </c>
      <c r="BR148" s="1">
        <f t="shared" si="127"/>
        <v>95.8</v>
      </c>
      <c r="BS148" s="1">
        <f t="shared" si="128"/>
        <v>95.1</v>
      </c>
      <c r="BT148" s="1">
        <f t="shared" si="129"/>
        <v>1.7</v>
      </c>
      <c r="BU148" s="1">
        <f t="shared" si="130"/>
        <v>4.5</v>
      </c>
      <c r="BV148" s="33">
        <f t="shared" si="131"/>
        <v>48</v>
      </c>
      <c r="BW148" s="34">
        <f t="shared" si="132"/>
        <v>0.81699999999999995</v>
      </c>
      <c r="BX148" s="20">
        <f t="shared" si="133"/>
        <v>0</v>
      </c>
      <c r="BY148" s="1">
        <f t="shared" si="134"/>
        <v>-0.9</v>
      </c>
      <c r="BZ148" s="1">
        <f t="shared" si="135"/>
        <v>0.9</v>
      </c>
      <c r="CA148" s="1">
        <f t="shared" si="136"/>
        <v>-2.1</v>
      </c>
      <c r="CB148" s="1">
        <f t="shared" si="137"/>
        <v>0.1</v>
      </c>
      <c r="CC148" s="1">
        <f t="shared" si="138"/>
        <v>0.6</v>
      </c>
      <c r="CD148" s="1">
        <f t="shared" si="139"/>
        <v>0.9</v>
      </c>
      <c r="CE148" s="1" t="str">
        <f t="shared" si="140"/>
        <v>NAN</v>
      </c>
      <c r="CF148" s="1">
        <f t="shared" si="141"/>
        <v>0.61699999999999999</v>
      </c>
      <c r="CG148" s="1">
        <f t="shared" si="142"/>
        <v>3.2000000000000001E-2</v>
      </c>
      <c r="CI148" s="1">
        <f t="shared" si="106"/>
        <v>2880</v>
      </c>
      <c r="CJ148" s="1">
        <f t="shared" si="107"/>
        <v>0.22</v>
      </c>
      <c r="CK148" s="1">
        <f t="shared" si="108"/>
        <v>2.7E-2</v>
      </c>
      <c r="CL148" s="1">
        <f t="shared" si="109"/>
        <v>7.0000000000000001E-3</v>
      </c>
      <c r="CM148" s="1">
        <f t="shared" si="110"/>
        <v>3.0000000000000001E-3</v>
      </c>
      <c r="CN148" s="1">
        <f t="shared" si="111"/>
        <v>8.9999999999999993E-3</v>
      </c>
      <c r="CO148" s="1">
        <f t="shared" si="112"/>
        <v>0.05</v>
      </c>
      <c r="CP148" s="1">
        <f t="shared" si="113"/>
        <v>0.255</v>
      </c>
      <c r="CQ148" s="1">
        <f t="shared" si="114"/>
        <v>0.42799999999999999</v>
      </c>
      <c r="CS148" s="1">
        <f t="shared" si="145"/>
        <v>9.9999999999999978E-2</v>
      </c>
      <c r="CT148" s="1">
        <f t="shared" si="146"/>
        <v>-0.40000000000000013</v>
      </c>
    </row>
    <row r="149" spans="1:98" x14ac:dyDescent="0.2">
      <c r="A149" s="8">
        <f t="shared" si="143"/>
        <v>43974</v>
      </c>
      <c r="B149" s="1">
        <v>144</v>
      </c>
      <c r="C149" s="1">
        <v>11</v>
      </c>
      <c r="D149" s="2">
        <v>13.1</v>
      </c>
      <c r="E149" s="2">
        <v>9.84</v>
      </c>
      <c r="F149" s="2">
        <v>-0.94699999999999995</v>
      </c>
      <c r="G149" s="2">
        <v>2.7650000000000001</v>
      </c>
      <c r="H149" s="2">
        <v>88.9</v>
      </c>
      <c r="I149" s="2">
        <v>4.2999999999999997E-2</v>
      </c>
      <c r="J149" s="2">
        <v>0.04</v>
      </c>
      <c r="K149" s="2">
        <v>0.10199999999999999</v>
      </c>
      <c r="L149" s="2">
        <v>0.66500000000000004</v>
      </c>
      <c r="M149" s="2">
        <v>0.97799999999999998</v>
      </c>
      <c r="N149" s="2">
        <v>10.14</v>
      </c>
      <c r="O149" s="2">
        <v>96.4</v>
      </c>
      <c r="P149" s="2">
        <v>0.24199999999999999</v>
      </c>
      <c r="Q149" s="2">
        <v>0.252</v>
      </c>
      <c r="R149" s="2">
        <v>0.32700000000000001</v>
      </c>
      <c r="S149" s="2">
        <v>0.87</v>
      </c>
      <c r="T149" s="2">
        <v>1.2130000000000001</v>
      </c>
      <c r="U149" s="2">
        <v>-0.78800000000000003</v>
      </c>
      <c r="V149" s="2">
        <v>59.97</v>
      </c>
      <c r="W149" s="2">
        <v>-8.5000000000000006E-2</v>
      </c>
      <c r="X149" s="2">
        <v>-7.5999999999999998E-2</v>
      </c>
      <c r="Y149" s="2">
        <v>-2.8000000000000001E-2</v>
      </c>
      <c r="Z149" s="2">
        <v>0.53200000000000003</v>
      </c>
      <c r="AA149" s="2">
        <v>0.83299999999999996</v>
      </c>
      <c r="AB149" s="2">
        <v>1.9530000000000001</v>
      </c>
      <c r="AC149" s="2">
        <v>0</v>
      </c>
      <c r="AD149" s="2">
        <v>13.07</v>
      </c>
      <c r="AE149" s="2">
        <v>11.46</v>
      </c>
      <c r="AF149" s="2">
        <v>0.86099999999999999</v>
      </c>
      <c r="AG149" s="2">
        <v>3.0960000000000001</v>
      </c>
      <c r="AH149" s="2">
        <v>1.8169999999999999</v>
      </c>
      <c r="AI149" s="2">
        <v>10.34</v>
      </c>
      <c r="AJ149" s="2">
        <v>-1.427</v>
      </c>
      <c r="AK149" s="2">
        <v>19.39</v>
      </c>
      <c r="AL149" s="2">
        <v>-0.98699999999999999</v>
      </c>
      <c r="AM149" s="2">
        <v>1.946</v>
      </c>
      <c r="AN149" s="2" t="s">
        <v>122</v>
      </c>
      <c r="AO149" s="2">
        <v>755</v>
      </c>
      <c r="AP149" s="2">
        <v>397</v>
      </c>
      <c r="AQ149" s="2">
        <v>451</v>
      </c>
      <c r="AR149" s="2">
        <v>335</v>
      </c>
      <c r="AS149" s="2">
        <v>62</v>
      </c>
      <c r="AT149" s="2">
        <v>59</v>
      </c>
      <c r="AU149" s="2">
        <v>249</v>
      </c>
      <c r="AV149" s="2">
        <v>572</v>
      </c>
      <c r="AW149" s="2"/>
      <c r="AX149" s="1">
        <f t="shared" si="115"/>
        <v>0.59699999999999975</v>
      </c>
      <c r="AY149" s="22">
        <f t="shared" si="147"/>
        <v>0.1</v>
      </c>
      <c r="AZ149" s="5">
        <v>31.99</v>
      </c>
      <c r="BA149" s="1">
        <v>13.88</v>
      </c>
      <c r="BB149" s="1">
        <v>10.54</v>
      </c>
      <c r="BC149" s="6">
        <f t="shared" si="144"/>
        <v>0.75936599423631113</v>
      </c>
      <c r="BE149" s="30">
        <v>4</v>
      </c>
      <c r="BF149" s="27">
        <v>636.99999999999977</v>
      </c>
      <c r="BG149" s="1">
        <f t="shared" si="117"/>
        <v>96.4</v>
      </c>
      <c r="BH149" s="1">
        <f t="shared" si="118"/>
        <v>88.9</v>
      </c>
      <c r="BI149" s="1">
        <f t="shared" si="119"/>
        <v>60</v>
      </c>
      <c r="BJ149" s="7">
        <f t="shared" si="120"/>
        <v>0.74299999999999999</v>
      </c>
      <c r="BK149" s="7">
        <f t="shared" si="121"/>
        <v>0.495</v>
      </c>
      <c r="BM149" s="5">
        <f t="shared" si="122"/>
        <v>13.88</v>
      </c>
      <c r="BN149" s="5">
        <f t="shared" si="123"/>
        <v>10.54</v>
      </c>
      <c r="BO149" s="1">
        <f t="shared" si="124"/>
        <v>2.8</v>
      </c>
      <c r="BP149" s="1">
        <f t="shared" si="125"/>
        <v>10.1</v>
      </c>
      <c r="BQ149" s="1">
        <f t="shared" si="126"/>
        <v>-0.8</v>
      </c>
      <c r="BR149" s="1">
        <f t="shared" si="127"/>
        <v>88.9</v>
      </c>
      <c r="BS149" s="1">
        <f t="shared" si="128"/>
        <v>60</v>
      </c>
      <c r="BT149" s="1">
        <f t="shared" si="129"/>
        <v>0.9</v>
      </c>
      <c r="BU149" s="1">
        <f t="shared" si="130"/>
        <v>3.1</v>
      </c>
      <c r="BV149" s="33">
        <f t="shared" si="131"/>
        <v>4</v>
      </c>
      <c r="BW149" s="34">
        <f t="shared" si="132"/>
        <v>0.63700000000000001</v>
      </c>
      <c r="BX149" s="20">
        <f t="shared" si="133"/>
        <v>0.1</v>
      </c>
      <c r="BY149" s="1">
        <f t="shared" si="134"/>
        <v>1.8</v>
      </c>
      <c r="BZ149" s="1">
        <f t="shared" si="135"/>
        <v>10.3</v>
      </c>
      <c r="CA149" s="1">
        <f t="shared" si="136"/>
        <v>-1.4</v>
      </c>
      <c r="CB149" s="1">
        <f t="shared" si="137"/>
        <v>0.1</v>
      </c>
      <c r="CC149" s="1">
        <f t="shared" si="138"/>
        <v>0.7</v>
      </c>
      <c r="CD149" s="1">
        <f t="shared" si="139"/>
        <v>1</v>
      </c>
      <c r="CE149" s="1" t="str">
        <f t="shared" si="140"/>
        <v>NAN</v>
      </c>
      <c r="CF149" s="1">
        <f t="shared" si="141"/>
        <v>0.74299999999999999</v>
      </c>
      <c r="CG149" s="1">
        <f t="shared" si="142"/>
        <v>0.495</v>
      </c>
      <c r="CI149" s="1">
        <f t="shared" si="106"/>
        <v>2880</v>
      </c>
      <c r="CJ149" s="1">
        <f t="shared" si="107"/>
        <v>0.26200000000000001</v>
      </c>
      <c r="CK149" s="1">
        <f t="shared" si="108"/>
        <v>0.13800000000000001</v>
      </c>
      <c r="CL149" s="1">
        <f t="shared" si="109"/>
        <v>0.157</v>
      </c>
      <c r="CM149" s="1">
        <f t="shared" si="110"/>
        <v>0.11600000000000001</v>
      </c>
      <c r="CN149" s="1">
        <f t="shared" si="111"/>
        <v>2.1999999999999999E-2</v>
      </c>
      <c r="CO149" s="1">
        <f t="shared" si="112"/>
        <v>0.02</v>
      </c>
      <c r="CP149" s="1">
        <f t="shared" si="113"/>
        <v>8.5999999999999993E-2</v>
      </c>
      <c r="CQ149" s="1">
        <f t="shared" si="114"/>
        <v>0.19900000000000001</v>
      </c>
      <c r="CS149" s="1">
        <f t="shared" si="145"/>
        <v>0.20000000000000107</v>
      </c>
      <c r="CT149" s="1">
        <f t="shared" si="146"/>
        <v>-0.59999999999999987</v>
      </c>
    </row>
    <row r="150" spans="1:98" x14ac:dyDescent="0.2">
      <c r="A150" s="8">
        <f t="shared" si="143"/>
        <v>43975</v>
      </c>
      <c r="B150" s="1">
        <v>145</v>
      </c>
      <c r="C150" s="1">
        <v>11</v>
      </c>
      <c r="D150" s="2">
        <v>13</v>
      </c>
      <c r="E150" s="2">
        <v>13.8</v>
      </c>
      <c r="F150" s="2">
        <v>-1.48</v>
      </c>
      <c r="G150" s="2">
        <v>5.9960000000000004</v>
      </c>
      <c r="H150" s="2">
        <v>74.02</v>
      </c>
      <c r="I150" s="2">
        <v>2.1999999999999999E-2</v>
      </c>
      <c r="J150" s="2">
        <v>2.4E-2</v>
      </c>
      <c r="K150" s="2">
        <v>7.2999999999999995E-2</v>
      </c>
      <c r="L150" s="2">
        <v>0.63400000000000001</v>
      </c>
      <c r="M150" s="2">
        <v>0.95699999999999996</v>
      </c>
      <c r="N150" s="2">
        <v>12.6</v>
      </c>
      <c r="O150" s="2">
        <v>94.4</v>
      </c>
      <c r="P150" s="2">
        <v>0.113</v>
      </c>
      <c r="Q150" s="2">
        <v>0.128</v>
      </c>
      <c r="R150" s="2">
        <v>0.16800000000000001</v>
      </c>
      <c r="S150" s="2">
        <v>0.72199999999999998</v>
      </c>
      <c r="T150" s="2">
        <v>1.075</v>
      </c>
      <c r="U150" s="2">
        <v>0.74</v>
      </c>
      <c r="V150" s="2">
        <v>40.25</v>
      </c>
      <c r="W150" s="2">
        <v>-0.11899999999999999</v>
      </c>
      <c r="X150" s="2">
        <v>-8.4000000000000005E-2</v>
      </c>
      <c r="Y150" s="2">
        <v>-6.0000000000000001E-3</v>
      </c>
      <c r="Z150" s="2">
        <v>0.51600000000000001</v>
      </c>
      <c r="AA150" s="2">
        <v>0.70799999999999996</v>
      </c>
      <c r="AB150" s="2">
        <v>2.0379999999999998</v>
      </c>
      <c r="AC150" s="2">
        <v>0</v>
      </c>
      <c r="AD150" s="2">
        <v>15.76</v>
      </c>
      <c r="AE150" s="2">
        <v>10.6</v>
      </c>
      <c r="AF150" s="2">
        <v>0.88100000000000001</v>
      </c>
      <c r="AG150" s="2">
        <v>3.226</v>
      </c>
      <c r="AH150" s="2">
        <v>2.9430000000000001</v>
      </c>
      <c r="AI150" s="2">
        <v>10.28</v>
      </c>
      <c r="AJ150" s="2">
        <v>-2.3980000000000001</v>
      </c>
      <c r="AK150" s="2">
        <v>17.850000000000001</v>
      </c>
      <c r="AL150" s="2">
        <v>0.60599999999999998</v>
      </c>
      <c r="AM150" s="2">
        <v>2.0219999999999998</v>
      </c>
      <c r="AN150" s="2" t="s">
        <v>122</v>
      </c>
      <c r="AO150" s="2">
        <v>47</v>
      </c>
      <c r="AP150" s="2">
        <v>30</v>
      </c>
      <c r="AQ150" s="2">
        <v>195</v>
      </c>
      <c r="AR150" s="2">
        <v>465</v>
      </c>
      <c r="AS150" s="2">
        <v>448</v>
      </c>
      <c r="AT150" s="2">
        <v>747</v>
      </c>
      <c r="AU150" s="2">
        <v>772</v>
      </c>
      <c r="AV150" s="2">
        <v>176</v>
      </c>
      <c r="AW150" s="2"/>
      <c r="AX150" s="1">
        <f t="shared" si="115"/>
        <v>0.51200000000000001</v>
      </c>
      <c r="AY150" s="22">
        <f t="shared" si="147"/>
        <v>0</v>
      </c>
      <c r="AZ150" s="5">
        <v>32.090000000000003</v>
      </c>
      <c r="BA150" s="1">
        <v>15.76</v>
      </c>
      <c r="BB150" s="1">
        <v>9.75</v>
      </c>
      <c r="BC150" s="6">
        <f t="shared" si="144"/>
        <v>0.61865482233502533</v>
      </c>
      <c r="BE150" s="30">
        <v>0</v>
      </c>
      <c r="BF150" s="27">
        <v>552</v>
      </c>
      <c r="BG150" s="1">
        <f t="shared" si="117"/>
        <v>94.4</v>
      </c>
      <c r="BH150" s="1">
        <f t="shared" si="118"/>
        <v>74</v>
      </c>
      <c r="BI150" s="1">
        <f t="shared" si="119"/>
        <v>40.299999999999997</v>
      </c>
      <c r="BJ150" s="7">
        <f t="shared" si="120"/>
        <v>0.58799999999999997</v>
      </c>
      <c r="BK150" s="7">
        <f t="shared" si="121"/>
        <v>0.871</v>
      </c>
      <c r="BM150" s="5">
        <f t="shared" si="122"/>
        <v>15.76</v>
      </c>
      <c r="BN150" s="5">
        <f t="shared" si="123"/>
        <v>9.75</v>
      </c>
      <c r="BO150" s="1">
        <f t="shared" si="124"/>
        <v>6</v>
      </c>
      <c r="BP150" s="1">
        <f t="shared" si="125"/>
        <v>12.6</v>
      </c>
      <c r="BQ150" s="1">
        <f t="shared" si="126"/>
        <v>0.7</v>
      </c>
      <c r="BR150" s="1">
        <f t="shared" si="127"/>
        <v>74</v>
      </c>
      <c r="BS150" s="1">
        <f t="shared" si="128"/>
        <v>40.299999999999997</v>
      </c>
      <c r="BT150" s="1">
        <f t="shared" si="129"/>
        <v>0.9</v>
      </c>
      <c r="BU150" s="1">
        <f t="shared" si="130"/>
        <v>3.2</v>
      </c>
      <c r="BV150" s="33">
        <f t="shared" si="131"/>
        <v>0</v>
      </c>
      <c r="BW150" s="34">
        <f t="shared" si="132"/>
        <v>0.55200000000000005</v>
      </c>
      <c r="BX150" s="20">
        <f t="shared" si="133"/>
        <v>0</v>
      </c>
      <c r="BY150" s="1">
        <f t="shared" si="134"/>
        <v>2.9</v>
      </c>
      <c r="BZ150" s="1">
        <f t="shared" si="135"/>
        <v>10.3</v>
      </c>
      <c r="CA150" s="1">
        <f t="shared" si="136"/>
        <v>-2.4</v>
      </c>
      <c r="CB150" s="1">
        <f t="shared" si="137"/>
        <v>0.1</v>
      </c>
      <c r="CC150" s="1">
        <f t="shared" si="138"/>
        <v>0.6</v>
      </c>
      <c r="CD150" s="1">
        <f t="shared" si="139"/>
        <v>1</v>
      </c>
      <c r="CE150" s="1" t="str">
        <f t="shared" si="140"/>
        <v>NAN</v>
      </c>
      <c r="CF150" s="1">
        <f t="shared" si="141"/>
        <v>0.58799999999999997</v>
      </c>
      <c r="CG150" s="1">
        <f t="shared" si="142"/>
        <v>0.871</v>
      </c>
      <c r="CI150" s="1">
        <f t="shared" si="106"/>
        <v>2880</v>
      </c>
      <c r="CJ150" s="1">
        <f t="shared" si="107"/>
        <v>1.6E-2</v>
      </c>
      <c r="CK150" s="1">
        <f t="shared" si="108"/>
        <v>0.01</v>
      </c>
      <c r="CL150" s="1">
        <f t="shared" si="109"/>
        <v>6.8000000000000005E-2</v>
      </c>
      <c r="CM150" s="1">
        <f t="shared" si="110"/>
        <v>0.161</v>
      </c>
      <c r="CN150" s="1">
        <f t="shared" si="111"/>
        <v>0.156</v>
      </c>
      <c r="CO150" s="1">
        <f t="shared" si="112"/>
        <v>0.25900000000000001</v>
      </c>
      <c r="CP150" s="1">
        <f t="shared" si="113"/>
        <v>0.26800000000000002</v>
      </c>
      <c r="CQ150" s="1">
        <f t="shared" si="114"/>
        <v>6.0999999999999999E-2</v>
      </c>
      <c r="CS150" s="1">
        <f t="shared" si="145"/>
        <v>-2.2999999999999989</v>
      </c>
      <c r="CT150" s="1">
        <f t="shared" si="146"/>
        <v>-3.0999999999999996</v>
      </c>
    </row>
    <row r="151" spans="1:98" x14ac:dyDescent="0.2">
      <c r="A151" s="8">
        <f t="shared" si="143"/>
        <v>43976</v>
      </c>
      <c r="B151" s="1">
        <v>146</v>
      </c>
      <c r="C151" s="1">
        <v>11</v>
      </c>
      <c r="D151" s="2">
        <v>13.01</v>
      </c>
      <c r="E151" s="2">
        <v>7.3109999999999999</v>
      </c>
      <c r="F151" s="2">
        <v>1.841</v>
      </c>
      <c r="G151" s="2">
        <v>4.8099999999999996</v>
      </c>
      <c r="H151" s="2">
        <v>91.1</v>
      </c>
      <c r="I151" s="2">
        <v>3.3000000000000002E-2</v>
      </c>
      <c r="J151" s="2">
        <v>3.5999999999999997E-2</v>
      </c>
      <c r="K151" s="2">
        <v>7.6999999999999999E-2</v>
      </c>
      <c r="L151" s="2">
        <v>0.64400000000000002</v>
      </c>
      <c r="M151" s="2">
        <v>0.92200000000000004</v>
      </c>
      <c r="N151" s="2">
        <v>7.0279999999999996</v>
      </c>
      <c r="O151" s="2">
        <v>96.2</v>
      </c>
      <c r="P151" s="2">
        <v>0.108</v>
      </c>
      <c r="Q151" s="2">
        <v>0.108</v>
      </c>
      <c r="R151" s="2">
        <v>0.14499999999999999</v>
      </c>
      <c r="S151" s="2">
        <v>0.72</v>
      </c>
      <c r="T151" s="2">
        <v>1.0369999999999999</v>
      </c>
      <c r="U151" s="2">
        <v>3.3439999999999999</v>
      </c>
      <c r="V151" s="2">
        <v>81</v>
      </c>
      <c r="W151" s="2">
        <v>-5.1999999999999998E-2</v>
      </c>
      <c r="X151" s="2">
        <v>-4.3999999999999997E-2</v>
      </c>
      <c r="Y151" s="2">
        <v>2E-3</v>
      </c>
      <c r="Z151" s="2">
        <v>0.57099999999999995</v>
      </c>
      <c r="AA151" s="2">
        <v>0.79400000000000004</v>
      </c>
      <c r="AB151" s="2">
        <v>2.077</v>
      </c>
      <c r="AC151" s="2">
        <v>0</v>
      </c>
      <c r="AD151" s="2">
        <v>7.367</v>
      </c>
      <c r="AE151" s="2">
        <v>4.8929999999999998</v>
      </c>
      <c r="AF151" s="2">
        <v>1.032</v>
      </c>
      <c r="AG151" s="2">
        <v>4.4539999999999997</v>
      </c>
      <c r="AH151" s="2">
        <v>2.6219999999999999</v>
      </c>
      <c r="AI151" s="2">
        <v>6.6920000000000002</v>
      </c>
      <c r="AJ151" s="2">
        <v>1.329</v>
      </c>
      <c r="AK151" s="2">
        <v>9.11</v>
      </c>
      <c r="AL151" s="2">
        <v>3.0379999999999998</v>
      </c>
      <c r="AM151" s="2">
        <v>2.0640000000000001</v>
      </c>
      <c r="AN151" s="2" t="s">
        <v>122</v>
      </c>
      <c r="AO151" s="2">
        <v>374</v>
      </c>
      <c r="AP151" s="2">
        <v>93</v>
      </c>
      <c r="AQ151" s="2">
        <v>52</v>
      </c>
      <c r="AR151" s="2">
        <v>152</v>
      </c>
      <c r="AS151" s="2">
        <v>199</v>
      </c>
      <c r="AT151" s="2">
        <v>539</v>
      </c>
      <c r="AU151" s="2">
        <v>699</v>
      </c>
      <c r="AV151" s="2">
        <v>772</v>
      </c>
      <c r="AW151" s="2"/>
      <c r="AX151" s="1">
        <f t="shared" si="115"/>
        <v>0.47299999999999986</v>
      </c>
      <c r="AY151" s="22">
        <f t="shared" si="147"/>
        <v>0.1</v>
      </c>
      <c r="AZ151" s="5">
        <v>32.200000000000003</v>
      </c>
      <c r="BA151" s="1">
        <v>7.37</v>
      </c>
      <c r="BB151" s="1">
        <v>4.5</v>
      </c>
      <c r="BC151" s="6">
        <f t="shared" si="144"/>
        <v>0.61058344640434192</v>
      </c>
      <c r="BE151" s="30">
        <v>15</v>
      </c>
      <c r="BF151" s="27">
        <v>512.99999999999989</v>
      </c>
      <c r="BG151" s="1">
        <f t="shared" si="117"/>
        <v>96.2</v>
      </c>
      <c r="BH151" s="1">
        <f t="shared" si="118"/>
        <v>91.1</v>
      </c>
      <c r="BI151" s="1">
        <f t="shared" si="119"/>
        <v>81</v>
      </c>
      <c r="BJ151" s="7">
        <f t="shared" si="120"/>
        <v>0.81299999999999994</v>
      </c>
      <c r="BK151" s="7">
        <f t="shared" si="121"/>
        <v>0.191</v>
      </c>
      <c r="BM151" s="5">
        <f t="shared" si="122"/>
        <v>7.37</v>
      </c>
      <c r="BN151" s="5">
        <f t="shared" si="123"/>
        <v>4.5</v>
      </c>
      <c r="BO151" s="1">
        <f t="shared" si="124"/>
        <v>4.8</v>
      </c>
      <c r="BP151" s="1">
        <f t="shared" si="125"/>
        <v>7</v>
      </c>
      <c r="BQ151" s="1">
        <f t="shared" si="126"/>
        <v>3.3</v>
      </c>
      <c r="BR151" s="1">
        <f t="shared" si="127"/>
        <v>91.1</v>
      </c>
      <c r="BS151" s="1">
        <f t="shared" si="128"/>
        <v>81</v>
      </c>
      <c r="BT151" s="1">
        <f t="shared" si="129"/>
        <v>1</v>
      </c>
      <c r="BU151" s="1">
        <f t="shared" si="130"/>
        <v>4.5</v>
      </c>
      <c r="BV151" s="33">
        <f t="shared" si="131"/>
        <v>15</v>
      </c>
      <c r="BW151" s="34">
        <f t="shared" si="132"/>
        <v>0.51300000000000001</v>
      </c>
      <c r="BX151" s="20">
        <f t="shared" si="133"/>
        <v>0.1</v>
      </c>
      <c r="BY151" s="1">
        <f t="shared" si="134"/>
        <v>2.6</v>
      </c>
      <c r="BZ151" s="1">
        <f t="shared" si="135"/>
        <v>6.7</v>
      </c>
      <c r="CA151" s="1">
        <f t="shared" si="136"/>
        <v>1.3</v>
      </c>
      <c r="CB151" s="1">
        <f t="shared" si="137"/>
        <v>0.1</v>
      </c>
      <c r="CC151" s="1">
        <f t="shared" si="138"/>
        <v>0.6</v>
      </c>
      <c r="CD151" s="1">
        <f t="shared" si="139"/>
        <v>0.9</v>
      </c>
      <c r="CE151" s="1" t="str">
        <f t="shared" si="140"/>
        <v>NAN</v>
      </c>
      <c r="CF151" s="1">
        <f t="shared" si="141"/>
        <v>0.81299999999999994</v>
      </c>
      <c r="CG151" s="1">
        <f t="shared" si="142"/>
        <v>0.191</v>
      </c>
      <c r="CI151" s="1">
        <f t="shared" si="106"/>
        <v>2880</v>
      </c>
      <c r="CJ151" s="1">
        <f t="shared" si="107"/>
        <v>0.13</v>
      </c>
      <c r="CK151" s="1">
        <f t="shared" si="108"/>
        <v>3.2000000000000001E-2</v>
      </c>
      <c r="CL151" s="1">
        <f t="shared" si="109"/>
        <v>1.7999999999999999E-2</v>
      </c>
      <c r="CM151" s="1">
        <f t="shared" si="110"/>
        <v>5.2999999999999999E-2</v>
      </c>
      <c r="CN151" s="1">
        <f t="shared" si="111"/>
        <v>6.9000000000000006E-2</v>
      </c>
      <c r="CO151" s="1">
        <f t="shared" si="112"/>
        <v>0.187</v>
      </c>
      <c r="CP151" s="1">
        <f t="shared" si="113"/>
        <v>0.24299999999999999</v>
      </c>
      <c r="CQ151" s="1">
        <f t="shared" si="114"/>
        <v>0.26800000000000002</v>
      </c>
      <c r="CS151" s="1">
        <f t="shared" si="145"/>
        <v>-0.29999999999999982</v>
      </c>
      <c r="CT151" s="1">
        <f t="shared" si="146"/>
        <v>-1.9999999999999998</v>
      </c>
    </row>
    <row r="152" spans="1:98" x14ac:dyDescent="0.2">
      <c r="A152" s="8">
        <f t="shared" si="143"/>
        <v>43977</v>
      </c>
      <c r="B152" s="1">
        <v>147</v>
      </c>
      <c r="C152" s="1">
        <v>11</v>
      </c>
      <c r="D152" s="2">
        <v>13.04</v>
      </c>
      <c r="E152" s="2">
        <v>10.77</v>
      </c>
      <c r="F152" s="2">
        <v>1.0999999999999999E-2</v>
      </c>
      <c r="G152" s="2">
        <v>4.7530000000000001</v>
      </c>
      <c r="H152" s="2">
        <v>77.12</v>
      </c>
      <c r="I152" s="2">
        <v>3.3000000000000002E-2</v>
      </c>
      <c r="J152" s="2">
        <v>9.7000000000000003E-2</v>
      </c>
      <c r="K152" s="2">
        <v>8.4000000000000005E-2</v>
      </c>
      <c r="L152" s="2">
        <v>0.66200000000000003</v>
      </c>
      <c r="M152" s="2">
        <v>0.87</v>
      </c>
      <c r="N152" s="2">
        <v>9.8000000000000007</v>
      </c>
      <c r="O152" s="2">
        <v>95.5</v>
      </c>
      <c r="P152" s="2">
        <v>0.157</v>
      </c>
      <c r="Q152" s="2">
        <v>0.47799999999999998</v>
      </c>
      <c r="R152" s="2">
        <v>0.20100000000000001</v>
      </c>
      <c r="S152" s="2">
        <v>0.78900000000000003</v>
      </c>
      <c r="T152" s="2">
        <v>1.0009999999999999</v>
      </c>
      <c r="U152" s="2">
        <v>0.86899999999999999</v>
      </c>
      <c r="V152" s="2">
        <v>43.59</v>
      </c>
      <c r="W152" s="2">
        <v>-7.5999999999999998E-2</v>
      </c>
      <c r="X152" s="2">
        <v>-5.8000000000000003E-2</v>
      </c>
      <c r="Y152" s="2">
        <v>-1.2999999999999999E-2</v>
      </c>
      <c r="Z152" s="2">
        <v>0.57199999999999995</v>
      </c>
      <c r="AA152" s="2">
        <v>0.72899999999999998</v>
      </c>
      <c r="AB152" s="2">
        <v>2.137</v>
      </c>
      <c r="AC152" s="2">
        <v>0</v>
      </c>
      <c r="AD152" s="2">
        <v>18.79</v>
      </c>
      <c r="AE152" s="2">
        <v>11.52</v>
      </c>
      <c r="AF152" s="2">
        <v>1.4279999999999999</v>
      </c>
      <c r="AG152" s="2">
        <v>5.4269999999999996</v>
      </c>
      <c r="AH152" s="2">
        <v>2.7949999999999999</v>
      </c>
      <c r="AI152" s="2">
        <v>9.34</v>
      </c>
      <c r="AJ152" s="2">
        <v>-0.28199999999999997</v>
      </c>
      <c r="AK152" s="2">
        <v>16.079999999999998</v>
      </c>
      <c r="AL152" s="2">
        <v>0.49199999999999999</v>
      </c>
      <c r="AM152" s="2">
        <v>2.133</v>
      </c>
      <c r="AN152" s="2" t="s">
        <v>122</v>
      </c>
      <c r="AO152" s="2">
        <v>684</v>
      </c>
      <c r="AP152" s="2">
        <v>621</v>
      </c>
      <c r="AQ152" s="2">
        <v>505</v>
      </c>
      <c r="AR152" s="2">
        <v>63</v>
      </c>
      <c r="AS152" s="2">
        <v>24</v>
      </c>
      <c r="AT152" s="2">
        <v>80</v>
      </c>
      <c r="AU152" s="2">
        <v>302</v>
      </c>
      <c r="AV152" s="2">
        <v>601</v>
      </c>
      <c r="AW152" s="2"/>
      <c r="AX152" s="1">
        <f t="shared" si="115"/>
        <v>0.41299999999999981</v>
      </c>
      <c r="AY152" s="22">
        <f t="shared" si="147"/>
        <v>0.1</v>
      </c>
      <c r="AZ152" s="5">
        <v>32.29</v>
      </c>
      <c r="BA152" s="1">
        <v>18.79</v>
      </c>
      <c r="BB152" s="1">
        <v>10.6</v>
      </c>
      <c r="BC152" s="6">
        <f t="shared" si="144"/>
        <v>0.564129856306546</v>
      </c>
      <c r="BE152" s="30">
        <v>1</v>
      </c>
      <c r="BF152" s="27">
        <v>452.99999999999983</v>
      </c>
      <c r="BG152" s="1">
        <f t="shared" si="117"/>
        <v>95.5</v>
      </c>
      <c r="BH152" s="1">
        <f t="shared" si="118"/>
        <v>77.099999999999994</v>
      </c>
      <c r="BI152" s="1">
        <f t="shared" si="119"/>
        <v>43.6</v>
      </c>
      <c r="BJ152" s="7">
        <f t="shared" si="120"/>
        <v>0.52800000000000002</v>
      </c>
      <c r="BK152" s="7">
        <f t="shared" si="121"/>
        <v>0.68300000000000005</v>
      </c>
      <c r="BM152" s="5">
        <f t="shared" si="122"/>
        <v>18.79</v>
      </c>
      <c r="BN152" s="5">
        <f t="shared" si="123"/>
        <v>10.6</v>
      </c>
      <c r="BO152" s="1">
        <f t="shared" si="124"/>
        <v>4.8</v>
      </c>
      <c r="BP152" s="1">
        <f t="shared" si="125"/>
        <v>9.8000000000000007</v>
      </c>
      <c r="BQ152" s="1">
        <f t="shared" si="126"/>
        <v>0.9</v>
      </c>
      <c r="BR152" s="1">
        <f t="shared" si="127"/>
        <v>77.099999999999994</v>
      </c>
      <c r="BS152" s="1">
        <f t="shared" si="128"/>
        <v>43.6</v>
      </c>
      <c r="BT152" s="1">
        <f t="shared" si="129"/>
        <v>1.4</v>
      </c>
      <c r="BU152" s="1">
        <f t="shared" si="130"/>
        <v>5.4</v>
      </c>
      <c r="BV152" s="33">
        <f t="shared" si="131"/>
        <v>1</v>
      </c>
      <c r="BW152" s="34">
        <f t="shared" si="132"/>
        <v>0.45300000000000001</v>
      </c>
      <c r="BX152" s="20">
        <f t="shared" si="133"/>
        <v>0.1</v>
      </c>
      <c r="BY152" s="1">
        <f t="shared" si="134"/>
        <v>2.8</v>
      </c>
      <c r="BZ152" s="1">
        <f t="shared" si="135"/>
        <v>9.3000000000000007</v>
      </c>
      <c r="CA152" s="1">
        <f t="shared" si="136"/>
        <v>-0.3</v>
      </c>
      <c r="CB152" s="1">
        <f t="shared" si="137"/>
        <v>0.1</v>
      </c>
      <c r="CC152" s="1">
        <f t="shared" si="138"/>
        <v>0.7</v>
      </c>
      <c r="CD152" s="1">
        <f t="shared" si="139"/>
        <v>0.9</v>
      </c>
      <c r="CE152" s="1" t="str">
        <f t="shared" si="140"/>
        <v>NAN</v>
      </c>
      <c r="CF152" s="1">
        <f t="shared" si="141"/>
        <v>0.52800000000000002</v>
      </c>
      <c r="CG152" s="1">
        <f t="shared" si="142"/>
        <v>0.68300000000000005</v>
      </c>
      <c r="CI152" s="1">
        <f t="shared" si="106"/>
        <v>2880</v>
      </c>
      <c r="CJ152" s="1">
        <f t="shared" si="107"/>
        <v>0.23799999999999999</v>
      </c>
      <c r="CK152" s="1">
        <f t="shared" si="108"/>
        <v>0.216</v>
      </c>
      <c r="CL152" s="1">
        <f t="shared" si="109"/>
        <v>0.17499999999999999</v>
      </c>
      <c r="CM152" s="1">
        <f t="shared" si="110"/>
        <v>2.1999999999999999E-2</v>
      </c>
      <c r="CN152" s="1">
        <f t="shared" si="111"/>
        <v>8.0000000000000002E-3</v>
      </c>
      <c r="CO152" s="1">
        <f t="shared" si="112"/>
        <v>2.8000000000000001E-2</v>
      </c>
      <c r="CP152" s="1">
        <f t="shared" si="113"/>
        <v>0.105</v>
      </c>
      <c r="CQ152" s="1">
        <f t="shared" si="114"/>
        <v>0.20899999999999999</v>
      </c>
      <c r="CS152" s="1">
        <f t="shared" si="145"/>
        <v>-0.5</v>
      </c>
      <c r="CT152" s="1">
        <f t="shared" si="146"/>
        <v>-1.2</v>
      </c>
    </row>
    <row r="153" spans="1:98" x14ac:dyDescent="0.2">
      <c r="A153" s="8">
        <f t="shared" si="143"/>
        <v>43978</v>
      </c>
      <c r="B153" s="1">
        <v>148</v>
      </c>
      <c r="C153" s="1">
        <v>11</v>
      </c>
      <c r="D153" s="2">
        <v>13.02</v>
      </c>
      <c r="E153" s="2">
        <v>14.49</v>
      </c>
      <c r="F153" s="2">
        <v>-1.8640000000000001</v>
      </c>
      <c r="G153" s="2">
        <v>6.1740000000000004</v>
      </c>
      <c r="H153" s="2">
        <v>58.65</v>
      </c>
      <c r="I153" s="2">
        <v>2.4E-2</v>
      </c>
      <c r="J153" s="2">
        <v>0.93700000000000006</v>
      </c>
      <c r="K153" s="2">
        <v>7.2999999999999995E-2</v>
      </c>
      <c r="L153" s="2">
        <v>0.64200000000000002</v>
      </c>
      <c r="M153" s="2">
        <v>0.84</v>
      </c>
      <c r="N153" s="2">
        <v>13.41</v>
      </c>
      <c r="O153" s="2">
        <v>94.8</v>
      </c>
      <c r="P153" s="2">
        <v>0.18</v>
      </c>
      <c r="Q153" s="2">
        <v>3.593</v>
      </c>
      <c r="R153" s="2">
        <v>0.215</v>
      </c>
      <c r="S153" s="2">
        <v>0.78800000000000003</v>
      </c>
      <c r="T153" s="2">
        <v>1.008</v>
      </c>
      <c r="U153" s="2">
        <v>9.5000000000000001E-2</v>
      </c>
      <c r="V153" s="2">
        <v>30.22</v>
      </c>
      <c r="W153" s="2">
        <v>-0.10199999999999999</v>
      </c>
      <c r="X153" s="2">
        <v>-0.439</v>
      </c>
      <c r="Y153" s="2">
        <v>-2.4E-2</v>
      </c>
      <c r="Z153" s="2">
        <v>0.54300000000000004</v>
      </c>
      <c r="AA153" s="2">
        <v>0.71399999999999997</v>
      </c>
      <c r="AB153" s="2">
        <v>2.2069999999999999</v>
      </c>
      <c r="AC153" s="2">
        <v>0</v>
      </c>
      <c r="AD153" s="2">
        <v>28.62</v>
      </c>
      <c r="AE153" s="2">
        <v>16.850000000000001</v>
      </c>
      <c r="AF153" s="2">
        <v>1.06</v>
      </c>
      <c r="AG153" s="2">
        <v>4.0279999999999996</v>
      </c>
      <c r="AH153" s="2">
        <v>3.35</v>
      </c>
      <c r="AI153" s="2">
        <v>10.37</v>
      </c>
      <c r="AJ153" s="2">
        <v>-2.3889999999999998</v>
      </c>
      <c r="AK153" s="2">
        <v>20.14</v>
      </c>
      <c r="AL153" s="2">
        <v>-0.89500000000000002</v>
      </c>
      <c r="AM153" s="2">
        <v>2.1859999999999999</v>
      </c>
      <c r="AN153" s="2" t="s">
        <v>122</v>
      </c>
      <c r="AO153" s="2">
        <v>378</v>
      </c>
      <c r="AP153" s="2">
        <v>699</v>
      </c>
      <c r="AQ153" s="2">
        <v>1200</v>
      </c>
      <c r="AR153" s="2">
        <v>169</v>
      </c>
      <c r="AS153" s="2">
        <v>40</v>
      </c>
      <c r="AT153" s="2">
        <v>56</v>
      </c>
      <c r="AU153" s="2">
        <v>120</v>
      </c>
      <c r="AV153" s="2">
        <v>218</v>
      </c>
      <c r="AW153" s="2"/>
      <c r="AX153" s="1">
        <f t="shared" si="115"/>
        <v>0.34299999999999997</v>
      </c>
      <c r="AY153" s="23">
        <f>ROUND(K153,1)</f>
        <v>0.1</v>
      </c>
      <c r="AZ153" s="5">
        <v>32.39</v>
      </c>
      <c r="BA153" s="1">
        <v>28.62</v>
      </c>
      <c r="BB153" s="1">
        <v>15.5</v>
      </c>
      <c r="BC153" s="6">
        <f t="shared" si="144"/>
        <v>0.54157931516422075</v>
      </c>
      <c r="BE153" s="30">
        <v>0</v>
      </c>
      <c r="BF153" s="27">
        <v>383</v>
      </c>
      <c r="BG153" s="1">
        <f t="shared" si="117"/>
        <v>94.8</v>
      </c>
      <c r="BH153" s="1">
        <f t="shared" si="118"/>
        <v>58.7</v>
      </c>
      <c r="BI153" s="1">
        <f t="shared" si="119"/>
        <v>30.2</v>
      </c>
      <c r="BJ153" s="7">
        <f t="shared" si="120"/>
        <v>0.46400000000000002</v>
      </c>
      <c r="BK153" s="7">
        <f t="shared" si="121"/>
        <v>1.0720000000000001</v>
      </c>
      <c r="BM153" s="5">
        <f t="shared" si="122"/>
        <v>28.62</v>
      </c>
      <c r="BN153" s="5">
        <f t="shared" si="123"/>
        <v>15.5</v>
      </c>
      <c r="BO153" s="1">
        <f t="shared" si="124"/>
        <v>6.2</v>
      </c>
      <c r="BP153" s="1">
        <f t="shared" si="125"/>
        <v>13.4</v>
      </c>
      <c r="BQ153" s="1">
        <f t="shared" si="126"/>
        <v>0.1</v>
      </c>
      <c r="BR153" s="1">
        <f t="shared" si="127"/>
        <v>58.7</v>
      </c>
      <c r="BS153" s="1">
        <f t="shared" si="128"/>
        <v>30.2</v>
      </c>
      <c r="BT153" s="1">
        <f t="shared" si="129"/>
        <v>1.1000000000000001</v>
      </c>
      <c r="BU153" s="1">
        <f t="shared" si="130"/>
        <v>4</v>
      </c>
      <c r="BV153" s="33">
        <f t="shared" si="131"/>
        <v>0</v>
      </c>
      <c r="BW153" s="34">
        <f t="shared" si="132"/>
        <v>0.38300000000000001</v>
      </c>
      <c r="BX153" s="20">
        <f t="shared" si="133"/>
        <v>0.1</v>
      </c>
      <c r="BY153" s="1">
        <f t="shared" si="134"/>
        <v>3.4</v>
      </c>
      <c r="BZ153" s="1">
        <f t="shared" si="135"/>
        <v>10.4</v>
      </c>
      <c r="CA153" s="1">
        <f t="shared" si="136"/>
        <v>-2.4</v>
      </c>
      <c r="CB153" s="1">
        <f t="shared" si="137"/>
        <v>0.1</v>
      </c>
      <c r="CC153" s="1">
        <f t="shared" si="138"/>
        <v>0.6</v>
      </c>
      <c r="CD153" s="1">
        <f t="shared" si="139"/>
        <v>0.8</v>
      </c>
      <c r="CE153" s="1" t="str">
        <f t="shared" si="140"/>
        <v>NAN</v>
      </c>
      <c r="CF153" s="1">
        <f t="shared" si="141"/>
        <v>0.46400000000000002</v>
      </c>
      <c r="CG153" s="1">
        <f t="shared" si="142"/>
        <v>1.0720000000000001</v>
      </c>
      <c r="CI153" s="1">
        <f t="shared" si="106"/>
        <v>2880</v>
      </c>
      <c r="CJ153" s="1">
        <f t="shared" si="107"/>
        <v>0.13100000000000001</v>
      </c>
      <c r="CK153" s="1">
        <f t="shared" si="108"/>
        <v>0.24299999999999999</v>
      </c>
      <c r="CL153" s="1">
        <f t="shared" si="109"/>
        <v>0.41699999999999998</v>
      </c>
      <c r="CM153" s="1">
        <f t="shared" si="110"/>
        <v>5.8999999999999997E-2</v>
      </c>
      <c r="CN153" s="1">
        <f t="shared" si="111"/>
        <v>1.4E-2</v>
      </c>
      <c r="CO153" s="1">
        <f t="shared" si="112"/>
        <v>1.9E-2</v>
      </c>
      <c r="CP153" s="1">
        <f t="shared" si="113"/>
        <v>4.2000000000000003E-2</v>
      </c>
      <c r="CQ153" s="1">
        <f t="shared" si="114"/>
        <v>7.5999999999999998E-2</v>
      </c>
      <c r="CS153" s="1">
        <f t="shared" si="145"/>
        <v>-3</v>
      </c>
      <c r="CT153" s="1">
        <f t="shared" si="146"/>
        <v>-2.5</v>
      </c>
    </row>
    <row r="154" spans="1:98" x14ac:dyDescent="0.2">
      <c r="A154" s="8">
        <f t="shared" si="143"/>
        <v>43979</v>
      </c>
      <c r="B154" s="1">
        <v>149</v>
      </c>
      <c r="C154" s="1">
        <v>11</v>
      </c>
      <c r="D154" s="2">
        <v>13.02</v>
      </c>
      <c r="E154" s="2">
        <v>17.559999999999999</v>
      </c>
      <c r="F154" s="2">
        <v>1.3080000000000001</v>
      </c>
      <c r="G154" s="2">
        <v>10.81</v>
      </c>
      <c r="H154" s="2">
        <v>45.36</v>
      </c>
      <c r="I154" s="2">
        <v>5.8999999999999997E-2</v>
      </c>
      <c r="J154" s="2">
        <v>3.4060000000000001</v>
      </c>
      <c r="K154" s="2">
        <v>8.6999999999999994E-2</v>
      </c>
      <c r="L154" s="2">
        <v>0.64100000000000001</v>
      </c>
      <c r="M154" s="2">
        <v>0.84199999999999997</v>
      </c>
      <c r="N154" s="2">
        <v>17.27</v>
      </c>
      <c r="O154" s="2">
        <v>62.3</v>
      </c>
      <c r="P154" s="2">
        <v>0.21299999999999999</v>
      </c>
      <c r="Q154" s="2">
        <v>12.1</v>
      </c>
      <c r="R154" s="2">
        <v>0.192</v>
      </c>
      <c r="S154" s="2">
        <v>0.73299999999999998</v>
      </c>
      <c r="T154" s="2">
        <v>0.95899999999999996</v>
      </c>
      <c r="U154" s="2">
        <v>4.84</v>
      </c>
      <c r="V154" s="2">
        <v>25.56</v>
      </c>
      <c r="W154" s="2">
        <v>-6.2E-2</v>
      </c>
      <c r="X154" s="2">
        <v>-0.56899999999999995</v>
      </c>
      <c r="Y154" s="2">
        <v>-5.2999999999999999E-2</v>
      </c>
      <c r="Z154" s="2">
        <v>0.53500000000000003</v>
      </c>
      <c r="AA154" s="2">
        <v>0.71899999999999997</v>
      </c>
      <c r="AB154" s="2">
        <v>2.258</v>
      </c>
      <c r="AC154" s="2">
        <v>0</v>
      </c>
      <c r="AD154" s="2">
        <v>20.28</v>
      </c>
      <c r="AE154" s="2">
        <v>10.74</v>
      </c>
      <c r="AF154" s="2">
        <v>1.0840000000000001</v>
      </c>
      <c r="AG154" s="2">
        <v>3.4369999999999998</v>
      </c>
      <c r="AH154" s="2">
        <v>5.7489999999999997</v>
      </c>
      <c r="AI154" s="2">
        <v>11.98</v>
      </c>
      <c r="AJ154" s="2">
        <v>0.79500000000000004</v>
      </c>
      <c r="AK154" s="2">
        <v>23.25</v>
      </c>
      <c r="AL154" s="2">
        <v>4.6449999999999996</v>
      </c>
      <c r="AM154" s="2">
        <v>2.2269999999999999</v>
      </c>
      <c r="AN154" s="2" t="s">
        <v>122</v>
      </c>
      <c r="AO154" s="2">
        <v>32</v>
      </c>
      <c r="AP154" s="2">
        <v>75</v>
      </c>
      <c r="AQ154" s="2">
        <v>703</v>
      </c>
      <c r="AR154" s="2">
        <v>458</v>
      </c>
      <c r="AS154" s="2">
        <v>501</v>
      </c>
      <c r="AT154" s="2">
        <v>564</v>
      </c>
      <c r="AU154" s="2">
        <v>435</v>
      </c>
      <c r="AV154" s="2">
        <v>112</v>
      </c>
      <c r="AW154" s="2"/>
      <c r="AX154" s="1">
        <f t="shared" si="115"/>
        <v>0.29199999999999982</v>
      </c>
      <c r="AY154" s="23">
        <f>ROUND(K154,1)</f>
        <v>0.1</v>
      </c>
      <c r="AZ154" s="5">
        <v>32.479999999999997</v>
      </c>
      <c r="BA154" s="1">
        <v>20.28</v>
      </c>
      <c r="BB154" s="1">
        <v>9.8800000000000008</v>
      </c>
      <c r="BC154" s="6">
        <f t="shared" si="144"/>
        <v>0.48717948717948717</v>
      </c>
      <c r="BE154" s="30">
        <v>0</v>
      </c>
      <c r="BF154" s="27">
        <v>331.99999999999983</v>
      </c>
      <c r="BG154" s="1">
        <f t="shared" si="117"/>
        <v>62.3</v>
      </c>
      <c r="BH154" s="1">
        <f t="shared" si="118"/>
        <v>45.4</v>
      </c>
      <c r="BI154" s="1">
        <f t="shared" si="119"/>
        <v>25.6</v>
      </c>
      <c r="BJ154" s="7">
        <f t="shared" si="120"/>
        <v>0.504</v>
      </c>
      <c r="BK154" s="7">
        <f t="shared" si="121"/>
        <v>1.4650000000000001</v>
      </c>
      <c r="BM154" s="5">
        <f t="shared" si="122"/>
        <v>20.28</v>
      </c>
      <c r="BN154" s="5">
        <f t="shared" si="123"/>
        <v>9.8800000000000008</v>
      </c>
      <c r="BO154" s="1">
        <f t="shared" si="124"/>
        <v>10.8</v>
      </c>
      <c r="BP154" s="1">
        <f t="shared" si="125"/>
        <v>17.3</v>
      </c>
      <c r="BQ154" s="1">
        <f t="shared" si="126"/>
        <v>4.8</v>
      </c>
      <c r="BR154" s="1">
        <f t="shared" si="127"/>
        <v>45.4</v>
      </c>
      <c r="BS154" s="1">
        <f t="shared" si="128"/>
        <v>25.6</v>
      </c>
      <c r="BT154" s="1">
        <f t="shared" si="129"/>
        <v>1.1000000000000001</v>
      </c>
      <c r="BU154" s="1">
        <f t="shared" si="130"/>
        <v>3.4</v>
      </c>
      <c r="BV154" s="33">
        <f t="shared" si="131"/>
        <v>0</v>
      </c>
      <c r="BW154" s="34">
        <f t="shared" si="132"/>
        <v>0.33200000000000002</v>
      </c>
      <c r="BX154" s="20">
        <f t="shared" si="133"/>
        <v>0.1</v>
      </c>
      <c r="BY154" s="1">
        <f t="shared" si="134"/>
        <v>5.7</v>
      </c>
      <c r="BZ154" s="1">
        <f t="shared" si="135"/>
        <v>12</v>
      </c>
      <c r="CA154" s="1">
        <f t="shared" si="136"/>
        <v>0.8</v>
      </c>
      <c r="CB154" s="1">
        <f t="shared" si="137"/>
        <v>0.1</v>
      </c>
      <c r="CC154" s="1">
        <f t="shared" si="138"/>
        <v>0.6</v>
      </c>
      <c r="CD154" s="1">
        <f t="shared" si="139"/>
        <v>0.8</v>
      </c>
      <c r="CE154" s="1" t="str">
        <f t="shared" si="140"/>
        <v>NAN</v>
      </c>
      <c r="CF154" s="1">
        <f t="shared" si="141"/>
        <v>0.504</v>
      </c>
      <c r="CG154" s="1">
        <f t="shared" si="142"/>
        <v>1.4650000000000001</v>
      </c>
      <c r="CI154" s="1">
        <f t="shared" si="106"/>
        <v>2880</v>
      </c>
      <c r="CJ154" s="1">
        <f t="shared" si="107"/>
        <v>1.0999999999999999E-2</v>
      </c>
      <c r="CK154" s="1">
        <f t="shared" si="108"/>
        <v>2.5999999999999999E-2</v>
      </c>
      <c r="CL154" s="1">
        <f t="shared" si="109"/>
        <v>0.24399999999999999</v>
      </c>
      <c r="CM154" s="1">
        <f t="shared" si="110"/>
        <v>0.159</v>
      </c>
      <c r="CN154" s="1">
        <f t="shared" si="111"/>
        <v>0.17399999999999999</v>
      </c>
      <c r="CO154" s="1">
        <f t="shared" si="112"/>
        <v>0.19600000000000001</v>
      </c>
      <c r="CP154" s="1">
        <f t="shared" si="113"/>
        <v>0.151</v>
      </c>
      <c r="CQ154" s="1">
        <f t="shared" si="114"/>
        <v>3.9E-2</v>
      </c>
      <c r="CS154" s="1">
        <f t="shared" si="145"/>
        <v>-5.3000000000000007</v>
      </c>
      <c r="CT154" s="1">
        <f t="shared" si="146"/>
        <v>-4</v>
      </c>
    </row>
    <row r="155" spans="1:98" x14ac:dyDescent="0.2">
      <c r="A155" s="8">
        <f t="shared" si="143"/>
        <v>43980</v>
      </c>
      <c r="B155" s="1">
        <v>150</v>
      </c>
      <c r="C155" s="1">
        <v>11</v>
      </c>
      <c r="D155" s="2">
        <v>13.05</v>
      </c>
      <c r="E155" s="2">
        <v>23.01</v>
      </c>
      <c r="F155" s="2">
        <v>3.2490000000000001</v>
      </c>
      <c r="G155" s="2">
        <v>14.11</v>
      </c>
      <c r="H155" s="2">
        <v>47.18</v>
      </c>
      <c r="I155" s="2">
        <v>0.373</v>
      </c>
      <c r="J155" s="2">
        <v>8.58</v>
      </c>
      <c r="K155" s="2">
        <v>8.8999999999999996E-2</v>
      </c>
      <c r="L155" s="2">
        <v>0.66300000000000003</v>
      </c>
      <c r="M155" s="2">
        <v>0.86399999999999999</v>
      </c>
      <c r="N155" s="2">
        <v>22.14</v>
      </c>
      <c r="O155" s="2">
        <v>61.53</v>
      </c>
      <c r="P155" s="2">
        <v>2.2309999999999999</v>
      </c>
      <c r="Q155" s="2">
        <v>21.35</v>
      </c>
      <c r="R155" s="2">
        <v>0.19900000000000001</v>
      </c>
      <c r="S155" s="2">
        <v>0.79800000000000004</v>
      </c>
      <c r="T155" s="2">
        <v>1.016</v>
      </c>
      <c r="U155" s="2">
        <v>7.38</v>
      </c>
      <c r="V155" s="2">
        <v>25.42</v>
      </c>
      <c r="W155" s="2">
        <v>-3.5000000000000003E-2</v>
      </c>
      <c r="X155" s="2">
        <v>6.8000000000000005E-2</v>
      </c>
      <c r="Y155" s="2">
        <v>-3.5000000000000003E-2</v>
      </c>
      <c r="Z155" s="2">
        <v>0.54600000000000004</v>
      </c>
      <c r="AA155" s="2">
        <v>0.68400000000000005</v>
      </c>
      <c r="AB155" s="2">
        <v>2.339</v>
      </c>
      <c r="AC155" s="2">
        <v>0</v>
      </c>
      <c r="AD155" s="2">
        <v>22.59</v>
      </c>
      <c r="AE155" s="2">
        <v>12.05</v>
      </c>
      <c r="AF155" s="2">
        <v>0.94599999999999995</v>
      </c>
      <c r="AG155" s="2">
        <v>3.7650000000000001</v>
      </c>
      <c r="AH155" s="2">
        <v>7.6829999999999998</v>
      </c>
      <c r="AI155" s="2">
        <v>15.15</v>
      </c>
      <c r="AJ155" s="2">
        <v>2.7280000000000002</v>
      </c>
      <c r="AK155" s="2">
        <v>28.02</v>
      </c>
      <c r="AL155" s="2">
        <v>7.2690000000000001</v>
      </c>
      <c r="AM155" s="2">
        <v>2.29</v>
      </c>
      <c r="AN155" s="2" t="s">
        <v>122</v>
      </c>
      <c r="AO155" s="2">
        <v>46</v>
      </c>
      <c r="AP155" s="2">
        <v>35</v>
      </c>
      <c r="AQ155" s="2">
        <v>628</v>
      </c>
      <c r="AR155" s="2">
        <v>577</v>
      </c>
      <c r="AS155" s="2">
        <v>566</v>
      </c>
      <c r="AT155" s="2">
        <v>597</v>
      </c>
      <c r="AU155" s="2">
        <v>329</v>
      </c>
      <c r="AV155" s="2">
        <v>102</v>
      </c>
      <c r="AW155" s="2"/>
      <c r="AX155" s="1">
        <f t="shared" si="115"/>
        <v>0.21099999999999985</v>
      </c>
      <c r="AY155" s="23">
        <f>ROUND(K155,1)</f>
        <v>0.1</v>
      </c>
      <c r="AZ155" s="5">
        <v>32.56</v>
      </c>
      <c r="BA155" s="1">
        <v>22.58</v>
      </c>
      <c r="BB155" s="1">
        <v>11.09</v>
      </c>
      <c r="BC155" s="6">
        <f t="shared" si="144"/>
        <v>0.49114260407440213</v>
      </c>
      <c r="BE155" s="30">
        <v>0</v>
      </c>
      <c r="BF155" s="27">
        <v>250.99999999999989</v>
      </c>
      <c r="BG155" s="1">
        <f t="shared" si="117"/>
        <v>61.5</v>
      </c>
      <c r="BH155" s="1">
        <f t="shared" si="118"/>
        <v>47.2</v>
      </c>
      <c r="BI155" s="1">
        <f t="shared" si="119"/>
        <v>25.4</v>
      </c>
      <c r="BJ155" s="7">
        <f t="shared" si="120"/>
        <v>0.67700000000000005</v>
      </c>
      <c r="BK155" s="7">
        <f t="shared" si="121"/>
        <v>1.988</v>
      </c>
      <c r="BM155" s="5">
        <f t="shared" si="122"/>
        <v>22.58</v>
      </c>
      <c r="BN155" s="5">
        <f t="shared" si="123"/>
        <v>11.09</v>
      </c>
      <c r="BO155" s="1">
        <f t="shared" si="124"/>
        <v>14.1</v>
      </c>
      <c r="BP155" s="1">
        <f t="shared" si="125"/>
        <v>22.1</v>
      </c>
      <c r="BQ155" s="1">
        <f t="shared" si="126"/>
        <v>7.4</v>
      </c>
      <c r="BR155" s="1">
        <f t="shared" si="127"/>
        <v>47.2</v>
      </c>
      <c r="BS155" s="1">
        <f t="shared" si="128"/>
        <v>25.4</v>
      </c>
      <c r="BT155" s="1">
        <f t="shared" si="129"/>
        <v>0.9</v>
      </c>
      <c r="BU155" s="1">
        <f t="shared" si="130"/>
        <v>3.8</v>
      </c>
      <c r="BV155" s="33">
        <f t="shared" si="131"/>
        <v>0</v>
      </c>
      <c r="BW155" s="34">
        <f t="shared" si="132"/>
        <v>0.251</v>
      </c>
      <c r="BX155" s="20">
        <f t="shared" si="133"/>
        <v>0.1</v>
      </c>
      <c r="BY155" s="1">
        <f t="shared" si="134"/>
        <v>7.7</v>
      </c>
      <c r="BZ155" s="1">
        <f t="shared" si="135"/>
        <v>15.2</v>
      </c>
      <c r="CA155" s="1">
        <f t="shared" si="136"/>
        <v>2.7</v>
      </c>
      <c r="CB155" s="1">
        <f t="shared" si="137"/>
        <v>0.1</v>
      </c>
      <c r="CC155" s="1">
        <f t="shared" si="138"/>
        <v>0.7</v>
      </c>
      <c r="CD155" s="1">
        <f t="shared" si="139"/>
        <v>0.9</v>
      </c>
      <c r="CE155" s="1" t="str">
        <f t="shared" si="140"/>
        <v>NAN</v>
      </c>
      <c r="CF155" s="1">
        <f t="shared" si="141"/>
        <v>0.67700000000000005</v>
      </c>
      <c r="CG155" s="1">
        <f t="shared" si="142"/>
        <v>1.988</v>
      </c>
      <c r="CI155" s="1">
        <f t="shared" si="106"/>
        <v>2880</v>
      </c>
      <c r="CJ155" s="1">
        <f t="shared" si="107"/>
        <v>1.6E-2</v>
      </c>
      <c r="CK155" s="1">
        <f t="shared" si="108"/>
        <v>1.2E-2</v>
      </c>
      <c r="CL155" s="1">
        <f t="shared" si="109"/>
        <v>0.218</v>
      </c>
      <c r="CM155" s="1">
        <f t="shared" si="110"/>
        <v>0.2</v>
      </c>
      <c r="CN155" s="1">
        <f t="shared" si="111"/>
        <v>0.19700000000000001</v>
      </c>
      <c r="CO155" s="1">
        <f t="shared" si="112"/>
        <v>0.20699999999999999</v>
      </c>
      <c r="CP155" s="1">
        <f t="shared" si="113"/>
        <v>0.114</v>
      </c>
      <c r="CQ155" s="1">
        <f t="shared" si="114"/>
        <v>3.5000000000000003E-2</v>
      </c>
      <c r="CS155" s="1">
        <f t="shared" si="145"/>
        <v>-6.9000000000000021</v>
      </c>
      <c r="CT155" s="1">
        <f t="shared" si="146"/>
        <v>-4.7</v>
      </c>
    </row>
    <row r="156" spans="1:98" x14ac:dyDescent="0.2">
      <c r="A156" s="8">
        <f t="shared" si="143"/>
        <v>43981</v>
      </c>
      <c r="B156" s="1">
        <v>151</v>
      </c>
      <c r="C156" s="1">
        <v>11</v>
      </c>
      <c r="D156" s="2">
        <v>12.97</v>
      </c>
      <c r="E156" s="2">
        <v>17.559999999999999</v>
      </c>
      <c r="F156" s="2">
        <v>5.4630000000000001</v>
      </c>
      <c r="G156" s="2">
        <v>11.85</v>
      </c>
      <c r="H156" s="2">
        <v>69.900000000000006</v>
      </c>
      <c r="I156" s="2">
        <v>4.2220000000000004</v>
      </c>
      <c r="J156" s="2">
        <v>9.56</v>
      </c>
      <c r="K156" s="2">
        <v>0.11799999999999999</v>
      </c>
      <c r="L156" s="2">
        <v>0.69799999999999995</v>
      </c>
      <c r="M156" s="2">
        <v>0.89900000000000002</v>
      </c>
      <c r="N156" s="2">
        <v>18.190000000000001</v>
      </c>
      <c r="O156" s="2">
        <v>97</v>
      </c>
      <c r="P156" s="2">
        <v>15.07</v>
      </c>
      <c r="Q156" s="2">
        <v>19.2</v>
      </c>
      <c r="R156" s="2">
        <v>0.214</v>
      </c>
      <c r="S156" s="2">
        <v>0.81499999999999995</v>
      </c>
      <c r="T156" s="2">
        <v>1.012</v>
      </c>
      <c r="U156" s="2">
        <v>5.94</v>
      </c>
      <c r="V156" s="2">
        <v>47.13</v>
      </c>
      <c r="W156" s="2">
        <v>9.2999999999999999E-2</v>
      </c>
      <c r="X156" s="2">
        <v>3.1160000000000001</v>
      </c>
      <c r="Y156" s="2">
        <v>0</v>
      </c>
      <c r="Z156" s="2">
        <v>0.56999999999999995</v>
      </c>
      <c r="AA156" s="2">
        <v>0.72699999999999998</v>
      </c>
      <c r="AB156" s="2">
        <v>2.419</v>
      </c>
      <c r="AC156" s="2">
        <v>0</v>
      </c>
      <c r="AD156" s="2">
        <v>11.23</v>
      </c>
      <c r="AE156" s="2">
        <v>5.694</v>
      </c>
      <c r="AF156" s="2">
        <v>1.486</v>
      </c>
      <c r="AG156" s="2">
        <v>4.3109999999999999</v>
      </c>
      <c r="AH156" s="2">
        <v>6.2859999999999996</v>
      </c>
      <c r="AI156" s="2">
        <v>13.11</v>
      </c>
      <c r="AJ156" s="2">
        <v>3.222</v>
      </c>
      <c r="AK156" s="2">
        <v>23.49</v>
      </c>
      <c r="AL156" s="2">
        <v>5.4640000000000004</v>
      </c>
      <c r="AM156" s="2">
        <v>2.39</v>
      </c>
      <c r="AN156" s="2" t="s">
        <v>122</v>
      </c>
      <c r="AO156" s="2">
        <v>229</v>
      </c>
      <c r="AP156" s="2">
        <v>744</v>
      </c>
      <c r="AQ156" s="2">
        <v>349</v>
      </c>
      <c r="AR156" s="2">
        <v>337</v>
      </c>
      <c r="AS156" s="2">
        <v>609</v>
      </c>
      <c r="AT156" s="2">
        <v>401</v>
      </c>
      <c r="AU156" s="2">
        <v>133</v>
      </c>
      <c r="AV156" s="2">
        <v>78</v>
      </c>
      <c r="AW156" s="2"/>
      <c r="AX156" s="1">
        <f t="shared" si="115"/>
        <v>0.13099999999999978</v>
      </c>
      <c r="AY156" s="23">
        <f>ROUND(K156,1)</f>
        <v>0.1</v>
      </c>
      <c r="AZ156" s="5">
        <v>32.64</v>
      </c>
      <c r="BA156" s="1">
        <v>11.24</v>
      </c>
      <c r="BB156" s="1">
        <v>5.24</v>
      </c>
      <c r="BC156" s="6">
        <f t="shared" si="144"/>
        <v>0.46619217081850534</v>
      </c>
      <c r="BE156" s="30">
        <v>7</v>
      </c>
      <c r="BF156" s="27">
        <v>170.99999999999983</v>
      </c>
      <c r="BG156" s="1">
        <f t="shared" si="117"/>
        <v>97</v>
      </c>
      <c r="BH156" s="1">
        <f t="shared" si="118"/>
        <v>69.900000000000006</v>
      </c>
      <c r="BI156" s="1">
        <f t="shared" si="119"/>
        <v>47.1</v>
      </c>
      <c r="BJ156" s="7">
        <f t="shared" si="120"/>
        <v>0.98399999999999999</v>
      </c>
      <c r="BK156" s="7">
        <f t="shared" si="121"/>
        <v>1.105</v>
      </c>
      <c r="BM156" s="5">
        <f t="shared" si="122"/>
        <v>11.24</v>
      </c>
      <c r="BN156" s="5">
        <f t="shared" si="123"/>
        <v>5.24</v>
      </c>
      <c r="BO156" s="1">
        <f t="shared" si="124"/>
        <v>11.9</v>
      </c>
      <c r="BP156" s="1">
        <f t="shared" si="125"/>
        <v>18.2</v>
      </c>
      <c r="BQ156" s="1">
        <f t="shared" si="126"/>
        <v>5.9</v>
      </c>
      <c r="BR156" s="1">
        <f t="shared" si="127"/>
        <v>69.900000000000006</v>
      </c>
      <c r="BS156" s="1">
        <f t="shared" si="128"/>
        <v>47.1</v>
      </c>
      <c r="BT156" s="1">
        <f t="shared" si="129"/>
        <v>1.5</v>
      </c>
      <c r="BU156" s="1">
        <f t="shared" si="130"/>
        <v>4.3</v>
      </c>
      <c r="BV156" s="33">
        <f t="shared" si="131"/>
        <v>7</v>
      </c>
      <c r="BW156" s="34">
        <f t="shared" si="132"/>
        <v>0.17100000000000001</v>
      </c>
      <c r="BX156" s="20">
        <f t="shared" si="133"/>
        <v>0.1</v>
      </c>
      <c r="BY156" s="1">
        <f t="shared" si="134"/>
        <v>6.3</v>
      </c>
      <c r="BZ156" s="1">
        <f t="shared" si="135"/>
        <v>13.1</v>
      </c>
      <c r="CA156" s="1">
        <f t="shared" si="136"/>
        <v>3.2</v>
      </c>
      <c r="CB156" s="1">
        <f t="shared" si="137"/>
        <v>0.1</v>
      </c>
      <c r="CC156" s="1">
        <f t="shared" si="138"/>
        <v>0.7</v>
      </c>
      <c r="CD156" s="1">
        <f t="shared" si="139"/>
        <v>0.9</v>
      </c>
      <c r="CE156" s="1" t="str">
        <f t="shared" si="140"/>
        <v>NAN</v>
      </c>
      <c r="CF156" s="1">
        <f t="shared" si="141"/>
        <v>0.98399999999999999</v>
      </c>
      <c r="CG156" s="1">
        <f t="shared" si="142"/>
        <v>1.105</v>
      </c>
      <c r="CI156" s="1">
        <f t="shared" si="106"/>
        <v>2880</v>
      </c>
      <c r="CJ156" s="1">
        <f t="shared" si="107"/>
        <v>0.08</v>
      </c>
      <c r="CK156" s="1">
        <f t="shared" si="108"/>
        <v>0.25800000000000001</v>
      </c>
      <c r="CL156" s="1">
        <f t="shared" si="109"/>
        <v>0.121</v>
      </c>
      <c r="CM156" s="1">
        <f t="shared" si="110"/>
        <v>0.11700000000000001</v>
      </c>
      <c r="CN156" s="1">
        <f t="shared" si="111"/>
        <v>0.21099999999999999</v>
      </c>
      <c r="CO156" s="1">
        <f t="shared" si="112"/>
        <v>0.13900000000000001</v>
      </c>
      <c r="CP156" s="1">
        <f t="shared" si="113"/>
        <v>4.5999999999999999E-2</v>
      </c>
      <c r="CQ156" s="1">
        <f t="shared" si="114"/>
        <v>2.7E-2</v>
      </c>
      <c r="CS156" s="1">
        <f t="shared" si="145"/>
        <v>-5.0999999999999996</v>
      </c>
      <c r="CT156" s="1">
        <f t="shared" si="146"/>
        <v>-2.7</v>
      </c>
    </row>
    <row r="157" spans="1:98" x14ac:dyDescent="0.2">
      <c r="A157" s="8">
        <f t="shared" si="143"/>
        <v>43982</v>
      </c>
      <c r="B157" s="1">
        <v>152</v>
      </c>
      <c r="C157" s="1">
        <v>11</v>
      </c>
      <c r="D157" s="2">
        <v>13.07</v>
      </c>
      <c r="E157" s="2">
        <v>7.3330000000000002</v>
      </c>
      <c r="F157" s="2">
        <v>-2.5489999999999999</v>
      </c>
      <c r="G157" s="2">
        <v>2.8079999999999998</v>
      </c>
      <c r="H157" s="2">
        <v>91.8</v>
      </c>
      <c r="I157" s="2">
        <v>1.7490000000000001</v>
      </c>
      <c r="J157" s="2">
        <v>2.073</v>
      </c>
      <c r="K157" s="2">
        <v>0.19800000000000001</v>
      </c>
      <c r="L157" s="2">
        <v>0.747</v>
      </c>
      <c r="M157" s="2">
        <v>0.95599999999999996</v>
      </c>
      <c r="N157" s="2">
        <v>6.6920000000000002</v>
      </c>
      <c r="O157" s="2">
        <v>97.1</v>
      </c>
      <c r="P157" s="2">
        <v>9</v>
      </c>
      <c r="Q157" s="2">
        <v>6.56</v>
      </c>
      <c r="R157" s="2">
        <v>0.38400000000000001</v>
      </c>
      <c r="S157" s="2">
        <v>0.83199999999999996</v>
      </c>
      <c r="T157" s="2">
        <v>1.0740000000000001</v>
      </c>
      <c r="U157" s="2">
        <v>-0.71899999999999997</v>
      </c>
      <c r="V157" s="2">
        <v>70.91</v>
      </c>
      <c r="W157" s="2">
        <v>-2.5939999999999999</v>
      </c>
      <c r="X157" s="2">
        <v>-2.077</v>
      </c>
      <c r="Y157" s="2">
        <v>9.1999999999999998E-2</v>
      </c>
      <c r="Z157" s="2">
        <v>0.64700000000000002</v>
      </c>
      <c r="AA157" s="2">
        <v>0.752</v>
      </c>
      <c r="AB157" s="2">
        <v>2.4449999999999998</v>
      </c>
      <c r="AC157" s="2">
        <v>0.254</v>
      </c>
      <c r="AD157" s="2">
        <v>6.5830000000000002</v>
      </c>
      <c r="AE157" s="2">
        <v>3.125</v>
      </c>
      <c r="AF157" s="2">
        <v>1.2649999999999999</v>
      </c>
      <c r="AG157" s="2">
        <v>4.7450000000000001</v>
      </c>
      <c r="AH157" s="2">
        <v>1.4430000000000001</v>
      </c>
      <c r="AI157" s="2">
        <v>5.875</v>
      </c>
      <c r="AJ157" s="2">
        <v>-2.3010000000000002</v>
      </c>
      <c r="AK157" s="2">
        <v>9.34</v>
      </c>
      <c r="AL157" s="2">
        <v>-0.91100000000000003</v>
      </c>
      <c r="AM157" s="2">
        <v>2.4460000000000002</v>
      </c>
      <c r="AN157" s="2" t="s">
        <v>122</v>
      </c>
      <c r="AO157" s="2">
        <v>735</v>
      </c>
      <c r="AP157" s="2">
        <v>377</v>
      </c>
      <c r="AQ157" s="2">
        <v>248</v>
      </c>
      <c r="AR157" s="2">
        <v>53</v>
      </c>
      <c r="AS157" s="2">
        <v>8</v>
      </c>
      <c r="AT157" s="2">
        <v>65</v>
      </c>
      <c r="AU157" s="2">
        <v>425</v>
      </c>
      <c r="AV157" s="2">
        <v>969</v>
      </c>
      <c r="AW157" s="2"/>
      <c r="AX157" s="1">
        <f t="shared" si="115"/>
        <v>0.10499999999999998</v>
      </c>
      <c r="AY157" s="23">
        <f>ROUND(K157,1)</f>
        <v>0.2</v>
      </c>
      <c r="AZ157" s="5">
        <v>32.71</v>
      </c>
      <c r="BA157" s="1">
        <v>6.58</v>
      </c>
      <c r="BB157" s="1">
        <v>2.87</v>
      </c>
      <c r="BC157" s="6">
        <f t="shared" si="144"/>
        <v>0.43617021276595747</v>
      </c>
      <c r="BE157" s="30">
        <v>4.2539999999999996</v>
      </c>
      <c r="BF157" s="27">
        <v>145.00000000000003</v>
      </c>
      <c r="BG157" s="1">
        <f t="shared" si="117"/>
        <v>97.1</v>
      </c>
      <c r="BH157" s="1">
        <f t="shared" si="118"/>
        <v>91.8</v>
      </c>
      <c r="BI157" s="1">
        <f t="shared" si="119"/>
        <v>70.900000000000006</v>
      </c>
      <c r="BJ157" s="7">
        <f t="shared" si="120"/>
        <v>0.69499999999999995</v>
      </c>
      <c r="BK157" s="7">
        <f t="shared" si="121"/>
        <v>0.28499999999999998</v>
      </c>
      <c r="BM157" s="5">
        <f t="shared" si="122"/>
        <v>6.58</v>
      </c>
      <c r="BN157" s="5">
        <f t="shared" si="123"/>
        <v>2.87</v>
      </c>
      <c r="BO157" s="1">
        <f t="shared" si="124"/>
        <v>2.8</v>
      </c>
      <c r="BP157" s="1">
        <f t="shared" si="125"/>
        <v>6.7</v>
      </c>
      <c r="BQ157" s="1">
        <f t="shared" si="126"/>
        <v>-0.7</v>
      </c>
      <c r="BR157" s="1">
        <f t="shared" si="127"/>
        <v>91.8</v>
      </c>
      <c r="BS157" s="1">
        <f t="shared" si="128"/>
        <v>70.900000000000006</v>
      </c>
      <c r="BT157" s="1">
        <f t="shared" si="129"/>
        <v>1.3</v>
      </c>
      <c r="BU157" s="1">
        <f t="shared" si="130"/>
        <v>4.7</v>
      </c>
      <c r="BV157" s="33">
        <f t="shared" si="131"/>
        <v>4.2539999999999996</v>
      </c>
      <c r="BW157" s="34">
        <f t="shared" si="132"/>
        <v>0.14499999999999999</v>
      </c>
      <c r="BX157" s="20">
        <f t="shared" si="133"/>
        <v>0.2</v>
      </c>
      <c r="BY157" s="1">
        <f t="shared" si="134"/>
        <v>1.4</v>
      </c>
      <c r="BZ157" s="1">
        <f t="shared" si="135"/>
        <v>5.9</v>
      </c>
      <c r="CA157" s="1">
        <f t="shared" si="136"/>
        <v>-2.2999999999999998</v>
      </c>
      <c r="CB157" s="1">
        <f t="shared" si="137"/>
        <v>0.2</v>
      </c>
      <c r="CC157" s="1">
        <f t="shared" si="138"/>
        <v>0.7</v>
      </c>
      <c r="CD157" s="1">
        <f t="shared" si="139"/>
        <v>1</v>
      </c>
      <c r="CE157" s="1" t="str">
        <f t="shared" si="140"/>
        <v>NAN</v>
      </c>
      <c r="CF157" s="1">
        <f t="shared" si="141"/>
        <v>0.69499999999999995</v>
      </c>
      <c r="CG157" s="1">
        <f t="shared" si="142"/>
        <v>0.28499999999999998</v>
      </c>
      <c r="CI157" s="1">
        <f t="shared" si="106"/>
        <v>2880</v>
      </c>
      <c r="CJ157" s="1">
        <f t="shared" si="107"/>
        <v>0.255</v>
      </c>
      <c r="CK157" s="1">
        <f t="shared" si="108"/>
        <v>0.13100000000000001</v>
      </c>
      <c r="CL157" s="1">
        <f t="shared" si="109"/>
        <v>8.5999999999999993E-2</v>
      </c>
      <c r="CM157" s="1">
        <f t="shared" si="110"/>
        <v>1.7999999999999999E-2</v>
      </c>
      <c r="CN157" s="1">
        <f t="shared" si="111"/>
        <v>3.0000000000000001E-3</v>
      </c>
      <c r="CO157" s="1">
        <f t="shared" si="112"/>
        <v>2.3E-2</v>
      </c>
      <c r="CP157" s="1">
        <f t="shared" si="113"/>
        <v>0.14799999999999999</v>
      </c>
      <c r="CQ157" s="1">
        <f t="shared" si="114"/>
        <v>0.33600000000000002</v>
      </c>
      <c r="CS157" s="1">
        <f t="shared" si="145"/>
        <v>-0.79999999999999982</v>
      </c>
      <c r="CT157" s="1">
        <f t="shared" si="146"/>
        <v>-1.5999999999999999</v>
      </c>
    </row>
    <row r="158" spans="1:98" x14ac:dyDescent="0.2">
      <c r="A158" s="8">
        <f t="shared" si="143"/>
        <v>43983</v>
      </c>
      <c r="B158" s="1">
        <v>153</v>
      </c>
      <c r="C158" s="1">
        <v>11</v>
      </c>
      <c r="D158" s="2">
        <v>13.02</v>
      </c>
      <c r="E158" s="2">
        <v>11.96</v>
      </c>
      <c r="F158" s="2">
        <v>-2.5059999999999998</v>
      </c>
      <c r="G158" s="2">
        <v>4.4320000000000004</v>
      </c>
      <c r="H158" s="2">
        <v>68.17</v>
      </c>
      <c r="I158" s="2">
        <v>4.4359999999999999</v>
      </c>
      <c r="J158" s="2">
        <v>4.3339999999999996</v>
      </c>
      <c r="K158" s="2">
        <v>1.2609999999999999</v>
      </c>
      <c r="L158" s="2">
        <v>0.81200000000000006</v>
      </c>
      <c r="M158" s="2">
        <v>0.995</v>
      </c>
      <c r="N158" s="2">
        <v>10.199999999999999</v>
      </c>
      <c r="O158" s="2">
        <v>93.3</v>
      </c>
      <c r="P158" s="2">
        <v>15.07</v>
      </c>
      <c r="Q158" s="2">
        <v>13.21</v>
      </c>
      <c r="R158" s="2">
        <v>4.7329999999999997</v>
      </c>
      <c r="S158" s="2">
        <v>1.107</v>
      </c>
      <c r="T158" s="2">
        <v>1.1459999999999999</v>
      </c>
      <c r="U158" s="2">
        <v>-0.41399999999999998</v>
      </c>
      <c r="V158" s="2">
        <v>33.89</v>
      </c>
      <c r="W158" s="2">
        <v>-2.335</v>
      </c>
      <c r="X158" s="2">
        <v>-1.7230000000000001</v>
      </c>
      <c r="Y158" s="2">
        <v>0.109</v>
      </c>
      <c r="Z158" s="2">
        <v>0.67100000000000004</v>
      </c>
      <c r="AA158" s="2">
        <v>0.85299999999999998</v>
      </c>
      <c r="AB158" s="2">
        <v>2.5089999999999999</v>
      </c>
      <c r="AC158" s="2">
        <v>0</v>
      </c>
      <c r="AD158" s="2">
        <v>21.91</v>
      </c>
      <c r="AE158" s="2">
        <v>9.5500000000000007</v>
      </c>
      <c r="AF158" s="2">
        <v>1.153</v>
      </c>
      <c r="AG158" s="2">
        <v>3.82</v>
      </c>
      <c r="AH158" s="2">
        <v>2.6949999999999998</v>
      </c>
      <c r="AI158" s="2">
        <v>9.0399999999999991</v>
      </c>
      <c r="AJ158" s="2">
        <v>-2.097</v>
      </c>
      <c r="AK158" s="2">
        <v>14.64</v>
      </c>
      <c r="AL158" s="2">
        <v>-0.61799999999999999</v>
      </c>
      <c r="AM158" s="2">
        <v>2.5030000000000001</v>
      </c>
      <c r="AN158" s="2" t="s">
        <v>122</v>
      </c>
      <c r="AO158" s="2">
        <v>483</v>
      </c>
      <c r="AP158" s="2">
        <v>222</v>
      </c>
      <c r="AQ158" s="2">
        <v>292</v>
      </c>
      <c r="AR158" s="2">
        <v>325</v>
      </c>
      <c r="AS158" s="2">
        <v>186</v>
      </c>
      <c r="AT158" s="2">
        <v>323</v>
      </c>
      <c r="AU158" s="2">
        <v>563</v>
      </c>
      <c r="AV158" s="2">
        <v>486</v>
      </c>
      <c r="AW158" s="2"/>
      <c r="AX158" s="1">
        <f t="shared" si="115"/>
        <v>4.0999999999999925E-2</v>
      </c>
      <c r="AY158" s="26"/>
      <c r="AZ158" s="5">
        <v>32.78</v>
      </c>
      <c r="BA158" s="1">
        <v>21.91</v>
      </c>
      <c r="BB158" s="1">
        <v>8.7899999999999991</v>
      </c>
      <c r="BC158" s="6">
        <f t="shared" si="144"/>
        <v>0.40118667275216791</v>
      </c>
      <c r="BE158" s="30">
        <v>0</v>
      </c>
      <c r="BF158" s="27">
        <v>80.999999999999957</v>
      </c>
      <c r="BG158" s="1">
        <f t="shared" si="117"/>
        <v>93.3</v>
      </c>
      <c r="BH158" s="1">
        <f t="shared" si="118"/>
        <v>68.2</v>
      </c>
      <c r="BI158" s="1">
        <f t="shared" si="119"/>
        <v>33.9</v>
      </c>
      <c r="BJ158" s="7">
        <f t="shared" si="120"/>
        <v>0.42199999999999999</v>
      </c>
      <c r="BK158" s="7">
        <f t="shared" si="121"/>
        <v>0.82299999999999995</v>
      </c>
      <c r="BM158" s="5">
        <f t="shared" si="122"/>
        <v>21.91</v>
      </c>
      <c r="BN158" s="5">
        <f t="shared" si="123"/>
        <v>8.7899999999999991</v>
      </c>
      <c r="BO158" s="1">
        <f t="shared" si="124"/>
        <v>4.4000000000000004</v>
      </c>
      <c r="BP158" s="1">
        <f t="shared" si="125"/>
        <v>10.199999999999999</v>
      </c>
      <c r="BQ158" s="1">
        <f t="shared" si="126"/>
        <v>-0.4</v>
      </c>
      <c r="BR158" s="1">
        <f t="shared" si="127"/>
        <v>68.2</v>
      </c>
      <c r="BS158" s="1">
        <f t="shared" si="128"/>
        <v>33.9</v>
      </c>
      <c r="BT158" s="1">
        <f t="shared" si="129"/>
        <v>1.2</v>
      </c>
      <c r="BU158" s="1">
        <f t="shared" si="130"/>
        <v>3.8</v>
      </c>
      <c r="BV158" s="33">
        <f t="shared" si="131"/>
        <v>0</v>
      </c>
      <c r="BW158" s="34">
        <f t="shared" si="132"/>
        <v>8.1000000000000003E-2</v>
      </c>
      <c r="BX158" s="20" t="str">
        <f t="shared" si="133"/>
        <v>NAN</v>
      </c>
      <c r="BY158" s="1">
        <f t="shared" si="134"/>
        <v>2.7</v>
      </c>
      <c r="BZ158" s="1">
        <f t="shared" si="135"/>
        <v>9</v>
      </c>
      <c r="CA158" s="1">
        <f t="shared" si="136"/>
        <v>-2.1</v>
      </c>
      <c r="CB158" s="1">
        <f t="shared" si="137"/>
        <v>1.3</v>
      </c>
      <c r="CC158" s="1">
        <f t="shared" si="138"/>
        <v>0.8</v>
      </c>
      <c r="CD158" s="1">
        <f t="shared" si="139"/>
        <v>1</v>
      </c>
      <c r="CE158" s="1" t="str">
        <f t="shared" si="140"/>
        <v>NAN</v>
      </c>
      <c r="CF158" s="1">
        <f t="shared" si="141"/>
        <v>0.42199999999999999</v>
      </c>
      <c r="CG158" s="1">
        <f t="shared" si="142"/>
        <v>0.82299999999999995</v>
      </c>
      <c r="CI158" s="1">
        <f t="shared" si="106"/>
        <v>2880</v>
      </c>
      <c r="CJ158" s="1">
        <f t="shared" si="107"/>
        <v>0.16800000000000001</v>
      </c>
      <c r="CK158" s="1">
        <f t="shared" si="108"/>
        <v>7.6999999999999999E-2</v>
      </c>
      <c r="CL158" s="1">
        <f t="shared" si="109"/>
        <v>0.10100000000000001</v>
      </c>
      <c r="CM158" s="1">
        <f t="shared" si="110"/>
        <v>0.113</v>
      </c>
      <c r="CN158" s="1">
        <f t="shared" si="111"/>
        <v>6.5000000000000002E-2</v>
      </c>
      <c r="CO158" s="1">
        <f t="shared" si="112"/>
        <v>0.112</v>
      </c>
      <c r="CP158" s="1">
        <f t="shared" si="113"/>
        <v>0.19500000000000001</v>
      </c>
      <c r="CQ158" s="1">
        <f t="shared" si="114"/>
        <v>0.16900000000000001</v>
      </c>
      <c r="CS158" s="1">
        <f t="shared" si="145"/>
        <v>-1.1999999999999993</v>
      </c>
      <c r="CT158" s="1">
        <f t="shared" si="146"/>
        <v>-1.7000000000000002</v>
      </c>
    </row>
    <row r="159" spans="1:98" x14ac:dyDescent="0.2">
      <c r="A159" s="8">
        <f t="shared" si="143"/>
        <v>43984</v>
      </c>
      <c r="B159" s="1">
        <v>154</v>
      </c>
      <c r="C159" s="1">
        <v>11</v>
      </c>
      <c r="D159" s="2">
        <v>13.05</v>
      </c>
      <c r="E159" s="2">
        <v>13.49</v>
      </c>
      <c r="F159" s="2">
        <v>-2.6549999999999998</v>
      </c>
      <c r="G159" s="2">
        <v>4.3890000000000002</v>
      </c>
      <c r="H159" s="2">
        <v>69.739999999999995</v>
      </c>
      <c r="I159" s="2">
        <v>3.2440000000000002</v>
      </c>
      <c r="J159" s="2">
        <v>3.3010000000000002</v>
      </c>
      <c r="K159" s="2">
        <v>4.327</v>
      </c>
      <c r="L159" s="2">
        <v>1.266</v>
      </c>
      <c r="M159" s="2">
        <v>1.218</v>
      </c>
      <c r="N159" s="2">
        <v>12.56</v>
      </c>
      <c r="O159" s="2">
        <v>91.9</v>
      </c>
      <c r="P159" s="2">
        <v>14.68</v>
      </c>
      <c r="Q159" s="2">
        <v>13.89</v>
      </c>
      <c r="R159" s="2">
        <v>14.52</v>
      </c>
      <c r="S159" s="2">
        <v>1.7509999999999999</v>
      </c>
      <c r="T159" s="2">
        <v>1.472</v>
      </c>
      <c r="U159" s="2">
        <v>-0.58399999999999996</v>
      </c>
      <c r="V159" s="2">
        <v>39.57</v>
      </c>
      <c r="W159" s="2">
        <v>-3.3730000000000002</v>
      </c>
      <c r="X159" s="2">
        <v>-2.7229999999999999</v>
      </c>
      <c r="Y159" s="2">
        <v>9.7000000000000003E-2</v>
      </c>
      <c r="Z159" s="2">
        <v>0.998</v>
      </c>
      <c r="AA159" s="2">
        <v>0.97499999999999998</v>
      </c>
      <c r="AB159" s="2">
        <v>2.5539999999999998</v>
      </c>
      <c r="AC159" s="2">
        <v>4.5720000000000001</v>
      </c>
      <c r="AD159" s="2">
        <v>16.510000000000002</v>
      </c>
      <c r="AE159" s="2">
        <v>5.2380000000000004</v>
      </c>
      <c r="AF159" s="2">
        <v>1.585</v>
      </c>
      <c r="AG159" s="2">
        <v>6.2460000000000004</v>
      </c>
      <c r="AH159" s="2">
        <v>2.0840000000000001</v>
      </c>
      <c r="AI159" s="2">
        <v>9.93</v>
      </c>
      <c r="AJ159" s="2">
        <v>-2.6019999999999999</v>
      </c>
      <c r="AK159" s="2">
        <v>15.45</v>
      </c>
      <c r="AL159" s="2">
        <v>-0.93300000000000005</v>
      </c>
      <c r="AM159" s="2">
        <v>2.556</v>
      </c>
      <c r="AN159" s="2" t="s">
        <v>122</v>
      </c>
      <c r="AO159" s="2">
        <v>511</v>
      </c>
      <c r="AP159" s="2">
        <v>375</v>
      </c>
      <c r="AQ159" s="2">
        <v>172</v>
      </c>
      <c r="AR159" s="2">
        <v>81</v>
      </c>
      <c r="AS159" s="2">
        <v>218</v>
      </c>
      <c r="AT159" s="2">
        <v>508</v>
      </c>
      <c r="AU159" s="2">
        <v>493</v>
      </c>
      <c r="AV159" s="2">
        <v>522</v>
      </c>
      <c r="AW159" s="2"/>
      <c r="AX159" s="25">
        <v>0</v>
      </c>
      <c r="AY159" s="26"/>
      <c r="AZ159" s="5">
        <v>32.86</v>
      </c>
      <c r="BA159" s="1">
        <v>16.510000000000002</v>
      </c>
      <c r="BB159" s="1">
        <v>4.82</v>
      </c>
      <c r="BC159" s="6">
        <f t="shared" si="144"/>
        <v>0.29194427619624469</v>
      </c>
      <c r="BE159" s="30">
        <v>4.5720000000000001</v>
      </c>
      <c r="BF159" s="27">
        <v>36.000000000000028</v>
      </c>
      <c r="BG159" s="1">
        <f t="shared" si="117"/>
        <v>91.9</v>
      </c>
      <c r="BH159" s="1">
        <f t="shared" si="118"/>
        <v>69.7</v>
      </c>
      <c r="BI159" s="1">
        <f t="shared" si="119"/>
        <v>39.6</v>
      </c>
      <c r="BJ159" s="7">
        <f t="shared" si="120"/>
        <v>0.57599999999999996</v>
      </c>
      <c r="BK159" s="7">
        <f t="shared" si="121"/>
        <v>0.879</v>
      </c>
      <c r="BM159" s="5">
        <f t="shared" si="122"/>
        <v>16.510000000000002</v>
      </c>
      <c r="BN159" s="5">
        <f t="shared" si="123"/>
        <v>4.82</v>
      </c>
      <c r="BO159" s="1">
        <f t="shared" si="124"/>
        <v>4.4000000000000004</v>
      </c>
      <c r="BP159" s="1">
        <f t="shared" si="125"/>
        <v>12.6</v>
      </c>
      <c r="BQ159" s="1">
        <f t="shared" si="126"/>
        <v>-0.6</v>
      </c>
      <c r="BR159" s="1">
        <f t="shared" si="127"/>
        <v>69.7</v>
      </c>
      <c r="BS159" s="1">
        <f t="shared" si="128"/>
        <v>39.6</v>
      </c>
      <c r="BT159" s="1">
        <f t="shared" si="129"/>
        <v>1.6</v>
      </c>
      <c r="BU159" s="1">
        <f t="shared" si="130"/>
        <v>6.2</v>
      </c>
      <c r="BV159" s="33">
        <f t="shared" si="131"/>
        <v>4.5720000000000001</v>
      </c>
      <c r="BW159" s="34">
        <f t="shared" si="132"/>
        <v>3.5999999999999997E-2</v>
      </c>
      <c r="BX159" s="20" t="str">
        <f t="shared" si="133"/>
        <v>NAN</v>
      </c>
      <c r="BY159" s="1">
        <f t="shared" si="134"/>
        <v>2.1</v>
      </c>
      <c r="BZ159" s="1">
        <f t="shared" si="135"/>
        <v>9.9</v>
      </c>
      <c r="CA159" s="1">
        <f t="shared" si="136"/>
        <v>-2.6</v>
      </c>
      <c r="CB159" s="1">
        <f t="shared" si="137"/>
        <v>4.3</v>
      </c>
      <c r="CC159" s="1">
        <f t="shared" si="138"/>
        <v>1.3</v>
      </c>
      <c r="CD159" s="1">
        <f t="shared" si="139"/>
        <v>1.2</v>
      </c>
      <c r="CE159" s="1" t="str">
        <f t="shared" si="140"/>
        <v>NAN</v>
      </c>
      <c r="CF159" s="1">
        <f t="shared" si="141"/>
        <v>0.57599999999999996</v>
      </c>
      <c r="CG159" s="1">
        <f t="shared" si="142"/>
        <v>0.879</v>
      </c>
      <c r="CI159" s="1">
        <f t="shared" si="106"/>
        <v>2880</v>
      </c>
      <c r="CJ159" s="1">
        <f t="shared" si="107"/>
        <v>0.17699999999999999</v>
      </c>
      <c r="CK159" s="1">
        <f t="shared" si="108"/>
        <v>0.13</v>
      </c>
      <c r="CL159" s="1">
        <f t="shared" si="109"/>
        <v>0.06</v>
      </c>
      <c r="CM159" s="1">
        <f t="shared" si="110"/>
        <v>2.8000000000000001E-2</v>
      </c>
      <c r="CN159" s="1">
        <f t="shared" si="111"/>
        <v>7.5999999999999998E-2</v>
      </c>
      <c r="CO159" s="1">
        <f t="shared" si="112"/>
        <v>0.17599999999999999</v>
      </c>
      <c r="CP159" s="1">
        <f t="shared" si="113"/>
        <v>0.17100000000000001</v>
      </c>
      <c r="CQ159" s="1">
        <f t="shared" si="114"/>
        <v>0.18099999999999999</v>
      </c>
      <c r="CS159" s="1">
        <f t="shared" si="145"/>
        <v>-2.6999999999999993</v>
      </c>
      <c r="CT159" s="1">
        <f t="shared" si="146"/>
        <v>-2</v>
      </c>
    </row>
    <row r="160" spans="1:98" x14ac:dyDescent="0.2">
      <c r="A160" s="8">
        <f t="shared" si="143"/>
        <v>43985</v>
      </c>
      <c r="B160" s="1">
        <v>155</v>
      </c>
      <c r="C160" s="1">
        <v>11</v>
      </c>
      <c r="D160" s="2">
        <v>12.96</v>
      </c>
      <c r="E160" s="2">
        <v>14.71</v>
      </c>
      <c r="F160" s="2">
        <v>-3.556</v>
      </c>
      <c r="G160" s="2">
        <v>4.57</v>
      </c>
      <c r="H160" s="2">
        <v>65.709999999999994</v>
      </c>
      <c r="I160" s="2">
        <v>5.2469999999999999</v>
      </c>
      <c r="J160" s="2">
        <v>4.7069999999999999</v>
      </c>
      <c r="K160" s="2">
        <v>9.06</v>
      </c>
      <c r="L160" s="2">
        <v>2.4159999999999999</v>
      </c>
      <c r="M160" s="2">
        <v>1.6040000000000001</v>
      </c>
      <c r="N160" s="2">
        <v>11.81</v>
      </c>
      <c r="O160" s="2">
        <v>91.3</v>
      </c>
      <c r="P160" s="2">
        <v>18.78</v>
      </c>
      <c r="Q160" s="2">
        <v>15.98</v>
      </c>
      <c r="R160" s="2">
        <v>26.01</v>
      </c>
      <c r="S160" s="2">
        <v>4.4409999999999998</v>
      </c>
      <c r="T160" s="2">
        <v>1.909</v>
      </c>
      <c r="U160" s="2">
        <v>-1.6639999999999999</v>
      </c>
      <c r="V160" s="2">
        <v>28.83</v>
      </c>
      <c r="W160" s="2">
        <v>-3.4039999999999999</v>
      </c>
      <c r="X160" s="2">
        <v>-3.15</v>
      </c>
      <c r="Y160" s="2">
        <v>4.9000000000000002E-2</v>
      </c>
      <c r="Z160" s="2">
        <v>1.421</v>
      </c>
      <c r="AA160" s="2">
        <v>1.375</v>
      </c>
      <c r="AB160" s="2">
        <v>5.3449999999999998</v>
      </c>
      <c r="AC160" s="2">
        <v>0</v>
      </c>
      <c r="AD160" s="2">
        <v>24.64</v>
      </c>
      <c r="AE160" s="2">
        <v>6.492</v>
      </c>
      <c r="AF160" s="2">
        <v>1.06</v>
      </c>
      <c r="AG160" s="2">
        <v>3.9420000000000002</v>
      </c>
      <c r="AH160" s="2">
        <v>3.2709999999999999</v>
      </c>
      <c r="AI160" s="2">
        <v>12.68</v>
      </c>
      <c r="AJ160" s="2">
        <v>-3.673</v>
      </c>
      <c r="AK160" s="2">
        <v>15.91</v>
      </c>
      <c r="AL160" s="2">
        <v>-1.992</v>
      </c>
      <c r="AM160" s="2">
        <v>5.3280000000000003</v>
      </c>
      <c r="AN160" s="2" t="s">
        <v>122</v>
      </c>
      <c r="AO160" s="2">
        <v>704</v>
      </c>
      <c r="AP160" s="2">
        <v>1152</v>
      </c>
      <c r="AQ160" s="2">
        <v>304</v>
      </c>
      <c r="AR160" s="2">
        <v>68</v>
      </c>
      <c r="AS160" s="2">
        <v>57</v>
      </c>
      <c r="AT160" s="2">
        <v>107</v>
      </c>
      <c r="AU160" s="2">
        <v>191</v>
      </c>
      <c r="AV160" s="2">
        <v>297</v>
      </c>
      <c r="AW160" s="2"/>
      <c r="AX160" s="2">
        <v>0</v>
      </c>
      <c r="AY160" s="26"/>
      <c r="AZ160" s="5">
        <v>32.909999999999997</v>
      </c>
      <c r="BA160" s="1">
        <v>24.64</v>
      </c>
      <c r="BB160" s="1">
        <v>5.97</v>
      </c>
      <c r="BC160" s="6">
        <f t="shared" si="144"/>
        <v>0.24228896103896103</v>
      </c>
      <c r="BE160" s="30">
        <v>0</v>
      </c>
      <c r="BF160" s="27">
        <v>0</v>
      </c>
      <c r="BG160" s="1">
        <f t="shared" si="117"/>
        <v>91.3</v>
      </c>
      <c r="BH160" s="1">
        <f t="shared" si="118"/>
        <v>65.7</v>
      </c>
      <c r="BI160" s="1">
        <f t="shared" si="119"/>
        <v>28.8</v>
      </c>
      <c r="BJ160" s="7">
        <f t="shared" si="120"/>
        <v>0.39900000000000002</v>
      </c>
      <c r="BK160" s="7">
        <f t="shared" si="121"/>
        <v>0.98599999999999999</v>
      </c>
      <c r="BM160" s="5">
        <f t="shared" si="122"/>
        <v>24.64</v>
      </c>
      <c r="BN160" s="5">
        <f t="shared" si="123"/>
        <v>5.97</v>
      </c>
      <c r="BO160" s="1">
        <f t="shared" si="124"/>
        <v>4.5999999999999996</v>
      </c>
      <c r="BP160" s="1">
        <f t="shared" si="125"/>
        <v>11.8</v>
      </c>
      <c r="BQ160" s="1">
        <f t="shared" si="126"/>
        <v>-1.7</v>
      </c>
      <c r="BR160" s="1">
        <f t="shared" si="127"/>
        <v>65.7</v>
      </c>
      <c r="BS160" s="1">
        <f t="shared" si="128"/>
        <v>28.8</v>
      </c>
      <c r="BT160" s="1">
        <f t="shared" si="129"/>
        <v>1.1000000000000001</v>
      </c>
      <c r="BU160" s="1">
        <f t="shared" si="130"/>
        <v>3.9</v>
      </c>
      <c r="BV160" s="33">
        <f t="shared" si="131"/>
        <v>0</v>
      </c>
      <c r="BW160" s="26">
        <f t="shared" ref="BW160:BW191" si="148">BF160</f>
        <v>0</v>
      </c>
      <c r="BX160" s="20" t="str">
        <f t="shared" si="133"/>
        <v>NAN</v>
      </c>
      <c r="BY160" s="1">
        <f t="shared" si="134"/>
        <v>3.3</v>
      </c>
      <c r="BZ160" s="1">
        <f t="shared" si="135"/>
        <v>12.7</v>
      </c>
      <c r="CA160" s="1">
        <f t="shared" si="136"/>
        <v>-3.7</v>
      </c>
      <c r="CB160" s="1">
        <f t="shared" si="137"/>
        <v>9.1</v>
      </c>
      <c r="CC160" s="1">
        <f t="shared" si="138"/>
        <v>2.4</v>
      </c>
      <c r="CD160" s="1">
        <f t="shared" si="139"/>
        <v>1.6</v>
      </c>
      <c r="CE160" s="1" t="str">
        <f t="shared" si="140"/>
        <v>NAN</v>
      </c>
      <c r="CF160" s="1">
        <f t="shared" si="141"/>
        <v>0.39900000000000002</v>
      </c>
      <c r="CG160" s="1">
        <f t="shared" si="142"/>
        <v>0.98599999999999999</v>
      </c>
      <c r="CI160" s="1">
        <f t="shared" si="106"/>
        <v>2880</v>
      </c>
      <c r="CJ160" s="1">
        <f t="shared" si="107"/>
        <v>0.24399999999999999</v>
      </c>
      <c r="CK160" s="1">
        <f t="shared" si="108"/>
        <v>0.4</v>
      </c>
      <c r="CL160" s="1">
        <f t="shared" si="109"/>
        <v>0.106</v>
      </c>
      <c r="CM160" s="1">
        <f t="shared" si="110"/>
        <v>2.4E-2</v>
      </c>
      <c r="CN160" s="1">
        <f t="shared" si="111"/>
        <v>0.02</v>
      </c>
      <c r="CO160" s="1">
        <f t="shared" si="112"/>
        <v>3.6999999999999998E-2</v>
      </c>
      <c r="CP160" s="1">
        <f t="shared" si="113"/>
        <v>6.6000000000000003E-2</v>
      </c>
      <c r="CQ160" s="1">
        <f t="shared" si="114"/>
        <v>0.10299999999999999</v>
      </c>
      <c r="CS160" s="1">
        <f t="shared" si="145"/>
        <v>0.89999999999999858</v>
      </c>
      <c r="CT160" s="1">
        <f t="shared" si="146"/>
        <v>-2</v>
      </c>
    </row>
    <row r="161" spans="1:98" x14ac:dyDescent="0.2">
      <c r="A161" s="8">
        <f t="shared" si="143"/>
        <v>43986</v>
      </c>
      <c r="B161" s="1">
        <v>156</v>
      </c>
      <c r="C161" s="1">
        <v>11</v>
      </c>
      <c r="D161" s="2">
        <v>13.04</v>
      </c>
      <c r="E161" s="2">
        <v>13.02</v>
      </c>
      <c r="F161" s="2">
        <v>-2.6549999999999998</v>
      </c>
      <c r="G161" s="2">
        <v>4.0830000000000002</v>
      </c>
      <c r="H161" s="2">
        <v>68.02</v>
      </c>
      <c r="I161" s="2">
        <v>4.8090000000000002</v>
      </c>
      <c r="J161" s="2">
        <v>4.3869999999999996</v>
      </c>
      <c r="K161" s="2">
        <v>8.4499999999999993</v>
      </c>
      <c r="L161" s="2">
        <v>4.165</v>
      </c>
      <c r="M161" s="2">
        <v>2.258</v>
      </c>
      <c r="N161" s="2">
        <v>10.5</v>
      </c>
      <c r="O161" s="2">
        <v>88.3</v>
      </c>
      <c r="P161" s="2">
        <v>17.989999999999998</v>
      </c>
      <c r="Q161" s="2">
        <v>14.71</v>
      </c>
      <c r="R161" s="2">
        <v>21.63</v>
      </c>
      <c r="S161" s="2">
        <v>5.548</v>
      </c>
      <c r="T161" s="2">
        <v>2.512</v>
      </c>
      <c r="U161" s="2">
        <v>-0.64800000000000002</v>
      </c>
      <c r="V161" s="2">
        <v>36.630000000000003</v>
      </c>
      <c r="W161" s="2">
        <v>-2.6789999999999998</v>
      </c>
      <c r="X161" s="2">
        <v>-2.2909999999999999</v>
      </c>
      <c r="Y161" s="2">
        <v>0.66800000000000004</v>
      </c>
      <c r="Z161" s="2">
        <v>2.9860000000000002</v>
      </c>
      <c r="AA161" s="2">
        <v>1.8120000000000001</v>
      </c>
      <c r="AB161" s="2">
        <v>5.3529999999999998</v>
      </c>
      <c r="AC161" s="2">
        <v>0</v>
      </c>
      <c r="AD161" s="2">
        <v>18.920000000000002</v>
      </c>
      <c r="AE161" s="2">
        <v>3.9969999999999999</v>
      </c>
      <c r="AF161" s="2">
        <v>1.3220000000000001</v>
      </c>
      <c r="AG161" s="2">
        <v>4.2869999999999999</v>
      </c>
      <c r="AH161" s="2">
        <v>3.66</v>
      </c>
      <c r="AI161" s="2">
        <v>14.83</v>
      </c>
      <c r="AJ161" s="2">
        <v>-2.4009999999999998</v>
      </c>
      <c r="AK161" s="2">
        <v>14.44</v>
      </c>
      <c r="AL161" s="2">
        <v>-0.91800000000000004</v>
      </c>
      <c r="AM161" s="2">
        <v>5.3289999999999997</v>
      </c>
      <c r="AN161" s="2" t="s">
        <v>122</v>
      </c>
      <c r="AO161" s="2">
        <v>818</v>
      </c>
      <c r="AP161" s="2">
        <v>852</v>
      </c>
      <c r="AQ161" s="2">
        <v>354</v>
      </c>
      <c r="AR161" s="2">
        <v>40</v>
      </c>
      <c r="AS161" s="2">
        <v>23</v>
      </c>
      <c r="AT161" s="2">
        <v>63</v>
      </c>
      <c r="AU161" s="2">
        <v>242</v>
      </c>
      <c r="AV161" s="2">
        <v>488</v>
      </c>
      <c r="AW161" s="2"/>
      <c r="AX161" s="2">
        <v>0</v>
      </c>
      <c r="AY161" s="26"/>
      <c r="AZ161" s="5">
        <v>32.97</v>
      </c>
      <c r="BA161" s="1">
        <v>18.920000000000002</v>
      </c>
      <c r="BB161" s="1">
        <v>3.68</v>
      </c>
      <c r="BC161" s="6">
        <f t="shared" si="144"/>
        <v>0.19450317124735728</v>
      </c>
      <c r="BE161" s="30">
        <v>0</v>
      </c>
      <c r="BF161" s="27">
        <v>0</v>
      </c>
      <c r="BG161" s="1">
        <f t="shared" si="117"/>
        <v>88.3</v>
      </c>
      <c r="BH161" s="1">
        <f t="shared" si="118"/>
        <v>68</v>
      </c>
      <c r="BI161" s="1">
        <f t="shared" si="119"/>
        <v>36.6</v>
      </c>
      <c r="BJ161" s="7">
        <f t="shared" si="120"/>
        <v>0.46500000000000002</v>
      </c>
      <c r="BK161" s="7">
        <f t="shared" si="121"/>
        <v>0.80500000000000005</v>
      </c>
      <c r="BM161" s="5">
        <f t="shared" si="122"/>
        <v>18.920000000000002</v>
      </c>
      <c r="BN161" s="5">
        <f t="shared" si="123"/>
        <v>3.68</v>
      </c>
      <c r="BO161" s="1">
        <f t="shared" si="124"/>
        <v>4.0999999999999996</v>
      </c>
      <c r="BP161" s="1">
        <f t="shared" si="125"/>
        <v>10.5</v>
      </c>
      <c r="BQ161" s="1">
        <f t="shared" si="126"/>
        <v>-0.6</v>
      </c>
      <c r="BR161" s="1">
        <f t="shared" si="127"/>
        <v>68</v>
      </c>
      <c r="BS161" s="1">
        <f t="shared" si="128"/>
        <v>36.6</v>
      </c>
      <c r="BT161" s="1">
        <f t="shared" si="129"/>
        <v>1.3</v>
      </c>
      <c r="BU161" s="1">
        <f t="shared" si="130"/>
        <v>4.3</v>
      </c>
      <c r="BV161" s="33">
        <f t="shared" si="131"/>
        <v>0</v>
      </c>
      <c r="BW161" s="26">
        <f t="shared" si="148"/>
        <v>0</v>
      </c>
      <c r="BX161" s="20" t="str">
        <f t="shared" si="133"/>
        <v>NAN</v>
      </c>
      <c r="BY161" s="1">
        <f t="shared" si="134"/>
        <v>3.7</v>
      </c>
      <c r="BZ161" s="1">
        <f t="shared" si="135"/>
        <v>14.8</v>
      </c>
      <c r="CA161" s="1">
        <f t="shared" si="136"/>
        <v>-2.4</v>
      </c>
      <c r="CB161" s="1">
        <f t="shared" si="137"/>
        <v>8.5</v>
      </c>
      <c r="CC161" s="1">
        <f t="shared" si="138"/>
        <v>4.2</v>
      </c>
      <c r="CD161" s="1">
        <f t="shared" si="139"/>
        <v>2.2999999999999998</v>
      </c>
      <c r="CE161" s="1" t="str">
        <f t="shared" si="140"/>
        <v>NAN</v>
      </c>
      <c r="CF161" s="1">
        <f t="shared" si="141"/>
        <v>0.46500000000000002</v>
      </c>
      <c r="CG161" s="1">
        <f t="shared" si="142"/>
        <v>0.80500000000000005</v>
      </c>
      <c r="CI161" s="1">
        <f t="shared" si="106"/>
        <v>2880</v>
      </c>
      <c r="CJ161" s="1">
        <f t="shared" si="107"/>
        <v>0.28399999999999997</v>
      </c>
      <c r="CK161" s="1">
        <f t="shared" si="108"/>
        <v>0.29599999999999999</v>
      </c>
      <c r="CL161" s="1">
        <f t="shared" si="109"/>
        <v>0.123</v>
      </c>
      <c r="CM161" s="1">
        <f t="shared" si="110"/>
        <v>1.4E-2</v>
      </c>
      <c r="CN161" s="1">
        <f t="shared" si="111"/>
        <v>8.0000000000000002E-3</v>
      </c>
      <c r="CO161" s="1">
        <f t="shared" si="112"/>
        <v>2.1999999999999999E-2</v>
      </c>
      <c r="CP161" s="1">
        <f t="shared" si="113"/>
        <v>8.4000000000000005E-2</v>
      </c>
      <c r="CQ161" s="1">
        <f t="shared" si="114"/>
        <v>0.16900000000000001</v>
      </c>
      <c r="CS161" s="1">
        <f t="shared" si="145"/>
        <v>4.3000000000000007</v>
      </c>
      <c r="CT161" s="1">
        <f t="shared" si="146"/>
        <v>-1.7999999999999998</v>
      </c>
    </row>
    <row r="162" spans="1:98" x14ac:dyDescent="0.2">
      <c r="A162" s="8">
        <f t="shared" si="143"/>
        <v>43987</v>
      </c>
      <c r="B162" s="1">
        <v>157</v>
      </c>
      <c r="C162" s="1">
        <v>11</v>
      </c>
      <c r="D162" s="2">
        <v>12.95</v>
      </c>
      <c r="E162" s="2">
        <v>13.05</v>
      </c>
      <c r="F162" s="2">
        <v>-0.28699999999999998</v>
      </c>
      <c r="G162" s="2">
        <v>6.2930000000000001</v>
      </c>
      <c r="H162" s="2">
        <v>66.23</v>
      </c>
      <c r="I162" s="2">
        <v>6.2709999999999999</v>
      </c>
      <c r="J162" s="2">
        <v>6.1</v>
      </c>
      <c r="K162" s="2">
        <v>7.508</v>
      </c>
      <c r="L162" s="2">
        <v>4.6790000000000003</v>
      </c>
      <c r="M162" s="2">
        <v>2.7730000000000001</v>
      </c>
      <c r="N162" s="2">
        <v>11.56</v>
      </c>
      <c r="O162" s="2">
        <v>96</v>
      </c>
      <c r="P162" s="2">
        <v>14.56</v>
      </c>
      <c r="Q162" s="2">
        <v>13.37</v>
      </c>
      <c r="R162" s="2">
        <v>16.329999999999998</v>
      </c>
      <c r="S162" s="2">
        <v>5.556</v>
      </c>
      <c r="T162" s="2">
        <v>3.0739999999999998</v>
      </c>
      <c r="U162" s="2">
        <v>1.095</v>
      </c>
      <c r="V162" s="2">
        <v>40.22</v>
      </c>
      <c r="W162" s="2">
        <v>-1.782</v>
      </c>
      <c r="X162" s="2">
        <v>-1.091</v>
      </c>
      <c r="Y162" s="2">
        <v>0.88900000000000001</v>
      </c>
      <c r="Z162" s="2">
        <v>3.6779999999999999</v>
      </c>
      <c r="AA162" s="2">
        <v>2.427</v>
      </c>
      <c r="AB162" s="2">
        <v>2.6360000000000001</v>
      </c>
      <c r="AC162" s="2">
        <v>4.5720000000000001</v>
      </c>
      <c r="AD162" s="2">
        <v>15.39</v>
      </c>
      <c r="AE162" s="2">
        <v>2.7410000000000001</v>
      </c>
      <c r="AF162" s="2">
        <v>1.464</v>
      </c>
      <c r="AG162" s="2">
        <v>4.3659999999999997</v>
      </c>
      <c r="AH162" s="2">
        <v>5.59</v>
      </c>
      <c r="AI162" s="2">
        <v>14.42</v>
      </c>
      <c r="AJ162" s="2">
        <v>-0.433</v>
      </c>
      <c r="AK162" s="2">
        <v>14.33</v>
      </c>
      <c r="AL162" s="2">
        <v>0.26600000000000001</v>
      </c>
      <c r="AM162" s="2">
        <v>2.6309999999999998</v>
      </c>
      <c r="AN162" s="2" t="s">
        <v>122</v>
      </c>
      <c r="AO162" s="2">
        <v>51</v>
      </c>
      <c r="AP162" s="2">
        <v>203</v>
      </c>
      <c r="AQ162" s="2">
        <v>146</v>
      </c>
      <c r="AR162" s="2">
        <v>223</v>
      </c>
      <c r="AS162" s="2">
        <v>740</v>
      </c>
      <c r="AT162" s="2">
        <v>1064</v>
      </c>
      <c r="AU162" s="2">
        <v>383</v>
      </c>
      <c r="AV162" s="2">
        <v>70</v>
      </c>
      <c r="AW162" s="2"/>
      <c r="AX162" s="2">
        <v>0</v>
      </c>
      <c r="AY162" s="26"/>
      <c r="AZ162" s="5">
        <v>33.03</v>
      </c>
      <c r="BA162" s="1">
        <v>15.39</v>
      </c>
      <c r="BB162" s="1">
        <v>2.52</v>
      </c>
      <c r="BC162" s="6">
        <f t="shared" si="144"/>
        <v>0.16374269005847952</v>
      </c>
      <c r="BE162" s="30">
        <v>4.5720000000000001</v>
      </c>
      <c r="BF162" s="27">
        <v>0</v>
      </c>
      <c r="BG162" s="1">
        <f t="shared" si="117"/>
        <v>96</v>
      </c>
      <c r="BH162" s="1">
        <f t="shared" si="118"/>
        <v>66.2</v>
      </c>
      <c r="BI162" s="1">
        <f t="shared" si="119"/>
        <v>40.200000000000003</v>
      </c>
      <c r="BJ162" s="7">
        <f t="shared" si="120"/>
        <v>0.54700000000000004</v>
      </c>
      <c r="BK162" s="7">
        <f t="shared" si="121"/>
        <v>0.81399999999999995</v>
      </c>
      <c r="BM162" s="5">
        <f t="shared" si="122"/>
        <v>15.39</v>
      </c>
      <c r="BN162" s="5">
        <f t="shared" si="123"/>
        <v>2.52</v>
      </c>
      <c r="BO162" s="1">
        <f t="shared" si="124"/>
        <v>6.3</v>
      </c>
      <c r="BP162" s="1">
        <f t="shared" si="125"/>
        <v>11.6</v>
      </c>
      <c r="BQ162" s="1">
        <f t="shared" si="126"/>
        <v>1.1000000000000001</v>
      </c>
      <c r="BR162" s="1">
        <f t="shared" si="127"/>
        <v>66.2</v>
      </c>
      <c r="BS162" s="1">
        <f t="shared" si="128"/>
        <v>40.200000000000003</v>
      </c>
      <c r="BT162" s="1">
        <f t="shared" si="129"/>
        <v>1.5</v>
      </c>
      <c r="BU162" s="1">
        <f t="shared" si="130"/>
        <v>4.4000000000000004</v>
      </c>
      <c r="BV162" s="33">
        <f t="shared" si="131"/>
        <v>4.5720000000000001</v>
      </c>
      <c r="BW162" s="26">
        <f t="shared" si="148"/>
        <v>0</v>
      </c>
      <c r="BX162" s="20" t="str">
        <f t="shared" si="133"/>
        <v>NAN</v>
      </c>
      <c r="BY162" s="1">
        <f t="shared" si="134"/>
        <v>5.6</v>
      </c>
      <c r="BZ162" s="1">
        <f t="shared" si="135"/>
        <v>14.4</v>
      </c>
      <c r="CA162" s="1">
        <f t="shared" si="136"/>
        <v>-0.4</v>
      </c>
      <c r="CB162" s="1">
        <f t="shared" si="137"/>
        <v>7.5</v>
      </c>
      <c r="CC162" s="1">
        <f t="shared" si="138"/>
        <v>4.7</v>
      </c>
      <c r="CD162" s="1">
        <f t="shared" si="139"/>
        <v>2.8</v>
      </c>
      <c r="CE162" s="1" t="str">
        <f t="shared" si="140"/>
        <v>NAN</v>
      </c>
      <c r="CF162" s="1">
        <f t="shared" si="141"/>
        <v>0.54700000000000004</v>
      </c>
      <c r="CG162" s="1">
        <f t="shared" si="142"/>
        <v>0.81399999999999995</v>
      </c>
      <c r="CI162" s="1">
        <f t="shared" si="106"/>
        <v>2880</v>
      </c>
      <c r="CJ162" s="1">
        <f t="shared" si="107"/>
        <v>1.7999999999999999E-2</v>
      </c>
      <c r="CK162" s="1">
        <f t="shared" si="108"/>
        <v>7.0000000000000007E-2</v>
      </c>
      <c r="CL162" s="1">
        <f t="shared" si="109"/>
        <v>5.0999999999999997E-2</v>
      </c>
      <c r="CM162" s="1">
        <f t="shared" si="110"/>
        <v>7.6999999999999999E-2</v>
      </c>
      <c r="CN162" s="1">
        <f t="shared" si="111"/>
        <v>0.25700000000000001</v>
      </c>
      <c r="CO162" s="1">
        <f t="shared" si="112"/>
        <v>0.36899999999999999</v>
      </c>
      <c r="CP162" s="1">
        <f t="shared" si="113"/>
        <v>0.13300000000000001</v>
      </c>
      <c r="CQ162" s="1">
        <f t="shared" si="114"/>
        <v>2.4E-2</v>
      </c>
      <c r="CS162" s="1">
        <f t="shared" si="145"/>
        <v>2.8000000000000007</v>
      </c>
      <c r="CT162" s="1">
        <f t="shared" si="146"/>
        <v>-1.5</v>
      </c>
    </row>
    <row r="163" spans="1:98" x14ac:dyDescent="0.2">
      <c r="A163" s="8">
        <f t="shared" si="143"/>
        <v>43988</v>
      </c>
      <c r="B163" s="1">
        <v>158</v>
      </c>
      <c r="C163" s="1">
        <v>11</v>
      </c>
      <c r="D163" s="2">
        <v>12.98</v>
      </c>
      <c r="E163" s="2">
        <v>14.32</v>
      </c>
      <c r="F163" s="2">
        <v>-1.5429999999999999</v>
      </c>
      <c r="G163" s="2">
        <v>2.8330000000000002</v>
      </c>
      <c r="H163" s="2">
        <v>82.1</v>
      </c>
      <c r="I163" s="2">
        <v>3.641</v>
      </c>
      <c r="J163" s="2">
        <v>3.0750000000000002</v>
      </c>
      <c r="K163" s="2">
        <v>8.08</v>
      </c>
      <c r="L163" s="2">
        <v>5.0389999999999997</v>
      </c>
      <c r="M163" s="2">
        <v>3.206</v>
      </c>
      <c r="N163" s="2">
        <v>10.36</v>
      </c>
      <c r="O163" s="2">
        <v>96</v>
      </c>
      <c r="P163" s="2">
        <v>18.62</v>
      </c>
      <c r="Q163" s="2">
        <v>15.34</v>
      </c>
      <c r="R163" s="2">
        <v>24.5</v>
      </c>
      <c r="S163" s="2">
        <v>6.266</v>
      </c>
      <c r="T163" s="2">
        <v>3.5049999999999999</v>
      </c>
      <c r="U163" s="2">
        <v>-1.0249999999999999</v>
      </c>
      <c r="V163" s="2">
        <v>33.31</v>
      </c>
      <c r="W163" s="2">
        <v>-3.5329999999999999</v>
      </c>
      <c r="X163" s="2">
        <v>-2.605</v>
      </c>
      <c r="Y163" s="2">
        <v>1.88</v>
      </c>
      <c r="Z163" s="2">
        <v>3.9660000000000002</v>
      </c>
      <c r="AA163" s="2">
        <v>2.9609999999999999</v>
      </c>
      <c r="AB163" s="2">
        <v>2.6339999999999999</v>
      </c>
      <c r="AC163" s="2">
        <v>12.19</v>
      </c>
      <c r="AD163" s="2">
        <v>19.3</v>
      </c>
      <c r="AE163" s="2">
        <v>5.0999999999999996</v>
      </c>
      <c r="AF163" s="2">
        <v>1.1220000000000001</v>
      </c>
      <c r="AG163" s="2">
        <v>4.1440000000000001</v>
      </c>
      <c r="AH163" s="2">
        <v>3.5920000000000001</v>
      </c>
      <c r="AI163" s="2">
        <v>19.59</v>
      </c>
      <c r="AJ163" s="2">
        <v>-3.7440000000000002</v>
      </c>
      <c r="AK163" s="2">
        <v>14.91</v>
      </c>
      <c r="AL163" s="2">
        <v>-1.4319999999999999</v>
      </c>
      <c r="AM163" s="2">
        <v>2.629</v>
      </c>
      <c r="AN163" s="2" t="s">
        <v>122</v>
      </c>
      <c r="AO163" s="2">
        <v>778</v>
      </c>
      <c r="AP163" s="2">
        <v>826</v>
      </c>
      <c r="AQ163" s="2">
        <v>274</v>
      </c>
      <c r="AR163" s="2">
        <v>61</v>
      </c>
      <c r="AS163" s="2">
        <v>38</v>
      </c>
      <c r="AT163" s="2">
        <v>104</v>
      </c>
      <c r="AU163" s="2">
        <v>265</v>
      </c>
      <c r="AV163" s="2">
        <v>534</v>
      </c>
      <c r="AW163" s="2"/>
      <c r="AX163" s="2">
        <v>0</v>
      </c>
      <c r="AY163" s="26"/>
      <c r="AZ163" s="5">
        <v>33.08</v>
      </c>
      <c r="BA163" s="1">
        <v>19.440000000000001</v>
      </c>
      <c r="BB163" s="1">
        <v>4.6900000000000004</v>
      </c>
      <c r="BC163" s="6">
        <f t="shared" si="144"/>
        <v>0.24125514403292181</v>
      </c>
      <c r="BE163" s="30">
        <v>12.192</v>
      </c>
      <c r="BF163" s="27">
        <v>0</v>
      </c>
      <c r="BG163" s="1">
        <f t="shared" si="117"/>
        <v>96</v>
      </c>
      <c r="BH163" s="1">
        <f t="shared" si="118"/>
        <v>82.1</v>
      </c>
      <c r="BI163" s="1">
        <f t="shared" si="119"/>
        <v>33.299999999999997</v>
      </c>
      <c r="BJ163" s="7">
        <f t="shared" si="120"/>
        <v>0.41899999999999998</v>
      </c>
      <c r="BK163" s="7">
        <f t="shared" si="121"/>
        <v>0.83899999999999997</v>
      </c>
      <c r="BM163" s="5">
        <f t="shared" si="122"/>
        <v>19.440000000000001</v>
      </c>
      <c r="BN163" s="5">
        <f t="shared" si="123"/>
        <v>4.6900000000000004</v>
      </c>
      <c r="BO163" s="1">
        <f t="shared" si="124"/>
        <v>2.8</v>
      </c>
      <c r="BP163" s="1">
        <f t="shared" si="125"/>
        <v>10.4</v>
      </c>
      <c r="BQ163" s="1">
        <f t="shared" si="126"/>
        <v>-1</v>
      </c>
      <c r="BR163" s="1">
        <f t="shared" si="127"/>
        <v>82.1</v>
      </c>
      <c r="BS163" s="1">
        <f t="shared" si="128"/>
        <v>33.299999999999997</v>
      </c>
      <c r="BT163" s="1">
        <f t="shared" si="129"/>
        <v>1.1000000000000001</v>
      </c>
      <c r="BU163" s="1">
        <f t="shared" si="130"/>
        <v>4.0999999999999996</v>
      </c>
      <c r="BV163" s="33">
        <f t="shared" si="131"/>
        <v>12.192</v>
      </c>
      <c r="BW163" s="26">
        <f t="shared" si="148"/>
        <v>0</v>
      </c>
      <c r="BX163" s="20" t="str">
        <f t="shared" si="133"/>
        <v>NAN</v>
      </c>
      <c r="BY163" s="1">
        <f t="shared" si="134"/>
        <v>3.6</v>
      </c>
      <c r="BZ163" s="1">
        <f t="shared" si="135"/>
        <v>19.600000000000001</v>
      </c>
      <c r="CA163" s="1">
        <f t="shared" si="136"/>
        <v>-3.7</v>
      </c>
      <c r="CB163" s="1">
        <f t="shared" si="137"/>
        <v>8.1</v>
      </c>
      <c r="CC163" s="1">
        <f t="shared" si="138"/>
        <v>5</v>
      </c>
      <c r="CD163" s="1">
        <f t="shared" si="139"/>
        <v>3.2</v>
      </c>
      <c r="CE163" s="1" t="str">
        <f t="shared" si="140"/>
        <v>NAN</v>
      </c>
      <c r="CF163" s="1">
        <f t="shared" si="141"/>
        <v>0.41899999999999998</v>
      </c>
      <c r="CG163" s="1">
        <f t="shared" si="142"/>
        <v>0.83899999999999997</v>
      </c>
      <c r="CI163" s="1">
        <f t="shared" si="106"/>
        <v>2880</v>
      </c>
      <c r="CJ163" s="1">
        <f t="shared" si="107"/>
        <v>0.27</v>
      </c>
      <c r="CK163" s="1">
        <f t="shared" si="108"/>
        <v>0.28699999999999998</v>
      </c>
      <c r="CL163" s="1">
        <f t="shared" si="109"/>
        <v>9.5000000000000001E-2</v>
      </c>
      <c r="CM163" s="1">
        <f t="shared" si="110"/>
        <v>2.1000000000000001E-2</v>
      </c>
      <c r="CN163" s="1">
        <f t="shared" si="111"/>
        <v>1.2999999999999999E-2</v>
      </c>
      <c r="CO163" s="1">
        <f t="shared" si="112"/>
        <v>3.5999999999999997E-2</v>
      </c>
      <c r="CP163" s="1">
        <f t="shared" si="113"/>
        <v>9.1999999999999998E-2</v>
      </c>
      <c r="CQ163" s="1">
        <f t="shared" si="114"/>
        <v>0.185</v>
      </c>
      <c r="CS163" s="1">
        <f t="shared" si="145"/>
        <v>9.2000000000000011</v>
      </c>
      <c r="CT163" s="1">
        <f t="shared" si="146"/>
        <v>-2.7</v>
      </c>
    </row>
    <row r="164" spans="1:98" x14ac:dyDescent="0.2">
      <c r="A164" s="8">
        <f t="shared" si="143"/>
        <v>43989</v>
      </c>
      <c r="B164" s="1">
        <v>159</v>
      </c>
      <c r="C164" s="1">
        <v>11</v>
      </c>
      <c r="D164" s="2">
        <v>12.99</v>
      </c>
      <c r="E164" s="2">
        <v>8.99</v>
      </c>
      <c r="F164" s="2">
        <v>-0.158</v>
      </c>
      <c r="G164" s="2">
        <v>2.4409999999999998</v>
      </c>
      <c r="H164" s="2">
        <v>87.5</v>
      </c>
      <c r="I164" s="2">
        <v>3.5670000000000002</v>
      </c>
      <c r="J164" s="2">
        <v>2.984</v>
      </c>
      <c r="K164" s="2">
        <v>8.56</v>
      </c>
      <c r="L164" s="2">
        <v>5.2759999999999998</v>
      </c>
      <c r="M164" s="2">
        <v>3.3159999999999998</v>
      </c>
      <c r="N164" s="2">
        <v>7.43</v>
      </c>
      <c r="O164" s="2">
        <v>96.3</v>
      </c>
      <c r="P164" s="2">
        <v>14.68</v>
      </c>
      <c r="Q164" s="2">
        <v>11.86</v>
      </c>
      <c r="R164" s="2">
        <v>20.81</v>
      </c>
      <c r="S164" s="2">
        <v>6.4089999999999998</v>
      </c>
      <c r="T164" s="2">
        <v>3.4620000000000002</v>
      </c>
      <c r="U164" s="2">
        <v>0.42899999999999999</v>
      </c>
      <c r="V164" s="2">
        <v>58.69</v>
      </c>
      <c r="W164" s="2">
        <v>-0.33500000000000002</v>
      </c>
      <c r="X164" s="2">
        <v>-0.3</v>
      </c>
      <c r="Y164" s="2">
        <v>2.3340000000000001</v>
      </c>
      <c r="Z164" s="2">
        <v>4.3120000000000003</v>
      </c>
      <c r="AA164" s="2">
        <v>3.16</v>
      </c>
      <c r="AB164" s="2">
        <v>2.6349999999999998</v>
      </c>
      <c r="AC164" s="2">
        <v>1.524</v>
      </c>
      <c r="AD164" s="2">
        <v>17.22</v>
      </c>
      <c r="AE164" s="2">
        <v>2.64</v>
      </c>
      <c r="AF164" s="2">
        <v>1.4390000000000001</v>
      </c>
      <c r="AG164" s="2">
        <v>4.9660000000000002</v>
      </c>
      <c r="AH164" s="2">
        <v>4.3029999999999999</v>
      </c>
      <c r="AI164" s="2">
        <v>16.690000000000001</v>
      </c>
      <c r="AJ164" s="2">
        <v>-8.7999999999999995E-2</v>
      </c>
      <c r="AK164" s="2">
        <v>10.65</v>
      </c>
      <c r="AL164" s="2">
        <v>-7.1999999999999995E-2</v>
      </c>
      <c r="AM164" s="2">
        <v>2.6309999999999998</v>
      </c>
      <c r="AN164" s="2" t="s">
        <v>122</v>
      </c>
      <c r="AO164" s="2">
        <v>1054</v>
      </c>
      <c r="AP164" s="2">
        <v>590</v>
      </c>
      <c r="AQ164" s="2">
        <v>148</v>
      </c>
      <c r="AR164" s="2">
        <v>34</v>
      </c>
      <c r="AS164" s="2">
        <v>41</v>
      </c>
      <c r="AT164" s="2">
        <v>61</v>
      </c>
      <c r="AU164" s="2">
        <v>267</v>
      </c>
      <c r="AV164" s="2">
        <v>685</v>
      </c>
      <c r="AW164" s="2"/>
      <c r="AX164" s="2">
        <v>0</v>
      </c>
      <c r="AY164" s="26"/>
      <c r="AZ164" s="5">
        <v>33.130000000000003</v>
      </c>
      <c r="BA164" s="1">
        <v>17.22</v>
      </c>
      <c r="BB164" s="1">
        <v>2.4300000000000002</v>
      </c>
      <c r="BC164" s="6">
        <f t="shared" si="144"/>
        <v>0.14111498257839722</v>
      </c>
      <c r="BE164" s="30">
        <v>1.524</v>
      </c>
      <c r="BF164" s="27">
        <v>0</v>
      </c>
      <c r="BG164" s="1">
        <f t="shared" si="117"/>
        <v>96.3</v>
      </c>
      <c r="BH164" s="1">
        <f t="shared" si="118"/>
        <v>87.5</v>
      </c>
      <c r="BI164" s="1">
        <f t="shared" si="119"/>
        <v>58.7</v>
      </c>
      <c r="BJ164" s="7">
        <f t="shared" si="120"/>
        <v>0.60499999999999998</v>
      </c>
      <c r="BK164" s="7">
        <f t="shared" si="121"/>
        <v>0.42599999999999999</v>
      </c>
      <c r="BM164" s="5">
        <f t="shared" si="122"/>
        <v>17.22</v>
      </c>
      <c r="BN164" s="5">
        <f t="shared" si="123"/>
        <v>2.4300000000000002</v>
      </c>
      <c r="BO164" s="1">
        <f t="shared" si="124"/>
        <v>2.4</v>
      </c>
      <c r="BP164" s="1">
        <f t="shared" si="125"/>
        <v>7.4</v>
      </c>
      <c r="BQ164" s="1">
        <f t="shared" si="126"/>
        <v>0.4</v>
      </c>
      <c r="BR164" s="1">
        <f t="shared" si="127"/>
        <v>87.5</v>
      </c>
      <c r="BS164" s="1">
        <f t="shared" si="128"/>
        <v>58.7</v>
      </c>
      <c r="BT164" s="1">
        <f t="shared" si="129"/>
        <v>1.4</v>
      </c>
      <c r="BU164" s="1">
        <f t="shared" si="130"/>
        <v>5</v>
      </c>
      <c r="BV164" s="33">
        <f t="shared" si="131"/>
        <v>1.524</v>
      </c>
      <c r="BW164" s="26">
        <f t="shared" si="148"/>
        <v>0</v>
      </c>
      <c r="BX164" s="20" t="str">
        <f t="shared" si="133"/>
        <v>NAN</v>
      </c>
      <c r="BY164" s="1">
        <f t="shared" si="134"/>
        <v>4.3</v>
      </c>
      <c r="BZ164" s="1">
        <f t="shared" si="135"/>
        <v>16.7</v>
      </c>
      <c r="CA164" s="1">
        <f t="shared" si="136"/>
        <v>-0.1</v>
      </c>
      <c r="CB164" s="1">
        <f t="shared" si="137"/>
        <v>8.6</v>
      </c>
      <c r="CC164" s="1">
        <f t="shared" si="138"/>
        <v>5.3</v>
      </c>
      <c r="CD164" s="1">
        <f t="shared" si="139"/>
        <v>3.3</v>
      </c>
      <c r="CE164" s="1" t="str">
        <f t="shared" si="140"/>
        <v>NAN</v>
      </c>
      <c r="CF164" s="1">
        <f t="shared" si="141"/>
        <v>0.60499999999999998</v>
      </c>
      <c r="CG164" s="1">
        <f t="shared" si="142"/>
        <v>0.42599999999999999</v>
      </c>
      <c r="CI164" s="1">
        <f t="shared" si="106"/>
        <v>2880</v>
      </c>
      <c r="CJ164" s="1">
        <f t="shared" si="107"/>
        <v>0.36599999999999999</v>
      </c>
      <c r="CK164" s="1">
        <f t="shared" si="108"/>
        <v>0.20499999999999999</v>
      </c>
      <c r="CL164" s="1">
        <f t="shared" si="109"/>
        <v>5.0999999999999997E-2</v>
      </c>
      <c r="CM164" s="1">
        <f t="shared" si="110"/>
        <v>1.2E-2</v>
      </c>
      <c r="CN164" s="1">
        <f t="shared" si="111"/>
        <v>1.4E-2</v>
      </c>
      <c r="CO164" s="1">
        <f t="shared" si="112"/>
        <v>2.1000000000000001E-2</v>
      </c>
      <c r="CP164" s="1">
        <f t="shared" si="113"/>
        <v>9.2999999999999999E-2</v>
      </c>
      <c r="CQ164" s="1">
        <f t="shared" si="114"/>
        <v>0.23799999999999999</v>
      </c>
      <c r="CS164" s="1">
        <f t="shared" si="145"/>
        <v>9.2999999999999989</v>
      </c>
      <c r="CT164" s="1">
        <f t="shared" si="146"/>
        <v>-0.5</v>
      </c>
    </row>
    <row r="165" spans="1:98" x14ac:dyDescent="0.2">
      <c r="A165" s="8">
        <f t="shared" si="143"/>
        <v>43990</v>
      </c>
      <c r="B165" s="1">
        <v>160</v>
      </c>
      <c r="C165" s="1">
        <v>11</v>
      </c>
      <c r="D165" s="2">
        <v>13.03</v>
      </c>
      <c r="E165" s="2">
        <v>10.36</v>
      </c>
      <c r="F165" s="2">
        <v>-3.6419999999999999</v>
      </c>
      <c r="G165" s="2">
        <v>2.488</v>
      </c>
      <c r="H165" s="2">
        <v>71.209999999999994</v>
      </c>
      <c r="I165" s="2">
        <v>4.032</v>
      </c>
      <c r="J165" s="2">
        <v>3.2240000000000002</v>
      </c>
      <c r="K165" s="2">
        <v>9.18</v>
      </c>
      <c r="L165" s="2">
        <v>5.7880000000000003</v>
      </c>
      <c r="M165" s="2">
        <v>3.5680000000000001</v>
      </c>
      <c r="N165" s="2">
        <v>8.07</v>
      </c>
      <c r="O165" s="2">
        <v>94.1</v>
      </c>
      <c r="P165" s="2">
        <v>15.94</v>
      </c>
      <c r="Q165" s="2">
        <v>12.88</v>
      </c>
      <c r="R165" s="2">
        <v>23.29</v>
      </c>
      <c r="S165" s="2">
        <v>7.2380000000000004</v>
      </c>
      <c r="T165" s="2">
        <v>3.8149999999999999</v>
      </c>
      <c r="U165" s="2">
        <v>-1.1240000000000001</v>
      </c>
      <c r="V165" s="2">
        <v>40.299999999999997</v>
      </c>
      <c r="W165" s="2">
        <v>-3.8929999999999998</v>
      </c>
      <c r="X165" s="2">
        <v>-3.11</v>
      </c>
      <c r="Y165" s="2">
        <v>1.216</v>
      </c>
      <c r="Z165" s="2">
        <v>4.63</v>
      </c>
      <c r="AA165" s="2">
        <v>3.2509999999999999</v>
      </c>
      <c r="AB165" s="2">
        <v>2.6379999999999999</v>
      </c>
      <c r="AC165" s="2">
        <v>0.76200000000000001</v>
      </c>
      <c r="AD165" s="2">
        <v>22.52</v>
      </c>
      <c r="AE165" s="2">
        <v>3.5219999999999998</v>
      </c>
      <c r="AF165" s="2">
        <v>1.659</v>
      </c>
      <c r="AG165" s="2">
        <v>5.5979999999999999</v>
      </c>
      <c r="AH165" s="2">
        <v>5.3369999999999997</v>
      </c>
      <c r="AI165" s="2">
        <v>20.16</v>
      </c>
      <c r="AJ165" s="2">
        <v>-2.1720000000000002</v>
      </c>
      <c r="AK165" s="2">
        <v>11.31</v>
      </c>
      <c r="AL165" s="2">
        <v>-1.3859999999999999</v>
      </c>
      <c r="AM165" s="2">
        <v>2.641</v>
      </c>
      <c r="AN165" s="2" t="s">
        <v>122</v>
      </c>
      <c r="AO165" s="2">
        <v>782</v>
      </c>
      <c r="AP165" s="2">
        <v>186</v>
      </c>
      <c r="AQ165" s="2">
        <v>71</v>
      </c>
      <c r="AR165" s="2">
        <v>39</v>
      </c>
      <c r="AS165" s="2">
        <v>58</v>
      </c>
      <c r="AT165" s="2">
        <v>132</v>
      </c>
      <c r="AU165" s="2">
        <v>522</v>
      </c>
      <c r="AV165" s="2">
        <v>1090</v>
      </c>
      <c r="AW165" s="2"/>
      <c r="AX165" s="2">
        <v>0</v>
      </c>
      <c r="AY165" s="26"/>
      <c r="AZ165" s="5">
        <v>33.159999999999997</v>
      </c>
      <c r="BA165" s="1">
        <v>22.52</v>
      </c>
      <c r="BB165" s="1">
        <v>3.24</v>
      </c>
      <c r="BC165" s="6">
        <f t="shared" si="144"/>
        <v>0.14387211367673181</v>
      </c>
      <c r="BE165" s="30">
        <v>0.76200000000000001</v>
      </c>
      <c r="BF165" s="27">
        <v>0</v>
      </c>
      <c r="BG165" s="1">
        <f t="shared" si="117"/>
        <v>94.1</v>
      </c>
      <c r="BH165" s="1">
        <f t="shared" si="118"/>
        <v>71.2</v>
      </c>
      <c r="BI165" s="1">
        <f t="shared" si="119"/>
        <v>40.299999999999997</v>
      </c>
      <c r="BJ165" s="7">
        <f t="shared" si="120"/>
        <v>0.434</v>
      </c>
      <c r="BK165" s="7">
        <f t="shared" si="121"/>
        <v>0.64300000000000002</v>
      </c>
      <c r="BM165" s="5">
        <f t="shared" si="122"/>
        <v>22.52</v>
      </c>
      <c r="BN165" s="5">
        <f t="shared" si="123"/>
        <v>3.24</v>
      </c>
      <c r="BO165" s="1">
        <f t="shared" si="124"/>
        <v>2.5</v>
      </c>
      <c r="BP165" s="1">
        <f t="shared" si="125"/>
        <v>8.1</v>
      </c>
      <c r="BQ165" s="1">
        <f t="shared" si="126"/>
        <v>-1.1000000000000001</v>
      </c>
      <c r="BR165" s="1">
        <f t="shared" si="127"/>
        <v>71.2</v>
      </c>
      <c r="BS165" s="1">
        <f t="shared" si="128"/>
        <v>40.299999999999997</v>
      </c>
      <c r="BT165" s="1">
        <f t="shared" si="129"/>
        <v>1.7</v>
      </c>
      <c r="BU165" s="1">
        <f t="shared" si="130"/>
        <v>5.6</v>
      </c>
      <c r="BV165" s="33">
        <f t="shared" si="131"/>
        <v>0.76200000000000001</v>
      </c>
      <c r="BW165" s="26">
        <f t="shared" si="148"/>
        <v>0</v>
      </c>
      <c r="BX165" s="20" t="str">
        <f t="shared" si="133"/>
        <v>NAN</v>
      </c>
      <c r="BY165" s="1">
        <f t="shared" si="134"/>
        <v>5.3</v>
      </c>
      <c r="BZ165" s="1">
        <f t="shared" si="135"/>
        <v>20.2</v>
      </c>
      <c r="CA165" s="1">
        <f t="shared" si="136"/>
        <v>-2.2000000000000002</v>
      </c>
      <c r="CB165" s="1">
        <f t="shared" si="137"/>
        <v>9.1999999999999993</v>
      </c>
      <c r="CC165" s="1">
        <f t="shared" si="138"/>
        <v>5.8</v>
      </c>
      <c r="CD165" s="1">
        <f t="shared" si="139"/>
        <v>3.6</v>
      </c>
      <c r="CE165" s="1" t="str">
        <f t="shared" si="140"/>
        <v>NAN</v>
      </c>
      <c r="CF165" s="1">
        <f t="shared" si="141"/>
        <v>0.434</v>
      </c>
      <c r="CG165" s="1">
        <f t="shared" si="142"/>
        <v>0.64300000000000002</v>
      </c>
      <c r="CI165" s="1">
        <f t="shared" si="106"/>
        <v>2880</v>
      </c>
      <c r="CJ165" s="1">
        <f t="shared" si="107"/>
        <v>0.27200000000000002</v>
      </c>
      <c r="CK165" s="1">
        <f t="shared" si="108"/>
        <v>6.5000000000000002E-2</v>
      </c>
      <c r="CL165" s="1">
        <f t="shared" si="109"/>
        <v>2.5000000000000001E-2</v>
      </c>
      <c r="CM165" s="1">
        <f t="shared" si="110"/>
        <v>1.4E-2</v>
      </c>
      <c r="CN165" s="1">
        <f t="shared" si="111"/>
        <v>0.02</v>
      </c>
      <c r="CO165" s="1">
        <f t="shared" si="112"/>
        <v>4.5999999999999999E-2</v>
      </c>
      <c r="CP165" s="1">
        <f t="shared" si="113"/>
        <v>0.18099999999999999</v>
      </c>
      <c r="CQ165" s="1">
        <f t="shared" si="114"/>
        <v>0.378</v>
      </c>
      <c r="CS165" s="1">
        <f t="shared" si="145"/>
        <v>12.1</v>
      </c>
      <c r="CT165" s="1">
        <f t="shared" si="146"/>
        <v>-1.1000000000000001</v>
      </c>
    </row>
    <row r="166" spans="1:98" x14ac:dyDescent="0.2">
      <c r="A166" s="8">
        <f t="shared" si="143"/>
        <v>43991</v>
      </c>
      <c r="B166" s="1">
        <v>161</v>
      </c>
      <c r="C166" s="1">
        <v>11</v>
      </c>
      <c r="D166" s="2">
        <v>13</v>
      </c>
      <c r="E166" s="2">
        <v>3.698</v>
      </c>
      <c r="F166" s="2">
        <v>-5.133</v>
      </c>
      <c r="G166" s="2">
        <v>1.1859999999999999</v>
      </c>
      <c r="H166" s="2">
        <v>90</v>
      </c>
      <c r="I166" s="2">
        <v>0.88400000000000001</v>
      </c>
      <c r="J166" s="2">
        <v>0.89900000000000002</v>
      </c>
      <c r="K166" s="2">
        <v>3.1360000000000001</v>
      </c>
      <c r="L166" s="2">
        <v>5.0389999999999997</v>
      </c>
      <c r="M166" s="2">
        <v>3.9529999999999998</v>
      </c>
      <c r="N166" s="2">
        <v>3.883</v>
      </c>
      <c r="O166" s="2">
        <v>97.1</v>
      </c>
      <c r="P166" s="2">
        <v>4.5890000000000004</v>
      </c>
      <c r="Q166" s="2">
        <v>4.2919999999999998</v>
      </c>
      <c r="R166" s="2">
        <v>6.9820000000000002</v>
      </c>
      <c r="S166" s="2">
        <v>6.7270000000000003</v>
      </c>
      <c r="T166" s="2">
        <v>4.0810000000000004</v>
      </c>
      <c r="U166" s="2">
        <v>-2.4039999999999999</v>
      </c>
      <c r="V166" s="2">
        <v>63.66</v>
      </c>
      <c r="W166" s="2">
        <v>-5.2489999999999997</v>
      </c>
      <c r="X166" s="2">
        <v>-4.3099999999999996</v>
      </c>
      <c r="Y166" s="2">
        <v>0.28899999999999998</v>
      </c>
      <c r="Z166" s="2">
        <v>4.3890000000000002</v>
      </c>
      <c r="AA166" s="2">
        <v>3.7280000000000002</v>
      </c>
      <c r="AB166" s="2">
        <v>2.6339999999999999</v>
      </c>
      <c r="AC166" s="2">
        <v>4.8259999999999996</v>
      </c>
      <c r="AD166" s="2">
        <v>6.5910000000000002</v>
      </c>
      <c r="AE166" s="2">
        <v>0.89200000000000002</v>
      </c>
      <c r="AF166" s="2">
        <v>1.2150000000000001</v>
      </c>
      <c r="AG166" s="2">
        <v>3.9529999999999998</v>
      </c>
      <c r="AH166" s="2">
        <v>1.6539999999999999</v>
      </c>
      <c r="AI166" s="2">
        <v>6.569</v>
      </c>
      <c r="AJ166" s="2">
        <v>-3.3069999999999999</v>
      </c>
      <c r="AK166" s="2">
        <v>3.984</v>
      </c>
      <c r="AL166" s="2">
        <v>-2.7050000000000001</v>
      </c>
      <c r="AM166" s="2">
        <v>2.617</v>
      </c>
      <c r="AN166" s="2" t="s">
        <v>122</v>
      </c>
      <c r="AO166" s="2">
        <v>7</v>
      </c>
      <c r="AP166" s="2">
        <v>4</v>
      </c>
      <c r="AQ166" s="2">
        <v>226</v>
      </c>
      <c r="AR166" s="2">
        <v>375</v>
      </c>
      <c r="AS166" s="2">
        <v>952</v>
      </c>
      <c r="AT166" s="2">
        <v>1090</v>
      </c>
      <c r="AU166" s="2">
        <v>198</v>
      </c>
      <c r="AV166" s="2">
        <v>28</v>
      </c>
      <c r="AW166" s="2"/>
      <c r="AX166" s="2">
        <v>0</v>
      </c>
      <c r="AY166" s="26"/>
      <c r="AZ166" s="5">
        <v>33.200000000000003</v>
      </c>
      <c r="BA166" s="1">
        <v>6.59</v>
      </c>
      <c r="BB166" s="1">
        <v>0.82</v>
      </c>
      <c r="BC166" s="6">
        <f t="shared" si="144"/>
        <v>0.1244309559939302</v>
      </c>
      <c r="BE166" s="30">
        <v>4.8259999999999996</v>
      </c>
      <c r="BF166" s="27">
        <v>0</v>
      </c>
      <c r="BG166" s="1">
        <f t="shared" si="117"/>
        <v>97.1</v>
      </c>
      <c r="BH166" s="1">
        <f t="shared" si="118"/>
        <v>90</v>
      </c>
      <c r="BI166" s="1">
        <f t="shared" si="119"/>
        <v>63.7</v>
      </c>
      <c r="BJ166" s="7">
        <f t="shared" si="120"/>
        <v>0.51400000000000001</v>
      </c>
      <c r="BK166" s="7">
        <f t="shared" si="121"/>
        <v>0.29299999999999998</v>
      </c>
      <c r="BM166" s="5">
        <f t="shared" si="122"/>
        <v>6.59</v>
      </c>
      <c r="BN166" s="5">
        <f t="shared" si="123"/>
        <v>0.82</v>
      </c>
      <c r="BO166" s="1">
        <f t="shared" si="124"/>
        <v>1.2</v>
      </c>
      <c r="BP166" s="1">
        <f t="shared" si="125"/>
        <v>3.9</v>
      </c>
      <c r="BQ166" s="1">
        <f t="shared" si="126"/>
        <v>-2.4</v>
      </c>
      <c r="BR166" s="1">
        <f t="shared" si="127"/>
        <v>90</v>
      </c>
      <c r="BS166" s="1">
        <f t="shared" si="128"/>
        <v>63.7</v>
      </c>
      <c r="BT166" s="1">
        <f t="shared" si="129"/>
        <v>1.2</v>
      </c>
      <c r="BU166" s="1">
        <f t="shared" si="130"/>
        <v>4</v>
      </c>
      <c r="BV166" s="33">
        <f t="shared" si="131"/>
        <v>4.8259999999999996</v>
      </c>
      <c r="BW166" s="26">
        <f t="shared" si="148"/>
        <v>0</v>
      </c>
      <c r="BX166" s="20" t="str">
        <f t="shared" si="133"/>
        <v>NAN</v>
      </c>
      <c r="BY166" s="1">
        <f t="shared" si="134"/>
        <v>1.7</v>
      </c>
      <c r="BZ166" s="1">
        <f t="shared" si="135"/>
        <v>6.6</v>
      </c>
      <c r="CA166" s="1">
        <f t="shared" si="136"/>
        <v>-3.3</v>
      </c>
      <c r="CB166" s="1">
        <f t="shared" si="137"/>
        <v>3.1</v>
      </c>
      <c r="CC166" s="1">
        <f t="shared" si="138"/>
        <v>5</v>
      </c>
      <c r="CD166" s="1">
        <f t="shared" si="139"/>
        <v>4</v>
      </c>
      <c r="CE166" s="1" t="str">
        <f t="shared" si="140"/>
        <v>NAN</v>
      </c>
      <c r="CF166" s="1">
        <f t="shared" si="141"/>
        <v>0.51400000000000001</v>
      </c>
      <c r="CG166" s="1">
        <f t="shared" si="142"/>
        <v>0.29299999999999998</v>
      </c>
      <c r="CI166" s="1">
        <f t="shared" si="106"/>
        <v>2880</v>
      </c>
      <c r="CJ166" s="1">
        <f t="shared" si="107"/>
        <v>2E-3</v>
      </c>
      <c r="CK166" s="1">
        <f t="shared" si="108"/>
        <v>1E-3</v>
      </c>
      <c r="CL166" s="1">
        <f t="shared" si="109"/>
        <v>7.8E-2</v>
      </c>
      <c r="CM166" s="1">
        <f t="shared" si="110"/>
        <v>0.13</v>
      </c>
      <c r="CN166" s="1">
        <f t="shared" si="111"/>
        <v>0.33100000000000002</v>
      </c>
      <c r="CO166" s="1">
        <f t="shared" si="112"/>
        <v>0.378</v>
      </c>
      <c r="CP166" s="1">
        <f t="shared" si="113"/>
        <v>6.9000000000000006E-2</v>
      </c>
      <c r="CQ166" s="1">
        <f t="shared" si="114"/>
        <v>0.01</v>
      </c>
      <c r="CS166" s="1">
        <f t="shared" si="145"/>
        <v>2.6999999999999997</v>
      </c>
      <c r="CT166" s="1">
        <f t="shared" si="146"/>
        <v>-0.89999999999999991</v>
      </c>
    </row>
    <row r="167" spans="1:98" x14ac:dyDescent="0.2">
      <c r="A167" s="8">
        <f t="shared" si="143"/>
        <v>43992</v>
      </c>
      <c r="B167" s="1">
        <v>162</v>
      </c>
      <c r="C167" s="1">
        <v>11</v>
      </c>
      <c r="D167" s="2">
        <v>13.01</v>
      </c>
      <c r="E167" s="2">
        <v>16.02</v>
      </c>
      <c r="F167" s="2">
        <v>2.4380000000000002</v>
      </c>
      <c r="G167" s="2">
        <v>7.4119999999999999</v>
      </c>
      <c r="H167" s="2">
        <v>81.3</v>
      </c>
      <c r="I167" s="2">
        <v>7.66</v>
      </c>
      <c r="J167" s="2">
        <v>7.2869999999999999</v>
      </c>
      <c r="K167" s="2">
        <v>9.81</v>
      </c>
      <c r="L167" s="2">
        <v>5.4459999999999997</v>
      </c>
      <c r="M167" s="2">
        <v>3.9</v>
      </c>
      <c r="N167" s="2">
        <v>15.17</v>
      </c>
      <c r="O167" s="2">
        <v>97.2</v>
      </c>
      <c r="P167" s="2">
        <v>20.21</v>
      </c>
      <c r="Q167" s="2">
        <v>17.760000000000002</v>
      </c>
      <c r="R167" s="2">
        <v>21.86</v>
      </c>
      <c r="S167" s="2">
        <v>7.0330000000000004</v>
      </c>
      <c r="T167" s="2">
        <v>4.0060000000000002</v>
      </c>
      <c r="U167" s="2">
        <v>3.0379999999999998</v>
      </c>
      <c r="V167" s="2">
        <v>43.03</v>
      </c>
      <c r="W167" s="2">
        <v>1.595</v>
      </c>
      <c r="X167" s="2">
        <v>1.899</v>
      </c>
      <c r="Y167" s="2">
        <v>3.0870000000000002</v>
      </c>
      <c r="Z167" s="2">
        <v>4.43</v>
      </c>
      <c r="AA167" s="2">
        <v>3.746</v>
      </c>
      <c r="AB167" s="2">
        <v>2.64</v>
      </c>
      <c r="AC167" s="2">
        <v>0.254</v>
      </c>
      <c r="AD167" s="2">
        <v>15.51</v>
      </c>
      <c r="AE167" s="2">
        <v>2.2669999999999999</v>
      </c>
      <c r="AF167" s="2">
        <v>1.2569999999999999</v>
      </c>
      <c r="AG167" s="2">
        <v>4.1369999999999996</v>
      </c>
      <c r="AH167" s="2">
        <v>9</v>
      </c>
      <c r="AI167" s="2">
        <v>24.85</v>
      </c>
      <c r="AJ167" s="2">
        <v>2.1459999999999999</v>
      </c>
      <c r="AK167" s="2">
        <v>17.97</v>
      </c>
      <c r="AL167" s="2">
        <v>2.7450000000000001</v>
      </c>
      <c r="AM167" s="2">
        <v>2.6110000000000002</v>
      </c>
      <c r="AN167" s="2" t="s">
        <v>122</v>
      </c>
      <c r="AO167" s="2">
        <v>22</v>
      </c>
      <c r="AP167" s="2">
        <v>29</v>
      </c>
      <c r="AQ167" s="2">
        <v>81</v>
      </c>
      <c r="AR167" s="2">
        <v>240</v>
      </c>
      <c r="AS167" s="2">
        <v>644</v>
      </c>
      <c r="AT167" s="2">
        <v>1253</v>
      </c>
      <c r="AU167" s="2">
        <v>542</v>
      </c>
      <c r="AV167" s="2">
        <v>69</v>
      </c>
      <c r="AW167" s="2"/>
      <c r="AX167" s="2">
        <v>0</v>
      </c>
      <c r="AY167" s="26"/>
      <c r="AZ167" s="5">
        <v>33.229999999999997</v>
      </c>
      <c r="BA167" s="1">
        <v>15.51</v>
      </c>
      <c r="BB167" s="1">
        <v>2.08</v>
      </c>
      <c r="BC167" s="6">
        <f t="shared" si="144"/>
        <v>0.134107027724049</v>
      </c>
      <c r="BE167" s="30">
        <v>0.254</v>
      </c>
      <c r="BF167" s="27">
        <v>0</v>
      </c>
      <c r="BG167" s="1">
        <f t="shared" si="117"/>
        <v>97.2</v>
      </c>
      <c r="BH167" s="1">
        <f t="shared" si="118"/>
        <v>81.3</v>
      </c>
      <c r="BI167" s="1">
        <f t="shared" si="119"/>
        <v>43</v>
      </c>
      <c r="BJ167" s="7">
        <f t="shared" si="120"/>
        <v>0.74099999999999999</v>
      </c>
      <c r="BK167" s="7">
        <f t="shared" si="121"/>
        <v>0.98199999999999998</v>
      </c>
      <c r="BM167" s="5">
        <f t="shared" si="122"/>
        <v>15.51</v>
      </c>
      <c r="BN167" s="5">
        <f t="shared" si="123"/>
        <v>2.08</v>
      </c>
      <c r="BO167" s="1">
        <f t="shared" si="124"/>
        <v>7.4</v>
      </c>
      <c r="BP167" s="1">
        <f t="shared" si="125"/>
        <v>15.2</v>
      </c>
      <c r="BQ167" s="1">
        <f t="shared" si="126"/>
        <v>3</v>
      </c>
      <c r="BR167" s="1">
        <f t="shared" si="127"/>
        <v>81.3</v>
      </c>
      <c r="BS167" s="1">
        <f t="shared" si="128"/>
        <v>43</v>
      </c>
      <c r="BT167" s="1">
        <f t="shared" si="129"/>
        <v>1.3</v>
      </c>
      <c r="BU167" s="1">
        <f t="shared" si="130"/>
        <v>4.0999999999999996</v>
      </c>
      <c r="BV167" s="33">
        <f t="shared" si="131"/>
        <v>0.254</v>
      </c>
      <c r="BW167" s="26">
        <f t="shared" si="148"/>
        <v>0</v>
      </c>
      <c r="BX167" s="20" t="str">
        <f t="shared" si="133"/>
        <v>NAN</v>
      </c>
      <c r="BY167" s="1">
        <f t="shared" si="134"/>
        <v>9</v>
      </c>
      <c r="BZ167" s="1">
        <f t="shared" si="135"/>
        <v>24.9</v>
      </c>
      <c r="CA167" s="1">
        <f t="shared" si="136"/>
        <v>2.1</v>
      </c>
      <c r="CB167" s="1">
        <f t="shared" si="137"/>
        <v>9.8000000000000007</v>
      </c>
      <c r="CC167" s="1">
        <f t="shared" si="138"/>
        <v>5.4</v>
      </c>
      <c r="CD167" s="1">
        <f t="shared" si="139"/>
        <v>3.9</v>
      </c>
      <c r="CE167" s="1" t="str">
        <f t="shared" si="140"/>
        <v>NAN</v>
      </c>
      <c r="CF167" s="1">
        <f t="shared" si="141"/>
        <v>0.74099999999999999</v>
      </c>
      <c r="CG167" s="1">
        <f t="shared" si="142"/>
        <v>0.98199999999999998</v>
      </c>
      <c r="CI167" s="1">
        <f t="shared" si="106"/>
        <v>2880</v>
      </c>
      <c r="CJ167" s="1">
        <f t="shared" si="107"/>
        <v>8.0000000000000002E-3</v>
      </c>
      <c r="CK167" s="1">
        <f t="shared" si="108"/>
        <v>0.01</v>
      </c>
      <c r="CL167" s="1">
        <f t="shared" si="109"/>
        <v>2.8000000000000001E-2</v>
      </c>
      <c r="CM167" s="1">
        <f t="shared" si="110"/>
        <v>8.3000000000000004E-2</v>
      </c>
      <c r="CN167" s="1">
        <f t="shared" si="111"/>
        <v>0.224</v>
      </c>
      <c r="CO167" s="1">
        <f t="shared" si="112"/>
        <v>0.435</v>
      </c>
      <c r="CP167" s="1">
        <f t="shared" si="113"/>
        <v>0.188</v>
      </c>
      <c r="CQ167" s="1">
        <f t="shared" si="114"/>
        <v>2.4E-2</v>
      </c>
      <c r="CS167" s="1">
        <f t="shared" si="145"/>
        <v>9.6999999999999993</v>
      </c>
      <c r="CT167" s="1">
        <f t="shared" si="146"/>
        <v>-0.89999999999999991</v>
      </c>
    </row>
    <row r="168" spans="1:98" x14ac:dyDescent="0.2">
      <c r="A168" s="8">
        <f t="shared" si="143"/>
        <v>43993</v>
      </c>
      <c r="B168" s="1">
        <v>163</v>
      </c>
      <c r="C168" s="1">
        <v>11</v>
      </c>
      <c r="D168" s="2">
        <v>12.96</v>
      </c>
      <c r="E168" s="2">
        <v>12.91</v>
      </c>
      <c r="F168" s="2">
        <v>3.165</v>
      </c>
      <c r="G168" s="2">
        <v>8.2899999999999991</v>
      </c>
      <c r="H168" s="2">
        <v>89.9</v>
      </c>
      <c r="I168" s="2">
        <v>7.8179999999999996</v>
      </c>
      <c r="J168" s="2">
        <v>7.7679999999999998</v>
      </c>
      <c r="K168" s="2">
        <v>9.09</v>
      </c>
      <c r="L168" s="2">
        <v>6.3239999999999998</v>
      </c>
      <c r="M168" s="2">
        <v>4.165</v>
      </c>
      <c r="N168" s="2">
        <v>12.5</v>
      </c>
      <c r="O168" s="2">
        <v>97.2</v>
      </c>
      <c r="P168" s="2">
        <v>16.28</v>
      </c>
      <c r="Q168" s="2">
        <v>14.66</v>
      </c>
      <c r="R168" s="2">
        <v>17.010000000000002</v>
      </c>
      <c r="S168" s="2">
        <v>7.242</v>
      </c>
      <c r="T168" s="2">
        <v>4.3940000000000001</v>
      </c>
      <c r="U168" s="2">
        <v>5.0960000000000001</v>
      </c>
      <c r="V168" s="2">
        <v>65.16</v>
      </c>
      <c r="W168" s="2">
        <v>2.6070000000000002</v>
      </c>
      <c r="X168" s="2">
        <v>3.26</v>
      </c>
      <c r="Y168" s="2">
        <v>2.5470000000000002</v>
      </c>
      <c r="Z168" s="2">
        <v>5.5019999999999998</v>
      </c>
      <c r="AA168" s="2">
        <v>3.887</v>
      </c>
      <c r="AB168" s="2">
        <v>2.6349999999999998</v>
      </c>
      <c r="AC168" s="2">
        <v>7.8739999999999997</v>
      </c>
      <c r="AD168" s="2">
        <v>9.98</v>
      </c>
      <c r="AE168" s="2">
        <v>1.353</v>
      </c>
      <c r="AF168" s="2">
        <v>1.472</v>
      </c>
      <c r="AG168" s="2">
        <v>4.6109999999999998</v>
      </c>
      <c r="AH168" s="2">
        <v>8.7200000000000006</v>
      </c>
      <c r="AI168" s="2">
        <v>18.760000000000002</v>
      </c>
      <c r="AJ168" s="2">
        <v>2.6789999999999998</v>
      </c>
      <c r="AK168" s="2">
        <v>13.87</v>
      </c>
      <c r="AL168" s="2">
        <v>4.6369999999999996</v>
      </c>
      <c r="AM168" s="2">
        <v>2.6019999999999999</v>
      </c>
      <c r="AN168" s="2" t="s">
        <v>122</v>
      </c>
      <c r="AO168" s="2">
        <v>22</v>
      </c>
      <c r="AP168" s="2">
        <v>82</v>
      </c>
      <c r="AQ168" s="2">
        <v>143</v>
      </c>
      <c r="AR168" s="2">
        <v>178</v>
      </c>
      <c r="AS168" s="2">
        <v>714</v>
      </c>
      <c r="AT168" s="2">
        <v>1317</v>
      </c>
      <c r="AU168" s="2">
        <v>370</v>
      </c>
      <c r="AV168" s="2">
        <v>54</v>
      </c>
      <c r="AW168" s="2"/>
      <c r="AX168" s="2">
        <v>0</v>
      </c>
      <c r="AY168" s="26"/>
      <c r="AZ168" s="5">
        <v>33.26</v>
      </c>
      <c r="BA168" s="1">
        <v>9.98</v>
      </c>
      <c r="BB168" s="1">
        <v>1.24</v>
      </c>
      <c r="BC168" s="6">
        <f t="shared" si="144"/>
        <v>0.12424849699398798</v>
      </c>
      <c r="BE168" s="30">
        <v>7.8739999999999997</v>
      </c>
      <c r="BF168" s="27">
        <v>0</v>
      </c>
      <c r="BG168" s="1">
        <f t="shared" si="117"/>
        <v>97.2</v>
      </c>
      <c r="BH168" s="1">
        <f t="shared" si="118"/>
        <v>89.9</v>
      </c>
      <c r="BI168" s="1">
        <f t="shared" si="119"/>
        <v>65.2</v>
      </c>
      <c r="BJ168" s="7">
        <f t="shared" si="120"/>
        <v>0.94499999999999995</v>
      </c>
      <c r="BK168" s="7">
        <f t="shared" si="121"/>
        <v>0.504</v>
      </c>
      <c r="BM168" s="5">
        <f t="shared" si="122"/>
        <v>9.98</v>
      </c>
      <c r="BN168" s="5">
        <f t="shared" si="123"/>
        <v>1.24</v>
      </c>
      <c r="BO168" s="1">
        <f t="shared" si="124"/>
        <v>8.3000000000000007</v>
      </c>
      <c r="BP168" s="1">
        <f t="shared" si="125"/>
        <v>12.5</v>
      </c>
      <c r="BQ168" s="1">
        <f t="shared" si="126"/>
        <v>5.0999999999999996</v>
      </c>
      <c r="BR168" s="1">
        <f t="shared" si="127"/>
        <v>89.9</v>
      </c>
      <c r="BS168" s="1">
        <f t="shared" si="128"/>
        <v>65.2</v>
      </c>
      <c r="BT168" s="1">
        <f t="shared" si="129"/>
        <v>1.5</v>
      </c>
      <c r="BU168" s="1">
        <f t="shared" si="130"/>
        <v>4.5999999999999996</v>
      </c>
      <c r="BV168" s="33">
        <f t="shared" si="131"/>
        <v>7.8739999999999997</v>
      </c>
      <c r="BW168" s="26">
        <f t="shared" si="148"/>
        <v>0</v>
      </c>
      <c r="BX168" s="20" t="str">
        <f t="shared" si="133"/>
        <v>NAN</v>
      </c>
      <c r="BY168" s="1">
        <f t="shared" si="134"/>
        <v>8.6999999999999993</v>
      </c>
      <c r="BZ168" s="1">
        <f t="shared" si="135"/>
        <v>18.8</v>
      </c>
      <c r="CA168" s="1">
        <f t="shared" si="136"/>
        <v>2.7</v>
      </c>
      <c r="CB168" s="1">
        <f t="shared" si="137"/>
        <v>9.1</v>
      </c>
      <c r="CC168" s="1">
        <f t="shared" si="138"/>
        <v>6.3</v>
      </c>
      <c r="CD168" s="1">
        <f t="shared" si="139"/>
        <v>4.2</v>
      </c>
      <c r="CE168" s="1" t="str">
        <f t="shared" si="140"/>
        <v>NAN</v>
      </c>
      <c r="CF168" s="1">
        <f t="shared" si="141"/>
        <v>0.94499999999999995</v>
      </c>
      <c r="CG168" s="1">
        <f t="shared" si="142"/>
        <v>0.504</v>
      </c>
      <c r="CI168" s="1">
        <f t="shared" si="106"/>
        <v>2880</v>
      </c>
      <c r="CJ168" s="1">
        <f t="shared" si="107"/>
        <v>8.0000000000000002E-3</v>
      </c>
      <c r="CK168" s="1">
        <f t="shared" si="108"/>
        <v>2.8000000000000001E-2</v>
      </c>
      <c r="CL168" s="1">
        <f t="shared" si="109"/>
        <v>0.05</v>
      </c>
      <c r="CM168" s="1">
        <f t="shared" si="110"/>
        <v>6.2E-2</v>
      </c>
      <c r="CN168" s="1">
        <f t="shared" si="111"/>
        <v>0.248</v>
      </c>
      <c r="CO168" s="1">
        <f t="shared" si="112"/>
        <v>0.45700000000000002</v>
      </c>
      <c r="CP168" s="1">
        <f t="shared" si="113"/>
        <v>0.128</v>
      </c>
      <c r="CQ168" s="1">
        <f t="shared" si="114"/>
        <v>1.9E-2</v>
      </c>
      <c r="CS168" s="1">
        <f t="shared" si="145"/>
        <v>6.3000000000000007</v>
      </c>
      <c r="CT168" s="1">
        <f t="shared" si="146"/>
        <v>-2.3999999999999995</v>
      </c>
    </row>
    <row r="169" spans="1:98" x14ac:dyDescent="0.2">
      <c r="A169" s="8">
        <f t="shared" si="143"/>
        <v>43994</v>
      </c>
      <c r="B169" s="1">
        <v>164</v>
      </c>
      <c r="C169" s="1">
        <v>11</v>
      </c>
      <c r="D169" s="2">
        <v>13.02</v>
      </c>
      <c r="E169" s="2">
        <v>17.79</v>
      </c>
      <c r="F169" s="2">
        <v>3.3769999999999998</v>
      </c>
      <c r="G169" s="2">
        <v>8.4</v>
      </c>
      <c r="H169" s="2">
        <v>85.6</v>
      </c>
      <c r="I169" s="2">
        <v>8.82</v>
      </c>
      <c r="J169" s="2">
        <v>8.42</v>
      </c>
      <c r="K169" s="2">
        <v>11.7</v>
      </c>
      <c r="L169" s="2">
        <v>7.2850000000000001</v>
      </c>
      <c r="M169" s="2">
        <v>4.49</v>
      </c>
      <c r="N169" s="2">
        <v>16.11</v>
      </c>
      <c r="O169" s="2">
        <v>97.2</v>
      </c>
      <c r="P169" s="2">
        <v>21.91</v>
      </c>
      <c r="Q169" s="2">
        <v>19.32</v>
      </c>
      <c r="R169" s="2">
        <v>26.92</v>
      </c>
      <c r="S169" s="2">
        <v>8.67</v>
      </c>
      <c r="T169" s="2">
        <v>4.7</v>
      </c>
      <c r="U169" s="2">
        <v>3.4750000000000001</v>
      </c>
      <c r="V169" s="2">
        <v>57.1</v>
      </c>
      <c r="W169" s="2">
        <v>3.0339999999999998</v>
      </c>
      <c r="X169" s="2">
        <v>2.8050000000000002</v>
      </c>
      <c r="Y169" s="2">
        <v>5.65</v>
      </c>
      <c r="Z169" s="2">
        <v>6.25</v>
      </c>
      <c r="AA169" s="2">
        <v>4.2149999999999999</v>
      </c>
      <c r="AB169" s="2">
        <v>5.3620000000000001</v>
      </c>
      <c r="AC169" s="2">
        <v>7.1120000000000001</v>
      </c>
      <c r="AD169" s="2">
        <v>16.010000000000002</v>
      </c>
      <c r="AE169" s="2">
        <v>2.198</v>
      </c>
      <c r="AF169" s="2">
        <v>1.7290000000000001</v>
      </c>
      <c r="AG169" s="2">
        <v>5.3959999999999999</v>
      </c>
      <c r="AH169" s="2">
        <v>10.01</v>
      </c>
      <c r="AI169" s="2">
        <v>26.64</v>
      </c>
      <c r="AJ169" s="2">
        <v>3.048</v>
      </c>
      <c r="AK169" s="2">
        <v>18.489999999999998</v>
      </c>
      <c r="AL169" s="2">
        <v>2.98</v>
      </c>
      <c r="AM169" s="2">
        <v>5.3280000000000003</v>
      </c>
      <c r="AN169" s="2" t="s">
        <v>122</v>
      </c>
      <c r="AO169" s="2">
        <v>101</v>
      </c>
      <c r="AP169" s="2">
        <v>410</v>
      </c>
      <c r="AQ169" s="2">
        <v>307</v>
      </c>
      <c r="AR169" s="2">
        <v>186</v>
      </c>
      <c r="AS169" s="2">
        <v>600</v>
      </c>
      <c r="AT169" s="2">
        <v>859</v>
      </c>
      <c r="AU169" s="2">
        <v>362</v>
      </c>
      <c r="AV169" s="2">
        <v>55</v>
      </c>
      <c r="AW169" s="2"/>
      <c r="AX169" s="2">
        <v>0</v>
      </c>
      <c r="AY169" s="26"/>
      <c r="AZ169" s="5">
        <v>33.29</v>
      </c>
      <c r="BA169" s="1">
        <v>16.010000000000002</v>
      </c>
      <c r="BB169" s="1">
        <v>2.02</v>
      </c>
      <c r="BC169" s="6">
        <f t="shared" si="144"/>
        <v>0.12617114303560273</v>
      </c>
      <c r="BE169" s="30">
        <v>7.1120000000000001</v>
      </c>
      <c r="BF169" s="27">
        <v>0</v>
      </c>
      <c r="BG169" s="1">
        <f t="shared" si="117"/>
        <v>97.2</v>
      </c>
      <c r="BH169" s="1">
        <f t="shared" si="118"/>
        <v>85.6</v>
      </c>
      <c r="BI169" s="1">
        <f t="shared" si="119"/>
        <v>57.1</v>
      </c>
      <c r="BJ169" s="7">
        <f t="shared" si="120"/>
        <v>1.0449999999999999</v>
      </c>
      <c r="BK169" s="7">
        <f t="shared" si="121"/>
        <v>0.78500000000000003</v>
      </c>
      <c r="BM169" s="5">
        <f t="shared" si="122"/>
        <v>16.010000000000002</v>
      </c>
      <c r="BN169" s="5">
        <f t="shared" si="123"/>
        <v>2.02</v>
      </c>
      <c r="BO169" s="1">
        <f t="shared" si="124"/>
        <v>8.4</v>
      </c>
      <c r="BP169" s="1">
        <f t="shared" si="125"/>
        <v>16.100000000000001</v>
      </c>
      <c r="BQ169" s="1">
        <f t="shared" si="126"/>
        <v>3.5</v>
      </c>
      <c r="BR169" s="1">
        <f t="shared" si="127"/>
        <v>85.6</v>
      </c>
      <c r="BS169" s="1">
        <f t="shared" si="128"/>
        <v>57.1</v>
      </c>
      <c r="BT169" s="1">
        <f t="shared" si="129"/>
        <v>1.7</v>
      </c>
      <c r="BU169" s="1">
        <f t="shared" si="130"/>
        <v>5.4</v>
      </c>
      <c r="BV169" s="33">
        <f t="shared" si="131"/>
        <v>7.1120000000000001</v>
      </c>
      <c r="BW169" s="26">
        <f t="shared" si="148"/>
        <v>0</v>
      </c>
      <c r="BX169" s="20" t="str">
        <f t="shared" si="133"/>
        <v>NAN</v>
      </c>
      <c r="BY169" s="1">
        <f t="shared" si="134"/>
        <v>10</v>
      </c>
      <c r="BZ169" s="1">
        <f t="shared" si="135"/>
        <v>26.6</v>
      </c>
      <c r="CA169" s="1">
        <f t="shared" si="136"/>
        <v>3</v>
      </c>
      <c r="CB169" s="1">
        <f t="shared" si="137"/>
        <v>11.7</v>
      </c>
      <c r="CC169" s="1">
        <f t="shared" si="138"/>
        <v>7.3</v>
      </c>
      <c r="CD169" s="1">
        <f t="shared" si="139"/>
        <v>4.5</v>
      </c>
      <c r="CE169" s="1" t="str">
        <f t="shared" si="140"/>
        <v>NAN</v>
      </c>
      <c r="CF169" s="1">
        <f t="shared" si="141"/>
        <v>1.0449999999999999</v>
      </c>
      <c r="CG169" s="1">
        <f t="shared" si="142"/>
        <v>0.78500000000000003</v>
      </c>
      <c r="CI169" s="1">
        <f t="shared" si="106"/>
        <v>2880</v>
      </c>
      <c r="CJ169" s="1">
        <f t="shared" si="107"/>
        <v>3.5000000000000003E-2</v>
      </c>
      <c r="CK169" s="1">
        <f t="shared" si="108"/>
        <v>0.14199999999999999</v>
      </c>
      <c r="CL169" s="1">
        <f t="shared" si="109"/>
        <v>0.107</v>
      </c>
      <c r="CM169" s="1">
        <f t="shared" si="110"/>
        <v>6.5000000000000002E-2</v>
      </c>
      <c r="CN169" s="1">
        <f t="shared" si="111"/>
        <v>0.20799999999999999</v>
      </c>
      <c r="CO169" s="1">
        <f t="shared" si="112"/>
        <v>0.29799999999999999</v>
      </c>
      <c r="CP169" s="1">
        <f t="shared" si="113"/>
        <v>0.126</v>
      </c>
      <c r="CQ169" s="1">
        <f t="shared" si="114"/>
        <v>1.9E-2</v>
      </c>
      <c r="CS169" s="1">
        <f t="shared" si="145"/>
        <v>10.5</v>
      </c>
      <c r="CT169" s="1">
        <f t="shared" si="146"/>
        <v>-0.5</v>
      </c>
    </row>
    <row r="170" spans="1:98" x14ac:dyDescent="0.2">
      <c r="A170" s="8">
        <f t="shared" si="143"/>
        <v>43995</v>
      </c>
      <c r="B170" s="1">
        <v>165</v>
      </c>
      <c r="C170" s="1">
        <v>11</v>
      </c>
      <c r="D170" s="2">
        <v>12.97</v>
      </c>
      <c r="E170" s="2">
        <v>3.4</v>
      </c>
      <c r="F170" s="2">
        <v>1.0999999999999999E-2</v>
      </c>
      <c r="G170" s="2">
        <v>1.583</v>
      </c>
      <c r="H170" s="2">
        <v>92.6</v>
      </c>
      <c r="I170" s="2">
        <v>1.401</v>
      </c>
      <c r="J170" s="2">
        <v>1.3440000000000001</v>
      </c>
      <c r="K170" s="2">
        <v>3.3279999999999998</v>
      </c>
      <c r="L170" s="2">
        <v>6.48</v>
      </c>
      <c r="M170" s="2">
        <v>4.9050000000000002</v>
      </c>
      <c r="N170" s="2">
        <v>4.7329999999999997</v>
      </c>
      <c r="O170" s="2">
        <v>96.5</v>
      </c>
      <c r="P170" s="2">
        <v>4.6390000000000002</v>
      </c>
      <c r="Q170" s="2">
        <v>4.3120000000000003</v>
      </c>
      <c r="R170" s="2">
        <v>8.2899999999999991</v>
      </c>
      <c r="S170" s="2">
        <v>8.2200000000000006</v>
      </c>
      <c r="T170" s="2">
        <v>5.0380000000000003</v>
      </c>
      <c r="U170" s="2">
        <v>-7.9000000000000001E-2</v>
      </c>
      <c r="V170" s="2">
        <v>79.02</v>
      </c>
      <c r="W170" s="2">
        <v>-0.11600000000000001</v>
      </c>
      <c r="X170" s="2">
        <v>-7.0000000000000007E-2</v>
      </c>
      <c r="Y170" s="2">
        <v>1.073</v>
      </c>
      <c r="Z170" s="2">
        <v>5.0960000000000001</v>
      </c>
      <c r="AA170" s="2">
        <v>4.6479999999999997</v>
      </c>
      <c r="AB170" s="2">
        <v>0</v>
      </c>
      <c r="AC170" s="2">
        <v>10.67</v>
      </c>
      <c r="AD170" s="2">
        <v>4.1719999999999997</v>
      </c>
      <c r="AE170" s="2">
        <v>1.0149999999999999</v>
      </c>
      <c r="AF170" s="2">
        <v>1.4910000000000001</v>
      </c>
      <c r="AG170" s="2">
        <v>4.2560000000000002</v>
      </c>
      <c r="AH170" s="2">
        <v>1.38</v>
      </c>
      <c r="AI170" s="2">
        <v>5.1520000000000001</v>
      </c>
      <c r="AJ170" s="2">
        <v>-0.38400000000000001</v>
      </c>
      <c r="AK170" s="2">
        <v>4.16</v>
      </c>
      <c r="AL170" s="2">
        <v>-0.08</v>
      </c>
      <c r="AM170" s="2">
        <v>0</v>
      </c>
      <c r="AN170" s="2" t="s">
        <v>122</v>
      </c>
      <c r="AO170" s="2">
        <v>656</v>
      </c>
      <c r="AP170" s="2">
        <v>841</v>
      </c>
      <c r="AQ170" s="2">
        <v>479</v>
      </c>
      <c r="AR170" s="2">
        <v>62</v>
      </c>
      <c r="AS170" s="2">
        <v>29</v>
      </c>
      <c r="AT170" s="2">
        <v>51</v>
      </c>
      <c r="AU170" s="2">
        <v>203</v>
      </c>
      <c r="AV170" s="2">
        <v>559</v>
      </c>
      <c r="AW170" s="2"/>
      <c r="AX170" s="2">
        <v>0</v>
      </c>
      <c r="AY170" s="26"/>
      <c r="AZ170" s="5">
        <v>33.31</v>
      </c>
      <c r="BA170" s="1">
        <v>4.17</v>
      </c>
      <c r="BB170" s="1">
        <v>0.93</v>
      </c>
      <c r="BC170" s="6">
        <f t="shared" si="144"/>
        <v>0.22302158273381298</v>
      </c>
      <c r="BE170" s="30">
        <v>10.667999999999999</v>
      </c>
      <c r="BF170" s="27">
        <v>0</v>
      </c>
      <c r="BG170" s="1">
        <f t="shared" si="117"/>
        <v>96.5</v>
      </c>
      <c r="BH170" s="1">
        <f t="shared" si="118"/>
        <v>92.6</v>
      </c>
      <c r="BI170" s="1">
        <f t="shared" si="119"/>
        <v>79</v>
      </c>
      <c r="BJ170" s="7">
        <f t="shared" si="120"/>
        <v>0.67600000000000005</v>
      </c>
      <c r="BK170" s="7">
        <f t="shared" si="121"/>
        <v>0.18</v>
      </c>
      <c r="BM170" s="5">
        <f t="shared" si="122"/>
        <v>4.17</v>
      </c>
      <c r="BN170" s="5">
        <f t="shared" si="123"/>
        <v>0.93</v>
      </c>
      <c r="BO170" s="1">
        <f t="shared" si="124"/>
        <v>1.6</v>
      </c>
      <c r="BP170" s="1">
        <f t="shared" si="125"/>
        <v>4.7</v>
      </c>
      <c r="BQ170" s="1">
        <f t="shared" si="126"/>
        <v>-0.1</v>
      </c>
      <c r="BR170" s="1">
        <f t="shared" si="127"/>
        <v>92.6</v>
      </c>
      <c r="BS170" s="1">
        <f t="shared" si="128"/>
        <v>79</v>
      </c>
      <c r="BT170" s="1">
        <f t="shared" si="129"/>
        <v>1.5</v>
      </c>
      <c r="BU170" s="1">
        <f t="shared" si="130"/>
        <v>4.3</v>
      </c>
      <c r="BV170" s="33">
        <f t="shared" si="131"/>
        <v>10.667999999999999</v>
      </c>
      <c r="BW170" s="26">
        <f t="shared" si="148"/>
        <v>0</v>
      </c>
      <c r="BX170" s="20" t="str">
        <f t="shared" si="133"/>
        <v>NAN</v>
      </c>
      <c r="BY170" s="1">
        <f t="shared" si="134"/>
        <v>1.4</v>
      </c>
      <c r="BZ170" s="1">
        <f t="shared" si="135"/>
        <v>5.2</v>
      </c>
      <c r="CA170" s="1">
        <f t="shared" si="136"/>
        <v>-0.4</v>
      </c>
      <c r="CB170" s="1">
        <f t="shared" si="137"/>
        <v>3.3</v>
      </c>
      <c r="CC170" s="1">
        <f t="shared" si="138"/>
        <v>6.5</v>
      </c>
      <c r="CD170" s="1">
        <f t="shared" si="139"/>
        <v>4.9000000000000004</v>
      </c>
      <c r="CE170" s="1" t="str">
        <f t="shared" si="140"/>
        <v>NAN</v>
      </c>
      <c r="CF170" s="1">
        <f t="shared" si="141"/>
        <v>0.67600000000000005</v>
      </c>
      <c r="CG170" s="1">
        <f t="shared" si="142"/>
        <v>0.18</v>
      </c>
      <c r="CI170" s="1">
        <f t="shared" si="106"/>
        <v>2880</v>
      </c>
      <c r="CJ170" s="1">
        <f t="shared" si="107"/>
        <v>0.22800000000000001</v>
      </c>
      <c r="CK170" s="1">
        <f t="shared" si="108"/>
        <v>0.29199999999999998</v>
      </c>
      <c r="CL170" s="1">
        <f t="shared" si="109"/>
        <v>0.16600000000000001</v>
      </c>
      <c r="CM170" s="1">
        <f t="shared" si="110"/>
        <v>2.1999999999999999E-2</v>
      </c>
      <c r="CN170" s="1">
        <f t="shared" si="111"/>
        <v>0.01</v>
      </c>
      <c r="CO170" s="1">
        <f t="shared" si="112"/>
        <v>1.7999999999999999E-2</v>
      </c>
      <c r="CP170" s="1">
        <f t="shared" si="113"/>
        <v>7.0000000000000007E-2</v>
      </c>
      <c r="CQ170" s="1">
        <f t="shared" si="114"/>
        <v>0.19400000000000001</v>
      </c>
      <c r="CS170" s="1">
        <f t="shared" si="145"/>
        <v>0.5</v>
      </c>
      <c r="CT170" s="1">
        <f t="shared" si="146"/>
        <v>-0.30000000000000004</v>
      </c>
    </row>
    <row r="171" spans="1:98" x14ac:dyDescent="0.2">
      <c r="A171" s="8">
        <f t="shared" si="143"/>
        <v>43996</v>
      </c>
      <c r="B171" s="1">
        <v>166</v>
      </c>
      <c r="C171" s="1">
        <v>11</v>
      </c>
      <c r="D171" s="2">
        <v>13.12</v>
      </c>
      <c r="E171" s="2">
        <v>2.4380000000000002</v>
      </c>
      <c r="F171" s="2">
        <v>-1.2450000000000001</v>
      </c>
      <c r="G171" s="2">
        <v>0.60699999999999998</v>
      </c>
      <c r="H171" s="2">
        <v>94.1</v>
      </c>
      <c r="I171" s="2">
        <v>0.52200000000000002</v>
      </c>
      <c r="J171" s="2">
        <v>0.42799999999999999</v>
      </c>
      <c r="K171" s="2">
        <v>1.603</v>
      </c>
      <c r="L171" s="2">
        <v>4.335</v>
      </c>
      <c r="M171" s="2">
        <v>4.6420000000000003</v>
      </c>
      <c r="N171" s="2">
        <v>2.0230000000000001</v>
      </c>
      <c r="O171" s="2">
        <v>96.3</v>
      </c>
      <c r="P171" s="2">
        <v>3.1890000000000001</v>
      </c>
      <c r="Q171" s="2">
        <v>2.72</v>
      </c>
      <c r="R171" s="2">
        <v>3.032</v>
      </c>
      <c r="S171" s="2">
        <v>5.1639999999999997</v>
      </c>
      <c r="T171" s="2">
        <v>4.9640000000000004</v>
      </c>
      <c r="U171" s="2">
        <v>-0.65300000000000002</v>
      </c>
      <c r="V171" s="2">
        <v>87.3</v>
      </c>
      <c r="W171" s="2">
        <v>-1.8009999999999999</v>
      </c>
      <c r="X171" s="2">
        <v>-1.488</v>
      </c>
      <c r="Y171" s="2">
        <v>0.442</v>
      </c>
      <c r="Z171" s="2">
        <v>3.7029999999999998</v>
      </c>
      <c r="AA171" s="2">
        <v>4.2229999999999999</v>
      </c>
      <c r="AB171" s="2">
        <v>2.8580000000000001</v>
      </c>
      <c r="AC171" s="2">
        <v>12.95</v>
      </c>
      <c r="AD171" s="2">
        <v>7.7009999999999996</v>
      </c>
      <c r="AE171" s="2">
        <v>3.7189999999999999</v>
      </c>
      <c r="AF171" s="2">
        <v>1.34</v>
      </c>
      <c r="AG171" s="2">
        <v>4.5940000000000003</v>
      </c>
      <c r="AH171" s="2">
        <v>0.248</v>
      </c>
      <c r="AI171" s="2">
        <v>2.9060000000000001</v>
      </c>
      <c r="AJ171" s="2">
        <v>-1.653</v>
      </c>
      <c r="AK171" s="2">
        <v>4.0830000000000002</v>
      </c>
      <c r="AL171" s="2">
        <v>-1.238</v>
      </c>
      <c r="AM171" s="2">
        <v>2.86</v>
      </c>
      <c r="AN171" s="2" t="s">
        <v>122</v>
      </c>
      <c r="AO171" s="2">
        <v>477</v>
      </c>
      <c r="AP171" s="2">
        <v>65</v>
      </c>
      <c r="AQ171" s="2">
        <v>22</v>
      </c>
      <c r="AR171" s="2">
        <v>30</v>
      </c>
      <c r="AS171" s="2">
        <v>31</v>
      </c>
      <c r="AT171" s="2">
        <v>245</v>
      </c>
      <c r="AU171" s="2">
        <v>904</v>
      </c>
      <c r="AV171" s="2">
        <v>1106</v>
      </c>
      <c r="AW171" s="2"/>
      <c r="AX171" s="2">
        <v>0</v>
      </c>
      <c r="AY171" s="26"/>
      <c r="AZ171" s="5">
        <v>33.32</v>
      </c>
      <c r="BA171" s="1">
        <v>7.84</v>
      </c>
      <c r="BB171" s="1">
        <v>3.42</v>
      </c>
      <c r="BC171" s="6">
        <f t="shared" si="144"/>
        <v>0.43622448979591838</v>
      </c>
      <c r="BE171" s="30">
        <v>12.954000000000001</v>
      </c>
      <c r="BF171" s="27">
        <v>0</v>
      </c>
      <c r="BG171" s="1">
        <f t="shared" si="117"/>
        <v>96.3</v>
      </c>
      <c r="BH171" s="1">
        <f t="shared" si="118"/>
        <v>94.1</v>
      </c>
      <c r="BI171" s="1">
        <f t="shared" si="119"/>
        <v>87.3</v>
      </c>
      <c r="BJ171" s="7">
        <f t="shared" si="120"/>
        <v>0.61699999999999999</v>
      </c>
      <c r="BK171" s="7">
        <f t="shared" si="121"/>
        <v>0.09</v>
      </c>
      <c r="BM171" s="5">
        <f t="shared" si="122"/>
        <v>7.84</v>
      </c>
      <c r="BN171" s="5">
        <f t="shared" si="123"/>
        <v>3.42</v>
      </c>
      <c r="BO171" s="1">
        <f t="shared" si="124"/>
        <v>0.6</v>
      </c>
      <c r="BP171" s="1">
        <f t="shared" si="125"/>
        <v>2</v>
      </c>
      <c r="BQ171" s="1">
        <f t="shared" si="126"/>
        <v>-0.7</v>
      </c>
      <c r="BR171" s="1">
        <f t="shared" si="127"/>
        <v>94.1</v>
      </c>
      <c r="BS171" s="1">
        <f t="shared" si="128"/>
        <v>87.3</v>
      </c>
      <c r="BT171" s="1">
        <f t="shared" si="129"/>
        <v>1.3</v>
      </c>
      <c r="BU171" s="1">
        <f t="shared" si="130"/>
        <v>4.5999999999999996</v>
      </c>
      <c r="BV171" s="33">
        <f t="shared" si="131"/>
        <v>12.954000000000001</v>
      </c>
      <c r="BW171" s="26">
        <f t="shared" si="148"/>
        <v>0</v>
      </c>
      <c r="BX171" s="20" t="str">
        <f t="shared" si="133"/>
        <v>NAN</v>
      </c>
      <c r="BY171" s="1">
        <f t="shared" si="134"/>
        <v>0.2</v>
      </c>
      <c r="BZ171" s="1">
        <f t="shared" si="135"/>
        <v>2.9</v>
      </c>
      <c r="CA171" s="1">
        <f t="shared" si="136"/>
        <v>-1.7</v>
      </c>
      <c r="CB171" s="1">
        <f t="shared" si="137"/>
        <v>1.6</v>
      </c>
      <c r="CC171" s="1">
        <f t="shared" si="138"/>
        <v>4.3</v>
      </c>
      <c r="CD171" s="1">
        <f t="shared" si="139"/>
        <v>4.5999999999999996</v>
      </c>
      <c r="CE171" s="1" t="str">
        <f t="shared" si="140"/>
        <v>NAN</v>
      </c>
      <c r="CF171" s="1">
        <f t="shared" si="141"/>
        <v>0.61699999999999999</v>
      </c>
      <c r="CG171" s="1">
        <f t="shared" si="142"/>
        <v>0.09</v>
      </c>
      <c r="CI171" s="1">
        <f t="shared" si="106"/>
        <v>2880</v>
      </c>
      <c r="CJ171" s="1">
        <f t="shared" si="107"/>
        <v>0.16600000000000001</v>
      </c>
      <c r="CK171" s="1">
        <f t="shared" si="108"/>
        <v>2.3E-2</v>
      </c>
      <c r="CL171" s="1">
        <f t="shared" si="109"/>
        <v>8.0000000000000002E-3</v>
      </c>
      <c r="CM171" s="1">
        <f t="shared" si="110"/>
        <v>0.01</v>
      </c>
      <c r="CN171" s="1">
        <f t="shared" si="111"/>
        <v>1.0999999999999999E-2</v>
      </c>
      <c r="CO171" s="1">
        <f t="shared" si="112"/>
        <v>8.5000000000000006E-2</v>
      </c>
      <c r="CP171" s="1">
        <f t="shared" si="113"/>
        <v>0.314</v>
      </c>
      <c r="CQ171" s="1">
        <f t="shared" si="114"/>
        <v>0.38400000000000001</v>
      </c>
      <c r="CS171" s="1">
        <f t="shared" si="145"/>
        <v>0.89999999999999991</v>
      </c>
      <c r="CT171" s="1">
        <f t="shared" si="146"/>
        <v>-1</v>
      </c>
    </row>
    <row r="172" spans="1:98" x14ac:dyDescent="0.2">
      <c r="A172" s="8">
        <f t="shared" si="143"/>
        <v>43997</v>
      </c>
      <c r="B172" s="1">
        <v>167</v>
      </c>
      <c r="C172" s="1">
        <v>11</v>
      </c>
      <c r="D172" s="2">
        <v>13.01</v>
      </c>
      <c r="E172" s="2">
        <v>9.9700000000000006</v>
      </c>
      <c r="F172" s="2">
        <v>-2.4</v>
      </c>
      <c r="G172" s="2">
        <v>2.7839999999999998</v>
      </c>
      <c r="H172" s="2">
        <v>88.1</v>
      </c>
      <c r="I172" s="2">
        <v>2.915</v>
      </c>
      <c r="J172" s="2">
        <v>2.66</v>
      </c>
      <c r="K172" s="2">
        <v>6.1520000000000001</v>
      </c>
      <c r="L172" s="2">
        <v>4.056</v>
      </c>
      <c r="M172" s="2">
        <v>4.0330000000000004</v>
      </c>
      <c r="N172" s="2">
        <v>8.1</v>
      </c>
      <c r="O172" s="2">
        <v>95.7</v>
      </c>
      <c r="P172" s="2">
        <v>13.23</v>
      </c>
      <c r="Q172" s="2">
        <v>11.25</v>
      </c>
      <c r="R172" s="2">
        <v>15.54</v>
      </c>
      <c r="S172" s="2">
        <v>5.3280000000000003</v>
      </c>
      <c r="T172" s="2">
        <v>4.2859999999999996</v>
      </c>
      <c r="U172" s="2">
        <v>-1.331</v>
      </c>
      <c r="V172" s="2">
        <v>62.92</v>
      </c>
      <c r="W172" s="2">
        <v>-3.1309999999999998</v>
      </c>
      <c r="X172" s="2">
        <v>-2.3919999999999999</v>
      </c>
      <c r="Y172" s="2">
        <v>0.23300000000000001</v>
      </c>
      <c r="Z172" s="2">
        <v>3.339</v>
      </c>
      <c r="AA172" s="2">
        <v>3.798</v>
      </c>
      <c r="AB172" s="2">
        <v>2.633</v>
      </c>
      <c r="AC172" s="2">
        <v>0.254</v>
      </c>
      <c r="AD172" s="2">
        <v>12.3</v>
      </c>
      <c r="AE172" s="2">
        <v>2.02</v>
      </c>
      <c r="AF172" s="2">
        <v>0.90400000000000003</v>
      </c>
      <c r="AG172" s="2">
        <v>3.4990000000000001</v>
      </c>
      <c r="AH172" s="2">
        <v>3.88</v>
      </c>
      <c r="AI172" s="2">
        <v>16.940000000000001</v>
      </c>
      <c r="AJ172" s="2">
        <v>-2.5289999999999999</v>
      </c>
      <c r="AK172" s="2">
        <v>10.62</v>
      </c>
      <c r="AL172" s="2">
        <v>-1.867</v>
      </c>
      <c r="AM172" s="2">
        <v>2.6219999999999999</v>
      </c>
      <c r="AN172" s="2" t="s">
        <v>122</v>
      </c>
      <c r="AO172" s="2">
        <v>77</v>
      </c>
      <c r="AP172" s="2">
        <v>189</v>
      </c>
      <c r="AQ172" s="2">
        <v>436</v>
      </c>
      <c r="AR172" s="2">
        <v>349</v>
      </c>
      <c r="AS172" s="2">
        <v>248</v>
      </c>
      <c r="AT172" s="2">
        <v>822</v>
      </c>
      <c r="AU172" s="2">
        <v>627</v>
      </c>
      <c r="AV172" s="2">
        <v>132</v>
      </c>
      <c r="AW172" s="2"/>
      <c r="AX172" s="2">
        <v>0</v>
      </c>
      <c r="AY172" s="26"/>
      <c r="AZ172" s="5">
        <v>33.33</v>
      </c>
      <c r="BA172" s="1">
        <v>12.29</v>
      </c>
      <c r="BB172" s="1">
        <v>1.86</v>
      </c>
      <c r="BC172" s="6">
        <f t="shared" si="144"/>
        <v>0.15134255492270141</v>
      </c>
      <c r="BE172" s="30">
        <v>0.254</v>
      </c>
      <c r="BF172" s="27">
        <v>0</v>
      </c>
      <c r="BG172" s="1">
        <f t="shared" si="117"/>
        <v>95.7</v>
      </c>
      <c r="BH172" s="1">
        <f t="shared" si="118"/>
        <v>88.1</v>
      </c>
      <c r="BI172" s="1">
        <f t="shared" si="119"/>
        <v>62.9</v>
      </c>
      <c r="BJ172" s="7">
        <f t="shared" si="120"/>
        <v>0.67900000000000005</v>
      </c>
      <c r="BK172" s="7">
        <f t="shared" si="121"/>
        <v>0.4</v>
      </c>
      <c r="BM172" s="5">
        <f t="shared" si="122"/>
        <v>12.29</v>
      </c>
      <c r="BN172" s="5">
        <f t="shared" si="123"/>
        <v>1.86</v>
      </c>
      <c r="BO172" s="1">
        <f t="shared" si="124"/>
        <v>2.8</v>
      </c>
      <c r="BP172" s="1">
        <f t="shared" si="125"/>
        <v>8.1</v>
      </c>
      <c r="BQ172" s="1">
        <f t="shared" si="126"/>
        <v>-1.3</v>
      </c>
      <c r="BR172" s="1">
        <f t="shared" si="127"/>
        <v>88.1</v>
      </c>
      <c r="BS172" s="1">
        <f t="shared" si="128"/>
        <v>62.9</v>
      </c>
      <c r="BT172" s="1">
        <f t="shared" si="129"/>
        <v>0.9</v>
      </c>
      <c r="BU172" s="1">
        <f t="shared" si="130"/>
        <v>3.5</v>
      </c>
      <c r="BV172" s="33">
        <f t="shared" si="131"/>
        <v>0.254</v>
      </c>
      <c r="BW172" s="26">
        <f t="shared" si="148"/>
        <v>0</v>
      </c>
      <c r="BX172" s="20" t="str">
        <f t="shared" si="133"/>
        <v>NAN</v>
      </c>
      <c r="BY172" s="1">
        <f t="shared" si="134"/>
        <v>3.9</v>
      </c>
      <c r="BZ172" s="1">
        <f t="shared" si="135"/>
        <v>16.899999999999999</v>
      </c>
      <c r="CA172" s="1">
        <f t="shared" si="136"/>
        <v>-2.5</v>
      </c>
      <c r="CB172" s="1">
        <f t="shared" si="137"/>
        <v>6.2</v>
      </c>
      <c r="CC172" s="1">
        <f t="shared" si="138"/>
        <v>4.0999999999999996</v>
      </c>
      <c r="CD172" s="1">
        <f t="shared" si="139"/>
        <v>4</v>
      </c>
      <c r="CE172" s="1" t="str">
        <f t="shared" si="140"/>
        <v>NAN</v>
      </c>
      <c r="CF172" s="1">
        <f t="shared" si="141"/>
        <v>0.67900000000000005</v>
      </c>
      <c r="CG172" s="1">
        <f t="shared" si="142"/>
        <v>0.4</v>
      </c>
      <c r="CI172" s="1">
        <f t="shared" si="106"/>
        <v>2880</v>
      </c>
      <c r="CJ172" s="1">
        <f t="shared" si="107"/>
        <v>2.7E-2</v>
      </c>
      <c r="CK172" s="1">
        <f t="shared" si="108"/>
        <v>6.6000000000000003E-2</v>
      </c>
      <c r="CL172" s="1">
        <f t="shared" si="109"/>
        <v>0.151</v>
      </c>
      <c r="CM172" s="1">
        <f t="shared" si="110"/>
        <v>0.121</v>
      </c>
      <c r="CN172" s="1">
        <f t="shared" si="111"/>
        <v>8.5999999999999993E-2</v>
      </c>
      <c r="CO172" s="1">
        <f t="shared" si="112"/>
        <v>0.28499999999999998</v>
      </c>
      <c r="CP172" s="1">
        <f t="shared" si="113"/>
        <v>0.218</v>
      </c>
      <c r="CQ172" s="1">
        <f t="shared" si="114"/>
        <v>4.5999999999999999E-2</v>
      </c>
      <c r="CS172" s="1">
        <f t="shared" si="145"/>
        <v>8.7999999999999989</v>
      </c>
      <c r="CT172" s="1">
        <f t="shared" si="146"/>
        <v>-1.2</v>
      </c>
    </row>
    <row r="173" spans="1:98" x14ac:dyDescent="0.2">
      <c r="A173" s="8">
        <f t="shared" si="143"/>
        <v>43998</v>
      </c>
      <c r="B173" s="1">
        <v>168</v>
      </c>
      <c r="C173" s="1">
        <v>11</v>
      </c>
      <c r="D173" s="2">
        <v>12.98</v>
      </c>
      <c r="E173" s="2">
        <v>13.97</v>
      </c>
      <c r="F173" s="2">
        <v>0.64800000000000002</v>
      </c>
      <c r="G173" s="2">
        <v>5.3849999999999998</v>
      </c>
      <c r="H173" s="2">
        <v>81.599999999999994</v>
      </c>
      <c r="I173" s="2">
        <v>6.4749999999999996</v>
      </c>
      <c r="J173" s="2">
        <v>5.8719999999999999</v>
      </c>
      <c r="K173" s="2">
        <v>10.210000000000001</v>
      </c>
      <c r="L173" s="2">
        <v>5.548</v>
      </c>
      <c r="M173" s="2">
        <v>3.9569999999999999</v>
      </c>
      <c r="N173" s="2">
        <v>11.63</v>
      </c>
      <c r="O173" s="2">
        <v>96.1</v>
      </c>
      <c r="P173" s="2">
        <v>19.34</v>
      </c>
      <c r="Q173" s="2">
        <v>16.239999999999998</v>
      </c>
      <c r="R173" s="2">
        <v>24.25</v>
      </c>
      <c r="S173" s="2">
        <v>7.226</v>
      </c>
      <c r="T173" s="2">
        <v>4.1500000000000004</v>
      </c>
      <c r="U173" s="2">
        <v>0.90300000000000002</v>
      </c>
      <c r="V173" s="2">
        <v>47.81</v>
      </c>
      <c r="W173" s="2">
        <v>0.55800000000000005</v>
      </c>
      <c r="X173" s="2">
        <v>0.61599999999999999</v>
      </c>
      <c r="Y173" s="2">
        <v>2.391</v>
      </c>
      <c r="Z173" s="2">
        <v>4.4740000000000002</v>
      </c>
      <c r="AA173" s="2">
        <v>3.8039999999999998</v>
      </c>
      <c r="AB173" s="2">
        <v>2.6309999999999998</v>
      </c>
      <c r="AC173" s="2">
        <v>1.016</v>
      </c>
      <c r="AD173" s="2">
        <v>18.12</v>
      </c>
      <c r="AE173" s="2">
        <v>2.7679999999999998</v>
      </c>
      <c r="AF173" s="2">
        <v>1.153</v>
      </c>
      <c r="AG173" s="2">
        <v>3.5289999999999999</v>
      </c>
      <c r="AH173" s="2">
        <v>7.3769999999999998</v>
      </c>
      <c r="AI173" s="2">
        <v>21.88</v>
      </c>
      <c r="AJ173" s="2">
        <v>0.57899999999999996</v>
      </c>
      <c r="AK173" s="2">
        <v>15.58</v>
      </c>
      <c r="AL173" s="2">
        <v>0.58899999999999997</v>
      </c>
      <c r="AM173" s="2">
        <v>2.6110000000000002</v>
      </c>
      <c r="AN173" s="2" t="s">
        <v>122</v>
      </c>
      <c r="AO173" s="2">
        <v>691</v>
      </c>
      <c r="AP173" s="2">
        <v>1430</v>
      </c>
      <c r="AQ173" s="2">
        <v>468</v>
      </c>
      <c r="AR173" s="2">
        <v>75</v>
      </c>
      <c r="AS173" s="2">
        <v>27</v>
      </c>
      <c r="AT173" s="2">
        <v>20</v>
      </c>
      <c r="AU173" s="2">
        <v>30</v>
      </c>
      <c r="AV173" s="2">
        <v>139</v>
      </c>
      <c r="AW173" s="2"/>
      <c r="AX173" s="2">
        <v>0</v>
      </c>
      <c r="AY173" s="26"/>
      <c r="AZ173" s="5">
        <v>33.340000000000003</v>
      </c>
      <c r="BA173" s="1">
        <v>18.12</v>
      </c>
      <c r="BB173" s="1">
        <v>2.5499999999999998</v>
      </c>
      <c r="BC173" s="6">
        <f t="shared" si="144"/>
        <v>0.14072847682119202</v>
      </c>
      <c r="BE173" s="30">
        <v>1.016</v>
      </c>
      <c r="BF173" s="27">
        <v>0</v>
      </c>
      <c r="BG173" s="1">
        <f t="shared" si="117"/>
        <v>96.1</v>
      </c>
      <c r="BH173" s="1">
        <f t="shared" si="118"/>
        <v>81.599999999999994</v>
      </c>
      <c r="BI173" s="1">
        <f t="shared" si="119"/>
        <v>47.8</v>
      </c>
      <c r="BJ173" s="7">
        <f t="shared" si="120"/>
        <v>0.65400000000000003</v>
      </c>
      <c r="BK173" s="7">
        <f t="shared" si="121"/>
        <v>0.71399999999999997</v>
      </c>
      <c r="BM173" s="5">
        <f t="shared" si="122"/>
        <v>18.12</v>
      </c>
      <c r="BN173" s="5">
        <f t="shared" si="123"/>
        <v>2.5499999999999998</v>
      </c>
      <c r="BO173" s="1">
        <f t="shared" si="124"/>
        <v>5.4</v>
      </c>
      <c r="BP173" s="1">
        <f t="shared" si="125"/>
        <v>11.6</v>
      </c>
      <c r="BQ173" s="1">
        <f t="shared" si="126"/>
        <v>0.9</v>
      </c>
      <c r="BR173" s="1">
        <f t="shared" si="127"/>
        <v>81.599999999999994</v>
      </c>
      <c r="BS173" s="1">
        <f t="shared" si="128"/>
        <v>47.8</v>
      </c>
      <c r="BT173" s="1">
        <f t="shared" si="129"/>
        <v>1.2</v>
      </c>
      <c r="BU173" s="1">
        <f t="shared" si="130"/>
        <v>3.5</v>
      </c>
      <c r="BV173" s="33">
        <f t="shared" si="131"/>
        <v>1.016</v>
      </c>
      <c r="BW173" s="26">
        <f t="shared" si="148"/>
        <v>0</v>
      </c>
      <c r="BX173" s="20" t="str">
        <f t="shared" si="133"/>
        <v>NAN</v>
      </c>
      <c r="BY173" s="1">
        <f t="shared" si="134"/>
        <v>7.4</v>
      </c>
      <c r="BZ173" s="1">
        <f t="shared" si="135"/>
        <v>21.9</v>
      </c>
      <c r="CA173" s="1">
        <f t="shared" si="136"/>
        <v>0.6</v>
      </c>
      <c r="CB173" s="1">
        <f t="shared" si="137"/>
        <v>10.199999999999999</v>
      </c>
      <c r="CC173" s="1">
        <f t="shared" si="138"/>
        <v>5.5</v>
      </c>
      <c r="CD173" s="1">
        <f t="shared" si="139"/>
        <v>4</v>
      </c>
      <c r="CE173" s="1" t="str">
        <f t="shared" si="140"/>
        <v>NAN</v>
      </c>
      <c r="CF173" s="1">
        <f t="shared" si="141"/>
        <v>0.65400000000000003</v>
      </c>
      <c r="CG173" s="1">
        <f t="shared" si="142"/>
        <v>0.71399999999999997</v>
      </c>
      <c r="CI173" s="1">
        <f t="shared" si="106"/>
        <v>2880</v>
      </c>
      <c r="CJ173" s="1">
        <f t="shared" si="107"/>
        <v>0.24</v>
      </c>
      <c r="CK173" s="1">
        <f t="shared" si="108"/>
        <v>0.497</v>
      </c>
      <c r="CL173" s="1">
        <f t="shared" si="109"/>
        <v>0.16300000000000001</v>
      </c>
      <c r="CM173" s="1">
        <f t="shared" si="110"/>
        <v>2.5999999999999999E-2</v>
      </c>
      <c r="CN173" s="1">
        <f t="shared" si="111"/>
        <v>8.9999999999999993E-3</v>
      </c>
      <c r="CO173" s="1">
        <f t="shared" si="112"/>
        <v>7.0000000000000001E-3</v>
      </c>
      <c r="CP173" s="1">
        <f t="shared" si="113"/>
        <v>0.01</v>
      </c>
      <c r="CQ173" s="1">
        <f t="shared" si="114"/>
        <v>4.8000000000000001E-2</v>
      </c>
      <c r="CS173" s="1">
        <f t="shared" si="145"/>
        <v>10.299999999999999</v>
      </c>
      <c r="CT173" s="1">
        <f t="shared" si="146"/>
        <v>-0.30000000000000004</v>
      </c>
    </row>
    <row r="174" spans="1:98" x14ac:dyDescent="0.2">
      <c r="A174" s="8">
        <f t="shared" si="143"/>
        <v>43999</v>
      </c>
      <c r="B174" s="1">
        <v>169</v>
      </c>
      <c r="C174" s="1">
        <v>11</v>
      </c>
      <c r="D174" s="2">
        <v>13.02</v>
      </c>
      <c r="E174" s="2">
        <v>15.24</v>
      </c>
      <c r="F174" s="2">
        <v>0.90300000000000002</v>
      </c>
      <c r="G174" s="2">
        <v>8.1199999999999992</v>
      </c>
      <c r="H174" s="2">
        <v>74.62</v>
      </c>
      <c r="I174" s="2">
        <v>8.3800000000000008</v>
      </c>
      <c r="J174" s="2">
        <v>7.9560000000000004</v>
      </c>
      <c r="K174" s="2">
        <v>11.51</v>
      </c>
      <c r="L174" s="2">
        <v>6.8920000000000003</v>
      </c>
      <c r="M174" s="2">
        <v>4.3780000000000001</v>
      </c>
      <c r="N174" s="2">
        <v>13.17</v>
      </c>
      <c r="O174" s="2">
        <v>94.1</v>
      </c>
      <c r="P174" s="2">
        <v>20.89</v>
      </c>
      <c r="Q174" s="2">
        <v>17.66</v>
      </c>
      <c r="R174" s="2">
        <v>26.5</v>
      </c>
      <c r="S174" s="2">
        <v>8.44</v>
      </c>
      <c r="T174" s="2">
        <v>4.6559999999999997</v>
      </c>
      <c r="U174" s="2">
        <v>2.77</v>
      </c>
      <c r="V174" s="2">
        <v>48.02</v>
      </c>
      <c r="W174" s="2">
        <v>-0.28699999999999998</v>
      </c>
      <c r="X174" s="2">
        <v>0.501</v>
      </c>
      <c r="Y174" s="2">
        <v>1.649</v>
      </c>
      <c r="Z174" s="2">
        <v>5.4630000000000001</v>
      </c>
      <c r="AA174" s="2">
        <v>4.0279999999999996</v>
      </c>
      <c r="AB174" s="2">
        <v>2.6389999999999998</v>
      </c>
      <c r="AC174" s="2">
        <v>0</v>
      </c>
      <c r="AD174" s="2">
        <v>22.34</v>
      </c>
      <c r="AE174" s="2">
        <v>3.3479999999999999</v>
      </c>
      <c r="AF174" s="2">
        <v>0.97599999999999998</v>
      </c>
      <c r="AG174" s="2">
        <v>3.9729999999999999</v>
      </c>
      <c r="AH174" s="2">
        <v>9.76</v>
      </c>
      <c r="AI174" s="2">
        <v>24.39</v>
      </c>
      <c r="AJ174" s="2">
        <v>0.749</v>
      </c>
      <c r="AK174" s="2">
        <v>16.350000000000001</v>
      </c>
      <c r="AL174" s="2">
        <v>2.5089999999999999</v>
      </c>
      <c r="AM174" s="2">
        <v>2.6120000000000001</v>
      </c>
      <c r="AN174" s="2" t="s">
        <v>122</v>
      </c>
      <c r="AO174" s="2">
        <v>748</v>
      </c>
      <c r="AP174" s="2">
        <v>910</v>
      </c>
      <c r="AQ174" s="2">
        <v>323</v>
      </c>
      <c r="AR174" s="2">
        <v>124</v>
      </c>
      <c r="AS174" s="2">
        <v>104</v>
      </c>
      <c r="AT174" s="2">
        <v>90</v>
      </c>
      <c r="AU174" s="2">
        <v>189</v>
      </c>
      <c r="AV174" s="2">
        <v>391</v>
      </c>
      <c r="AW174" s="2"/>
      <c r="AX174" s="2">
        <v>0</v>
      </c>
      <c r="AY174" s="26"/>
      <c r="AZ174" s="5">
        <v>33.35</v>
      </c>
      <c r="BA174" s="1">
        <v>22.34</v>
      </c>
      <c r="BB174" s="1">
        <v>3.08</v>
      </c>
      <c r="BC174" s="6">
        <f t="shared" si="144"/>
        <v>0.13786929274843332</v>
      </c>
      <c r="BE174" s="30">
        <v>0</v>
      </c>
      <c r="BF174" s="27">
        <v>0</v>
      </c>
      <c r="BG174" s="1">
        <f t="shared" si="117"/>
        <v>94.1</v>
      </c>
      <c r="BH174" s="1">
        <f t="shared" si="118"/>
        <v>74.599999999999994</v>
      </c>
      <c r="BI174" s="1">
        <f t="shared" si="119"/>
        <v>48</v>
      </c>
      <c r="BJ174" s="7">
        <f t="shared" si="120"/>
        <v>0.72699999999999998</v>
      </c>
      <c r="BK174" s="7">
        <f t="shared" si="121"/>
        <v>0.78800000000000003</v>
      </c>
      <c r="BM174" s="5">
        <f t="shared" si="122"/>
        <v>22.34</v>
      </c>
      <c r="BN174" s="5">
        <f t="shared" si="123"/>
        <v>3.08</v>
      </c>
      <c r="BO174" s="1">
        <f t="shared" si="124"/>
        <v>8.1</v>
      </c>
      <c r="BP174" s="1">
        <f t="shared" si="125"/>
        <v>13.2</v>
      </c>
      <c r="BQ174" s="1">
        <f t="shared" si="126"/>
        <v>2.8</v>
      </c>
      <c r="BR174" s="1">
        <f t="shared" si="127"/>
        <v>74.599999999999994</v>
      </c>
      <c r="BS174" s="1">
        <f t="shared" si="128"/>
        <v>48</v>
      </c>
      <c r="BT174" s="1">
        <f t="shared" si="129"/>
        <v>1</v>
      </c>
      <c r="BU174" s="1">
        <f t="shared" si="130"/>
        <v>4</v>
      </c>
      <c r="BV174" s="33">
        <f t="shared" si="131"/>
        <v>0</v>
      </c>
      <c r="BW174" s="26">
        <f t="shared" si="148"/>
        <v>0</v>
      </c>
      <c r="BX174" s="20" t="str">
        <f t="shared" si="133"/>
        <v>NAN</v>
      </c>
      <c r="BY174" s="1">
        <f t="shared" si="134"/>
        <v>9.8000000000000007</v>
      </c>
      <c r="BZ174" s="1">
        <f t="shared" si="135"/>
        <v>24.4</v>
      </c>
      <c r="CA174" s="1">
        <f t="shared" si="136"/>
        <v>0.7</v>
      </c>
      <c r="CB174" s="1">
        <f t="shared" si="137"/>
        <v>11.5</v>
      </c>
      <c r="CC174" s="1">
        <f t="shared" si="138"/>
        <v>6.9</v>
      </c>
      <c r="CD174" s="1">
        <f t="shared" si="139"/>
        <v>4.4000000000000004</v>
      </c>
      <c r="CE174" s="1" t="str">
        <f t="shared" si="140"/>
        <v>NAN</v>
      </c>
      <c r="CF174" s="1">
        <f t="shared" si="141"/>
        <v>0.72699999999999998</v>
      </c>
      <c r="CG174" s="1">
        <f t="shared" si="142"/>
        <v>0.78800000000000003</v>
      </c>
      <c r="CI174" s="1">
        <f t="shared" si="106"/>
        <v>2879</v>
      </c>
      <c r="CJ174" s="1">
        <f t="shared" si="107"/>
        <v>0.26</v>
      </c>
      <c r="CK174" s="1">
        <f t="shared" si="108"/>
        <v>0.316</v>
      </c>
      <c r="CL174" s="1">
        <f t="shared" si="109"/>
        <v>0.112</v>
      </c>
      <c r="CM174" s="1">
        <f t="shared" si="110"/>
        <v>4.2999999999999997E-2</v>
      </c>
      <c r="CN174" s="1">
        <f t="shared" si="111"/>
        <v>3.5999999999999997E-2</v>
      </c>
      <c r="CO174" s="1">
        <f t="shared" si="112"/>
        <v>3.1E-2</v>
      </c>
      <c r="CP174" s="1">
        <f t="shared" si="113"/>
        <v>6.6000000000000003E-2</v>
      </c>
      <c r="CQ174" s="1">
        <f t="shared" si="114"/>
        <v>0.13600000000000001</v>
      </c>
      <c r="CS174" s="1">
        <f t="shared" si="145"/>
        <v>11.2</v>
      </c>
      <c r="CT174" s="1">
        <f t="shared" si="146"/>
        <v>-2.0999999999999996</v>
      </c>
    </row>
    <row r="175" spans="1:98" x14ac:dyDescent="0.2">
      <c r="A175" s="8">
        <f t="shared" si="143"/>
        <v>44000</v>
      </c>
      <c r="B175" s="1">
        <v>170</v>
      </c>
      <c r="C175" s="1">
        <v>11</v>
      </c>
      <c r="D175" s="2">
        <v>12.99</v>
      </c>
      <c r="E175" s="2">
        <v>19.57</v>
      </c>
      <c r="F175" s="2">
        <v>1.798</v>
      </c>
      <c r="G175" s="2">
        <v>11.1</v>
      </c>
      <c r="H175" s="2">
        <v>59.86</v>
      </c>
      <c r="I175" s="2">
        <v>10.44</v>
      </c>
      <c r="J175" s="2">
        <v>10.07</v>
      </c>
      <c r="K175" s="2">
        <v>13.39</v>
      </c>
      <c r="L175" s="2">
        <v>7.9269999999999996</v>
      </c>
      <c r="M175" s="2">
        <v>4.8979999999999997</v>
      </c>
      <c r="N175" s="2">
        <v>17.93</v>
      </c>
      <c r="O175" s="2">
        <v>92.5</v>
      </c>
      <c r="P175" s="2">
        <v>24.15</v>
      </c>
      <c r="Q175" s="2">
        <v>21.41</v>
      </c>
      <c r="R175" s="2">
        <v>31.13</v>
      </c>
      <c r="S175" s="2">
        <v>9.85</v>
      </c>
      <c r="T175" s="2">
        <v>5.2069999999999999</v>
      </c>
      <c r="U175" s="2">
        <v>4.09</v>
      </c>
      <c r="V175" s="2">
        <v>28.64</v>
      </c>
      <c r="W175" s="2">
        <v>-0.38700000000000001</v>
      </c>
      <c r="X175" s="2">
        <v>0.877</v>
      </c>
      <c r="Y175" s="2">
        <v>1.5860000000000001</v>
      </c>
      <c r="Z175" s="2">
        <v>6.2720000000000002</v>
      </c>
      <c r="AA175" s="2">
        <v>4.5739999999999998</v>
      </c>
      <c r="AB175" s="2">
        <v>2.351</v>
      </c>
      <c r="AC175" s="2">
        <v>0.254</v>
      </c>
      <c r="AD175" s="2">
        <v>26.59</v>
      </c>
      <c r="AE175" s="2">
        <v>4.133</v>
      </c>
      <c r="AF175" s="2">
        <v>0.93700000000000006</v>
      </c>
      <c r="AG175" s="2">
        <v>3.6419999999999999</v>
      </c>
      <c r="AH175" s="2">
        <v>12.65</v>
      </c>
      <c r="AI175" s="2">
        <v>27.24</v>
      </c>
      <c r="AJ175" s="2">
        <v>1.6879999999999999</v>
      </c>
      <c r="AK175" s="2">
        <v>22.39</v>
      </c>
      <c r="AL175" s="2">
        <v>3.9649999999999999</v>
      </c>
      <c r="AM175" s="2">
        <v>2.3109999999999999</v>
      </c>
      <c r="AN175" s="2" t="s">
        <v>122</v>
      </c>
      <c r="AO175" s="2">
        <v>472</v>
      </c>
      <c r="AP175" s="2">
        <v>988</v>
      </c>
      <c r="AQ175" s="2">
        <v>914</v>
      </c>
      <c r="AR175" s="2">
        <v>110</v>
      </c>
      <c r="AS175" s="2">
        <v>36</v>
      </c>
      <c r="AT175" s="2">
        <v>34</v>
      </c>
      <c r="AU175" s="2">
        <v>76</v>
      </c>
      <c r="AV175" s="2">
        <v>250</v>
      </c>
      <c r="AW175" s="2"/>
      <c r="AX175" s="2">
        <v>0</v>
      </c>
      <c r="AY175" s="26"/>
      <c r="AZ175" s="5">
        <v>33.35</v>
      </c>
      <c r="BA175" s="1">
        <v>26.59</v>
      </c>
      <c r="BB175" s="1">
        <v>3.8</v>
      </c>
      <c r="BC175" s="6">
        <f t="shared" si="144"/>
        <v>0.14291086874764949</v>
      </c>
      <c r="BE175" s="30">
        <v>0.254</v>
      </c>
      <c r="BF175" s="27">
        <v>0</v>
      </c>
      <c r="BG175" s="1">
        <f t="shared" si="117"/>
        <v>92.5</v>
      </c>
      <c r="BH175" s="1">
        <f t="shared" si="118"/>
        <v>59.9</v>
      </c>
      <c r="BI175" s="1">
        <f t="shared" si="119"/>
        <v>28.6</v>
      </c>
      <c r="BJ175" s="7">
        <f t="shared" si="120"/>
        <v>0.58799999999999997</v>
      </c>
      <c r="BK175" s="7">
        <f t="shared" si="121"/>
        <v>1.468</v>
      </c>
      <c r="BM175" s="5">
        <f t="shared" si="122"/>
        <v>26.59</v>
      </c>
      <c r="BN175" s="5">
        <f t="shared" si="123"/>
        <v>3.8</v>
      </c>
      <c r="BO175" s="1">
        <f t="shared" si="124"/>
        <v>11.1</v>
      </c>
      <c r="BP175" s="1">
        <f t="shared" si="125"/>
        <v>17.899999999999999</v>
      </c>
      <c r="BQ175" s="1">
        <f t="shared" si="126"/>
        <v>4.0999999999999996</v>
      </c>
      <c r="BR175" s="1">
        <f t="shared" si="127"/>
        <v>59.9</v>
      </c>
      <c r="BS175" s="1">
        <f t="shared" si="128"/>
        <v>28.6</v>
      </c>
      <c r="BT175" s="1">
        <f t="shared" si="129"/>
        <v>0.9</v>
      </c>
      <c r="BU175" s="1">
        <f t="shared" si="130"/>
        <v>3.6</v>
      </c>
      <c r="BV175" s="33">
        <f t="shared" si="131"/>
        <v>0.254</v>
      </c>
      <c r="BW175" s="26">
        <f t="shared" si="148"/>
        <v>0</v>
      </c>
      <c r="BX175" s="20" t="str">
        <f t="shared" si="133"/>
        <v>NAN</v>
      </c>
      <c r="BY175" s="1">
        <f t="shared" si="134"/>
        <v>12.7</v>
      </c>
      <c r="BZ175" s="1">
        <f t="shared" si="135"/>
        <v>27.2</v>
      </c>
      <c r="CA175" s="1">
        <f t="shared" si="136"/>
        <v>1.7</v>
      </c>
      <c r="CB175" s="1">
        <f t="shared" si="137"/>
        <v>13.4</v>
      </c>
      <c r="CC175" s="1">
        <f t="shared" si="138"/>
        <v>7.9</v>
      </c>
      <c r="CD175" s="1">
        <f t="shared" si="139"/>
        <v>4.9000000000000004</v>
      </c>
      <c r="CE175" s="1" t="str">
        <f t="shared" si="140"/>
        <v>NAN</v>
      </c>
      <c r="CF175" s="1">
        <f t="shared" si="141"/>
        <v>0.58799999999999997</v>
      </c>
      <c r="CG175" s="1">
        <f t="shared" si="142"/>
        <v>1.468</v>
      </c>
      <c r="CI175" s="1">
        <f t="shared" si="106"/>
        <v>2880</v>
      </c>
      <c r="CJ175" s="1">
        <f t="shared" si="107"/>
        <v>0.16400000000000001</v>
      </c>
      <c r="CK175" s="1">
        <f t="shared" si="108"/>
        <v>0.34300000000000003</v>
      </c>
      <c r="CL175" s="1">
        <f t="shared" si="109"/>
        <v>0.317</v>
      </c>
      <c r="CM175" s="1">
        <f t="shared" si="110"/>
        <v>3.7999999999999999E-2</v>
      </c>
      <c r="CN175" s="1">
        <f t="shared" si="111"/>
        <v>1.2999999999999999E-2</v>
      </c>
      <c r="CO175" s="1">
        <f t="shared" si="112"/>
        <v>1.2E-2</v>
      </c>
      <c r="CP175" s="1">
        <f t="shared" si="113"/>
        <v>2.5999999999999999E-2</v>
      </c>
      <c r="CQ175" s="1">
        <f t="shared" si="114"/>
        <v>8.6999999999999994E-2</v>
      </c>
      <c r="CS175" s="1">
        <f t="shared" si="145"/>
        <v>9.3000000000000007</v>
      </c>
      <c r="CT175" s="1">
        <f t="shared" si="146"/>
        <v>-2.3999999999999995</v>
      </c>
    </row>
    <row r="176" spans="1:98" x14ac:dyDescent="0.2">
      <c r="A176" s="8">
        <f t="shared" si="143"/>
        <v>44001</v>
      </c>
      <c r="B176" s="1">
        <v>171</v>
      </c>
      <c r="C176" s="1">
        <v>11</v>
      </c>
      <c r="D176" s="2">
        <v>12.99</v>
      </c>
      <c r="E176" s="2">
        <v>21.7</v>
      </c>
      <c r="F176" s="2">
        <v>4.4930000000000003</v>
      </c>
      <c r="G176" s="2">
        <v>13.63</v>
      </c>
      <c r="H176" s="2">
        <v>51.35</v>
      </c>
      <c r="I176" s="2">
        <v>12.41</v>
      </c>
      <c r="J176" s="2">
        <v>12.38</v>
      </c>
      <c r="K176" s="2">
        <v>13.31</v>
      </c>
      <c r="L176" s="2">
        <v>8.8699999999999992</v>
      </c>
      <c r="M176" s="2">
        <v>5.47</v>
      </c>
      <c r="N176" s="2">
        <v>20.309999999999999</v>
      </c>
      <c r="O176" s="2">
        <v>87.4</v>
      </c>
      <c r="P176" s="2">
        <v>26.01</v>
      </c>
      <c r="Q176" s="2">
        <v>23.31</v>
      </c>
      <c r="R176" s="2">
        <v>27.26</v>
      </c>
      <c r="S176" s="2">
        <v>10.130000000000001</v>
      </c>
      <c r="T176" s="2">
        <v>5.8360000000000003</v>
      </c>
      <c r="U176" s="2">
        <v>7.4720000000000004</v>
      </c>
      <c r="V176" s="2">
        <v>30.17</v>
      </c>
      <c r="W176" s="2">
        <v>1.7989999999999999</v>
      </c>
      <c r="X176" s="2">
        <v>2.9390000000000001</v>
      </c>
      <c r="Y176" s="2">
        <v>3.7280000000000002</v>
      </c>
      <c r="Z176" s="2">
        <v>7.5720000000000001</v>
      </c>
      <c r="AA176" s="2">
        <v>5.1120000000000001</v>
      </c>
      <c r="AB176" s="2">
        <v>2.6339999999999999</v>
      </c>
      <c r="AC176" s="2">
        <v>0.50800000000000001</v>
      </c>
      <c r="AD176" s="2">
        <v>19.39</v>
      </c>
      <c r="AE176" s="2">
        <v>2.9620000000000002</v>
      </c>
      <c r="AF176" s="2">
        <v>1.0640000000000001</v>
      </c>
      <c r="AG176" s="2">
        <v>3.6520000000000001</v>
      </c>
      <c r="AH176" s="2">
        <v>14.5</v>
      </c>
      <c r="AI176" s="2">
        <v>30.62</v>
      </c>
      <c r="AJ176" s="2">
        <v>4.2380000000000004</v>
      </c>
      <c r="AK176" s="2">
        <v>24.14</v>
      </c>
      <c r="AL176" s="2">
        <v>7.617</v>
      </c>
      <c r="AM176" s="2">
        <v>2.593</v>
      </c>
      <c r="AN176" s="2" t="s">
        <v>122</v>
      </c>
      <c r="AO176" s="2">
        <v>191</v>
      </c>
      <c r="AP176" s="2">
        <v>356</v>
      </c>
      <c r="AQ176" s="2">
        <v>552</v>
      </c>
      <c r="AR176" s="2">
        <v>70</v>
      </c>
      <c r="AS176" s="2">
        <v>156</v>
      </c>
      <c r="AT176" s="2">
        <v>590</v>
      </c>
      <c r="AU176" s="2">
        <v>740</v>
      </c>
      <c r="AV176" s="2">
        <v>225</v>
      </c>
      <c r="AW176" s="2"/>
      <c r="AX176" s="2">
        <v>0</v>
      </c>
      <c r="AY176" s="26"/>
      <c r="AZ176" s="5">
        <v>33.340000000000003</v>
      </c>
      <c r="BA176" s="1">
        <v>19.39</v>
      </c>
      <c r="BB176" s="1">
        <v>2.72</v>
      </c>
      <c r="BC176" s="6">
        <f t="shared" si="144"/>
        <v>0.14027849406910781</v>
      </c>
      <c r="BE176" s="30">
        <v>0.50800000000000001</v>
      </c>
      <c r="BF176" s="27">
        <v>0</v>
      </c>
      <c r="BG176" s="1">
        <f t="shared" si="117"/>
        <v>87.4</v>
      </c>
      <c r="BH176" s="1">
        <f t="shared" si="118"/>
        <v>51.4</v>
      </c>
      <c r="BI176" s="1">
        <f t="shared" si="119"/>
        <v>30.2</v>
      </c>
      <c r="BJ176" s="7">
        <f t="shared" si="120"/>
        <v>0.72</v>
      </c>
      <c r="BK176" s="7">
        <f t="shared" si="121"/>
        <v>1.6639999999999999</v>
      </c>
      <c r="BM176" s="5">
        <f t="shared" si="122"/>
        <v>19.39</v>
      </c>
      <c r="BN176" s="5">
        <f t="shared" si="123"/>
        <v>2.72</v>
      </c>
      <c r="BO176" s="1">
        <f t="shared" si="124"/>
        <v>13.6</v>
      </c>
      <c r="BP176" s="1">
        <f t="shared" si="125"/>
        <v>20.3</v>
      </c>
      <c r="BQ176" s="1">
        <f t="shared" si="126"/>
        <v>7.5</v>
      </c>
      <c r="BR176" s="1">
        <f t="shared" si="127"/>
        <v>51.4</v>
      </c>
      <c r="BS176" s="1">
        <f t="shared" si="128"/>
        <v>30.2</v>
      </c>
      <c r="BT176" s="1">
        <f t="shared" si="129"/>
        <v>1.1000000000000001</v>
      </c>
      <c r="BU176" s="1">
        <f t="shared" si="130"/>
        <v>3.7</v>
      </c>
      <c r="BV176" s="33">
        <f t="shared" si="131"/>
        <v>0.50800000000000001</v>
      </c>
      <c r="BW176" s="26">
        <f t="shared" si="148"/>
        <v>0</v>
      </c>
      <c r="BX176" s="20" t="str">
        <f t="shared" si="133"/>
        <v>NAN</v>
      </c>
      <c r="BY176" s="1">
        <f t="shared" si="134"/>
        <v>14.5</v>
      </c>
      <c r="BZ176" s="1">
        <f t="shared" si="135"/>
        <v>30.6</v>
      </c>
      <c r="CA176" s="1">
        <f t="shared" si="136"/>
        <v>4.2</v>
      </c>
      <c r="CB176" s="1">
        <f t="shared" si="137"/>
        <v>13.3</v>
      </c>
      <c r="CC176" s="1">
        <f t="shared" si="138"/>
        <v>8.9</v>
      </c>
      <c r="CD176" s="1">
        <f t="shared" si="139"/>
        <v>5.5</v>
      </c>
      <c r="CE176" s="1" t="str">
        <f t="shared" si="140"/>
        <v>NAN</v>
      </c>
      <c r="CF176" s="1">
        <f t="shared" si="141"/>
        <v>0.72</v>
      </c>
      <c r="CG176" s="1">
        <f t="shared" si="142"/>
        <v>1.6639999999999999</v>
      </c>
      <c r="CI176" s="1">
        <f t="shared" si="106"/>
        <v>2880</v>
      </c>
      <c r="CJ176" s="1">
        <f t="shared" si="107"/>
        <v>6.6000000000000003E-2</v>
      </c>
      <c r="CK176" s="1">
        <f t="shared" si="108"/>
        <v>0.124</v>
      </c>
      <c r="CL176" s="1">
        <f t="shared" si="109"/>
        <v>0.192</v>
      </c>
      <c r="CM176" s="1">
        <f t="shared" si="110"/>
        <v>2.4E-2</v>
      </c>
      <c r="CN176" s="1">
        <f t="shared" si="111"/>
        <v>5.3999999999999999E-2</v>
      </c>
      <c r="CO176" s="1">
        <f t="shared" si="112"/>
        <v>0.20499999999999999</v>
      </c>
      <c r="CP176" s="1">
        <f t="shared" si="113"/>
        <v>0.25700000000000001</v>
      </c>
      <c r="CQ176" s="1">
        <f t="shared" si="114"/>
        <v>7.8E-2</v>
      </c>
      <c r="CS176" s="1">
        <f t="shared" si="145"/>
        <v>10.3</v>
      </c>
      <c r="CT176" s="1">
        <f t="shared" si="146"/>
        <v>-3.3</v>
      </c>
    </row>
    <row r="177" spans="1:98" x14ac:dyDescent="0.2">
      <c r="A177" s="8">
        <f t="shared" si="143"/>
        <v>44002</v>
      </c>
      <c r="B177" s="1">
        <v>172</v>
      </c>
      <c r="C177" s="1">
        <v>11</v>
      </c>
      <c r="D177" s="2">
        <v>13</v>
      </c>
      <c r="E177" s="2">
        <v>15.29</v>
      </c>
      <c r="F177" s="2">
        <v>5.3109999999999999</v>
      </c>
      <c r="G177" s="2">
        <v>9.91</v>
      </c>
      <c r="H177" s="2">
        <v>81.7</v>
      </c>
      <c r="I177" s="2">
        <v>9.68</v>
      </c>
      <c r="J177" s="2">
        <v>9.51</v>
      </c>
      <c r="K177" s="2">
        <v>12.3</v>
      </c>
      <c r="L177" s="2">
        <v>9.25</v>
      </c>
      <c r="M177" s="2">
        <v>5.992</v>
      </c>
      <c r="N177" s="2">
        <v>14.29</v>
      </c>
      <c r="O177" s="2">
        <v>94.8</v>
      </c>
      <c r="P177" s="2">
        <v>20.29</v>
      </c>
      <c r="Q177" s="2">
        <v>17.71</v>
      </c>
      <c r="R177" s="2">
        <v>21.55</v>
      </c>
      <c r="S177" s="2">
        <v>9.8699999999999992</v>
      </c>
      <c r="T177" s="2">
        <v>6.2119999999999997</v>
      </c>
      <c r="U177" s="2">
        <v>7.2960000000000003</v>
      </c>
      <c r="V177" s="2">
        <v>63.17</v>
      </c>
      <c r="W177" s="2">
        <v>3.9420000000000002</v>
      </c>
      <c r="X177" s="2">
        <v>4.8330000000000002</v>
      </c>
      <c r="Y177" s="2">
        <v>6.8490000000000002</v>
      </c>
      <c r="Z177" s="2">
        <v>8.5299999999999994</v>
      </c>
      <c r="AA177" s="2">
        <v>5.7039999999999997</v>
      </c>
      <c r="AB177" s="2">
        <v>2.6459999999999999</v>
      </c>
      <c r="AC177" s="2">
        <v>2.286</v>
      </c>
      <c r="AD177" s="2">
        <v>10.43</v>
      </c>
      <c r="AE177" s="2">
        <v>1.599</v>
      </c>
      <c r="AF177" s="2">
        <v>0.97099999999999997</v>
      </c>
      <c r="AG177" s="2">
        <v>3</v>
      </c>
      <c r="AH177" s="2">
        <v>10.87</v>
      </c>
      <c r="AI177" s="2">
        <v>22.67</v>
      </c>
      <c r="AJ177" s="2">
        <v>5.3490000000000002</v>
      </c>
      <c r="AK177" s="2">
        <v>17.05</v>
      </c>
      <c r="AL177" s="2">
        <v>6.7480000000000002</v>
      </c>
      <c r="AM177" s="2">
        <v>2.6110000000000002</v>
      </c>
      <c r="AN177" s="2" t="s">
        <v>122</v>
      </c>
      <c r="AO177" s="2">
        <v>406</v>
      </c>
      <c r="AP177" s="2">
        <v>646</v>
      </c>
      <c r="AQ177" s="2">
        <v>401</v>
      </c>
      <c r="AR177" s="2">
        <v>59</v>
      </c>
      <c r="AS177" s="2">
        <v>89</v>
      </c>
      <c r="AT177" s="2">
        <v>422</v>
      </c>
      <c r="AU177" s="2">
        <v>575</v>
      </c>
      <c r="AV177" s="2">
        <v>282</v>
      </c>
      <c r="AW177" s="2"/>
      <c r="AX177" s="2">
        <v>0</v>
      </c>
      <c r="AY177" s="26"/>
      <c r="AZ177" s="5">
        <v>33.33</v>
      </c>
      <c r="BA177" s="1">
        <v>10.43</v>
      </c>
      <c r="BB177" s="1">
        <v>1.47</v>
      </c>
      <c r="BC177" s="6">
        <f t="shared" si="144"/>
        <v>0.14093959731543623</v>
      </c>
      <c r="BE177" s="30">
        <v>2.286</v>
      </c>
      <c r="BF177" s="27">
        <v>0</v>
      </c>
      <c r="BG177" s="1">
        <f t="shared" si="117"/>
        <v>94.8</v>
      </c>
      <c r="BH177" s="1">
        <f t="shared" si="118"/>
        <v>81.7</v>
      </c>
      <c r="BI177" s="1">
        <f t="shared" si="119"/>
        <v>63.2</v>
      </c>
      <c r="BJ177" s="7">
        <f t="shared" si="120"/>
        <v>1.0289999999999999</v>
      </c>
      <c r="BK177" s="7">
        <f t="shared" si="121"/>
        <v>0.59899999999999998</v>
      </c>
      <c r="BM177" s="5">
        <f t="shared" si="122"/>
        <v>10.43</v>
      </c>
      <c r="BN177" s="5">
        <f t="shared" si="123"/>
        <v>1.47</v>
      </c>
      <c r="BO177" s="1">
        <f t="shared" si="124"/>
        <v>9.9</v>
      </c>
      <c r="BP177" s="1">
        <f t="shared" si="125"/>
        <v>14.3</v>
      </c>
      <c r="BQ177" s="1">
        <f t="shared" si="126"/>
        <v>7.3</v>
      </c>
      <c r="BR177" s="1">
        <f t="shared" si="127"/>
        <v>81.7</v>
      </c>
      <c r="BS177" s="1">
        <f t="shared" si="128"/>
        <v>63.2</v>
      </c>
      <c r="BT177" s="1">
        <f t="shared" si="129"/>
        <v>1</v>
      </c>
      <c r="BU177" s="1">
        <f t="shared" si="130"/>
        <v>3</v>
      </c>
      <c r="BV177" s="33">
        <f t="shared" si="131"/>
        <v>2.286</v>
      </c>
      <c r="BW177" s="26">
        <f t="shared" si="148"/>
        <v>0</v>
      </c>
      <c r="BX177" s="20" t="str">
        <f t="shared" si="133"/>
        <v>NAN</v>
      </c>
      <c r="BY177" s="1">
        <f t="shared" si="134"/>
        <v>10.9</v>
      </c>
      <c r="BZ177" s="1">
        <f t="shared" si="135"/>
        <v>22.7</v>
      </c>
      <c r="CA177" s="1">
        <f t="shared" si="136"/>
        <v>5.3</v>
      </c>
      <c r="CB177" s="1">
        <f t="shared" si="137"/>
        <v>12.3</v>
      </c>
      <c r="CC177" s="1">
        <f t="shared" si="138"/>
        <v>9.3000000000000007</v>
      </c>
      <c r="CD177" s="1">
        <f t="shared" si="139"/>
        <v>6</v>
      </c>
      <c r="CE177" s="1" t="str">
        <f t="shared" si="140"/>
        <v>NAN</v>
      </c>
      <c r="CF177" s="1">
        <f t="shared" si="141"/>
        <v>1.0289999999999999</v>
      </c>
      <c r="CG177" s="1">
        <f t="shared" si="142"/>
        <v>0.59899999999999998</v>
      </c>
      <c r="CI177" s="1">
        <f t="shared" si="106"/>
        <v>2880</v>
      </c>
      <c r="CJ177" s="1">
        <f t="shared" si="107"/>
        <v>0.14099999999999999</v>
      </c>
      <c r="CK177" s="1">
        <f t="shared" si="108"/>
        <v>0.224</v>
      </c>
      <c r="CL177" s="1">
        <f t="shared" si="109"/>
        <v>0.13900000000000001</v>
      </c>
      <c r="CM177" s="1">
        <f t="shared" si="110"/>
        <v>0.02</v>
      </c>
      <c r="CN177" s="1">
        <f t="shared" si="111"/>
        <v>3.1E-2</v>
      </c>
      <c r="CO177" s="1">
        <f t="shared" si="112"/>
        <v>0.14699999999999999</v>
      </c>
      <c r="CP177" s="1">
        <f t="shared" si="113"/>
        <v>0.2</v>
      </c>
      <c r="CQ177" s="1">
        <f t="shared" si="114"/>
        <v>9.8000000000000004E-2</v>
      </c>
      <c r="CS177" s="1">
        <f t="shared" si="145"/>
        <v>8.3999999999999986</v>
      </c>
      <c r="CT177" s="1">
        <f t="shared" si="146"/>
        <v>-2</v>
      </c>
    </row>
    <row r="178" spans="1:98" x14ac:dyDescent="0.2">
      <c r="A178" s="8">
        <f t="shared" si="143"/>
        <v>44003</v>
      </c>
      <c r="B178" s="1">
        <v>173</v>
      </c>
      <c r="C178" s="1">
        <v>11</v>
      </c>
      <c r="D178" s="2">
        <v>12.99</v>
      </c>
      <c r="E178" s="2">
        <v>20.85</v>
      </c>
      <c r="F178" s="2">
        <v>4.5789999999999997</v>
      </c>
      <c r="G178" s="2">
        <v>10.54</v>
      </c>
      <c r="H178" s="2">
        <v>67.17</v>
      </c>
      <c r="I178" s="2">
        <v>11.55</v>
      </c>
      <c r="J178" s="2">
        <v>10.94</v>
      </c>
      <c r="K178" s="2">
        <v>14.64</v>
      </c>
      <c r="L178" s="2">
        <v>9.57</v>
      </c>
      <c r="M178" s="2">
        <v>6.2759999999999998</v>
      </c>
      <c r="N178" s="2">
        <v>17.66</v>
      </c>
      <c r="O178" s="2">
        <v>93.5</v>
      </c>
      <c r="P178" s="2">
        <v>26.09</v>
      </c>
      <c r="Q178" s="2">
        <v>23.08</v>
      </c>
      <c r="R178" s="2">
        <v>31.47</v>
      </c>
      <c r="S178" s="2">
        <v>11.43</v>
      </c>
      <c r="T178" s="2">
        <v>6.4880000000000004</v>
      </c>
      <c r="U178" s="2">
        <v>6.3520000000000003</v>
      </c>
      <c r="V178" s="2">
        <v>36.1</v>
      </c>
      <c r="W178" s="2">
        <v>2.8620000000000001</v>
      </c>
      <c r="X178" s="2">
        <v>3.8660000000000001</v>
      </c>
      <c r="Y178" s="2">
        <v>4.9390000000000001</v>
      </c>
      <c r="Z178" s="2">
        <v>8.08</v>
      </c>
      <c r="AA178" s="2">
        <v>6.101</v>
      </c>
      <c r="AB178" s="2">
        <v>2.302</v>
      </c>
      <c r="AC178" s="2">
        <v>0.50800000000000001</v>
      </c>
      <c r="AD178" s="2">
        <v>25.01</v>
      </c>
      <c r="AE178" s="2">
        <v>4.1120000000000001</v>
      </c>
      <c r="AF178" s="2">
        <v>1.3280000000000001</v>
      </c>
      <c r="AG178" s="2">
        <v>4.0620000000000003</v>
      </c>
      <c r="AH178" s="2">
        <v>13.08</v>
      </c>
      <c r="AI178" s="2">
        <v>29.57</v>
      </c>
      <c r="AJ178" s="2">
        <v>4.6429999999999998</v>
      </c>
      <c r="AK178" s="2">
        <v>21.37</v>
      </c>
      <c r="AL178" s="2">
        <v>5.8849999999999998</v>
      </c>
      <c r="AM178" s="2">
        <v>2.27</v>
      </c>
      <c r="AN178" s="2" t="s">
        <v>122</v>
      </c>
      <c r="AO178" s="2">
        <v>762</v>
      </c>
      <c r="AP178" s="2">
        <v>505</v>
      </c>
      <c r="AQ178" s="2">
        <v>181</v>
      </c>
      <c r="AR178" s="2">
        <v>26</v>
      </c>
      <c r="AS178" s="2">
        <v>37</v>
      </c>
      <c r="AT178" s="2">
        <v>181</v>
      </c>
      <c r="AU178" s="2">
        <v>529</v>
      </c>
      <c r="AV178" s="2">
        <v>659</v>
      </c>
      <c r="AW178" s="2"/>
      <c r="AX178" s="2">
        <v>0</v>
      </c>
      <c r="AY178" s="26"/>
      <c r="AZ178" s="5">
        <v>33.32</v>
      </c>
      <c r="BA178" s="1">
        <v>25.01</v>
      </c>
      <c r="BB178" s="1">
        <v>3.78</v>
      </c>
      <c r="BC178" s="6">
        <f t="shared" si="144"/>
        <v>0.15113954418232706</v>
      </c>
      <c r="BE178" s="30">
        <v>0.50800000000000001</v>
      </c>
      <c r="BF178" s="27">
        <v>0</v>
      </c>
      <c r="BG178" s="1">
        <f t="shared" si="117"/>
        <v>93.5</v>
      </c>
      <c r="BH178" s="1">
        <f t="shared" si="118"/>
        <v>67.2</v>
      </c>
      <c r="BI178" s="1">
        <f t="shared" si="119"/>
        <v>36.1</v>
      </c>
      <c r="BJ178" s="7">
        <f t="shared" si="120"/>
        <v>0.72899999999999998</v>
      </c>
      <c r="BK178" s="7">
        <f t="shared" si="121"/>
        <v>1.29</v>
      </c>
      <c r="BM178" s="5">
        <f t="shared" si="122"/>
        <v>25.01</v>
      </c>
      <c r="BN178" s="5">
        <f t="shared" si="123"/>
        <v>3.78</v>
      </c>
      <c r="BO178" s="1">
        <f t="shared" si="124"/>
        <v>10.5</v>
      </c>
      <c r="BP178" s="1">
        <f t="shared" si="125"/>
        <v>17.7</v>
      </c>
      <c r="BQ178" s="1">
        <f t="shared" si="126"/>
        <v>6.4</v>
      </c>
      <c r="BR178" s="1">
        <f t="shared" si="127"/>
        <v>67.2</v>
      </c>
      <c r="BS178" s="1">
        <f t="shared" si="128"/>
        <v>36.1</v>
      </c>
      <c r="BT178" s="1">
        <f t="shared" si="129"/>
        <v>1.3</v>
      </c>
      <c r="BU178" s="1">
        <f t="shared" si="130"/>
        <v>4.0999999999999996</v>
      </c>
      <c r="BV178" s="33">
        <f t="shared" si="131"/>
        <v>0.50800000000000001</v>
      </c>
      <c r="BW178" s="26">
        <f t="shared" si="148"/>
        <v>0</v>
      </c>
      <c r="BX178" s="20" t="str">
        <f t="shared" si="133"/>
        <v>NAN</v>
      </c>
      <c r="BY178" s="1">
        <f t="shared" si="134"/>
        <v>13.1</v>
      </c>
      <c r="BZ178" s="1">
        <f t="shared" si="135"/>
        <v>29.6</v>
      </c>
      <c r="CA178" s="1">
        <f t="shared" si="136"/>
        <v>4.5999999999999996</v>
      </c>
      <c r="CB178" s="1">
        <f t="shared" si="137"/>
        <v>14.6</v>
      </c>
      <c r="CC178" s="1">
        <f t="shared" si="138"/>
        <v>9.6</v>
      </c>
      <c r="CD178" s="1">
        <f t="shared" si="139"/>
        <v>6.3</v>
      </c>
      <c r="CE178" s="1" t="str">
        <f t="shared" si="140"/>
        <v>NAN</v>
      </c>
      <c r="CF178" s="1">
        <f t="shared" si="141"/>
        <v>0.72899999999999998</v>
      </c>
      <c r="CG178" s="1">
        <f t="shared" si="142"/>
        <v>1.29</v>
      </c>
      <c r="CI178" s="1">
        <f t="shared" si="106"/>
        <v>2880</v>
      </c>
      <c r="CJ178" s="1">
        <f t="shared" si="107"/>
        <v>0.26500000000000001</v>
      </c>
      <c r="CK178" s="1">
        <f t="shared" si="108"/>
        <v>0.17499999999999999</v>
      </c>
      <c r="CL178" s="1">
        <f t="shared" si="109"/>
        <v>6.3E-2</v>
      </c>
      <c r="CM178" s="1">
        <f t="shared" si="110"/>
        <v>8.9999999999999993E-3</v>
      </c>
      <c r="CN178" s="1">
        <f t="shared" si="111"/>
        <v>1.2999999999999999E-2</v>
      </c>
      <c r="CO178" s="1">
        <f t="shared" si="112"/>
        <v>6.3E-2</v>
      </c>
      <c r="CP178" s="1">
        <f t="shared" si="113"/>
        <v>0.184</v>
      </c>
      <c r="CQ178" s="1">
        <f t="shared" si="114"/>
        <v>0.22900000000000001</v>
      </c>
      <c r="CS178" s="1">
        <f t="shared" si="145"/>
        <v>11.900000000000002</v>
      </c>
      <c r="CT178" s="1">
        <f t="shared" si="146"/>
        <v>-1.8000000000000007</v>
      </c>
    </row>
    <row r="179" spans="1:98" x14ac:dyDescent="0.2">
      <c r="A179" s="8">
        <f t="shared" si="143"/>
        <v>44004</v>
      </c>
      <c r="B179" s="1">
        <v>174</v>
      </c>
      <c r="C179" s="1">
        <v>11</v>
      </c>
      <c r="D179" s="2">
        <v>12.98</v>
      </c>
      <c r="E179" s="2">
        <v>21.64</v>
      </c>
      <c r="F179" s="2">
        <v>3.0569999999999999</v>
      </c>
      <c r="G179" s="2">
        <v>12.66</v>
      </c>
      <c r="H179" s="2">
        <v>50.86</v>
      </c>
      <c r="I179" s="2">
        <v>12.56</v>
      </c>
      <c r="J179" s="2">
        <v>12.27</v>
      </c>
      <c r="K179" s="2">
        <v>14.08</v>
      </c>
      <c r="L179" s="2">
        <v>10.199999999999999</v>
      </c>
      <c r="M179" s="2">
        <v>6.6760000000000002</v>
      </c>
      <c r="N179" s="2">
        <v>19.46</v>
      </c>
      <c r="O179" s="2">
        <v>78.150000000000006</v>
      </c>
      <c r="P179" s="2">
        <v>27.18</v>
      </c>
      <c r="Q179" s="2">
        <v>23.59</v>
      </c>
      <c r="R179" s="2">
        <v>31.06</v>
      </c>
      <c r="S179" s="2">
        <v>11.73</v>
      </c>
      <c r="T179" s="2">
        <v>6.9180000000000001</v>
      </c>
      <c r="U179" s="2">
        <v>5.548</v>
      </c>
      <c r="V179" s="2">
        <v>28.16</v>
      </c>
      <c r="W179" s="2">
        <v>0.56599999999999995</v>
      </c>
      <c r="X179" s="2">
        <v>1.966</v>
      </c>
      <c r="Y179" s="2">
        <v>2.9990000000000001</v>
      </c>
      <c r="Z179" s="2">
        <v>8.6</v>
      </c>
      <c r="AA179" s="2">
        <v>6.3849999999999998</v>
      </c>
      <c r="AB179" s="2">
        <v>2.262</v>
      </c>
      <c r="AC179" s="2">
        <v>0</v>
      </c>
      <c r="AD179" s="2">
        <v>23.98</v>
      </c>
      <c r="AE179" s="2">
        <v>3.855</v>
      </c>
      <c r="AF179" s="2">
        <v>1.204</v>
      </c>
      <c r="AG179" s="2">
        <v>4.0449999999999999</v>
      </c>
      <c r="AH179" s="2">
        <v>14.16</v>
      </c>
      <c r="AI179" s="2">
        <v>30</v>
      </c>
      <c r="AJ179" s="2">
        <v>2.7530000000000001</v>
      </c>
      <c r="AK179" s="2">
        <v>22.57</v>
      </c>
      <c r="AL179" s="2">
        <v>5.6520000000000001</v>
      </c>
      <c r="AM179" s="2">
        <v>2.2160000000000002</v>
      </c>
      <c r="AN179" s="2" t="s">
        <v>122</v>
      </c>
      <c r="AO179" s="2">
        <v>749</v>
      </c>
      <c r="AP179" s="2">
        <v>528</v>
      </c>
      <c r="AQ179" s="2">
        <v>274</v>
      </c>
      <c r="AR179" s="2">
        <v>35</v>
      </c>
      <c r="AS179" s="2">
        <v>39</v>
      </c>
      <c r="AT179" s="2">
        <v>179</v>
      </c>
      <c r="AU179" s="2">
        <v>469</v>
      </c>
      <c r="AV179" s="2">
        <v>607</v>
      </c>
      <c r="AW179" s="2"/>
      <c r="AX179" s="2">
        <v>0</v>
      </c>
      <c r="AY179" s="26"/>
      <c r="AZ179" s="5">
        <v>33.299999999999997</v>
      </c>
      <c r="BA179" s="1">
        <v>23.98</v>
      </c>
      <c r="BB179" s="1">
        <v>3.55</v>
      </c>
      <c r="BC179" s="6">
        <f t="shared" si="144"/>
        <v>0.14804003336113428</v>
      </c>
      <c r="BE179" s="30">
        <v>0</v>
      </c>
      <c r="BF179" s="27">
        <v>0</v>
      </c>
      <c r="BG179" s="1">
        <f t="shared" si="117"/>
        <v>78.2</v>
      </c>
      <c r="BH179" s="1">
        <f t="shared" si="118"/>
        <v>50.9</v>
      </c>
      <c r="BI179" s="1">
        <f t="shared" si="119"/>
        <v>28.2</v>
      </c>
      <c r="BJ179" s="7">
        <f t="shared" si="120"/>
        <v>0.63800000000000001</v>
      </c>
      <c r="BK179" s="7">
        <f t="shared" si="121"/>
        <v>1.6240000000000001</v>
      </c>
      <c r="BM179" s="5">
        <f t="shared" si="122"/>
        <v>23.98</v>
      </c>
      <c r="BN179" s="5">
        <f t="shared" si="123"/>
        <v>3.55</v>
      </c>
      <c r="BO179" s="1">
        <f t="shared" si="124"/>
        <v>12.7</v>
      </c>
      <c r="BP179" s="1">
        <f t="shared" si="125"/>
        <v>19.5</v>
      </c>
      <c r="BQ179" s="1">
        <f t="shared" si="126"/>
        <v>5.5</v>
      </c>
      <c r="BR179" s="1">
        <f t="shared" si="127"/>
        <v>50.9</v>
      </c>
      <c r="BS179" s="1">
        <f t="shared" si="128"/>
        <v>28.2</v>
      </c>
      <c r="BT179" s="1">
        <f t="shared" si="129"/>
        <v>1.2</v>
      </c>
      <c r="BU179" s="1">
        <f t="shared" si="130"/>
        <v>4</v>
      </c>
      <c r="BV179" s="33">
        <f t="shared" si="131"/>
        <v>0</v>
      </c>
      <c r="BW179" s="26">
        <f t="shared" si="148"/>
        <v>0</v>
      </c>
      <c r="BX179" s="20" t="str">
        <f t="shared" si="133"/>
        <v>NAN</v>
      </c>
      <c r="BY179" s="1">
        <f t="shared" si="134"/>
        <v>14.2</v>
      </c>
      <c r="BZ179" s="1">
        <f t="shared" si="135"/>
        <v>30</v>
      </c>
      <c r="CA179" s="1">
        <f t="shared" si="136"/>
        <v>2.8</v>
      </c>
      <c r="CB179" s="1">
        <f t="shared" si="137"/>
        <v>14.1</v>
      </c>
      <c r="CC179" s="1">
        <f t="shared" si="138"/>
        <v>10.199999999999999</v>
      </c>
      <c r="CD179" s="1">
        <f t="shared" si="139"/>
        <v>6.7</v>
      </c>
      <c r="CE179" s="1" t="str">
        <f t="shared" si="140"/>
        <v>NAN</v>
      </c>
      <c r="CF179" s="1">
        <f t="shared" si="141"/>
        <v>0.63800000000000001</v>
      </c>
      <c r="CG179" s="1">
        <f t="shared" si="142"/>
        <v>1.6240000000000001</v>
      </c>
      <c r="CI179" s="1">
        <f t="shared" si="106"/>
        <v>2880</v>
      </c>
      <c r="CJ179" s="1">
        <f t="shared" si="107"/>
        <v>0.26</v>
      </c>
      <c r="CK179" s="1">
        <f t="shared" si="108"/>
        <v>0.183</v>
      </c>
      <c r="CL179" s="1">
        <f t="shared" si="109"/>
        <v>9.5000000000000001E-2</v>
      </c>
      <c r="CM179" s="1">
        <f t="shared" si="110"/>
        <v>1.2E-2</v>
      </c>
      <c r="CN179" s="1">
        <f t="shared" si="111"/>
        <v>1.4E-2</v>
      </c>
      <c r="CO179" s="1">
        <f t="shared" si="112"/>
        <v>6.2E-2</v>
      </c>
      <c r="CP179" s="1">
        <f t="shared" si="113"/>
        <v>0.16300000000000001</v>
      </c>
      <c r="CQ179" s="1">
        <f t="shared" si="114"/>
        <v>0.21099999999999999</v>
      </c>
      <c r="CS179" s="1">
        <f t="shared" si="145"/>
        <v>10.5</v>
      </c>
      <c r="CT179" s="1">
        <f t="shared" si="146"/>
        <v>-2.7</v>
      </c>
    </row>
    <row r="180" spans="1:98" x14ac:dyDescent="0.2">
      <c r="A180" s="8">
        <f t="shared" si="143"/>
        <v>44005</v>
      </c>
      <c r="B180" s="1">
        <v>175</v>
      </c>
      <c r="C180" s="1">
        <v>11</v>
      </c>
      <c r="D180" s="2">
        <v>12.98</v>
      </c>
      <c r="E180" s="2">
        <v>22.95</v>
      </c>
      <c r="F180" s="2">
        <v>7.3109999999999999</v>
      </c>
      <c r="G180" s="2">
        <v>13.75</v>
      </c>
      <c r="H180" s="2">
        <v>66.540000000000006</v>
      </c>
      <c r="I180" s="2">
        <v>12.43</v>
      </c>
      <c r="J180" s="2">
        <v>12.57</v>
      </c>
      <c r="K180" s="2">
        <v>14.75</v>
      </c>
      <c r="L180" s="2">
        <v>10.72</v>
      </c>
      <c r="M180" s="2">
        <v>7.0839999999999996</v>
      </c>
      <c r="N180" s="2">
        <v>20.92</v>
      </c>
      <c r="O180" s="2">
        <v>92.5</v>
      </c>
      <c r="P180" s="2">
        <v>29.31</v>
      </c>
      <c r="Q180" s="2">
        <v>26.16</v>
      </c>
      <c r="R180" s="2">
        <v>30.44</v>
      </c>
      <c r="S180" s="2">
        <v>11.83</v>
      </c>
      <c r="T180" s="2">
        <v>7.3470000000000004</v>
      </c>
      <c r="U180" s="2">
        <v>10.18</v>
      </c>
      <c r="V180" s="2">
        <v>41.66</v>
      </c>
      <c r="W180" s="2">
        <v>4.7290000000000001</v>
      </c>
      <c r="X180" s="2">
        <v>5.9390000000000001</v>
      </c>
      <c r="Y180" s="2">
        <v>6.6509999999999998</v>
      </c>
      <c r="Z180" s="2">
        <v>9.65</v>
      </c>
      <c r="AA180" s="2">
        <v>6.8209999999999997</v>
      </c>
      <c r="AB180" s="2">
        <v>2.649</v>
      </c>
      <c r="AC180" s="2">
        <v>2.032</v>
      </c>
      <c r="AD180" s="2">
        <v>16.760000000000002</v>
      </c>
      <c r="AE180" s="2">
        <v>2.81</v>
      </c>
      <c r="AF180" s="2">
        <v>1.157</v>
      </c>
      <c r="AG180" s="2">
        <v>4.4649999999999999</v>
      </c>
      <c r="AH180" s="2">
        <v>14.12</v>
      </c>
      <c r="AI180" s="2">
        <v>32.340000000000003</v>
      </c>
      <c r="AJ180" s="2">
        <v>7.2439999999999998</v>
      </c>
      <c r="AK180" s="2">
        <v>24.43</v>
      </c>
      <c r="AL180" s="2">
        <v>10.23</v>
      </c>
      <c r="AM180" s="2">
        <v>2.589</v>
      </c>
      <c r="AN180" s="2" t="s">
        <v>122</v>
      </c>
      <c r="AO180" s="2">
        <v>564</v>
      </c>
      <c r="AP180" s="2">
        <v>339</v>
      </c>
      <c r="AQ180" s="2">
        <v>324</v>
      </c>
      <c r="AR180" s="2">
        <v>162</v>
      </c>
      <c r="AS180" s="2">
        <v>47</v>
      </c>
      <c r="AT180" s="2">
        <v>281</v>
      </c>
      <c r="AU180" s="2">
        <v>550</v>
      </c>
      <c r="AV180" s="2">
        <v>613</v>
      </c>
      <c r="AW180" s="2"/>
      <c r="AX180" s="2">
        <v>0</v>
      </c>
      <c r="AY180" s="26"/>
      <c r="AZ180" s="5">
        <v>33.270000000000003</v>
      </c>
      <c r="BA180" s="1">
        <v>16.760000000000002</v>
      </c>
      <c r="BB180" s="1">
        <v>2.58</v>
      </c>
      <c r="BC180" s="6">
        <f t="shared" si="144"/>
        <v>0.15393794749403339</v>
      </c>
      <c r="BE180" s="30">
        <v>2.032</v>
      </c>
      <c r="BF180" s="27">
        <v>0</v>
      </c>
      <c r="BG180" s="1">
        <f t="shared" si="117"/>
        <v>92.5</v>
      </c>
      <c r="BH180" s="1">
        <f t="shared" si="118"/>
        <v>66.5</v>
      </c>
      <c r="BI180" s="1">
        <f t="shared" si="119"/>
        <v>41.7</v>
      </c>
      <c r="BJ180" s="7">
        <f t="shared" si="120"/>
        <v>1.032</v>
      </c>
      <c r="BK180" s="7">
        <f t="shared" si="121"/>
        <v>1.4430000000000001</v>
      </c>
      <c r="BM180" s="5">
        <f t="shared" si="122"/>
        <v>16.760000000000002</v>
      </c>
      <c r="BN180" s="5">
        <f t="shared" si="123"/>
        <v>2.58</v>
      </c>
      <c r="BO180" s="1">
        <f t="shared" si="124"/>
        <v>13.8</v>
      </c>
      <c r="BP180" s="1">
        <f t="shared" si="125"/>
        <v>20.9</v>
      </c>
      <c r="BQ180" s="1">
        <f t="shared" si="126"/>
        <v>10.199999999999999</v>
      </c>
      <c r="BR180" s="1">
        <f t="shared" si="127"/>
        <v>66.5</v>
      </c>
      <c r="BS180" s="1">
        <f t="shared" si="128"/>
        <v>41.7</v>
      </c>
      <c r="BT180" s="1">
        <f t="shared" si="129"/>
        <v>1.2</v>
      </c>
      <c r="BU180" s="1">
        <f t="shared" si="130"/>
        <v>4.5</v>
      </c>
      <c r="BV180" s="33">
        <f t="shared" si="131"/>
        <v>2.032</v>
      </c>
      <c r="BW180" s="26">
        <f t="shared" si="148"/>
        <v>0</v>
      </c>
      <c r="BX180" s="20" t="str">
        <f t="shared" si="133"/>
        <v>NAN</v>
      </c>
      <c r="BY180" s="1">
        <f t="shared" si="134"/>
        <v>14.1</v>
      </c>
      <c r="BZ180" s="1">
        <f t="shared" si="135"/>
        <v>32.299999999999997</v>
      </c>
      <c r="CA180" s="1">
        <f t="shared" si="136"/>
        <v>7.2</v>
      </c>
      <c r="CB180" s="1">
        <f t="shared" si="137"/>
        <v>14.8</v>
      </c>
      <c r="CC180" s="1">
        <f t="shared" si="138"/>
        <v>10.7</v>
      </c>
      <c r="CD180" s="1">
        <f t="shared" si="139"/>
        <v>7.1</v>
      </c>
      <c r="CE180" s="1" t="str">
        <f t="shared" si="140"/>
        <v>NAN</v>
      </c>
      <c r="CF180" s="1">
        <f t="shared" si="141"/>
        <v>1.032</v>
      </c>
      <c r="CG180" s="1">
        <f t="shared" si="142"/>
        <v>1.4430000000000001</v>
      </c>
      <c r="CI180" s="1">
        <f t="shared" si="106"/>
        <v>2880</v>
      </c>
      <c r="CJ180" s="1">
        <f t="shared" si="107"/>
        <v>0.19600000000000001</v>
      </c>
      <c r="CK180" s="1">
        <f t="shared" si="108"/>
        <v>0.11799999999999999</v>
      </c>
      <c r="CL180" s="1">
        <f t="shared" si="109"/>
        <v>0.113</v>
      </c>
      <c r="CM180" s="1">
        <f t="shared" si="110"/>
        <v>5.6000000000000001E-2</v>
      </c>
      <c r="CN180" s="1">
        <f t="shared" si="111"/>
        <v>1.6E-2</v>
      </c>
      <c r="CO180" s="1">
        <f t="shared" si="112"/>
        <v>9.8000000000000004E-2</v>
      </c>
      <c r="CP180" s="1">
        <f t="shared" si="113"/>
        <v>0.191</v>
      </c>
      <c r="CQ180" s="1">
        <f t="shared" si="114"/>
        <v>0.21299999999999999</v>
      </c>
      <c r="CS180" s="1">
        <f t="shared" si="145"/>
        <v>11.399999999999999</v>
      </c>
      <c r="CT180" s="1">
        <f t="shared" si="146"/>
        <v>-2.9999999999999991</v>
      </c>
    </row>
    <row r="181" spans="1:98" x14ac:dyDescent="0.2">
      <c r="A181" s="8">
        <f t="shared" si="143"/>
        <v>44006</v>
      </c>
      <c r="B181" s="1">
        <v>176</v>
      </c>
      <c r="C181" s="1">
        <v>11</v>
      </c>
      <c r="D181" s="2">
        <v>12.98</v>
      </c>
      <c r="E181" s="2">
        <v>16.22</v>
      </c>
      <c r="F181" s="2">
        <v>6.4820000000000002</v>
      </c>
      <c r="G181" s="2">
        <v>11.02</v>
      </c>
      <c r="H181" s="2">
        <v>83.9</v>
      </c>
      <c r="I181" s="2">
        <v>11.2</v>
      </c>
      <c r="J181" s="2">
        <v>10.82</v>
      </c>
      <c r="K181" s="2">
        <v>13.99</v>
      </c>
      <c r="L181" s="2">
        <v>10.9</v>
      </c>
      <c r="M181" s="2">
        <v>7.4359999999999999</v>
      </c>
      <c r="N181" s="2">
        <v>14.66</v>
      </c>
      <c r="O181" s="2">
        <v>96.8</v>
      </c>
      <c r="P181" s="2">
        <v>22.41</v>
      </c>
      <c r="Q181" s="2">
        <v>18.75</v>
      </c>
      <c r="R181" s="2">
        <v>24.83</v>
      </c>
      <c r="S181" s="2">
        <v>11.64</v>
      </c>
      <c r="T181" s="2">
        <v>7.6180000000000003</v>
      </c>
      <c r="U181" s="2">
        <v>7.8040000000000003</v>
      </c>
      <c r="V181" s="2">
        <v>63.16</v>
      </c>
      <c r="W181" s="2">
        <v>5.5620000000000003</v>
      </c>
      <c r="X181" s="2">
        <v>6.3369999999999997</v>
      </c>
      <c r="Y181" s="2">
        <v>8.0399999999999991</v>
      </c>
      <c r="Z181" s="2">
        <v>10</v>
      </c>
      <c r="AA181" s="2">
        <v>7.2140000000000004</v>
      </c>
      <c r="AB181" s="2">
        <v>2.6280000000000001</v>
      </c>
      <c r="AC181" s="2">
        <v>14.73</v>
      </c>
      <c r="AD181" s="2">
        <v>14.34</v>
      </c>
      <c r="AE181" s="2">
        <v>2.3260000000000001</v>
      </c>
      <c r="AF181" s="2">
        <v>1.036</v>
      </c>
      <c r="AG181" s="2">
        <v>3.734</v>
      </c>
      <c r="AH181" s="2">
        <v>11.84</v>
      </c>
      <c r="AI181" s="2">
        <v>22.48</v>
      </c>
      <c r="AJ181" s="2">
        <v>6.3979999999999997</v>
      </c>
      <c r="AK181" s="2">
        <v>17.760000000000002</v>
      </c>
      <c r="AL181" s="2">
        <v>7.0529999999999999</v>
      </c>
      <c r="AM181" s="2">
        <v>2.59</v>
      </c>
      <c r="AN181" s="2" t="s">
        <v>122</v>
      </c>
      <c r="AO181" s="2">
        <v>672</v>
      </c>
      <c r="AP181" s="2">
        <v>618</v>
      </c>
      <c r="AQ181" s="2">
        <v>371</v>
      </c>
      <c r="AR181" s="2">
        <v>246</v>
      </c>
      <c r="AS181" s="2">
        <v>106</v>
      </c>
      <c r="AT181" s="2">
        <v>128</v>
      </c>
      <c r="AU181" s="2">
        <v>253</v>
      </c>
      <c r="AV181" s="2">
        <v>486</v>
      </c>
      <c r="AW181" s="2"/>
      <c r="AX181" s="2">
        <v>0</v>
      </c>
      <c r="AY181" s="26"/>
      <c r="AZ181" s="5">
        <v>33.25</v>
      </c>
      <c r="BA181" s="1">
        <v>14.34</v>
      </c>
      <c r="BB181" s="1">
        <v>2.14</v>
      </c>
      <c r="BC181" s="6">
        <f t="shared" si="144"/>
        <v>0.14923291492329149</v>
      </c>
      <c r="BE181" s="30">
        <v>14.731999999999999</v>
      </c>
      <c r="BF181" s="27">
        <v>0</v>
      </c>
      <c r="BG181" s="1">
        <f t="shared" si="117"/>
        <v>96.8</v>
      </c>
      <c r="BH181" s="1">
        <f t="shared" si="118"/>
        <v>83.9</v>
      </c>
      <c r="BI181" s="1">
        <f t="shared" si="119"/>
        <v>63.2</v>
      </c>
      <c r="BJ181" s="7">
        <f t="shared" si="120"/>
        <v>1.054</v>
      </c>
      <c r="BK181" s="7">
        <f t="shared" si="121"/>
        <v>0.61399999999999999</v>
      </c>
      <c r="BM181" s="5">
        <f t="shared" si="122"/>
        <v>14.34</v>
      </c>
      <c r="BN181" s="5">
        <f t="shared" si="123"/>
        <v>2.14</v>
      </c>
      <c r="BO181" s="1">
        <f t="shared" si="124"/>
        <v>11</v>
      </c>
      <c r="BP181" s="1">
        <f t="shared" si="125"/>
        <v>14.7</v>
      </c>
      <c r="BQ181" s="1">
        <f t="shared" si="126"/>
        <v>7.8</v>
      </c>
      <c r="BR181" s="1">
        <f t="shared" si="127"/>
        <v>83.9</v>
      </c>
      <c r="BS181" s="1">
        <f t="shared" si="128"/>
        <v>63.2</v>
      </c>
      <c r="BT181" s="1">
        <f t="shared" si="129"/>
        <v>1</v>
      </c>
      <c r="BU181" s="1">
        <f t="shared" si="130"/>
        <v>3.7</v>
      </c>
      <c r="BV181" s="33">
        <f t="shared" si="131"/>
        <v>14.731999999999999</v>
      </c>
      <c r="BW181" s="26">
        <f t="shared" si="148"/>
        <v>0</v>
      </c>
      <c r="BX181" s="20" t="str">
        <f t="shared" si="133"/>
        <v>NAN</v>
      </c>
      <c r="BY181" s="1">
        <f t="shared" si="134"/>
        <v>11.8</v>
      </c>
      <c r="BZ181" s="1">
        <f t="shared" si="135"/>
        <v>22.5</v>
      </c>
      <c r="CA181" s="1">
        <f t="shared" si="136"/>
        <v>6.4</v>
      </c>
      <c r="CB181" s="1">
        <f t="shared" si="137"/>
        <v>14</v>
      </c>
      <c r="CC181" s="1">
        <f t="shared" si="138"/>
        <v>10.9</v>
      </c>
      <c r="CD181" s="1">
        <f t="shared" si="139"/>
        <v>7.4</v>
      </c>
      <c r="CE181" s="1" t="str">
        <f t="shared" si="140"/>
        <v>NAN</v>
      </c>
      <c r="CF181" s="1">
        <f t="shared" si="141"/>
        <v>1.054</v>
      </c>
      <c r="CG181" s="1">
        <f t="shared" si="142"/>
        <v>0.61399999999999999</v>
      </c>
      <c r="CI181" s="1">
        <f t="shared" si="106"/>
        <v>2880</v>
      </c>
      <c r="CJ181" s="1">
        <f t="shared" si="107"/>
        <v>0.23300000000000001</v>
      </c>
      <c r="CK181" s="1">
        <f t="shared" si="108"/>
        <v>0.215</v>
      </c>
      <c r="CL181" s="1">
        <f t="shared" si="109"/>
        <v>0.129</v>
      </c>
      <c r="CM181" s="1">
        <f t="shared" si="110"/>
        <v>8.5000000000000006E-2</v>
      </c>
      <c r="CN181" s="1">
        <f t="shared" si="111"/>
        <v>3.6999999999999998E-2</v>
      </c>
      <c r="CO181" s="1">
        <f t="shared" si="112"/>
        <v>4.3999999999999997E-2</v>
      </c>
      <c r="CP181" s="1">
        <f t="shared" si="113"/>
        <v>8.7999999999999995E-2</v>
      </c>
      <c r="CQ181" s="1">
        <f t="shared" si="114"/>
        <v>0.16900000000000001</v>
      </c>
      <c r="CS181" s="1">
        <f t="shared" si="145"/>
        <v>7.8000000000000007</v>
      </c>
      <c r="CT181" s="1">
        <f t="shared" si="146"/>
        <v>-1.3999999999999995</v>
      </c>
    </row>
    <row r="182" spans="1:98" x14ac:dyDescent="0.2">
      <c r="A182" s="8">
        <f t="shared" si="143"/>
        <v>44007</v>
      </c>
      <c r="B182" s="1">
        <v>177</v>
      </c>
      <c r="C182" s="1">
        <v>11</v>
      </c>
      <c r="D182" s="2">
        <v>13</v>
      </c>
      <c r="E182" s="2">
        <v>22.7</v>
      </c>
      <c r="F182" s="2">
        <v>5.117</v>
      </c>
      <c r="G182" s="2">
        <v>13.56</v>
      </c>
      <c r="H182" s="2">
        <v>67.19</v>
      </c>
      <c r="I182" s="2">
        <v>14.28</v>
      </c>
      <c r="J182" s="2">
        <v>13.57</v>
      </c>
      <c r="K182" s="2">
        <v>16.87</v>
      </c>
      <c r="L182" s="2">
        <v>11.3</v>
      </c>
      <c r="M182" s="2">
        <v>7.6619999999999999</v>
      </c>
      <c r="N182" s="2">
        <v>21.05</v>
      </c>
      <c r="O182" s="2">
        <v>96.8</v>
      </c>
      <c r="P182" s="2">
        <v>27.68</v>
      </c>
      <c r="Q182" s="2">
        <v>24.26</v>
      </c>
      <c r="R182" s="2">
        <v>33.44</v>
      </c>
      <c r="S182" s="2">
        <v>13.25</v>
      </c>
      <c r="T182" s="2">
        <v>7.8860000000000001</v>
      </c>
      <c r="U182" s="2">
        <v>6.657</v>
      </c>
      <c r="V182" s="2">
        <v>33.119999999999997</v>
      </c>
      <c r="W182" s="2">
        <v>2.7589999999999999</v>
      </c>
      <c r="X182" s="2">
        <v>4.327</v>
      </c>
      <c r="Y182" s="2">
        <v>5.6870000000000003</v>
      </c>
      <c r="Z182" s="2">
        <v>9.6300000000000008</v>
      </c>
      <c r="AA182" s="2">
        <v>7.4969999999999999</v>
      </c>
      <c r="AB182" s="2">
        <v>2.306</v>
      </c>
      <c r="AC182" s="2">
        <v>0.254</v>
      </c>
      <c r="AD182" s="2">
        <v>27.65</v>
      </c>
      <c r="AE182" s="2">
        <v>4.8490000000000002</v>
      </c>
      <c r="AF182" s="2">
        <v>1.056</v>
      </c>
      <c r="AG182" s="2">
        <v>3.3479999999999999</v>
      </c>
      <c r="AH182" s="2">
        <v>15.4</v>
      </c>
      <c r="AI182" s="2">
        <v>28.71</v>
      </c>
      <c r="AJ182" s="2">
        <v>4.7640000000000002</v>
      </c>
      <c r="AK182" s="2">
        <v>25.49</v>
      </c>
      <c r="AL182" s="2">
        <v>5.8460000000000001</v>
      </c>
      <c r="AM182" s="2">
        <v>2.2589999999999999</v>
      </c>
      <c r="AN182" s="2" t="s">
        <v>122</v>
      </c>
      <c r="AO182" s="2">
        <v>603</v>
      </c>
      <c r="AP182" s="2">
        <v>730</v>
      </c>
      <c r="AQ182" s="2">
        <v>467</v>
      </c>
      <c r="AR182" s="2">
        <v>131</v>
      </c>
      <c r="AS182" s="2">
        <v>52</v>
      </c>
      <c r="AT182" s="2">
        <v>79</v>
      </c>
      <c r="AU182" s="2">
        <v>301</v>
      </c>
      <c r="AV182" s="2">
        <v>517</v>
      </c>
      <c r="AW182" s="2"/>
      <c r="AX182" s="2">
        <v>0</v>
      </c>
      <c r="AY182" s="26"/>
      <c r="AZ182" s="5">
        <v>33.22</v>
      </c>
      <c r="BA182" s="1">
        <v>27.64</v>
      </c>
      <c r="BB182" s="1">
        <v>4.46</v>
      </c>
      <c r="BC182" s="6">
        <f t="shared" si="144"/>
        <v>0.1613603473227207</v>
      </c>
      <c r="BE182" s="30">
        <v>0.254</v>
      </c>
      <c r="BF182" s="27">
        <v>0</v>
      </c>
      <c r="BG182" s="1">
        <f t="shared" si="117"/>
        <v>96.8</v>
      </c>
      <c r="BH182" s="1">
        <f t="shared" si="118"/>
        <v>67.2</v>
      </c>
      <c r="BI182" s="1">
        <f t="shared" si="119"/>
        <v>33.1</v>
      </c>
      <c r="BJ182" s="7">
        <f t="shared" si="120"/>
        <v>0.82599999999999996</v>
      </c>
      <c r="BK182" s="7">
        <f t="shared" si="121"/>
        <v>1.669</v>
      </c>
      <c r="BM182" s="5">
        <f t="shared" si="122"/>
        <v>27.64</v>
      </c>
      <c r="BN182" s="5">
        <f t="shared" si="123"/>
        <v>4.46</v>
      </c>
      <c r="BO182" s="1">
        <f t="shared" si="124"/>
        <v>13.6</v>
      </c>
      <c r="BP182" s="1">
        <f t="shared" si="125"/>
        <v>21.1</v>
      </c>
      <c r="BQ182" s="1">
        <f t="shared" si="126"/>
        <v>6.7</v>
      </c>
      <c r="BR182" s="1">
        <f t="shared" si="127"/>
        <v>67.2</v>
      </c>
      <c r="BS182" s="1">
        <f t="shared" si="128"/>
        <v>33.1</v>
      </c>
      <c r="BT182" s="1">
        <f t="shared" si="129"/>
        <v>1.1000000000000001</v>
      </c>
      <c r="BU182" s="1">
        <f t="shared" si="130"/>
        <v>3.3</v>
      </c>
      <c r="BV182" s="33">
        <f t="shared" si="131"/>
        <v>0.254</v>
      </c>
      <c r="BW182" s="26">
        <f t="shared" si="148"/>
        <v>0</v>
      </c>
      <c r="BX182" s="20" t="str">
        <f t="shared" si="133"/>
        <v>NAN</v>
      </c>
      <c r="BY182" s="1">
        <f t="shared" si="134"/>
        <v>15.4</v>
      </c>
      <c r="BZ182" s="1">
        <f t="shared" si="135"/>
        <v>28.7</v>
      </c>
      <c r="CA182" s="1">
        <f t="shared" si="136"/>
        <v>4.8</v>
      </c>
      <c r="CB182" s="1">
        <f t="shared" si="137"/>
        <v>16.899999999999999</v>
      </c>
      <c r="CC182" s="1">
        <f t="shared" si="138"/>
        <v>11.3</v>
      </c>
      <c r="CD182" s="1">
        <f t="shared" si="139"/>
        <v>7.7</v>
      </c>
      <c r="CE182" s="1" t="str">
        <f t="shared" si="140"/>
        <v>NAN</v>
      </c>
      <c r="CF182" s="1">
        <f t="shared" si="141"/>
        <v>0.82599999999999996</v>
      </c>
      <c r="CG182" s="1">
        <f t="shared" si="142"/>
        <v>1.669</v>
      </c>
      <c r="CI182" s="1">
        <f t="shared" si="106"/>
        <v>2880</v>
      </c>
      <c r="CJ182" s="1">
        <f t="shared" si="107"/>
        <v>0.20899999999999999</v>
      </c>
      <c r="CK182" s="1">
        <f t="shared" si="108"/>
        <v>0.253</v>
      </c>
      <c r="CL182" s="1">
        <f t="shared" si="109"/>
        <v>0.16200000000000001</v>
      </c>
      <c r="CM182" s="1">
        <f t="shared" si="110"/>
        <v>4.4999999999999998E-2</v>
      </c>
      <c r="CN182" s="1">
        <f t="shared" si="111"/>
        <v>1.7999999999999999E-2</v>
      </c>
      <c r="CO182" s="1">
        <f t="shared" si="112"/>
        <v>2.7E-2</v>
      </c>
      <c r="CP182" s="1">
        <f t="shared" si="113"/>
        <v>0.105</v>
      </c>
      <c r="CQ182" s="1">
        <f t="shared" si="114"/>
        <v>0.18</v>
      </c>
      <c r="CS182" s="1">
        <f t="shared" si="145"/>
        <v>7.5999999999999979</v>
      </c>
      <c r="CT182" s="1">
        <f t="shared" si="146"/>
        <v>-1.9000000000000004</v>
      </c>
    </row>
    <row r="183" spans="1:98" x14ac:dyDescent="0.2">
      <c r="A183" s="8">
        <f t="shared" si="143"/>
        <v>44008</v>
      </c>
      <c r="B183" s="1">
        <v>178</v>
      </c>
      <c r="C183" s="1">
        <v>11</v>
      </c>
      <c r="D183" s="2">
        <v>12.98</v>
      </c>
      <c r="E183" s="2">
        <v>19.97</v>
      </c>
      <c r="F183" s="2">
        <v>5.0970000000000004</v>
      </c>
      <c r="G183" s="2">
        <v>12.45</v>
      </c>
      <c r="H183" s="2">
        <v>61.35</v>
      </c>
      <c r="I183" s="2">
        <v>12</v>
      </c>
      <c r="J183" s="2">
        <v>12.04</v>
      </c>
      <c r="K183" s="2">
        <v>13.19</v>
      </c>
      <c r="L183" s="2">
        <v>11.77</v>
      </c>
      <c r="M183" s="2">
        <v>8.07</v>
      </c>
      <c r="N183" s="2">
        <v>17.66</v>
      </c>
      <c r="O183" s="2">
        <v>87.4</v>
      </c>
      <c r="P183" s="2">
        <v>24.3</v>
      </c>
      <c r="Q183" s="2">
        <v>21.71</v>
      </c>
      <c r="R183" s="2">
        <v>24.51</v>
      </c>
      <c r="S183" s="2">
        <v>12.89</v>
      </c>
      <c r="T183" s="2">
        <v>8.26</v>
      </c>
      <c r="U183" s="2">
        <v>6.7590000000000003</v>
      </c>
      <c r="V183" s="2">
        <v>37.450000000000003</v>
      </c>
      <c r="W183" s="2">
        <v>3.855</v>
      </c>
      <c r="X183" s="2">
        <v>4.8010000000000002</v>
      </c>
      <c r="Y183" s="2">
        <v>6.282</v>
      </c>
      <c r="Z183" s="2">
        <v>10.79</v>
      </c>
      <c r="AA183" s="2">
        <v>7.78</v>
      </c>
      <c r="AB183" s="2">
        <v>2.6339999999999999</v>
      </c>
      <c r="AC183" s="2">
        <v>0.76200000000000001</v>
      </c>
      <c r="AD183" s="2">
        <v>16.440000000000001</v>
      </c>
      <c r="AE183" s="2">
        <v>2.8439999999999999</v>
      </c>
      <c r="AF183" s="2">
        <v>1.8380000000000001</v>
      </c>
      <c r="AG183" s="2">
        <v>6.3659999999999997</v>
      </c>
      <c r="AH183" s="2">
        <v>12.73</v>
      </c>
      <c r="AI183" s="2">
        <v>25.85</v>
      </c>
      <c r="AJ183" s="2">
        <v>4.859</v>
      </c>
      <c r="AK183" s="2">
        <v>20.94</v>
      </c>
      <c r="AL183" s="2">
        <v>6.46</v>
      </c>
      <c r="AM183" s="2">
        <v>2.6019999999999999</v>
      </c>
      <c r="AN183" s="2" t="s">
        <v>122</v>
      </c>
      <c r="AO183" s="2">
        <v>695</v>
      </c>
      <c r="AP183" s="2">
        <v>230</v>
      </c>
      <c r="AQ183" s="2">
        <v>84</v>
      </c>
      <c r="AR183" s="2">
        <v>18</v>
      </c>
      <c r="AS183" s="2">
        <v>30</v>
      </c>
      <c r="AT183" s="2">
        <v>163</v>
      </c>
      <c r="AU183" s="2">
        <v>668</v>
      </c>
      <c r="AV183" s="2">
        <v>991</v>
      </c>
      <c r="AW183" s="2"/>
      <c r="AX183" s="2">
        <v>0</v>
      </c>
      <c r="AY183" s="26"/>
      <c r="AZ183" s="5">
        <v>33.18</v>
      </c>
      <c r="BA183" s="1">
        <v>16.440000000000001</v>
      </c>
      <c r="BB183" s="1">
        <v>2.62</v>
      </c>
      <c r="BC183" s="6">
        <f t="shared" si="144"/>
        <v>0.15936739659367397</v>
      </c>
      <c r="BE183" s="30">
        <v>0.76200000000000001</v>
      </c>
      <c r="BF183" s="27">
        <v>0</v>
      </c>
      <c r="BG183" s="1">
        <f t="shared" si="117"/>
        <v>87.4</v>
      </c>
      <c r="BH183" s="1">
        <f t="shared" si="118"/>
        <v>61.4</v>
      </c>
      <c r="BI183" s="1">
        <f t="shared" si="119"/>
        <v>37.5</v>
      </c>
      <c r="BJ183" s="7">
        <f t="shared" si="120"/>
        <v>0.75700000000000001</v>
      </c>
      <c r="BK183" s="7">
        <f t="shared" si="121"/>
        <v>1.262</v>
      </c>
      <c r="BM183" s="5">
        <f t="shared" si="122"/>
        <v>16.440000000000001</v>
      </c>
      <c r="BN183" s="5">
        <f t="shared" si="123"/>
        <v>2.62</v>
      </c>
      <c r="BO183" s="1">
        <f t="shared" si="124"/>
        <v>12.5</v>
      </c>
      <c r="BP183" s="1">
        <f t="shared" si="125"/>
        <v>17.7</v>
      </c>
      <c r="BQ183" s="1">
        <f t="shared" si="126"/>
        <v>6.8</v>
      </c>
      <c r="BR183" s="1">
        <f t="shared" si="127"/>
        <v>61.4</v>
      </c>
      <c r="BS183" s="1">
        <f t="shared" si="128"/>
        <v>37.5</v>
      </c>
      <c r="BT183" s="1">
        <f t="shared" si="129"/>
        <v>1.8</v>
      </c>
      <c r="BU183" s="1">
        <f t="shared" si="130"/>
        <v>6.4</v>
      </c>
      <c r="BV183" s="33">
        <f t="shared" si="131"/>
        <v>0.76200000000000001</v>
      </c>
      <c r="BW183" s="26">
        <f t="shared" si="148"/>
        <v>0</v>
      </c>
      <c r="BX183" s="20" t="str">
        <f t="shared" si="133"/>
        <v>NAN</v>
      </c>
      <c r="BY183" s="1">
        <f t="shared" si="134"/>
        <v>12.7</v>
      </c>
      <c r="BZ183" s="1">
        <f t="shared" si="135"/>
        <v>25.9</v>
      </c>
      <c r="CA183" s="1">
        <f t="shared" si="136"/>
        <v>4.9000000000000004</v>
      </c>
      <c r="CB183" s="1">
        <f t="shared" si="137"/>
        <v>13.2</v>
      </c>
      <c r="CC183" s="1">
        <f t="shared" si="138"/>
        <v>11.8</v>
      </c>
      <c r="CD183" s="1">
        <f t="shared" si="139"/>
        <v>8.1</v>
      </c>
      <c r="CE183" s="1" t="str">
        <f t="shared" si="140"/>
        <v>NAN</v>
      </c>
      <c r="CF183" s="1">
        <f t="shared" si="141"/>
        <v>0.75700000000000001</v>
      </c>
      <c r="CG183" s="1">
        <f t="shared" si="142"/>
        <v>1.262</v>
      </c>
      <c r="CI183" s="1">
        <f t="shared" si="106"/>
        <v>2879</v>
      </c>
      <c r="CJ183" s="1">
        <f t="shared" si="107"/>
        <v>0.24099999999999999</v>
      </c>
      <c r="CK183" s="1">
        <f t="shared" si="108"/>
        <v>0.08</v>
      </c>
      <c r="CL183" s="1">
        <f t="shared" si="109"/>
        <v>2.9000000000000001E-2</v>
      </c>
      <c r="CM183" s="1">
        <f t="shared" si="110"/>
        <v>6.0000000000000001E-3</v>
      </c>
      <c r="CN183" s="1">
        <f t="shared" si="111"/>
        <v>0.01</v>
      </c>
      <c r="CO183" s="1">
        <f t="shared" si="112"/>
        <v>5.7000000000000002E-2</v>
      </c>
      <c r="CP183" s="1">
        <f t="shared" si="113"/>
        <v>0.23200000000000001</v>
      </c>
      <c r="CQ183" s="1">
        <f t="shared" si="114"/>
        <v>0.34399999999999997</v>
      </c>
      <c r="CS183" s="1">
        <f t="shared" si="145"/>
        <v>8.1999999999999993</v>
      </c>
      <c r="CT183" s="1">
        <f t="shared" si="146"/>
        <v>-1.8999999999999995</v>
      </c>
    </row>
    <row r="184" spans="1:98" x14ac:dyDescent="0.2">
      <c r="A184" s="8">
        <f t="shared" si="143"/>
        <v>44009</v>
      </c>
      <c r="B184" s="1">
        <v>179</v>
      </c>
      <c r="C184" s="1">
        <v>11</v>
      </c>
      <c r="D184" s="2">
        <v>12.99</v>
      </c>
      <c r="E184" s="2">
        <v>13.82</v>
      </c>
      <c r="F184" s="2">
        <v>2.395</v>
      </c>
      <c r="G184" s="2">
        <v>6.181</v>
      </c>
      <c r="H184" s="2">
        <v>78.38</v>
      </c>
      <c r="I184" s="2">
        <v>7.3049999999999997</v>
      </c>
      <c r="J184" s="2">
        <v>6.6139999999999999</v>
      </c>
      <c r="K184" s="2">
        <v>11.03</v>
      </c>
      <c r="L184" s="2">
        <v>10.77</v>
      </c>
      <c r="M184" s="2">
        <v>8.16</v>
      </c>
      <c r="N184" s="2">
        <v>12.36</v>
      </c>
      <c r="O184" s="2">
        <v>96.5</v>
      </c>
      <c r="P184" s="2">
        <v>20.5</v>
      </c>
      <c r="Q184" s="2">
        <v>17.47</v>
      </c>
      <c r="R184" s="2">
        <v>26.2</v>
      </c>
      <c r="S184" s="2">
        <v>11.78</v>
      </c>
      <c r="T184" s="2">
        <v>8.3699999999999992</v>
      </c>
      <c r="U184" s="2">
        <v>2.46</v>
      </c>
      <c r="V184" s="2">
        <v>44.29</v>
      </c>
      <c r="W184" s="2">
        <v>0.39200000000000002</v>
      </c>
      <c r="X184" s="2">
        <v>1.54</v>
      </c>
      <c r="Y184" s="2">
        <v>4.2789999999999999</v>
      </c>
      <c r="Z184" s="2">
        <v>9.83</v>
      </c>
      <c r="AA184" s="2">
        <v>7.9710000000000001</v>
      </c>
      <c r="AB184" s="2">
        <v>2.177</v>
      </c>
      <c r="AC184" s="2">
        <v>2.032</v>
      </c>
      <c r="AD184" s="2">
        <v>19.23</v>
      </c>
      <c r="AE184" s="2">
        <v>3.4220000000000002</v>
      </c>
      <c r="AF184" s="2">
        <v>1.4390000000000001</v>
      </c>
      <c r="AG184" s="2">
        <v>4.6109999999999998</v>
      </c>
      <c r="AH184" s="2">
        <v>7.99</v>
      </c>
      <c r="AI184" s="2">
        <v>22.39</v>
      </c>
      <c r="AJ184" s="2">
        <v>2.5259999999999998</v>
      </c>
      <c r="AK184" s="2">
        <v>15.54</v>
      </c>
      <c r="AL184" s="2">
        <v>2.298</v>
      </c>
      <c r="AM184" s="2">
        <v>2.1659999999999999</v>
      </c>
      <c r="AN184" s="2" t="s">
        <v>122</v>
      </c>
      <c r="AO184" s="2">
        <v>806</v>
      </c>
      <c r="AP184" s="2">
        <v>437</v>
      </c>
      <c r="AQ184" s="2">
        <v>146</v>
      </c>
      <c r="AR184" s="2">
        <v>57</v>
      </c>
      <c r="AS184" s="2">
        <v>44</v>
      </c>
      <c r="AT184" s="2">
        <v>174</v>
      </c>
      <c r="AU184" s="2">
        <v>481</v>
      </c>
      <c r="AV184" s="2">
        <v>735</v>
      </c>
      <c r="AW184" s="2"/>
      <c r="AX184" s="2">
        <v>0</v>
      </c>
      <c r="AY184" s="26"/>
      <c r="AZ184" s="5">
        <v>33.14</v>
      </c>
      <c r="BA184" s="1">
        <v>19.23</v>
      </c>
      <c r="BB184" s="1">
        <v>3.15</v>
      </c>
      <c r="BC184" s="6">
        <f t="shared" si="144"/>
        <v>0.16380655226209048</v>
      </c>
      <c r="BE184" s="30">
        <v>2.032</v>
      </c>
      <c r="BF184" s="27">
        <v>0</v>
      </c>
      <c r="BG184" s="1">
        <f t="shared" si="117"/>
        <v>96.5</v>
      </c>
      <c r="BH184" s="1">
        <f t="shared" si="118"/>
        <v>78.400000000000006</v>
      </c>
      <c r="BI184" s="1">
        <f t="shared" si="119"/>
        <v>44.3</v>
      </c>
      <c r="BJ184" s="7">
        <f t="shared" si="120"/>
        <v>0.63600000000000001</v>
      </c>
      <c r="BK184" s="7">
        <f t="shared" si="121"/>
        <v>0.8</v>
      </c>
      <c r="BM184" s="5">
        <f t="shared" si="122"/>
        <v>19.23</v>
      </c>
      <c r="BN184" s="5">
        <f t="shared" si="123"/>
        <v>3.15</v>
      </c>
      <c r="BO184" s="1">
        <f t="shared" si="124"/>
        <v>6.2</v>
      </c>
      <c r="BP184" s="1">
        <f t="shared" si="125"/>
        <v>12.4</v>
      </c>
      <c r="BQ184" s="1">
        <f t="shared" si="126"/>
        <v>2.5</v>
      </c>
      <c r="BR184" s="1">
        <f t="shared" si="127"/>
        <v>78.400000000000006</v>
      </c>
      <c r="BS184" s="1">
        <f t="shared" si="128"/>
        <v>44.3</v>
      </c>
      <c r="BT184" s="1">
        <f t="shared" si="129"/>
        <v>1.4</v>
      </c>
      <c r="BU184" s="1">
        <f t="shared" si="130"/>
        <v>4.5999999999999996</v>
      </c>
      <c r="BV184" s="33">
        <f t="shared" si="131"/>
        <v>2.032</v>
      </c>
      <c r="BW184" s="26">
        <f t="shared" si="148"/>
        <v>0</v>
      </c>
      <c r="BX184" s="20" t="str">
        <f t="shared" si="133"/>
        <v>NAN</v>
      </c>
      <c r="BY184" s="1">
        <f t="shared" si="134"/>
        <v>8</v>
      </c>
      <c r="BZ184" s="1">
        <f t="shared" si="135"/>
        <v>22.4</v>
      </c>
      <c r="CA184" s="1">
        <f t="shared" si="136"/>
        <v>2.5</v>
      </c>
      <c r="CB184" s="1">
        <f t="shared" si="137"/>
        <v>11</v>
      </c>
      <c r="CC184" s="1">
        <f t="shared" si="138"/>
        <v>10.8</v>
      </c>
      <c r="CD184" s="1">
        <f t="shared" si="139"/>
        <v>8.1999999999999993</v>
      </c>
      <c r="CE184" s="1" t="str">
        <f t="shared" si="140"/>
        <v>NAN</v>
      </c>
      <c r="CF184" s="1">
        <f t="shared" si="141"/>
        <v>0.63600000000000001</v>
      </c>
      <c r="CG184" s="1">
        <f t="shared" si="142"/>
        <v>0.8</v>
      </c>
      <c r="CI184" s="1">
        <f t="shared" si="106"/>
        <v>2880</v>
      </c>
      <c r="CJ184" s="1">
        <f t="shared" si="107"/>
        <v>0.28000000000000003</v>
      </c>
      <c r="CK184" s="1">
        <f t="shared" si="108"/>
        <v>0.152</v>
      </c>
      <c r="CL184" s="1">
        <f t="shared" si="109"/>
        <v>5.0999999999999997E-2</v>
      </c>
      <c r="CM184" s="1">
        <f t="shared" si="110"/>
        <v>0.02</v>
      </c>
      <c r="CN184" s="1">
        <f t="shared" si="111"/>
        <v>1.4999999999999999E-2</v>
      </c>
      <c r="CO184" s="1">
        <f t="shared" si="112"/>
        <v>0.06</v>
      </c>
      <c r="CP184" s="1">
        <f t="shared" si="113"/>
        <v>0.16700000000000001</v>
      </c>
      <c r="CQ184" s="1">
        <f t="shared" si="114"/>
        <v>0.255</v>
      </c>
      <c r="CS184" s="1">
        <f t="shared" si="145"/>
        <v>9.9999999999999982</v>
      </c>
      <c r="CT184" s="1">
        <f t="shared" si="146"/>
        <v>0</v>
      </c>
    </row>
    <row r="185" spans="1:98" x14ac:dyDescent="0.2">
      <c r="A185" s="8">
        <f t="shared" si="143"/>
        <v>44010</v>
      </c>
      <c r="B185" s="1">
        <v>180</v>
      </c>
      <c r="C185" s="1">
        <v>11</v>
      </c>
      <c r="D185" s="2">
        <v>13.03</v>
      </c>
      <c r="E185" s="2">
        <v>9.73</v>
      </c>
      <c r="F185" s="2">
        <v>2.1619999999999999</v>
      </c>
      <c r="G185" s="2">
        <v>4.5890000000000004</v>
      </c>
      <c r="H185" s="2">
        <v>93.4</v>
      </c>
      <c r="I185" s="2">
        <v>5.1139999999999999</v>
      </c>
      <c r="J185" s="2">
        <v>4.6580000000000004</v>
      </c>
      <c r="K185" s="2">
        <v>8.52</v>
      </c>
      <c r="L185" s="2">
        <v>9.4700000000000006</v>
      </c>
      <c r="M185" s="2">
        <v>8</v>
      </c>
      <c r="N185" s="2">
        <v>9.59</v>
      </c>
      <c r="O185" s="2">
        <v>97.3</v>
      </c>
      <c r="P185" s="2">
        <v>15.1</v>
      </c>
      <c r="Q185" s="2">
        <v>12.37</v>
      </c>
      <c r="R185" s="2">
        <v>17.079999999999998</v>
      </c>
      <c r="S185" s="2">
        <v>10.78</v>
      </c>
      <c r="T185" s="2">
        <v>8.17</v>
      </c>
      <c r="U185" s="2">
        <v>2.0870000000000002</v>
      </c>
      <c r="V185" s="2">
        <v>73.98</v>
      </c>
      <c r="W185" s="2">
        <v>2.1800000000000002</v>
      </c>
      <c r="X185" s="2">
        <v>2.008</v>
      </c>
      <c r="Y185" s="2">
        <v>4.96</v>
      </c>
      <c r="Z185" s="2">
        <v>8.89</v>
      </c>
      <c r="AA185" s="2">
        <v>7.7729999999999997</v>
      </c>
      <c r="AB185" s="2">
        <v>2.6429999999999998</v>
      </c>
      <c r="AC185" s="2">
        <v>2.54</v>
      </c>
      <c r="AD185" s="2">
        <v>8.5399999999999991</v>
      </c>
      <c r="AE185" s="2">
        <v>1.5760000000000001</v>
      </c>
      <c r="AF185" s="2">
        <v>1.19</v>
      </c>
      <c r="AG185" s="2">
        <v>4.4240000000000004</v>
      </c>
      <c r="AH185" s="2">
        <v>5.319</v>
      </c>
      <c r="AI185" s="2">
        <v>16.04</v>
      </c>
      <c r="AJ185" s="2">
        <v>1.978</v>
      </c>
      <c r="AK185" s="2">
        <v>12.89</v>
      </c>
      <c r="AL185" s="2">
        <v>1.8979999999999999</v>
      </c>
      <c r="AM185" s="2">
        <v>2.6150000000000002</v>
      </c>
      <c r="AN185" s="2" t="s">
        <v>122</v>
      </c>
      <c r="AO185" s="2">
        <v>635</v>
      </c>
      <c r="AP185" s="2">
        <v>878</v>
      </c>
      <c r="AQ185" s="2">
        <v>481</v>
      </c>
      <c r="AR185" s="2">
        <v>180</v>
      </c>
      <c r="AS185" s="2">
        <v>100</v>
      </c>
      <c r="AT185" s="2">
        <v>135</v>
      </c>
      <c r="AU185" s="2">
        <v>180</v>
      </c>
      <c r="AV185" s="2">
        <v>291</v>
      </c>
      <c r="AW185" s="2"/>
      <c r="AX185" s="2">
        <v>0</v>
      </c>
      <c r="AY185" s="26"/>
      <c r="AZ185" s="5">
        <v>33.1</v>
      </c>
      <c r="BA185" s="1">
        <v>8.5399999999999991</v>
      </c>
      <c r="BB185" s="1">
        <v>1.45</v>
      </c>
      <c r="BC185" s="6">
        <f t="shared" si="144"/>
        <v>0.16978922716627637</v>
      </c>
      <c r="BE185" s="30">
        <v>2.54</v>
      </c>
      <c r="BF185" s="27">
        <v>0</v>
      </c>
      <c r="BG185" s="1">
        <f t="shared" si="117"/>
        <v>97.3</v>
      </c>
      <c r="BH185" s="1">
        <f t="shared" si="118"/>
        <v>93.4</v>
      </c>
      <c r="BI185" s="1">
        <f t="shared" si="119"/>
        <v>74</v>
      </c>
      <c r="BJ185" s="7">
        <f t="shared" si="120"/>
        <v>0.88400000000000001</v>
      </c>
      <c r="BK185" s="7">
        <f t="shared" si="121"/>
        <v>0.311</v>
      </c>
      <c r="BM185" s="5">
        <f t="shared" si="122"/>
        <v>8.5399999999999991</v>
      </c>
      <c r="BN185" s="5">
        <f t="shared" si="123"/>
        <v>1.45</v>
      </c>
      <c r="BO185" s="1">
        <f t="shared" si="124"/>
        <v>4.5999999999999996</v>
      </c>
      <c r="BP185" s="1">
        <f t="shared" si="125"/>
        <v>9.6</v>
      </c>
      <c r="BQ185" s="1">
        <f t="shared" si="126"/>
        <v>2.1</v>
      </c>
      <c r="BR185" s="1">
        <f t="shared" si="127"/>
        <v>93.4</v>
      </c>
      <c r="BS185" s="1">
        <f t="shared" si="128"/>
        <v>74</v>
      </c>
      <c r="BT185" s="1">
        <f t="shared" si="129"/>
        <v>1.2</v>
      </c>
      <c r="BU185" s="1">
        <f t="shared" si="130"/>
        <v>4.4000000000000004</v>
      </c>
      <c r="BV185" s="33">
        <f t="shared" si="131"/>
        <v>2.54</v>
      </c>
      <c r="BW185" s="26">
        <f t="shared" si="148"/>
        <v>0</v>
      </c>
      <c r="BX185" s="20" t="str">
        <f t="shared" si="133"/>
        <v>NAN</v>
      </c>
      <c r="BY185" s="1">
        <f t="shared" si="134"/>
        <v>5.3</v>
      </c>
      <c r="BZ185" s="1">
        <f t="shared" si="135"/>
        <v>16</v>
      </c>
      <c r="CA185" s="1">
        <f t="shared" si="136"/>
        <v>2</v>
      </c>
      <c r="CB185" s="1">
        <f t="shared" si="137"/>
        <v>8.5</v>
      </c>
      <c r="CC185" s="1">
        <f t="shared" si="138"/>
        <v>9.5</v>
      </c>
      <c r="CD185" s="1">
        <f t="shared" si="139"/>
        <v>8</v>
      </c>
      <c r="CE185" s="1" t="str">
        <f t="shared" si="140"/>
        <v>NAN</v>
      </c>
      <c r="CF185" s="1">
        <f t="shared" si="141"/>
        <v>0.88400000000000001</v>
      </c>
      <c r="CG185" s="1">
        <f t="shared" si="142"/>
        <v>0.311</v>
      </c>
      <c r="CI185" s="1">
        <f t="shared" si="106"/>
        <v>2880</v>
      </c>
      <c r="CJ185" s="1">
        <f t="shared" si="107"/>
        <v>0.22</v>
      </c>
      <c r="CK185" s="1">
        <f t="shared" si="108"/>
        <v>0.30499999999999999</v>
      </c>
      <c r="CL185" s="1">
        <f t="shared" si="109"/>
        <v>0.16700000000000001</v>
      </c>
      <c r="CM185" s="1">
        <f t="shared" si="110"/>
        <v>6.3E-2</v>
      </c>
      <c r="CN185" s="1">
        <f t="shared" si="111"/>
        <v>3.5000000000000003E-2</v>
      </c>
      <c r="CO185" s="1">
        <f t="shared" si="112"/>
        <v>4.7E-2</v>
      </c>
      <c r="CP185" s="1">
        <f t="shared" si="113"/>
        <v>6.3E-2</v>
      </c>
      <c r="CQ185" s="1">
        <f t="shared" si="114"/>
        <v>0.10100000000000001</v>
      </c>
      <c r="CS185" s="1">
        <f t="shared" si="145"/>
        <v>6.4</v>
      </c>
      <c r="CT185" s="1">
        <f t="shared" si="146"/>
        <v>-0.10000000000000009</v>
      </c>
    </row>
    <row r="186" spans="1:98" x14ac:dyDescent="0.2">
      <c r="A186" s="8">
        <f t="shared" si="143"/>
        <v>44011</v>
      </c>
      <c r="B186" s="1">
        <v>181</v>
      </c>
      <c r="C186" s="1">
        <v>11</v>
      </c>
      <c r="D186" s="2">
        <v>12.97</v>
      </c>
      <c r="E186" s="2">
        <v>19.149999999999999</v>
      </c>
      <c r="F186" s="2">
        <v>3.036</v>
      </c>
      <c r="G186" s="2">
        <v>9.4700000000000006</v>
      </c>
      <c r="H186" s="2">
        <v>71.91</v>
      </c>
      <c r="I186" s="2">
        <v>10.64</v>
      </c>
      <c r="J186" s="2">
        <v>9.73</v>
      </c>
      <c r="K186" s="2">
        <v>13.37</v>
      </c>
      <c r="L186" s="2">
        <v>9.6</v>
      </c>
      <c r="M186" s="2">
        <v>7.6779999999999999</v>
      </c>
      <c r="N186" s="2">
        <v>16.95</v>
      </c>
      <c r="O186" s="2">
        <v>95.1</v>
      </c>
      <c r="P186" s="2">
        <v>25.92</v>
      </c>
      <c r="Q186" s="2">
        <v>21.37</v>
      </c>
      <c r="R186" s="2">
        <v>32.9</v>
      </c>
      <c r="S186" s="2">
        <v>11.57</v>
      </c>
      <c r="T186" s="2">
        <v>7.8650000000000002</v>
      </c>
      <c r="U186" s="2">
        <v>4.6319999999999997</v>
      </c>
      <c r="V186" s="2">
        <v>39.08</v>
      </c>
      <c r="W186" s="2">
        <v>2.0310000000000001</v>
      </c>
      <c r="X186" s="2">
        <v>2.899</v>
      </c>
      <c r="Y186" s="2">
        <v>3.254</v>
      </c>
      <c r="Z186" s="2">
        <v>8.0500000000000007</v>
      </c>
      <c r="AA186" s="2">
        <v>7.44</v>
      </c>
      <c r="AB186" s="2">
        <v>2.1739999999999999</v>
      </c>
      <c r="AC186" s="2">
        <v>5.08</v>
      </c>
      <c r="AD186" s="2">
        <v>26.62</v>
      </c>
      <c r="AE186" s="2">
        <v>4.8639999999999999</v>
      </c>
      <c r="AF186" s="2">
        <v>1.4</v>
      </c>
      <c r="AG186" s="2">
        <v>4.0350000000000001</v>
      </c>
      <c r="AH186" s="2">
        <v>11.09</v>
      </c>
      <c r="AI186" s="2">
        <v>26</v>
      </c>
      <c r="AJ186" s="2">
        <v>3.0409999999999999</v>
      </c>
      <c r="AK186" s="2">
        <v>21.19</v>
      </c>
      <c r="AL186" s="2">
        <v>4.4109999999999996</v>
      </c>
      <c r="AM186" s="2">
        <v>2.1509999999999998</v>
      </c>
      <c r="AN186" s="2" t="s">
        <v>122</v>
      </c>
      <c r="AO186" s="2">
        <v>798</v>
      </c>
      <c r="AP186" s="2">
        <v>1087</v>
      </c>
      <c r="AQ186" s="2">
        <v>491</v>
      </c>
      <c r="AR186" s="2">
        <v>116</v>
      </c>
      <c r="AS186" s="2">
        <v>26</v>
      </c>
      <c r="AT186" s="2">
        <v>23</v>
      </c>
      <c r="AU186" s="2">
        <v>77</v>
      </c>
      <c r="AV186" s="2">
        <v>261</v>
      </c>
      <c r="AW186" s="2"/>
      <c r="AX186" s="2">
        <v>0</v>
      </c>
      <c r="AY186" s="26"/>
      <c r="AZ186" s="5">
        <v>33.049999999999997</v>
      </c>
      <c r="BA186" s="1">
        <v>26.62</v>
      </c>
      <c r="BB186" s="1">
        <v>4.47</v>
      </c>
      <c r="BC186" s="6">
        <f t="shared" si="144"/>
        <v>0.16791885800150261</v>
      </c>
      <c r="BE186" s="30">
        <v>5.08</v>
      </c>
      <c r="BF186" s="27">
        <v>0</v>
      </c>
      <c r="BG186" s="1">
        <f t="shared" si="117"/>
        <v>95.1</v>
      </c>
      <c r="BH186" s="1">
        <f t="shared" si="118"/>
        <v>71.900000000000006</v>
      </c>
      <c r="BI186" s="1">
        <f t="shared" si="119"/>
        <v>39.1</v>
      </c>
      <c r="BJ186" s="7">
        <f t="shared" si="120"/>
        <v>0.755</v>
      </c>
      <c r="BK186" s="7">
        <f t="shared" si="121"/>
        <v>1.1759999999999999</v>
      </c>
      <c r="BM186" s="5">
        <f t="shared" si="122"/>
        <v>26.62</v>
      </c>
      <c r="BN186" s="5">
        <f t="shared" si="123"/>
        <v>4.47</v>
      </c>
      <c r="BO186" s="1">
        <f t="shared" si="124"/>
        <v>9.5</v>
      </c>
      <c r="BP186" s="1">
        <f t="shared" si="125"/>
        <v>17</v>
      </c>
      <c r="BQ186" s="1">
        <f t="shared" si="126"/>
        <v>4.5999999999999996</v>
      </c>
      <c r="BR186" s="1">
        <f t="shared" si="127"/>
        <v>71.900000000000006</v>
      </c>
      <c r="BS186" s="1">
        <f t="shared" si="128"/>
        <v>39.1</v>
      </c>
      <c r="BT186" s="1">
        <f t="shared" si="129"/>
        <v>1.4</v>
      </c>
      <c r="BU186" s="1">
        <f t="shared" si="130"/>
        <v>4</v>
      </c>
      <c r="BV186" s="33">
        <f t="shared" si="131"/>
        <v>5.08</v>
      </c>
      <c r="BW186" s="26">
        <f t="shared" si="148"/>
        <v>0</v>
      </c>
      <c r="BX186" s="20" t="str">
        <f t="shared" si="133"/>
        <v>NAN</v>
      </c>
      <c r="BY186" s="1">
        <f t="shared" si="134"/>
        <v>11.1</v>
      </c>
      <c r="BZ186" s="1">
        <f t="shared" si="135"/>
        <v>26</v>
      </c>
      <c r="CA186" s="1">
        <f t="shared" si="136"/>
        <v>3</v>
      </c>
      <c r="CB186" s="1">
        <f t="shared" si="137"/>
        <v>13.4</v>
      </c>
      <c r="CC186" s="1">
        <f t="shared" si="138"/>
        <v>9.6</v>
      </c>
      <c r="CD186" s="1">
        <f t="shared" si="139"/>
        <v>7.7</v>
      </c>
      <c r="CE186" s="1" t="str">
        <f t="shared" si="140"/>
        <v>NAN</v>
      </c>
      <c r="CF186" s="1">
        <f t="shared" si="141"/>
        <v>0.755</v>
      </c>
      <c r="CG186" s="1">
        <f t="shared" si="142"/>
        <v>1.1759999999999999</v>
      </c>
      <c r="CI186" s="1">
        <f t="shared" si="106"/>
        <v>2879</v>
      </c>
      <c r="CJ186" s="1">
        <f t="shared" si="107"/>
        <v>0.27700000000000002</v>
      </c>
      <c r="CK186" s="1">
        <f t="shared" si="108"/>
        <v>0.378</v>
      </c>
      <c r="CL186" s="1">
        <f t="shared" si="109"/>
        <v>0.17100000000000001</v>
      </c>
      <c r="CM186" s="1">
        <f t="shared" si="110"/>
        <v>0.04</v>
      </c>
      <c r="CN186" s="1">
        <f t="shared" si="111"/>
        <v>8.9999999999999993E-3</v>
      </c>
      <c r="CO186" s="1">
        <f t="shared" si="112"/>
        <v>8.0000000000000002E-3</v>
      </c>
      <c r="CP186" s="1">
        <f t="shared" si="113"/>
        <v>2.7E-2</v>
      </c>
      <c r="CQ186" s="1">
        <f t="shared" si="114"/>
        <v>9.0999999999999998E-2</v>
      </c>
      <c r="CS186" s="1">
        <f t="shared" si="145"/>
        <v>9</v>
      </c>
      <c r="CT186" s="1">
        <f t="shared" si="146"/>
        <v>-1.5999999999999996</v>
      </c>
    </row>
    <row r="187" spans="1:98" x14ac:dyDescent="0.2">
      <c r="A187" s="8">
        <f t="shared" si="143"/>
        <v>44012</v>
      </c>
      <c r="B187" s="1">
        <v>182</v>
      </c>
      <c r="C187" s="1">
        <v>11</v>
      </c>
      <c r="D187" s="2">
        <v>12.94</v>
      </c>
      <c r="E187" s="2">
        <v>10.4</v>
      </c>
      <c r="F187" s="2">
        <v>3.1219999999999999</v>
      </c>
      <c r="G187" s="2">
        <v>5.83</v>
      </c>
      <c r="H187" s="2">
        <v>90.3</v>
      </c>
      <c r="I187" s="2">
        <v>6.4050000000000002</v>
      </c>
      <c r="J187" s="2">
        <v>5.798</v>
      </c>
      <c r="K187" s="2">
        <v>10.46</v>
      </c>
      <c r="L187" s="2">
        <v>10.050000000000001</v>
      </c>
      <c r="M187" s="2">
        <v>7.8</v>
      </c>
      <c r="N187" s="2">
        <v>9.16</v>
      </c>
      <c r="O187" s="2">
        <v>96.8</v>
      </c>
      <c r="P187" s="2">
        <v>14.86</v>
      </c>
      <c r="Q187" s="2">
        <v>12.35</v>
      </c>
      <c r="R187" s="2">
        <v>21.47</v>
      </c>
      <c r="S187" s="2">
        <v>11.16</v>
      </c>
      <c r="T187" s="2">
        <v>7.9820000000000002</v>
      </c>
      <c r="U187" s="2">
        <v>3.07</v>
      </c>
      <c r="V187" s="2">
        <v>76.260000000000005</v>
      </c>
      <c r="W187" s="2">
        <v>2.1120000000000001</v>
      </c>
      <c r="X187" s="2">
        <v>2.8330000000000002</v>
      </c>
      <c r="Y187" s="2">
        <v>5.7380000000000004</v>
      </c>
      <c r="Z187" s="2">
        <v>9.39</v>
      </c>
      <c r="AA187" s="2">
        <v>7.6050000000000004</v>
      </c>
      <c r="AB187" s="2">
        <v>2.2480000000000002</v>
      </c>
      <c r="AC187" s="2">
        <v>7.8739999999999997</v>
      </c>
      <c r="AD187" s="2">
        <v>12.41</v>
      </c>
      <c r="AE187" s="2">
        <v>2.0720000000000001</v>
      </c>
      <c r="AF187" s="2">
        <v>1.1100000000000001</v>
      </c>
      <c r="AG187" s="2">
        <v>3.97</v>
      </c>
      <c r="AH187" s="2">
        <v>6.8970000000000002</v>
      </c>
      <c r="AI187" s="2">
        <v>16.71</v>
      </c>
      <c r="AJ187" s="2">
        <v>3.29</v>
      </c>
      <c r="AK187" s="2">
        <v>11.79</v>
      </c>
      <c r="AL187" s="2">
        <v>2.8730000000000002</v>
      </c>
      <c r="AM187" s="2">
        <v>2.2349999999999999</v>
      </c>
      <c r="AN187" s="2" t="s">
        <v>122</v>
      </c>
      <c r="AO187" s="2">
        <v>1051</v>
      </c>
      <c r="AP187" s="2">
        <v>522</v>
      </c>
      <c r="AQ187" s="2">
        <v>169</v>
      </c>
      <c r="AR187" s="2">
        <v>34</v>
      </c>
      <c r="AS187" s="2">
        <v>54</v>
      </c>
      <c r="AT187" s="2">
        <v>99</v>
      </c>
      <c r="AU187" s="2">
        <v>228</v>
      </c>
      <c r="AV187" s="2">
        <v>723</v>
      </c>
      <c r="AW187" s="2"/>
      <c r="AX187" s="2">
        <v>0</v>
      </c>
      <c r="AY187" s="26"/>
      <c r="AZ187" s="5">
        <v>33</v>
      </c>
      <c r="BA187" s="1">
        <v>12.41</v>
      </c>
      <c r="BB187" s="1">
        <v>1.91</v>
      </c>
      <c r="BC187" s="6">
        <f t="shared" si="144"/>
        <v>0.15390813859790492</v>
      </c>
      <c r="BE187" s="30">
        <v>7.8739999999999997</v>
      </c>
      <c r="BF187" s="27">
        <v>0</v>
      </c>
      <c r="BG187" s="1">
        <f t="shared" si="117"/>
        <v>96.8</v>
      </c>
      <c r="BH187" s="1">
        <f t="shared" si="118"/>
        <v>90.3</v>
      </c>
      <c r="BI187" s="1">
        <f t="shared" si="119"/>
        <v>76.3</v>
      </c>
      <c r="BJ187" s="7">
        <f t="shared" si="120"/>
        <v>0.88500000000000001</v>
      </c>
      <c r="BK187" s="7">
        <f t="shared" si="121"/>
        <v>0.27500000000000002</v>
      </c>
      <c r="BM187" s="5">
        <f t="shared" si="122"/>
        <v>12.41</v>
      </c>
      <c r="BN187" s="5">
        <f t="shared" si="123"/>
        <v>1.91</v>
      </c>
      <c r="BO187" s="1">
        <f t="shared" si="124"/>
        <v>5.8</v>
      </c>
      <c r="BP187" s="1">
        <f t="shared" si="125"/>
        <v>9.1999999999999993</v>
      </c>
      <c r="BQ187" s="1">
        <f t="shared" si="126"/>
        <v>3.1</v>
      </c>
      <c r="BR187" s="1">
        <f t="shared" si="127"/>
        <v>90.3</v>
      </c>
      <c r="BS187" s="1">
        <f t="shared" si="128"/>
        <v>76.3</v>
      </c>
      <c r="BT187" s="1">
        <f t="shared" si="129"/>
        <v>1.1000000000000001</v>
      </c>
      <c r="BU187" s="1">
        <f t="shared" si="130"/>
        <v>4</v>
      </c>
      <c r="BV187" s="33">
        <f t="shared" si="131"/>
        <v>7.8739999999999997</v>
      </c>
      <c r="BW187" s="26">
        <f t="shared" si="148"/>
        <v>0</v>
      </c>
      <c r="BX187" s="20" t="str">
        <f t="shared" si="133"/>
        <v>NAN</v>
      </c>
      <c r="BY187" s="1">
        <f t="shared" si="134"/>
        <v>6.9</v>
      </c>
      <c r="BZ187" s="1">
        <f t="shared" si="135"/>
        <v>16.7</v>
      </c>
      <c r="CA187" s="1">
        <f t="shared" si="136"/>
        <v>3.3</v>
      </c>
      <c r="CB187" s="1">
        <f t="shared" si="137"/>
        <v>10.5</v>
      </c>
      <c r="CC187" s="1">
        <f t="shared" si="138"/>
        <v>10.1</v>
      </c>
      <c r="CD187" s="1">
        <f t="shared" si="139"/>
        <v>7.8</v>
      </c>
      <c r="CE187" s="1" t="str">
        <f t="shared" si="140"/>
        <v>NAN</v>
      </c>
      <c r="CF187" s="1">
        <f t="shared" si="141"/>
        <v>0.88500000000000001</v>
      </c>
      <c r="CG187" s="1">
        <f t="shared" si="142"/>
        <v>0.27500000000000002</v>
      </c>
      <c r="CI187" s="1">
        <f t="shared" si="106"/>
        <v>2880</v>
      </c>
      <c r="CJ187" s="1">
        <f t="shared" si="107"/>
        <v>0.36499999999999999</v>
      </c>
      <c r="CK187" s="1">
        <f t="shared" si="108"/>
        <v>0.18099999999999999</v>
      </c>
      <c r="CL187" s="1">
        <f t="shared" si="109"/>
        <v>5.8999999999999997E-2</v>
      </c>
      <c r="CM187" s="1">
        <f t="shared" si="110"/>
        <v>1.2E-2</v>
      </c>
      <c r="CN187" s="1">
        <f t="shared" si="111"/>
        <v>1.9E-2</v>
      </c>
      <c r="CO187" s="1">
        <f t="shared" si="112"/>
        <v>3.4000000000000002E-2</v>
      </c>
      <c r="CP187" s="1">
        <f t="shared" si="113"/>
        <v>7.9000000000000001E-2</v>
      </c>
      <c r="CQ187" s="1">
        <f t="shared" si="114"/>
        <v>0.251</v>
      </c>
      <c r="CS187" s="1">
        <f t="shared" si="145"/>
        <v>7.5</v>
      </c>
      <c r="CT187" s="1">
        <f t="shared" si="146"/>
        <v>0.19999999999999973</v>
      </c>
    </row>
    <row r="188" spans="1:98" x14ac:dyDescent="0.2">
      <c r="A188" s="8">
        <f t="shared" si="143"/>
        <v>44013</v>
      </c>
      <c r="B188" s="1">
        <v>183</v>
      </c>
      <c r="C188" s="1">
        <v>11</v>
      </c>
      <c r="D188" s="2">
        <v>12.99</v>
      </c>
      <c r="E188" s="2">
        <v>7.0709999999999997</v>
      </c>
      <c r="F188" s="2">
        <v>1.373</v>
      </c>
      <c r="G188" s="2">
        <v>3.21</v>
      </c>
      <c r="H188" s="2">
        <v>94.2</v>
      </c>
      <c r="I188" s="2">
        <v>4.0640000000000001</v>
      </c>
      <c r="J188" s="2">
        <v>3.47</v>
      </c>
      <c r="K188" s="2">
        <v>7.9660000000000002</v>
      </c>
      <c r="L188" s="2">
        <v>9.1999999999999993</v>
      </c>
      <c r="M188" s="2">
        <v>7.7809999999999997</v>
      </c>
      <c r="N188" s="2">
        <v>6.1479999999999997</v>
      </c>
      <c r="O188" s="2">
        <v>97</v>
      </c>
      <c r="P188" s="2">
        <v>10.66</v>
      </c>
      <c r="Q188" s="2">
        <v>8.83</v>
      </c>
      <c r="R188" s="2">
        <v>14.2</v>
      </c>
      <c r="S188" s="2">
        <v>10.1</v>
      </c>
      <c r="T188" s="2">
        <v>7.9119999999999999</v>
      </c>
      <c r="U188" s="2">
        <v>1.446</v>
      </c>
      <c r="V188" s="2">
        <v>82.4</v>
      </c>
      <c r="W188" s="2">
        <v>1.0029999999999999</v>
      </c>
      <c r="X188" s="2">
        <v>1.1639999999999999</v>
      </c>
      <c r="Y188" s="2">
        <v>4.2619999999999996</v>
      </c>
      <c r="Z188" s="2">
        <v>8.6999999999999993</v>
      </c>
      <c r="AA188" s="2">
        <v>7.6139999999999999</v>
      </c>
      <c r="AB188" s="2">
        <v>2.63</v>
      </c>
      <c r="AC188" s="2">
        <v>14.48</v>
      </c>
      <c r="AD188" s="2">
        <v>9.75</v>
      </c>
      <c r="AE188" s="2">
        <v>1.6539999999999999</v>
      </c>
      <c r="AF188" s="2">
        <v>1.7529999999999999</v>
      </c>
      <c r="AG188" s="2">
        <v>5.6420000000000003</v>
      </c>
      <c r="AH188" s="2">
        <v>4.3780000000000001</v>
      </c>
      <c r="AI188" s="2">
        <v>12.25</v>
      </c>
      <c r="AJ188" s="2">
        <v>1.5149999999999999</v>
      </c>
      <c r="AK188" s="2">
        <v>7.415</v>
      </c>
      <c r="AL188" s="2">
        <v>1.1739999999999999</v>
      </c>
      <c r="AM188" s="2">
        <v>2.6179999999999999</v>
      </c>
      <c r="AN188" s="2" t="s">
        <v>122</v>
      </c>
      <c r="AO188" s="2">
        <v>648</v>
      </c>
      <c r="AP188" s="2">
        <v>182</v>
      </c>
      <c r="AQ188" s="2">
        <v>63</v>
      </c>
      <c r="AR188" s="2">
        <v>32</v>
      </c>
      <c r="AS188" s="2">
        <v>60</v>
      </c>
      <c r="AT188" s="2">
        <v>211</v>
      </c>
      <c r="AU188" s="2">
        <v>660</v>
      </c>
      <c r="AV188" s="2">
        <v>1024</v>
      </c>
      <c r="AW188" s="2"/>
      <c r="AX188" s="2">
        <v>0</v>
      </c>
      <c r="AY188" s="26"/>
      <c r="AZ188" s="5">
        <v>32.950000000000003</v>
      </c>
      <c r="BA188" s="1">
        <v>9.75</v>
      </c>
      <c r="BB188" s="1">
        <v>1.52</v>
      </c>
      <c r="BC188" s="6">
        <f t="shared" si="144"/>
        <v>0.1558974358974359</v>
      </c>
      <c r="BE188" s="30">
        <v>14.478</v>
      </c>
      <c r="BF188" s="27">
        <v>0</v>
      </c>
      <c r="BG188" s="1">
        <f t="shared" si="117"/>
        <v>97</v>
      </c>
      <c r="BH188" s="1">
        <f t="shared" si="118"/>
        <v>94.2</v>
      </c>
      <c r="BI188" s="1">
        <f t="shared" si="119"/>
        <v>82.4</v>
      </c>
      <c r="BJ188" s="7">
        <f t="shared" si="120"/>
        <v>0.77800000000000002</v>
      </c>
      <c r="BK188" s="7">
        <f t="shared" si="121"/>
        <v>0.16600000000000001</v>
      </c>
      <c r="BM188" s="5">
        <f t="shared" si="122"/>
        <v>9.75</v>
      </c>
      <c r="BN188" s="5">
        <f t="shared" si="123"/>
        <v>1.52</v>
      </c>
      <c r="BO188" s="1">
        <f t="shared" si="124"/>
        <v>3.2</v>
      </c>
      <c r="BP188" s="1">
        <f t="shared" si="125"/>
        <v>6.1</v>
      </c>
      <c r="BQ188" s="1">
        <f t="shared" si="126"/>
        <v>1.4</v>
      </c>
      <c r="BR188" s="1">
        <f t="shared" si="127"/>
        <v>94.2</v>
      </c>
      <c r="BS188" s="1">
        <f t="shared" si="128"/>
        <v>82.4</v>
      </c>
      <c r="BT188" s="1">
        <f t="shared" si="129"/>
        <v>1.8</v>
      </c>
      <c r="BU188" s="1">
        <f t="shared" si="130"/>
        <v>5.6</v>
      </c>
      <c r="BV188" s="33">
        <f t="shared" si="131"/>
        <v>14.478</v>
      </c>
      <c r="BW188" s="26">
        <f t="shared" si="148"/>
        <v>0</v>
      </c>
      <c r="BX188" s="20" t="str">
        <f t="shared" si="133"/>
        <v>NAN</v>
      </c>
      <c r="BY188" s="1">
        <f t="shared" si="134"/>
        <v>4.4000000000000004</v>
      </c>
      <c r="BZ188" s="1">
        <f t="shared" si="135"/>
        <v>12.3</v>
      </c>
      <c r="CA188" s="1">
        <f t="shared" si="136"/>
        <v>1.5</v>
      </c>
      <c r="CB188" s="1">
        <f t="shared" si="137"/>
        <v>8</v>
      </c>
      <c r="CC188" s="1">
        <f t="shared" si="138"/>
        <v>9.1999999999999993</v>
      </c>
      <c r="CD188" s="1">
        <f t="shared" si="139"/>
        <v>7.8</v>
      </c>
      <c r="CE188" s="1" t="str">
        <f t="shared" si="140"/>
        <v>NAN</v>
      </c>
      <c r="CF188" s="1">
        <f t="shared" si="141"/>
        <v>0.77800000000000002</v>
      </c>
      <c r="CG188" s="1">
        <f t="shared" si="142"/>
        <v>0.16600000000000001</v>
      </c>
      <c r="CI188" s="1">
        <f t="shared" si="106"/>
        <v>2880</v>
      </c>
      <c r="CJ188" s="1">
        <f t="shared" si="107"/>
        <v>0.22500000000000001</v>
      </c>
      <c r="CK188" s="1">
        <f t="shared" si="108"/>
        <v>6.3E-2</v>
      </c>
      <c r="CL188" s="1">
        <f t="shared" si="109"/>
        <v>2.1999999999999999E-2</v>
      </c>
      <c r="CM188" s="1">
        <f t="shared" si="110"/>
        <v>1.0999999999999999E-2</v>
      </c>
      <c r="CN188" s="1">
        <f t="shared" si="111"/>
        <v>2.1000000000000001E-2</v>
      </c>
      <c r="CO188" s="1">
        <f t="shared" si="112"/>
        <v>7.2999999999999995E-2</v>
      </c>
      <c r="CP188" s="1">
        <f t="shared" si="113"/>
        <v>0.22900000000000001</v>
      </c>
      <c r="CQ188" s="1">
        <f t="shared" si="114"/>
        <v>0.35599999999999998</v>
      </c>
      <c r="CS188" s="1">
        <f t="shared" si="145"/>
        <v>6.2000000000000011</v>
      </c>
      <c r="CT188" s="1">
        <f t="shared" si="146"/>
        <v>0.10000000000000009</v>
      </c>
    </row>
    <row r="189" spans="1:98" x14ac:dyDescent="0.2">
      <c r="A189" s="8">
        <f t="shared" si="143"/>
        <v>44014</v>
      </c>
      <c r="B189" s="1">
        <v>184</v>
      </c>
      <c r="C189" s="1">
        <v>11</v>
      </c>
      <c r="D189" s="2">
        <v>13</v>
      </c>
      <c r="E189" s="2">
        <v>14.64</v>
      </c>
      <c r="F189" s="2">
        <v>2.2029999999999998</v>
      </c>
      <c r="G189" s="2">
        <v>6.2809999999999997</v>
      </c>
      <c r="H189" s="2">
        <v>83.8</v>
      </c>
      <c r="I189" s="2">
        <v>7.15</v>
      </c>
      <c r="J189" s="2">
        <v>6.6260000000000003</v>
      </c>
      <c r="K189" s="2">
        <v>10.33</v>
      </c>
      <c r="L189" s="2">
        <v>8.5299999999999994</v>
      </c>
      <c r="M189" s="2">
        <v>7.5209999999999999</v>
      </c>
      <c r="N189" s="2">
        <v>12.22</v>
      </c>
      <c r="O189" s="2">
        <v>96.8</v>
      </c>
      <c r="P189" s="2">
        <v>21.17</v>
      </c>
      <c r="Q189" s="2">
        <v>16.850000000000001</v>
      </c>
      <c r="R189" s="2">
        <v>26.73</v>
      </c>
      <c r="S189" s="2">
        <v>9.73</v>
      </c>
      <c r="T189" s="2">
        <v>7.7430000000000003</v>
      </c>
      <c r="U189" s="2">
        <v>2.359</v>
      </c>
      <c r="V189" s="2">
        <v>53.1</v>
      </c>
      <c r="W189" s="2">
        <v>2.3969999999999998</v>
      </c>
      <c r="X189" s="2">
        <v>2.3050000000000002</v>
      </c>
      <c r="Y189" s="2">
        <v>4.1420000000000003</v>
      </c>
      <c r="Z189" s="2">
        <v>7.5570000000000004</v>
      </c>
      <c r="AA189" s="2">
        <v>7.2990000000000004</v>
      </c>
      <c r="AB189" s="2">
        <v>2.1800000000000002</v>
      </c>
      <c r="AC189" s="2">
        <v>5.3339999999999996</v>
      </c>
      <c r="AD189" s="2">
        <v>15.07</v>
      </c>
      <c r="AE189" s="2">
        <v>2.7149999999999999</v>
      </c>
      <c r="AF189" s="2">
        <v>1.6719999999999999</v>
      </c>
      <c r="AG189" s="2">
        <v>5.7990000000000004</v>
      </c>
      <c r="AH189" s="2">
        <v>7.7030000000000003</v>
      </c>
      <c r="AI189" s="2">
        <v>20.89</v>
      </c>
      <c r="AJ189" s="2">
        <v>2.4020000000000001</v>
      </c>
      <c r="AK189" s="2">
        <v>15.47</v>
      </c>
      <c r="AL189" s="2">
        <v>2.2570000000000001</v>
      </c>
      <c r="AM189" s="2">
        <v>2.161</v>
      </c>
      <c r="AN189" s="2" t="s">
        <v>122</v>
      </c>
      <c r="AO189" s="2">
        <v>192</v>
      </c>
      <c r="AP189" s="2">
        <v>130</v>
      </c>
      <c r="AQ189" s="2">
        <v>161</v>
      </c>
      <c r="AR189" s="2">
        <v>116</v>
      </c>
      <c r="AS189" s="2">
        <v>207</v>
      </c>
      <c r="AT189" s="2">
        <v>513</v>
      </c>
      <c r="AU189" s="2">
        <v>927</v>
      </c>
      <c r="AV189" s="2">
        <v>634</v>
      </c>
      <c r="AW189" s="2"/>
      <c r="AX189" s="2">
        <v>0</v>
      </c>
      <c r="AY189" s="26"/>
      <c r="AZ189" s="5">
        <v>32.9</v>
      </c>
      <c r="BA189" s="1">
        <v>15.07</v>
      </c>
      <c r="BB189" s="1">
        <v>2.5</v>
      </c>
      <c r="BC189" s="6">
        <f t="shared" si="144"/>
        <v>0.16589250165892502</v>
      </c>
      <c r="BE189" s="30">
        <v>5.3339999999999996</v>
      </c>
      <c r="BF189" s="27">
        <v>0</v>
      </c>
      <c r="BG189" s="1">
        <f t="shared" si="117"/>
        <v>96.8</v>
      </c>
      <c r="BH189" s="1">
        <f t="shared" si="118"/>
        <v>83.8</v>
      </c>
      <c r="BI189" s="1">
        <f t="shared" si="119"/>
        <v>53.1</v>
      </c>
      <c r="BJ189" s="7">
        <f t="shared" si="120"/>
        <v>0.755</v>
      </c>
      <c r="BK189" s="7">
        <f t="shared" si="121"/>
        <v>0.66700000000000004</v>
      </c>
      <c r="BM189" s="5">
        <f t="shared" si="122"/>
        <v>15.07</v>
      </c>
      <c r="BN189" s="5">
        <f t="shared" si="123"/>
        <v>2.5</v>
      </c>
      <c r="BO189" s="1">
        <f t="shared" si="124"/>
        <v>6.3</v>
      </c>
      <c r="BP189" s="1">
        <f t="shared" si="125"/>
        <v>12.2</v>
      </c>
      <c r="BQ189" s="1">
        <f t="shared" si="126"/>
        <v>2.4</v>
      </c>
      <c r="BR189" s="1">
        <f t="shared" si="127"/>
        <v>83.8</v>
      </c>
      <c r="BS189" s="1">
        <f t="shared" si="128"/>
        <v>53.1</v>
      </c>
      <c r="BT189" s="1">
        <f t="shared" si="129"/>
        <v>1.7</v>
      </c>
      <c r="BU189" s="1">
        <f t="shared" si="130"/>
        <v>5.8</v>
      </c>
      <c r="BV189" s="33">
        <f t="shared" si="131"/>
        <v>5.3339999999999996</v>
      </c>
      <c r="BW189" s="26">
        <f t="shared" si="148"/>
        <v>0</v>
      </c>
      <c r="BX189" s="20" t="str">
        <f t="shared" si="133"/>
        <v>NAN</v>
      </c>
      <c r="BY189" s="1">
        <f t="shared" si="134"/>
        <v>7.7</v>
      </c>
      <c r="BZ189" s="1">
        <f t="shared" si="135"/>
        <v>20.9</v>
      </c>
      <c r="CA189" s="1">
        <f t="shared" si="136"/>
        <v>2.4</v>
      </c>
      <c r="CB189" s="1">
        <f t="shared" si="137"/>
        <v>10.3</v>
      </c>
      <c r="CC189" s="1">
        <f t="shared" si="138"/>
        <v>8.5</v>
      </c>
      <c r="CD189" s="1">
        <f t="shared" si="139"/>
        <v>7.5</v>
      </c>
      <c r="CE189" s="1" t="str">
        <f t="shared" si="140"/>
        <v>NAN</v>
      </c>
      <c r="CF189" s="1">
        <f t="shared" si="141"/>
        <v>0.755</v>
      </c>
      <c r="CG189" s="1">
        <f t="shared" si="142"/>
        <v>0.66700000000000004</v>
      </c>
      <c r="CI189" s="1">
        <f t="shared" si="106"/>
        <v>2880</v>
      </c>
      <c r="CJ189" s="1">
        <f t="shared" si="107"/>
        <v>6.7000000000000004E-2</v>
      </c>
      <c r="CK189" s="1">
        <f t="shared" si="108"/>
        <v>4.4999999999999998E-2</v>
      </c>
      <c r="CL189" s="1">
        <f t="shared" si="109"/>
        <v>5.6000000000000001E-2</v>
      </c>
      <c r="CM189" s="1">
        <f t="shared" si="110"/>
        <v>0.04</v>
      </c>
      <c r="CN189" s="1">
        <f t="shared" si="111"/>
        <v>7.1999999999999995E-2</v>
      </c>
      <c r="CO189" s="1">
        <f t="shared" si="112"/>
        <v>0.17799999999999999</v>
      </c>
      <c r="CP189" s="1">
        <f t="shared" si="113"/>
        <v>0.32200000000000001</v>
      </c>
      <c r="CQ189" s="1">
        <f t="shared" si="114"/>
        <v>0.22</v>
      </c>
      <c r="CS189" s="1">
        <f t="shared" si="145"/>
        <v>8.6999999999999993</v>
      </c>
      <c r="CT189" s="1">
        <f t="shared" si="146"/>
        <v>0</v>
      </c>
    </row>
    <row r="190" spans="1:98" x14ac:dyDescent="0.2">
      <c r="A190" s="8">
        <f t="shared" si="143"/>
        <v>44015</v>
      </c>
      <c r="B190" s="1">
        <v>185</v>
      </c>
      <c r="C190" s="1">
        <v>11</v>
      </c>
      <c r="D190" s="2">
        <v>12.97</v>
      </c>
      <c r="E190" s="2">
        <v>12.79</v>
      </c>
      <c r="F190" s="2">
        <v>0.35199999999999998</v>
      </c>
      <c r="G190" s="2">
        <v>6.8869999999999996</v>
      </c>
      <c r="H190" s="2">
        <v>70.3</v>
      </c>
      <c r="I190" s="2">
        <v>6.6360000000000001</v>
      </c>
      <c r="J190" s="2">
        <v>6.5270000000000001</v>
      </c>
      <c r="K190" s="2">
        <v>8.94</v>
      </c>
      <c r="L190" s="2">
        <v>8.86</v>
      </c>
      <c r="M190" s="2">
        <v>7.4420000000000002</v>
      </c>
      <c r="N190" s="2">
        <v>11.63</v>
      </c>
      <c r="O190" s="2">
        <v>91.3</v>
      </c>
      <c r="P190" s="2">
        <v>19.12</v>
      </c>
      <c r="Q190" s="2">
        <v>16.02</v>
      </c>
      <c r="R190" s="2">
        <v>18.399999999999999</v>
      </c>
      <c r="S190" s="2">
        <v>9.57</v>
      </c>
      <c r="T190" s="2">
        <v>7.569</v>
      </c>
      <c r="U190" s="2">
        <v>3.3130000000000002</v>
      </c>
      <c r="V190" s="2">
        <v>41.79</v>
      </c>
      <c r="W190" s="2">
        <v>-0.873</v>
      </c>
      <c r="X190" s="2">
        <v>0.25700000000000001</v>
      </c>
      <c r="Y190" s="2">
        <v>2.8610000000000002</v>
      </c>
      <c r="Z190" s="2">
        <v>8.06</v>
      </c>
      <c r="AA190" s="2">
        <v>7.2809999999999997</v>
      </c>
      <c r="AB190" s="2">
        <v>2.637</v>
      </c>
      <c r="AC190" s="2">
        <v>0.254</v>
      </c>
      <c r="AD190" s="2">
        <v>14.51</v>
      </c>
      <c r="AE190" s="2">
        <v>2.6789999999999998</v>
      </c>
      <c r="AF190" s="2">
        <v>1.3240000000000001</v>
      </c>
      <c r="AG190" s="2">
        <v>4.1680000000000001</v>
      </c>
      <c r="AH190" s="2">
        <v>7.7069999999999999</v>
      </c>
      <c r="AI190" s="2">
        <v>19.690000000000001</v>
      </c>
      <c r="AJ190" s="2">
        <v>1.1200000000000001</v>
      </c>
      <c r="AK190" s="2">
        <v>15.04</v>
      </c>
      <c r="AL190" s="2">
        <v>2.976</v>
      </c>
      <c r="AM190" s="2">
        <v>2.62</v>
      </c>
      <c r="AN190" s="2" t="s">
        <v>122</v>
      </c>
      <c r="AO190" s="2">
        <v>287</v>
      </c>
      <c r="AP190" s="2">
        <v>243</v>
      </c>
      <c r="AQ190" s="2">
        <v>54</v>
      </c>
      <c r="AR190" s="2">
        <v>78</v>
      </c>
      <c r="AS190" s="2">
        <v>575</v>
      </c>
      <c r="AT190" s="2">
        <v>852</v>
      </c>
      <c r="AU190" s="2">
        <v>547</v>
      </c>
      <c r="AV190" s="2">
        <v>244</v>
      </c>
      <c r="AW190" s="2"/>
      <c r="AX190" s="2">
        <v>0</v>
      </c>
      <c r="AY190" s="26"/>
      <c r="AZ190" s="5">
        <v>32.840000000000003</v>
      </c>
      <c r="BA190" s="1">
        <v>14.51</v>
      </c>
      <c r="BB190" s="1">
        <v>2.46</v>
      </c>
      <c r="BC190" s="6">
        <f t="shared" si="144"/>
        <v>0.16953824948311511</v>
      </c>
      <c r="BE190" s="30">
        <v>0.254</v>
      </c>
      <c r="BF190" s="27">
        <v>0</v>
      </c>
      <c r="BG190" s="1">
        <f t="shared" si="117"/>
        <v>91.3</v>
      </c>
      <c r="BH190" s="1">
        <f t="shared" si="118"/>
        <v>70.3</v>
      </c>
      <c r="BI190" s="1">
        <f t="shared" si="119"/>
        <v>41.8</v>
      </c>
      <c r="BJ190" s="7">
        <f t="shared" si="120"/>
        <v>0.57199999999999995</v>
      </c>
      <c r="BK190" s="7">
        <f t="shared" si="121"/>
        <v>0.79600000000000004</v>
      </c>
      <c r="BM190" s="5">
        <f t="shared" si="122"/>
        <v>14.51</v>
      </c>
      <c r="BN190" s="5">
        <f t="shared" si="123"/>
        <v>2.46</v>
      </c>
      <c r="BO190" s="1">
        <f t="shared" si="124"/>
        <v>6.9</v>
      </c>
      <c r="BP190" s="1">
        <f t="shared" si="125"/>
        <v>11.6</v>
      </c>
      <c r="BQ190" s="1">
        <f t="shared" si="126"/>
        <v>3.3</v>
      </c>
      <c r="BR190" s="1">
        <f t="shared" si="127"/>
        <v>70.3</v>
      </c>
      <c r="BS190" s="1">
        <f t="shared" si="128"/>
        <v>41.8</v>
      </c>
      <c r="BT190" s="1">
        <f t="shared" si="129"/>
        <v>1.3</v>
      </c>
      <c r="BU190" s="1">
        <f t="shared" si="130"/>
        <v>4.2</v>
      </c>
      <c r="BV190" s="33">
        <f t="shared" si="131"/>
        <v>0.254</v>
      </c>
      <c r="BW190" s="26">
        <f t="shared" si="148"/>
        <v>0</v>
      </c>
      <c r="BX190" s="20" t="str">
        <f t="shared" si="133"/>
        <v>NAN</v>
      </c>
      <c r="BY190" s="1">
        <f t="shared" si="134"/>
        <v>7.7</v>
      </c>
      <c r="BZ190" s="1">
        <f t="shared" si="135"/>
        <v>19.7</v>
      </c>
      <c r="CA190" s="1">
        <f t="shared" si="136"/>
        <v>1.1000000000000001</v>
      </c>
      <c r="CB190" s="1">
        <f t="shared" si="137"/>
        <v>8.9</v>
      </c>
      <c r="CC190" s="1">
        <f t="shared" si="138"/>
        <v>8.9</v>
      </c>
      <c r="CD190" s="1">
        <f t="shared" si="139"/>
        <v>7.4</v>
      </c>
      <c r="CE190" s="1" t="str">
        <f t="shared" si="140"/>
        <v>NAN</v>
      </c>
      <c r="CF190" s="1">
        <f t="shared" si="141"/>
        <v>0.57199999999999995</v>
      </c>
      <c r="CG190" s="1">
        <f t="shared" si="142"/>
        <v>0.79600000000000004</v>
      </c>
      <c r="CI190" s="1">
        <f t="shared" si="106"/>
        <v>2880</v>
      </c>
      <c r="CJ190" s="1">
        <f t="shared" si="107"/>
        <v>0.1</v>
      </c>
      <c r="CK190" s="1">
        <f t="shared" si="108"/>
        <v>8.4000000000000005E-2</v>
      </c>
      <c r="CL190" s="1">
        <f t="shared" si="109"/>
        <v>1.9E-2</v>
      </c>
      <c r="CM190" s="1">
        <f t="shared" si="110"/>
        <v>2.7E-2</v>
      </c>
      <c r="CN190" s="1">
        <f t="shared" si="111"/>
        <v>0.2</v>
      </c>
      <c r="CO190" s="1">
        <f t="shared" si="112"/>
        <v>0.29599999999999999</v>
      </c>
      <c r="CP190" s="1">
        <f t="shared" si="113"/>
        <v>0.19</v>
      </c>
      <c r="CQ190" s="1">
        <f t="shared" si="114"/>
        <v>8.5000000000000006E-2</v>
      </c>
      <c r="CS190" s="1">
        <f t="shared" si="145"/>
        <v>8.1</v>
      </c>
      <c r="CT190" s="1">
        <f t="shared" si="146"/>
        <v>-2.1999999999999997</v>
      </c>
    </row>
    <row r="191" spans="1:98" x14ac:dyDescent="0.2">
      <c r="A191" s="8">
        <f t="shared" si="143"/>
        <v>44016</v>
      </c>
      <c r="B191" s="1">
        <v>186</v>
      </c>
      <c r="C191" s="1">
        <v>11</v>
      </c>
      <c r="D191" s="2">
        <v>13</v>
      </c>
      <c r="E191" s="2">
        <v>15.58</v>
      </c>
      <c r="F191" s="2">
        <v>0.246</v>
      </c>
      <c r="G191" s="2">
        <v>6.9429999999999996</v>
      </c>
      <c r="H191" s="2">
        <v>70.2</v>
      </c>
      <c r="I191" s="2">
        <v>8.5500000000000007</v>
      </c>
      <c r="J191" s="2">
        <v>7.5880000000000001</v>
      </c>
      <c r="K191" s="2">
        <v>11.84</v>
      </c>
      <c r="L191" s="2">
        <v>9.19</v>
      </c>
      <c r="M191" s="2">
        <v>7.4279999999999999</v>
      </c>
      <c r="N191" s="2">
        <v>12.93</v>
      </c>
      <c r="O191" s="2">
        <v>89.6</v>
      </c>
      <c r="P191" s="2">
        <v>25.49</v>
      </c>
      <c r="Q191" s="2">
        <v>18.45</v>
      </c>
      <c r="R191" s="2">
        <v>28.89</v>
      </c>
      <c r="S191" s="2">
        <v>10.67</v>
      </c>
      <c r="T191" s="2">
        <v>7.5730000000000004</v>
      </c>
      <c r="U191" s="2">
        <v>1.4119999999999999</v>
      </c>
      <c r="V191" s="2">
        <v>46.39</v>
      </c>
      <c r="W191" s="2">
        <v>-0.61399999999999999</v>
      </c>
      <c r="X191" s="2">
        <v>0.11</v>
      </c>
      <c r="Y191" s="2">
        <v>2.9329999999999998</v>
      </c>
      <c r="Z191" s="2">
        <v>7.952</v>
      </c>
      <c r="AA191" s="2">
        <v>7.28</v>
      </c>
      <c r="AB191" s="2">
        <v>2.2010000000000001</v>
      </c>
      <c r="AC191" s="2">
        <v>0</v>
      </c>
      <c r="AD191" s="2">
        <v>24.81</v>
      </c>
      <c r="AE191" s="2">
        <v>4.9080000000000004</v>
      </c>
      <c r="AF191" s="2">
        <v>1.391</v>
      </c>
      <c r="AG191" s="2">
        <v>4.093</v>
      </c>
      <c r="AH191" s="2">
        <v>9.08</v>
      </c>
      <c r="AI191" s="2">
        <v>22.73</v>
      </c>
      <c r="AJ191" s="2">
        <v>0.81499999999999995</v>
      </c>
      <c r="AK191" s="2">
        <v>17.21</v>
      </c>
      <c r="AL191" s="2">
        <v>1.3049999999999999</v>
      </c>
      <c r="AM191" s="2">
        <v>2.1779999999999999</v>
      </c>
      <c r="AN191" s="2" t="s">
        <v>122</v>
      </c>
      <c r="AO191" s="2">
        <v>683</v>
      </c>
      <c r="AP191" s="2">
        <v>688</v>
      </c>
      <c r="AQ191" s="2">
        <v>373</v>
      </c>
      <c r="AR191" s="2">
        <v>43</v>
      </c>
      <c r="AS191" s="2">
        <v>22</v>
      </c>
      <c r="AT191" s="2">
        <v>67</v>
      </c>
      <c r="AU191" s="2">
        <v>298</v>
      </c>
      <c r="AV191" s="2">
        <v>706</v>
      </c>
      <c r="AW191" s="2"/>
      <c r="AX191" s="2">
        <v>0</v>
      </c>
      <c r="AY191" s="26"/>
      <c r="AZ191" s="5">
        <v>32.78</v>
      </c>
      <c r="BA191" s="1">
        <v>24.81</v>
      </c>
      <c r="BB191" s="1">
        <v>4.5199999999999996</v>
      </c>
      <c r="BC191" s="6">
        <f t="shared" si="144"/>
        <v>0.18218460298266828</v>
      </c>
      <c r="BE191" s="30">
        <v>0</v>
      </c>
      <c r="BF191" s="27">
        <v>0</v>
      </c>
      <c r="BG191" s="1">
        <f t="shared" si="117"/>
        <v>89.6</v>
      </c>
      <c r="BH191" s="1">
        <f t="shared" si="118"/>
        <v>70.2</v>
      </c>
      <c r="BI191" s="1">
        <f t="shared" si="119"/>
        <v>46.4</v>
      </c>
      <c r="BJ191" s="7">
        <f t="shared" si="120"/>
        <v>0.69199999999999995</v>
      </c>
      <c r="BK191" s="7">
        <f t="shared" si="121"/>
        <v>0.79900000000000004</v>
      </c>
      <c r="BM191" s="5">
        <f t="shared" si="122"/>
        <v>24.81</v>
      </c>
      <c r="BN191" s="5">
        <f t="shared" si="123"/>
        <v>4.5199999999999996</v>
      </c>
      <c r="BO191" s="1">
        <f t="shared" si="124"/>
        <v>6.9</v>
      </c>
      <c r="BP191" s="1">
        <f t="shared" si="125"/>
        <v>12.9</v>
      </c>
      <c r="BQ191" s="1">
        <f t="shared" si="126"/>
        <v>1.4</v>
      </c>
      <c r="BR191" s="1">
        <f t="shared" si="127"/>
        <v>70.2</v>
      </c>
      <c r="BS191" s="1">
        <f t="shared" si="128"/>
        <v>46.4</v>
      </c>
      <c r="BT191" s="1">
        <f t="shared" si="129"/>
        <v>1.4</v>
      </c>
      <c r="BU191" s="1">
        <f t="shared" si="130"/>
        <v>4.0999999999999996</v>
      </c>
      <c r="BV191" s="33">
        <f t="shared" si="131"/>
        <v>0</v>
      </c>
      <c r="BW191" s="26">
        <f t="shared" si="148"/>
        <v>0</v>
      </c>
      <c r="BX191" s="20" t="str">
        <f t="shared" si="133"/>
        <v>NAN</v>
      </c>
      <c r="BY191" s="1">
        <f t="shared" si="134"/>
        <v>9.1</v>
      </c>
      <c r="BZ191" s="1">
        <f t="shared" si="135"/>
        <v>22.7</v>
      </c>
      <c r="CA191" s="1">
        <f t="shared" si="136"/>
        <v>0.8</v>
      </c>
      <c r="CB191" s="1">
        <f t="shared" si="137"/>
        <v>11.8</v>
      </c>
      <c r="CC191" s="1">
        <f t="shared" si="138"/>
        <v>9.1999999999999993</v>
      </c>
      <c r="CD191" s="1">
        <f t="shared" si="139"/>
        <v>7.4</v>
      </c>
      <c r="CE191" s="1" t="str">
        <f t="shared" si="140"/>
        <v>NAN</v>
      </c>
      <c r="CF191" s="1">
        <f t="shared" si="141"/>
        <v>0.69199999999999995</v>
      </c>
      <c r="CG191" s="1">
        <f t="shared" si="142"/>
        <v>0.79900000000000004</v>
      </c>
      <c r="CI191" s="1">
        <f t="shared" si="106"/>
        <v>2880</v>
      </c>
      <c r="CJ191" s="1">
        <f t="shared" si="107"/>
        <v>0.23699999999999999</v>
      </c>
      <c r="CK191" s="1">
        <f t="shared" si="108"/>
        <v>0.23899999999999999</v>
      </c>
      <c r="CL191" s="1">
        <f t="shared" si="109"/>
        <v>0.13</v>
      </c>
      <c r="CM191" s="1">
        <f t="shared" si="110"/>
        <v>1.4999999999999999E-2</v>
      </c>
      <c r="CN191" s="1">
        <f t="shared" si="111"/>
        <v>8.0000000000000002E-3</v>
      </c>
      <c r="CO191" s="1">
        <f t="shared" si="112"/>
        <v>2.3E-2</v>
      </c>
      <c r="CP191" s="1">
        <f t="shared" si="113"/>
        <v>0.10299999999999999</v>
      </c>
      <c r="CQ191" s="1">
        <f t="shared" si="114"/>
        <v>0.245</v>
      </c>
      <c r="CS191" s="1">
        <f t="shared" si="145"/>
        <v>9.7999999999999989</v>
      </c>
      <c r="CT191" s="1">
        <f t="shared" si="146"/>
        <v>-0.59999999999999987</v>
      </c>
    </row>
    <row r="192" spans="1:98" x14ac:dyDescent="0.2">
      <c r="A192" s="8">
        <f t="shared" si="143"/>
        <v>44017</v>
      </c>
      <c r="B192" s="1">
        <v>187</v>
      </c>
      <c r="C192" s="1">
        <v>11</v>
      </c>
      <c r="D192" s="2">
        <v>13</v>
      </c>
      <c r="E192" s="2">
        <v>20.53</v>
      </c>
      <c r="F192" s="2">
        <v>0.86299999999999999</v>
      </c>
      <c r="G192" s="2">
        <v>10.65</v>
      </c>
      <c r="H192" s="2">
        <v>60.55</v>
      </c>
      <c r="I192" s="2">
        <v>9.7200000000000006</v>
      </c>
      <c r="J192" s="2">
        <v>9.61</v>
      </c>
      <c r="K192" s="2">
        <v>11.51</v>
      </c>
      <c r="L192" s="2">
        <v>9.51</v>
      </c>
      <c r="M192" s="2">
        <v>7.5869999999999997</v>
      </c>
      <c r="N192" s="2">
        <v>18.27</v>
      </c>
      <c r="O192" s="2">
        <v>87.8</v>
      </c>
      <c r="P192" s="2">
        <v>25.7</v>
      </c>
      <c r="Q192" s="2">
        <v>22.15</v>
      </c>
      <c r="R192" s="2">
        <v>28.13</v>
      </c>
      <c r="S192" s="2">
        <v>10.44</v>
      </c>
      <c r="T192" s="2">
        <v>7.7409999999999997</v>
      </c>
      <c r="U192" s="2">
        <v>3.4820000000000002</v>
      </c>
      <c r="V192" s="2">
        <v>30.54</v>
      </c>
      <c r="W192" s="2">
        <v>-0.77500000000000002</v>
      </c>
      <c r="X192" s="2">
        <v>0.17599999999999999</v>
      </c>
      <c r="Y192" s="2">
        <v>3.2149999999999999</v>
      </c>
      <c r="Z192" s="2">
        <v>8.5299999999999994</v>
      </c>
      <c r="AA192" s="2">
        <v>7.3979999999999997</v>
      </c>
      <c r="AB192" s="2">
        <v>2.645</v>
      </c>
      <c r="AC192" s="2">
        <v>0</v>
      </c>
      <c r="AD192" s="2">
        <v>17.87</v>
      </c>
      <c r="AE192" s="2">
        <v>3.5550000000000002</v>
      </c>
      <c r="AF192" s="2">
        <v>0.82</v>
      </c>
      <c r="AG192" s="2">
        <v>2.8540000000000001</v>
      </c>
      <c r="AH192" s="2">
        <v>11.46</v>
      </c>
      <c r="AI192" s="2">
        <v>27.14</v>
      </c>
      <c r="AJ192" s="2">
        <v>1.587</v>
      </c>
      <c r="AK192" s="2">
        <v>24.14</v>
      </c>
      <c r="AL192" s="2">
        <v>3.63</v>
      </c>
      <c r="AM192" s="2">
        <v>2.6</v>
      </c>
      <c r="AN192" s="2" t="s">
        <v>122</v>
      </c>
      <c r="AO192" s="2">
        <v>61</v>
      </c>
      <c r="AP192" s="2">
        <v>160</v>
      </c>
      <c r="AQ192" s="2">
        <v>1079</v>
      </c>
      <c r="AR192" s="2">
        <v>320</v>
      </c>
      <c r="AS192" s="2">
        <v>244</v>
      </c>
      <c r="AT192" s="2">
        <v>405</v>
      </c>
      <c r="AU192" s="2">
        <v>432</v>
      </c>
      <c r="AV192" s="2">
        <v>179</v>
      </c>
      <c r="AW192" s="2"/>
      <c r="AX192" s="2">
        <v>0</v>
      </c>
      <c r="AY192" s="26"/>
      <c r="AZ192" s="5">
        <v>32.71</v>
      </c>
      <c r="BA192" s="1">
        <v>17.88</v>
      </c>
      <c r="BB192" s="1">
        <v>3.27</v>
      </c>
      <c r="BC192" s="6">
        <f t="shared" si="144"/>
        <v>0.18288590604026847</v>
      </c>
      <c r="BE192" s="30">
        <v>0</v>
      </c>
      <c r="BF192" s="27">
        <v>0</v>
      </c>
      <c r="BG192" s="1">
        <f t="shared" si="117"/>
        <v>87.8</v>
      </c>
      <c r="BH192" s="1">
        <f t="shared" si="118"/>
        <v>60.6</v>
      </c>
      <c r="BI192" s="1">
        <f t="shared" si="119"/>
        <v>30.5</v>
      </c>
      <c r="BJ192" s="7">
        <f t="shared" si="120"/>
        <v>0.64</v>
      </c>
      <c r="BK192" s="7">
        <f t="shared" si="121"/>
        <v>1.458</v>
      </c>
      <c r="BM192" s="5">
        <f t="shared" si="122"/>
        <v>17.88</v>
      </c>
      <c r="BN192" s="5">
        <f t="shared" si="123"/>
        <v>3.27</v>
      </c>
      <c r="BO192" s="1">
        <f t="shared" si="124"/>
        <v>10.7</v>
      </c>
      <c r="BP192" s="1">
        <f t="shared" si="125"/>
        <v>18.3</v>
      </c>
      <c r="BQ192" s="1">
        <f t="shared" si="126"/>
        <v>3.5</v>
      </c>
      <c r="BR192" s="1">
        <f t="shared" si="127"/>
        <v>60.6</v>
      </c>
      <c r="BS192" s="1">
        <f t="shared" si="128"/>
        <v>30.5</v>
      </c>
      <c r="BT192" s="1">
        <f t="shared" si="129"/>
        <v>0.8</v>
      </c>
      <c r="BU192" s="1">
        <f t="shared" si="130"/>
        <v>2.9</v>
      </c>
      <c r="BV192" s="33">
        <f t="shared" si="131"/>
        <v>0</v>
      </c>
      <c r="BW192" s="26">
        <f t="shared" ref="BW192:BW223" si="149">BF192</f>
        <v>0</v>
      </c>
      <c r="BX192" s="20" t="str">
        <f t="shared" si="133"/>
        <v>NAN</v>
      </c>
      <c r="BY192" s="1">
        <f t="shared" si="134"/>
        <v>11.5</v>
      </c>
      <c r="BZ192" s="1">
        <f t="shared" si="135"/>
        <v>27.1</v>
      </c>
      <c r="CA192" s="1">
        <f t="shared" si="136"/>
        <v>1.6</v>
      </c>
      <c r="CB192" s="1">
        <f t="shared" si="137"/>
        <v>11.5</v>
      </c>
      <c r="CC192" s="1">
        <f t="shared" si="138"/>
        <v>9.5</v>
      </c>
      <c r="CD192" s="1">
        <f t="shared" si="139"/>
        <v>7.6</v>
      </c>
      <c r="CE192" s="1" t="str">
        <f t="shared" si="140"/>
        <v>NAN</v>
      </c>
      <c r="CF192" s="1">
        <f t="shared" si="141"/>
        <v>0.64</v>
      </c>
      <c r="CG192" s="1">
        <f t="shared" si="142"/>
        <v>1.458</v>
      </c>
      <c r="CI192" s="1">
        <f t="shared" ref="CI192:CI255" si="150">SUM(AO192:AV192)</f>
        <v>2880</v>
      </c>
      <c r="CJ192" s="1">
        <f t="shared" ref="CJ192:CJ255" si="151">ROUND(AO192/$CI192,3)</f>
        <v>2.1000000000000001E-2</v>
      </c>
      <c r="CK192" s="1">
        <f t="shared" ref="CK192:CK255" si="152">ROUND(AP192/$CI192,3)</f>
        <v>5.6000000000000001E-2</v>
      </c>
      <c r="CL192" s="1">
        <f t="shared" ref="CL192:CL255" si="153">ROUND(AQ192/$CI192,3)</f>
        <v>0.375</v>
      </c>
      <c r="CM192" s="1">
        <f t="shared" ref="CM192:CM255" si="154">ROUND(AR192/$CI192,3)</f>
        <v>0.111</v>
      </c>
      <c r="CN192" s="1">
        <f t="shared" ref="CN192:CN255" si="155">ROUND(AS192/$CI192,3)</f>
        <v>8.5000000000000006E-2</v>
      </c>
      <c r="CO192" s="1">
        <f t="shared" ref="CO192:CO255" si="156">ROUND(AT192/$CI192,3)</f>
        <v>0.14099999999999999</v>
      </c>
      <c r="CP192" s="1">
        <f t="shared" ref="CP192:CP255" si="157">ROUND(AU192/$CI192,3)</f>
        <v>0.15</v>
      </c>
      <c r="CQ192" s="1">
        <f t="shared" ref="CQ192:CQ255" si="158">ROUND(AV192/$CI192,3)</f>
        <v>6.2E-2</v>
      </c>
      <c r="CS192" s="1">
        <f t="shared" si="145"/>
        <v>8.8000000000000007</v>
      </c>
      <c r="CT192" s="1">
        <f t="shared" si="146"/>
        <v>-1.9</v>
      </c>
    </row>
    <row r="193" spans="1:98" x14ac:dyDescent="0.2">
      <c r="A193" s="8">
        <f t="shared" si="143"/>
        <v>44018</v>
      </c>
      <c r="B193" s="1">
        <v>188</v>
      </c>
      <c r="C193" s="1">
        <v>11</v>
      </c>
      <c r="D193" s="2">
        <v>12.97</v>
      </c>
      <c r="E193" s="2">
        <v>20.29</v>
      </c>
      <c r="F193" s="2">
        <v>3.7639999999999998</v>
      </c>
      <c r="G193" s="2">
        <v>11.56</v>
      </c>
      <c r="H193" s="2">
        <v>59.27</v>
      </c>
      <c r="I193" s="2">
        <v>10.41</v>
      </c>
      <c r="J193" s="2">
        <v>10.58</v>
      </c>
      <c r="K193" s="2">
        <v>12.06</v>
      </c>
      <c r="L193" s="2">
        <v>9.85</v>
      </c>
      <c r="M193" s="2">
        <v>7.73</v>
      </c>
      <c r="N193" s="2">
        <v>18.98</v>
      </c>
      <c r="O193" s="2">
        <v>82.1</v>
      </c>
      <c r="P193" s="2">
        <v>25.55</v>
      </c>
      <c r="Q193" s="2">
        <v>23.1</v>
      </c>
      <c r="R193" s="2">
        <v>26.49</v>
      </c>
      <c r="S193" s="2">
        <v>10.68</v>
      </c>
      <c r="T193" s="2">
        <v>7.8719999999999999</v>
      </c>
      <c r="U193" s="2">
        <v>6.7190000000000003</v>
      </c>
      <c r="V193" s="2">
        <v>33.76</v>
      </c>
      <c r="W193" s="2">
        <v>1.665</v>
      </c>
      <c r="X193" s="2">
        <v>2.5249999999999999</v>
      </c>
      <c r="Y193" s="2">
        <v>5.4290000000000003</v>
      </c>
      <c r="Z193" s="2">
        <v>9.02</v>
      </c>
      <c r="AA193" s="2">
        <v>7.5789999999999997</v>
      </c>
      <c r="AB193" s="2">
        <v>2.15</v>
      </c>
      <c r="AC193" s="2">
        <v>0</v>
      </c>
      <c r="AD193" s="2">
        <v>16.559999999999999</v>
      </c>
      <c r="AE193" s="2">
        <v>3.3159999999999998</v>
      </c>
      <c r="AF193" s="2">
        <v>1.4350000000000001</v>
      </c>
      <c r="AG193" s="2">
        <v>4.2329999999999997</v>
      </c>
      <c r="AH193" s="2">
        <v>11.94</v>
      </c>
      <c r="AI193" s="2">
        <v>26.75</v>
      </c>
      <c r="AJ193" s="2">
        <v>4.3079999999999998</v>
      </c>
      <c r="AK193" s="2">
        <v>23.03</v>
      </c>
      <c r="AL193" s="2">
        <v>6.4989999999999997</v>
      </c>
      <c r="AM193" s="2">
        <v>2.1240000000000001</v>
      </c>
      <c r="AN193" s="2" t="s">
        <v>122</v>
      </c>
      <c r="AO193" s="2">
        <v>141</v>
      </c>
      <c r="AP193" s="2">
        <v>528</v>
      </c>
      <c r="AQ193" s="2">
        <v>561</v>
      </c>
      <c r="AR193" s="2">
        <v>341</v>
      </c>
      <c r="AS193" s="2">
        <v>286</v>
      </c>
      <c r="AT193" s="2">
        <v>571</v>
      </c>
      <c r="AU193" s="2">
        <v>353</v>
      </c>
      <c r="AV193" s="2">
        <v>99</v>
      </c>
      <c r="AW193" s="2"/>
      <c r="AX193" s="2">
        <v>0</v>
      </c>
      <c r="AY193" s="26"/>
      <c r="AZ193" s="5">
        <v>32.64</v>
      </c>
      <c r="BA193" s="1">
        <v>16.559999999999999</v>
      </c>
      <c r="BB193" s="1">
        <v>3.05</v>
      </c>
      <c r="BC193" s="6">
        <f t="shared" si="144"/>
        <v>0.18417874396135267</v>
      </c>
      <c r="BE193" s="30">
        <v>0</v>
      </c>
      <c r="BF193" s="27">
        <v>0</v>
      </c>
      <c r="BG193" s="1">
        <f t="shared" si="117"/>
        <v>82.1</v>
      </c>
      <c r="BH193" s="1">
        <f t="shared" si="118"/>
        <v>59.3</v>
      </c>
      <c r="BI193" s="1">
        <f t="shared" si="119"/>
        <v>33.799999999999997</v>
      </c>
      <c r="BJ193" s="7">
        <f t="shared" si="120"/>
        <v>0.74199999999999999</v>
      </c>
      <c r="BK193" s="7">
        <f t="shared" si="121"/>
        <v>1.4530000000000001</v>
      </c>
      <c r="BM193" s="5">
        <f t="shared" si="122"/>
        <v>16.559999999999999</v>
      </c>
      <c r="BN193" s="5">
        <f t="shared" si="123"/>
        <v>3.05</v>
      </c>
      <c r="BO193" s="1">
        <f t="shared" si="124"/>
        <v>11.6</v>
      </c>
      <c r="BP193" s="1">
        <f t="shared" si="125"/>
        <v>19</v>
      </c>
      <c r="BQ193" s="1">
        <f t="shared" si="126"/>
        <v>6.7</v>
      </c>
      <c r="BR193" s="1">
        <f t="shared" si="127"/>
        <v>59.3</v>
      </c>
      <c r="BS193" s="1">
        <f t="shared" si="128"/>
        <v>33.799999999999997</v>
      </c>
      <c r="BT193" s="1">
        <f t="shared" si="129"/>
        <v>1.4</v>
      </c>
      <c r="BU193" s="1">
        <f t="shared" si="130"/>
        <v>4.2</v>
      </c>
      <c r="BV193" s="33">
        <f t="shared" si="131"/>
        <v>0</v>
      </c>
      <c r="BW193" s="26">
        <f t="shared" si="149"/>
        <v>0</v>
      </c>
      <c r="BX193" s="20" t="str">
        <f t="shared" si="133"/>
        <v>NAN</v>
      </c>
      <c r="BY193" s="1">
        <f t="shared" si="134"/>
        <v>11.9</v>
      </c>
      <c r="BZ193" s="1">
        <f t="shared" si="135"/>
        <v>26.8</v>
      </c>
      <c r="CA193" s="1">
        <f t="shared" si="136"/>
        <v>4.3</v>
      </c>
      <c r="CB193" s="1">
        <f t="shared" si="137"/>
        <v>12.1</v>
      </c>
      <c r="CC193" s="1">
        <f t="shared" si="138"/>
        <v>9.9</v>
      </c>
      <c r="CD193" s="1">
        <f t="shared" si="139"/>
        <v>7.7</v>
      </c>
      <c r="CE193" s="1" t="str">
        <f t="shared" si="140"/>
        <v>NAN</v>
      </c>
      <c r="CF193" s="1">
        <f t="shared" si="141"/>
        <v>0.74199999999999999</v>
      </c>
      <c r="CG193" s="1">
        <f t="shared" si="142"/>
        <v>1.4530000000000001</v>
      </c>
      <c r="CI193" s="1">
        <f t="shared" si="150"/>
        <v>2880</v>
      </c>
      <c r="CJ193" s="1">
        <f t="shared" si="151"/>
        <v>4.9000000000000002E-2</v>
      </c>
      <c r="CK193" s="1">
        <f t="shared" si="152"/>
        <v>0.183</v>
      </c>
      <c r="CL193" s="1">
        <f t="shared" si="153"/>
        <v>0.19500000000000001</v>
      </c>
      <c r="CM193" s="1">
        <f t="shared" si="154"/>
        <v>0.11799999999999999</v>
      </c>
      <c r="CN193" s="1">
        <f t="shared" si="155"/>
        <v>9.9000000000000005E-2</v>
      </c>
      <c r="CO193" s="1">
        <f t="shared" si="156"/>
        <v>0.19800000000000001</v>
      </c>
      <c r="CP193" s="1">
        <f t="shared" si="157"/>
        <v>0.123</v>
      </c>
      <c r="CQ193" s="1">
        <f t="shared" si="158"/>
        <v>3.4000000000000002E-2</v>
      </c>
      <c r="CS193" s="1">
        <f t="shared" si="145"/>
        <v>7.8000000000000007</v>
      </c>
      <c r="CT193" s="1">
        <f t="shared" si="146"/>
        <v>-2.4000000000000004</v>
      </c>
    </row>
    <row r="194" spans="1:98" x14ac:dyDescent="0.2">
      <c r="A194" s="8">
        <f t="shared" si="143"/>
        <v>44019</v>
      </c>
      <c r="B194" s="1">
        <v>189</v>
      </c>
      <c r="C194" s="1">
        <v>11</v>
      </c>
      <c r="D194" s="2">
        <v>13.02</v>
      </c>
      <c r="E194" s="2">
        <v>11.84</v>
      </c>
      <c r="F194" s="2">
        <v>1.3939999999999999</v>
      </c>
      <c r="G194" s="2">
        <v>5.8959999999999999</v>
      </c>
      <c r="H194" s="2">
        <v>87</v>
      </c>
      <c r="I194" s="2">
        <v>5.7460000000000004</v>
      </c>
      <c r="J194" s="2">
        <v>5.5439999999999996</v>
      </c>
      <c r="K194" s="2">
        <v>9</v>
      </c>
      <c r="L194" s="2">
        <v>9.43</v>
      </c>
      <c r="M194" s="2">
        <v>7.8529999999999998</v>
      </c>
      <c r="N194" s="2">
        <v>10.37</v>
      </c>
      <c r="O194" s="2">
        <v>96.2</v>
      </c>
      <c r="P194" s="2">
        <v>14.6</v>
      </c>
      <c r="Q194" s="2">
        <v>13.75</v>
      </c>
      <c r="R194" s="2">
        <v>19.3</v>
      </c>
      <c r="S194" s="2">
        <v>10.46</v>
      </c>
      <c r="T194" s="2">
        <v>7.97</v>
      </c>
      <c r="U194" s="2">
        <v>2.4980000000000002</v>
      </c>
      <c r="V194" s="2">
        <v>62.69</v>
      </c>
      <c r="W194" s="2">
        <v>0.28000000000000003</v>
      </c>
      <c r="X194" s="2">
        <v>0.34300000000000003</v>
      </c>
      <c r="Y194" s="2">
        <v>4.6440000000000001</v>
      </c>
      <c r="Z194" s="2">
        <v>8.85</v>
      </c>
      <c r="AA194" s="2">
        <v>7.7309999999999999</v>
      </c>
      <c r="AB194" s="2">
        <v>2.165</v>
      </c>
      <c r="AC194" s="2">
        <v>9.65</v>
      </c>
      <c r="AD194" s="2">
        <v>9.43</v>
      </c>
      <c r="AE194" s="2">
        <v>1.986</v>
      </c>
      <c r="AF194" s="2">
        <v>1.266</v>
      </c>
      <c r="AG194" s="2">
        <v>3.9729999999999999</v>
      </c>
      <c r="AH194" s="2">
        <v>6.4279999999999999</v>
      </c>
      <c r="AI194" s="2">
        <v>15.88</v>
      </c>
      <c r="AJ194" s="2">
        <v>1.38</v>
      </c>
      <c r="AK194" s="2">
        <v>13.18</v>
      </c>
      <c r="AL194" s="2">
        <v>2.3340000000000001</v>
      </c>
      <c r="AM194" s="2">
        <v>2.1509999999999998</v>
      </c>
      <c r="AN194" s="2" t="s">
        <v>122</v>
      </c>
      <c r="AO194" s="2">
        <v>1020</v>
      </c>
      <c r="AP194" s="2">
        <v>793</v>
      </c>
      <c r="AQ194" s="2">
        <v>183</v>
      </c>
      <c r="AR194" s="2">
        <v>20</v>
      </c>
      <c r="AS194" s="2">
        <v>11</v>
      </c>
      <c r="AT194" s="2">
        <v>40</v>
      </c>
      <c r="AU194" s="2">
        <v>199</v>
      </c>
      <c r="AV194" s="2">
        <v>614</v>
      </c>
      <c r="AW194" s="2"/>
      <c r="AX194" s="2">
        <v>0</v>
      </c>
      <c r="AY194" s="26"/>
      <c r="AZ194" s="5">
        <v>32.56</v>
      </c>
      <c r="BA194" s="1">
        <v>9.43</v>
      </c>
      <c r="BB194" s="1">
        <v>1.83</v>
      </c>
      <c r="BC194" s="6">
        <f t="shared" si="144"/>
        <v>0.19406150583244963</v>
      </c>
      <c r="BE194" s="30">
        <v>9.6519999999999992</v>
      </c>
      <c r="BF194" s="27">
        <v>0</v>
      </c>
      <c r="BG194" s="1">
        <f t="shared" si="117"/>
        <v>96.2</v>
      </c>
      <c r="BH194" s="1">
        <f t="shared" si="118"/>
        <v>87</v>
      </c>
      <c r="BI194" s="1">
        <f t="shared" si="119"/>
        <v>62.7</v>
      </c>
      <c r="BJ194" s="7">
        <f t="shared" si="120"/>
        <v>0.78900000000000003</v>
      </c>
      <c r="BK194" s="7">
        <f t="shared" si="121"/>
        <v>0.46899999999999997</v>
      </c>
      <c r="BM194" s="5">
        <f t="shared" si="122"/>
        <v>9.43</v>
      </c>
      <c r="BN194" s="5">
        <f t="shared" si="123"/>
        <v>1.83</v>
      </c>
      <c r="BO194" s="1">
        <f t="shared" si="124"/>
        <v>5.9</v>
      </c>
      <c r="BP194" s="1">
        <f t="shared" si="125"/>
        <v>10.4</v>
      </c>
      <c r="BQ194" s="1">
        <f t="shared" si="126"/>
        <v>2.5</v>
      </c>
      <c r="BR194" s="1">
        <f t="shared" si="127"/>
        <v>87</v>
      </c>
      <c r="BS194" s="1">
        <f t="shared" si="128"/>
        <v>62.7</v>
      </c>
      <c r="BT194" s="1">
        <f t="shared" si="129"/>
        <v>1.3</v>
      </c>
      <c r="BU194" s="1">
        <f t="shared" si="130"/>
        <v>4</v>
      </c>
      <c r="BV194" s="33">
        <f t="shared" si="131"/>
        <v>9.6519999999999992</v>
      </c>
      <c r="BW194" s="26">
        <f t="shared" si="149"/>
        <v>0</v>
      </c>
      <c r="BX194" s="20" t="str">
        <f t="shared" si="133"/>
        <v>NAN</v>
      </c>
      <c r="BY194" s="1">
        <f t="shared" si="134"/>
        <v>6.4</v>
      </c>
      <c r="BZ194" s="1">
        <f t="shared" si="135"/>
        <v>15.9</v>
      </c>
      <c r="CA194" s="1">
        <f t="shared" si="136"/>
        <v>1.4</v>
      </c>
      <c r="CB194" s="1">
        <f t="shared" si="137"/>
        <v>9</v>
      </c>
      <c r="CC194" s="1">
        <f t="shared" si="138"/>
        <v>9.4</v>
      </c>
      <c r="CD194" s="1">
        <f t="shared" si="139"/>
        <v>7.9</v>
      </c>
      <c r="CE194" s="1" t="str">
        <f t="shared" si="140"/>
        <v>NAN</v>
      </c>
      <c r="CF194" s="1">
        <f t="shared" si="141"/>
        <v>0.78900000000000003</v>
      </c>
      <c r="CG194" s="1">
        <f t="shared" si="142"/>
        <v>0.46899999999999997</v>
      </c>
      <c r="CI194" s="1">
        <f t="shared" si="150"/>
        <v>2880</v>
      </c>
      <c r="CJ194" s="1">
        <f t="shared" si="151"/>
        <v>0.35399999999999998</v>
      </c>
      <c r="CK194" s="1">
        <f t="shared" si="152"/>
        <v>0.27500000000000002</v>
      </c>
      <c r="CL194" s="1">
        <f t="shared" si="153"/>
        <v>6.4000000000000001E-2</v>
      </c>
      <c r="CM194" s="1">
        <f t="shared" si="154"/>
        <v>7.0000000000000001E-3</v>
      </c>
      <c r="CN194" s="1">
        <f t="shared" si="155"/>
        <v>4.0000000000000001E-3</v>
      </c>
      <c r="CO194" s="1">
        <f t="shared" si="156"/>
        <v>1.4E-2</v>
      </c>
      <c r="CP194" s="1">
        <f t="shared" si="157"/>
        <v>6.9000000000000006E-2</v>
      </c>
      <c r="CQ194" s="1">
        <f t="shared" si="158"/>
        <v>0.21299999999999999</v>
      </c>
      <c r="CS194" s="1">
        <f t="shared" si="145"/>
        <v>5.5</v>
      </c>
      <c r="CT194" s="1">
        <f t="shared" si="146"/>
        <v>-1.1000000000000001</v>
      </c>
    </row>
    <row r="195" spans="1:98" x14ac:dyDescent="0.2">
      <c r="A195" s="8">
        <f t="shared" si="143"/>
        <v>44020</v>
      </c>
      <c r="B195" s="1">
        <v>190</v>
      </c>
      <c r="C195" s="1">
        <v>11</v>
      </c>
      <c r="D195" s="2">
        <v>13</v>
      </c>
      <c r="E195" s="2">
        <v>17.89</v>
      </c>
      <c r="F195" s="2">
        <v>1.3939999999999999</v>
      </c>
      <c r="G195" s="2">
        <v>8.4700000000000006</v>
      </c>
      <c r="H195" s="2">
        <v>74.56</v>
      </c>
      <c r="I195" s="2">
        <v>9.18</v>
      </c>
      <c r="J195" s="2">
        <v>8.68</v>
      </c>
      <c r="K195" s="2">
        <v>11.85</v>
      </c>
      <c r="L195" s="2">
        <v>9.2100000000000009</v>
      </c>
      <c r="M195" s="2">
        <v>7.7439999999999998</v>
      </c>
      <c r="N195" s="2">
        <v>15.54</v>
      </c>
      <c r="O195" s="2">
        <v>93.9</v>
      </c>
      <c r="P195" s="2">
        <v>23.49</v>
      </c>
      <c r="Q195" s="2">
        <v>20.100000000000001</v>
      </c>
      <c r="R195" s="2">
        <v>27.97</v>
      </c>
      <c r="S195" s="2">
        <v>10.44</v>
      </c>
      <c r="T195" s="2">
        <v>7.8559999999999999</v>
      </c>
      <c r="U195" s="2">
        <v>3.31</v>
      </c>
      <c r="V195" s="2">
        <v>42.55</v>
      </c>
      <c r="W195" s="2">
        <v>0.36</v>
      </c>
      <c r="X195" s="2">
        <v>1.1639999999999999</v>
      </c>
      <c r="Y195" s="2">
        <v>4.4980000000000002</v>
      </c>
      <c r="Z195" s="2">
        <v>8.2799999999999994</v>
      </c>
      <c r="AA195" s="2">
        <v>7.56</v>
      </c>
      <c r="AB195" s="2">
        <v>2.2250000000000001</v>
      </c>
      <c r="AC195" s="2">
        <v>0</v>
      </c>
      <c r="AD195" s="2">
        <v>18.41</v>
      </c>
      <c r="AE195" s="2">
        <v>3.7029999999999998</v>
      </c>
      <c r="AF195" s="2">
        <v>1.008</v>
      </c>
      <c r="AG195" s="2">
        <v>3.68</v>
      </c>
      <c r="AH195" s="2">
        <v>9.92</v>
      </c>
      <c r="AI195" s="2">
        <v>23.62</v>
      </c>
      <c r="AJ195" s="2">
        <v>2.0920000000000001</v>
      </c>
      <c r="AK195" s="2">
        <v>19.61</v>
      </c>
      <c r="AL195" s="2">
        <v>3.0710000000000002</v>
      </c>
      <c r="AM195" s="2">
        <v>2.1970000000000001</v>
      </c>
      <c r="AN195" s="2" t="s">
        <v>122</v>
      </c>
      <c r="AO195" s="2">
        <v>694</v>
      </c>
      <c r="AP195" s="2">
        <v>373</v>
      </c>
      <c r="AQ195" s="2">
        <v>396</v>
      </c>
      <c r="AR195" s="2">
        <v>125</v>
      </c>
      <c r="AS195" s="2">
        <v>73</v>
      </c>
      <c r="AT195" s="2">
        <v>305</v>
      </c>
      <c r="AU195" s="2">
        <v>479</v>
      </c>
      <c r="AV195" s="2">
        <v>435</v>
      </c>
      <c r="AW195" s="2"/>
      <c r="AX195" s="2">
        <v>0</v>
      </c>
      <c r="AY195" s="26"/>
      <c r="AZ195" s="5">
        <v>32.479999999999997</v>
      </c>
      <c r="BA195" s="1">
        <v>18.41</v>
      </c>
      <c r="BB195" s="1">
        <v>3.41</v>
      </c>
      <c r="BC195" s="6">
        <f t="shared" si="144"/>
        <v>0.18522542096686584</v>
      </c>
      <c r="BE195" s="30">
        <v>0</v>
      </c>
      <c r="BF195" s="27">
        <v>0</v>
      </c>
      <c r="BG195" s="1">
        <f t="shared" si="117"/>
        <v>93.9</v>
      </c>
      <c r="BH195" s="1">
        <f t="shared" si="118"/>
        <v>74.599999999999994</v>
      </c>
      <c r="BI195" s="1">
        <f t="shared" si="119"/>
        <v>42.6</v>
      </c>
      <c r="BJ195" s="7">
        <f t="shared" si="120"/>
        <v>0.752</v>
      </c>
      <c r="BK195" s="7">
        <f t="shared" si="121"/>
        <v>1.0129999999999999</v>
      </c>
      <c r="BM195" s="5">
        <f t="shared" si="122"/>
        <v>18.41</v>
      </c>
      <c r="BN195" s="5">
        <f t="shared" si="123"/>
        <v>3.41</v>
      </c>
      <c r="BO195" s="1">
        <f t="shared" si="124"/>
        <v>8.5</v>
      </c>
      <c r="BP195" s="1">
        <f t="shared" si="125"/>
        <v>15.5</v>
      </c>
      <c r="BQ195" s="1">
        <f t="shared" si="126"/>
        <v>3.3</v>
      </c>
      <c r="BR195" s="1">
        <f t="shared" si="127"/>
        <v>74.599999999999994</v>
      </c>
      <c r="BS195" s="1">
        <f t="shared" si="128"/>
        <v>42.6</v>
      </c>
      <c r="BT195" s="1">
        <f t="shared" si="129"/>
        <v>1</v>
      </c>
      <c r="BU195" s="1">
        <f t="shared" si="130"/>
        <v>3.7</v>
      </c>
      <c r="BV195" s="33">
        <f t="shared" si="131"/>
        <v>0</v>
      </c>
      <c r="BW195" s="26">
        <f t="shared" si="149"/>
        <v>0</v>
      </c>
      <c r="BX195" s="20" t="str">
        <f t="shared" si="133"/>
        <v>NAN</v>
      </c>
      <c r="BY195" s="1">
        <f t="shared" si="134"/>
        <v>9.9</v>
      </c>
      <c r="BZ195" s="1">
        <f t="shared" si="135"/>
        <v>23.6</v>
      </c>
      <c r="CA195" s="1">
        <f t="shared" si="136"/>
        <v>2.1</v>
      </c>
      <c r="CB195" s="1">
        <f t="shared" si="137"/>
        <v>11.9</v>
      </c>
      <c r="CC195" s="1">
        <f t="shared" si="138"/>
        <v>9.1999999999999993</v>
      </c>
      <c r="CD195" s="1">
        <f t="shared" si="139"/>
        <v>7.7</v>
      </c>
      <c r="CE195" s="1" t="str">
        <f t="shared" si="140"/>
        <v>NAN</v>
      </c>
      <c r="CF195" s="1">
        <f t="shared" si="141"/>
        <v>0.752</v>
      </c>
      <c r="CG195" s="1">
        <f t="shared" si="142"/>
        <v>1.0129999999999999</v>
      </c>
      <c r="CI195" s="1">
        <f t="shared" si="150"/>
        <v>2880</v>
      </c>
      <c r="CJ195" s="1">
        <f t="shared" si="151"/>
        <v>0.24099999999999999</v>
      </c>
      <c r="CK195" s="1">
        <f t="shared" si="152"/>
        <v>0.13</v>
      </c>
      <c r="CL195" s="1">
        <f t="shared" si="153"/>
        <v>0.13800000000000001</v>
      </c>
      <c r="CM195" s="1">
        <f t="shared" si="154"/>
        <v>4.2999999999999997E-2</v>
      </c>
      <c r="CN195" s="1">
        <f t="shared" si="155"/>
        <v>2.5000000000000001E-2</v>
      </c>
      <c r="CO195" s="1">
        <f t="shared" si="156"/>
        <v>0.106</v>
      </c>
      <c r="CP195" s="1">
        <f t="shared" si="157"/>
        <v>0.16600000000000001</v>
      </c>
      <c r="CQ195" s="1">
        <f t="shared" si="158"/>
        <v>0.151</v>
      </c>
      <c r="CS195" s="1">
        <f t="shared" si="145"/>
        <v>8.1000000000000014</v>
      </c>
      <c r="CT195" s="1">
        <f t="shared" si="146"/>
        <v>-1.1999999999999997</v>
      </c>
    </row>
    <row r="196" spans="1:98" x14ac:dyDescent="0.2">
      <c r="A196" s="8">
        <f t="shared" si="143"/>
        <v>44021</v>
      </c>
      <c r="B196" s="1">
        <v>191</v>
      </c>
      <c r="C196" s="1">
        <v>11</v>
      </c>
      <c r="D196" s="2">
        <v>13.01</v>
      </c>
      <c r="E196" s="2">
        <v>11.56</v>
      </c>
      <c r="F196" s="2">
        <v>2.8220000000000001</v>
      </c>
      <c r="G196" s="2">
        <v>7.5389999999999997</v>
      </c>
      <c r="H196" s="2">
        <v>82.5</v>
      </c>
      <c r="I196" s="2">
        <v>6.9889999999999999</v>
      </c>
      <c r="J196" s="2">
        <v>7.1180000000000003</v>
      </c>
      <c r="K196" s="2">
        <v>10.33</v>
      </c>
      <c r="L196" s="2">
        <v>9.66</v>
      </c>
      <c r="M196" s="2">
        <v>7.827</v>
      </c>
      <c r="N196" s="2">
        <v>10.51</v>
      </c>
      <c r="O196" s="2">
        <v>92.7</v>
      </c>
      <c r="P196" s="2">
        <v>13.95</v>
      </c>
      <c r="Q196" s="2">
        <v>14.28</v>
      </c>
      <c r="R196" s="2">
        <v>18.46</v>
      </c>
      <c r="S196" s="2">
        <v>10.27</v>
      </c>
      <c r="T196" s="2">
        <v>7.9530000000000003</v>
      </c>
      <c r="U196" s="2">
        <v>4.6639999999999997</v>
      </c>
      <c r="V196" s="2">
        <v>66.08</v>
      </c>
      <c r="W196" s="2">
        <v>1.079</v>
      </c>
      <c r="X196" s="2">
        <v>1.87</v>
      </c>
      <c r="Y196" s="2">
        <v>5.4039999999999999</v>
      </c>
      <c r="Z196" s="2">
        <v>9.1300000000000008</v>
      </c>
      <c r="AA196" s="2">
        <v>7.6849999999999996</v>
      </c>
      <c r="AB196" s="2">
        <v>2.1789999999999998</v>
      </c>
      <c r="AC196" s="2">
        <v>1.27</v>
      </c>
      <c r="AD196" s="2">
        <v>10.050000000000001</v>
      </c>
      <c r="AE196" s="2">
        <v>1.974</v>
      </c>
      <c r="AF196" s="2">
        <v>0.85199999999999998</v>
      </c>
      <c r="AG196" s="2">
        <v>3.3109999999999999</v>
      </c>
      <c r="AH196" s="2">
        <v>8.1199999999999992</v>
      </c>
      <c r="AI196" s="2">
        <v>16.18</v>
      </c>
      <c r="AJ196" s="2">
        <v>3.2309999999999999</v>
      </c>
      <c r="AK196" s="2">
        <v>12.21</v>
      </c>
      <c r="AL196" s="2">
        <v>4.2690000000000001</v>
      </c>
      <c r="AM196" s="2">
        <v>2.1589999999999998</v>
      </c>
      <c r="AN196" s="2" t="s">
        <v>122</v>
      </c>
      <c r="AO196" s="2">
        <v>432</v>
      </c>
      <c r="AP196" s="2">
        <v>288</v>
      </c>
      <c r="AQ196" s="2">
        <v>136</v>
      </c>
      <c r="AR196" s="2">
        <v>237</v>
      </c>
      <c r="AS196" s="2">
        <v>336</v>
      </c>
      <c r="AT196" s="2">
        <v>416</v>
      </c>
      <c r="AU196" s="2">
        <v>620</v>
      </c>
      <c r="AV196" s="2">
        <v>415</v>
      </c>
      <c r="AW196" s="2"/>
      <c r="AX196" s="2">
        <v>0</v>
      </c>
      <c r="AY196" s="26"/>
      <c r="AZ196" s="5">
        <v>32.4</v>
      </c>
      <c r="BA196" s="1">
        <v>10.050000000000001</v>
      </c>
      <c r="BB196" s="1">
        <v>1.82</v>
      </c>
      <c r="BC196" s="6">
        <f t="shared" si="144"/>
        <v>0.18109452736318407</v>
      </c>
      <c r="BE196" s="30">
        <v>1.27</v>
      </c>
      <c r="BF196" s="27">
        <v>0</v>
      </c>
      <c r="BG196" s="1">
        <f t="shared" si="117"/>
        <v>92.7</v>
      </c>
      <c r="BH196" s="1">
        <f t="shared" si="118"/>
        <v>82.5</v>
      </c>
      <c r="BI196" s="1">
        <f t="shared" si="119"/>
        <v>66.099999999999994</v>
      </c>
      <c r="BJ196" s="7">
        <f t="shared" si="120"/>
        <v>0.84</v>
      </c>
      <c r="BK196" s="7">
        <f t="shared" si="121"/>
        <v>0.43099999999999999</v>
      </c>
      <c r="BM196" s="5">
        <f t="shared" si="122"/>
        <v>10.050000000000001</v>
      </c>
      <c r="BN196" s="5">
        <f t="shared" si="123"/>
        <v>1.82</v>
      </c>
      <c r="BO196" s="1">
        <f t="shared" si="124"/>
        <v>7.5</v>
      </c>
      <c r="BP196" s="1">
        <f t="shared" si="125"/>
        <v>10.5</v>
      </c>
      <c r="BQ196" s="1">
        <f t="shared" si="126"/>
        <v>4.7</v>
      </c>
      <c r="BR196" s="1">
        <f t="shared" si="127"/>
        <v>82.5</v>
      </c>
      <c r="BS196" s="1">
        <f t="shared" si="128"/>
        <v>66.099999999999994</v>
      </c>
      <c r="BT196" s="1">
        <f t="shared" si="129"/>
        <v>0.9</v>
      </c>
      <c r="BU196" s="1">
        <f t="shared" si="130"/>
        <v>3.3</v>
      </c>
      <c r="BV196" s="33">
        <f t="shared" si="131"/>
        <v>1.27</v>
      </c>
      <c r="BW196" s="26">
        <f t="shared" si="149"/>
        <v>0</v>
      </c>
      <c r="BX196" s="20" t="str">
        <f t="shared" si="133"/>
        <v>NAN</v>
      </c>
      <c r="BY196" s="1">
        <f t="shared" si="134"/>
        <v>8.1</v>
      </c>
      <c r="BZ196" s="1">
        <f t="shared" si="135"/>
        <v>16.2</v>
      </c>
      <c r="CA196" s="1">
        <f t="shared" si="136"/>
        <v>3.2</v>
      </c>
      <c r="CB196" s="1">
        <f t="shared" si="137"/>
        <v>10.3</v>
      </c>
      <c r="CC196" s="1">
        <f t="shared" si="138"/>
        <v>9.6999999999999993</v>
      </c>
      <c r="CD196" s="1">
        <f t="shared" si="139"/>
        <v>7.8</v>
      </c>
      <c r="CE196" s="1" t="str">
        <f t="shared" si="140"/>
        <v>NAN</v>
      </c>
      <c r="CF196" s="1">
        <f t="shared" si="141"/>
        <v>0.84</v>
      </c>
      <c r="CG196" s="1">
        <f t="shared" si="142"/>
        <v>0.43099999999999999</v>
      </c>
      <c r="CI196" s="1">
        <f t="shared" si="150"/>
        <v>2880</v>
      </c>
      <c r="CJ196" s="1">
        <f t="shared" si="151"/>
        <v>0.15</v>
      </c>
      <c r="CK196" s="1">
        <f t="shared" si="152"/>
        <v>0.1</v>
      </c>
      <c r="CL196" s="1">
        <f t="shared" si="153"/>
        <v>4.7E-2</v>
      </c>
      <c r="CM196" s="1">
        <f t="shared" si="154"/>
        <v>8.2000000000000003E-2</v>
      </c>
      <c r="CN196" s="1">
        <f t="shared" si="155"/>
        <v>0.11700000000000001</v>
      </c>
      <c r="CO196" s="1">
        <f t="shared" si="156"/>
        <v>0.14399999999999999</v>
      </c>
      <c r="CP196" s="1">
        <f t="shared" si="157"/>
        <v>0.215</v>
      </c>
      <c r="CQ196" s="1">
        <f t="shared" si="158"/>
        <v>0.14399999999999999</v>
      </c>
      <c r="CS196" s="1">
        <f t="shared" si="145"/>
        <v>5.6999999999999993</v>
      </c>
      <c r="CT196" s="1">
        <f t="shared" si="146"/>
        <v>-1.5</v>
      </c>
    </row>
    <row r="197" spans="1:98" x14ac:dyDescent="0.2">
      <c r="A197" s="8">
        <f t="shared" si="143"/>
        <v>44022</v>
      </c>
      <c r="B197" s="1">
        <v>192</v>
      </c>
      <c r="C197" s="1">
        <v>11</v>
      </c>
      <c r="D197" s="2">
        <v>12.98</v>
      </c>
      <c r="E197" s="2">
        <v>19.13</v>
      </c>
      <c r="F197" s="2">
        <v>2.5230000000000001</v>
      </c>
      <c r="G197" s="2">
        <v>10.14</v>
      </c>
      <c r="H197" s="2">
        <v>66.02</v>
      </c>
      <c r="I197" s="2">
        <v>10.41</v>
      </c>
      <c r="J197" s="2">
        <v>10.09</v>
      </c>
      <c r="K197" s="2">
        <v>13.17</v>
      </c>
      <c r="L197" s="2">
        <v>9.77</v>
      </c>
      <c r="M197" s="2">
        <v>7.8559999999999999</v>
      </c>
      <c r="N197" s="2">
        <v>16.920000000000002</v>
      </c>
      <c r="O197" s="2">
        <v>93.5</v>
      </c>
      <c r="P197" s="2">
        <v>24.6</v>
      </c>
      <c r="Q197" s="2">
        <v>20.88</v>
      </c>
      <c r="R197" s="2">
        <v>30.09</v>
      </c>
      <c r="S197" s="2">
        <v>11.4</v>
      </c>
      <c r="T197" s="2">
        <v>7.9790000000000001</v>
      </c>
      <c r="U197" s="2">
        <v>3.988</v>
      </c>
      <c r="V197" s="2">
        <v>42.41</v>
      </c>
      <c r="W197" s="2">
        <v>1.153</v>
      </c>
      <c r="X197" s="2">
        <v>1.6639999999999999</v>
      </c>
      <c r="Y197" s="2">
        <v>4.25</v>
      </c>
      <c r="Z197" s="2">
        <v>8.5399999999999991</v>
      </c>
      <c r="AA197" s="2">
        <v>7.702</v>
      </c>
      <c r="AB197" s="2">
        <v>2.1869999999999998</v>
      </c>
      <c r="AC197" s="2">
        <v>0</v>
      </c>
      <c r="AD197" s="2">
        <v>22.61</v>
      </c>
      <c r="AE197" s="2">
        <v>4.7359999999999998</v>
      </c>
      <c r="AF197" s="2">
        <v>1.296</v>
      </c>
      <c r="AG197" s="2">
        <v>3.6150000000000002</v>
      </c>
      <c r="AH197" s="2">
        <v>11.62</v>
      </c>
      <c r="AI197" s="2">
        <v>24.6</v>
      </c>
      <c r="AJ197" s="2">
        <v>2.653</v>
      </c>
      <c r="AK197" s="2">
        <v>20.45</v>
      </c>
      <c r="AL197" s="2">
        <v>3.762</v>
      </c>
      <c r="AM197" s="2">
        <v>2.1509999999999998</v>
      </c>
      <c r="AN197" s="2" t="s">
        <v>122</v>
      </c>
      <c r="AO197" s="2">
        <v>348</v>
      </c>
      <c r="AP197" s="2">
        <v>171</v>
      </c>
      <c r="AQ197" s="2">
        <v>42</v>
      </c>
      <c r="AR197" s="2">
        <v>57</v>
      </c>
      <c r="AS197" s="2">
        <v>348</v>
      </c>
      <c r="AT197" s="2">
        <v>799</v>
      </c>
      <c r="AU197" s="2">
        <v>726</v>
      </c>
      <c r="AV197" s="2">
        <v>389</v>
      </c>
      <c r="AW197" s="2"/>
      <c r="AX197" s="2">
        <v>0</v>
      </c>
      <c r="AY197" s="26"/>
      <c r="AZ197" s="5">
        <v>32.31</v>
      </c>
      <c r="BA197" s="1">
        <v>22.61</v>
      </c>
      <c r="BB197" s="1">
        <v>4.3600000000000003</v>
      </c>
      <c r="BC197" s="6">
        <f t="shared" si="144"/>
        <v>0.19283502874834146</v>
      </c>
      <c r="BE197" s="30">
        <v>0</v>
      </c>
      <c r="BF197" s="27">
        <v>0</v>
      </c>
      <c r="BG197" s="1">
        <f t="shared" si="117"/>
        <v>93.5</v>
      </c>
      <c r="BH197" s="1">
        <f t="shared" si="118"/>
        <v>66</v>
      </c>
      <c r="BI197" s="1">
        <f t="shared" si="119"/>
        <v>42.4</v>
      </c>
      <c r="BJ197" s="7">
        <f t="shared" si="120"/>
        <v>0.81699999999999995</v>
      </c>
      <c r="BK197" s="7">
        <f t="shared" si="121"/>
        <v>1.1100000000000001</v>
      </c>
      <c r="BM197" s="5">
        <f t="shared" si="122"/>
        <v>22.61</v>
      </c>
      <c r="BN197" s="5">
        <f t="shared" si="123"/>
        <v>4.3600000000000003</v>
      </c>
      <c r="BO197" s="1">
        <f t="shared" si="124"/>
        <v>10.1</v>
      </c>
      <c r="BP197" s="1">
        <f t="shared" si="125"/>
        <v>16.899999999999999</v>
      </c>
      <c r="BQ197" s="1">
        <f t="shared" si="126"/>
        <v>4</v>
      </c>
      <c r="BR197" s="1">
        <f t="shared" si="127"/>
        <v>66</v>
      </c>
      <c r="BS197" s="1">
        <f t="shared" si="128"/>
        <v>42.4</v>
      </c>
      <c r="BT197" s="1">
        <f t="shared" si="129"/>
        <v>1.3</v>
      </c>
      <c r="BU197" s="1">
        <f t="shared" si="130"/>
        <v>3.6</v>
      </c>
      <c r="BV197" s="33">
        <f t="shared" si="131"/>
        <v>0</v>
      </c>
      <c r="BW197" s="26">
        <f t="shared" si="149"/>
        <v>0</v>
      </c>
      <c r="BX197" s="20" t="str">
        <f t="shared" si="133"/>
        <v>NAN</v>
      </c>
      <c r="BY197" s="1">
        <f t="shared" si="134"/>
        <v>11.6</v>
      </c>
      <c r="BZ197" s="1">
        <f t="shared" si="135"/>
        <v>24.6</v>
      </c>
      <c r="CA197" s="1">
        <f t="shared" si="136"/>
        <v>2.7</v>
      </c>
      <c r="CB197" s="1">
        <f t="shared" si="137"/>
        <v>13.2</v>
      </c>
      <c r="CC197" s="1">
        <f t="shared" si="138"/>
        <v>9.8000000000000007</v>
      </c>
      <c r="CD197" s="1">
        <f t="shared" si="139"/>
        <v>7.9</v>
      </c>
      <c r="CE197" s="1" t="str">
        <f t="shared" si="140"/>
        <v>NAN</v>
      </c>
      <c r="CF197" s="1">
        <f t="shared" si="141"/>
        <v>0.81699999999999995</v>
      </c>
      <c r="CG197" s="1">
        <f t="shared" si="142"/>
        <v>1.1100000000000001</v>
      </c>
      <c r="CI197" s="1">
        <f t="shared" si="150"/>
        <v>2880</v>
      </c>
      <c r="CJ197" s="1">
        <f t="shared" si="151"/>
        <v>0.121</v>
      </c>
      <c r="CK197" s="1">
        <f t="shared" si="152"/>
        <v>5.8999999999999997E-2</v>
      </c>
      <c r="CL197" s="1">
        <f t="shared" si="153"/>
        <v>1.4999999999999999E-2</v>
      </c>
      <c r="CM197" s="1">
        <f t="shared" si="154"/>
        <v>0.02</v>
      </c>
      <c r="CN197" s="1">
        <f t="shared" si="155"/>
        <v>0.121</v>
      </c>
      <c r="CO197" s="1">
        <f t="shared" si="156"/>
        <v>0.27700000000000002</v>
      </c>
      <c r="CP197" s="1">
        <f t="shared" si="157"/>
        <v>0.252</v>
      </c>
      <c r="CQ197" s="1">
        <f t="shared" si="158"/>
        <v>0.13500000000000001</v>
      </c>
      <c r="CS197" s="1">
        <f t="shared" si="145"/>
        <v>7.7000000000000028</v>
      </c>
      <c r="CT197" s="1">
        <f t="shared" si="146"/>
        <v>-1.2999999999999998</v>
      </c>
    </row>
    <row r="198" spans="1:98" x14ac:dyDescent="0.2">
      <c r="A198" s="8">
        <f t="shared" si="143"/>
        <v>44023</v>
      </c>
      <c r="B198" s="1">
        <v>193</v>
      </c>
      <c r="C198" s="1">
        <v>11</v>
      </c>
      <c r="D198" s="2">
        <v>12.97</v>
      </c>
      <c r="E198" s="2">
        <v>17.66</v>
      </c>
      <c r="F198" s="2">
        <v>4.0419999999999998</v>
      </c>
      <c r="G198" s="2">
        <v>11.3</v>
      </c>
      <c r="H198" s="2">
        <v>58.43</v>
      </c>
      <c r="I198" s="2">
        <v>10.130000000000001</v>
      </c>
      <c r="J198" s="2">
        <v>10.45</v>
      </c>
      <c r="K198" s="2">
        <v>10.83</v>
      </c>
      <c r="L198" s="2">
        <v>10.31</v>
      </c>
      <c r="M198" s="2">
        <v>8.06</v>
      </c>
      <c r="N198" s="2">
        <v>16.32</v>
      </c>
      <c r="O198" s="2">
        <v>78.319999999999993</v>
      </c>
      <c r="P198" s="2">
        <v>18.510000000000002</v>
      </c>
      <c r="Q198" s="2">
        <v>18.38</v>
      </c>
      <c r="R198" s="2">
        <v>17.27</v>
      </c>
      <c r="S198" s="2">
        <v>11.16</v>
      </c>
      <c r="T198" s="2">
        <v>8.1999999999999993</v>
      </c>
      <c r="U198" s="2">
        <v>5.8769999999999998</v>
      </c>
      <c r="V198" s="2">
        <v>36.42</v>
      </c>
      <c r="W198" s="2">
        <v>2.5270000000000001</v>
      </c>
      <c r="X198" s="2">
        <v>3.6280000000000001</v>
      </c>
      <c r="Y198" s="2">
        <v>5.6580000000000004</v>
      </c>
      <c r="Z198" s="2">
        <v>9.5299999999999994</v>
      </c>
      <c r="AA198" s="2">
        <v>7.8520000000000003</v>
      </c>
      <c r="AB198" s="2">
        <v>2.6339999999999999</v>
      </c>
      <c r="AC198" s="2">
        <v>0</v>
      </c>
      <c r="AD198" s="2">
        <v>15.92</v>
      </c>
      <c r="AE198" s="2">
        <v>3.2029999999999998</v>
      </c>
      <c r="AF198" s="2">
        <v>1.9019999999999999</v>
      </c>
      <c r="AG198" s="2">
        <v>5.7789999999999999</v>
      </c>
      <c r="AH198" s="2">
        <v>11.08</v>
      </c>
      <c r="AI198" s="2">
        <v>21.13</v>
      </c>
      <c r="AJ198" s="2">
        <v>4.1390000000000002</v>
      </c>
      <c r="AK198" s="2">
        <v>18.36</v>
      </c>
      <c r="AL198" s="2">
        <v>5.665</v>
      </c>
      <c r="AM198" s="2">
        <v>2.605</v>
      </c>
      <c r="AN198" s="2" t="s">
        <v>122</v>
      </c>
      <c r="AO198" s="2">
        <v>368</v>
      </c>
      <c r="AP198" s="2">
        <v>311</v>
      </c>
      <c r="AQ198" s="2">
        <v>38</v>
      </c>
      <c r="AR198" s="2">
        <v>67</v>
      </c>
      <c r="AS198" s="2">
        <v>502</v>
      </c>
      <c r="AT198" s="2">
        <v>960</v>
      </c>
      <c r="AU198" s="2">
        <v>447</v>
      </c>
      <c r="AV198" s="2">
        <v>187</v>
      </c>
      <c r="AW198" s="2"/>
      <c r="AX198" s="2">
        <v>0</v>
      </c>
      <c r="AY198" s="26"/>
      <c r="AZ198" s="5">
        <v>32.22</v>
      </c>
      <c r="BA198" s="1">
        <v>15.92</v>
      </c>
      <c r="BB198" s="1">
        <v>2.95</v>
      </c>
      <c r="BC198" s="6">
        <f t="shared" si="144"/>
        <v>0.18530150753768845</v>
      </c>
      <c r="BE198" s="30">
        <v>0</v>
      </c>
      <c r="BF198" s="27">
        <v>0</v>
      </c>
      <c r="BG198" s="1">
        <f t="shared" ref="BG198:BG261" si="159">ROUND(BH$1*O198+BH$2,1)</f>
        <v>78.3</v>
      </c>
      <c r="BH198" s="1">
        <f t="shared" ref="BH198:BH261" si="160">ROUND(H198*BH$1+BH$2,1)</f>
        <v>58.4</v>
      </c>
      <c r="BI198" s="1">
        <f t="shared" ref="BI198:BI261" si="161">ROUND(V198*BH$1+BH$2,1)</f>
        <v>36.4</v>
      </c>
      <c r="BJ198" s="7">
        <f t="shared" ref="BJ198:BJ261" si="162">ROUND((0.6105*(EXP((17.273*N198)/(N198+237.3))))*BI198/100,3)</f>
        <v>0.67500000000000004</v>
      </c>
      <c r="BK198" s="7">
        <f t="shared" ref="BK198:BK261" si="163">ROUND(BJ198/BI198*(100-BI198),3)</f>
        <v>1.179</v>
      </c>
      <c r="BM198" s="5">
        <f t="shared" ref="BM198:BM261" si="164">BA198</f>
        <v>15.92</v>
      </c>
      <c r="BN198" s="5">
        <f t="shared" ref="BN198:BN261" si="165">BB198</f>
        <v>2.95</v>
      </c>
      <c r="BO198" s="1">
        <f t="shared" ref="BO198:BO261" si="166">ROUND(G198,1)</f>
        <v>11.3</v>
      </c>
      <c r="BP198" s="1">
        <f t="shared" ref="BP198:BP261" si="167">ROUND(N198,1)</f>
        <v>16.3</v>
      </c>
      <c r="BQ198" s="1">
        <f t="shared" ref="BQ198:BQ261" si="168">ROUND(U198,1)</f>
        <v>5.9</v>
      </c>
      <c r="BR198" s="1">
        <f t="shared" ref="BR198:BR261" si="169">BH198</f>
        <v>58.4</v>
      </c>
      <c r="BS198" s="1">
        <f t="shared" ref="BS198:BS261" si="170">BI198</f>
        <v>36.4</v>
      </c>
      <c r="BT198" s="1">
        <f t="shared" ref="BT198:BT261" si="171">ROUND(AF198,1)</f>
        <v>1.9</v>
      </c>
      <c r="BU198" s="1">
        <f t="shared" ref="BU198:BU261" si="172">ROUND(AG198,1)</f>
        <v>5.8</v>
      </c>
      <c r="BV198" s="33">
        <f t="shared" ref="BV198:BV261" si="173">BE198</f>
        <v>0</v>
      </c>
      <c r="BW198" s="26">
        <f t="shared" si="149"/>
        <v>0</v>
      </c>
      <c r="BX198" s="20" t="str">
        <f t="shared" ref="BX198:BX261" si="174">IF(AY198="","NAN",AY198)</f>
        <v>NAN</v>
      </c>
      <c r="BY198" s="1">
        <f t="shared" ref="BY198:BY261" si="175">IF(AH198="NAN", "NAN", ROUND(AH198,1))</f>
        <v>11.1</v>
      </c>
      <c r="BZ198" s="1">
        <f t="shared" ref="BZ198:BZ261" si="176">IF(AI198="NAN", "NAN", ROUND(AI198,1))</f>
        <v>21.1</v>
      </c>
      <c r="CA198" s="1">
        <f t="shared" ref="CA198:CA261" si="177">IF(AJ198="NAN", "NAN", ROUND(AJ198,1))</f>
        <v>4.0999999999999996</v>
      </c>
      <c r="CB198" s="1">
        <f t="shared" ref="CB198:CB261" si="178">ROUND(K198,1)</f>
        <v>10.8</v>
      </c>
      <c r="CC198" s="1">
        <f t="shared" ref="CC198:CC261" si="179">ROUND(L198,1)</f>
        <v>10.3</v>
      </c>
      <c r="CD198" s="1">
        <f t="shared" ref="CD198:CD261" si="180">ROUND(M198,1)</f>
        <v>8.1</v>
      </c>
      <c r="CE198" s="1" t="str">
        <f t="shared" ref="CE198:CE261" si="181">AN198</f>
        <v>NAN</v>
      </c>
      <c r="CF198" s="1">
        <f t="shared" si="141"/>
        <v>0.67500000000000004</v>
      </c>
      <c r="CG198" s="1">
        <f t="shared" si="142"/>
        <v>1.179</v>
      </c>
      <c r="CI198" s="1">
        <f t="shared" si="150"/>
        <v>2880</v>
      </c>
      <c r="CJ198" s="1">
        <f t="shared" si="151"/>
        <v>0.128</v>
      </c>
      <c r="CK198" s="1">
        <f t="shared" si="152"/>
        <v>0.108</v>
      </c>
      <c r="CL198" s="1">
        <f t="shared" si="153"/>
        <v>1.2999999999999999E-2</v>
      </c>
      <c r="CM198" s="1">
        <f t="shared" si="154"/>
        <v>2.3E-2</v>
      </c>
      <c r="CN198" s="1">
        <f t="shared" si="155"/>
        <v>0.17399999999999999</v>
      </c>
      <c r="CO198" s="1">
        <f t="shared" si="156"/>
        <v>0.33300000000000002</v>
      </c>
      <c r="CP198" s="1">
        <f t="shared" si="157"/>
        <v>0.155</v>
      </c>
      <c r="CQ198" s="1">
        <f t="shared" si="158"/>
        <v>6.5000000000000002E-2</v>
      </c>
      <c r="CS198" s="1">
        <f t="shared" si="145"/>
        <v>4.8000000000000007</v>
      </c>
      <c r="CT198" s="1">
        <f t="shared" si="146"/>
        <v>-1.8000000000000007</v>
      </c>
    </row>
    <row r="199" spans="1:98" x14ac:dyDescent="0.2">
      <c r="A199" s="8">
        <f t="shared" si="143"/>
        <v>44024</v>
      </c>
      <c r="B199" s="1">
        <v>194</v>
      </c>
      <c r="C199" s="1">
        <v>11</v>
      </c>
      <c r="D199" s="2">
        <v>12.95</v>
      </c>
      <c r="E199" s="2">
        <v>12.93</v>
      </c>
      <c r="F199" s="2">
        <v>0.13800000000000001</v>
      </c>
      <c r="G199" s="2">
        <v>5.26</v>
      </c>
      <c r="H199" s="2">
        <v>78.19</v>
      </c>
      <c r="I199" s="2">
        <v>6.4930000000000003</v>
      </c>
      <c r="J199" s="2">
        <v>5.9589999999999996</v>
      </c>
      <c r="K199" s="2">
        <v>10.24</v>
      </c>
      <c r="L199" s="2">
        <v>9.99</v>
      </c>
      <c r="M199" s="2">
        <v>8.1199999999999992</v>
      </c>
      <c r="N199" s="2">
        <v>10.81</v>
      </c>
      <c r="O199" s="2">
        <v>95.4</v>
      </c>
      <c r="P199" s="2">
        <v>20.43</v>
      </c>
      <c r="Q199" s="2">
        <v>16.8</v>
      </c>
      <c r="R199" s="2">
        <v>27.1</v>
      </c>
      <c r="S199" s="2">
        <v>11.02</v>
      </c>
      <c r="T199" s="2">
        <v>8.3000000000000007</v>
      </c>
      <c r="U199" s="2">
        <v>0.45600000000000002</v>
      </c>
      <c r="V199" s="2">
        <v>44.49</v>
      </c>
      <c r="W199" s="2">
        <v>-0.26600000000000001</v>
      </c>
      <c r="X199" s="2">
        <v>-0.16300000000000001</v>
      </c>
      <c r="Y199" s="2">
        <v>4.1559999999999997</v>
      </c>
      <c r="Z199" s="2">
        <v>8.9499999999999993</v>
      </c>
      <c r="AA199" s="2">
        <v>7.99</v>
      </c>
      <c r="AB199" s="2">
        <v>2.165</v>
      </c>
      <c r="AC199" s="2">
        <v>2.032</v>
      </c>
      <c r="AD199" s="2">
        <v>21.41</v>
      </c>
      <c r="AE199" s="2">
        <v>4.4530000000000003</v>
      </c>
      <c r="AF199" s="2">
        <v>1.786</v>
      </c>
      <c r="AG199" s="2">
        <v>5.5019999999999998</v>
      </c>
      <c r="AH199" s="2">
        <v>6.6929999999999996</v>
      </c>
      <c r="AI199" s="2">
        <v>19.72</v>
      </c>
      <c r="AJ199" s="2">
        <v>-0.27200000000000002</v>
      </c>
      <c r="AK199" s="2">
        <v>13.58</v>
      </c>
      <c r="AL199" s="2">
        <v>-1.2999999999999999E-2</v>
      </c>
      <c r="AM199" s="2">
        <v>2.1589999999999998</v>
      </c>
      <c r="AN199" s="2" t="s">
        <v>122</v>
      </c>
      <c r="AO199" s="2">
        <v>686</v>
      </c>
      <c r="AP199" s="2">
        <v>413</v>
      </c>
      <c r="AQ199" s="2">
        <v>145</v>
      </c>
      <c r="AR199" s="2">
        <v>41</v>
      </c>
      <c r="AS199" s="2">
        <v>38</v>
      </c>
      <c r="AT199" s="2">
        <v>189</v>
      </c>
      <c r="AU199" s="2">
        <v>631</v>
      </c>
      <c r="AV199" s="2">
        <v>736</v>
      </c>
      <c r="AW199" s="2"/>
      <c r="AX199" s="2">
        <v>0</v>
      </c>
      <c r="AY199" s="26"/>
      <c r="AZ199" s="5">
        <v>32.119999999999997</v>
      </c>
      <c r="BA199" s="1">
        <v>21.41</v>
      </c>
      <c r="BB199" s="1">
        <v>4.0999999999999996</v>
      </c>
      <c r="BC199" s="6">
        <f t="shared" si="144"/>
        <v>0.19149929939280708</v>
      </c>
      <c r="BE199" s="30">
        <v>2.032</v>
      </c>
      <c r="BF199" s="27">
        <v>0</v>
      </c>
      <c r="BG199" s="1">
        <f t="shared" si="159"/>
        <v>95.4</v>
      </c>
      <c r="BH199" s="1">
        <f t="shared" si="160"/>
        <v>78.2</v>
      </c>
      <c r="BI199" s="1">
        <f t="shared" si="161"/>
        <v>44.5</v>
      </c>
      <c r="BJ199" s="7">
        <f t="shared" si="162"/>
        <v>0.57699999999999996</v>
      </c>
      <c r="BK199" s="7">
        <f t="shared" si="163"/>
        <v>0.72</v>
      </c>
      <c r="BM199" s="5">
        <f t="shared" si="164"/>
        <v>21.41</v>
      </c>
      <c r="BN199" s="5">
        <f t="shared" si="165"/>
        <v>4.0999999999999996</v>
      </c>
      <c r="BO199" s="1">
        <f t="shared" si="166"/>
        <v>5.3</v>
      </c>
      <c r="BP199" s="1">
        <f t="shared" si="167"/>
        <v>10.8</v>
      </c>
      <c r="BQ199" s="1">
        <f t="shared" si="168"/>
        <v>0.5</v>
      </c>
      <c r="BR199" s="1">
        <f t="shared" si="169"/>
        <v>78.2</v>
      </c>
      <c r="BS199" s="1">
        <f t="shared" si="170"/>
        <v>44.5</v>
      </c>
      <c r="BT199" s="1">
        <f t="shared" si="171"/>
        <v>1.8</v>
      </c>
      <c r="BU199" s="1">
        <f t="shared" si="172"/>
        <v>5.5</v>
      </c>
      <c r="BV199" s="33">
        <f t="shared" si="173"/>
        <v>2.032</v>
      </c>
      <c r="BW199" s="26">
        <f t="shared" si="149"/>
        <v>0</v>
      </c>
      <c r="BX199" s="20" t="str">
        <f t="shared" si="174"/>
        <v>NAN</v>
      </c>
      <c r="BY199" s="1">
        <f t="shared" si="175"/>
        <v>6.7</v>
      </c>
      <c r="BZ199" s="1">
        <f t="shared" si="176"/>
        <v>19.7</v>
      </c>
      <c r="CA199" s="1">
        <f t="shared" si="177"/>
        <v>-0.3</v>
      </c>
      <c r="CB199" s="1">
        <f t="shared" si="178"/>
        <v>10.199999999999999</v>
      </c>
      <c r="CC199" s="1">
        <f t="shared" si="179"/>
        <v>10</v>
      </c>
      <c r="CD199" s="1">
        <f t="shared" si="180"/>
        <v>8.1</v>
      </c>
      <c r="CE199" s="1" t="str">
        <f t="shared" si="181"/>
        <v>NAN</v>
      </c>
      <c r="CF199" s="1">
        <f t="shared" ref="CF199:CF262" si="182">BJ199</f>
        <v>0.57699999999999996</v>
      </c>
      <c r="CG199" s="1">
        <f t="shared" ref="CG199:CG262" si="183">BK199</f>
        <v>0.72</v>
      </c>
      <c r="CI199" s="1">
        <f t="shared" si="150"/>
        <v>2879</v>
      </c>
      <c r="CJ199" s="1">
        <f t="shared" si="151"/>
        <v>0.23799999999999999</v>
      </c>
      <c r="CK199" s="1">
        <f t="shared" si="152"/>
        <v>0.14299999999999999</v>
      </c>
      <c r="CL199" s="1">
        <f t="shared" si="153"/>
        <v>0.05</v>
      </c>
      <c r="CM199" s="1">
        <f t="shared" si="154"/>
        <v>1.4E-2</v>
      </c>
      <c r="CN199" s="1">
        <f t="shared" si="155"/>
        <v>1.2999999999999999E-2</v>
      </c>
      <c r="CO199" s="1">
        <f t="shared" si="156"/>
        <v>6.6000000000000003E-2</v>
      </c>
      <c r="CP199" s="1">
        <f t="shared" si="157"/>
        <v>0.219</v>
      </c>
      <c r="CQ199" s="1">
        <f t="shared" si="158"/>
        <v>0.25600000000000001</v>
      </c>
      <c r="CS199" s="1">
        <f t="shared" si="145"/>
        <v>8.8999999999999986</v>
      </c>
      <c r="CT199" s="1">
        <f t="shared" si="146"/>
        <v>-0.8</v>
      </c>
    </row>
    <row r="200" spans="1:98" x14ac:dyDescent="0.2">
      <c r="A200" s="8">
        <f t="shared" ref="A200:A263" si="184">A199+1</f>
        <v>44025</v>
      </c>
      <c r="B200" s="1">
        <v>195</v>
      </c>
      <c r="C200" s="1">
        <v>11</v>
      </c>
      <c r="D200" s="2">
        <v>12.98</v>
      </c>
      <c r="E200" s="2">
        <v>15.7</v>
      </c>
      <c r="F200" s="2">
        <v>-0.90400000000000003</v>
      </c>
      <c r="G200" s="2">
        <v>6.72</v>
      </c>
      <c r="H200" s="2">
        <v>69.33</v>
      </c>
      <c r="I200" s="2">
        <v>7.3319999999999999</v>
      </c>
      <c r="J200" s="2">
        <v>6.4930000000000003</v>
      </c>
      <c r="K200" s="2">
        <v>11.14</v>
      </c>
      <c r="L200" s="2">
        <v>9.58</v>
      </c>
      <c r="M200" s="2">
        <v>8.09</v>
      </c>
      <c r="N200" s="2">
        <v>13.48</v>
      </c>
      <c r="O200" s="2">
        <v>94.7</v>
      </c>
      <c r="P200" s="2">
        <v>24.04</v>
      </c>
      <c r="Q200" s="2">
        <v>18.899999999999999</v>
      </c>
      <c r="R200" s="2">
        <v>27.59</v>
      </c>
      <c r="S200" s="2">
        <v>10.94</v>
      </c>
      <c r="T200" s="2">
        <v>8.3000000000000007</v>
      </c>
      <c r="U200" s="2">
        <v>0.74</v>
      </c>
      <c r="V200" s="2">
        <v>38.49</v>
      </c>
      <c r="W200" s="2">
        <v>-1.4079999999999999</v>
      </c>
      <c r="X200" s="2">
        <v>-0.98799999999999999</v>
      </c>
      <c r="Y200" s="2">
        <v>2.3570000000000002</v>
      </c>
      <c r="Z200" s="2">
        <v>8.31</v>
      </c>
      <c r="AA200" s="2">
        <v>7.931</v>
      </c>
      <c r="AB200" s="2">
        <v>2.1579999999999999</v>
      </c>
      <c r="AC200" s="2">
        <v>2.794</v>
      </c>
      <c r="AD200" s="2">
        <v>23.52</v>
      </c>
      <c r="AE200" s="2">
        <v>5.15</v>
      </c>
      <c r="AF200" s="2">
        <v>0.98599999999999999</v>
      </c>
      <c r="AG200" s="2">
        <v>3.157</v>
      </c>
      <c r="AH200" s="2">
        <v>7.9610000000000003</v>
      </c>
      <c r="AI200" s="2">
        <v>21.32</v>
      </c>
      <c r="AJ200" s="2">
        <v>-0.73799999999999999</v>
      </c>
      <c r="AK200" s="2">
        <v>18.079999999999998</v>
      </c>
      <c r="AL200" s="2">
        <v>-0.13100000000000001</v>
      </c>
      <c r="AM200" s="2">
        <v>2.1339999999999999</v>
      </c>
      <c r="AN200" s="2" t="s">
        <v>122</v>
      </c>
      <c r="AO200" s="2">
        <v>749</v>
      </c>
      <c r="AP200" s="2">
        <v>742</v>
      </c>
      <c r="AQ200" s="2">
        <v>410</v>
      </c>
      <c r="AR200" s="2">
        <v>64</v>
      </c>
      <c r="AS200" s="2">
        <v>39</v>
      </c>
      <c r="AT200" s="2">
        <v>50</v>
      </c>
      <c r="AU200" s="2">
        <v>192</v>
      </c>
      <c r="AV200" s="2">
        <v>634</v>
      </c>
      <c r="AW200" s="2"/>
      <c r="AX200" s="2">
        <v>0</v>
      </c>
      <c r="AY200" s="26"/>
      <c r="AZ200" s="5">
        <v>32.020000000000003</v>
      </c>
      <c r="BA200" s="1">
        <v>23.52</v>
      </c>
      <c r="BB200" s="1">
        <v>4.74</v>
      </c>
      <c r="BC200" s="6">
        <f t="shared" ref="BC200:BC263" si="185">BB200/BA200</f>
        <v>0.20153061224489796</v>
      </c>
      <c r="BE200" s="30">
        <v>2.794</v>
      </c>
      <c r="BF200" s="27">
        <v>0</v>
      </c>
      <c r="BG200" s="1">
        <f t="shared" si="159"/>
        <v>94.7</v>
      </c>
      <c r="BH200" s="1">
        <f t="shared" si="160"/>
        <v>69.3</v>
      </c>
      <c r="BI200" s="1">
        <f t="shared" si="161"/>
        <v>38.5</v>
      </c>
      <c r="BJ200" s="7">
        <f t="shared" si="162"/>
        <v>0.59499999999999997</v>
      </c>
      <c r="BK200" s="7">
        <f t="shared" si="163"/>
        <v>0.95</v>
      </c>
      <c r="BM200" s="5">
        <f t="shared" si="164"/>
        <v>23.52</v>
      </c>
      <c r="BN200" s="5">
        <f t="shared" si="165"/>
        <v>4.74</v>
      </c>
      <c r="BO200" s="1">
        <f t="shared" si="166"/>
        <v>6.7</v>
      </c>
      <c r="BP200" s="1">
        <f t="shared" si="167"/>
        <v>13.5</v>
      </c>
      <c r="BQ200" s="1">
        <f t="shared" si="168"/>
        <v>0.7</v>
      </c>
      <c r="BR200" s="1">
        <f t="shared" si="169"/>
        <v>69.3</v>
      </c>
      <c r="BS200" s="1">
        <f t="shared" si="170"/>
        <v>38.5</v>
      </c>
      <c r="BT200" s="1">
        <f t="shared" si="171"/>
        <v>1</v>
      </c>
      <c r="BU200" s="1">
        <f t="shared" si="172"/>
        <v>3.2</v>
      </c>
      <c r="BV200" s="33">
        <f t="shared" si="173"/>
        <v>2.794</v>
      </c>
      <c r="BW200" s="26">
        <f t="shared" si="149"/>
        <v>0</v>
      </c>
      <c r="BX200" s="20" t="str">
        <f t="shared" si="174"/>
        <v>NAN</v>
      </c>
      <c r="BY200" s="1">
        <f t="shared" si="175"/>
        <v>8</v>
      </c>
      <c r="BZ200" s="1">
        <f t="shared" si="176"/>
        <v>21.3</v>
      </c>
      <c r="CA200" s="1">
        <f t="shared" si="177"/>
        <v>-0.7</v>
      </c>
      <c r="CB200" s="1">
        <f t="shared" si="178"/>
        <v>11.1</v>
      </c>
      <c r="CC200" s="1">
        <f t="shared" si="179"/>
        <v>9.6</v>
      </c>
      <c r="CD200" s="1">
        <f t="shared" si="180"/>
        <v>8.1</v>
      </c>
      <c r="CE200" s="1" t="str">
        <f t="shared" si="181"/>
        <v>NAN</v>
      </c>
      <c r="CF200" s="1">
        <f t="shared" si="182"/>
        <v>0.59499999999999997</v>
      </c>
      <c r="CG200" s="1">
        <f t="shared" si="183"/>
        <v>0.95</v>
      </c>
      <c r="CI200" s="1">
        <f t="shared" si="150"/>
        <v>2880</v>
      </c>
      <c r="CJ200" s="1">
        <f t="shared" si="151"/>
        <v>0.26</v>
      </c>
      <c r="CK200" s="1">
        <f t="shared" si="152"/>
        <v>0.25800000000000001</v>
      </c>
      <c r="CL200" s="1">
        <f t="shared" si="153"/>
        <v>0.14199999999999999</v>
      </c>
      <c r="CM200" s="1">
        <f t="shared" si="154"/>
        <v>2.1999999999999999E-2</v>
      </c>
      <c r="CN200" s="1">
        <f t="shared" si="155"/>
        <v>1.4E-2</v>
      </c>
      <c r="CO200" s="1">
        <f t="shared" si="156"/>
        <v>1.7000000000000001E-2</v>
      </c>
      <c r="CP200" s="1">
        <f t="shared" si="157"/>
        <v>6.7000000000000004E-2</v>
      </c>
      <c r="CQ200" s="1">
        <f t="shared" si="158"/>
        <v>0.22</v>
      </c>
      <c r="CS200" s="1">
        <f t="shared" ref="CS200:CS263" si="186">IF(BZ200="NAN","NAN",BZ200-BP200)</f>
        <v>7.8000000000000007</v>
      </c>
      <c r="CT200" s="1">
        <f t="shared" ref="CT200:CT263" si="187">IF(CA200="NAN","NAN",CA200-BQ200)</f>
        <v>-1.4</v>
      </c>
    </row>
    <row r="201" spans="1:98" x14ac:dyDescent="0.2">
      <c r="A201" s="8">
        <f t="shared" si="184"/>
        <v>44026</v>
      </c>
      <c r="B201" s="1">
        <v>196</v>
      </c>
      <c r="C201" s="1">
        <v>11</v>
      </c>
      <c r="D201" s="2">
        <v>12.97</v>
      </c>
      <c r="E201" s="2">
        <v>20.37</v>
      </c>
      <c r="F201" s="2">
        <v>1.2450000000000001</v>
      </c>
      <c r="G201" s="2">
        <v>11.48</v>
      </c>
      <c r="H201" s="2">
        <v>50.1</v>
      </c>
      <c r="I201" s="2">
        <v>10.220000000000001</v>
      </c>
      <c r="J201" s="2">
        <v>10.07</v>
      </c>
      <c r="K201" s="2">
        <v>12.95</v>
      </c>
      <c r="L201" s="2">
        <v>10.210000000000001</v>
      </c>
      <c r="M201" s="2">
        <v>8.11</v>
      </c>
      <c r="N201" s="2">
        <v>17.93</v>
      </c>
      <c r="O201" s="2">
        <v>73.45</v>
      </c>
      <c r="P201" s="2">
        <v>25.63</v>
      </c>
      <c r="Q201" s="2">
        <v>22.32</v>
      </c>
      <c r="R201" s="2">
        <v>28.69</v>
      </c>
      <c r="S201" s="2">
        <v>11.71</v>
      </c>
      <c r="T201" s="2">
        <v>8.27</v>
      </c>
      <c r="U201" s="2">
        <v>4.4980000000000002</v>
      </c>
      <c r="V201" s="2">
        <v>29.72</v>
      </c>
      <c r="W201" s="2">
        <v>-0.876</v>
      </c>
      <c r="X201" s="2">
        <v>-0.59499999999999997</v>
      </c>
      <c r="Y201" s="2">
        <v>3.47</v>
      </c>
      <c r="Z201" s="2">
        <v>8.7899999999999991</v>
      </c>
      <c r="AA201" s="2">
        <v>7.9560000000000004</v>
      </c>
      <c r="AB201" s="2">
        <v>2.9860000000000002</v>
      </c>
      <c r="AC201" s="2">
        <v>0</v>
      </c>
      <c r="AD201" s="2">
        <v>25.07</v>
      </c>
      <c r="AE201" s="2">
        <v>5.2210000000000001</v>
      </c>
      <c r="AF201" s="2">
        <v>1</v>
      </c>
      <c r="AG201" s="2">
        <v>3.4129999999999998</v>
      </c>
      <c r="AH201" s="2">
        <v>11.95</v>
      </c>
      <c r="AI201" s="2">
        <v>25.29</v>
      </c>
      <c r="AJ201" s="2">
        <v>1.859</v>
      </c>
      <c r="AK201" s="2">
        <v>21.75</v>
      </c>
      <c r="AL201" s="2">
        <v>4.4029999999999996</v>
      </c>
      <c r="AM201" s="2">
        <v>2.9340000000000002</v>
      </c>
      <c r="AN201" s="2" t="s">
        <v>122</v>
      </c>
      <c r="AO201" s="2">
        <v>586</v>
      </c>
      <c r="AP201" s="2">
        <v>1018</v>
      </c>
      <c r="AQ201" s="2">
        <v>368</v>
      </c>
      <c r="AR201" s="2">
        <v>71</v>
      </c>
      <c r="AS201" s="2">
        <v>61</v>
      </c>
      <c r="AT201" s="2">
        <v>84</v>
      </c>
      <c r="AU201" s="2">
        <v>221</v>
      </c>
      <c r="AV201" s="2">
        <v>471</v>
      </c>
      <c r="AW201" s="2"/>
      <c r="AX201" s="2">
        <v>0</v>
      </c>
      <c r="AY201" s="26"/>
      <c r="AZ201" s="5">
        <v>31.92</v>
      </c>
      <c r="BA201" s="1">
        <v>25.07</v>
      </c>
      <c r="BB201" s="1">
        <v>4.8</v>
      </c>
      <c r="BC201" s="6">
        <f t="shared" si="185"/>
        <v>0.19146390107698444</v>
      </c>
      <c r="BE201" s="30">
        <v>0</v>
      </c>
      <c r="BF201" s="27">
        <v>0</v>
      </c>
      <c r="BG201" s="1">
        <f t="shared" si="159"/>
        <v>73.5</v>
      </c>
      <c r="BH201" s="1">
        <f t="shared" si="160"/>
        <v>50.1</v>
      </c>
      <c r="BI201" s="1">
        <f t="shared" si="161"/>
        <v>29.7</v>
      </c>
      <c r="BJ201" s="7">
        <f t="shared" si="162"/>
        <v>0.61</v>
      </c>
      <c r="BK201" s="7">
        <f t="shared" si="163"/>
        <v>1.444</v>
      </c>
      <c r="BM201" s="5">
        <f t="shared" si="164"/>
        <v>25.07</v>
      </c>
      <c r="BN201" s="5">
        <f t="shared" si="165"/>
        <v>4.8</v>
      </c>
      <c r="BO201" s="1">
        <f t="shared" si="166"/>
        <v>11.5</v>
      </c>
      <c r="BP201" s="1">
        <f t="shared" si="167"/>
        <v>17.899999999999999</v>
      </c>
      <c r="BQ201" s="1">
        <f t="shared" si="168"/>
        <v>4.5</v>
      </c>
      <c r="BR201" s="1">
        <f t="shared" si="169"/>
        <v>50.1</v>
      </c>
      <c r="BS201" s="1">
        <f t="shared" si="170"/>
        <v>29.7</v>
      </c>
      <c r="BT201" s="1">
        <f t="shared" si="171"/>
        <v>1</v>
      </c>
      <c r="BU201" s="1">
        <f t="shared" si="172"/>
        <v>3.4</v>
      </c>
      <c r="BV201" s="33">
        <f t="shared" si="173"/>
        <v>0</v>
      </c>
      <c r="BW201" s="26">
        <f t="shared" si="149"/>
        <v>0</v>
      </c>
      <c r="BX201" s="20" t="str">
        <f t="shared" si="174"/>
        <v>NAN</v>
      </c>
      <c r="BY201" s="1">
        <f t="shared" si="175"/>
        <v>12</v>
      </c>
      <c r="BZ201" s="1">
        <f t="shared" si="176"/>
        <v>25.3</v>
      </c>
      <c r="CA201" s="1">
        <f t="shared" si="177"/>
        <v>1.9</v>
      </c>
      <c r="CB201" s="1">
        <f t="shared" si="178"/>
        <v>13</v>
      </c>
      <c r="CC201" s="1">
        <f t="shared" si="179"/>
        <v>10.199999999999999</v>
      </c>
      <c r="CD201" s="1">
        <f t="shared" si="180"/>
        <v>8.1</v>
      </c>
      <c r="CE201" s="1" t="str">
        <f t="shared" si="181"/>
        <v>NAN</v>
      </c>
      <c r="CF201" s="1">
        <f t="shared" si="182"/>
        <v>0.61</v>
      </c>
      <c r="CG201" s="1">
        <f t="shared" si="183"/>
        <v>1.444</v>
      </c>
      <c r="CI201" s="1">
        <f t="shared" si="150"/>
        <v>2880</v>
      </c>
      <c r="CJ201" s="1">
        <f t="shared" si="151"/>
        <v>0.20300000000000001</v>
      </c>
      <c r="CK201" s="1">
        <f t="shared" si="152"/>
        <v>0.35299999999999998</v>
      </c>
      <c r="CL201" s="1">
        <f t="shared" si="153"/>
        <v>0.128</v>
      </c>
      <c r="CM201" s="1">
        <f t="shared" si="154"/>
        <v>2.5000000000000001E-2</v>
      </c>
      <c r="CN201" s="1">
        <f t="shared" si="155"/>
        <v>2.1000000000000001E-2</v>
      </c>
      <c r="CO201" s="1">
        <f t="shared" si="156"/>
        <v>2.9000000000000001E-2</v>
      </c>
      <c r="CP201" s="1">
        <f t="shared" si="157"/>
        <v>7.6999999999999999E-2</v>
      </c>
      <c r="CQ201" s="1">
        <f t="shared" si="158"/>
        <v>0.16400000000000001</v>
      </c>
      <c r="CS201" s="1">
        <f t="shared" si="186"/>
        <v>7.4000000000000021</v>
      </c>
      <c r="CT201" s="1">
        <f t="shared" si="187"/>
        <v>-2.6</v>
      </c>
    </row>
    <row r="202" spans="1:98" x14ac:dyDescent="0.2">
      <c r="A202" s="8">
        <f t="shared" si="184"/>
        <v>44027</v>
      </c>
      <c r="B202" s="1">
        <v>197</v>
      </c>
      <c r="C202" s="1">
        <v>11</v>
      </c>
      <c r="D202" s="2">
        <v>12.98</v>
      </c>
      <c r="E202" s="2">
        <v>20.74</v>
      </c>
      <c r="F202" s="2">
        <v>4.4930000000000003</v>
      </c>
      <c r="G202" s="2">
        <v>12.91</v>
      </c>
      <c r="H202" s="2">
        <v>58.44</v>
      </c>
      <c r="I202" s="2">
        <v>12.1</v>
      </c>
      <c r="J202" s="2">
        <v>11.87</v>
      </c>
      <c r="K202" s="2">
        <v>14.48</v>
      </c>
      <c r="L202" s="2">
        <v>10.98</v>
      </c>
      <c r="M202" s="2">
        <v>8.32</v>
      </c>
      <c r="N202" s="2">
        <v>18.75</v>
      </c>
      <c r="O202" s="2">
        <v>76.06</v>
      </c>
      <c r="P202" s="2">
        <v>27.23</v>
      </c>
      <c r="Q202" s="2">
        <v>23.63</v>
      </c>
      <c r="R202" s="2">
        <v>28.39</v>
      </c>
      <c r="S202" s="2">
        <v>12.4</v>
      </c>
      <c r="T202" s="2">
        <v>8.48</v>
      </c>
      <c r="U202" s="2">
        <v>7.9130000000000003</v>
      </c>
      <c r="V202" s="2">
        <v>43.97</v>
      </c>
      <c r="W202" s="2">
        <v>1.6839999999999999</v>
      </c>
      <c r="X202" s="2">
        <v>1.9590000000000001</v>
      </c>
      <c r="Y202" s="2">
        <v>5.7409999999999997</v>
      </c>
      <c r="Z202" s="2">
        <v>9.68</v>
      </c>
      <c r="AA202" s="2">
        <v>8.1199999999999992</v>
      </c>
      <c r="AB202" s="2">
        <v>2.2069999999999999</v>
      </c>
      <c r="AC202" s="2">
        <v>0</v>
      </c>
      <c r="AD202" s="2">
        <v>23.13</v>
      </c>
      <c r="AE202" s="2">
        <v>4.7619999999999996</v>
      </c>
      <c r="AF202" s="2">
        <v>0.99399999999999999</v>
      </c>
      <c r="AG202" s="2">
        <v>4.3380000000000001</v>
      </c>
      <c r="AH202" s="2">
        <v>13.36</v>
      </c>
      <c r="AI202" s="2">
        <v>25.85</v>
      </c>
      <c r="AJ202" s="2">
        <v>4.6180000000000003</v>
      </c>
      <c r="AK202" s="2">
        <v>22.85</v>
      </c>
      <c r="AL202" s="2">
        <v>7.6619999999999999</v>
      </c>
      <c r="AM202" s="2">
        <v>2.1659999999999999</v>
      </c>
      <c r="AN202" s="2" t="s">
        <v>122</v>
      </c>
      <c r="AO202" s="2">
        <v>888</v>
      </c>
      <c r="AP202" s="2">
        <v>1137</v>
      </c>
      <c r="AQ202" s="2">
        <v>314</v>
      </c>
      <c r="AR202" s="2">
        <v>45</v>
      </c>
      <c r="AS202" s="2">
        <v>30</v>
      </c>
      <c r="AT202" s="2">
        <v>28</v>
      </c>
      <c r="AU202" s="2">
        <v>97</v>
      </c>
      <c r="AV202" s="2">
        <v>341</v>
      </c>
      <c r="AW202" s="2"/>
      <c r="AX202" s="2">
        <v>0</v>
      </c>
      <c r="AY202" s="26"/>
      <c r="AZ202" s="5">
        <v>31.81</v>
      </c>
      <c r="BA202" s="1">
        <v>23.13</v>
      </c>
      <c r="BB202" s="1">
        <v>4.38</v>
      </c>
      <c r="BC202" s="6">
        <f t="shared" si="185"/>
        <v>0.18936446173800259</v>
      </c>
      <c r="BE202" s="30">
        <v>0</v>
      </c>
      <c r="BF202" s="27">
        <v>0</v>
      </c>
      <c r="BG202" s="1">
        <f t="shared" si="159"/>
        <v>76.099999999999994</v>
      </c>
      <c r="BH202" s="1">
        <f t="shared" si="160"/>
        <v>58.4</v>
      </c>
      <c r="BI202" s="1">
        <f t="shared" si="161"/>
        <v>44</v>
      </c>
      <c r="BJ202" s="7">
        <f t="shared" si="162"/>
        <v>0.95199999999999996</v>
      </c>
      <c r="BK202" s="7">
        <f t="shared" si="163"/>
        <v>1.212</v>
      </c>
      <c r="BM202" s="5">
        <f t="shared" si="164"/>
        <v>23.13</v>
      </c>
      <c r="BN202" s="5">
        <f t="shared" si="165"/>
        <v>4.38</v>
      </c>
      <c r="BO202" s="1">
        <f t="shared" si="166"/>
        <v>12.9</v>
      </c>
      <c r="BP202" s="1">
        <f t="shared" si="167"/>
        <v>18.8</v>
      </c>
      <c r="BQ202" s="1">
        <f t="shared" si="168"/>
        <v>7.9</v>
      </c>
      <c r="BR202" s="1">
        <f t="shared" si="169"/>
        <v>58.4</v>
      </c>
      <c r="BS202" s="1">
        <f t="shared" si="170"/>
        <v>44</v>
      </c>
      <c r="BT202" s="1">
        <f t="shared" si="171"/>
        <v>1</v>
      </c>
      <c r="BU202" s="1">
        <f t="shared" si="172"/>
        <v>4.3</v>
      </c>
      <c r="BV202" s="33">
        <f t="shared" si="173"/>
        <v>0</v>
      </c>
      <c r="BW202" s="26">
        <f t="shared" si="149"/>
        <v>0</v>
      </c>
      <c r="BX202" s="20" t="str">
        <f t="shared" si="174"/>
        <v>NAN</v>
      </c>
      <c r="BY202" s="1">
        <f t="shared" si="175"/>
        <v>13.4</v>
      </c>
      <c r="BZ202" s="1">
        <f t="shared" si="176"/>
        <v>25.9</v>
      </c>
      <c r="CA202" s="1">
        <f t="shared" si="177"/>
        <v>4.5999999999999996</v>
      </c>
      <c r="CB202" s="1">
        <f t="shared" si="178"/>
        <v>14.5</v>
      </c>
      <c r="CC202" s="1">
        <f t="shared" si="179"/>
        <v>11</v>
      </c>
      <c r="CD202" s="1">
        <f t="shared" si="180"/>
        <v>8.3000000000000007</v>
      </c>
      <c r="CE202" s="1" t="str">
        <f t="shared" si="181"/>
        <v>NAN</v>
      </c>
      <c r="CF202" s="1">
        <f t="shared" si="182"/>
        <v>0.95199999999999996</v>
      </c>
      <c r="CG202" s="1">
        <f t="shared" si="183"/>
        <v>1.212</v>
      </c>
      <c r="CI202" s="1">
        <f t="shared" si="150"/>
        <v>2880</v>
      </c>
      <c r="CJ202" s="1">
        <f t="shared" si="151"/>
        <v>0.308</v>
      </c>
      <c r="CK202" s="1">
        <f t="shared" si="152"/>
        <v>0.39500000000000002</v>
      </c>
      <c r="CL202" s="1">
        <f t="shared" si="153"/>
        <v>0.109</v>
      </c>
      <c r="CM202" s="1">
        <f t="shared" si="154"/>
        <v>1.6E-2</v>
      </c>
      <c r="CN202" s="1">
        <f t="shared" si="155"/>
        <v>0.01</v>
      </c>
      <c r="CO202" s="1">
        <f t="shared" si="156"/>
        <v>0.01</v>
      </c>
      <c r="CP202" s="1">
        <f t="shared" si="157"/>
        <v>3.4000000000000002E-2</v>
      </c>
      <c r="CQ202" s="1">
        <f t="shared" si="158"/>
        <v>0.11799999999999999</v>
      </c>
      <c r="CS202" s="1">
        <f t="shared" si="186"/>
        <v>7.0999999999999979</v>
      </c>
      <c r="CT202" s="1">
        <f t="shared" si="187"/>
        <v>-3.3000000000000007</v>
      </c>
    </row>
    <row r="203" spans="1:98" x14ac:dyDescent="0.2">
      <c r="A203" s="8">
        <f t="shared" si="184"/>
        <v>44028</v>
      </c>
      <c r="B203" s="1">
        <v>198</v>
      </c>
      <c r="C203" s="1">
        <v>11</v>
      </c>
      <c r="D203" s="2">
        <v>13</v>
      </c>
      <c r="E203" s="2">
        <v>17.34</v>
      </c>
      <c r="F203" s="2">
        <v>5.6139999999999999</v>
      </c>
      <c r="G203" s="2">
        <v>11.84</v>
      </c>
      <c r="H203" s="2">
        <v>66.400000000000006</v>
      </c>
      <c r="I203" s="2">
        <v>10.48</v>
      </c>
      <c r="J203" s="2">
        <v>10.81</v>
      </c>
      <c r="K203" s="2">
        <v>12.16</v>
      </c>
      <c r="L203" s="2">
        <v>11.21</v>
      </c>
      <c r="M203" s="2">
        <v>8.6</v>
      </c>
      <c r="N203" s="2">
        <v>16.11</v>
      </c>
      <c r="O203" s="2">
        <v>84.1</v>
      </c>
      <c r="P203" s="2">
        <v>22.22</v>
      </c>
      <c r="Q203" s="2">
        <v>21.53</v>
      </c>
      <c r="R203" s="2">
        <v>22.75</v>
      </c>
      <c r="S203" s="2">
        <v>12.06</v>
      </c>
      <c r="T203" s="2">
        <v>8.75</v>
      </c>
      <c r="U203" s="2">
        <v>7.5039999999999996</v>
      </c>
      <c r="V203" s="2">
        <v>48.08</v>
      </c>
      <c r="W203" s="2">
        <v>4.0940000000000003</v>
      </c>
      <c r="X203" s="2">
        <v>4.202</v>
      </c>
      <c r="Y203" s="2">
        <v>7.1760000000000002</v>
      </c>
      <c r="Z203" s="2">
        <v>10.43</v>
      </c>
      <c r="AA203" s="2">
        <v>8.39</v>
      </c>
      <c r="AB203" s="2">
        <v>2.6960000000000002</v>
      </c>
      <c r="AC203" s="2">
        <v>0</v>
      </c>
      <c r="AD203" s="2">
        <v>14.52</v>
      </c>
      <c r="AE203" s="2">
        <v>3.101</v>
      </c>
      <c r="AF203" s="2">
        <v>1.415</v>
      </c>
      <c r="AG203" s="2">
        <v>4.9660000000000002</v>
      </c>
      <c r="AH203" s="2">
        <v>11.67</v>
      </c>
      <c r="AI203" s="2">
        <v>24.92</v>
      </c>
      <c r="AJ203" s="2">
        <v>5.7380000000000004</v>
      </c>
      <c r="AK203" s="2">
        <v>19.34</v>
      </c>
      <c r="AL203" s="2">
        <v>7.4370000000000003</v>
      </c>
      <c r="AM203" s="2">
        <v>2.6579999999999999</v>
      </c>
      <c r="AN203" s="2" t="s">
        <v>122</v>
      </c>
      <c r="AO203" s="2">
        <v>690</v>
      </c>
      <c r="AP203" s="2">
        <v>439</v>
      </c>
      <c r="AQ203" s="2">
        <v>261</v>
      </c>
      <c r="AR203" s="2">
        <v>44</v>
      </c>
      <c r="AS203" s="2">
        <v>52</v>
      </c>
      <c r="AT203" s="2">
        <v>141</v>
      </c>
      <c r="AU203" s="2">
        <v>470</v>
      </c>
      <c r="AV203" s="2">
        <v>783</v>
      </c>
      <c r="AW203" s="2"/>
      <c r="AX203" s="2">
        <v>0</v>
      </c>
      <c r="AY203" s="26"/>
      <c r="AZ203" s="5">
        <v>31.7</v>
      </c>
      <c r="BA203" s="1">
        <v>14.52</v>
      </c>
      <c r="BB203" s="1">
        <v>2.85</v>
      </c>
      <c r="BC203" s="6">
        <f t="shared" si="185"/>
        <v>0.1962809917355372</v>
      </c>
      <c r="BE203" s="30">
        <v>0</v>
      </c>
      <c r="BF203" s="27">
        <v>0</v>
      </c>
      <c r="BG203" s="1">
        <f t="shared" si="159"/>
        <v>84.1</v>
      </c>
      <c r="BH203" s="1">
        <f t="shared" si="160"/>
        <v>66.400000000000006</v>
      </c>
      <c r="BI203" s="1">
        <f t="shared" si="161"/>
        <v>48.1</v>
      </c>
      <c r="BJ203" s="7">
        <f t="shared" si="162"/>
        <v>0.88</v>
      </c>
      <c r="BK203" s="7">
        <f t="shared" si="163"/>
        <v>0.95</v>
      </c>
      <c r="BM203" s="5">
        <f t="shared" si="164"/>
        <v>14.52</v>
      </c>
      <c r="BN203" s="5">
        <f t="shared" si="165"/>
        <v>2.85</v>
      </c>
      <c r="BO203" s="1">
        <f t="shared" si="166"/>
        <v>11.8</v>
      </c>
      <c r="BP203" s="1">
        <f t="shared" si="167"/>
        <v>16.100000000000001</v>
      </c>
      <c r="BQ203" s="1">
        <f t="shared" si="168"/>
        <v>7.5</v>
      </c>
      <c r="BR203" s="1">
        <f t="shared" si="169"/>
        <v>66.400000000000006</v>
      </c>
      <c r="BS203" s="1">
        <f t="shared" si="170"/>
        <v>48.1</v>
      </c>
      <c r="BT203" s="1">
        <f t="shared" si="171"/>
        <v>1.4</v>
      </c>
      <c r="BU203" s="1">
        <f t="shared" si="172"/>
        <v>5</v>
      </c>
      <c r="BV203" s="33">
        <f t="shared" si="173"/>
        <v>0</v>
      </c>
      <c r="BW203" s="26">
        <f t="shared" si="149"/>
        <v>0</v>
      </c>
      <c r="BX203" s="20" t="str">
        <f t="shared" si="174"/>
        <v>NAN</v>
      </c>
      <c r="BY203" s="1">
        <f t="shared" si="175"/>
        <v>11.7</v>
      </c>
      <c r="BZ203" s="1">
        <f t="shared" si="176"/>
        <v>24.9</v>
      </c>
      <c r="CA203" s="1">
        <f t="shared" si="177"/>
        <v>5.7</v>
      </c>
      <c r="CB203" s="1">
        <f t="shared" si="178"/>
        <v>12.2</v>
      </c>
      <c r="CC203" s="1">
        <f t="shared" si="179"/>
        <v>11.2</v>
      </c>
      <c r="CD203" s="1">
        <f t="shared" si="180"/>
        <v>8.6</v>
      </c>
      <c r="CE203" s="1" t="str">
        <f t="shared" si="181"/>
        <v>NAN</v>
      </c>
      <c r="CF203" s="1">
        <f t="shared" si="182"/>
        <v>0.88</v>
      </c>
      <c r="CG203" s="1">
        <f t="shared" si="183"/>
        <v>0.95</v>
      </c>
      <c r="CI203" s="1">
        <f t="shared" si="150"/>
        <v>2880</v>
      </c>
      <c r="CJ203" s="1">
        <f t="shared" si="151"/>
        <v>0.24</v>
      </c>
      <c r="CK203" s="1">
        <f t="shared" si="152"/>
        <v>0.152</v>
      </c>
      <c r="CL203" s="1">
        <f t="shared" si="153"/>
        <v>9.0999999999999998E-2</v>
      </c>
      <c r="CM203" s="1">
        <f t="shared" si="154"/>
        <v>1.4999999999999999E-2</v>
      </c>
      <c r="CN203" s="1">
        <f t="shared" si="155"/>
        <v>1.7999999999999999E-2</v>
      </c>
      <c r="CO203" s="1">
        <f t="shared" si="156"/>
        <v>4.9000000000000002E-2</v>
      </c>
      <c r="CP203" s="1">
        <f t="shared" si="157"/>
        <v>0.16300000000000001</v>
      </c>
      <c r="CQ203" s="1">
        <f t="shared" si="158"/>
        <v>0.27200000000000002</v>
      </c>
      <c r="CS203" s="1">
        <f t="shared" si="186"/>
        <v>8.7999999999999972</v>
      </c>
      <c r="CT203" s="1">
        <f t="shared" si="187"/>
        <v>-1.7999999999999998</v>
      </c>
    </row>
    <row r="204" spans="1:98" x14ac:dyDescent="0.2">
      <c r="A204" s="8">
        <f t="shared" si="184"/>
        <v>44029</v>
      </c>
      <c r="B204" s="1">
        <v>199</v>
      </c>
      <c r="C204" s="1">
        <v>11</v>
      </c>
      <c r="D204" s="2">
        <v>12.98</v>
      </c>
      <c r="E204" s="2">
        <v>17.739999999999998</v>
      </c>
      <c r="F204" s="2">
        <v>5.117</v>
      </c>
      <c r="G204" s="2">
        <v>10.4</v>
      </c>
      <c r="H204" s="2">
        <v>77.41</v>
      </c>
      <c r="I204" s="2">
        <v>10.220000000000001</v>
      </c>
      <c r="J204" s="2">
        <v>10.210000000000001</v>
      </c>
      <c r="K204" s="2">
        <v>13.01</v>
      </c>
      <c r="L204" s="2">
        <v>10.75</v>
      </c>
      <c r="M204" s="2">
        <v>8.67</v>
      </c>
      <c r="N204" s="2">
        <v>15.75</v>
      </c>
      <c r="O204" s="2">
        <v>92.1</v>
      </c>
      <c r="P204" s="2">
        <v>23.1</v>
      </c>
      <c r="Q204" s="2">
        <v>21.43</v>
      </c>
      <c r="R204" s="2">
        <v>25.33</v>
      </c>
      <c r="S204" s="2">
        <v>11.72</v>
      </c>
      <c r="T204" s="2">
        <v>8.85</v>
      </c>
      <c r="U204" s="2">
        <v>7.0650000000000004</v>
      </c>
      <c r="V204" s="2">
        <v>51.31</v>
      </c>
      <c r="W204" s="2">
        <v>3.28</v>
      </c>
      <c r="X204" s="2">
        <v>3.4209999999999998</v>
      </c>
      <c r="Y204" s="2">
        <v>6.7009999999999996</v>
      </c>
      <c r="Z204" s="2">
        <v>9.92</v>
      </c>
      <c r="AA204" s="2">
        <v>8.5</v>
      </c>
      <c r="AB204" s="2">
        <v>2.6349999999999998</v>
      </c>
      <c r="AC204" s="2">
        <v>2.032</v>
      </c>
      <c r="AD204" s="2">
        <v>15.55</v>
      </c>
      <c r="AE204" s="2">
        <v>3.5550000000000002</v>
      </c>
      <c r="AF204" s="2">
        <v>0.93100000000000005</v>
      </c>
      <c r="AG204" s="2">
        <v>3.7480000000000002</v>
      </c>
      <c r="AH204" s="2">
        <v>10.97</v>
      </c>
      <c r="AI204" s="2">
        <v>23.21</v>
      </c>
      <c r="AJ204" s="2">
        <v>4.9450000000000003</v>
      </c>
      <c r="AK204" s="2">
        <v>19.23</v>
      </c>
      <c r="AL204" s="2">
        <v>6.8150000000000004</v>
      </c>
      <c r="AM204" s="2">
        <v>2.5939999999999999</v>
      </c>
      <c r="AN204" s="2" t="s">
        <v>122</v>
      </c>
      <c r="AO204" s="2">
        <v>967</v>
      </c>
      <c r="AP204" s="2">
        <v>985</v>
      </c>
      <c r="AQ204" s="2">
        <v>271</v>
      </c>
      <c r="AR204" s="2">
        <v>95</v>
      </c>
      <c r="AS204" s="2">
        <v>23</v>
      </c>
      <c r="AT204" s="2">
        <v>47</v>
      </c>
      <c r="AU204" s="2">
        <v>124</v>
      </c>
      <c r="AV204" s="2">
        <v>368</v>
      </c>
      <c r="AW204" s="2"/>
      <c r="AX204" s="2">
        <v>0</v>
      </c>
      <c r="AY204" s="26"/>
      <c r="AZ204" s="5">
        <v>31.58</v>
      </c>
      <c r="BA204" s="1">
        <v>15.55</v>
      </c>
      <c r="BB204" s="1">
        <v>3.27</v>
      </c>
      <c r="BC204" s="6">
        <f t="shared" si="185"/>
        <v>0.21028938906752412</v>
      </c>
      <c r="BE204" s="30">
        <v>2.032</v>
      </c>
      <c r="BF204" s="27">
        <v>0</v>
      </c>
      <c r="BG204" s="1">
        <f t="shared" si="159"/>
        <v>92.1</v>
      </c>
      <c r="BH204" s="1">
        <f t="shared" si="160"/>
        <v>77.400000000000006</v>
      </c>
      <c r="BI204" s="1">
        <f t="shared" si="161"/>
        <v>51.3</v>
      </c>
      <c r="BJ204" s="7">
        <f t="shared" si="162"/>
        <v>0.91800000000000004</v>
      </c>
      <c r="BK204" s="7">
        <f t="shared" si="163"/>
        <v>0.871</v>
      </c>
      <c r="BM204" s="5">
        <f t="shared" si="164"/>
        <v>15.55</v>
      </c>
      <c r="BN204" s="5">
        <f t="shared" si="165"/>
        <v>3.27</v>
      </c>
      <c r="BO204" s="1">
        <f t="shared" si="166"/>
        <v>10.4</v>
      </c>
      <c r="BP204" s="1">
        <f t="shared" si="167"/>
        <v>15.8</v>
      </c>
      <c r="BQ204" s="1">
        <f t="shared" si="168"/>
        <v>7.1</v>
      </c>
      <c r="BR204" s="1">
        <f t="shared" si="169"/>
        <v>77.400000000000006</v>
      </c>
      <c r="BS204" s="1">
        <f t="shared" si="170"/>
        <v>51.3</v>
      </c>
      <c r="BT204" s="1">
        <f t="shared" si="171"/>
        <v>0.9</v>
      </c>
      <c r="BU204" s="1">
        <f t="shared" si="172"/>
        <v>3.7</v>
      </c>
      <c r="BV204" s="33">
        <f t="shared" si="173"/>
        <v>2.032</v>
      </c>
      <c r="BW204" s="26">
        <f t="shared" si="149"/>
        <v>0</v>
      </c>
      <c r="BX204" s="20" t="str">
        <f t="shared" si="174"/>
        <v>NAN</v>
      </c>
      <c r="BY204" s="1">
        <f t="shared" si="175"/>
        <v>11</v>
      </c>
      <c r="BZ204" s="1">
        <f t="shared" si="176"/>
        <v>23.2</v>
      </c>
      <c r="CA204" s="1">
        <f t="shared" si="177"/>
        <v>4.9000000000000004</v>
      </c>
      <c r="CB204" s="1">
        <f t="shared" si="178"/>
        <v>13</v>
      </c>
      <c r="CC204" s="1">
        <f t="shared" si="179"/>
        <v>10.8</v>
      </c>
      <c r="CD204" s="1">
        <f t="shared" si="180"/>
        <v>8.6999999999999993</v>
      </c>
      <c r="CE204" s="1" t="str">
        <f t="shared" si="181"/>
        <v>NAN</v>
      </c>
      <c r="CF204" s="1">
        <f t="shared" si="182"/>
        <v>0.91800000000000004</v>
      </c>
      <c r="CG204" s="1">
        <f t="shared" si="183"/>
        <v>0.871</v>
      </c>
      <c r="CI204" s="1">
        <f t="shared" si="150"/>
        <v>2880</v>
      </c>
      <c r="CJ204" s="1">
        <f t="shared" si="151"/>
        <v>0.33600000000000002</v>
      </c>
      <c r="CK204" s="1">
        <f t="shared" si="152"/>
        <v>0.34200000000000003</v>
      </c>
      <c r="CL204" s="1">
        <f t="shared" si="153"/>
        <v>9.4E-2</v>
      </c>
      <c r="CM204" s="1">
        <f t="shared" si="154"/>
        <v>3.3000000000000002E-2</v>
      </c>
      <c r="CN204" s="1">
        <f t="shared" si="155"/>
        <v>8.0000000000000002E-3</v>
      </c>
      <c r="CO204" s="1">
        <f t="shared" si="156"/>
        <v>1.6E-2</v>
      </c>
      <c r="CP204" s="1">
        <f t="shared" si="157"/>
        <v>4.2999999999999997E-2</v>
      </c>
      <c r="CQ204" s="1">
        <f t="shared" si="158"/>
        <v>0.128</v>
      </c>
      <c r="CS204" s="1">
        <f t="shared" si="186"/>
        <v>7.3999999999999986</v>
      </c>
      <c r="CT204" s="1">
        <f t="shared" si="187"/>
        <v>-2.1999999999999993</v>
      </c>
    </row>
    <row r="205" spans="1:98" x14ac:dyDescent="0.2">
      <c r="A205" s="8">
        <f t="shared" si="184"/>
        <v>44030</v>
      </c>
      <c r="B205" s="1">
        <v>200</v>
      </c>
      <c r="C205" s="1">
        <v>11</v>
      </c>
      <c r="D205" s="2">
        <v>12.98</v>
      </c>
      <c r="E205" s="2">
        <v>20.239999999999998</v>
      </c>
      <c r="F205" s="2">
        <v>3.3769999999999998</v>
      </c>
      <c r="G205" s="2">
        <v>12.04</v>
      </c>
      <c r="H205" s="2">
        <v>62.14</v>
      </c>
      <c r="I205" s="2">
        <v>12.05</v>
      </c>
      <c r="J205" s="2">
        <v>11.83</v>
      </c>
      <c r="K205" s="2">
        <v>14.5</v>
      </c>
      <c r="L205" s="2">
        <v>11.24</v>
      </c>
      <c r="M205" s="2">
        <v>8.7200000000000006</v>
      </c>
      <c r="N205" s="2">
        <v>18.41</v>
      </c>
      <c r="O205" s="2">
        <v>90.4</v>
      </c>
      <c r="P205" s="2">
        <v>25.68</v>
      </c>
      <c r="Q205" s="2">
        <v>23.06</v>
      </c>
      <c r="R205" s="2">
        <v>28.98</v>
      </c>
      <c r="S205" s="2">
        <v>12.6</v>
      </c>
      <c r="T205" s="2">
        <v>8.86</v>
      </c>
      <c r="U205" s="2">
        <v>5.9530000000000003</v>
      </c>
      <c r="V205" s="2">
        <v>38.68</v>
      </c>
      <c r="W205" s="2">
        <v>2.1040000000000001</v>
      </c>
      <c r="X205" s="2">
        <v>2.3839999999999999</v>
      </c>
      <c r="Y205" s="2">
        <v>5.8780000000000001</v>
      </c>
      <c r="Z205" s="2">
        <v>9.99</v>
      </c>
      <c r="AA205" s="2">
        <v>8.57</v>
      </c>
      <c r="AB205" s="2">
        <v>2.6230000000000002</v>
      </c>
      <c r="AC205" s="2">
        <v>0</v>
      </c>
      <c r="AD205" s="2">
        <v>24.65</v>
      </c>
      <c r="AE205" s="2">
        <v>5.2350000000000003</v>
      </c>
      <c r="AF205" s="2">
        <v>1.036</v>
      </c>
      <c r="AG205" s="2">
        <v>4.359</v>
      </c>
      <c r="AH205" s="2">
        <v>12.86</v>
      </c>
      <c r="AI205" s="2">
        <v>25.65</v>
      </c>
      <c r="AJ205" s="2">
        <v>3.677</v>
      </c>
      <c r="AK205" s="2">
        <v>22.14</v>
      </c>
      <c r="AL205" s="2">
        <v>5.915</v>
      </c>
      <c r="AM205" s="2">
        <v>2.5720000000000001</v>
      </c>
      <c r="AN205" s="2" t="s">
        <v>122</v>
      </c>
      <c r="AO205" s="2">
        <v>625</v>
      </c>
      <c r="AP205" s="2">
        <v>838</v>
      </c>
      <c r="AQ205" s="2">
        <v>479</v>
      </c>
      <c r="AR205" s="2">
        <v>113</v>
      </c>
      <c r="AS205" s="2">
        <v>78</v>
      </c>
      <c r="AT205" s="2">
        <v>109</v>
      </c>
      <c r="AU205" s="2">
        <v>196</v>
      </c>
      <c r="AV205" s="2">
        <v>441</v>
      </c>
      <c r="AW205" s="2"/>
      <c r="AX205" s="2">
        <v>0</v>
      </c>
      <c r="AY205" s="26"/>
      <c r="AZ205" s="5">
        <v>31.46</v>
      </c>
      <c r="BA205" s="1">
        <v>24.65</v>
      </c>
      <c r="BB205" s="1">
        <v>4.82</v>
      </c>
      <c r="BC205" s="6">
        <f t="shared" si="185"/>
        <v>0.1955375253549696</v>
      </c>
      <c r="BE205" s="30">
        <v>0</v>
      </c>
      <c r="BF205" s="27">
        <v>0</v>
      </c>
      <c r="BG205" s="1">
        <f t="shared" si="159"/>
        <v>90.4</v>
      </c>
      <c r="BH205" s="1">
        <f t="shared" si="160"/>
        <v>62.1</v>
      </c>
      <c r="BI205" s="1">
        <f t="shared" si="161"/>
        <v>38.700000000000003</v>
      </c>
      <c r="BJ205" s="7">
        <f t="shared" si="162"/>
        <v>0.81899999999999995</v>
      </c>
      <c r="BK205" s="7">
        <f t="shared" si="163"/>
        <v>1.2969999999999999</v>
      </c>
      <c r="BM205" s="5">
        <f t="shared" si="164"/>
        <v>24.65</v>
      </c>
      <c r="BN205" s="5">
        <f t="shared" si="165"/>
        <v>4.82</v>
      </c>
      <c r="BO205" s="1">
        <f t="shared" si="166"/>
        <v>12</v>
      </c>
      <c r="BP205" s="1">
        <f t="shared" si="167"/>
        <v>18.399999999999999</v>
      </c>
      <c r="BQ205" s="1">
        <f t="shared" si="168"/>
        <v>6</v>
      </c>
      <c r="BR205" s="1">
        <f t="shared" si="169"/>
        <v>62.1</v>
      </c>
      <c r="BS205" s="1">
        <f t="shared" si="170"/>
        <v>38.700000000000003</v>
      </c>
      <c r="BT205" s="1">
        <f t="shared" si="171"/>
        <v>1</v>
      </c>
      <c r="BU205" s="1">
        <f t="shared" si="172"/>
        <v>4.4000000000000004</v>
      </c>
      <c r="BV205" s="33">
        <f t="shared" si="173"/>
        <v>0</v>
      </c>
      <c r="BW205" s="26">
        <f t="shared" si="149"/>
        <v>0</v>
      </c>
      <c r="BX205" s="20" t="str">
        <f t="shared" si="174"/>
        <v>NAN</v>
      </c>
      <c r="BY205" s="1">
        <f t="shared" si="175"/>
        <v>12.9</v>
      </c>
      <c r="BZ205" s="1">
        <f t="shared" si="176"/>
        <v>25.7</v>
      </c>
      <c r="CA205" s="1">
        <f t="shared" si="177"/>
        <v>3.7</v>
      </c>
      <c r="CB205" s="1">
        <f t="shared" si="178"/>
        <v>14.5</v>
      </c>
      <c r="CC205" s="1">
        <f t="shared" si="179"/>
        <v>11.2</v>
      </c>
      <c r="CD205" s="1">
        <f t="shared" si="180"/>
        <v>8.6999999999999993</v>
      </c>
      <c r="CE205" s="1" t="str">
        <f t="shared" si="181"/>
        <v>NAN</v>
      </c>
      <c r="CF205" s="1">
        <f t="shared" si="182"/>
        <v>0.81899999999999995</v>
      </c>
      <c r="CG205" s="1">
        <f t="shared" si="183"/>
        <v>1.2969999999999999</v>
      </c>
      <c r="CI205" s="1">
        <f t="shared" si="150"/>
        <v>2879</v>
      </c>
      <c r="CJ205" s="1">
        <f t="shared" si="151"/>
        <v>0.217</v>
      </c>
      <c r="CK205" s="1">
        <f t="shared" si="152"/>
        <v>0.29099999999999998</v>
      </c>
      <c r="CL205" s="1">
        <f t="shared" si="153"/>
        <v>0.16600000000000001</v>
      </c>
      <c r="CM205" s="1">
        <f t="shared" si="154"/>
        <v>3.9E-2</v>
      </c>
      <c r="CN205" s="1">
        <f t="shared" si="155"/>
        <v>2.7E-2</v>
      </c>
      <c r="CO205" s="1">
        <f t="shared" si="156"/>
        <v>3.7999999999999999E-2</v>
      </c>
      <c r="CP205" s="1">
        <f t="shared" si="157"/>
        <v>6.8000000000000005E-2</v>
      </c>
      <c r="CQ205" s="1">
        <f t="shared" si="158"/>
        <v>0.153</v>
      </c>
      <c r="CS205" s="1">
        <f t="shared" si="186"/>
        <v>7.3000000000000007</v>
      </c>
      <c r="CT205" s="1">
        <f t="shared" si="187"/>
        <v>-2.2999999999999998</v>
      </c>
    </row>
    <row r="206" spans="1:98" x14ac:dyDescent="0.2">
      <c r="A206" s="8">
        <f t="shared" si="184"/>
        <v>44031</v>
      </c>
      <c r="B206" s="1">
        <v>201</v>
      </c>
      <c r="C206" s="1">
        <v>11</v>
      </c>
      <c r="D206" s="2">
        <v>12.98</v>
      </c>
      <c r="E206" s="2">
        <v>20.99</v>
      </c>
      <c r="F206" s="2">
        <v>5.7</v>
      </c>
      <c r="G206" s="2">
        <v>13.01</v>
      </c>
      <c r="H206" s="2">
        <v>67.7</v>
      </c>
      <c r="I206" s="2">
        <v>12.99</v>
      </c>
      <c r="J206" s="2">
        <v>12.74</v>
      </c>
      <c r="K206" s="2">
        <v>15.85</v>
      </c>
      <c r="L206" s="2">
        <v>11.94</v>
      </c>
      <c r="M206" s="2">
        <v>8.93</v>
      </c>
      <c r="N206" s="2">
        <v>18.41</v>
      </c>
      <c r="O206" s="2">
        <v>81.900000000000006</v>
      </c>
      <c r="P206" s="2">
        <v>27.79</v>
      </c>
      <c r="Q206" s="2">
        <v>24.01</v>
      </c>
      <c r="R206" s="2">
        <v>30.89</v>
      </c>
      <c r="S206" s="2">
        <v>13.31</v>
      </c>
      <c r="T206" s="2">
        <v>9.09</v>
      </c>
      <c r="U206" s="2">
        <v>8.82</v>
      </c>
      <c r="V206" s="2">
        <v>47.8</v>
      </c>
      <c r="W206" s="2">
        <v>4.1929999999999996</v>
      </c>
      <c r="X206" s="2">
        <v>3.69</v>
      </c>
      <c r="Y206" s="2">
        <v>7.8879999999999999</v>
      </c>
      <c r="Z206" s="2">
        <v>10.75</v>
      </c>
      <c r="AA206" s="2">
        <v>8.7100000000000009</v>
      </c>
      <c r="AB206" s="2">
        <v>2.1949999999999998</v>
      </c>
      <c r="AC206" s="2">
        <v>0</v>
      </c>
      <c r="AD206" s="2">
        <v>23.66</v>
      </c>
      <c r="AE206" s="2">
        <v>5.327</v>
      </c>
      <c r="AF206" s="2">
        <v>1.1140000000000001</v>
      </c>
      <c r="AG206" s="2">
        <v>3.2290000000000001</v>
      </c>
      <c r="AH206" s="2">
        <v>14.03</v>
      </c>
      <c r="AI206" s="2">
        <v>27.11</v>
      </c>
      <c r="AJ206" s="2">
        <v>5.907</v>
      </c>
      <c r="AK206" s="2">
        <v>22.77</v>
      </c>
      <c r="AL206" s="2">
        <v>8.56</v>
      </c>
      <c r="AM206" s="2">
        <v>2.16</v>
      </c>
      <c r="AN206" s="2" t="s">
        <v>122</v>
      </c>
      <c r="AO206" s="2">
        <v>536</v>
      </c>
      <c r="AP206" s="2">
        <v>1025</v>
      </c>
      <c r="AQ206" s="2">
        <v>548</v>
      </c>
      <c r="AR206" s="2">
        <v>208</v>
      </c>
      <c r="AS206" s="2">
        <v>162</v>
      </c>
      <c r="AT206" s="2">
        <v>92</v>
      </c>
      <c r="AU206" s="2">
        <v>101</v>
      </c>
      <c r="AV206" s="2">
        <v>208</v>
      </c>
      <c r="AW206" s="2"/>
      <c r="AX206" s="2">
        <v>0</v>
      </c>
      <c r="AY206" s="26"/>
      <c r="AZ206" s="5">
        <v>31.34</v>
      </c>
      <c r="BA206" s="1">
        <v>23.66</v>
      </c>
      <c r="BB206" s="1">
        <v>4.9000000000000004</v>
      </c>
      <c r="BC206" s="6">
        <f t="shared" si="185"/>
        <v>0.20710059171597633</v>
      </c>
      <c r="BE206" s="30">
        <v>0</v>
      </c>
      <c r="BF206" s="27">
        <v>0</v>
      </c>
      <c r="BG206" s="1">
        <f t="shared" si="159"/>
        <v>81.900000000000006</v>
      </c>
      <c r="BH206" s="1">
        <f t="shared" si="160"/>
        <v>67.7</v>
      </c>
      <c r="BI206" s="1">
        <f t="shared" si="161"/>
        <v>47.8</v>
      </c>
      <c r="BJ206" s="7">
        <f t="shared" si="162"/>
        <v>1.012</v>
      </c>
      <c r="BK206" s="7">
        <f t="shared" si="163"/>
        <v>1.105</v>
      </c>
      <c r="BM206" s="5">
        <f t="shared" si="164"/>
        <v>23.66</v>
      </c>
      <c r="BN206" s="5">
        <f t="shared" si="165"/>
        <v>4.9000000000000004</v>
      </c>
      <c r="BO206" s="1">
        <f t="shared" si="166"/>
        <v>13</v>
      </c>
      <c r="BP206" s="1">
        <f t="shared" si="167"/>
        <v>18.399999999999999</v>
      </c>
      <c r="BQ206" s="1">
        <f t="shared" si="168"/>
        <v>8.8000000000000007</v>
      </c>
      <c r="BR206" s="1">
        <f t="shared" si="169"/>
        <v>67.7</v>
      </c>
      <c r="BS206" s="1">
        <f t="shared" si="170"/>
        <v>47.8</v>
      </c>
      <c r="BT206" s="1">
        <f t="shared" si="171"/>
        <v>1.1000000000000001</v>
      </c>
      <c r="BU206" s="1">
        <f t="shared" si="172"/>
        <v>3.2</v>
      </c>
      <c r="BV206" s="33">
        <f t="shared" si="173"/>
        <v>0</v>
      </c>
      <c r="BW206" s="26">
        <f t="shared" si="149"/>
        <v>0</v>
      </c>
      <c r="BX206" s="20" t="str">
        <f t="shared" si="174"/>
        <v>NAN</v>
      </c>
      <c r="BY206" s="1">
        <f t="shared" si="175"/>
        <v>14</v>
      </c>
      <c r="BZ206" s="1">
        <f t="shared" si="176"/>
        <v>27.1</v>
      </c>
      <c r="CA206" s="1">
        <f t="shared" si="177"/>
        <v>5.9</v>
      </c>
      <c r="CB206" s="1">
        <f t="shared" si="178"/>
        <v>15.9</v>
      </c>
      <c r="CC206" s="1">
        <f t="shared" si="179"/>
        <v>11.9</v>
      </c>
      <c r="CD206" s="1">
        <f t="shared" si="180"/>
        <v>8.9</v>
      </c>
      <c r="CE206" s="1" t="str">
        <f t="shared" si="181"/>
        <v>NAN</v>
      </c>
      <c r="CF206" s="1">
        <f t="shared" si="182"/>
        <v>1.012</v>
      </c>
      <c r="CG206" s="1">
        <f t="shared" si="183"/>
        <v>1.105</v>
      </c>
      <c r="CI206" s="1">
        <f t="shared" si="150"/>
        <v>2880</v>
      </c>
      <c r="CJ206" s="1">
        <f t="shared" si="151"/>
        <v>0.186</v>
      </c>
      <c r="CK206" s="1">
        <f t="shared" si="152"/>
        <v>0.35599999999999998</v>
      </c>
      <c r="CL206" s="1">
        <f t="shared" si="153"/>
        <v>0.19</v>
      </c>
      <c r="CM206" s="1">
        <f t="shared" si="154"/>
        <v>7.1999999999999995E-2</v>
      </c>
      <c r="CN206" s="1">
        <f t="shared" si="155"/>
        <v>5.6000000000000001E-2</v>
      </c>
      <c r="CO206" s="1">
        <f t="shared" si="156"/>
        <v>3.2000000000000001E-2</v>
      </c>
      <c r="CP206" s="1">
        <f t="shared" si="157"/>
        <v>3.5000000000000003E-2</v>
      </c>
      <c r="CQ206" s="1">
        <f t="shared" si="158"/>
        <v>7.1999999999999995E-2</v>
      </c>
      <c r="CS206" s="1">
        <f t="shared" si="186"/>
        <v>8.7000000000000028</v>
      </c>
      <c r="CT206" s="1">
        <f t="shared" si="187"/>
        <v>-2.9000000000000004</v>
      </c>
    </row>
    <row r="207" spans="1:98" x14ac:dyDescent="0.2">
      <c r="A207" s="8">
        <f t="shared" si="184"/>
        <v>44032</v>
      </c>
      <c r="B207" s="1">
        <v>202</v>
      </c>
      <c r="C207" s="1">
        <v>11</v>
      </c>
      <c r="D207" s="2">
        <v>12.98</v>
      </c>
      <c r="E207" s="2">
        <v>23.01</v>
      </c>
      <c r="F207" s="2">
        <v>4.7510000000000003</v>
      </c>
      <c r="G207" s="2">
        <v>14.23</v>
      </c>
      <c r="H207" s="2">
        <v>56.68</v>
      </c>
      <c r="I207" s="2">
        <v>13.15</v>
      </c>
      <c r="J207" s="2">
        <v>13.28</v>
      </c>
      <c r="K207" s="2">
        <v>15.78</v>
      </c>
      <c r="L207" s="2">
        <v>12.27</v>
      </c>
      <c r="M207" s="2">
        <v>9.19</v>
      </c>
      <c r="N207" s="2">
        <v>20.71</v>
      </c>
      <c r="O207" s="2">
        <v>89.2</v>
      </c>
      <c r="P207" s="2">
        <v>27.92</v>
      </c>
      <c r="Q207" s="2">
        <v>24.63</v>
      </c>
      <c r="R207" s="2">
        <v>31.92</v>
      </c>
      <c r="S207" s="2">
        <v>13.6</v>
      </c>
      <c r="T207" s="2">
        <v>9.36</v>
      </c>
      <c r="U207" s="2">
        <v>7.54</v>
      </c>
      <c r="V207" s="2">
        <v>29.39</v>
      </c>
      <c r="W207" s="2">
        <v>2.6389999999999998</v>
      </c>
      <c r="X207" s="2">
        <v>2.5499999999999998</v>
      </c>
      <c r="Y207" s="2">
        <v>6.5609999999999999</v>
      </c>
      <c r="Z207" s="2">
        <v>10.91</v>
      </c>
      <c r="AA207" s="2">
        <v>8.98</v>
      </c>
      <c r="AB207" s="2">
        <v>2.6539999999999999</v>
      </c>
      <c r="AC207" s="2">
        <v>0</v>
      </c>
      <c r="AD207" s="2">
        <v>27.01</v>
      </c>
      <c r="AE207" s="2">
        <v>6.0049999999999999</v>
      </c>
      <c r="AF207" s="2">
        <v>1.0640000000000001</v>
      </c>
      <c r="AG207" s="2">
        <v>3.43</v>
      </c>
      <c r="AH207" s="2">
        <v>14.99</v>
      </c>
      <c r="AI207" s="2">
        <v>28.26</v>
      </c>
      <c r="AJ207" s="2">
        <v>4.6749999999999998</v>
      </c>
      <c r="AK207" s="2">
        <v>25.17</v>
      </c>
      <c r="AL207" s="2">
        <v>7.26</v>
      </c>
      <c r="AM207" s="2">
        <v>2.593</v>
      </c>
      <c r="AN207" s="2" t="s">
        <v>122</v>
      </c>
      <c r="AO207" s="2">
        <v>440</v>
      </c>
      <c r="AP207" s="2">
        <v>675</v>
      </c>
      <c r="AQ207" s="2">
        <v>714</v>
      </c>
      <c r="AR207" s="2">
        <v>343</v>
      </c>
      <c r="AS207" s="2">
        <v>194</v>
      </c>
      <c r="AT207" s="2">
        <v>136</v>
      </c>
      <c r="AU207" s="2">
        <v>119</v>
      </c>
      <c r="AV207" s="2">
        <v>259</v>
      </c>
      <c r="AW207" s="2"/>
      <c r="AX207" s="2">
        <v>0</v>
      </c>
      <c r="AY207" s="26"/>
      <c r="AZ207" s="5">
        <v>31.21</v>
      </c>
      <c r="BA207" s="1">
        <v>27.01</v>
      </c>
      <c r="BB207" s="1">
        <v>5.52</v>
      </c>
      <c r="BC207" s="6">
        <f t="shared" si="185"/>
        <v>0.20436875231395776</v>
      </c>
      <c r="BE207" s="30">
        <v>0</v>
      </c>
      <c r="BF207" s="27">
        <v>0</v>
      </c>
      <c r="BG207" s="1">
        <f t="shared" si="159"/>
        <v>89.2</v>
      </c>
      <c r="BH207" s="1">
        <f t="shared" si="160"/>
        <v>56.7</v>
      </c>
      <c r="BI207" s="1">
        <f t="shared" si="161"/>
        <v>29.4</v>
      </c>
      <c r="BJ207" s="7">
        <f t="shared" si="162"/>
        <v>0.71799999999999997</v>
      </c>
      <c r="BK207" s="7">
        <f t="shared" si="163"/>
        <v>1.724</v>
      </c>
      <c r="BM207" s="5">
        <f t="shared" si="164"/>
        <v>27.01</v>
      </c>
      <c r="BN207" s="5">
        <f t="shared" si="165"/>
        <v>5.52</v>
      </c>
      <c r="BO207" s="1">
        <f t="shared" si="166"/>
        <v>14.2</v>
      </c>
      <c r="BP207" s="1">
        <f t="shared" si="167"/>
        <v>20.7</v>
      </c>
      <c r="BQ207" s="1">
        <f t="shared" si="168"/>
        <v>7.5</v>
      </c>
      <c r="BR207" s="1">
        <f t="shared" si="169"/>
        <v>56.7</v>
      </c>
      <c r="BS207" s="1">
        <f t="shared" si="170"/>
        <v>29.4</v>
      </c>
      <c r="BT207" s="1">
        <f t="shared" si="171"/>
        <v>1.1000000000000001</v>
      </c>
      <c r="BU207" s="1">
        <f t="shared" si="172"/>
        <v>3.4</v>
      </c>
      <c r="BV207" s="33">
        <f t="shared" si="173"/>
        <v>0</v>
      </c>
      <c r="BW207" s="26">
        <f t="shared" si="149"/>
        <v>0</v>
      </c>
      <c r="BX207" s="20" t="str">
        <f t="shared" si="174"/>
        <v>NAN</v>
      </c>
      <c r="BY207" s="1">
        <f t="shared" si="175"/>
        <v>15</v>
      </c>
      <c r="BZ207" s="1">
        <f t="shared" si="176"/>
        <v>28.3</v>
      </c>
      <c r="CA207" s="1">
        <f t="shared" si="177"/>
        <v>4.7</v>
      </c>
      <c r="CB207" s="1">
        <f t="shared" si="178"/>
        <v>15.8</v>
      </c>
      <c r="CC207" s="1">
        <f t="shared" si="179"/>
        <v>12.3</v>
      </c>
      <c r="CD207" s="1">
        <f t="shared" si="180"/>
        <v>9.1999999999999993</v>
      </c>
      <c r="CE207" s="1" t="str">
        <f t="shared" si="181"/>
        <v>NAN</v>
      </c>
      <c r="CF207" s="1">
        <f t="shared" si="182"/>
        <v>0.71799999999999997</v>
      </c>
      <c r="CG207" s="1">
        <f t="shared" si="183"/>
        <v>1.724</v>
      </c>
      <c r="CI207" s="1">
        <f t="shared" si="150"/>
        <v>2880</v>
      </c>
      <c r="CJ207" s="1">
        <f t="shared" si="151"/>
        <v>0.153</v>
      </c>
      <c r="CK207" s="1">
        <f t="shared" si="152"/>
        <v>0.23400000000000001</v>
      </c>
      <c r="CL207" s="1">
        <f t="shared" si="153"/>
        <v>0.248</v>
      </c>
      <c r="CM207" s="1">
        <f t="shared" si="154"/>
        <v>0.11899999999999999</v>
      </c>
      <c r="CN207" s="1">
        <f t="shared" si="155"/>
        <v>6.7000000000000004E-2</v>
      </c>
      <c r="CO207" s="1">
        <f t="shared" si="156"/>
        <v>4.7E-2</v>
      </c>
      <c r="CP207" s="1">
        <f t="shared" si="157"/>
        <v>4.1000000000000002E-2</v>
      </c>
      <c r="CQ207" s="1">
        <f t="shared" si="158"/>
        <v>0.09</v>
      </c>
      <c r="CS207" s="1">
        <f t="shared" si="186"/>
        <v>7.6000000000000014</v>
      </c>
      <c r="CT207" s="1">
        <f t="shared" si="187"/>
        <v>-2.8</v>
      </c>
    </row>
    <row r="208" spans="1:98" x14ac:dyDescent="0.2">
      <c r="A208" s="8">
        <f t="shared" si="184"/>
        <v>44033</v>
      </c>
      <c r="B208" s="1">
        <v>203</v>
      </c>
      <c r="C208" s="1">
        <v>11</v>
      </c>
      <c r="D208" s="2">
        <v>12.98</v>
      </c>
      <c r="E208" s="2">
        <v>26.41</v>
      </c>
      <c r="F208" s="2">
        <v>8.08</v>
      </c>
      <c r="G208" s="2">
        <v>17.3</v>
      </c>
      <c r="H208" s="2">
        <v>49.72</v>
      </c>
      <c r="I208" s="2">
        <v>15.81</v>
      </c>
      <c r="J208" s="2">
        <v>16.39</v>
      </c>
      <c r="K208" s="2">
        <v>17.27</v>
      </c>
      <c r="L208" s="2">
        <v>12.85</v>
      </c>
      <c r="M208" s="2">
        <v>9.43</v>
      </c>
      <c r="N208" s="2">
        <v>24.28</v>
      </c>
      <c r="O208" s="2">
        <v>72.42</v>
      </c>
      <c r="P208" s="2">
        <v>30.43</v>
      </c>
      <c r="Q208" s="2">
        <v>27.2</v>
      </c>
      <c r="R208" s="2">
        <v>31.44</v>
      </c>
      <c r="S208" s="2">
        <v>14.23</v>
      </c>
      <c r="T208" s="2">
        <v>9.65</v>
      </c>
      <c r="U208" s="2">
        <v>11.63</v>
      </c>
      <c r="V208" s="2">
        <v>29.69</v>
      </c>
      <c r="W208" s="2">
        <v>5.6879999999999997</v>
      </c>
      <c r="X208" s="2">
        <v>5.8159999999999998</v>
      </c>
      <c r="Y208" s="2">
        <v>8.77</v>
      </c>
      <c r="Z208" s="2">
        <v>11.59</v>
      </c>
      <c r="AA208" s="2">
        <v>9.23</v>
      </c>
      <c r="AB208" s="2">
        <v>2.6480000000000001</v>
      </c>
      <c r="AC208" s="2">
        <v>0</v>
      </c>
      <c r="AD208" s="2">
        <v>24.72</v>
      </c>
      <c r="AE208" s="2">
        <v>5.5970000000000004</v>
      </c>
      <c r="AF208" s="2">
        <v>1.2649999999999999</v>
      </c>
      <c r="AG208" s="2">
        <v>3.54</v>
      </c>
      <c r="AH208" s="2">
        <v>18.02</v>
      </c>
      <c r="AI208" s="2">
        <v>32.159999999999997</v>
      </c>
      <c r="AJ208" s="2">
        <v>8.42</v>
      </c>
      <c r="AK208" s="2">
        <v>29.08</v>
      </c>
      <c r="AL208" s="2">
        <v>11.98</v>
      </c>
      <c r="AM208" s="2">
        <v>2.5859999999999999</v>
      </c>
      <c r="AN208" s="2" t="s">
        <v>122</v>
      </c>
      <c r="AO208" s="2">
        <v>486</v>
      </c>
      <c r="AP208" s="2">
        <v>490</v>
      </c>
      <c r="AQ208" s="2">
        <v>564</v>
      </c>
      <c r="AR208" s="2">
        <v>53</v>
      </c>
      <c r="AS208" s="2">
        <v>45</v>
      </c>
      <c r="AT208" s="2">
        <v>254</v>
      </c>
      <c r="AU208" s="2">
        <v>522</v>
      </c>
      <c r="AV208" s="2">
        <v>466</v>
      </c>
      <c r="AW208" s="2"/>
      <c r="AX208" s="2">
        <v>0</v>
      </c>
      <c r="AY208" s="26"/>
      <c r="AZ208" s="5">
        <v>31.08</v>
      </c>
      <c r="BA208" s="1">
        <v>24.72</v>
      </c>
      <c r="BB208" s="1">
        <v>5.15</v>
      </c>
      <c r="BC208" s="6">
        <f t="shared" si="185"/>
        <v>0.20833333333333337</v>
      </c>
      <c r="BE208" s="30">
        <v>0</v>
      </c>
      <c r="BF208" s="27">
        <v>0</v>
      </c>
      <c r="BG208" s="1">
        <f t="shared" si="159"/>
        <v>72.400000000000006</v>
      </c>
      <c r="BH208" s="1">
        <f t="shared" si="160"/>
        <v>49.7</v>
      </c>
      <c r="BI208" s="1">
        <f t="shared" si="161"/>
        <v>29.7</v>
      </c>
      <c r="BJ208" s="7">
        <f t="shared" si="162"/>
        <v>0.90100000000000002</v>
      </c>
      <c r="BK208" s="7">
        <f t="shared" si="163"/>
        <v>2.133</v>
      </c>
      <c r="BM208" s="5">
        <f t="shared" si="164"/>
        <v>24.72</v>
      </c>
      <c r="BN208" s="5">
        <f t="shared" si="165"/>
        <v>5.15</v>
      </c>
      <c r="BO208" s="1">
        <f t="shared" si="166"/>
        <v>17.3</v>
      </c>
      <c r="BP208" s="1">
        <f t="shared" si="167"/>
        <v>24.3</v>
      </c>
      <c r="BQ208" s="1">
        <f t="shared" si="168"/>
        <v>11.6</v>
      </c>
      <c r="BR208" s="1">
        <f t="shared" si="169"/>
        <v>49.7</v>
      </c>
      <c r="BS208" s="1">
        <f t="shared" si="170"/>
        <v>29.7</v>
      </c>
      <c r="BT208" s="1">
        <f t="shared" si="171"/>
        <v>1.3</v>
      </c>
      <c r="BU208" s="1">
        <f t="shared" si="172"/>
        <v>3.5</v>
      </c>
      <c r="BV208" s="33">
        <f t="shared" si="173"/>
        <v>0</v>
      </c>
      <c r="BW208" s="26">
        <f t="shared" si="149"/>
        <v>0</v>
      </c>
      <c r="BX208" s="20" t="str">
        <f t="shared" si="174"/>
        <v>NAN</v>
      </c>
      <c r="BY208" s="1">
        <f t="shared" si="175"/>
        <v>18</v>
      </c>
      <c r="BZ208" s="1">
        <f t="shared" si="176"/>
        <v>32.200000000000003</v>
      </c>
      <c r="CA208" s="1">
        <f t="shared" si="177"/>
        <v>8.4</v>
      </c>
      <c r="CB208" s="1">
        <f t="shared" si="178"/>
        <v>17.3</v>
      </c>
      <c r="CC208" s="1">
        <f t="shared" si="179"/>
        <v>12.9</v>
      </c>
      <c r="CD208" s="1">
        <f t="shared" si="180"/>
        <v>9.4</v>
      </c>
      <c r="CE208" s="1" t="str">
        <f t="shared" si="181"/>
        <v>NAN</v>
      </c>
      <c r="CF208" s="1">
        <f t="shared" si="182"/>
        <v>0.90100000000000002</v>
      </c>
      <c r="CG208" s="1">
        <f t="shared" si="183"/>
        <v>2.133</v>
      </c>
      <c r="CI208" s="1">
        <f t="shared" si="150"/>
        <v>2880</v>
      </c>
      <c r="CJ208" s="1">
        <f t="shared" si="151"/>
        <v>0.16900000000000001</v>
      </c>
      <c r="CK208" s="1">
        <f t="shared" si="152"/>
        <v>0.17</v>
      </c>
      <c r="CL208" s="1">
        <f t="shared" si="153"/>
        <v>0.19600000000000001</v>
      </c>
      <c r="CM208" s="1">
        <f t="shared" si="154"/>
        <v>1.7999999999999999E-2</v>
      </c>
      <c r="CN208" s="1">
        <f t="shared" si="155"/>
        <v>1.6E-2</v>
      </c>
      <c r="CO208" s="1">
        <f t="shared" si="156"/>
        <v>8.7999999999999995E-2</v>
      </c>
      <c r="CP208" s="1">
        <f t="shared" si="157"/>
        <v>0.18099999999999999</v>
      </c>
      <c r="CQ208" s="1">
        <f t="shared" si="158"/>
        <v>0.16200000000000001</v>
      </c>
      <c r="CS208" s="1">
        <f t="shared" si="186"/>
        <v>7.9000000000000021</v>
      </c>
      <c r="CT208" s="1">
        <f t="shared" si="187"/>
        <v>-3.1999999999999993</v>
      </c>
    </row>
    <row r="209" spans="1:98" x14ac:dyDescent="0.2">
      <c r="A209" s="8">
        <f t="shared" si="184"/>
        <v>44034</v>
      </c>
      <c r="B209" s="1">
        <v>204</v>
      </c>
      <c r="C209" s="1">
        <v>11</v>
      </c>
      <c r="D209" s="2">
        <v>12.98</v>
      </c>
      <c r="E209" s="2">
        <v>24.95</v>
      </c>
      <c r="F209" s="2">
        <v>7.2249999999999996</v>
      </c>
      <c r="G209" s="2">
        <v>14.94</v>
      </c>
      <c r="H209" s="2">
        <v>62.5</v>
      </c>
      <c r="I209" s="2">
        <v>14.49</v>
      </c>
      <c r="J209" s="2">
        <v>14.71</v>
      </c>
      <c r="K209" s="2">
        <v>16.53</v>
      </c>
      <c r="L209" s="2">
        <v>13.13</v>
      </c>
      <c r="M209" s="2">
        <v>9.73</v>
      </c>
      <c r="N209" s="2">
        <v>22.49</v>
      </c>
      <c r="O209" s="2">
        <v>88.8</v>
      </c>
      <c r="P209" s="2">
        <v>29.44</v>
      </c>
      <c r="Q209" s="2">
        <v>27.57</v>
      </c>
      <c r="R209" s="2">
        <v>30.24</v>
      </c>
      <c r="S209" s="2">
        <v>14.12</v>
      </c>
      <c r="T209" s="2">
        <v>9.91</v>
      </c>
      <c r="U209" s="2">
        <v>9.32</v>
      </c>
      <c r="V209" s="2">
        <v>32.54</v>
      </c>
      <c r="W209" s="2">
        <v>5.0999999999999996</v>
      </c>
      <c r="X209" s="2">
        <v>4.7569999999999997</v>
      </c>
      <c r="Y209" s="2">
        <v>9.19</v>
      </c>
      <c r="Z209" s="2">
        <v>12.05</v>
      </c>
      <c r="AA209" s="2">
        <v>9.5399999999999991</v>
      </c>
      <c r="AB209" s="2">
        <v>5.3739999999999997</v>
      </c>
      <c r="AC209" s="2">
        <v>0</v>
      </c>
      <c r="AD209" s="2">
        <v>22.22</v>
      </c>
      <c r="AE209" s="2">
        <v>4.8979999999999997</v>
      </c>
      <c r="AF209" s="2">
        <v>1.161</v>
      </c>
      <c r="AG209" s="2">
        <v>3.3959999999999999</v>
      </c>
      <c r="AH209" s="2">
        <v>16.02</v>
      </c>
      <c r="AI209" s="2">
        <v>30.93</v>
      </c>
      <c r="AJ209" s="2">
        <v>6.9379999999999997</v>
      </c>
      <c r="AK209" s="2">
        <v>26.82</v>
      </c>
      <c r="AL209" s="2">
        <v>9.1300000000000008</v>
      </c>
      <c r="AM209" s="2">
        <v>5.2789999999999999</v>
      </c>
      <c r="AN209" s="2" t="s">
        <v>122</v>
      </c>
      <c r="AO209" s="2">
        <v>792</v>
      </c>
      <c r="AP209" s="2">
        <v>748</v>
      </c>
      <c r="AQ209" s="2">
        <v>282</v>
      </c>
      <c r="AR209" s="2">
        <v>54</v>
      </c>
      <c r="AS209" s="2">
        <v>50</v>
      </c>
      <c r="AT209" s="2">
        <v>146</v>
      </c>
      <c r="AU209" s="2">
        <v>309</v>
      </c>
      <c r="AV209" s="2">
        <v>499</v>
      </c>
      <c r="AW209" s="2"/>
      <c r="AX209" s="2">
        <v>0</v>
      </c>
      <c r="AY209" s="26"/>
      <c r="AZ209" s="5">
        <v>30.95</v>
      </c>
      <c r="BA209" s="1">
        <v>22.22</v>
      </c>
      <c r="BB209" s="1">
        <v>4.51</v>
      </c>
      <c r="BC209" s="6">
        <f t="shared" si="185"/>
        <v>0.20297029702970298</v>
      </c>
      <c r="BE209" s="30">
        <v>0</v>
      </c>
      <c r="BF209" s="27">
        <v>0</v>
      </c>
      <c r="BG209" s="1">
        <f t="shared" si="159"/>
        <v>88.8</v>
      </c>
      <c r="BH209" s="1">
        <f t="shared" si="160"/>
        <v>62.5</v>
      </c>
      <c r="BI209" s="1">
        <f t="shared" si="161"/>
        <v>32.5</v>
      </c>
      <c r="BJ209" s="7">
        <f t="shared" si="162"/>
        <v>0.88500000000000001</v>
      </c>
      <c r="BK209" s="7">
        <f t="shared" si="163"/>
        <v>1.8380000000000001</v>
      </c>
      <c r="BM209" s="5">
        <f t="shared" si="164"/>
        <v>22.22</v>
      </c>
      <c r="BN209" s="5">
        <f t="shared" si="165"/>
        <v>4.51</v>
      </c>
      <c r="BO209" s="1">
        <f t="shared" si="166"/>
        <v>14.9</v>
      </c>
      <c r="BP209" s="1">
        <f t="shared" si="167"/>
        <v>22.5</v>
      </c>
      <c r="BQ209" s="1">
        <f t="shared" si="168"/>
        <v>9.3000000000000007</v>
      </c>
      <c r="BR209" s="1">
        <f t="shared" si="169"/>
        <v>62.5</v>
      </c>
      <c r="BS209" s="1">
        <f t="shared" si="170"/>
        <v>32.5</v>
      </c>
      <c r="BT209" s="1">
        <f t="shared" si="171"/>
        <v>1.2</v>
      </c>
      <c r="BU209" s="1">
        <f t="shared" si="172"/>
        <v>3.4</v>
      </c>
      <c r="BV209" s="33">
        <f t="shared" si="173"/>
        <v>0</v>
      </c>
      <c r="BW209" s="26">
        <f t="shared" si="149"/>
        <v>0</v>
      </c>
      <c r="BX209" s="20" t="str">
        <f t="shared" si="174"/>
        <v>NAN</v>
      </c>
      <c r="BY209" s="1">
        <f t="shared" si="175"/>
        <v>16</v>
      </c>
      <c r="BZ209" s="1">
        <f t="shared" si="176"/>
        <v>30.9</v>
      </c>
      <c r="CA209" s="1">
        <f t="shared" si="177"/>
        <v>6.9</v>
      </c>
      <c r="CB209" s="1">
        <f t="shared" si="178"/>
        <v>16.5</v>
      </c>
      <c r="CC209" s="1">
        <f t="shared" si="179"/>
        <v>13.1</v>
      </c>
      <c r="CD209" s="1">
        <f t="shared" si="180"/>
        <v>9.6999999999999993</v>
      </c>
      <c r="CE209" s="1" t="str">
        <f t="shared" si="181"/>
        <v>NAN</v>
      </c>
      <c r="CF209" s="1">
        <f t="shared" si="182"/>
        <v>0.88500000000000001</v>
      </c>
      <c r="CG209" s="1">
        <f t="shared" si="183"/>
        <v>1.8380000000000001</v>
      </c>
      <c r="CI209" s="1">
        <f t="shared" si="150"/>
        <v>2880</v>
      </c>
      <c r="CJ209" s="1">
        <f t="shared" si="151"/>
        <v>0.27500000000000002</v>
      </c>
      <c r="CK209" s="1">
        <f t="shared" si="152"/>
        <v>0.26</v>
      </c>
      <c r="CL209" s="1">
        <f t="shared" si="153"/>
        <v>9.8000000000000004E-2</v>
      </c>
      <c r="CM209" s="1">
        <f t="shared" si="154"/>
        <v>1.9E-2</v>
      </c>
      <c r="CN209" s="1">
        <f t="shared" si="155"/>
        <v>1.7000000000000001E-2</v>
      </c>
      <c r="CO209" s="1">
        <f t="shared" si="156"/>
        <v>5.0999999999999997E-2</v>
      </c>
      <c r="CP209" s="1">
        <f t="shared" si="157"/>
        <v>0.107</v>
      </c>
      <c r="CQ209" s="1">
        <f t="shared" si="158"/>
        <v>0.17299999999999999</v>
      </c>
      <c r="CS209" s="1">
        <f t="shared" si="186"/>
        <v>8.3999999999999986</v>
      </c>
      <c r="CT209" s="1">
        <f t="shared" si="187"/>
        <v>-2.4000000000000004</v>
      </c>
    </row>
    <row r="210" spans="1:98" x14ac:dyDescent="0.2">
      <c r="A210" s="8">
        <f t="shared" si="184"/>
        <v>44035</v>
      </c>
      <c r="B210" s="1">
        <v>205</v>
      </c>
      <c r="C210" s="1">
        <v>11</v>
      </c>
      <c r="D210" s="2">
        <v>12.98</v>
      </c>
      <c r="E210" s="2">
        <v>20.96</v>
      </c>
      <c r="F210" s="2">
        <v>6.351</v>
      </c>
      <c r="G210" s="2">
        <v>11.81</v>
      </c>
      <c r="H210" s="2">
        <v>55.87</v>
      </c>
      <c r="I210" s="2">
        <v>12.47</v>
      </c>
      <c r="J210" s="2">
        <v>12.57</v>
      </c>
      <c r="K210" s="2">
        <v>15.66</v>
      </c>
      <c r="L210" s="2">
        <v>13.05</v>
      </c>
      <c r="M210" s="2">
        <v>9.91</v>
      </c>
      <c r="N210" s="2">
        <v>18.510000000000002</v>
      </c>
      <c r="O210" s="2">
        <v>85</v>
      </c>
      <c r="P210" s="2">
        <v>26.48</v>
      </c>
      <c r="Q210" s="2">
        <v>23.48</v>
      </c>
      <c r="R210" s="2">
        <v>29.1</v>
      </c>
      <c r="S210" s="2">
        <v>13.94</v>
      </c>
      <c r="T210" s="2">
        <v>10.08</v>
      </c>
      <c r="U210" s="2">
        <v>7.4690000000000003</v>
      </c>
      <c r="V210" s="2">
        <v>29.08</v>
      </c>
      <c r="W210" s="2">
        <v>4.6310000000000002</v>
      </c>
      <c r="X210" s="2">
        <v>4.9279999999999999</v>
      </c>
      <c r="Y210" s="2">
        <v>9.15</v>
      </c>
      <c r="Z210" s="2">
        <v>12.1</v>
      </c>
      <c r="AA210" s="2">
        <v>9.7799999999999994</v>
      </c>
      <c r="AB210" s="2">
        <v>2.2029999999999998</v>
      </c>
      <c r="AC210" s="2">
        <v>0</v>
      </c>
      <c r="AD210" s="2">
        <v>22.9</v>
      </c>
      <c r="AE210" s="2">
        <v>5.4720000000000004</v>
      </c>
      <c r="AF210" s="2">
        <v>1.4930000000000001</v>
      </c>
      <c r="AG210" s="2">
        <v>4.6050000000000004</v>
      </c>
      <c r="AH210" s="2">
        <v>13.56</v>
      </c>
      <c r="AI210" s="2">
        <v>26.64</v>
      </c>
      <c r="AJ210" s="2">
        <v>6.0110000000000001</v>
      </c>
      <c r="AK210" s="2">
        <v>22.31</v>
      </c>
      <c r="AL210" s="2">
        <v>7.2080000000000002</v>
      </c>
      <c r="AM210" s="2">
        <v>2.1720000000000002</v>
      </c>
      <c r="AN210" s="2" t="s">
        <v>122</v>
      </c>
      <c r="AO210" s="2">
        <v>888</v>
      </c>
      <c r="AP210" s="2">
        <v>294</v>
      </c>
      <c r="AQ210" s="2">
        <v>76</v>
      </c>
      <c r="AR210" s="2">
        <v>32</v>
      </c>
      <c r="AS210" s="2">
        <v>75</v>
      </c>
      <c r="AT210" s="2">
        <v>196</v>
      </c>
      <c r="AU210" s="2">
        <v>486</v>
      </c>
      <c r="AV210" s="2">
        <v>833</v>
      </c>
      <c r="AW210" s="2"/>
      <c r="AX210" s="2">
        <v>0</v>
      </c>
      <c r="AY210" s="26"/>
      <c r="AZ210" s="5">
        <v>30.81</v>
      </c>
      <c r="BA210" s="1">
        <v>22.9</v>
      </c>
      <c r="BB210" s="1">
        <v>5.03</v>
      </c>
      <c r="BC210" s="6">
        <f t="shared" si="185"/>
        <v>0.21965065502183409</v>
      </c>
      <c r="BE210" s="30">
        <v>0</v>
      </c>
      <c r="BF210" s="27">
        <v>0</v>
      </c>
      <c r="BG210" s="1">
        <f t="shared" si="159"/>
        <v>85</v>
      </c>
      <c r="BH210" s="1">
        <f t="shared" si="160"/>
        <v>55.9</v>
      </c>
      <c r="BI210" s="1">
        <f t="shared" si="161"/>
        <v>29.1</v>
      </c>
      <c r="BJ210" s="7">
        <f t="shared" si="162"/>
        <v>0.62</v>
      </c>
      <c r="BK210" s="7">
        <f t="shared" si="163"/>
        <v>1.5109999999999999</v>
      </c>
      <c r="BM210" s="5">
        <f t="shared" si="164"/>
        <v>22.9</v>
      </c>
      <c r="BN210" s="5">
        <f t="shared" si="165"/>
        <v>5.03</v>
      </c>
      <c r="BO210" s="1">
        <f t="shared" si="166"/>
        <v>11.8</v>
      </c>
      <c r="BP210" s="1">
        <f t="shared" si="167"/>
        <v>18.5</v>
      </c>
      <c r="BQ210" s="1">
        <f t="shared" si="168"/>
        <v>7.5</v>
      </c>
      <c r="BR210" s="1">
        <f t="shared" si="169"/>
        <v>55.9</v>
      </c>
      <c r="BS210" s="1">
        <f t="shared" si="170"/>
        <v>29.1</v>
      </c>
      <c r="BT210" s="1">
        <f t="shared" si="171"/>
        <v>1.5</v>
      </c>
      <c r="BU210" s="1">
        <f t="shared" si="172"/>
        <v>4.5999999999999996</v>
      </c>
      <c r="BV210" s="33">
        <f t="shared" si="173"/>
        <v>0</v>
      </c>
      <c r="BW210" s="26">
        <f t="shared" si="149"/>
        <v>0</v>
      </c>
      <c r="BX210" s="20" t="str">
        <f t="shared" si="174"/>
        <v>NAN</v>
      </c>
      <c r="BY210" s="1">
        <f t="shared" si="175"/>
        <v>13.6</v>
      </c>
      <c r="BZ210" s="1">
        <f t="shared" si="176"/>
        <v>26.6</v>
      </c>
      <c r="CA210" s="1">
        <f t="shared" si="177"/>
        <v>6</v>
      </c>
      <c r="CB210" s="1">
        <f t="shared" si="178"/>
        <v>15.7</v>
      </c>
      <c r="CC210" s="1">
        <f t="shared" si="179"/>
        <v>13.1</v>
      </c>
      <c r="CD210" s="1">
        <f t="shared" si="180"/>
        <v>9.9</v>
      </c>
      <c r="CE210" s="1" t="str">
        <f t="shared" si="181"/>
        <v>NAN</v>
      </c>
      <c r="CF210" s="1">
        <f t="shared" si="182"/>
        <v>0.62</v>
      </c>
      <c r="CG210" s="1">
        <f t="shared" si="183"/>
        <v>1.5109999999999999</v>
      </c>
      <c r="CI210" s="1">
        <f t="shared" si="150"/>
        <v>2880</v>
      </c>
      <c r="CJ210" s="1">
        <f t="shared" si="151"/>
        <v>0.308</v>
      </c>
      <c r="CK210" s="1">
        <f t="shared" si="152"/>
        <v>0.10199999999999999</v>
      </c>
      <c r="CL210" s="1">
        <f t="shared" si="153"/>
        <v>2.5999999999999999E-2</v>
      </c>
      <c r="CM210" s="1">
        <f t="shared" si="154"/>
        <v>1.0999999999999999E-2</v>
      </c>
      <c r="CN210" s="1">
        <f t="shared" si="155"/>
        <v>2.5999999999999999E-2</v>
      </c>
      <c r="CO210" s="1">
        <f t="shared" si="156"/>
        <v>6.8000000000000005E-2</v>
      </c>
      <c r="CP210" s="1">
        <f t="shared" si="157"/>
        <v>0.16900000000000001</v>
      </c>
      <c r="CQ210" s="1">
        <f t="shared" si="158"/>
        <v>0.28899999999999998</v>
      </c>
      <c r="CS210" s="1">
        <f t="shared" si="186"/>
        <v>8.1000000000000014</v>
      </c>
      <c r="CT210" s="1">
        <f t="shared" si="187"/>
        <v>-1.5</v>
      </c>
    </row>
    <row r="211" spans="1:98" x14ac:dyDescent="0.2">
      <c r="A211" s="8">
        <f t="shared" si="184"/>
        <v>44036</v>
      </c>
      <c r="B211" s="1">
        <v>206</v>
      </c>
      <c r="C211" s="1">
        <v>11</v>
      </c>
      <c r="D211" s="2">
        <v>12.99</v>
      </c>
      <c r="E211" s="2">
        <v>14.59</v>
      </c>
      <c r="F211" s="2">
        <v>1.7549999999999999</v>
      </c>
      <c r="G211" s="2">
        <v>7.4359999999999999</v>
      </c>
      <c r="H211" s="2">
        <v>71.92</v>
      </c>
      <c r="I211" s="2">
        <v>8.58</v>
      </c>
      <c r="J211" s="2">
        <v>8.0500000000000007</v>
      </c>
      <c r="K211" s="2">
        <v>12.83</v>
      </c>
      <c r="L211" s="2">
        <v>12.32</v>
      </c>
      <c r="M211" s="2">
        <v>9.9499999999999993</v>
      </c>
      <c r="N211" s="2">
        <v>12.63</v>
      </c>
      <c r="O211" s="2">
        <v>93.9</v>
      </c>
      <c r="P211" s="2">
        <v>21.4</v>
      </c>
      <c r="Q211" s="2">
        <v>19.64</v>
      </c>
      <c r="R211" s="2">
        <v>24.62</v>
      </c>
      <c r="S211" s="2">
        <v>13.4</v>
      </c>
      <c r="T211" s="2">
        <v>10.11</v>
      </c>
      <c r="U211" s="2">
        <v>3.89</v>
      </c>
      <c r="V211" s="2">
        <v>46.73</v>
      </c>
      <c r="W211" s="2">
        <v>0.94899999999999995</v>
      </c>
      <c r="X211" s="2">
        <v>0.33100000000000002</v>
      </c>
      <c r="Y211" s="2">
        <v>7.274</v>
      </c>
      <c r="Z211" s="2">
        <v>11.51</v>
      </c>
      <c r="AA211" s="2">
        <v>9.7899999999999991</v>
      </c>
      <c r="AB211" s="2">
        <v>2.1890000000000001</v>
      </c>
      <c r="AC211" s="2">
        <v>0</v>
      </c>
      <c r="AD211" s="2">
        <v>17.12</v>
      </c>
      <c r="AE211" s="2">
        <v>4.0439999999999996</v>
      </c>
      <c r="AF211" s="2">
        <v>1.3939999999999999</v>
      </c>
      <c r="AG211" s="2">
        <v>4.9080000000000004</v>
      </c>
      <c r="AH211" s="2">
        <v>8.9700000000000006</v>
      </c>
      <c r="AI211" s="2">
        <v>22.58</v>
      </c>
      <c r="AJ211" s="2">
        <v>2.37</v>
      </c>
      <c r="AK211" s="2">
        <v>15.74</v>
      </c>
      <c r="AL211" s="2">
        <v>3.6190000000000002</v>
      </c>
      <c r="AM211" s="2">
        <v>2.17</v>
      </c>
      <c r="AN211" s="2" t="s">
        <v>122</v>
      </c>
      <c r="AO211" s="2">
        <v>865</v>
      </c>
      <c r="AP211" s="2">
        <v>724</v>
      </c>
      <c r="AQ211" s="2">
        <v>182</v>
      </c>
      <c r="AR211" s="2">
        <v>31</v>
      </c>
      <c r="AS211" s="2">
        <v>14</v>
      </c>
      <c r="AT211" s="2">
        <v>62</v>
      </c>
      <c r="AU211" s="2">
        <v>323</v>
      </c>
      <c r="AV211" s="2">
        <v>678</v>
      </c>
      <c r="AW211" s="2"/>
      <c r="AX211" s="2">
        <v>0</v>
      </c>
      <c r="AY211" s="26"/>
      <c r="AZ211" s="5">
        <v>30.67</v>
      </c>
      <c r="BA211" s="1">
        <v>17.12</v>
      </c>
      <c r="BB211" s="1">
        <v>3.72</v>
      </c>
      <c r="BC211" s="6">
        <f t="shared" si="185"/>
        <v>0.21728971962616822</v>
      </c>
      <c r="BE211" s="30">
        <v>0</v>
      </c>
      <c r="BF211" s="27">
        <v>0</v>
      </c>
      <c r="BG211" s="1">
        <f t="shared" si="159"/>
        <v>93.9</v>
      </c>
      <c r="BH211" s="1">
        <f t="shared" si="160"/>
        <v>71.900000000000006</v>
      </c>
      <c r="BI211" s="1">
        <f t="shared" si="161"/>
        <v>46.7</v>
      </c>
      <c r="BJ211" s="7">
        <f t="shared" si="162"/>
        <v>0.68200000000000005</v>
      </c>
      <c r="BK211" s="7">
        <f t="shared" si="163"/>
        <v>0.77800000000000002</v>
      </c>
      <c r="BM211" s="5">
        <f t="shared" si="164"/>
        <v>17.12</v>
      </c>
      <c r="BN211" s="5">
        <f t="shared" si="165"/>
        <v>3.72</v>
      </c>
      <c r="BO211" s="1">
        <f t="shared" si="166"/>
        <v>7.4</v>
      </c>
      <c r="BP211" s="1">
        <f t="shared" si="167"/>
        <v>12.6</v>
      </c>
      <c r="BQ211" s="1">
        <f t="shared" si="168"/>
        <v>3.9</v>
      </c>
      <c r="BR211" s="1">
        <f t="shared" si="169"/>
        <v>71.900000000000006</v>
      </c>
      <c r="BS211" s="1">
        <f t="shared" si="170"/>
        <v>46.7</v>
      </c>
      <c r="BT211" s="1">
        <f t="shared" si="171"/>
        <v>1.4</v>
      </c>
      <c r="BU211" s="1">
        <f t="shared" si="172"/>
        <v>4.9000000000000004</v>
      </c>
      <c r="BV211" s="33">
        <f t="shared" si="173"/>
        <v>0</v>
      </c>
      <c r="BW211" s="26">
        <f t="shared" si="149"/>
        <v>0</v>
      </c>
      <c r="BX211" s="20" t="str">
        <f t="shared" si="174"/>
        <v>NAN</v>
      </c>
      <c r="BY211" s="1">
        <f t="shared" si="175"/>
        <v>9</v>
      </c>
      <c r="BZ211" s="1">
        <f t="shared" si="176"/>
        <v>22.6</v>
      </c>
      <c r="CA211" s="1">
        <f t="shared" si="177"/>
        <v>2.4</v>
      </c>
      <c r="CB211" s="1">
        <f t="shared" si="178"/>
        <v>12.8</v>
      </c>
      <c r="CC211" s="1">
        <f t="shared" si="179"/>
        <v>12.3</v>
      </c>
      <c r="CD211" s="1">
        <f t="shared" si="180"/>
        <v>10</v>
      </c>
      <c r="CE211" s="1" t="str">
        <f t="shared" si="181"/>
        <v>NAN</v>
      </c>
      <c r="CF211" s="1">
        <f t="shared" si="182"/>
        <v>0.68200000000000005</v>
      </c>
      <c r="CG211" s="1">
        <f t="shared" si="183"/>
        <v>0.77800000000000002</v>
      </c>
      <c r="CI211" s="1">
        <f t="shared" si="150"/>
        <v>2879</v>
      </c>
      <c r="CJ211" s="1">
        <f t="shared" si="151"/>
        <v>0.3</v>
      </c>
      <c r="CK211" s="1">
        <f t="shared" si="152"/>
        <v>0.251</v>
      </c>
      <c r="CL211" s="1">
        <f t="shared" si="153"/>
        <v>6.3E-2</v>
      </c>
      <c r="CM211" s="1">
        <f t="shared" si="154"/>
        <v>1.0999999999999999E-2</v>
      </c>
      <c r="CN211" s="1">
        <f t="shared" si="155"/>
        <v>5.0000000000000001E-3</v>
      </c>
      <c r="CO211" s="1">
        <f t="shared" si="156"/>
        <v>2.1999999999999999E-2</v>
      </c>
      <c r="CP211" s="1">
        <f t="shared" si="157"/>
        <v>0.112</v>
      </c>
      <c r="CQ211" s="1">
        <f t="shared" si="158"/>
        <v>0.23499999999999999</v>
      </c>
      <c r="CS211" s="1">
        <f t="shared" si="186"/>
        <v>10.000000000000002</v>
      </c>
      <c r="CT211" s="1">
        <f t="shared" si="187"/>
        <v>-1.5</v>
      </c>
    </row>
    <row r="212" spans="1:98" x14ac:dyDescent="0.2">
      <c r="A212" s="8">
        <f t="shared" si="184"/>
        <v>44037</v>
      </c>
      <c r="B212" s="1">
        <v>207</v>
      </c>
      <c r="C212" s="1">
        <v>11</v>
      </c>
      <c r="D212" s="2">
        <v>12.98</v>
      </c>
      <c r="E212" s="2">
        <v>18.95</v>
      </c>
      <c r="F212" s="2">
        <v>0.56499999999999995</v>
      </c>
      <c r="G212" s="2">
        <v>9.4700000000000006</v>
      </c>
      <c r="H212" s="2">
        <v>67.75</v>
      </c>
      <c r="I212" s="2">
        <v>10.130000000000001</v>
      </c>
      <c r="J212" s="2">
        <v>9.64</v>
      </c>
      <c r="K212" s="2">
        <v>14.08</v>
      </c>
      <c r="L212" s="2">
        <v>11.76</v>
      </c>
      <c r="M212" s="2">
        <v>9.7899999999999991</v>
      </c>
      <c r="N212" s="2">
        <v>16.41</v>
      </c>
      <c r="O212" s="2">
        <v>94.8</v>
      </c>
      <c r="P212" s="2">
        <v>24.73</v>
      </c>
      <c r="Q212" s="2">
        <v>22.11</v>
      </c>
      <c r="R212" s="2">
        <v>30.65</v>
      </c>
      <c r="S212" s="2">
        <v>13.05</v>
      </c>
      <c r="T212" s="2">
        <v>9.9499999999999993</v>
      </c>
      <c r="U212" s="2">
        <v>2.7360000000000002</v>
      </c>
      <c r="V212" s="2">
        <v>43.32</v>
      </c>
      <c r="W212" s="2">
        <v>-1.101</v>
      </c>
      <c r="X212" s="2">
        <v>-1.8120000000000001</v>
      </c>
      <c r="Y212" s="2">
        <v>4.7190000000000003</v>
      </c>
      <c r="Z212" s="2">
        <v>10.48</v>
      </c>
      <c r="AA212" s="2">
        <v>9.61</v>
      </c>
      <c r="AB212" s="2">
        <v>2.2000000000000002</v>
      </c>
      <c r="AC212" s="2">
        <v>0</v>
      </c>
      <c r="AD212" s="2">
        <v>26.94</v>
      </c>
      <c r="AE212" s="2">
        <v>6.157</v>
      </c>
      <c r="AF212" s="2">
        <v>1.014</v>
      </c>
      <c r="AG212" s="2">
        <v>3.2970000000000002</v>
      </c>
      <c r="AH212" s="2">
        <v>11.06</v>
      </c>
      <c r="AI212" s="2">
        <v>24.65</v>
      </c>
      <c r="AJ212" s="2">
        <v>0.47499999999999998</v>
      </c>
      <c r="AK212" s="2">
        <v>20.43</v>
      </c>
      <c r="AL212" s="2">
        <v>2.335</v>
      </c>
      <c r="AM212" s="2">
        <v>2.1680000000000001</v>
      </c>
      <c r="AN212" s="2" t="s">
        <v>122</v>
      </c>
      <c r="AO212" s="2">
        <v>557</v>
      </c>
      <c r="AP212" s="2">
        <v>723</v>
      </c>
      <c r="AQ212" s="2">
        <v>788</v>
      </c>
      <c r="AR212" s="2">
        <v>270</v>
      </c>
      <c r="AS212" s="2">
        <v>112</v>
      </c>
      <c r="AT212" s="2">
        <v>81</v>
      </c>
      <c r="AU212" s="2">
        <v>116</v>
      </c>
      <c r="AV212" s="2">
        <v>233</v>
      </c>
      <c r="AW212" s="2"/>
      <c r="AX212" s="2">
        <v>0</v>
      </c>
      <c r="AY212" s="26"/>
      <c r="AZ212" s="5">
        <v>30.52</v>
      </c>
      <c r="BA212" s="1">
        <v>26.94</v>
      </c>
      <c r="BB212" s="1">
        <v>5.66</v>
      </c>
      <c r="BC212" s="6">
        <f t="shared" si="185"/>
        <v>0.21009651076466221</v>
      </c>
      <c r="BE212" s="30">
        <v>0</v>
      </c>
      <c r="BF212" s="27">
        <v>0</v>
      </c>
      <c r="BG212" s="1">
        <f t="shared" si="159"/>
        <v>94.8</v>
      </c>
      <c r="BH212" s="1">
        <f t="shared" si="160"/>
        <v>67.8</v>
      </c>
      <c r="BI212" s="1">
        <f t="shared" si="161"/>
        <v>43.3</v>
      </c>
      <c r="BJ212" s="7">
        <f t="shared" si="162"/>
        <v>0.80800000000000005</v>
      </c>
      <c r="BK212" s="7">
        <f t="shared" si="163"/>
        <v>1.0580000000000001</v>
      </c>
      <c r="BM212" s="5">
        <f t="shared" si="164"/>
        <v>26.94</v>
      </c>
      <c r="BN212" s="5">
        <f t="shared" si="165"/>
        <v>5.66</v>
      </c>
      <c r="BO212" s="1">
        <f t="shared" si="166"/>
        <v>9.5</v>
      </c>
      <c r="BP212" s="1">
        <f t="shared" si="167"/>
        <v>16.399999999999999</v>
      </c>
      <c r="BQ212" s="1">
        <f t="shared" si="168"/>
        <v>2.7</v>
      </c>
      <c r="BR212" s="1">
        <f t="shared" si="169"/>
        <v>67.8</v>
      </c>
      <c r="BS212" s="1">
        <f t="shared" si="170"/>
        <v>43.3</v>
      </c>
      <c r="BT212" s="1">
        <f t="shared" si="171"/>
        <v>1</v>
      </c>
      <c r="BU212" s="1">
        <f t="shared" si="172"/>
        <v>3.3</v>
      </c>
      <c r="BV212" s="33">
        <f t="shared" si="173"/>
        <v>0</v>
      </c>
      <c r="BW212" s="26">
        <f t="shared" si="149"/>
        <v>0</v>
      </c>
      <c r="BX212" s="20" t="str">
        <f t="shared" si="174"/>
        <v>NAN</v>
      </c>
      <c r="BY212" s="1">
        <f t="shared" si="175"/>
        <v>11.1</v>
      </c>
      <c r="BZ212" s="1">
        <f t="shared" si="176"/>
        <v>24.7</v>
      </c>
      <c r="CA212" s="1">
        <f t="shared" si="177"/>
        <v>0.5</v>
      </c>
      <c r="CB212" s="1">
        <f t="shared" si="178"/>
        <v>14.1</v>
      </c>
      <c r="CC212" s="1">
        <f t="shared" si="179"/>
        <v>11.8</v>
      </c>
      <c r="CD212" s="1">
        <f t="shared" si="180"/>
        <v>9.8000000000000007</v>
      </c>
      <c r="CE212" s="1" t="str">
        <f t="shared" si="181"/>
        <v>NAN</v>
      </c>
      <c r="CF212" s="1">
        <f t="shared" si="182"/>
        <v>0.80800000000000005</v>
      </c>
      <c r="CG212" s="1">
        <f t="shared" si="183"/>
        <v>1.0580000000000001</v>
      </c>
      <c r="CI212" s="1">
        <f t="shared" si="150"/>
        <v>2880</v>
      </c>
      <c r="CJ212" s="1">
        <f t="shared" si="151"/>
        <v>0.193</v>
      </c>
      <c r="CK212" s="1">
        <f t="shared" si="152"/>
        <v>0.251</v>
      </c>
      <c r="CL212" s="1">
        <f t="shared" si="153"/>
        <v>0.27400000000000002</v>
      </c>
      <c r="CM212" s="1">
        <f t="shared" si="154"/>
        <v>9.4E-2</v>
      </c>
      <c r="CN212" s="1">
        <f t="shared" si="155"/>
        <v>3.9E-2</v>
      </c>
      <c r="CO212" s="1">
        <f t="shared" si="156"/>
        <v>2.8000000000000001E-2</v>
      </c>
      <c r="CP212" s="1">
        <f t="shared" si="157"/>
        <v>0.04</v>
      </c>
      <c r="CQ212" s="1">
        <f t="shared" si="158"/>
        <v>8.1000000000000003E-2</v>
      </c>
      <c r="CS212" s="1">
        <f t="shared" si="186"/>
        <v>8.3000000000000007</v>
      </c>
      <c r="CT212" s="1">
        <f t="shared" si="187"/>
        <v>-2.2000000000000002</v>
      </c>
    </row>
    <row r="213" spans="1:98" x14ac:dyDescent="0.2">
      <c r="A213" s="8">
        <f t="shared" si="184"/>
        <v>44038</v>
      </c>
      <c r="B213" s="1">
        <v>208</v>
      </c>
      <c r="C213" s="1">
        <v>11</v>
      </c>
      <c r="D213" s="2">
        <v>12.97</v>
      </c>
      <c r="E213" s="2">
        <v>23.47</v>
      </c>
      <c r="F213" s="2">
        <v>3.87</v>
      </c>
      <c r="G213" s="2">
        <v>14.35</v>
      </c>
      <c r="H213" s="2">
        <v>50.19</v>
      </c>
      <c r="I213" s="2">
        <v>12.93</v>
      </c>
      <c r="J213" s="2">
        <v>12.9</v>
      </c>
      <c r="K213" s="2">
        <v>15.96</v>
      </c>
      <c r="L213" s="2">
        <v>12.13</v>
      </c>
      <c r="M213" s="2">
        <v>9.73</v>
      </c>
      <c r="N213" s="2">
        <v>21.05</v>
      </c>
      <c r="O213" s="2">
        <v>76.08</v>
      </c>
      <c r="P213" s="2">
        <v>29.33</v>
      </c>
      <c r="Q213" s="2">
        <v>26.49</v>
      </c>
      <c r="R213" s="2">
        <v>34.020000000000003</v>
      </c>
      <c r="S213" s="2">
        <v>13.57</v>
      </c>
      <c r="T213" s="2">
        <v>9.8800000000000008</v>
      </c>
      <c r="U213" s="2">
        <v>7.54</v>
      </c>
      <c r="V213" s="2">
        <v>31.37</v>
      </c>
      <c r="W213" s="2">
        <v>2.3330000000000002</v>
      </c>
      <c r="X213" s="2">
        <v>2.2360000000000002</v>
      </c>
      <c r="Y213" s="2">
        <v>6.3360000000000003</v>
      </c>
      <c r="Z213" s="2">
        <v>10.76</v>
      </c>
      <c r="AA213" s="2">
        <v>9.59</v>
      </c>
      <c r="AB213" s="2">
        <v>2.214</v>
      </c>
      <c r="AC213" s="2">
        <v>0</v>
      </c>
      <c r="AD213" s="2">
        <v>26.28</v>
      </c>
      <c r="AE213" s="2">
        <v>5.9930000000000003</v>
      </c>
      <c r="AF213" s="2">
        <v>1.0189999999999999</v>
      </c>
      <c r="AG213" s="2">
        <v>3.3250000000000002</v>
      </c>
      <c r="AH213" s="2">
        <v>14.8</v>
      </c>
      <c r="AI213" s="2">
        <v>28.28</v>
      </c>
      <c r="AJ213" s="2">
        <v>4.641</v>
      </c>
      <c r="AK213" s="2">
        <v>24.97</v>
      </c>
      <c r="AL213" s="2">
        <v>7.6180000000000003</v>
      </c>
      <c r="AM213" s="2">
        <v>2.1629999999999998</v>
      </c>
      <c r="AN213" s="2" t="s">
        <v>122</v>
      </c>
      <c r="AO213" s="2">
        <v>478</v>
      </c>
      <c r="AP213" s="2">
        <v>538</v>
      </c>
      <c r="AQ213" s="2">
        <v>1321</v>
      </c>
      <c r="AR213" s="2">
        <v>297</v>
      </c>
      <c r="AS213" s="2">
        <v>34</v>
      </c>
      <c r="AT213" s="2">
        <v>19</v>
      </c>
      <c r="AU213" s="2">
        <v>36</v>
      </c>
      <c r="AV213" s="2">
        <v>157</v>
      </c>
      <c r="AW213" s="2"/>
      <c r="AX213" s="2">
        <v>0</v>
      </c>
      <c r="AY213" s="26"/>
      <c r="AZ213" s="5">
        <v>30.38</v>
      </c>
      <c r="BA213" s="1">
        <v>26.29</v>
      </c>
      <c r="BB213" s="1">
        <v>5.51</v>
      </c>
      <c r="BC213" s="6">
        <f t="shared" si="185"/>
        <v>0.20958539368581208</v>
      </c>
      <c r="BE213" s="30">
        <v>0</v>
      </c>
      <c r="BF213" s="27">
        <v>0</v>
      </c>
      <c r="BG213" s="1">
        <f t="shared" si="159"/>
        <v>76.099999999999994</v>
      </c>
      <c r="BH213" s="1">
        <f t="shared" si="160"/>
        <v>50.2</v>
      </c>
      <c r="BI213" s="1">
        <f t="shared" si="161"/>
        <v>31.4</v>
      </c>
      <c r="BJ213" s="7">
        <f t="shared" si="162"/>
        <v>0.78300000000000003</v>
      </c>
      <c r="BK213" s="7">
        <f t="shared" si="163"/>
        <v>1.7110000000000001</v>
      </c>
      <c r="BM213" s="5">
        <f t="shared" si="164"/>
        <v>26.29</v>
      </c>
      <c r="BN213" s="5">
        <f t="shared" si="165"/>
        <v>5.51</v>
      </c>
      <c r="BO213" s="1">
        <f t="shared" si="166"/>
        <v>14.4</v>
      </c>
      <c r="BP213" s="1">
        <f t="shared" si="167"/>
        <v>21.1</v>
      </c>
      <c r="BQ213" s="1">
        <f t="shared" si="168"/>
        <v>7.5</v>
      </c>
      <c r="BR213" s="1">
        <f t="shared" si="169"/>
        <v>50.2</v>
      </c>
      <c r="BS213" s="1">
        <f t="shared" si="170"/>
        <v>31.4</v>
      </c>
      <c r="BT213" s="1">
        <f t="shared" si="171"/>
        <v>1</v>
      </c>
      <c r="BU213" s="1">
        <f t="shared" si="172"/>
        <v>3.3</v>
      </c>
      <c r="BV213" s="33">
        <f t="shared" si="173"/>
        <v>0</v>
      </c>
      <c r="BW213" s="26">
        <f t="shared" si="149"/>
        <v>0</v>
      </c>
      <c r="BX213" s="20" t="str">
        <f t="shared" si="174"/>
        <v>NAN</v>
      </c>
      <c r="BY213" s="1">
        <f t="shared" si="175"/>
        <v>14.8</v>
      </c>
      <c r="BZ213" s="1">
        <f t="shared" si="176"/>
        <v>28.3</v>
      </c>
      <c r="CA213" s="1">
        <f t="shared" si="177"/>
        <v>4.5999999999999996</v>
      </c>
      <c r="CB213" s="1">
        <f t="shared" si="178"/>
        <v>16</v>
      </c>
      <c r="CC213" s="1">
        <f t="shared" si="179"/>
        <v>12.1</v>
      </c>
      <c r="CD213" s="1">
        <f t="shared" si="180"/>
        <v>9.6999999999999993</v>
      </c>
      <c r="CE213" s="1" t="str">
        <f t="shared" si="181"/>
        <v>NAN</v>
      </c>
      <c r="CF213" s="1">
        <f t="shared" si="182"/>
        <v>0.78300000000000003</v>
      </c>
      <c r="CG213" s="1">
        <f t="shared" si="183"/>
        <v>1.7110000000000001</v>
      </c>
      <c r="CI213" s="1">
        <f t="shared" si="150"/>
        <v>2880</v>
      </c>
      <c r="CJ213" s="1">
        <f t="shared" si="151"/>
        <v>0.16600000000000001</v>
      </c>
      <c r="CK213" s="1">
        <f t="shared" si="152"/>
        <v>0.187</v>
      </c>
      <c r="CL213" s="1">
        <f t="shared" si="153"/>
        <v>0.45900000000000002</v>
      </c>
      <c r="CM213" s="1">
        <f t="shared" si="154"/>
        <v>0.10299999999999999</v>
      </c>
      <c r="CN213" s="1">
        <f t="shared" si="155"/>
        <v>1.2E-2</v>
      </c>
      <c r="CO213" s="1">
        <f t="shared" si="156"/>
        <v>7.0000000000000001E-3</v>
      </c>
      <c r="CP213" s="1">
        <f t="shared" si="157"/>
        <v>1.2999999999999999E-2</v>
      </c>
      <c r="CQ213" s="1">
        <f t="shared" si="158"/>
        <v>5.5E-2</v>
      </c>
      <c r="CS213" s="1">
        <f t="shared" si="186"/>
        <v>7.1999999999999993</v>
      </c>
      <c r="CT213" s="1">
        <f t="shared" si="187"/>
        <v>-2.9000000000000004</v>
      </c>
    </row>
    <row r="214" spans="1:98" x14ac:dyDescent="0.2">
      <c r="A214" s="8">
        <f t="shared" si="184"/>
        <v>44039</v>
      </c>
      <c r="B214" s="1">
        <v>209</v>
      </c>
      <c r="C214" s="1">
        <v>11</v>
      </c>
      <c r="D214" s="2">
        <v>12.98</v>
      </c>
      <c r="E214" s="2">
        <v>29.18</v>
      </c>
      <c r="F214" s="2">
        <v>8.3000000000000007</v>
      </c>
      <c r="G214" s="2">
        <v>19.48</v>
      </c>
      <c r="H214" s="2">
        <v>39.08</v>
      </c>
      <c r="I214" s="2">
        <v>15.83</v>
      </c>
      <c r="J214" s="2">
        <v>16.66</v>
      </c>
      <c r="K214" s="2">
        <v>18.329999999999998</v>
      </c>
      <c r="L214" s="2">
        <v>12.78</v>
      </c>
      <c r="M214" s="2">
        <v>9.84</v>
      </c>
      <c r="N214" s="2">
        <v>27.43</v>
      </c>
      <c r="O214" s="2">
        <v>56.45</v>
      </c>
      <c r="P214" s="2">
        <v>33.590000000000003</v>
      </c>
      <c r="Q214" s="2">
        <v>31.2</v>
      </c>
      <c r="R214" s="2">
        <v>37.950000000000003</v>
      </c>
      <c r="S214" s="2">
        <v>14.34</v>
      </c>
      <c r="T214" s="2">
        <v>10.02</v>
      </c>
      <c r="U214" s="2">
        <v>12.65</v>
      </c>
      <c r="V214" s="2">
        <v>20.87</v>
      </c>
      <c r="W214" s="2">
        <v>4.5410000000000004</v>
      </c>
      <c r="X214" s="2">
        <v>4.9320000000000004</v>
      </c>
      <c r="Y214" s="2">
        <v>8.0299999999999994</v>
      </c>
      <c r="Z214" s="2">
        <v>11.35</v>
      </c>
      <c r="AA214" s="2">
        <v>9.67</v>
      </c>
      <c r="AB214" s="2">
        <v>2.6429999999999998</v>
      </c>
      <c r="AC214" s="2">
        <v>0</v>
      </c>
      <c r="AD214" s="2">
        <v>26.06</v>
      </c>
      <c r="AE214" s="2">
        <v>5.9429999999999996</v>
      </c>
      <c r="AF214" s="2">
        <v>0.96899999999999997</v>
      </c>
      <c r="AG214" s="2">
        <v>3.4820000000000002</v>
      </c>
      <c r="AH214" s="2">
        <v>19.22</v>
      </c>
      <c r="AI214" s="2">
        <v>34.409999999999997</v>
      </c>
      <c r="AJ214" s="2">
        <v>8.1199999999999992</v>
      </c>
      <c r="AK214" s="2">
        <v>32.020000000000003</v>
      </c>
      <c r="AL214" s="2">
        <v>12.54</v>
      </c>
      <c r="AM214" s="2">
        <v>2.573</v>
      </c>
      <c r="AN214" s="2" t="s">
        <v>122</v>
      </c>
      <c r="AO214" s="2">
        <v>97</v>
      </c>
      <c r="AP214" s="2">
        <v>243</v>
      </c>
      <c r="AQ214" s="2">
        <v>671</v>
      </c>
      <c r="AR214" s="2">
        <v>439</v>
      </c>
      <c r="AS214" s="2">
        <v>219</v>
      </c>
      <c r="AT214" s="2">
        <v>499</v>
      </c>
      <c r="AU214" s="2">
        <v>538</v>
      </c>
      <c r="AV214" s="2">
        <v>174</v>
      </c>
      <c r="AW214" s="2"/>
      <c r="AX214" s="2">
        <v>0</v>
      </c>
      <c r="AY214" s="26"/>
      <c r="AZ214" s="5">
        <v>30.22</v>
      </c>
      <c r="BA214" s="1">
        <v>26.06</v>
      </c>
      <c r="BB214" s="1">
        <v>5.47</v>
      </c>
      <c r="BC214" s="6">
        <f t="shared" si="185"/>
        <v>0.20990023023791252</v>
      </c>
      <c r="BE214" s="30">
        <v>0</v>
      </c>
      <c r="BF214" s="27">
        <v>0</v>
      </c>
      <c r="BG214" s="1">
        <f t="shared" si="159"/>
        <v>56.5</v>
      </c>
      <c r="BH214" s="1">
        <f t="shared" si="160"/>
        <v>39.1</v>
      </c>
      <c r="BI214" s="1">
        <f t="shared" si="161"/>
        <v>20.9</v>
      </c>
      <c r="BJ214" s="7">
        <f t="shared" si="162"/>
        <v>0.76400000000000001</v>
      </c>
      <c r="BK214" s="7">
        <f t="shared" si="163"/>
        <v>2.8919999999999999</v>
      </c>
      <c r="BM214" s="5">
        <f t="shared" si="164"/>
        <v>26.06</v>
      </c>
      <c r="BN214" s="5">
        <f t="shared" si="165"/>
        <v>5.47</v>
      </c>
      <c r="BO214" s="1">
        <f t="shared" si="166"/>
        <v>19.5</v>
      </c>
      <c r="BP214" s="1">
        <f t="shared" si="167"/>
        <v>27.4</v>
      </c>
      <c r="BQ214" s="1">
        <f t="shared" si="168"/>
        <v>12.7</v>
      </c>
      <c r="BR214" s="1">
        <f t="shared" si="169"/>
        <v>39.1</v>
      </c>
      <c r="BS214" s="1">
        <f t="shared" si="170"/>
        <v>20.9</v>
      </c>
      <c r="BT214" s="1">
        <f t="shared" si="171"/>
        <v>1</v>
      </c>
      <c r="BU214" s="1">
        <f t="shared" si="172"/>
        <v>3.5</v>
      </c>
      <c r="BV214" s="33">
        <f t="shared" si="173"/>
        <v>0</v>
      </c>
      <c r="BW214" s="26">
        <f t="shared" si="149"/>
        <v>0</v>
      </c>
      <c r="BX214" s="20" t="str">
        <f t="shared" si="174"/>
        <v>NAN</v>
      </c>
      <c r="BY214" s="1">
        <f t="shared" si="175"/>
        <v>19.2</v>
      </c>
      <c r="BZ214" s="1">
        <f t="shared" si="176"/>
        <v>34.4</v>
      </c>
      <c r="CA214" s="1">
        <f t="shared" si="177"/>
        <v>8.1</v>
      </c>
      <c r="CB214" s="1">
        <f t="shared" si="178"/>
        <v>18.3</v>
      </c>
      <c r="CC214" s="1">
        <f t="shared" si="179"/>
        <v>12.8</v>
      </c>
      <c r="CD214" s="1">
        <f t="shared" si="180"/>
        <v>9.8000000000000007</v>
      </c>
      <c r="CE214" s="1" t="str">
        <f t="shared" si="181"/>
        <v>NAN</v>
      </c>
      <c r="CF214" s="1">
        <f t="shared" si="182"/>
        <v>0.76400000000000001</v>
      </c>
      <c r="CG214" s="1">
        <f t="shared" si="183"/>
        <v>2.8919999999999999</v>
      </c>
      <c r="CI214" s="1">
        <f t="shared" si="150"/>
        <v>2880</v>
      </c>
      <c r="CJ214" s="1">
        <f t="shared" si="151"/>
        <v>3.4000000000000002E-2</v>
      </c>
      <c r="CK214" s="1">
        <f t="shared" si="152"/>
        <v>8.4000000000000005E-2</v>
      </c>
      <c r="CL214" s="1">
        <f t="shared" si="153"/>
        <v>0.23300000000000001</v>
      </c>
      <c r="CM214" s="1">
        <f t="shared" si="154"/>
        <v>0.152</v>
      </c>
      <c r="CN214" s="1">
        <f t="shared" si="155"/>
        <v>7.5999999999999998E-2</v>
      </c>
      <c r="CO214" s="1">
        <f t="shared" si="156"/>
        <v>0.17299999999999999</v>
      </c>
      <c r="CP214" s="1">
        <f t="shared" si="157"/>
        <v>0.187</v>
      </c>
      <c r="CQ214" s="1">
        <f t="shared" si="158"/>
        <v>0.06</v>
      </c>
      <c r="CS214" s="1">
        <f t="shared" si="186"/>
        <v>7</v>
      </c>
      <c r="CT214" s="1">
        <f t="shared" si="187"/>
        <v>-4.5999999999999996</v>
      </c>
    </row>
    <row r="215" spans="1:98" x14ac:dyDescent="0.2">
      <c r="A215" s="8">
        <f t="shared" si="184"/>
        <v>44040</v>
      </c>
      <c r="B215" s="1">
        <v>210</v>
      </c>
      <c r="C215" s="1">
        <v>11</v>
      </c>
      <c r="D215" s="2">
        <v>12.99</v>
      </c>
      <c r="E215" s="2">
        <v>27.37</v>
      </c>
      <c r="F215" s="2">
        <v>10.58</v>
      </c>
      <c r="G215" s="2">
        <v>18.22</v>
      </c>
      <c r="H215" s="2">
        <v>41.49</v>
      </c>
      <c r="I215" s="2">
        <v>15.75</v>
      </c>
      <c r="J215" s="2">
        <v>16.68</v>
      </c>
      <c r="K215" s="2">
        <v>18.87</v>
      </c>
      <c r="L215" s="2">
        <v>13.43</v>
      </c>
      <c r="M215" s="2">
        <v>10.119999999999999</v>
      </c>
      <c r="N215" s="2">
        <v>25.47</v>
      </c>
      <c r="O215" s="2">
        <v>58.28</v>
      </c>
      <c r="P215" s="2">
        <v>31.43</v>
      </c>
      <c r="Q215" s="2">
        <v>29.57</v>
      </c>
      <c r="R215" s="2">
        <v>38.869999999999997</v>
      </c>
      <c r="S215" s="2">
        <v>14.68</v>
      </c>
      <c r="T215" s="2">
        <v>10.3</v>
      </c>
      <c r="U215" s="2">
        <v>13.09</v>
      </c>
      <c r="V215" s="2">
        <v>23.38</v>
      </c>
      <c r="W215" s="2">
        <v>6.0869999999999997</v>
      </c>
      <c r="X215" s="2">
        <v>6.3369999999999997</v>
      </c>
      <c r="Y215" s="2">
        <v>9.41</v>
      </c>
      <c r="Z215" s="2">
        <v>12.15</v>
      </c>
      <c r="AA215" s="2">
        <v>9.93</v>
      </c>
      <c r="AB215" s="2">
        <v>2.1779999999999999</v>
      </c>
      <c r="AC215" s="2">
        <v>0</v>
      </c>
      <c r="AD215" s="2">
        <v>24.82</v>
      </c>
      <c r="AE215" s="2">
        <v>5.556</v>
      </c>
      <c r="AF215" s="2">
        <v>1.4319999999999999</v>
      </c>
      <c r="AG215" s="2">
        <v>3.7240000000000002</v>
      </c>
      <c r="AH215" s="2">
        <v>18.64</v>
      </c>
      <c r="AI215" s="2">
        <v>32.340000000000003</v>
      </c>
      <c r="AJ215" s="2">
        <v>9.59</v>
      </c>
      <c r="AK215" s="2">
        <v>29.18</v>
      </c>
      <c r="AL215" s="2">
        <v>12.89</v>
      </c>
      <c r="AM215" s="2">
        <v>2.1269999999999998</v>
      </c>
      <c r="AN215" s="2" t="s">
        <v>122</v>
      </c>
      <c r="AO215" s="2">
        <v>371</v>
      </c>
      <c r="AP215" s="2">
        <v>1027</v>
      </c>
      <c r="AQ215" s="2">
        <v>417</v>
      </c>
      <c r="AR215" s="2">
        <v>41</v>
      </c>
      <c r="AS215" s="2">
        <v>95</v>
      </c>
      <c r="AT215" s="2">
        <v>240</v>
      </c>
      <c r="AU215" s="2">
        <v>394</v>
      </c>
      <c r="AV215" s="2">
        <v>295</v>
      </c>
      <c r="AW215" s="2"/>
      <c r="AX215" s="2">
        <v>0</v>
      </c>
      <c r="AY215" s="26"/>
      <c r="AZ215" s="5">
        <v>30.07</v>
      </c>
      <c r="BA215" s="1">
        <v>24.82</v>
      </c>
      <c r="BB215" s="1">
        <v>5.1100000000000003</v>
      </c>
      <c r="BC215" s="6">
        <f t="shared" si="185"/>
        <v>0.20588235294117649</v>
      </c>
      <c r="BE215" s="30">
        <v>0</v>
      </c>
      <c r="BF215" s="27">
        <v>0</v>
      </c>
      <c r="BG215" s="1">
        <f t="shared" si="159"/>
        <v>58.3</v>
      </c>
      <c r="BH215" s="1">
        <f t="shared" si="160"/>
        <v>41.5</v>
      </c>
      <c r="BI215" s="1">
        <f t="shared" si="161"/>
        <v>23.4</v>
      </c>
      <c r="BJ215" s="7">
        <f t="shared" si="162"/>
        <v>0.76200000000000001</v>
      </c>
      <c r="BK215" s="7">
        <f t="shared" si="163"/>
        <v>2.4940000000000002</v>
      </c>
      <c r="BM215" s="5">
        <f t="shared" si="164"/>
        <v>24.82</v>
      </c>
      <c r="BN215" s="5">
        <f t="shared" si="165"/>
        <v>5.1100000000000003</v>
      </c>
      <c r="BO215" s="1">
        <f t="shared" si="166"/>
        <v>18.2</v>
      </c>
      <c r="BP215" s="1">
        <f t="shared" si="167"/>
        <v>25.5</v>
      </c>
      <c r="BQ215" s="1">
        <f t="shared" si="168"/>
        <v>13.1</v>
      </c>
      <c r="BR215" s="1">
        <f t="shared" si="169"/>
        <v>41.5</v>
      </c>
      <c r="BS215" s="1">
        <f t="shared" si="170"/>
        <v>23.4</v>
      </c>
      <c r="BT215" s="1">
        <f t="shared" si="171"/>
        <v>1.4</v>
      </c>
      <c r="BU215" s="1">
        <f t="shared" si="172"/>
        <v>3.7</v>
      </c>
      <c r="BV215" s="33">
        <f t="shared" si="173"/>
        <v>0</v>
      </c>
      <c r="BW215" s="26">
        <f t="shared" si="149"/>
        <v>0</v>
      </c>
      <c r="BX215" s="20" t="str">
        <f t="shared" si="174"/>
        <v>NAN</v>
      </c>
      <c r="BY215" s="1">
        <f t="shared" si="175"/>
        <v>18.600000000000001</v>
      </c>
      <c r="BZ215" s="1">
        <f t="shared" si="176"/>
        <v>32.299999999999997</v>
      </c>
      <c r="CA215" s="1">
        <f t="shared" si="177"/>
        <v>9.6</v>
      </c>
      <c r="CB215" s="1">
        <f t="shared" si="178"/>
        <v>18.899999999999999</v>
      </c>
      <c r="CC215" s="1">
        <f t="shared" si="179"/>
        <v>13.4</v>
      </c>
      <c r="CD215" s="1">
        <f t="shared" si="180"/>
        <v>10.1</v>
      </c>
      <c r="CE215" s="1" t="str">
        <f t="shared" si="181"/>
        <v>NAN</v>
      </c>
      <c r="CF215" s="1">
        <f t="shared" si="182"/>
        <v>0.76200000000000001</v>
      </c>
      <c r="CG215" s="1">
        <f t="shared" si="183"/>
        <v>2.4940000000000002</v>
      </c>
      <c r="CI215" s="1">
        <f t="shared" si="150"/>
        <v>2880</v>
      </c>
      <c r="CJ215" s="1">
        <f t="shared" si="151"/>
        <v>0.129</v>
      </c>
      <c r="CK215" s="1">
        <f t="shared" si="152"/>
        <v>0.35699999999999998</v>
      </c>
      <c r="CL215" s="1">
        <f t="shared" si="153"/>
        <v>0.14499999999999999</v>
      </c>
      <c r="CM215" s="1">
        <f t="shared" si="154"/>
        <v>1.4E-2</v>
      </c>
      <c r="CN215" s="1">
        <f t="shared" si="155"/>
        <v>3.3000000000000002E-2</v>
      </c>
      <c r="CO215" s="1">
        <f t="shared" si="156"/>
        <v>8.3000000000000004E-2</v>
      </c>
      <c r="CP215" s="1">
        <f t="shared" si="157"/>
        <v>0.13700000000000001</v>
      </c>
      <c r="CQ215" s="1">
        <f t="shared" si="158"/>
        <v>0.10199999999999999</v>
      </c>
      <c r="CS215" s="1">
        <f t="shared" si="186"/>
        <v>6.7999999999999972</v>
      </c>
      <c r="CT215" s="1">
        <f t="shared" si="187"/>
        <v>-3.5</v>
      </c>
    </row>
    <row r="216" spans="1:98" x14ac:dyDescent="0.2">
      <c r="A216" s="8">
        <f t="shared" si="184"/>
        <v>44041</v>
      </c>
      <c r="B216" s="1">
        <v>211</v>
      </c>
      <c r="C216" s="1">
        <v>11</v>
      </c>
      <c r="D216" s="2">
        <v>12.98</v>
      </c>
      <c r="E216" s="2">
        <v>28.07</v>
      </c>
      <c r="F216" s="2">
        <v>7.4210000000000003</v>
      </c>
      <c r="G216" s="2">
        <v>18.7</v>
      </c>
      <c r="H216" s="2">
        <v>34.130000000000003</v>
      </c>
      <c r="I216" s="2">
        <v>15.24</v>
      </c>
      <c r="J216" s="2">
        <v>16.04</v>
      </c>
      <c r="K216" s="2">
        <v>18.98</v>
      </c>
      <c r="L216" s="2">
        <v>13.54</v>
      </c>
      <c r="M216" s="2">
        <v>10.33</v>
      </c>
      <c r="N216" s="2">
        <v>26.15</v>
      </c>
      <c r="O216" s="2">
        <v>49.66</v>
      </c>
      <c r="P216" s="2">
        <v>31.7</v>
      </c>
      <c r="Q216" s="2">
        <v>30.1</v>
      </c>
      <c r="R216" s="2">
        <v>40.97</v>
      </c>
      <c r="S216" s="2">
        <v>14.78</v>
      </c>
      <c r="T216" s="2">
        <v>10.49</v>
      </c>
      <c r="U216" s="2">
        <v>10.79</v>
      </c>
      <c r="V216" s="2">
        <v>19.11</v>
      </c>
      <c r="W216" s="2">
        <v>4.0720000000000001</v>
      </c>
      <c r="X216" s="2">
        <v>3.8460000000000001</v>
      </c>
      <c r="Y216" s="2">
        <v>7.9790000000000001</v>
      </c>
      <c r="Z216" s="2">
        <v>12.25</v>
      </c>
      <c r="AA216" s="2">
        <v>10.18</v>
      </c>
      <c r="AB216" s="2">
        <v>2.5979999999999999</v>
      </c>
      <c r="AC216" s="2">
        <v>0</v>
      </c>
      <c r="AD216" s="2">
        <v>26.11</v>
      </c>
      <c r="AE216" s="2">
        <v>6.0019999999999998</v>
      </c>
      <c r="AF216" s="2">
        <v>1.208</v>
      </c>
      <c r="AG216" s="2">
        <v>3.3010000000000002</v>
      </c>
      <c r="AH216" s="2">
        <v>18.82</v>
      </c>
      <c r="AI216" s="2">
        <v>33.14</v>
      </c>
      <c r="AJ216" s="2">
        <v>7.3490000000000002</v>
      </c>
      <c r="AK216" s="2">
        <v>30.97</v>
      </c>
      <c r="AL216" s="2">
        <v>11</v>
      </c>
      <c r="AM216" s="2">
        <v>2.5139999999999998</v>
      </c>
      <c r="AN216" s="2" t="s">
        <v>122</v>
      </c>
      <c r="AO216" s="2">
        <v>169</v>
      </c>
      <c r="AP216" s="2">
        <v>823</v>
      </c>
      <c r="AQ216" s="2">
        <v>592</v>
      </c>
      <c r="AR216" s="2">
        <v>29</v>
      </c>
      <c r="AS216" s="2">
        <v>93</v>
      </c>
      <c r="AT216" s="2">
        <v>391</v>
      </c>
      <c r="AU216" s="2">
        <v>547</v>
      </c>
      <c r="AV216" s="2">
        <v>236</v>
      </c>
      <c r="AW216" s="2"/>
      <c r="AX216" s="2">
        <v>0</v>
      </c>
      <c r="AY216" s="26"/>
      <c r="AZ216" s="5">
        <v>29.91</v>
      </c>
      <c r="BA216" s="1">
        <v>26.1</v>
      </c>
      <c r="BB216" s="1">
        <v>5.52</v>
      </c>
      <c r="BC216" s="6">
        <f t="shared" si="185"/>
        <v>0.21149425287356319</v>
      </c>
      <c r="BE216" s="30">
        <v>0</v>
      </c>
      <c r="BF216" s="27">
        <v>0</v>
      </c>
      <c r="BG216" s="1">
        <f t="shared" si="159"/>
        <v>49.7</v>
      </c>
      <c r="BH216" s="1">
        <f t="shared" si="160"/>
        <v>34.1</v>
      </c>
      <c r="BI216" s="1">
        <f t="shared" si="161"/>
        <v>19.100000000000001</v>
      </c>
      <c r="BJ216" s="7">
        <f t="shared" si="162"/>
        <v>0.64800000000000002</v>
      </c>
      <c r="BK216" s="7">
        <f t="shared" si="163"/>
        <v>2.7450000000000001</v>
      </c>
      <c r="BM216" s="5">
        <f t="shared" si="164"/>
        <v>26.1</v>
      </c>
      <c r="BN216" s="5">
        <f t="shared" si="165"/>
        <v>5.52</v>
      </c>
      <c r="BO216" s="1">
        <f t="shared" si="166"/>
        <v>18.7</v>
      </c>
      <c r="BP216" s="1">
        <f t="shared" si="167"/>
        <v>26.2</v>
      </c>
      <c r="BQ216" s="1">
        <f t="shared" si="168"/>
        <v>10.8</v>
      </c>
      <c r="BR216" s="1">
        <f t="shared" si="169"/>
        <v>34.1</v>
      </c>
      <c r="BS216" s="1">
        <f t="shared" si="170"/>
        <v>19.100000000000001</v>
      </c>
      <c r="BT216" s="1">
        <f t="shared" si="171"/>
        <v>1.2</v>
      </c>
      <c r="BU216" s="1">
        <f t="shared" si="172"/>
        <v>3.3</v>
      </c>
      <c r="BV216" s="33">
        <f t="shared" si="173"/>
        <v>0</v>
      </c>
      <c r="BW216" s="26">
        <f t="shared" si="149"/>
        <v>0</v>
      </c>
      <c r="BX216" s="20" t="str">
        <f t="shared" si="174"/>
        <v>NAN</v>
      </c>
      <c r="BY216" s="1">
        <f t="shared" si="175"/>
        <v>18.8</v>
      </c>
      <c r="BZ216" s="1">
        <f t="shared" si="176"/>
        <v>33.1</v>
      </c>
      <c r="CA216" s="1">
        <f t="shared" si="177"/>
        <v>7.3</v>
      </c>
      <c r="CB216" s="1">
        <f t="shared" si="178"/>
        <v>19</v>
      </c>
      <c r="CC216" s="1">
        <f t="shared" si="179"/>
        <v>13.5</v>
      </c>
      <c r="CD216" s="1">
        <f t="shared" si="180"/>
        <v>10.3</v>
      </c>
      <c r="CE216" s="1" t="str">
        <f t="shared" si="181"/>
        <v>NAN</v>
      </c>
      <c r="CF216" s="1">
        <f t="shared" si="182"/>
        <v>0.64800000000000002</v>
      </c>
      <c r="CG216" s="1">
        <f t="shared" si="183"/>
        <v>2.7450000000000001</v>
      </c>
      <c r="CI216" s="1">
        <f t="shared" si="150"/>
        <v>2880</v>
      </c>
      <c r="CJ216" s="1">
        <f t="shared" si="151"/>
        <v>5.8999999999999997E-2</v>
      </c>
      <c r="CK216" s="1">
        <f t="shared" si="152"/>
        <v>0.28599999999999998</v>
      </c>
      <c r="CL216" s="1">
        <f t="shared" si="153"/>
        <v>0.20599999999999999</v>
      </c>
      <c r="CM216" s="1">
        <f t="shared" si="154"/>
        <v>0.01</v>
      </c>
      <c r="CN216" s="1">
        <f t="shared" si="155"/>
        <v>3.2000000000000001E-2</v>
      </c>
      <c r="CO216" s="1">
        <f t="shared" si="156"/>
        <v>0.13600000000000001</v>
      </c>
      <c r="CP216" s="1">
        <f t="shared" si="157"/>
        <v>0.19</v>
      </c>
      <c r="CQ216" s="1">
        <f t="shared" si="158"/>
        <v>8.2000000000000003E-2</v>
      </c>
      <c r="CS216" s="1">
        <f t="shared" si="186"/>
        <v>6.9000000000000021</v>
      </c>
      <c r="CT216" s="1">
        <f t="shared" si="187"/>
        <v>-3.5000000000000009</v>
      </c>
    </row>
    <row r="217" spans="1:98" x14ac:dyDescent="0.2">
      <c r="A217" s="8">
        <f t="shared" si="184"/>
        <v>44042</v>
      </c>
      <c r="B217" s="1">
        <v>212</v>
      </c>
      <c r="C217" s="1">
        <v>11</v>
      </c>
      <c r="D217" s="2">
        <v>12.98</v>
      </c>
      <c r="E217" s="2">
        <v>31.3</v>
      </c>
      <c r="F217" s="2">
        <v>10.95</v>
      </c>
      <c r="G217" s="2">
        <v>21.27</v>
      </c>
      <c r="H217" s="2">
        <v>32.56</v>
      </c>
      <c r="I217" s="2">
        <v>16.87</v>
      </c>
      <c r="J217" s="2">
        <v>17.829999999999998</v>
      </c>
      <c r="K217" s="2">
        <v>19.95</v>
      </c>
      <c r="L217" s="2">
        <v>13.76</v>
      </c>
      <c r="M217" s="2">
        <v>10.49</v>
      </c>
      <c r="N217" s="2">
        <v>28.72</v>
      </c>
      <c r="O217" s="2">
        <v>45.12</v>
      </c>
      <c r="P217" s="2">
        <v>32.47</v>
      </c>
      <c r="Q217" s="2">
        <v>32.72</v>
      </c>
      <c r="R217" s="2">
        <v>42.11</v>
      </c>
      <c r="S217" s="2">
        <v>15.1</v>
      </c>
      <c r="T217" s="2">
        <v>10.62</v>
      </c>
      <c r="U217" s="2">
        <v>14.78</v>
      </c>
      <c r="V217" s="2">
        <v>19.18</v>
      </c>
      <c r="W217" s="2">
        <v>5.6989999999999998</v>
      </c>
      <c r="X217" s="2">
        <v>6.3019999999999996</v>
      </c>
      <c r="Y217" s="2">
        <v>9.1199999999999992</v>
      </c>
      <c r="Z217" s="2">
        <v>12.44</v>
      </c>
      <c r="AA217" s="2">
        <v>10.33</v>
      </c>
      <c r="AB217" s="2">
        <v>2.2770000000000001</v>
      </c>
      <c r="AC217" s="2">
        <v>0</v>
      </c>
      <c r="AD217" s="2">
        <v>24.99</v>
      </c>
      <c r="AE217" s="2">
        <v>5.6829999999999998</v>
      </c>
      <c r="AF217" s="2">
        <v>1.0129999999999999</v>
      </c>
      <c r="AG217" s="2">
        <v>3.9390000000000001</v>
      </c>
      <c r="AH217" s="2">
        <v>20.57</v>
      </c>
      <c r="AI217" s="2">
        <v>35.979999999999997</v>
      </c>
      <c r="AJ217" s="2">
        <v>10.210000000000001</v>
      </c>
      <c r="AK217" s="2">
        <v>33.17</v>
      </c>
      <c r="AL217" s="2">
        <v>15.07</v>
      </c>
      <c r="AM217" s="2">
        <v>2.202</v>
      </c>
      <c r="AN217" s="2" t="s">
        <v>122</v>
      </c>
      <c r="AO217" s="2">
        <v>28</v>
      </c>
      <c r="AP217" s="2">
        <v>60</v>
      </c>
      <c r="AQ217" s="2">
        <v>1033</v>
      </c>
      <c r="AR217" s="2">
        <v>457</v>
      </c>
      <c r="AS217" s="2">
        <v>327</v>
      </c>
      <c r="AT217" s="2">
        <v>574</v>
      </c>
      <c r="AU217" s="2">
        <v>315</v>
      </c>
      <c r="AV217" s="2">
        <v>86</v>
      </c>
      <c r="AW217" s="2"/>
      <c r="AX217" s="2">
        <v>0</v>
      </c>
      <c r="AY217" s="26"/>
      <c r="AZ217" s="5">
        <v>29.74</v>
      </c>
      <c r="BA217" s="1">
        <v>24.99</v>
      </c>
      <c r="BB217" s="1">
        <v>5.23</v>
      </c>
      <c r="BC217" s="6">
        <f t="shared" si="185"/>
        <v>0.20928371348539418</v>
      </c>
      <c r="BE217" s="30">
        <v>0</v>
      </c>
      <c r="BF217" s="27">
        <v>0</v>
      </c>
      <c r="BG217" s="1">
        <f t="shared" si="159"/>
        <v>45.1</v>
      </c>
      <c r="BH217" s="1">
        <f t="shared" si="160"/>
        <v>32.6</v>
      </c>
      <c r="BI217" s="1">
        <f t="shared" si="161"/>
        <v>19.2</v>
      </c>
      <c r="BJ217" s="7">
        <f t="shared" si="162"/>
        <v>0.75700000000000001</v>
      </c>
      <c r="BK217" s="7">
        <f t="shared" si="163"/>
        <v>3.1859999999999999</v>
      </c>
      <c r="BM217" s="5">
        <f t="shared" si="164"/>
        <v>24.99</v>
      </c>
      <c r="BN217" s="5">
        <f t="shared" si="165"/>
        <v>5.23</v>
      </c>
      <c r="BO217" s="1">
        <f t="shared" si="166"/>
        <v>21.3</v>
      </c>
      <c r="BP217" s="1">
        <f t="shared" si="167"/>
        <v>28.7</v>
      </c>
      <c r="BQ217" s="1">
        <f t="shared" si="168"/>
        <v>14.8</v>
      </c>
      <c r="BR217" s="1">
        <f t="shared" si="169"/>
        <v>32.6</v>
      </c>
      <c r="BS217" s="1">
        <f t="shared" si="170"/>
        <v>19.2</v>
      </c>
      <c r="BT217" s="1">
        <f t="shared" si="171"/>
        <v>1</v>
      </c>
      <c r="BU217" s="1">
        <f t="shared" si="172"/>
        <v>3.9</v>
      </c>
      <c r="BV217" s="33">
        <f t="shared" si="173"/>
        <v>0</v>
      </c>
      <c r="BW217" s="26">
        <f t="shared" si="149"/>
        <v>0</v>
      </c>
      <c r="BX217" s="20" t="str">
        <f t="shared" si="174"/>
        <v>NAN</v>
      </c>
      <c r="BY217" s="1">
        <f t="shared" si="175"/>
        <v>20.6</v>
      </c>
      <c r="BZ217" s="1">
        <f t="shared" si="176"/>
        <v>36</v>
      </c>
      <c r="CA217" s="1">
        <f t="shared" si="177"/>
        <v>10.199999999999999</v>
      </c>
      <c r="CB217" s="1">
        <f t="shared" si="178"/>
        <v>20</v>
      </c>
      <c r="CC217" s="1">
        <f t="shared" si="179"/>
        <v>13.8</v>
      </c>
      <c r="CD217" s="1">
        <f t="shared" si="180"/>
        <v>10.5</v>
      </c>
      <c r="CE217" s="1" t="str">
        <f t="shared" si="181"/>
        <v>NAN</v>
      </c>
      <c r="CF217" s="1">
        <f t="shared" si="182"/>
        <v>0.75700000000000001</v>
      </c>
      <c r="CG217" s="1">
        <f t="shared" si="183"/>
        <v>3.1859999999999999</v>
      </c>
      <c r="CI217" s="1">
        <f t="shared" si="150"/>
        <v>2880</v>
      </c>
      <c r="CJ217" s="1">
        <f t="shared" si="151"/>
        <v>0.01</v>
      </c>
      <c r="CK217" s="1">
        <f t="shared" si="152"/>
        <v>2.1000000000000001E-2</v>
      </c>
      <c r="CL217" s="1">
        <f t="shared" si="153"/>
        <v>0.35899999999999999</v>
      </c>
      <c r="CM217" s="1">
        <f t="shared" si="154"/>
        <v>0.159</v>
      </c>
      <c r="CN217" s="1">
        <f t="shared" si="155"/>
        <v>0.114</v>
      </c>
      <c r="CO217" s="1">
        <f t="shared" si="156"/>
        <v>0.19900000000000001</v>
      </c>
      <c r="CP217" s="1">
        <f t="shared" si="157"/>
        <v>0.109</v>
      </c>
      <c r="CQ217" s="1">
        <f t="shared" si="158"/>
        <v>0.03</v>
      </c>
      <c r="CS217" s="1">
        <f t="shared" si="186"/>
        <v>7.3000000000000007</v>
      </c>
      <c r="CT217" s="1">
        <f t="shared" si="187"/>
        <v>-4.6000000000000014</v>
      </c>
    </row>
    <row r="218" spans="1:98" x14ac:dyDescent="0.2">
      <c r="A218" s="8">
        <f t="shared" si="184"/>
        <v>44043</v>
      </c>
      <c r="B218" s="1">
        <v>213</v>
      </c>
      <c r="C218" s="1">
        <v>11</v>
      </c>
      <c r="D218" s="2">
        <v>12.99</v>
      </c>
      <c r="E218" s="2">
        <v>30.09</v>
      </c>
      <c r="F218" s="2">
        <v>11.43</v>
      </c>
      <c r="G218" s="2">
        <v>21.23</v>
      </c>
      <c r="H218" s="2">
        <v>37.909999999999997</v>
      </c>
      <c r="I218" s="2">
        <v>16.3</v>
      </c>
      <c r="J218" s="2">
        <v>17.68</v>
      </c>
      <c r="K218" s="2">
        <v>18.68</v>
      </c>
      <c r="L218" s="2">
        <v>13.81</v>
      </c>
      <c r="M218" s="2">
        <v>10.67</v>
      </c>
      <c r="N218" s="2">
        <v>28.76</v>
      </c>
      <c r="O218" s="2">
        <v>62.53</v>
      </c>
      <c r="P218" s="2">
        <v>29.95</v>
      </c>
      <c r="Q218" s="2">
        <v>31.85</v>
      </c>
      <c r="R218" s="2">
        <v>36.46</v>
      </c>
      <c r="S218" s="2">
        <v>14.63</v>
      </c>
      <c r="T218" s="2">
        <v>10.8</v>
      </c>
      <c r="U218" s="2">
        <v>15.36</v>
      </c>
      <c r="V218" s="2">
        <v>22.37</v>
      </c>
      <c r="W218" s="2">
        <v>6.9169999999999998</v>
      </c>
      <c r="X218" s="2">
        <v>7.4160000000000004</v>
      </c>
      <c r="Y218" s="2">
        <v>9.91</v>
      </c>
      <c r="Z218" s="2">
        <v>12.84</v>
      </c>
      <c r="AA218" s="2">
        <v>10.51</v>
      </c>
      <c r="AB218" s="2">
        <v>2.1949999999999998</v>
      </c>
      <c r="AC218" s="2">
        <v>0</v>
      </c>
      <c r="AD218" s="2">
        <v>18.03</v>
      </c>
      <c r="AE218" s="2">
        <v>4.1669999999999998</v>
      </c>
      <c r="AF218" s="2">
        <v>0.94799999999999995</v>
      </c>
      <c r="AG218" s="2">
        <v>3.8980000000000001</v>
      </c>
      <c r="AH218" s="2">
        <v>19.91</v>
      </c>
      <c r="AI218" s="2">
        <v>34.130000000000003</v>
      </c>
      <c r="AJ218" s="2">
        <v>11.21</v>
      </c>
      <c r="AK218" s="2">
        <v>33.17</v>
      </c>
      <c r="AL218" s="2">
        <v>15.62</v>
      </c>
      <c r="AM218" s="2">
        <v>2.13</v>
      </c>
      <c r="AN218" s="2" t="s">
        <v>122</v>
      </c>
      <c r="AO218" s="2">
        <v>90</v>
      </c>
      <c r="AP218" s="2">
        <v>252</v>
      </c>
      <c r="AQ218" s="2">
        <v>778</v>
      </c>
      <c r="AR218" s="2">
        <v>307</v>
      </c>
      <c r="AS218" s="2">
        <v>389</v>
      </c>
      <c r="AT218" s="2">
        <v>622</v>
      </c>
      <c r="AU218" s="2">
        <v>355</v>
      </c>
      <c r="AV218" s="2">
        <v>87</v>
      </c>
      <c r="AW218" s="2"/>
      <c r="AX218" s="2">
        <v>0</v>
      </c>
      <c r="AY218" s="26"/>
      <c r="AZ218" s="5">
        <v>29.59</v>
      </c>
      <c r="BA218" s="1">
        <v>18.03</v>
      </c>
      <c r="BB218" s="1">
        <v>3.83</v>
      </c>
      <c r="BC218" s="6">
        <f t="shared" si="185"/>
        <v>0.21242373821408761</v>
      </c>
      <c r="BE218" s="30">
        <v>0</v>
      </c>
      <c r="BF218" s="27">
        <v>0</v>
      </c>
      <c r="BG218" s="1">
        <f t="shared" si="159"/>
        <v>62.5</v>
      </c>
      <c r="BH218" s="1">
        <f t="shared" si="160"/>
        <v>37.9</v>
      </c>
      <c r="BI218" s="1">
        <f t="shared" si="161"/>
        <v>22.4</v>
      </c>
      <c r="BJ218" s="7">
        <f t="shared" si="162"/>
        <v>0.88500000000000001</v>
      </c>
      <c r="BK218" s="7">
        <f t="shared" si="163"/>
        <v>3.0659999999999998</v>
      </c>
      <c r="BM218" s="5">
        <f t="shared" si="164"/>
        <v>18.03</v>
      </c>
      <c r="BN218" s="5">
        <f t="shared" si="165"/>
        <v>3.83</v>
      </c>
      <c r="BO218" s="1">
        <f t="shared" si="166"/>
        <v>21.2</v>
      </c>
      <c r="BP218" s="1">
        <f t="shared" si="167"/>
        <v>28.8</v>
      </c>
      <c r="BQ218" s="1">
        <f t="shared" si="168"/>
        <v>15.4</v>
      </c>
      <c r="BR218" s="1">
        <f t="shared" si="169"/>
        <v>37.9</v>
      </c>
      <c r="BS218" s="1">
        <f t="shared" si="170"/>
        <v>22.4</v>
      </c>
      <c r="BT218" s="1">
        <f t="shared" si="171"/>
        <v>0.9</v>
      </c>
      <c r="BU218" s="1">
        <f t="shared" si="172"/>
        <v>3.9</v>
      </c>
      <c r="BV218" s="33">
        <f t="shared" si="173"/>
        <v>0</v>
      </c>
      <c r="BW218" s="26">
        <f t="shared" si="149"/>
        <v>0</v>
      </c>
      <c r="BX218" s="20" t="str">
        <f t="shared" si="174"/>
        <v>NAN</v>
      </c>
      <c r="BY218" s="1">
        <f t="shared" si="175"/>
        <v>19.899999999999999</v>
      </c>
      <c r="BZ218" s="1">
        <f t="shared" si="176"/>
        <v>34.1</v>
      </c>
      <c r="CA218" s="1">
        <f t="shared" si="177"/>
        <v>11.2</v>
      </c>
      <c r="CB218" s="1">
        <f t="shared" si="178"/>
        <v>18.7</v>
      </c>
      <c r="CC218" s="1">
        <f t="shared" si="179"/>
        <v>13.8</v>
      </c>
      <c r="CD218" s="1">
        <f t="shared" si="180"/>
        <v>10.7</v>
      </c>
      <c r="CE218" s="1" t="str">
        <f t="shared" si="181"/>
        <v>NAN</v>
      </c>
      <c r="CF218" s="1">
        <f t="shared" si="182"/>
        <v>0.88500000000000001</v>
      </c>
      <c r="CG218" s="1">
        <f t="shared" si="183"/>
        <v>3.0659999999999998</v>
      </c>
      <c r="CI218" s="1">
        <f t="shared" si="150"/>
        <v>2880</v>
      </c>
      <c r="CJ218" s="1">
        <f t="shared" si="151"/>
        <v>3.1E-2</v>
      </c>
      <c r="CK218" s="1">
        <f t="shared" si="152"/>
        <v>8.7999999999999995E-2</v>
      </c>
      <c r="CL218" s="1">
        <f t="shared" si="153"/>
        <v>0.27</v>
      </c>
      <c r="CM218" s="1">
        <f t="shared" si="154"/>
        <v>0.107</v>
      </c>
      <c r="CN218" s="1">
        <f t="shared" si="155"/>
        <v>0.13500000000000001</v>
      </c>
      <c r="CO218" s="1">
        <f t="shared" si="156"/>
        <v>0.216</v>
      </c>
      <c r="CP218" s="1">
        <f t="shared" si="157"/>
        <v>0.123</v>
      </c>
      <c r="CQ218" s="1">
        <f t="shared" si="158"/>
        <v>0.03</v>
      </c>
      <c r="CS218" s="1">
        <f t="shared" si="186"/>
        <v>5.3000000000000007</v>
      </c>
      <c r="CT218" s="1">
        <f t="shared" si="187"/>
        <v>-4.2000000000000011</v>
      </c>
    </row>
    <row r="219" spans="1:98" x14ac:dyDescent="0.2">
      <c r="A219" s="8">
        <f t="shared" si="184"/>
        <v>44044</v>
      </c>
      <c r="B219" s="1">
        <v>214</v>
      </c>
      <c r="C219" s="1">
        <v>11</v>
      </c>
      <c r="D219" s="2">
        <v>12.99</v>
      </c>
      <c r="E219" s="2">
        <v>27.03</v>
      </c>
      <c r="F219" s="2">
        <v>10.43</v>
      </c>
      <c r="G219" s="2">
        <v>19.16</v>
      </c>
      <c r="H219" s="2">
        <v>45.76</v>
      </c>
      <c r="I219" s="2">
        <v>16.399999999999999</v>
      </c>
      <c r="J219" s="2">
        <v>17.170000000000002</v>
      </c>
      <c r="K219" s="2">
        <v>18.73</v>
      </c>
      <c r="L219" s="2">
        <v>13.95</v>
      </c>
      <c r="M219" s="2">
        <v>10.77</v>
      </c>
      <c r="N219" s="2">
        <v>24.96</v>
      </c>
      <c r="O219" s="2">
        <v>60.9</v>
      </c>
      <c r="P219" s="2">
        <v>29.79</v>
      </c>
      <c r="Q219" s="2">
        <v>28.94</v>
      </c>
      <c r="R219" s="2">
        <v>32.17</v>
      </c>
      <c r="S219" s="2">
        <v>14.82</v>
      </c>
      <c r="T219" s="2">
        <v>10.9</v>
      </c>
      <c r="U219" s="2">
        <v>13.9</v>
      </c>
      <c r="V219" s="2">
        <v>31.02</v>
      </c>
      <c r="W219" s="2">
        <v>6.952</v>
      </c>
      <c r="X219" s="2">
        <v>6.6779999999999999</v>
      </c>
      <c r="Y219" s="2">
        <v>11.03</v>
      </c>
      <c r="Z219" s="2">
        <v>12.98</v>
      </c>
      <c r="AA219" s="2">
        <v>10.63</v>
      </c>
      <c r="AB219" s="2">
        <v>3.044</v>
      </c>
      <c r="AC219" s="2">
        <v>0</v>
      </c>
      <c r="AD219" s="2">
        <v>19.8</v>
      </c>
      <c r="AE219" s="2">
        <v>4.4370000000000003</v>
      </c>
      <c r="AF219" s="2">
        <v>0.98799999999999999</v>
      </c>
      <c r="AG219" s="2">
        <v>2.6859999999999999</v>
      </c>
      <c r="AH219" s="2">
        <v>19.11</v>
      </c>
      <c r="AI219" s="2">
        <v>31.49</v>
      </c>
      <c r="AJ219" s="2">
        <v>9.9600000000000009</v>
      </c>
      <c r="AK219" s="2">
        <v>29.21</v>
      </c>
      <c r="AL219" s="2">
        <v>13.95</v>
      </c>
      <c r="AM219" s="2">
        <v>2.9670000000000001</v>
      </c>
      <c r="AN219" s="2" t="s">
        <v>122</v>
      </c>
      <c r="AO219" s="2">
        <v>146</v>
      </c>
      <c r="AP219" s="2">
        <v>631</v>
      </c>
      <c r="AQ219" s="2">
        <v>841</v>
      </c>
      <c r="AR219" s="2">
        <v>110</v>
      </c>
      <c r="AS219" s="2">
        <v>121</v>
      </c>
      <c r="AT219" s="2">
        <v>338</v>
      </c>
      <c r="AU219" s="2">
        <v>462</v>
      </c>
      <c r="AV219" s="2">
        <v>231</v>
      </c>
      <c r="AW219" s="2"/>
      <c r="AX219" s="2">
        <v>0</v>
      </c>
      <c r="AY219" s="26"/>
      <c r="AZ219" s="5">
        <v>29.42</v>
      </c>
      <c r="BA219" s="1">
        <v>19.8</v>
      </c>
      <c r="BB219" s="1">
        <v>4.08</v>
      </c>
      <c r="BC219" s="6">
        <f t="shared" si="185"/>
        <v>0.20606060606060606</v>
      </c>
      <c r="BE219" s="30">
        <v>0</v>
      </c>
      <c r="BF219" s="27">
        <v>0</v>
      </c>
      <c r="BG219" s="1">
        <f t="shared" si="159"/>
        <v>60.9</v>
      </c>
      <c r="BH219" s="1">
        <f t="shared" si="160"/>
        <v>45.8</v>
      </c>
      <c r="BI219" s="1">
        <f t="shared" si="161"/>
        <v>31</v>
      </c>
      <c r="BJ219" s="7">
        <f t="shared" si="162"/>
        <v>0.97899999999999998</v>
      </c>
      <c r="BK219" s="7">
        <f t="shared" si="163"/>
        <v>2.1789999999999998</v>
      </c>
      <c r="BM219" s="5">
        <f t="shared" si="164"/>
        <v>19.8</v>
      </c>
      <c r="BN219" s="5">
        <f t="shared" si="165"/>
        <v>4.08</v>
      </c>
      <c r="BO219" s="1">
        <f t="shared" si="166"/>
        <v>19.2</v>
      </c>
      <c r="BP219" s="1">
        <f t="shared" si="167"/>
        <v>25</v>
      </c>
      <c r="BQ219" s="1">
        <f t="shared" si="168"/>
        <v>13.9</v>
      </c>
      <c r="BR219" s="1">
        <f t="shared" si="169"/>
        <v>45.8</v>
      </c>
      <c r="BS219" s="1">
        <f t="shared" si="170"/>
        <v>31</v>
      </c>
      <c r="BT219" s="1">
        <f t="shared" si="171"/>
        <v>1</v>
      </c>
      <c r="BU219" s="1">
        <f t="shared" si="172"/>
        <v>2.7</v>
      </c>
      <c r="BV219" s="33">
        <f t="shared" si="173"/>
        <v>0</v>
      </c>
      <c r="BW219" s="26">
        <f t="shared" si="149"/>
        <v>0</v>
      </c>
      <c r="BX219" s="20" t="str">
        <f t="shared" si="174"/>
        <v>NAN</v>
      </c>
      <c r="BY219" s="1">
        <f t="shared" si="175"/>
        <v>19.100000000000001</v>
      </c>
      <c r="BZ219" s="1">
        <f t="shared" si="176"/>
        <v>31.5</v>
      </c>
      <c r="CA219" s="1">
        <f t="shared" si="177"/>
        <v>10</v>
      </c>
      <c r="CB219" s="1">
        <f t="shared" si="178"/>
        <v>18.7</v>
      </c>
      <c r="CC219" s="1">
        <f t="shared" si="179"/>
        <v>14</v>
      </c>
      <c r="CD219" s="1">
        <f t="shared" si="180"/>
        <v>10.8</v>
      </c>
      <c r="CE219" s="1" t="str">
        <f t="shared" si="181"/>
        <v>NAN</v>
      </c>
      <c r="CF219" s="1">
        <f t="shared" si="182"/>
        <v>0.97899999999999998</v>
      </c>
      <c r="CG219" s="1">
        <f t="shared" si="183"/>
        <v>2.1789999999999998</v>
      </c>
      <c r="CI219" s="1">
        <f t="shared" si="150"/>
        <v>2880</v>
      </c>
      <c r="CJ219" s="1">
        <f t="shared" si="151"/>
        <v>5.0999999999999997E-2</v>
      </c>
      <c r="CK219" s="1">
        <f t="shared" si="152"/>
        <v>0.219</v>
      </c>
      <c r="CL219" s="1">
        <f t="shared" si="153"/>
        <v>0.29199999999999998</v>
      </c>
      <c r="CM219" s="1">
        <f t="shared" si="154"/>
        <v>3.7999999999999999E-2</v>
      </c>
      <c r="CN219" s="1">
        <f t="shared" si="155"/>
        <v>4.2000000000000003E-2</v>
      </c>
      <c r="CO219" s="1">
        <f t="shared" si="156"/>
        <v>0.11700000000000001</v>
      </c>
      <c r="CP219" s="1">
        <f t="shared" si="157"/>
        <v>0.16</v>
      </c>
      <c r="CQ219" s="1">
        <f t="shared" si="158"/>
        <v>0.08</v>
      </c>
      <c r="CS219" s="1">
        <f t="shared" si="186"/>
        <v>6.5</v>
      </c>
      <c r="CT219" s="1">
        <f t="shared" si="187"/>
        <v>-3.9000000000000004</v>
      </c>
    </row>
    <row r="220" spans="1:98" x14ac:dyDescent="0.2">
      <c r="A220" s="8">
        <f t="shared" si="184"/>
        <v>44045</v>
      </c>
      <c r="B220" s="1">
        <v>215</v>
      </c>
      <c r="C220" s="1">
        <v>11</v>
      </c>
      <c r="D220" s="2">
        <v>12.99</v>
      </c>
      <c r="E220" s="2">
        <v>26.47</v>
      </c>
      <c r="F220" s="2">
        <v>8.66</v>
      </c>
      <c r="G220" s="2">
        <v>16.98</v>
      </c>
      <c r="H220" s="2">
        <v>47.74</v>
      </c>
      <c r="I220" s="2">
        <v>14.64</v>
      </c>
      <c r="J220" s="2">
        <v>15.14</v>
      </c>
      <c r="K220" s="2">
        <v>18.510000000000002</v>
      </c>
      <c r="L220" s="2">
        <v>13.82</v>
      </c>
      <c r="M220" s="2">
        <v>10.85</v>
      </c>
      <c r="N220" s="2">
        <v>24.66</v>
      </c>
      <c r="O220" s="2">
        <v>67.81</v>
      </c>
      <c r="P220" s="2">
        <v>29.33</v>
      </c>
      <c r="Q220" s="2">
        <v>28.35</v>
      </c>
      <c r="R220" s="2">
        <v>40.26</v>
      </c>
      <c r="S220" s="2">
        <v>14.88</v>
      </c>
      <c r="T220" s="2">
        <v>10.99</v>
      </c>
      <c r="U220" s="2">
        <v>10.34</v>
      </c>
      <c r="V220" s="2">
        <v>19.18</v>
      </c>
      <c r="W220" s="2">
        <v>5.5039999999999996</v>
      </c>
      <c r="X220" s="2">
        <v>5.7530000000000001</v>
      </c>
      <c r="Y220" s="2">
        <v>8.7100000000000009</v>
      </c>
      <c r="Z220" s="2">
        <v>12.62</v>
      </c>
      <c r="AA220" s="2">
        <v>10.7</v>
      </c>
      <c r="AB220" s="2">
        <v>2.63</v>
      </c>
      <c r="AC220" s="2">
        <v>0</v>
      </c>
      <c r="AD220" s="2">
        <v>24.17</v>
      </c>
      <c r="AE220" s="2">
        <v>5.4039999999999999</v>
      </c>
      <c r="AF220" s="2">
        <v>1.302</v>
      </c>
      <c r="AG220" s="2">
        <v>4.1369999999999996</v>
      </c>
      <c r="AH220" s="2">
        <v>17.12</v>
      </c>
      <c r="AI220" s="2">
        <v>31.45</v>
      </c>
      <c r="AJ220" s="2">
        <v>8.61</v>
      </c>
      <c r="AK220" s="2">
        <v>27.25</v>
      </c>
      <c r="AL220" s="2">
        <v>10.1</v>
      </c>
      <c r="AM220" s="2">
        <v>2.581</v>
      </c>
      <c r="AN220" s="2" t="s">
        <v>122</v>
      </c>
      <c r="AO220" s="2">
        <v>176</v>
      </c>
      <c r="AP220" s="2">
        <v>406</v>
      </c>
      <c r="AQ220" s="2">
        <v>507</v>
      </c>
      <c r="AR220" s="2">
        <v>326</v>
      </c>
      <c r="AS220" s="2">
        <v>342</v>
      </c>
      <c r="AT220" s="2">
        <v>563</v>
      </c>
      <c r="AU220" s="2">
        <v>454</v>
      </c>
      <c r="AV220" s="2">
        <v>106</v>
      </c>
      <c r="AW220" s="2"/>
      <c r="AX220" s="2">
        <v>0</v>
      </c>
      <c r="AY220" s="26"/>
      <c r="AZ220" s="5">
        <v>29.25</v>
      </c>
      <c r="BA220" s="1">
        <v>24.17</v>
      </c>
      <c r="BB220" s="1">
        <v>4.97</v>
      </c>
      <c r="BC220" s="6">
        <f t="shared" si="185"/>
        <v>0.20562681009515926</v>
      </c>
      <c r="BE220" s="30">
        <v>0</v>
      </c>
      <c r="BF220" s="27">
        <v>0</v>
      </c>
      <c r="BG220" s="1">
        <f t="shared" si="159"/>
        <v>67.8</v>
      </c>
      <c r="BH220" s="1">
        <f t="shared" si="160"/>
        <v>47.7</v>
      </c>
      <c r="BI220" s="1">
        <f t="shared" si="161"/>
        <v>19.2</v>
      </c>
      <c r="BJ220" s="7">
        <f t="shared" si="162"/>
        <v>0.59599999999999997</v>
      </c>
      <c r="BK220" s="7">
        <f t="shared" si="163"/>
        <v>2.508</v>
      </c>
      <c r="BM220" s="5">
        <f t="shared" si="164"/>
        <v>24.17</v>
      </c>
      <c r="BN220" s="5">
        <f t="shared" si="165"/>
        <v>4.97</v>
      </c>
      <c r="BO220" s="1">
        <f t="shared" si="166"/>
        <v>17</v>
      </c>
      <c r="BP220" s="1">
        <f t="shared" si="167"/>
        <v>24.7</v>
      </c>
      <c r="BQ220" s="1">
        <f t="shared" si="168"/>
        <v>10.3</v>
      </c>
      <c r="BR220" s="1">
        <f t="shared" si="169"/>
        <v>47.7</v>
      </c>
      <c r="BS220" s="1">
        <f t="shared" si="170"/>
        <v>19.2</v>
      </c>
      <c r="BT220" s="1">
        <f t="shared" si="171"/>
        <v>1.3</v>
      </c>
      <c r="BU220" s="1">
        <f t="shared" si="172"/>
        <v>4.0999999999999996</v>
      </c>
      <c r="BV220" s="33">
        <f t="shared" si="173"/>
        <v>0</v>
      </c>
      <c r="BW220" s="26">
        <f t="shared" si="149"/>
        <v>0</v>
      </c>
      <c r="BX220" s="20" t="str">
        <f t="shared" si="174"/>
        <v>NAN</v>
      </c>
      <c r="BY220" s="1">
        <f t="shared" si="175"/>
        <v>17.100000000000001</v>
      </c>
      <c r="BZ220" s="1">
        <f t="shared" si="176"/>
        <v>31.5</v>
      </c>
      <c r="CA220" s="1">
        <f t="shared" si="177"/>
        <v>8.6</v>
      </c>
      <c r="CB220" s="1">
        <f t="shared" si="178"/>
        <v>18.5</v>
      </c>
      <c r="CC220" s="1">
        <f t="shared" si="179"/>
        <v>13.8</v>
      </c>
      <c r="CD220" s="1">
        <f t="shared" si="180"/>
        <v>10.9</v>
      </c>
      <c r="CE220" s="1" t="str">
        <f t="shared" si="181"/>
        <v>NAN</v>
      </c>
      <c r="CF220" s="1">
        <f t="shared" si="182"/>
        <v>0.59599999999999997</v>
      </c>
      <c r="CG220" s="1">
        <f t="shared" si="183"/>
        <v>2.508</v>
      </c>
      <c r="CI220" s="1">
        <f t="shared" si="150"/>
        <v>2880</v>
      </c>
      <c r="CJ220" s="1">
        <f t="shared" si="151"/>
        <v>6.0999999999999999E-2</v>
      </c>
      <c r="CK220" s="1">
        <f t="shared" si="152"/>
        <v>0.14099999999999999</v>
      </c>
      <c r="CL220" s="1">
        <f t="shared" si="153"/>
        <v>0.17599999999999999</v>
      </c>
      <c r="CM220" s="1">
        <f t="shared" si="154"/>
        <v>0.113</v>
      </c>
      <c r="CN220" s="1">
        <f t="shared" si="155"/>
        <v>0.11899999999999999</v>
      </c>
      <c r="CO220" s="1">
        <f t="shared" si="156"/>
        <v>0.19500000000000001</v>
      </c>
      <c r="CP220" s="1">
        <f t="shared" si="157"/>
        <v>0.158</v>
      </c>
      <c r="CQ220" s="1">
        <f t="shared" si="158"/>
        <v>3.6999999999999998E-2</v>
      </c>
      <c r="CS220" s="1">
        <f t="shared" si="186"/>
        <v>6.8000000000000007</v>
      </c>
      <c r="CT220" s="1">
        <f t="shared" si="187"/>
        <v>-1.7000000000000011</v>
      </c>
    </row>
    <row r="221" spans="1:98" x14ac:dyDescent="0.2">
      <c r="A221" s="8">
        <f t="shared" si="184"/>
        <v>44046</v>
      </c>
      <c r="B221" s="1">
        <v>216</v>
      </c>
      <c r="C221" s="1">
        <v>11</v>
      </c>
      <c r="D221" s="2">
        <v>12.98</v>
      </c>
      <c r="E221" s="2">
        <v>20.66</v>
      </c>
      <c r="F221" s="2">
        <v>4.6849999999999996</v>
      </c>
      <c r="G221" s="2">
        <v>12.09</v>
      </c>
      <c r="H221" s="2">
        <v>62.25</v>
      </c>
      <c r="I221" s="2">
        <v>12.29</v>
      </c>
      <c r="J221" s="2">
        <v>12.33</v>
      </c>
      <c r="K221" s="2">
        <v>17.010000000000002</v>
      </c>
      <c r="L221" s="2">
        <v>13.59</v>
      </c>
      <c r="M221" s="2">
        <v>10.87</v>
      </c>
      <c r="N221" s="2">
        <v>18.07</v>
      </c>
      <c r="O221" s="2">
        <v>83.5</v>
      </c>
      <c r="P221" s="2">
        <v>27.8</v>
      </c>
      <c r="Q221" s="2">
        <v>24.86</v>
      </c>
      <c r="R221" s="2">
        <v>36.68</v>
      </c>
      <c r="S221" s="2">
        <v>14.47</v>
      </c>
      <c r="T221" s="2">
        <v>11.02</v>
      </c>
      <c r="U221" s="2">
        <v>7.3019999999999996</v>
      </c>
      <c r="V221" s="2">
        <v>39.46</v>
      </c>
      <c r="W221" s="2">
        <v>2.3839999999999999</v>
      </c>
      <c r="X221" s="2">
        <v>2.4</v>
      </c>
      <c r="Y221" s="2">
        <v>7.9690000000000003</v>
      </c>
      <c r="Z221" s="2">
        <v>12.58</v>
      </c>
      <c r="AA221" s="2">
        <v>10.73</v>
      </c>
      <c r="AB221" s="2">
        <v>2.6560000000000001</v>
      </c>
      <c r="AC221" s="2">
        <v>0</v>
      </c>
      <c r="AD221" s="2">
        <v>23.72</v>
      </c>
      <c r="AE221" s="2">
        <v>5.4749999999999996</v>
      </c>
      <c r="AF221" s="2">
        <v>1.337</v>
      </c>
      <c r="AG221" s="2">
        <v>4.3040000000000003</v>
      </c>
      <c r="AH221" s="2">
        <v>13.29</v>
      </c>
      <c r="AI221" s="2">
        <v>26.88</v>
      </c>
      <c r="AJ221" s="2">
        <v>4.7089999999999996</v>
      </c>
      <c r="AK221" s="2">
        <v>21.72</v>
      </c>
      <c r="AL221" s="2">
        <v>7.3049999999999997</v>
      </c>
      <c r="AM221" s="2">
        <v>2.617</v>
      </c>
      <c r="AN221" s="2" t="s">
        <v>122</v>
      </c>
      <c r="AO221" s="2">
        <v>927</v>
      </c>
      <c r="AP221" s="2">
        <v>474</v>
      </c>
      <c r="AQ221" s="2">
        <v>98</v>
      </c>
      <c r="AR221" s="2">
        <v>48</v>
      </c>
      <c r="AS221" s="2">
        <v>35</v>
      </c>
      <c r="AT221" s="2">
        <v>91</v>
      </c>
      <c r="AU221" s="2">
        <v>365</v>
      </c>
      <c r="AV221" s="2">
        <v>842</v>
      </c>
      <c r="AW221" s="2"/>
      <c r="AX221" s="2">
        <v>0</v>
      </c>
      <c r="AY221" s="26"/>
      <c r="AZ221" s="5">
        <v>29.08</v>
      </c>
      <c r="BA221" s="1">
        <v>23.72</v>
      </c>
      <c r="BB221" s="1">
        <v>5.04</v>
      </c>
      <c r="BC221" s="6">
        <f t="shared" si="185"/>
        <v>0.2124789207419899</v>
      </c>
      <c r="BE221" s="30">
        <v>0</v>
      </c>
      <c r="BF221" s="27">
        <v>0</v>
      </c>
      <c r="BG221" s="1">
        <f t="shared" si="159"/>
        <v>83.5</v>
      </c>
      <c r="BH221" s="1">
        <f t="shared" si="160"/>
        <v>62.3</v>
      </c>
      <c r="BI221" s="1">
        <f t="shared" si="161"/>
        <v>39.5</v>
      </c>
      <c r="BJ221" s="7">
        <f t="shared" si="162"/>
        <v>0.81899999999999995</v>
      </c>
      <c r="BK221" s="7">
        <f t="shared" si="163"/>
        <v>1.254</v>
      </c>
      <c r="BM221" s="5">
        <f t="shared" si="164"/>
        <v>23.72</v>
      </c>
      <c r="BN221" s="5">
        <f t="shared" si="165"/>
        <v>5.04</v>
      </c>
      <c r="BO221" s="1">
        <f t="shared" si="166"/>
        <v>12.1</v>
      </c>
      <c r="BP221" s="1">
        <f t="shared" si="167"/>
        <v>18.100000000000001</v>
      </c>
      <c r="BQ221" s="1">
        <f t="shared" si="168"/>
        <v>7.3</v>
      </c>
      <c r="BR221" s="1">
        <f t="shared" si="169"/>
        <v>62.3</v>
      </c>
      <c r="BS221" s="1">
        <f t="shared" si="170"/>
        <v>39.5</v>
      </c>
      <c r="BT221" s="1">
        <f t="shared" si="171"/>
        <v>1.3</v>
      </c>
      <c r="BU221" s="1">
        <f t="shared" si="172"/>
        <v>4.3</v>
      </c>
      <c r="BV221" s="33">
        <f t="shared" si="173"/>
        <v>0</v>
      </c>
      <c r="BW221" s="26">
        <f t="shared" si="149"/>
        <v>0</v>
      </c>
      <c r="BX221" s="20" t="str">
        <f t="shared" si="174"/>
        <v>NAN</v>
      </c>
      <c r="BY221" s="1">
        <f t="shared" si="175"/>
        <v>13.3</v>
      </c>
      <c r="BZ221" s="1">
        <f t="shared" si="176"/>
        <v>26.9</v>
      </c>
      <c r="CA221" s="1">
        <f t="shared" si="177"/>
        <v>4.7</v>
      </c>
      <c r="CB221" s="1">
        <f t="shared" si="178"/>
        <v>17</v>
      </c>
      <c r="CC221" s="1">
        <f t="shared" si="179"/>
        <v>13.6</v>
      </c>
      <c r="CD221" s="1">
        <f t="shared" si="180"/>
        <v>10.9</v>
      </c>
      <c r="CE221" s="1" t="str">
        <f t="shared" si="181"/>
        <v>NAN</v>
      </c>
      <c r="CF221" s="1">
        <f t="shared" si="182"/>
        <v>0.81899999999999995</v>
      </c>
      <c r="CG221" s="1">
        <f t="shared" si="183"/>
        <v>1.254</v>
      </c>
      <c r="CI221" s="1">
        <f t="shared" si="150"/>
        <v>2880</v>
      </c>
      <c r="CJ221" s="1">
        <f t="shared" si="151"/>
        <v>0.32200000000000001</v>
      </c>
      <c r="CK221" s="1">
        <f t="shared" si="152"/>
        <v>0.16500000000000001</v>
      </c>
      <c r="CL221" s="1">
        <f t="shared" si="153"/>
        <v>3.4000000000000002E-2</v>
      </c>
      <c r="CM221" s="1">
        <f t="shared" si="154"/>
        <v>1.7000000000000001E-2</v>
      </c>
      <c r="CN221" s="1">
        <f t="shared" si="155"/>
        <v>1.2E-2</v>
      </c>
      <c r="CO221" s="1">
        <f t="shared" si="156"/>
        <v>3.2000000000000001E-2</v>
      </c>
      <c r="CP221" s="1">
        <f t="shared" si="157"/>
        <v>0.127</v>
      </c>
      <c r="CQ221" s="1">
        <f t="shared" si="158"/>
        <v>0.29199999999999998</v>
      </c>
      <c r="CS221" s="1">
        <f t="shared" si="186"/>
        <v>8.7999999999999972</v>
      </c>
      <c r="CT221" s="1">
        <f t="shared" si="187"/>
        <v>-2.5999999999999996</v>
      </c>
    </row>
    <row r="222" spans="1:98" x14ac:dyDescent="0.2">
      <c r="A222" s="8">
        <f t="shared" si="184"/>
        <v>44047</v>
      </c>
      <c r="B222" s="1">
        <v>217</v>
      </c>
      <c r="C222" s="1">
        <v>11</v>
      </c>
      <c r="D222" s="2">
        <v>12.98</v>
      </c>
      <c r="E222" s="2">
        <v>25.83</v>
      </c>
      <c r="F222" s="2">
        <v>4.2359999999999998</v>
      </c>
      <c r="G222" s="2">
        <v>15.35</v>
      </c>
      <c r="H222" s="2">
        <v>53.86</v>
      </c>
      <c r="I222" s="2">
        <v>13.33</v>
      </c>
      <c r="J222" s="2">
        <v>13.47</v>
      </c>
      <c r="K222" s="2">
        <v>17.52</v>
      </c>
      <c r="L222" s="2">
        <v>13.18</v>
      </c>
      <c r="M222" s="2">
        <v>10.79</v>
      </c>
      <c r="N222" s="2">
        <v>23.2</v>
      </c>
      <c r="O222" s="2">
        <v>83.4</v>
      </c>
      <c r="P222" s="2">
        <v>29.37</v>
      </c>
      <c r="Q222" s="2">
        <v>27.76</v>
      </c>
      <c r="R222" s="2">
        <v>40.93</v>
      </c>
      <c r="S222" s="2">
        <v>14.49</v>
      </c>
      <c r="T222" s="2">
        <v>10.94</v>
      </c>
      <c r="U222" s="2">
        <v>7.1669999999999998</v>
      </c>
      <c r="V222" s="2">
        <v>31.39</v>
      </c>
      <c r="W222" s="2">
        <v>1.726</v>
      </c>
      <c r="X222" s="2">
        <v>1.262</v>
      </c>
      <c r="Y222" s="2">
        <v>6.0549999999999997</v>
      </c>
      <c r="Z222" s="2">
        <v>11.85</v>
      </c>
      <c r="AA222" s="2">
        <v>10.6</v>
      </c>
      <c r="AB222" s="2">
        <v>2.6459999999999999</v>
      </c>
      <c r="AC222" s="2">
        <v>0</v>
      </c>
      <c r="AD222" s="2">
        <v>24.99</v>
      </c>
      <c r="AE222" s="2">
        <v>5.7080000000000002</v>
      </c>
      <c r="AF222" s="2">
        <v>1.0049999999999999</v>
      </c>
      <c r="AG222" s="2">
        <v>3.1709999999999998</v>
      </c>
      <c r="AH222" s="2">
        <v>15.8</v>
      </c>
      <c r="AI222" s="2">
        <v>30.4</v>
      </c>
      <c r="AJ222" s="2">
        <v>4.2169999999999996</v>
      </c>
      <c r="AK222" s="2">
        <v>28.29</v>
      </c>
      <c r="AL222" s="2">
        <v>6.9930000000000003</v>
      </c>
      <c r="AM222" s="2">
        <v>2.58</v>
      </c>
      <c r="AN222" s="2" t="s">
        <v>122</v>
      </c>
      <c r="AO222" s="2">
        <v>182</v>
      </c>
      <c r="AP222" s="2">
        <v>401</v>
      </c>
      <c r="AQ222" s="2">
        <v>1083</v>
      </c>
      <c r="AR222" s="2">
        <v>145</v>
      </c>
      <c r="AS222" s="2">
        <v>142</v>
      </c>
      <c r="AT222" s="2">
        <v>267</v>
      </c>
      <c r="AU222" s="2">
        <v>401</v>
      </c>
      <c r="AV222" s="2">
        <v>259</v>
      </c>
      <c r="AW222" s="2"/>
      <c r="AX222" s="2">
        <v>0</v>
      </c>
      <c r="AY222" s="26"/>
      <c r="AZ222" s="5">
        <v>28.91</v>
      </c>
      <c r="BA222" s="1">
        <v>25</v>
      </c>
      <c r="BB222" s="1">
        <v>5.25</v>
      </c>
      <c r="BC222" s="6">
        <f t="shared" si="185"/>
        <v>0.21</v>
      </c>
      <c r="BE222" s="30">
        <v>0</v>
      </c>
      <c r="BF222" s="27">
        <v>0</v>
      </c>
      <c r="BG222" s="1">
        <f t="shared" si="159"/>
        <v>83.4</v>
      </c>
      <c r="BH222" s="1">
        <f t="shared" si="160"/>
        <v>53.9</v>
      </c>
      <c r="BI222" s="1">
        <f t="shared" si="161"/>
        <v>31.4</v>
      </c>
      <c r="BJ222" s="7">
        <f t="shared" si="162"/>
        <v>0.89300000000000002</v>
      </c>
      <c r="BK222" s="7">
        <f t="shared" si="163"/>
        <v>1.9510000000000001</v>
      </c>
      <c r="BM222" s="5">
        <f t="shared" si="164"/>
        <v>25</v>
      </c>
      <c r="BN222" s="5">
        <f t="shared" si="165"/>
        <v>5.25</v>
      </c>
      <c r="BO222" s="1">
        <f t="shared" si="166"/>
        <v>15.4</v>
      </c>
      <c r="BP222" s="1">
        <f t="shared" si="167"/>
        <v>23.2</v>
      </c>
      <c r="BQ222" s="1">
        <f t="shared" si="168"/>
        <v>7.2</v>
      </c>
      <c r="BR222" s="1">
        <f t="shared" si="169"/>
        <v>53.9</v>
      </c>
      <c r="BS222" s="1">
        <f t="shared" si="170"/>
        <v>31.4</v>
      </c>
      <c r="BT222" s="1">
        <f t="shared" si="171"/>
        <v>1</v>
      </c>
      <c r="BU222" s="1">
        <f t="shared" si="172"/>
        <v>3.2</v>
      </c>
      <c r="BV222" s="33">
        <f t="shared" si="173"/>
        <v>0</v>
      </c>
      <c r="BW222" s="26">
        <f t="shared" si="149"/>
        <v>0</v>
      </c>
      <c r="BX222" s="20" t="str">
        <f t="shared" si="174"/>
        <v>NAN</v>
      </c>
      <c r="BY222" s="1">
        <f t="shared" si="175"/>
        <v>15.8</v>
      </c>
      <c r="BZ222" s="1">
        <f t="shared" si="176"/>
        <v>30.4</v>
      </c>
      <c r="CA222" s="1">
        <f t="shared" si="177"/>
        <v>4.2</v>
      </c>
      <c r="CB222" s="1">
        <f t="shared" si="178"/>
        <v>17.5</v>
      </c>
      <c r="CC222" s="1">
        <f t="shared" si="179"/>
        <v>13.2</v>
      </c>
      <c r="CD222" s="1">
        <f t="shared" si="180"/>
        <v>10.8</v>
      </c>
      <c r="CE222" s="1" t="str">
        <f t="shared" si="181"/>
        <v>NAN</v>
      </c>
      <c r="CF222" s="1">
        <f t="shared" si="182"/>
        <v>0.89300000000000002</v>
      </c>
      <c r="CG222" s="1">
        <f t="shared" si="183"/>
        <v>1.9510000000000001</v>
      </c>
      <c r="CI222" s="1">
        <f t="shared" si="150"/>
        <v>2880</v>
      </c>
      <c r="CJ222" s="1">
        <f t="shared" si="151"/>
        <v>6.3E-2</v>
      </c>
      <c r="CK222" s="1">
        <f t="shared" si="152"/>
        <v>0.13900000000000001</v>
      </c>
      <c r="CL222" s="1">
        <f t="shared" si="153"/>
        <v>0.376</v>
      </c>
      <c r="CM222" s="1">
        <f t="shared" si="154"/>
        <v>0.05</v>
      </c>
      <c r="CN222" s="1">
        <f t="shared" si="155"/>
        <v>4.9000000000000002E-2</v>
      </c>
      <c r="CO222" s="1">
        <f t="shared" si="156"/>
        <v>9.2999999999999999E-2</v>
      </c>
      <c r="CP222" s="1">
        <f t="shared" si="157"/>
        <v>0.13900000000000001</v>
      </c>
      <c r="CQ222" s="1">
        <f t="shared" si="158"/>
        <v>0.09</v>
      </c>
      <c r="CS222" s="1">
        <f t="shared" si="186"/>
        <v>7.1999999999999993</v>
      </c>
      <c r="CT222" s="1">
        <f t="shared" si="187"/>
        <v>-3</v>
      </c>
    </row>
    <row r="223" spans="1:98" x14ac:dyDescent="0.2">
      <c r="A223" s="8">
        <f t="shared" si="184"/>
        <v>44048</v>
      </c>
      <c r="B223" s="1">
        <v>218</v>
      </c>
      <c r="C223" s="1">
        <v>11</v>
      </c>
      <c r="D223" s="2">
        <v>12.98</v>
      </c>
      <c r="E223" s="2">
        <v>27</v>
      </c>
      <c r="F223" s="2">
        <v>7.6180000000000003</v>
      </c>
      <c r="G223" s="2">
        <v>17.47</v>
      </c>
      <c r="H223" s="2">
        <v>39.770000000000003</v>
      </c>
      <c r="I223" s="2">
        <v>14.28</v>
      </c>
      <c r="J223" s="2">
        <v>14.85</v>
      </c>
      <c r="K223" s="2">
        <v>18.52</v>
      </c>
      <c r="L223" s="2">
        <v>13.37</v>
      </c>
      <c r="M223" s="2">
        <v>10.75</v>
      </c>
      <c r="N223" s="2">
        <v>24.96</v>
      </c>
      <c r="O223" s="2">
        <v>59.44</v>
      </c>
      <c r="P223" s="2">
        <v>30.67</v>
      </c>
      <c r="Q223" s="2">
        <v>29.24</v>
      </c>
      <c r="R223" s="2">
        <v>42.23</v>
      </c>
      <c r="S223" s="2">
        <v>14.65</v>
      </c>
      <c r="T223" s="2">
        <v>10.9</v>
      </c>
      <c r="U223" s="2">
        <v>11.94</v>
      </c>
      <c r="V223" s="2">
        <v>20.54</v>
      </c>
      <c r="W223" s="2">
        <v>3.0939999999999999</v>
      </c>
      <c r="X223" s="2">
        <v>3.1909999999999998</v>
      </c>
      <c r="Y223" s="2">
        <v>7.0490000000000004</v>
      </c>
      <c r="Z223" s="2">
        <v>12.06</v>
      </c>
      <c r="AA223" s="2">
        <v>10.59</v>
      </c>
      <c r="AB223" s="2">
        <v>2.1520000000000001</v>
      </c>
      <c r="AC223" s="2">
        <v>0</v>
      </c>
      <c r="AD223" s="2">
        <v>24.36</v>
      </c>
      <c r="AE223" s="2">
        <v>5.5110000000000001</v>
      </c>
      <c r="AF223" s="2">
        <v>1.1850000000000001</v>
      </c>
      <c r="AG223" s="2">
        <v>4.12</v>
      </c>
      <c r="AH223" s="2">
        <v>17.03</v>
      </c>
      <c r="AI223" s="2">
        <v>31.74</v>
      </c>
      <c r="AJ223" s="2">
        <v>7.2489999999999997</v>
      </c>
      <c r="AK223" s="2">
        <v>28.6</v>
      </c>
      <c r="AL223" s="2">
        <v>11.83</v>
      </c>
      <c r="AM223" s="2">
        <v>2.1040000000000001</v>
      </c>
      <c r="AN223" s="2" t="s">
        <v>122</v>
      </c>
      <c r="AO223" s="2">
        <v>35</v>
      </c>
      <c r="AP223" s="2">
        <v>87</v>
      </c>
      <c r="AQ223" s="2">
        <v>649</v>
      </c>
      <c r="AR223" s="2">
        <v>587</v>
      </c>
      <c r="AS223" s="2">
        <v>244</v>
      </c>
      <c r="AT223" s="2">
        <v>477</v>
      </c>
      <c r="AU223" s="2">
        <v>594</v>
      </c>
      <c r="AV223" s="2">
        <v>207</v>
      </c>
      <c r="AW223" s="2"/>
      <c r="AX223" s="2">
        <v>0</v>
      </c>
      <c r="AY223" s="26"/>
      <c r="AZ223" s="5">
        <v>28.73</v>
      </c>
      <c r="BA223" s="1">
        <v>24.36</v>
      </c>
      <c r="BB223" s="1">
        <v>5.07</v>
      </c>
      <c r="BC223" s="6">
        <f t="shared" si="185"/>
        <v>0.20812807881773401</v>
      </c>
      <c r="BE223" s="30">
        <v>0</v>
      </c>
      <c r="BF223" s="27">
        <v>0</v>
      </c>
      <c r="BG223" s="1">
        <f t="shared" si="159"/>
        <v>59.4</v>
      </c>
      <c r="BH223" s="1">
        <f t="shared" si="160"/>
        <v>39.799999999999997</v>
      </c>
      <c r="BI223" s="1">
        <f t="shared" si="161"/>
        <v>20.5</v>
      </c>
      <c r="BJ223" s="7">
        <f t="shared" si="162"/>
        <v>0.64800000000000002</v>
      </c>
      <c r="BK223" s="7">
        <f t="shared" si="163"/>
        <v>2.5129999999999999</v>
      </c>
      <c r="BM223" s="5">
        <f t="shared" si="164"/>
        <v>24.36</v>
      </c>
      <c r="BN223" s="5">
        <f t="shared" si="165"/>
        <v>5.07</v>
      </c>
      <c r="BO223" s="1">
        <f t="shared" si="166"/>
        <v>17.5</v>
      </c>
      <c r="BP223" s="1">
        <f t="shared" si="167"/>
        <v>25</v>
      </c>
      <c r="BQ223" s="1">
        <f t="shared" si="168"/>
        <v>11.9</v>
      </c>
      <c r="BR223" s="1">
        <f t="shared" si="169"/>
        <v>39.799999999999997</v>
      </c>
      <c r="BS223" s="1">
        <f t="shared" si="170"/>
        <v>20.5</v>
      </c>
      <c r="BT223" s="1">
        <f t="shared" si="171"/>
        <v>1.2</v>
      </c>
      <c r="BU223" s="1">
        <f t="shared" si="172"/>
        <v>4.0999999999999996</v>
      </c>
      <c r="BV223" s="33">
        <f t="shared" si="173"/>
        <v>0</v>
      </c>
      <c r="BW223" s="26">
        <f t="shared" si="149"/>
        <v>0</v>
      </c>
      <c r="BX223" s="20" t="str">
        <f t="shared" si="174"/>
        <v>NAN</v>
      </c>
      <c r="BY223" s="1">
        <f t="shared" si="175"/>
        <v>17</v>
      </c>
      <c r="BZ223" s="1">
        <f t="shared" si="176"/>
        <v>31.7</v>
      </c>
      <c r="CA223" s="1">
        <f t="shared" si="177"/>
        <v>7.2</v>
      </c>
      <c r="CB223" s="1">
        <f t="shared" si="178"/>
        <v>18.5</v>
      </c>
      <c r="CC223" s="1">
        <f t="shared" si="179"/>
        <v>13.4</v>
      </c>
      <c r="CD223" s="1">
        <f t="shared" si="180"/>
        <v>10.8</v>
      </c>
      <c r="CE223" s="1" t="str">
        <f t="shared" si="181"/>
        <v>NAN</v>
      </c>
      <c r="CF223" s="1">
        <f t="shared" si="182"/>
        <v>0.64800000000000002</v>
      </c>
      <c r="CG223" s="1">
        <f t="shared" si="183"/>
        <v>2.5129999999999999</v>
      </c>
      <c r="CI223" s="1">
        <f t="shared" si="150"/>
        <v>2880</v>
      </c>
      <c r="CJ223" s="1">
        <f t="shared" si="151"/>
        <v>1.2E-2</v>
      </c>
      <c r="CK223" s="1">
        <f t="shared" si="152"/>
        <v>0.03</v>
      </c>
      <c r="CL223" s="1">
        <f t="shared" si="153"/>
        <v>0.22500000000000001</v>
      </c>
      <c r="CM223" s="1">
        <f t="shared" si="154"/>
        <v>0.20399999999999999</v>
      </c>
      <c r="CN223" s="1">
        <f t="shared" si="155"/>
        <v>8.5000000000000006E-2</v>
      </c>
      <c r="CO223" s="1">
        <f t="shared" si="156"/>
        <v>0.16600000000000001</v>
      </c>
      <c r="CP223" s="1">
        <f t="shared" si="157"/>
        <v>0.20599999999999999</v>
      </c>
      <c r="CQ223" s="1">
        <f t="shared" si="158"/>
        <v>7.1999999999999995E-2</v>
      </c>
      <c r="CS223" s="1">
        <f t="shared" si="186"/>
        <v>6.6999999999999993</v>
      </c>
      <c r="CT223" s="1">
        <f t="shared" si="187"/>
        <v>-4.7</v>
      </c>
    </row>
    <row r="224" spans="1:98" x14ac:dyDescent="0.2">
      <c r="A224" s="8">
        <f t="shared" si="184"/>
        <v>44049</v>
      </c>
      <c r="B224" s="1">
        <v>219</v>
      </c>
      <c r="C224" s="1">
        <v>11</v>
      </c>
      <c r="D224" s="2">
        <v>12.97</v>
      </c>
      <c r="E224" s="2">
        <v>18.84</v>
      </c>
      <c r="F224" s="2">
        <v>1.6919999999999999</v>
      </c>
      <c r="G224" s="2">
        <v>8.7799999999999994</v>
      </c>
      <c r="H224" s="2">
        <v>75.84</v>
      </c>
      <c r="I224" s="2">
        <v>8.4</v>
      </c>
      <c r="J224" s="2">
        <v>8.23</v>
      </c>
      <c r="K224" s="2">
        <v>11.78</v>
      </c>
      <c r="L224" s="2">
        <v>12.87</v>
      </c>
      <c r="M224" s="2">
        <v>10.78</v>
      </c>
      <c r="N224" s="2">
        <v>17.309999999999999</v>
      </c>
      <c r="O224" s="2">
        <v>94.7</v>
      </c>
      <c r="P224" s="2">
        <v>24.3</v>
      </c>
      <c r="Q224" s="2">
        <v>23.3</v>
      </c>
      <c r="R224" s="2">
        <v>23.43</v>
      </c>
      <c r="S224" s="2">
        <v>14.17</v>
      </c>
      <c r="T224" s="2">
        <v>10.94</v>
      </c>
      <c r="U224" s="2">
        <v>3.0750000000000002</v>
      </c>
      <c r="V224" s="2">
        <v>48.39</v>
      </c>
      <c r="W224" s="2">
        <v>1.4370000000000001</v>
      </c>
      <c r="X224" s="2">
        <v>1.3069999999999999</v>
      </c>
      <c r="Y224" s="2">
        <v>5.7569999999999997</v>
      </c>
      <c r="Z224" s="2">
        <v>12.08</v>
      </c>
      <c r="AA224" s="2">
        <v>10.62</v>
      </c>
      <c r="AB224" s="2">
        <v>2.19</v>
      </c>
      <c r="AC224" s="2">
        <v>5.8419999999999996</v>
      </c>
      <c r="AD224" s="2">
        <v>10.99</v>
      </c>
      <c r="AE224" s="2">
        <v>2.3690000000000002</v>
      </c>
      <c r="AF224" s="2">
        <v>1.339</v>
      </c>
      <c r="AG224" s="2">
        <v>4.6970000000000001</v>
      </c>
      <c r="AH224" s="2">
        <v>9.01</v>
      </c>
      <c r="AI224" s="2">
        <v>26.12</v>
      </c>
      <c r="AJ224" s="2">
        <v>1.7989999999999999</v>
      </c>
      <c r="AK224" s="2">
        <v>22.53</v>
      </c>
      <c r="AL224" s="2">
        <v>2.504</v>
      </c>
      <c r="AM224" s="2">
        <v>2.1779999999999999</v>
      </c>
      <c r="AN224" s="2" t="s">
        <v>122</v>
      </c>
      <c r="AO224" s="2">
        <v>704</v>
      </c>
      <c r="AP224" s="2">
        <v>625</v>
      </c>
      <c r="AQ224" s="2">
        <v>308</v>
      </c>
      <c r="AR224" s="2">
        <v>46</v>
      </c>
      <c r="AS224" s="2">
        <v>43</v>
      </c>
      <c r="AT224" s="2">
        <v>123</v>
      </c>
      <c r="AU224" s="2">
        <v>376</v>
      </c>
      <c r="AV224" s="2">
        <v>655</v>
      </c>
      <c r="AW224" s="2"/>
      <c r="AX224" s="2">
        <v>0</v>
      </c>
      <c r="AY224" s="26"/>
      <c r="AZ224" s="5">
        <v>28.55</v>
      </c>
      <c r="BA224" s="1">
        <v>10.99</v>
      </c>
      <c r="BB224" s="1">
        <v>2.1800000000000002</v>
      </c>
      <c r="BC224" s="6">
        <f t="shared" si="185"/>
        <v>0.19836214740673341</v>
      </c>
      <c r="BE224" s="30">
        <v>5.8419999999999996</v>
      </c>
      <c r="BF224" s="27">
        <v>0</v>
      </c>
      <c r="BG224" s="1">
        <f t="shared" si="159"/>
        <v>94.7</v>
      </c>
      <c r="BH224" s="1">
        <f t="shared" si="160"/>
        <v>75.8</v>
      </c>
      <c r="BI224" s="1">
        <f t="shared" si="161"/>
        <v>48.4</v>
      </c>
      <c r="BJ224" s="7">
        <f t="shared" si="162"/>
        <v>0.95599999999999996</v>
      </c>
      <c r="BK224" s="7">
        <f t="shared" si="163"/>
        <v>1.0189999999999999</v>
      </c>
      <c r="BM224" s="5">
        <f t="shared" si="164"/>
        <v>10.99</v>
      </c>
      <c r="BN224" s="5">
        <f t="shared" si="165"/>
        <v>2.1800000000000002</v>
      </c>
      <c r="BO224" s="1">
        <f t="shared" si="166"/>
        <v>8.8000000000000007</v>
      </c>
      <c r="BP224" s="1">
        <f t="shared" si="167"/>
        <v>17.3</v>
      </c>
      <c r="BQ224" s="1">
        <f t="shared" si="168"/>
        <v>3.1</v>
      </c>
      <c r="BR224" s="1">
        <f t="shared" si="169"/>
        <v>75.8</v>
      </c>
      <c r="BS224" s="1">
        <f t="shared" si="170"/>
        <v>48.4</v>
      </c>
      <c r="BT224" s="1">
        <f t="shared" si="171"/>
        <v>1.3</v>
      </c>
      <c r="BU224" s="1">
        <f t="shared" si="172"/>
        <v>4.7</v>
      </c>
      <c r="BV224" s="33">
        <f t="shared" si="173"/>
        <v>5.8419999999999996</v>
      </c>
      <c r="BW224" s="26">
        <f t="shared" ref="BW224:BW255" si="188">BF224</f>
        <v>0</v>
      </c>
      <c r="BX224" s="20" t="str">
        <f t="shared" si="174"/>
        <v>NAN</v>
      </c>
      <c r="BY224" s="1">
        <f t="shared" si="175"/>
        <v>9</v>
      </c>
      <c r="BZ224" s="1">
        <f t="shared" si="176"/>
        <v>26.1</v>
      </c>
      <c r="CA224" s="1">
        <f t="shared" si="177"/>
        <v>1.8</v>
      </c>
      <c r="CB224" s="1">
        <f t="shared" si="178"/>
        <v>11.8</v>
      </c>
      <c r="CC224" s="1">
        <f t="shared" si="179"/>
        <v>12.9</v>
      </c>
      <c r="CD224" s="1">
        <f t="shared" si="180"/>
        <v>10.8</v>
      </c>
      <c r="CE224" s="1" t="str">
        <f t="shared" si="181"/>
        <v>NAN</v>
      </c>
      <c r="CF224" s="1">
        <f t="shared" si="182"/>
        <v>0.95599999999999996</v>
      </c>
      <c r="CG224" s="1">
        <f t="shared" si="183"/>
        <v>1.0189999999999999</v>
      </c>
      <c r="CI224" s="1">
        <f t="shared" si="150"/>
        <v>2880</v>
      </c>
      <c r="CJ224" s="1">
        <f t="shared" si="151"/>
        <v>0.24399999999999999</v>
      </c>
      <c r="CK224" s="1">
        <f t="shared" si="152"/>
        <v>0.217</v>
      </c>
      <c r="CL224" s="1">
        <f t="shared" si="153"/>
        <v>0.107</v>
      </c>
      <c r="CM224" s="1">
        <f t="shared" si="154"/>
        <v>1.6E-2</v>
      </c>
      <c r="CN224" s="1">
        <f t="shared" si="155"/>
        <v>1.4999999999999999E-2</v>
      </c>
      <c r="CO224" s="1">
        <f t="shared" si="156"/>
        <v>4.2999999999999997E-2</v>
      </c>
      <c r="CP224" s="1">
        <f t="shared" si="157"/>
        <v>0.13100000000000001</v>
      </c>
      <c r="CQ224" s="1">
        <f t="shared" si="158"/>
        <v>0.22700000000000001</v>
      </c>
      <c r="CS224" s="1">
        <f t="shared" si="186"/>
        <v>8.8000000000000007</v>
      </c>
      <c r="CT224" s="1">
        <f t="shared" si="187"/>
        <v>-1.3</v>
      </c>
    </row>
    <row r="225" spans="1:98" x14ac:dyDescent="0.2">
      <c r="A225" s="8">
        <f t="shared" si="184"/>
        <v>44050</v>
      </c>
      <c r="B225" s="1">
        <v>220</v>
      </c>
      <c r="C225" s="1">
        <v>11</v>
      </c>
      <c r="D225" s="2">
        <v>12.97</v>
      </c>
      <c r="E225" s="2">
        <v>15.12</v>
      </c>
      <c r="F225" s="2">
        <v>2.5230000000000001</v>
      </c>
      <c r="G225" s="2">
        <v>6.5960000000000001</v>
      </c>
      <c r="H225" s="2">
        <v>79.91</v>
      </c>
      <c r="I225" s="2">
        <v>8.17</v>
      </c>
      <c r="J225" s="2">
        <v>7.383</v>
      </c>
      <c r="K225" s="2">
        <v>11.19</v>
      </c>
      <c r="L225" s="2">
        <v>11.6</v>
      </c>
      <c r="M225" s="2">
        <v>10.49</v>
      </c>
      <c r="N225" s="2">
        <v>13.78</v>
      </c>
      <c r="O225" s="2">
        <v>94.5</v>
      </c>
      <c r="P225" s="2">
        <v>22.06</v>
      </c>
      <c r="Q225" s="2">
        <v>20.309999999999999</v>
      </c>
      <c r="R225" s="2">
        <v>23.04</v>
      </c>
      <c r="S225" s="2">
        <v>12.58</v>
      </c>
      <c r="T225" s="2">
        <v>10.73</v>
      </c>
      <c r="U225" s="2">
        <v>2.8010000000000002</v>
      </c>
      <c r="V225" s="2">
        <v>47.37</v>
      </c>
      <c r="W225" s="2">
        <v>2.649</v>
      </c>
      <c r="X225" s="2">
        <v>2.371</v>
      </c>
      <c r="Y225" s="2">
        <v>5.62</v>
      </c>
      <c r="Z225" s="2">
        <v>10.61</v>
      </c>
      <c r="AA225" s="2">
        <v>10.25</v>
      </c>
      <c r="AB225" s="2">
        <v>2.294</v>
      </c>
      <c r="AC225" s="2">
        <v>1.778</v>
      </c>
      <c r="AD225" s="2">
        <v>16.59</v>
      </c>
      <c r="AE225" s="2">
        <v>3.633</v>
      </c>
      <c r="AF225" s="2">
        <v>1.2490000000000001</v>
      </c>
      <c r="AG225" s="2">
        <v>3.9870000000000001</v>
      </c>
      <c r="AH225" s="2">
        <v>7.7850000000000001</v>
      </c>
      <c r="AI225" s="2">
        <v>21.42</v>
      </c>
      <c r="AJ225" s="2">
        <v>2.6240000000000001</v>
      </c>
      <c r="AK225" s="2">
        <v>16.8</v>
      </c>
      <c r="AL225" s="2">
        <v>2.4620000000000002</v>
      </c>
      <c r="AM225" s="2">
        <v>2.2719999999999998</v>
      </c>
      <c r="AN225" s="2" t="s">
        <v>122</v>
      </c>
      <c r="AO225" s="2">
        <v>684</v>
      </c>
      <c r="AP225" s="2">
        <v>258</v>
      </c>
      <c r="AQ225" s="2">
        <v>65</v>
      </c>
      <c r="AR225" s="2">
        <v>39</v>
      </c>
      <c r="AS225" s="2">
        <v>83</v>
      </c>
      <c r="AT225" s="2">
        <v>264</v>
      </c>
      <c r="AU225" s="2">
        <v>627</v>
      </c>
      <c r="AV225" s="2">
        <v>860</v>
      </c>
      <c r="AW225" s="2"/>
      <c r="AX225" s="2">
        <v>0</v>
      </c>
      <c r="AY225" s="26"/>
      <c r="AZ225" s="5">
        <v>28.36</v>
      </c>
      <c r="BA225" s="1">
        <v>16.59</v>
      </c>
      <c r="BB225" s="1">
        <v>3.34</v>
      </c>
      <c r="BC225" s="6">
        <f t="shared" si="185"/>
        <v>0.20132610006027726</v>
      </c>
      <c r="BE225" s="30">
        <v>1.778</v>
      </c>
      <c r="BF225" s="27">
        <v>0</v>
      </c>
      <c r="BG225" s="1">
        <f t="shared" si="159"/>
        <v>94.5</v>
      </c>
      <c r="BH225" s="1">
        <f t="shared" si="160"/>
        <v>79.900000000000006</v>
      </c>
      <c r="BI225" s="1">
        <f t="shared" si="161"/>
        <v>47.4</v>
      </c>
      <c r="BJ225" s="7">
        <f t="shared" si="162"/>
        <v>0.747</v>
      </c>
      <c r="BK225" s="7">
        <f t="shared" si="163"/>
        <v>0.82899999999999996</v>
      </c>
      <c r="BM225" s="5">
        <f t="shared" si="164"/>
        <v>16.59</v>
      </c>
      <c r="BN225" s="5">
        <f t="shared" si="165"/>
        <v>3.34</v>
      </c>
      <c r="BO225" s="1">
        <f t="shared" si="166"/>
        <v>6.6</v>
      </c>
      <c r="BP225" s="1">
        <f t="shared" si="167"/>
        <v>13.8</v>
      </c>
      <c r="BQ225" s="1">
        <f t="shared" si="168"/>
        <v>2.8</v>
      </c>
      <c r="BR225" s="1">
        <f t="shared" si="169"/>
        <v>79.900000000000006</v>
      </c>
      <c r="BS225" s="1">
        <f t="shared" si="170"/>
        <v>47.4</v>
      </c>
      <c r="BT225" s="1">
        <f t="shared" si="171"/>
        <v>1.2</v>
      </c>
      <c r="BU225" s="1">
        <f t="shared" si="172"/>
        <v>4</v>
      </c>
      <c r="BV225" s="33">
        <f t="shared" si="173"/>
        <v>1.778</v>
      </c>
      <c r="BW225" s="26">
        <f t="shared" si="188"/>
        <v>0</v>
      </c>
      <c r="BX225" s="20" t="str">
        <f t="shared" si="174"/>
        <v>NAN</v>
      </c>
      <c r="BY225" s="1">
        <f t="shared" si="175"/>
        <v>7.8</v>
      </c>
      <c r="BZ225" s="1">
        <f t="shared" si="176"/>
        <v>21.4</v>
      </c>
      <c r="CA225" s="1">
        <f t="shared" si="177"/>
        <v>2.6</v>
      </c>
      <c r="CB225" s="1">
        <f t="shared" si="178"/>
        <v>11.2</v>
      </c>
      <c r="CC225" s="1">
        <f t="shared" si="179"/>
        <v>11.6</v>
      </c>
      <c r="CD225" s="1">
        <f t="shared" si="180"/>
        <v>10.5</v>
      </c>
      <c r="CE225" s="1" t="str">
        <f t="shared" si="181"/>
        <v>NAN</v>
      </c>
      <c r="CF225" s="1">
        <f t="shared" si="182"/>
        <v>0.747</v>
      </c>
      <c r="CG225" s="1">
        <f t="shared" si="183"/>
        <v>0.82899999999999996</v>
      </c>
      <c r="CI225" s="1">
        <f t="shared" si="150"/>
        <v>2880</v>
      </c>
      <c r="CJ225" s="1">
        <f t="shared" si="151"/>
        <v>0.23799999999999999</v>
      </c>
      <c r="CK225" s="1">
        <f t="shared" si="152"/>
        <v>0.09</v>
      </c>
      <c r="CL225" s="1">
        <f t="shared" si="153"/>
        <v>2.3E-2</v>
      </c>
      <c r="CM225" s="1">
        <f t="shared" si="154"/>
        <v>1.4E-2</v>
      </c>
      <c r="CN225" s="1">
        <f t="shared" si="155"/>
        <v>2.9000000000000001E-2</v>
      </c>
      <c r="CO225" s="1">
        <f t="shared" si="156"/>
        <v>9.1999999999999998E-2</v>
      </c>
      <c r="CP225" s="1">
        <f t="shared" si="157"/>
        <v>0.218</v>
      </c>
      <c r="CQ225" s="1">
        <f t="shared" si="158"/>
        <v>0.29899999999999999</v>
      </c>
      <c r="CS225" s="1">
        <f t="shared" si="186"/>
        <v>7.5999999999999979</v>
      </c>
      <c r="CT225" s="1">
        <f t="shared" si="187"/>
        <v>-0.19999999999999973</v>
      </c>
    </row>
    <row r="226" spans="1:98" x14ac:dyDescent="0.2">
      <c r="A226" s="8">
        <f t="shared" si="184"/>
        <v>44051</v>
      </c>
      <c r="B226" s="1">
        <v>221</v>
      </c>
      <c r="C226" s="1">
        <v>11</v>
      </c>
      <c r="D226" s="2">
        <v>12.98</v>
      </c>
      <c r="E226" s="2">
        <v>16.09</v>
      </c>
      <c r="F226" s="2">
        <v>3.9780000000000002</v>
      </c>
      <c r="G226" s="2">
        <v>8.16</v>
      </c>
      <c r="H226" s="2">
        <v>75.680000000000007</v>
      </c>
      <c r="I226" s="2">
        <v>9.7200000000000006</v>
      </c>
      <c r="J226" s="2">
        <v>9.23</v>
      </c>
      <c r="K226" s="2">
        <v>12.48</v>
      </c>
      <c r="L226" s="2">
        <v>11.72</v>
      </c>
      <c r="M226" s="2">
        <v>10.25</v>
      </c>
      <c r="N226" s="2">
        <v>14.02</v>
      </c>
      <c r="O226" s="2">
        <v>94.5</v>
      </c>
      <c r="P226" s="2">
        <v>21.72</v>
      </c>
      <c r="Q226" s="2">
        <v>20.46</v>
      </c>
      <c r="R226" s="2">
        <v>24.22</v>
      </c>
      <c r="S226" s="2">
        <v>12.74</v>
      </c>
      <c r="T226" s="2">
        <v>10.38</v>
      </c>
      <c r="U226" s="2">
        <v>4.798</v>
      </c>
      <c r="V226" s="2">
        <v>40.49</v>
      </c>
      <c r="W226" s="2">
        <v>3.6840000000000002</v>
      </c>
      <c r="X226" s="2">
        <v>3.4180000000000001</v>
      </c>
      <c r="Y226" s="2">
        <v>7.1390000000000002</v>
      </c>
      <c r="Z226" s="2">
        <v>10.76</v>
      </c>
      <c r="AA226" s="2">
        <v>10.09</v>
      </c>
      <c r="AB226" s="2">
        <v>2.181</v>
      </c>
      <c r="AC226" s="2">
        <v>2.54</v>
      </c>
      <c r="AD226" s="2">
        <v>19.23</v>
      </c>
      <c r="AE226" s="2">
        <v>4.4009999999999998</v>
      </c>
      <c r="AF226" s="2">
        <v>1.1120000000000001</v>
      </c>
      <c r="AG226" s="2">
        <v>4.3419999999999996</v>
      </c>
      <c r="AH226" s="2">
        <v>9.34</v>
      </c>
      <c r="AI226" s="2">
        <v>21.13</v>
      </c>
      <c r="AJ226" s="2">
        <v>4.0090000000000003</v>
      </c>
      <c r="AK226" s="2">
        <v>17.79</v>
      </c>
      <c r="AL226" s="2">
        <v>4.42</v>
      </c>
      <c r="AM226" s="2">
        <v>2.1579999999999999</v>
      </c>
      <c r="AN226" s="2" t="s">
        <v>122</v>
      </c>
      <c r="AO226" s="2">
        <v>959</v>
      </c>
      <c r="AP226" s="2">
        <v>616</v>
      </c>
      <c r="AQ226" s="2">
        <v>181</v>
      </c>
      <c r="AR226" s="2">
        <v>54</v>
      </c>
      <c r="AS226" s="2">
        <v>41</v>
      </c>
      <c r="AT226" s="2">
        <v>76</v>
      </c>
      <c r="AU226" s="2">
        <v>297</v>
      </c>
      <c r="AV226" s="2">
        <v>656</v>
      </c>
      <c r="AW226" s="2"/>
      <c r="AX226" s="2">
        <v>0</v>
      </c>
      <c r="AY226" s="26"/>
      <c r="AZ226" s="5">
        <v>28.17</v>
      </c>
      <c r="BA226" s="1">
        <v>19.23</v>
      </c>
      <c r="BB226" s="1">
        <v>4.05</v>
      </c>
      <c r="BC226" s="6">
        <f t="shared" si="185"/>
        <v>0.21060842433697347</v>
      </c>
      <c r="BE226" s="30">
        <v>2.54</v>
      </c>
      <c r="BF226" s="27">
        <v>0</v>
      </c>
      <c r="BG226" s="1">
        <f t="shared" si="159"/>
        <v>94.5</v>
      </c>
      <c r="BH226" s="1">
        <f t="shared" si="160"/>
        <v>75.7</v>
      </c>
      <c r="BI226" s="1">
        <f t="shared" si="161"/>
        <v>40.5</v>
      </c>
      <c r="BJ226" s="7">
        <f t="shared" si="162"/>
        <v>0.64800000000000002</v>
      </c>
      <c r="BK226" s="7">
        <f t="shared" si="163"/>
        <v>0.95199999999999996</v>
      </c>
      <c r="BM226" s="5">
        <f t="shared" si="164"/>
        <v>19.23</v>
      </c>
      <c r="BN226" s="5">
        <f t="shared" si="165"/>
        <v>4.05</v>
      </c>
      <c r="BO226" s="1">
        <f t="shared" si="166"/>
        <v>8.1999999999999993</v>
      </c>
      <c r="BP226" s="1">
        <f t="shared" si="167"/>
        <v>14</v>
      </c>
      <c r="BQ226" s="1">
        <f t="shared" si="168"/>
        <v>4.8</v>
      </c>
      <c r="BR226" s="1">
        <f t="shared" si="169"/>
        <v>75.7</v>
      </c>
      <c r="BS226" s="1">
        <f t="shared" si="170"/>
        <v>40.5</v>
      </c>
      <c r="BT226" s="1">
        <f t="shared" si="171"/>
        <v>1.1000000000000001</v>
      </c>
      <c r="BU226" s="1">
        <f t="shared" si="172"/>
        <v>4.3</v>
      </c>
      <c r="BV226" s="33">
        <f t="shared" si="173"/>
        <v>2.54</v>
      </c>
      <c r="BW226" s="26">
        <f t="shared" si="188"/>
        <v>0</v>
      </c>
      <c r="BX226" s="20" t="str">
        <f t="shared" si="174"/>
        <v>NAN</v>
      </c>
      <c r="BY226" s="1">
        <f t="shared" si="175"/>
        <v>9.3000000000000007</v>
      </c>
      <c r="BZ226" s="1">
        <f t="shared" si="176"/>
        <v>21.1</v>
      </c>
      <c r="CA226" s="1">
        <f t="shared" si="177"/>
        <v>4</v>
      </c>
      <c r="CB226" s="1">
        <f t="shared" si="178"/>
        <v>12.5</v>
      </c>
      <c r="CC226" s="1">
        <f t="shared" si="179"/>
        <v>11.7</v>
      </c>
      <c r="CD226" s="1">
        <f t="shared" si="180"/>
        <v>10.3</v>
      </c>
      <c r="CE226" s="1" t="str">
        <f t="shared" si="181"/>
        <v>NAN</v>
      </c>
      <c r="CF226" s="1">
        <f t="shared" si="182"/>
        <v>0.64800000000000002</v>
      </c>
      <c r="CG226" s="1">
        <f t="shared" si="183"/>
        <v>0.95199999999999996</v>
      </c>
      <c r="CI226" s="1">
        <f t="shared" si="150"/>
        <v>2880</v>
      </c>
      <c r="CJ226" s="1">
        <f t="shared" si="151"/>
        <v>0.33300000000000002</v>
      </c>
      <c r="CK226" s="1">
        <f t="shared" si="152"/>
        <v>0.214</v>
      </c>
      <c r="CL226" s="1">
        <f t="shared" si="153"/>
        <v>6.3E-2</v>
      </c>
      <c r="CM226" s="1">
        <f t="shared" si="154"/>
        <v>1.9E-2</v>
      </c>
      <c r="CN226" s="1">
        <f t="shared" si="155"/>
        <v>1.4E-2</v>
      </c>
      <c r="CO226" s="1">
        <f t="shared" si="156"/>
        <v>2.5999999999999999E-2</v>
      </c>
      <c r="CP226" s="1">
        <f t="shared" si="157"/>
        <v>0.10299999999999999</v>
      </c>
      <c r="CQ226" s="1">
        <f t="shared" si="158"/>
        <v>0.22800000000000001</v>
      </c>
      <c r="CS226" s="1">
        <f t="shared" si="186"/>
        <v>7.1000000000000014</v>
      </c>
      <c r="CT226" s="1">
        <f t="shared" si="187"/>
        <v>-0.79999999999999982</v>
      </c>
    </row>
    <row r="227" spans="1:98" x14ac:dyDescent="0.2">
      <c r="A227" s="8">
        <f t="shared" si="184"/>
        <v>44052</v>
      </c>
      <c r="B227" s="1">
        <v>222</v>
      </c>
      <c r="C227" s="1">
        <v>11</v>
      </c>
      <c r="D227" s="2">
        <v>12.99</v>
      </c>
      <c r="E227" s="2">
        <v>18.149999999999999</v>
      </c>
      <c r="F227" s="2">
        <v>1.4159999999999999</v>
      </c>
      <c r="G227" s="2">
        <v>9.57</v>
      </c>
      <c r="H227" s="2">
        <v>67.69</v>
      </c>
      <c r="I227" s="2">
        <v>9.61</v>
      </c>
      <c r="J227" s="2">
        <v>9.02</v>
      </c>
      <c r="K227" s="2">
        <v>12.84</v>
      </c>
      <c r="L227" s="2">
        <v>11.76</v>
      </c>
      <c r="M227" s="2">
        <v>10.15</v>
      </c>
      <c r="N227" s="2">
        <v>15.7</v>
      </c>
      <c r="O227" s="2">
        <v>94.9</v>
      </c>
      <c r="P227" s="2">
        <v>22.98</v>
      </c>
      <c r="Q227" s="2">
        <v>21.29</v>
      </c>
      <c r="R227" s="2">
        <v>27.72</v>
      </c>
      <c r="S227" s="2">
        <v>13.1</v>
      </c>
      <c r="T227" s="2">
        <v>10.33</v>
      </c>
      <c r="U227" s="2">
        <v>3.6520000000000001</v>
      </c>
      <c r="V227" s="2">
        <v>42.38</v>
      </c>
      <c r="W227" s="2">
        <v>-0.14299999999999999</v>
      </c>
      <c r="X227" s="2">
        <v>-0.77600000000000002</v>
      </c>
      <c r="Y227" s="2">
        <v>4.319</v>
      </c>
      <c r="Z227" s="2">
        <v>10.41</v>
      </c>
      <c r="AA227" s="2">
        <v>10</v>
      </c>
      <c r="AB227" s="2">
        <v>2.198</v>
      </c>
      <c r="AC227" s="2">
        <v>0</v>
      </c>
      <c r="AD227" s="2">
        <v>23.57</v>
      </c>
      <c r="AE227" s="2">
        <v>5.2290000000000001</v>
      </c>
      <c r="AF227" s="2">
        <v>0.91100000000000003</v>
      </c>
      <c r="AG227" s="2">
        <v>3.3660000000000001</v>
      </c>
      <c r="AH227" s="2">
        <v>10.039999999999999</v>
      </c>
      <c r="AI227" s="2">
        <v>21.15</v>
      </c>
      <c r="AJ227" s="2">
        <v>1.421</v>
      </c>
      <c r="AK227" s="2">
        <v>20.13</v>
      </c>
      <c r="AL227" s="2">
        <v>2.9649999999999999</v>
      </c>
      <c r="AM227" s="2">
        <v>2.1629999999999998</v>
      </c>
      <c r="AN227" s="2" t="s">
        <v>122</v>
      </c>
      <c r="AO227" s="2">
        <v>523</v>
      </c>
      <c r="AP227" s="2">
        <v>1036</v>
      </c>
      <c r="AQ227" s="2">
        <v>673</v>
      </c>
      <c r="AR227" s="2">
        <v>139</v>
      </c>
      <c r="AS227" s="2">
        <v>33</v>
      </c>
      <c r="AT227" s="2">
        <v>27</v>
      </c>
      <c r="AU227" s="2">
        <v>119</v>
      </c>
      <c r="AV227" s="2">
        <v>330</v>
      </c>
      <c r="AW227" s="2"/>
      <c r="AX227" s="2">
        <v>0</v>
      </c>
      <c r="AY227" s="26"/>
      <c r="AZ227" s="5">
        <v>27.99</v>
      </c>
      <c r="BA227" s="1">
        <v>23.57</v>
      </c>
      <c r="BB227" s="1">
        <v>4.8099999999999996</v>
      </c>
      <c r="BC227" s="6">
        <f t="shared" si="185"/>
        <v>0.20407297411964359</v>
      </c>
      <c r="BE227" s="30">
        <v>0</v>
      </c>
      <c r="BF227" s="27">
        <v>0</v>
      </c>
      <c r="BG227" s="1">
        <f t="shared" si="159"/>
        <v>94.9</v>
      </c>
      <c r="BH227" s="1">
        <f t="shared" si="160"/>
        <v>67.7</v>
      </c>
      <c r="BI227" s="1">
        <f t="shared" si="161"/>
        <v>42.4</v>
      </c>
      <c r="BJ227" s="7">
        <f t="shared" si="162"/>
        <v>0.75600000000000001</v>
      </c>
      <c r="BK227" s="7">
        <f t="shared" si="163"/>
        <v>1.0269999999999999</v>
      </c>
      <c r="BM227" s="5">
        <f t="shared" si="164"/>
        <v>23.57</v>
      </c>
      <c r="BN227" s="5">
        <f t="shared" si="165"/>
        <v>4.8099999999999996</v>
      </c>
      <c r="BO227" s="1">
        <f t="shared" si="166"/>
        <v>9.6</v>
      </c>
      <c r="BP227" s="1">
        <f t="shared" si="167"/>
        <v>15.7</v>
      </c>
      <c r="BQ227" s="1">
        <f t="shared" si="168"/>
        <v>3.7</v>
      </c>
      <c r="BR227" s="1">
        <f t="shared" si="169"/>
        <v>67.7</v>
      </c>
      <c r="BS227" s="1">
        <f t="shared" si="170"/>
        <v>42.4</v>
      </c>
      <c r="BT227" s="1">
        <f t="shared" si="171"/>
        <v>0.9</v>
      </c>
      <c r="BU227" s="1">
        <f t="shared" si="172"/>
        <v>3.4</v>
      </c>
      <c r="BV227" s="33">
        <f t="shared" si="173"/>
        <v>0</v>
      </c>
      <c r="BW227" s="26">
        <f t="shared" si="188"/>
        <v>0</v>
      </c>
      <c r="BX227" s="20" t="str">
        <f t="shared" si="174"/>
        <v>NAN</v>
      </c>
      <c r="BY227" s="1">
        <f t="shared" si="175"/>
        <v>10</v>
      </c>
      <c r="BZ227" s="1">
        <f t="shared" si="176"/>
        <v>21.2</v>
      </c>
      <c r="CA227" s="1">
        <f t="shared" si="177"/>
        <v>1.4</v>
      </c>
      <c r="CB227" s="1">
        <f t="shared" si="178"/>
        <v>12.8</v>
      </c>
      <c r="CC227" s="1">
        <f t="shared" si="179"/>
        <v>11.8</v>
      </c>
      <c r="CD227" s="1">
        <f t="shared" si="180"/>
        <v>10.199999999999999</v>
      </c>
      <c r="CE227" s="1" t="str">
        <f t="shared" si="181"/>
        <v>NAN</v>
      </c>
      <c r="CF227" s="1">
        <f t="shared" si="182"/>
        <v>0.75600000000000001</v>
      </c>
      <c r="CG227" s="1">
        <f t="shared" si="183"/>
        <v>1.0269999999999999</v>
      </c>
      <c r="CI227" s="1">
        <f t="shared" si="150"/>
        <v>2880</v>
      </c>
      <c r="CJ227" s="1">
        <f t="shared" si="151"/>
        <v>0.182</v>
      </c>
      <c r="CK227" s="1">
        <f t="shared" si="152"/>
        <v>0.36</v>
      </c>
      <c r="CL227" s="1">
        <f t="shared" si="153"/>
        <v>0.23400000000000001</v>
      </c>
      <c r="CM227" s="1">
        <f t="shared" si="154"/>
        <v>4.8000000000000001E-2</v>
      </c>
      <c r="CN227" s="1">
        <f t="shared" si="155"/>
        <v>1.0999999999999999E-2</v>
      </c>
      <c r="CO227" s="1">
        <f t="shared" si="156"/>
        <v>8.9999999999999993E-3</v>
      </c>
      <c r="CP227" s="1">
        <f t="shared" si="157"/>
        <v>4.1000000000000002E-2</v>
      </c>
      <c r="CQ227" s="1">
        <f t="shared" si="158"/>
        <v>0.115</v>
      </c>
      <c r="CS227" s="1">
        <f t="shared" si="186"/>
        <v>5.5</v>
      </c>
      <c r="CT227" s="1">
        <f t="shared" si="187"/>
        <v>-2.3000000000000003</v>
      </c>
    </row>
    <row r="228" spans="1:98" x14ac:dyDescent="0.2">
      <c r="A228" s="8">
        <f t="shared" si="184"/>
        <v>44053</v>
      </c>
      <c r="B228" s="1">
        <v>223</v>
      </c>
      <c r="C228" s="1">
        <v>11</v>
      </c>
      <c r="D228" s="2">
        <v>12.98</v>
      </c>
      <c r="E228" s="2">
        <v>21.34</v>
      </c>
      <c r="F228" s="2">
        <v>4.17</v>
      </c>
      <c r="G228" s="2">
        <v>12.07</v>
      </c>
      <c r="H228" s="2">
        <v>68.349999999999994</v>
      </c>
      <c r="I228" s="2">
        <v>11.34</v>
      </c>
      <c r="J228" s="2">
        <v>11.51</v>
      </c>
      <c r="K228" s="2">
        <v>13.19</v>
      </c>
      <c r="L228" s="2">
        <v>11.93</v>
      </c>
      <c r="M228" s="2">
        <v>10.130000000000001</v>
      </c>
      <c r="N228" s="2">
        <v>18.75</v>
      </c>
      <c r="O228" s="2">
        <v>89.9</v>
      </c>
      <c r="P228" s="2">
        <v>25.41</v>
      </c>
      <c r="Q228" s="2">
        <v>24.18</v>
      </c>
      <c r="R228" s="2">
        <v>25.55</v>
      </c>
      <c r="S228" s="2">
        <v>13.05</v>
      </c>
      <c r="T228" s="2">
        <v>10.3</v>
      </c>
      <c r="U228" s="2">
        <v>7.0650000000000004</v>
      </c>
      <c r="V228" s="2">
        <v>42.03</v>
      </c>
      <c r="W228" s="2">
        <v>2.3849999999999998</v>
      </c>
      <c r="X228" s="2">
        <v>1.6140000000000001</v>
      </c>
      <c r="Y228" s="2">
        <v>6.5369999999999999</v>
      </c>
      <c r="Z228" s="2">
        <v>10.76</v>
      </c>
      <c r="AA228" s="2">
        <v>10.01</v>
      </c>
      <c r="AB228" s="2">
        <v>2.27</v>
      </c>
      <c r="AC228" s="2">
        <v>0</v>
      </c>
      <c r="AD228" s="2">
        <v>18.39</v>
      </c>
      <c r="AE228" s="2">
        <v>4.1890000000000001</v>
      </c>
      <c r="AF228" s="2">
        <v>1.117</v>
      </c>
      <c r="AG228" s="2">
        <v>3.5430000000000001</v>
      </c>
      <c r="AH228" s="2">
        <v>12.18</v>
      </c>
      <c r="AI228" s="2">
        <v>25.36</v>
      </c>
      <c r="AJ228" s="2">
        <v>4.2009999999999996</v>
      </c>
      <c r="AK228" s="2">
        <v>23.84</v>
      </c>
      <c r="AL228" s="2">
        <v>6.8979999999999997</v>
      </c>
      <c r="AM228" s="2">
        <v>2.2410000000000001</v>
      </c>
      <c r="AN228" s="2" t="s">
        <v>122</v>
      </c>
      <c r="AO228" s="2">
        <v>749</v>
      </c>
      <c r="AP228" s="2">
        <v>880</v>
      </c>
      <c r="AQ228" s="2">
        <v>283</v>
      </c>
      <c r="AR228" s="2">
        <v>44</v>
      </c>
      <c r="AS228" s="2">
        <v>45</v>
      </c>
      <c r="AT228" s="2">
        <v>79</v>
      </c>
      <c r="AU228" s="2">
        <v>252</v>
      </c>
      <c r="AV228" s="2">
        <v>548</v>
      </c>
      <c r="AW228" s="2"/>
      <c r="AX228" s="2">
        <v>0</v>
      </c>
      <c r="AY228" s="26"/>
      <c r="AZ228" s="5">
        <v>27.79</v>
      </c>
      <c r="BA228" s="1">
        <v>18.39</v>
      </c>
      <c r="BB228" s="1">
        <v>3.85</v>
      </c>
      <c r="BC228" s="6">
        <f t="shared" si="185"/>
        <v>0.20935290918977706</v>
      </c>
      <c r="BE228" s="30">
        <v>0</v>
      </c>
      <c r="BF228" s="27">
        <v>0</v>
      </c>
      <c r="BG228" s="1">
        <f t="shared" si="159"/>
        <v>89.9</v>
      </c>
      <c r="BH228" s="1">
        <f t="shared" si="160"/>
        <v>68.400000000000006</v>
      </c>
      <c r="BI228" s="1">
        <f t="shared" si="161"/>
        <v>42</v>
      </c>
      <c r="BJ228" s="7">
        <f t="shared" si="162"/>
        <v>0.90800000000000003</v>
      </c>
      <c r="BK228" s="7">
        <f t="shared" si="163"/>
        <v>1.254</v>
      </c>
      <c r="BM228" s="5">
        <f t="shared" si="164"/>
        <v>18.39</v>
      </c>
      <c r="BN228" s="5">
        <f t="shared" si="165"/>
        <v>3.85</v>
      </c>
      <c r="BO228" s="1">
        <f t="shared" si="166"/>
        <v>12.1</v>
      </c>
      <c r="BP228" s="1">
        <f t="shared" si="167"/>
        <v>18.8</v>
      </c>
      <c r="BQ228" s="1">
        <f t="shared" si="168"/>
        <v>7.1</v>
      </c>
      <c r="BR228" s="1">
        <f t="shared" si="169"/>
        <v>68.400000000000006</v>
      </c>
      <c r="BS228" s="1">
        <f t="shared" si="170"/>
        <v>42</v>
      </c>
      <c r="BT228" s="1">
        <f t="shared" si="171"/>
        <v>1.1000000000000001</v>
      </c>
      <c r="BU228" s="1">
        <f t="shared" si="172"/>
        <v>3.5</v>
      </c>
      <c r="BV228" s="33">
        <f t="shared" si="173"/>
        <v>0</v>
      </c>
      <c r="BW228" s="26">
        <f t="shared" si="188"/>
        <v>0</v>
      </c>
      <c r="BX228" s="20" t="str">
        <f t="shared" si="174"/>
        <v>NAN</v>
      </c>
      <c r="BY228" s="1">
        <f t="shared" si="175"/>
        <v>12.2</v>
      </c>
      <c r="BZ228" s="1">
        <f t="shared" si="176"/>
        <v>25.4</v>
      </c>
      <c r="CA228" s="1">
        <f t="shared" si="177"/>
        <v>4.2</v>
      </c>
      <c r="CB228" s="1">
        <f t="shared" si="178"/>
        <v>13.2</v>
      </c>
      <c r="CC228" s="1">
        <f t="shared" si="179"/>
        <v>11.9</v>
      </c>
      <c r="CD228" s="1">
        <f t="shared" si="180"/>
        <v>10.1</v>
      </c>
      <c r="CE228" s="1" t="str">
        <f t="shared" si="181"/>
        <v>NAN</v>
      </c>
      <c r="CF228" s="1">
        <f t="shared" si="182"/>
        <v>0.90800000000000003</v>
      </c>
      <c r="CG228" s="1">
        <f t="shared" si="183"/>
        <v>1.254</v>
      </c>
      <c r="CI228" s="1">
        <f t="shared" si="150"/>
        <v>2880</v>
      </c>
      <c r="CJ228" s="1">
        <f t="shared" si="151"/>
        <v>0.26</v>
      </c>
      <c r="CK228" s="1">
        <f t="shared" si="152"/>
        <v>0.30599999999999999</v>
      </c>
      <c r="CL228" s="1">
        <f t="shared" si="153"/>
        <v>9.8000000000000004E-2</v>
      </c>
      <c r="CM228" s="1">
        <f t="shared" si="154"/>
        <v>1.4999999999999999E-2</v>
      </c>
      <c r="CN228" s="1">
        <f t="shared" si="155"/>
        <v>1.6E-2</v>
      </c>
      <c r="CO228" s="1">
        <f t="shared" si="156"/>
        <v>2.7E-2</v>
      </c>
      <c r="CP228" s="1">
        <f t="shared" si="157"/>
        <v>8.7999999999999995E-2</v>
      </c>
      <c r="CQ228" s="1">
        <f t="shared" si="158"/>
        <v>0.19</v>
      </c>
      <c r="CS228" s="1">
        <f t="shared" si="186"/>
        <v>6.5999999999999979</v>
      </c>
      <c r="CT228" s="1">
        <f t="shared" si="187"/>
        <v>-2.8999999999999995</v>
      </c>
    </row>
    <row r="229" spans="1:98" x14ac:dyDescent="0.2">
      <c r="A229" s="8">
        <f t="shared" si="184"/>
        <v>44054</v>
      </c>
      <c r="B229" s="1">
        <v>224</v>
      </c>
      <c r="C229" s="1">
        <v>11</v>
      </c>
      <c r="D229" s="2">
        <v>12.96</v>
      </c>
      <c r="E229" s="2">
        <v>20.399999999999999</v>
      </c>
      <c r="F229" s="2">
        <v>2.0110000000000001</v>
      </c>
      <c r="G229" s="2">
        <v>10.48</v>
      </c>
      <c r="H229" s="2">
        <v>55.26</v>
      </c>
      <c r="I229" s="2">
        <v>9.5</v>
      </c>
      <c r="J229" s="2">
        <v>9.61</v>
      </c>
      <c r="K229" s="2">
        <v>12.03</v>
      </c>
      <c r="L229" s="2">
        <v>11.76</v>
      </c>
      <c r="M229" s="2">
        <v>10.11</v>
      </c>
      <c r="N229" s="2">
        <v>18.75</v>
      </c>
      <c r="O229" s="2">
        <v>92</v>
      </c>
      <c r="P229" s="2">
        <v>23.96</v>
      </c>
      <c r="Q229" s="2">
        <v>23.84</v>
      </c>
      <c r="R229" s="2">
        <v>25.83</v>
      </c>
      <c r="S229" s="2">
        <v>12.86</v>
      </c>
      <c r="T229" s="2">
        <v>10.26</v>
      </c>
      <c r="U229" s="2">
        <v>4.0220000000000002</v>
      </c>
      <c r="V229" s="2">
        <v>24.29</v>
      </c>
      <c r="W229" s="2">
        <v>-0.82099999999999995</v>
      </c>
      <c r="X229" s="2">
        <v>-0.24</v>
      </c>
      <c r="Y229" s="2">
        <v>4.5049999999999999</v>
      </c>
      <c r="Z229" s="2">
        <v>10.56</v>
      </c>
      <c r="AA229" s="2">
        <v>9.98</v>
      </c>
      <c r="AB229" s="2">
        <v>2.177</v>
      </c>
      <c r="AC229" s="2">
        <v>0</v>
      </c>
      <c r="AD229" s="2">
        <v>19.47</v>
      </c>
      <c r="AE229" s="2">
        <v>4.1879999999999997</v>
      </c>
      <c r="AF229" s="2">
        <v>1.202</v>
      </c>
      <c r="AG229" s="2">
        <v>4.157</v>
      </c>
      <c r="AH229" s="2">
        <v>10.6</v>
      </c>
      <c r="AI229" s="2">
        <v>25.16</v>
      </c>
      <c r="AJ229" s="2">
        <v>1.32</v>
      </c>
      <c r="AK229" s="2">
        <v>22</v>
      </c>
      <c r="AL229" s="2">
        <v>3.8170000000000002</v>
      </c>
      <c r="AM229" s="2">
        <v>2.16</v>
      </c>
      <c r="AN229" s="2" t="s">
        <v>122</v>
      </c>
      <c r="AO229" s="2">
        <v>610</v>
      </c>
      <c r="AP229" s="2">
        <v>848</v>
      </c>
      <c r="AQ229" s="2">
        <v>184</v>
      </c>
      <c r="AR229" s="2">
        <v>43</v>
      </c>
      <c r="AS229" s="2">
        <v>62</v>
      </c>
      <c r="AT229" s="2">
        <v>192</v>
      </c>
      <c r="AU229" s="2">
        <v>419</v>
      </c>
      <c r="AV229" s="2">
        <v>522</v>
      </c>
      <c r="AW229" s="2"/>
      <c r="AX229" s="2">
        <v>0</v>
      </c>
      <c r="AY229" s="26"/>
      <c r="AZ229" s="5">
        <v>27.6</v>
      </c>
      <c r="BA229" s="1">
        <v>19.47</v>
      </c>
      <c r="BB229" s="1">
        <v>3.85</v>
      </c>
      <c r="BC229" s="6">
        <f t="shared" si="185"/>
        <v>0.19774011299435029</v>
      </c>
      <c r="BE229" s="30">
        <v>0</v>
      </c>
      <c r="BF229" s="27">
        <v>0</v>
      </c>
      <c r="BG229" s="1">
        <f t="shared" si="159"/>
        <v>92</v>
      </c>
      <c r="BH229" s="1">
        <f t="shared" si="160"/>
        <v>55.3</v>
      </c>
      <c r="BI229" s="1">
        <f t="shared" si="161"/>
        <v>24.3</v>
      </c>
      <c r="BJ229" s="7">
        <f t="shared" si="162"/>
        <v>0.52600000000000002</v>
      </c>
      <c r="BK229" s="7">
        <f t="shared" si="163"/>
        <v>1.639</v>
      </c>
      <c r="BM229" s="5">
        <f t="shared" si="164"/>
        <v>19.47</v>
      </c>
      <c r="BN229" s="5">
        <f t="shared" si="165"/>
        <v>3.85</v>
      </c>
      <c r="BO229" s="1">
        <f t="shared" si="166"/>
        <v>10.5</v>
      </c>
      <c r="BP229" s="1">
        <f t="shared" si="167"/>
        <v>18.8</v>
      </c>
      <c r="BQ229" s="1">
        <f t="shared" si="168"/>
        <v>4</v>
      </c>
      <c r="BR229" s="1">
        <f t="shared" si="169"/>
        <v>55.3</v>
      </c>
      <c r="BS229" s="1">
        <f t="shared" si="170"/>
        <v>24.3</v>
      </c>
      <c r="BT229" s="1">
        <f t="shared" si="171"/>
        <v>1.2</v>
      </c>
      <c r="BU229" s="1">
        <f t="shared" si="172"/>
        <v>4.2</v>
      </c>
      <c r="BV229" s="33">
        <f t="shared" si="173"/>
        <v>0</v>
      </c>
      <c r="BW229" s="26">
        <f t="shared" si="188"/>
        <v>0</v>
      </c>
      <c r="BX229" s="20" t="str">
        <f t="shared" si="174"/>
        <v>NAN</v>
      </c>
      <c r="BY229" s="1">
        <f t="shared" si="175"/>
        <v>10.6</v>
      </c>
      <c r="BZ229" s="1">
        <f t="shared" si="176"/>
        <v>25.2</v>
      </c>
      <c r="CA229" s="1">
        <f t="shared" si="177"/>
        <v>1.3</v>
      </c>
      <c r="CB229" s="1">
        <f t="shared" si="178"/>
        <v>12</v>
      </c>
      <c r="CC229" s="1">
        <f t="shared" si="179"/>
        <v>11.8</v>
      </c>
      <c r="CD229" s="1">
        <f t="shared" si="180"/>
        <v>10.1</v>
      </c>
      <c r="CE229" s="1" t="str">
        <f t="shared" si="181"/>
        <v>NAN</v>
      </c>
      <c r="CF229" s="1">
        <f t="shared" si="182"/>
        <v>0.52600000000000002</v>
      </c>
      <c r="CG229" s="1">
        <f t="shared" si="183"/>
        <v>1.639</v>
      </c>
      <c r="CI229" s="1">
        <f t="shared" si="150"/>
        <v>2880</v>
      </c>
      <c r="CJ229" s="1">
        <f t="shared" si="151"/>
        <v>0.21199999999999999</v>
      </c>
      <c r="CK229" s="1">
        <f t="shared" si="152"/>
        <v>0.29399999999999998</v>
      </c>
      <c r="CL229" s="1">
        <f t="shared" si="153"/>
        <v>6.4000000000000001E-2</v>
      </c>
      <c r="CM229" s="1">
        <f t="shared" si="154"/>
        <v>1.4999999999999999E-2</v>
      </c>
      <c r="CN229" s="1">
        <f t="shared" si="155"/>
        <v>2.1999999999999999E-2</v>
      </c>
      <c r="CO229" s="1">
        <f t="shared" si="156"/>
        <v>6.7000000000000004E-2</v>
      </c>
      <c r="CP229" s="1">
        <f t="shared" si="157"/>
        <v>0.14499999999999999</v>
      </c>
      <c r="CQ229" s="1">
        <f t="shared" si="158"/>
        <v>0.18099999999999999</v>
      </c>
      <c r="CS229" s="1">
        <f t="shared" si="186"/>
        <v>6.3999999999999986</v>
      </c>
      <c r="CT229" s="1">
        <f t="shared" si="187"/>
        <v>-2.7</v>
      </c>
    </row>
    <row r="230" spans="1:98" x14ac:dyDescent="0.2">
      <c r="A230" s="8">
        <f t="shared" si="184"/>
        <v>44055</v>
      </c>
      <c r="B230" s="1">
        <v>225</v>
      </c>
      <c r="C230" s="1">
        <v>11</v>
      </c>
      <c r="D230" s="2">
        <v>12.98</v>
      </c>
      <c r="E230" s="2">
        <v>17.29</v>
      </c>
      <c r="F230" s="2">
        <v>-1.778</v>
      </c>
      <c r="G230" s="2">
        <v>6.8559999999999999</v>
      </c>
      <c r="H230" s="2">
        <v>62.77</v>
      </c>
      <c r="I230" s="2">
        <v>6.9560000000000004</v>
      </c>
      <c r="J230" s="2">
        <v>6.4850000000000003</v>
      </c>
      <c r="K230" s="2">
        <v>10.6</v>
      </c>
      <c r="L230" s="2">
        <v>11.16</v>
      </c>
      <c r="M230" s="2">
        <v>10</v>
      </c>
      <c r="N230" s="2">
        <v>15.03</v>
      </c>
      <c r="O230" s="2">
        <v>93.1</v>
      </c>
      <c r="P230" s="2">
        <v>23.56</v>
      </c>
      <c r="Q230" s="2">
        <v>21.21</v>
      </c>
      <c r="R230" s="2">
        <v>26.77</v>
      </c>
      <c r="S230" s="2">
        <v>12.24</v>
      </c>
      <c r="T230" s="2">
        <v>10.23</v>
      </c>
      <c r="U230" s="2">
        <v>0.40100000000000002</v>
      </c>
      <c r="V230" s="2">
        <v>30.99</v>
      </c>
      <c r="W230" s="2">
        <v>-3.3490000000000002</v>
      </c>
      <c r="X230" s="2">
        <v>-3.5430000000000001</v>
      </c>
      <c r="Y230" s="2">
        <v>2.1619999999999999</v>
      </c>
      <c r="Z230" s="2">
        <v>9.9</v>
      </c>
      <c r="AA230" s="2">
        <v>9.81</v>
      </c>
      <c r="AB230" s="2">
        <v>2.1930000000000001</v>
      </c>
      <c r="AC230" s="2">
        <v>0</v>
      </c>
      <c r="AD230" s="2">
        <v>21.4</v>
      </c>
      <c r="AE230" s="2">
        <v>4.7859999999999996</v>
      </c>
      <c r="AF230" s="2">
        <v>0.99399999999999999</v>
      </c>
      <c r="AG230" s="2">
        <v>3.7029999999999998</v>
      </c>
      <c r="AH230" s="2">
        <v>7.7539999999999996</v>
      </c>
      <c r="AI230" s="2">
        <v>23.63</v>
      </c>
      <c r="AJ230" s="2">
        <v>-1.6359999999999999</v>
      </c>
      <c r="AK230" s="2">
        <v>18.86</v>
      </c>
      <c r="AL230" s="2">
        <v>0.26</v>
      </c>
      <c r="AM230" s="2">
        <v>2.1800000000000002</v>
      </c>
      <c r="AN230" s="2" t="s">
        <v>122</v>
      </c>
      <c r="AO230" s="2">
        <v>519</v>
      </c>
      <c r="AP230" s="2">
        <v>582</v>
      </c>
      <c r="AQ230" s="2">
        <v>469</v>
      </c>
      <c r="AR230" s="2">
        <v>75</v>
      </c>
      <c r="AS230" s="2">
        <v>92</v>
      </c>
      <c r="AT230" s="2">
        <v>218</v>
      </c>
      <c r="AU230" s="2">
        <v>424</v>
      </c>
      <c r="AV230" s="2">
        <v>500</v>
      </c>
      <c r="AW230" s="2"/>
      <c r="AX230" s="2">
        <v>0</v>
      </c>
      <c r="AY230" s="26"/>
      <c r="AZ230" s="5">
        <v>27.4</v>
      </c>
      <c r="BA230" s="1">
        <v>21.4</v>
      </c>
      <c r="BB230" s="1">
        <v>4.4000000000000004</v>
      </c>
      <c r="BC230" s="6">
        <f t="shared" si="185"/>
        <v>0.20560747663551404</v>
      </c>
      <c r="BE230" s="30">
        <v>0</v>
      </c>
      <c r="BF230" s="27">
        <v>0</v>
      </c>
      <c r="BG230" s="1">
        <f t="shared" si="159"/>
        <v>93.1</v>
      </c>
      <c r="BH230" s="1">
        <f t="shared" si="160"/>
        <v>62.8</v>
      </c>
      <c r="BI230" s="1">
        <f t="shared" si="161"/>
        <v>31</v>
      </c>
      <c r="BJ230" s="7">
        <f t="shared" si="162"/>
        <v>0.53</v>
      </c>
      <c r="BK230" s="7">
        <f t="shared" si="163"/>
        <v>1.18</v>
      </c>
      <c r="BM230" s="5">
        <f t="shared" si="164"/>
        <v>21.4</v>
      </c>
      <c r="BN230" s="5">
        <f t="shared" si="165"/>
        <v>4.4000000000000004</v>
      </c>
      <c r="BO230" s="1">
        <f t="shared" si="166"/>
        <v>6.9</v>
      </c>
      <c r="BP230" s="1">
        <f t="shared" si="167"/>
        <v>15</v>
      </c>
      <c r="BQ230" s="1">
        <f t="shared" si="168"/>
        <v>0.4</v>
      </c>
      <c r="BR230" s="1">
        <f t="shared" si="169"/>
        <v>62.8</v>
      </c>
      <c r="BS230" s="1">
        <f t="shared" si="170"/>
        <v>31</v>
      </c>
      <c r="BT230" s="1">
        <f t="shared" si="171"/>
        <v>1</v>
      </c>
      <c r="BU230" s="1">
        <f t="shared" si="172"/>
        <v>3.7</v>
      </c>
      <c r="BV230" s="33">
        <f t="shared" si="173"/>
        <v>0</v>
      </c>
      <c r="BW230" s="26">
        <f t="shared" si="188"/>
        <v>0</v>
      </c>
      <c r="BX230" s="20" t="str">
        <f t="shared" si="174"/>
        <v>NAN</v>
      </c>
      <c r="BY230" s="1">
        <f t="shared" si="175"/>
        <v>7.8</v>
      </c>
      <c r="BZ230" s="1">
        <f t="shared" si="176"/>
        <v>23.6</v>
      </c>
      <c r="CA230" s="1">
        <f t="shared" si="177"/>
        <v>-1.6</v>
      </c>
      <c r="CB230" s="1">
        <f t="shared" si="178"/>
        <v>10.6</v>
      </c>
      <c r="CC230" s="1">
        <f t="shared" si="179"/>
        <v>11.2</v>
      </c>
      <c r="CD230" s="1">
        <f t="shared" si="180"/>
        <v>10</v>
      </c>
      <c r="CE230" s="1" t="str">
        <f t="shared" si="181"/>
        <v>NAN</v>
      </c>
      <c r="CF230" s="1">
        <f t="shared" si="182"/>
        <v>0.53</v>
      </c>
      <c r="CG230" s="1">
        <f t="shared" si="183"/>
        <v>1.18</v>
      </c>
      <c r="CI230" s="1">
        <f t="shared" si="150"/>
        <v>2879</v>
      </c>
      <c r="CJ230" s="1">
        <f t="shared" si="151"/>
        <v>0.18</v>
      </c>
      <c r="CK230" s="1">
        <f t="shared" si="152"/>
        <v>0.20200000000000001</v>
      </c>
      <c r="CL230" s="1">
        <f t="shared" si="153"/>
        <v>0.16300000000000001</v>
      </c>
      <c r="CM230" s="1">
        <f t="shared" si="154"/>
        <v>2.5999999999999999E-2</v>
      </c>
      <c r="CN230" s="1">
        <f t="shared" si="155"/>
        <v>3.2000000000000001E-2</v>
      </c>
      <c r="CO230" s="1">
        <f t="shared" si="156"/>
        <v>7.5999999999999998E-2</v>
      </c>
      <c r="CP230" s="1">
        <f t="shared" si="157"/>
        <v>0.14699999999999999</v>
      </c>
      <c r="CQ230" s="1">
        <f t="shared" si="158"/>
        <v>0.17399999999999999</v>
      </c>
      <c r="CS230" s="1">
        <f t="shared" si="186"/>
        <v>8.6000000000000014</v>
      </c>
      <c r="CT230" s="1">
        <f t="shared" si="187"/>
        <v>-2</v>
      </c>
    </row>
    <row r="231" spans="1:98" x14ac:dyDescent="0.2">
      <c r="A231" s="8">
        <f t="shared" si="184"/>
        <v>44056</v>
      </c>
      <c r="B231" s="1">
        <v>226</v>
      </c>
      <c r="C231" s="1">
        <v>11</v>
      </c>
      <c r="D231" s="2">
        <v>12.97</v>
      </c>
      <c r="E231" s="2">
        <v>17.77</v>
      </c>
      <c r="F231" s="2">
        <v>-1.3740000000000001</v>
      </c>
      <c r="G231" s="2">
        <v>7.5670000000000002</v>
      </c>
      <c r="H231" s="2">
        <v>62.13</v>
      </c>
      <c r="I231" s="2">
        <v>7.4930000000000003</v>
      </c>
      <c r="J231" s="2">
        <v>6.6529999999999996</v>
      </c>
      <c r="K231" s="2">
        <v>11.08</v>
      </c>
      <c r="L231" s="2">
        <v>10.81</v>
      </c>
      <c r="M231" s="2">
        <v>9.82</v>
      </c>
      <c r="N231" s="2">
        <v>15.37</v>
      </c>
      <c r="O231" s="2">
        <v>85.7</v>
      </c>
      <c r="P231" s="2">
        <v>23.98</v>
      </c>
      <c r="Q231" s="2">
        <v>21.51</v>
      </c>
      <c r="R231" s="2">
        <v>28.02</v>
      </c>
      <c r="S231" s="2">
        <v>12.03</v>
      </c>
      <c r="T231" s="2">
        <v>10</v>
      </c>
      <c r="U231" s="2">
        <v>0.876</v>
      </c>
      <c r="V231" s="2">
        <v>36.32</v>
      </c>
      <c r="W231" s="2">
        <v>-2.347</v>
      </c>
      <c r="X231" s="2">
        <v>-3.0049999999999999</v>
      </c>
      <c r="Y231" s="2">
        <v>2.359</v>
      </c>
      <c r="Z231" s="2">
        <v>9.51</v>
      </c>
      <c r="AA231" s="2">
        <v>9.64</v>
      </c>
      <c r="AB231" s="2">
        <v>2.1869999999999998</v>
      </c>
      <c r="AC231" s="2">
        <v>0</v>
      </c>
      <c r="AD231" s="2">
        <v>20.51</v>
      </c>
      <c r="AE231" s="2">
        <v>4.6319999999999997</v>
      </c>
      <c r="AF231" s="2">
        <v>0.82499999999999996</v>
      </c>
      <c r="AG231" s="2">
        <v>3.6930000000000001</v>
      </c>
      <c r="AH231" s="2">
        <v>8.32</v>
      </c>
      <c r="AI231" s="2">
        <v>23.55</v>
      </c>
      <c r="AJ231" s="2">
        <v>-1.159</v>
      </c>
      <c r="AK231" s="2">
        <v>19.79</v>
      </c>
      <c r="AL231" s="2">
        <v>0.81799999999999995</v>
      </c>
      <c r="AM231" s="2">
        <v>2.17</v>
      </c>
      <c r="AN231" s="2" t="s">
        <v>122</v>
      </c>
      <c r="AO231" s="2">
        <v>389</v>
      </c>
      <c r="AP231" s="2">
        <v>526</v>
      </c>
      <c r="AQ231" s="2">
        <v>971</v>
      </c>
      <c r="AR231" s="2">
        <v>136</v>
      </c>
      <c r="AS231" s="2">
        <v>62</v>
      </c>
      <c r="AT231" s="2">
        <v>191</v>
      </c>
      <c r="AU231" s="2">
        <v>273</v>
      </c>
      <c r="AV231" s="2">
        <v>332</v>
      </c>
      <c r="AW231" s="2"/>
      <c r="AX231" s="2">
        <v>0</v>
      </c>
      <c r="AY231" s="26"/>
      <c r="AZ231" s="5">
        <v>27.2</v>
      </c>
      <c r="BA231" s="1">
        <v>20.51</v>
      </c>
      <c r="BB231" s="1">
        <v>4.26</v>
      </c>
      <c r="BC231" s="6">
        <f t="shared" si="185"/>
        <v>0.2077035592393954</v>
      </c>
      <c r="BE231" s="30">
        <v>0</v>
      </c>
      <c r="BF231" s="27">
        <v>0</v>
      </c>
      <c r="BG231" s="1">
        <f t="shared" si="159"/>
        <v>85.7</v>
      </c>
      <c r="BH231" s="1">
        <f t="shared" si="160"/>
        <v>62.1</v>
      </c>
      <c r="BI231" s="1">
        <f t="shared" si="161"/>
        <v>36.299999999999997</v>
      </c>
      <c r="BJ231" s="7">
        <f t="shared" si="162"/>
        <v>0.63400000000000001</v>
      </c>
      <c r="BK231" s="7">
        <f t="shared" si="163"/>
        <v>1.113</v>
      </c>
      <c r="BM231" s="5">
        <f t="shared" si="164"/>
        <v>20.51</v>
      </c>
      <c r="BN231" s="5">
        <f t="shared" si="165"/>
        <v>4.26</v>
      </c>
      <c r="BO231" s="1">
        <f t="shared" si="166"/>
        <v>7.6</v>
      </c>
      <c r="BP231" s="1">
        <f t="shared" si="167"/>
        <v>15.4</v>
      </c>
      <c r="BQ231" s="1">
        <f t="shared" si="168"/>
        <v>0.9</v>
      </c>
      <c r="BR231" s="1">
        <f t="shared" si="169"/>
        <v>62.1</v>
      </c>
      <c r="BS231" s="1">
        <f t="shared" si="170"/>
        <v>36.299999999999997</v>
      </c>
      <c r="BT231" s="1">
        <f t="shared" si="171"/>
        <v>0.8</v>
      </c>
      <c r="BU231" s="1">
        <f t="shared" si="172"/>
        <v>3.7</v>
      </c>
      <c r="BV231" s="33">
        <f t="shared" si="173"/>
        <v>0</v>
      </c>
      <c r="BW231" s="26">
        <f t="shared" si="188"/>
        <v>0</v>
      </c>
      <c r="BX231" s="20" t="str">
        <f t="shared" si="174"/>
        <v>NAN</v>
      </c>
      <c r="BY231" s="1">
        <f t="shared" si="175"/>
        <v>8.3000000000000007</v>
      </c>
      <c r="BZ231" s="1">
        <f t="shared" si="176"/>
        <v>23.6</v>
      </c>
      <c r="CA231" s="1">
        <f t="shared" si="177"/>
        <v>-1.2</v>
      </c>
      <c r="CB231" s="1">
        <f t="shared" si="178"/>
        <v>11.1</v>
      </c>
      <c r="CC231" s="1">
        <f t="shared" si="179"/>
        <v>10.8</v>
      </c>
      <c r="CD231" s="1">
        <f t="shared" si="180"/>
        <v>9.8000000000000007</v>
      </c>
      <c r="CE231" s="1" t="str">
        <f t="shared" si="181"/>
        <v>NAN</v>
      </c>
      <c r="CF231" s="1">
        <f t="shared" si="182"/>
        <v>0.63400000000000001</v>
      </c>
      <c r="CG231" s="1">
        <f t="shared" si="183"/>
        <v>1.113</v>
      </c>
      <c r="CI231" s="1">
        <f t="shared" si="150"/>
        <v>2880</v>
      </c>
      <c r="CJ231" s="1">
        <f t="shared" si="151"/>
        <v>0.13500000000000001</v>
      </c>
      <c r="CK231" s="1">
        <f t="shared" si="152"/>
        <v>0.183</v>
      </c>
      <c r="CL231" s="1">
        <f t="shared" si="153"/>
        <v>0.33700000000000002</v>
      </c>
      <c r="CM231" s="1">
        <f t="shared" si="154"/>
        <v>4.7E-2</v>
      </c>
      <c r="CN231" s="1">
        <f t="shared" si="155"/>
        <v>2.1999999999999999E-2</v>
      </c>
      <c r="CO231" s="1">
        <f t="shared" si="156"/>
        <v>6.6000000000000003E-2</v>
      </c>
      <c r="CP231" s="1">
        <f t="shared" si="157"/>
        <v>9.5000000000000001E-2</v>
      </c>
      <c r="CQ231" s="1">
        <f t="shared" si="158"/>
        <v>0.115</v>
      </c>
      <c r="CS231" s="1">
        <f t="shared" si="186"/>
        <v>8.2000000000000011</v>
      </c>
      <c r="CT231" s="1">
        <f t="shared" si="187"/>
        <v>-2.1</v>
      </c>
    </row>
    <row r="232" spans="1:98" x14ac:dyDescent="0.2">
      <c r="A232" s="8">
        <f t="shared" si="184"/>
        <v>44057</v>
      </c>
      <c r="B232" s="1">
        <v>227</v>
      </c>
      <c r="C232" s="1">
        <v>11</v>
      </c>
      <c r="D232" s="2">
        <v>12.98</v>
      </c>
      <c r="E232" s="2">
        <v>22.5</v>
      </c>
      <c r="F232" s="2">
        <v>9.7000000000000003E-2</v>
      </c>
      <c r="G232" s="2">
        <v>11.77</v>
      </c>
      <c r="H232" s="2">
        <v>54.52</v>
      </c>
      <c r="I232" s="2">
        <v>10.58</v>
      </c>
      <c r="J232" s="2">
        <v>10.46</v>
      </c>
      <c r="K232" s="2">
        <v>13.16</v>
      </c>
      <c r="L232" s="2">
        <v>10.9</v>
      </c>
      <c r="M232" s="2">
        <v>9.68</v>
      </c>
      <c r="N232" s="2">
        <v>19.97</v>
      </c>
      <c r="O232" s="2">
        <v>73.569999999999993</v>
      </c>
      <c r="P232" s="2">
        <v>26.85</v>
      </c>
      <c r="Q232" s="2">
        <v>24.81</v>
      </c>
      <c r="R232" s="2">
        <v>31.79</v>
      </c>
      <c r="S232" s="2">
        <v>12.55</v>
      </c>
      <c r="T232" s="2">
        <v>9.86</v>
      </c>
      <c r="U232" s="2">
        <v>3.931</v>
      </c>
      <c r="V232" s="2">
        <v>35.9</v>
      </c>
      <c r="W232" s="2">
        <v>-1.8859999999999999</v>
      </c>
      <c r="X232" s="2">
        <v>-2.42</v>
      </c>
      <c r="Y232" s="2">
        <v>2.3820000000000001</v>
      </c>
      <c r="Z232" s="2">
        <v>9.3699999999999992</v>
      </c>
      <c r="AA232" s="2">
        <v>9.5399999999999991</v>
      </c>
      <c r="AB232" s="2">
        <v>2.2029999999999998</v>
      </c>
      <c r="AC232" s="2">
        <v>0</v>
      </c>
      <c r="AD232" s="2">
        <v>22.94</v>
      </c>
      <c r="AE232" s="2">
        <v>5.0510000000000002</v>
      </c>
      <c r="AF232" s="2">
        <v>0.99099999999999999</v>
      </c>
      <c r="AG232" s="2">
        <v>3.7029999999999998</v>
      </c>
      <c r="AH232" s="2">
        <v>11.93</v>
      </c>
      <c r="AI232" s="2">
        <v>26.1</v>
      </c>
      <c r="AJ232" s="2">
        <v>0.45200000000000001</v>
      </c>
      <c r="AK232" s="2">
        <v>23.99</v>
      </c>
      <c r="AL232" s="2">
        <v>3.7989999999999999</v>
      </c>
      <c r="AM232" s="2">
        <v>2.1589999999999998</v>
      </c>
      <c r="AN232" s="2" t="s">
        <v>122</v>
      </c>
      <c r="AO232" s="2">
        <v>410</v>
      </c>
      <c r="AP232" s="2">
        <v>256</v>
      </c>
      <c r="AQ232" s="2">
        <v>861</v>
      </c>
      <c r="AR232" s="2">
        <v>129</v>
      </c>
      <c r="AS232" s="2">
        <v>68</v>
      </c>
      <c r="AT232" s="2">
        <v>241</v>
      </c>
      <c r="AU232" s="2">
        <v>410</v>
      </c>
      <c r="AV232" s="2">
        <v>505</v>
      </c>
      <c r="AW232" s="2"/>
      <c r="AX232" s="2">
        <v>0</v>
      </c>
      <c r="AY232" s="26"/>
      <c r="AZ232" s="5">
        <v>26.99</v>
      </c>
      <c r="BA232" s="1">
        <v>22.94</v>
      </c>
      <c r="BB232" s="1">
        <v>4.6500000000000004</v>
      </c>
      <c r="BC232" s="6">
        <f t="shared" si="185"/>
        <v>0.20270270270270271</v>
      </c>
      <c r="BE232" s="30">
        <v>0</v>
      </c>
      <c r="BF232" s="27">
        <v>0</v>
      </c>
      <c r="BG232" s="1">
        <f t="shared" si="159"/>
        <v>73.599999999999994</v>
      </c>
      <c r="BH232" s="1">
        <f t="shared" si="160"/>
        <v>54.5</v>
      </c>
      <c r="BI232" s="1">
        <f t="shared" si="161"/>
        <v>35.9</v>
      </c>
      <c r="BJ232" s="7">
        <f t="shared" si="162"/>
        <v>0.83799999999999997</v>
      </c>
      <c r="BK232" s="7">
        <f t="shared" si="163"/>
        <v>1.496</v>
      </c>
      <c r="BM232" s="5">
        <f t="shared" si="164"/>
        <v>22.94</v>
      </c>
      <c r="BN232" s="5">
        <f t="shared" si="165"/>
        <v>4.6500000000000004</v>
      </c>
      <c r="BO232" s="1">
        <f t="shared" si="166"/>
        <v>11.8</v>
      </c>
      <c r="BP232" s="1">
        <f t="shared" si="167"/>
        <v>20</v>
      </c>
      <c r="BQ232" s="1">
        <f t="shared" si="168"/>
        <v>3.9</v>
      </c>
      <c r="BR232" s="1">
        <f t="shared" si="169"/>
        <v>54.5</v>
      </c>
      <c r="BS232" s="1">
        <f t="shared" si="170"/>
        <v>35.9</v>
      </c>
      <c r="BT232" s="1">
        <f t="shared" si="171"/>
        <v>1</v>
      </c>
      <c r="BU232" s="1">
        <f t="shared" si="172"/>
        <v>3.7</v>
      </c>
      <c r="BV232" s="33">
        <f t="shared" si="173"/>
        <v>0</v>
      </c>
      <c r="BW232" s="26">
        <f t="shared" si="188"/>
        <v>0</v>
      </c>
      <c r="BX232" s="20" t="str">
        <f t="shared" si="174"/>
        <v>NAN</v>
      </c>
      <c r="BY232" s="1">
        <f t="shared" si="175"/>
        <v>11.9</v>
      </c>
      <c r="BZ232" s="1">
        <f t="shared" si="176"/>
        <v>26.1</v>
      </c>
      <c r="CA232" s="1">
        <f t="shared" si="177"/>
        <v>0.5</v>
      </c>
      <c r="CB232" s="1">
        <f t="shared" si="178"/>
        <v>13.2</v>
      </c>
      <c r="CC232" s="1">
        <f t="shared" si="179"/>
        <v>10.9</v>
      </c>
      <c r="CD232" s="1">
        <f t="shared" si="180"/>
        <v>9.6999999999999993</v>
      </c>
      <c r="CE232" s="1" t="str">
        <f t="shared" si="181"/>
        <v>NAN</v>
      </c>
      <c r="CF232" s="1">
        <f t="shared" si="182"/>
        <v>0.83799999999999997</v>
      </c>
      <c r="CG232" s="1">
        <f t="shared" si="183"/>
        <v>1.496</v>
      </c>
      <c r="CI232" s="1">
        <f t="shared" si="150"/>
        <v>2880</v>
      </c>
      <c r="CJ232" s="1">
        <f t="shared" si="151"/>
        <v>0.14199999999999999</v>
      </c>
      <c r="CK232" s="1">
        <f t="shared" si="152"/>
        <v>8.8999999999999996E-2</v>
      </c>
      <c r="CL232" s="1">
        <f t="shared" si="153"/>
        <v>0.29899999999999999</v>
      </c>
      <c r="CM232" s="1">
        <f t="shared" si="154"/>
        <v>4.4999999999999998E-2</v>
      </c>
      <c r="CN232" s="1">
        <f t="shared" si="155"/>
        <v>2.4E-2</v>
      </c>
      <c r="CO232" s="1">
        <f t="shared" si="156"/>
        <v>8.4000000000000005E-2</v>
      </c>
      <c r="CP232" s="1">
        <f t="shared" si="157"/>
        <v>0.14199999999999999</v>
      </c>
      <c r="CQ232" s="1">
        <f t="shared" si="158"/>
        <v>0.17499999999999999</v>
      </c>
      <c r="CS232" s="1">
        <f t="shared" si="186"/>
        <v>6.1000000000000014</v>
      </c>
      <c r="CT232" s="1">
        <f t="shared" si="187"/>
        <v>-3.4</v>
      </c>
    </row>
    <row r="233" spans="1:98" x14ac:dyDescent="0.2">
      <c r="A233" s="8">
        <f t="shared" si="184"/>
        <v>44058</v>
      </c>
      <c r="B233" s="1">
        <v>228</v>
      </c>
      <c r="C233" s="1">
        <v>11</v>
      </c>
      <c r="D233" s="2">
        <v>12.97</v>
      </c>
      <c r="E233" s="2">
        <v>27.69</v>
      </c>
      <c r="F233" s="2">
        <v>5.7</v>
      </c>
      <c r="G233" s="2">
        <v>16.940000000000001</v>
      </c>
      <c r="H233" s="2">
        <v>48.06</v>
      </c>
      <c r="I233" s="2">
        <v>14.34</v>
      </c>
      <c r="J233" s="2">
        <v>15.2</v>
      </c>
      <c r="K233" s="2">
        <v>16.73</v>
      </c>
      <c r="L233" s="2">
        <v>11.95</v>
      </c>
      <c r="M233" s="2">
        <v>9.74</v>
      </c>
      <c r="N233" s="2">
        <v>25.98</v>
      </c>
      <c r="O233" s="2">
        <v>80.599999999999994</v>
      </c>
      <c r="P233" s="2">
        <v>31.63</v>
      </c>
      <c r="Q233" s="2">
        <v>30.29</v>
      </c>
      <c r="R233" s="2">
        <v>37.68</v>
      </c>
      <c r="S233" s="2">
        <v>13.66</v>
      </c>
      <c r="T233" s="2">
        <v>9.91</v>
      </c>
      <c r="U233" s="2">
        <v>8.39</v>
      </c>
      <c r="V233" s="2">
        <v>20.5</v>
      </c>
      <c r="W233" s="2">
        <v>2.7639999999999998</v>
      </c>
      <c r="X233" s="2">
        <v>2.9180000000000001</v>
      </c>
      <c r="Y233" s="2">
        <v>6.4580000000000002</v>
      </c>
      <c r="Z233" s="2">
        <v>10.47</v>
      </c>
      <c r="AA233" s="2">
        <v>9.58</v>
      </c>
      <c r="AB233" s="2">
        <v>2.19</v>
      </c>
      <c r="AC233" s="2">
        <v>0</v>
      </c>
      <c r="AD233" s="2">
        <v>23.37</v>
      </c>
      <c r="AE233" s="2">
        <v>5.1840000000000002</v>
      </c>
      <c r="AF233" s="2">
        <v>0.99199999999999999</v>
      </c>
      <c r="AG233" s="2">
        <v>3.3039999999999998</v>
      </c>
      <c r="AH233" s="2">
        <v>16.670000000000002</v>
      </c>
      <c r="AI233" s="2">
        <v>31.83</v>
      </c>
      <c r="AJ233" s="2">
        <v>5.423</v>
      </c>
      <c r="AK233" s="2">
        <v>30.03</v>
      </c>
      <c r="AL233" s="2">
        <v>8.51</v>
      </c>
      <c r="AM233" s="2">
        <v>2.133</v>
      </c>
      <c r="AN233" s="2" t="s">
        <v>122</v>
      </c>
      <c r="AO233" s="2">
        <v>198</v>
      </c>
      <c r="AP233" s="2">
        <v>379</v>
      </c>
      <c r="AQ233" s="2">
        <v>422</v>
      </c>
      <c r="AR233" s="2">
        <v>304</v>
      </c>
      <c r="AS233" s="2">
        <v>294</v>
      </c>
      <c r="AT233" s="2">
        <v>556</v>
      </c>
      <c r="AU233" s="2">
        <v>517</v>
      </c>
      <c r="AV233" s="2">
        <v>210</v>
      </c>
      <c r="AW233" s="2"/>
      <c r="AX233" s="2">
        <v>0</v>
      </c>
      <c r="AY233" s="26"/>
      <c r="AZ233" s="5">
        <v>26.79</v>
      </c>
      <c r="BA233" s="1">
        <v>23.37</v>
      </c>
      <c r="BB233" s="1">
        <v>4.7699999999999996</v>
      </c>
      <c r="BC233" s="6">
        <f t="shared" si="185"/>
        <v>0.20410783055198969</v>
      </c>
      <c r="BE233" s="30">
        <v>0</v>
      </c>
      <c r="BF233" s="27">
        <v>0</v>
      </c>
      <c r="BG233" s="1">
        <f t="shared" si="159"/>
        <v>80.599999999999994</v>
      </c>
      <c r="BH233" s="1">
        <f t="shared" si="160"/>
        <v>48.1</v>
      </c>
      <c r="BI233" s="1">
        <f t="shared" si="161"/>
        <v>20.5</v>
      </c>
      <c r="BJ233" s="7">
        <f t="shared" si="162"/>
        <v>0.68799999999999994</v>
      </c>
      <c r="BK233" s="7">
        <f t="shared" si="163"/>
        <v>2.6680000000000001</v>
      </c>
      <c r="BM233" s="5">
        <f t="shared" si="164"/>
        <v>23.37</v>
      </c>
      <c r="BN233" s="5">
        <f t="shared" si="165"/>
        <v>4.7699999999999996</v>
      </c>
      <c r="BO233" s="1">
        <f t="shared" si="166"/>
        <v>16.899999999999999</v>
      </c>
      <c r="BP233" s="1">
        <f t="shared" si="167"/>
        <v>26</v>
      </c>
      <c r="BQ233" s="1">
        <f t="shared" si="168"/>
        <v>8.4</v>
      </c>
      <c r="BR233" s="1">
        <f t="shared" si="169"/>
        <v>48.1</v>
      </c>
      <c r="BS233" s="1">
        <f t="shared" si="170"/>
        <v>20.5</v>
      </c>
      <c r="BT233" s="1">
        <f t="shared" si="171"/>
        <v>1</v>
      </c>
      <c r="BU233" s="1">
        <f t="shared" si="172"/>
        <v>3.3</v>
      </c>
      <c r="BV233" s="33">
        <f t="shared" si="173"/>
        <v>0</v>
      </c>
      <c r="BW233" s="26">
        <f t="shared" si="188"/>
        <v>0</v>
      </c>
      <c r="BX233" s="20" t="str">
        <f t="shared" si="174"/>
        <v>NAN</v>
      </c>
      <c r="BY233" s="1">
        <f t="shared" si="175"/>
        <v>16.7</v>
      </c>
      <c r="BZ233" s="1">
        <f t="shared" si="176"/>
        <v>31.8</v>
      </c>
      <c r="CA233" s="1">
        <f t="shared" si="177"/>
        <v>5.4</v>
      </c>
      <c r="CB233" s="1">
        <f t="shared" si="178"/>
        <v>16.7</v>
      </c>
      <c r="CC233" s="1">
        <f t="shared" si="179"/>
        <v>12</v>
      </c>
      <c r="CD233" s="1">
        <f t="shared" si="180"/>
        <v>9.6999999999999993</v>
      </c>
      <c r="CE233" s="1" t="str">
        <f t="shared" si="181"/>
        <v>NAN</v>
      </c>
      <c r="CF233" s="1">
        <f t="shared" si="182"/>
        <v>0.68799999999999994</v>
      </c>
      <c r="CG233" s="1">
        <f t="shared" si="183"/>
        <v>2.6680000000000001</v>
      </c>
      <c r="CI233" s="1">
        <f t="shared" si="150"/>
        <v>2880</v>
      </c>
      <c r="CJ233" s="1">
        <f t="shared" si="151"/>
        <v>6.9000000000000006E-2</v>
      </c>
      <c r="CK233" s="1">
        <f t="shared" si="152"/>
        <v>0.13200000000000001</v>
      </c>
      <c r="CL233" s="1">
        <f t="shared" si="153"/>
        <v>0.14699999999999999</v>
      </c>
      <c r="CM233" s="1">
        <f t="shared" si="154"/>
        <v>0.106</v>
      </c>
      <c r="CN233" s="1">
        <f t="shared" si="155"/>
        <v>0.10199999999999999</v>
      </c>
      <c r="CO233" s="1">
        <f t="shared" si="156"/>
        <v>0.193</v>
      </c>
      <c r="CP233" s="1">
        <f t="shared" si="157"/>
        <v>0.18</v>
      </c>
      <c r="CQ233" s="1">
        <f t="shared" si="158"/>
        <v>7.2999999999999995E-2</v>
      </c>
      <c r="CS233" s="1">
        <f t="shared" si="186"/>
        <v>5.8000000000000007</v>
      </c>
      <c r="CT233" s="1">
        <f t="shared" si="187"/>
        <v>-3</v>
      </c>
    </row>
    <row r="234" spans="1:98" x14ac:dyDescent="0.2">
      <c r="A234" s="8">
        <f t="shared" si="184"/>
        <v>44059</v>
      </c>
      <c r="B234" s="1">
        <v>229</v>
      </c>
      <c r="C234" s="1">
        <v>11</v>
      </c>
      <c r="D234" s="2">
        <v>12.98</v>
      </c>
      <c r="E234" s="2">
        <v>31.33</v>
      </c>
      <c r="F234" s="2">
        <v>10.58</v>
      </c>
      <c r="G234" s="2">
        <v>20.92</v>
      </c>
      <c r="H234" s="2">
        <v>29.8</v>
      </c>
      <c r="I234" s="2">
        <v>17.12</v>
      </c>
      <c r="J234" s="2">
        <v>18.87</v>
      </c>
      <c r="K234" s="2">
        <v>18.850000000000001</v>
      </c>
      <c r="L234" s="2">
        <v>12.83</v>
      </c>
      <c r="M234" s="2">
        <v>9.98</v>
      </c>
      <c r="N234" s="2">
        <v>29.47</v>
      </c>
      <c r="O234" s="2">
        <v>41.21</v>
      </c>
      <c r="P234" s="2">
        <v>35.1</v>
      </c>
      <c r="Q234" s="2">
        <v>34</v>
      </c>
      <c r="R234" s="2">
        <v>40.26</v>
      </c>
      <c r="S234" s="2">
        <v>14.45</v>
      </c>
      <c r="T234" s="2">
        <v>10.130000000000001</v>
      </c>
      <c r="U234" s="2">
        <v>14.14</v>
      </c>
      <c r="V234" s="2">
        <v>18.03</v>
      </c>
      <c r="W234" s="2">
        <v>5.5949999999999998</v>
      </c>
      <c r="X234" s="2">
        <v>7.3150000000000004</v>
      </c>
      <c r="Y234" s="2">
        <v>8.76</v>
      </c>
      <c r="Z234" s="2">
        <v>11.41</v>
      </c>
      <c r="AA234" s="2">
        <v>9.7799999999999994</v>
      </c>
      <c r="AB234" s="2">
        <v>2.661</v>
      </c>
      <c r="AC234" s="2">
        <v>0</v>
      </c>
      <c r="AD234" s="2">
        <v>21.93</v>
      </c>
      <c r="AE234" s="2">
        <v>4.6609999999999996</v>
      </c>
      <c r="AF234" s="2">
        <v>1.3520000000000001</v>
      </c>
      <c r="AG234" s="2">
        <v>3.9630000000000001</v>
      </c>
      <c r="AH234" s="2">
        <v>19.38</v>
      </c>
      <c r="AI234" s="2">
        <v>34.68</v>
      </c>
      <c r="AJ234" s="2">
        <v>9.51</v>
      </c>
      <c r="AK234" s="2">
        <v>32.31</v>
      </c>
      <c r="AL234" s="2">
        <v>14.02</v>
      </c>
      <c r="AM234" s="2">
        <v>2.5670000000000002</v>
      </c>
      <c r="AN234" s="2" t="s">
        <v>122</v>
      </c>
      <c r="AO234" s="2">
        <v>26</v>
      </c>
      <c r="AP234" s="2">
        <v>19</v>
      </c>
      <c r="AQ234" s="2">
        <v>48</v>
      </c>
      <c r="AR234" s="2">
        <v>269</v>
      </c>
      <c r="AS234" s="2">
        <v>778</v>
      </c>
      <c r="AT234" s="2">
        <v>1150</v>
      </c>
      <c r="AU234" s="2">
        <v>496</v>
      </c>
      <c r="AV234" s="2">
        <v>94</v>
      </c>
      <c r="AW234" s="2"/>
      <c r="AX234" s="2">
        <v>0</v>
      </c>
      <c r="AY234" s="26"/>
      <c r="AZ234" s="5">
        <v>26.58</v>
      </c>
      <c r="BA234" s="1">
        <v>21.93</v>
      </c>
      <c r="BB234" s="1">
        <v>4.29</v>
      </c>
      <c r="BC234" s="6">
        <f t="shared" si="185"/>
        <v>0.19562243502051985</v>
      </c>
      <c r="BE234" s="30">
        <v>0</v>
      </c>
      <c r="BF234" s="27">
        <v>0</v>
      </c>
      <c r="BG234" s="1">
        <f t="shared" si="159"/>
        <v>41.2</v>
      </c>
      <c r="BH234" s="1">
        <f t="shared" si="160"/>
        <v>29.8</v>
      </c>
      <c r="BI234" s="1">
        <f t="shared" si="161"/>
        <v>18</v>
      </c>
      <c r="BJ234" s="7">
        <f t="shared" si="162"/>
        <v>0.74099999999999999</v>
      </c>
      <c r="BK234" s="7">
        <f t="shared" si="163"/>
        <v>3.3759999999999999</v>
      </c>
      <c r="BM234" s="5">
        <f t="shared" si="164"/>
        <v>21.93</v>
      </c>
      <c r="BN234" s="5">
        <f t="shared" si="165"/>
        <v>4.29</v>
      </c>
      <c r="BO234" s="1">
        <f t="shared" si="166"/>
        <v>20.9</v>
      </c>
      <c r="BP234" s="1">
        <f t="shared" si="167"/>
        <v>29.5</v>
      </c>
      <c r="BQ234" s="1">
        <f t="shared" si="168"/>
        <v>14.1</v>
      </c>
      <c r="BR234" s="1">
        <f t="shared" si="169"/>
        <v>29.8</v>
      </c>
      <c r="BS234" s="1">
        <f t="shared" si="170"/>
        <v>18</v>
      </c>
      <c r="BT234" s="1">
        <f t="shared" si="171"/>
        <v>1.4</v>
      </c>
      <c r="BU234" s="1">
        <f t="shared" si="172"/>
        <v>4</v>
      </c>
      <c r="BV234" s="33">
        <f t="shared" si="173"/>
        <v>0</v>
      </c>
      <c r="BW234" s="26">
        <f t="shared" si="188"/>
        <v>0</v>
      </c>
      <c r="BX234" s="20" t="str">
        <f t="shared" si="174"/>
        <v>NAN</v>
      </c>
      <c r="BY234" s="1">
        <f t="shared" si="175"/>
        <v>19.399999999999999</v>
      </c>
      <c r="BZ234" s="1">
        <f t="shared" si="176"/>
        <v>34.700000000000003</v>
      </c>
      <c r="CA234" s="1">
        <f t="shared" si="177"/>
        <v>9.5</v>
      </c>
      <c r="CB234" s="1">
        <f t="shared" si="178"/>
        <v>18.899999999999999</v>
      </c>
      <c r="CC234" s="1">
        <f t="shared" si="179"/>
        <v>12.8</v>
      </c>
      <c r="CD234" s="1">
        <f t="shared" si="180"/>
        <v>10</v>
      </c>
      <c r="CE234" s="1" t="str">
        <f t="shared" si="181"/>
        <v>NAN</v>
      </c>
      <c r="CF234" s="1">
        <f t="shared" si="182"/>
        <v>0.74099999999999999</v>
      </c>
      <c r="CG234" s="1">
        <f t="shared" si="183"/>
        <v>3.3759999999999999</v>
      </c>
      <c r="CI234" s="1">
        <f t="shared" si="150"/>
        <v>2880</v>
      </c>
      <c r="CJ234" s="1">
        <f t="shared" si="151"/>
        <v>8.9999999999999993E-3</v>
      </c>
      <c r="CK234" s="1">
        <f t="shared" si="152"/>
        <v>7.0000000000000001E-3</v>
      </c>
      <c r="CL234" s="1">
        <f t="shared" si="153"/>
        <v>1.7000000000000001E-2</v>
      </c>
      <c r="CM234" s="1">
        <f t="shared" si="154"/>
        <v>9.2999999999999999E-2</v>
      </c>
      <c r="CN234" s="1">
        <f t="shared" si="155"/>
        <v>0.27</v>
      </c>
      <c r="CO234" s="1">
        <f t="shared" si="156"/>
        <v>0.39900000000000002</v>
      </c>
      <c r="CP234" s="1">
        <f t="shared" si="157"/>
        <v>0.17199999999999999</v>
      </c>
      <c r="CQ234" s="1">
        <f t="shared" si="158"/>
        <v>3.3000000000000002E-2</v>
      </c>
      <c r="CS234" s="1">
        <f t="shared" si="186"/>
        <v>5.2000000000000028</v>
      </c>
      <c r="CT234" s="1">
        <f t="shared" si="187"/>
        <v>-4.5999999999999996</v>
      </c>
    </row>
    <row r="235" spans="1:98" x14ac:dyDescent="0.2">
      <c r="A235" s="8">
        <f t="shared" si="184"/>
        <v>44060</v>
      </c>
      <c r="B235" s="1">
        <v>230</v>
      </c>
      <c r="C235" s="1">
        <v>11</v>
      </c>
      <c r="D235" s="2">
        <v>12.98</v>
      </c>
      <c r="E235" s="2">
        <v>30.88</v>
      </c>
      <c r="F235" s="2">
        <v>11.59</v>
      </c>
      <c r="G235" s="2">
        <v>21.17</v>
      </c>
      <c r="H235" s="2">
        <v>33.29</v>
      </c>
      <c r="I235" s="2">
        <v>17.82</v>
      </c>
      <c r="J235" s="2">
        <v>19.02</v>
      </c>
      <c r="K235" s="2">
        <v>20.28</v>
      </c>
      <c r="L235" s="2">
        <v>13.72</v>
      </c>
      <c r="M235" s="2">
        <v>10.27</v>
      </c>
      <c r="N235" s="2">
        <v>29.33</v>
      </c>
      <c r="O235" s="2">
        <v>52.65</v>
      </c>
      <c r="P235" s="2">
        <v>36.47</v>
      </c>
      <c r="Q235" s="2">
        <v>34.67</v>
      </c>
      <c r="R235" s="2">
        <v>39.65</v>
      </c>
      <c r="S235" s="2">
        <v>15.18</v>
      </c>
      <c r="T235" s="2">
        <v>10.49</v>
      </c>
      <c r="U235" s="2">
        <v>15.12</v>
      </c>
      <c r="V235" s="2">
        <v>19.52</v>
      </c>
      <c r="W235" s="2">
        <v>6.7069999999999999</v>
      </c>
      <c r="X235" s="2">
        <v>7.6769999999999996</v>
      </c>
      <c r="Y235" s="2">
        <v>10.26</v>
      </c>
      <c r="Z235" s="2">
        <v>12.39</v>
      </c>
      <c r="AA235" s="2">
        <v>10.02</v>
      </c>
      <c r="AB235" s="2">
        <v>2.278</v>
      </c>
      <c r="AC235" s="2">
        <v>0</v>
      </c>
      <c r="AD235" s="2">
        <v>21.92</v>
      </c>
      <c r="AE235" s="2">
        <v>4.6550000000000002</v>
      </c>
      <c r="AF235" s="2">
        <v>1.292</v>
      </c>
      <c r="AG235" s="2">
        <v>5.0720000000000001</v>
      </c>
      <c r="AH235" s="2">
        <v>20.02</v>
      </c>
      <c r="AI235" s="2">
        <v>35.54</v>
      </c>
      <c r="AJ235" s="2">
        <v>10.68</v>
      </c>
      <c r="AK235" s="2">
        <v>31.98</v>
      </c>
      <c r="AL235" s="2">
        <v>15.12</v>
      </c>
      <c r="AM235" s="2">
        <v>2.2130000000000001</v>
      </c>
      <c r="AN235" s="2" t="s">
        <v>122</v>
      </c>
      <c r="AO235" s="2">
        <v>96</v>
      </c>
      <c r="AP235" s="2">
        <v>226</v>
      </c>
      <c r="AQ235" s="2">
        <v>373</v>
      </c>
      <c r="AR235" s="2">
        <v>262</v>
      </c>
      <c r="AS235" s="2">
        <v>409</v>
      </c>
      <c r="AT235" s="2">
        <v>727</v>
      </c>
      <c r="AU235" s="2">
        <v>601</v>
      </c>
      <c r="AV235" s="2">
        <v>186</v>
      </c>
      <c r="AW235" s="2"/>
      <c r="AX235" s="2">
        <v>0</v>
      </c>
      <c r="AY235" s="26"/>
      <c r="AZ235" s="5">
        <v>26.37</v>
      </c>
      <c r="BA235" s="1">
        <v>21.92</v>
      </c>
      <c r="BB235" s="1">
        <v>4.28</v>
      </c>
      <c r="BC235" s="6">
        <f t="shared" si="185"/>
        <v>0.19525547445255473</v>
      </c>
      <c r="BE235" s="30">
        <v>0</v>
      </c>
      <c r="BF235" s="27">
        <v>0</v>
      </c>
      <c r="BG235" s="1">
        <f t="shared" si="159"/>
        <v>52.7</v>
      </c>
      <c r="BH235" s="1">
        <f t="shared" si="160"/>
        <v>33.299999999999997</v>
      </c>
      <c r="BI235" s="1">
        <f t="shared" si="161"/>
        <v>19.5</v>
      </c>
      <c r="BJ235" s="7">
        <f t="shared" si="162"/>
        <v>0.79600000000000004</v>
      </c>
      <c r="BK235" s="7">
        <f t="shared" si="163"/>
        <v>3.286</v>
      </c>
      <c r="BM235" s="5">
        <f t="shared" si="164"/>
        <v>21.92</v>
      </c>
      <c r="BN235" s="5">
        <f t="shared" si="165"/>
        <v>4.28</v>
      </c>
      <c r="BO235" s="1">
        <f t="shared" si="166"/>
        <v>21.2</v>
      </c>
      <c r="BP235" s="1">
        <f t="shared" si="167"/>
        <v>29.3</v>
      </c>
      <c r="BQ235" s="1">
        <f t="shared" si="168"/>
        <v>15.1</v>
      </c>
      <c r="BR235" s="1">
        <f t="shared" si="169"/>
        <v>33.299999999999997</v>
      </c>
      <c r="BS235" s="1">
        <f t="shared" si="170"/>
        <v>19.5</v>
      </c>
      <c r="BT235" s="1">
        <f t="shared" si="171"/>
        <v>1.3</v>
      </c>
      <c r="BU235" s="1">
        <f t="shared" si="172"/>
        <v>5.0999999999999996</v>
      </c>
      <c r="BV235" s="33">
        <f t="shared" si="173"/>
        <v>0</v>
      </c>
      <c r="BW235" s="26">
        <f t="shared" si="188"/>
        <v>0</v>
      </c>
      <c r="BX235" s="20" t="str">
        <f t="shared" si="174"/>
        <v>NAN</v>
      </c>
      <c r="BY235" s="1">
        <f t="shared" si="175"/>
        <v>20</v>
      </c>
      <c r="BZ235" s="1">
        <f t="shared" si="176"/>
        <v>35.5</v>
      </c>
      <c r="CA235" s="1">
        <f t="shared" si="177"/>
        <v>10.7</v>
      </c>
      <c r="CB235" s="1">
        <f t="shared" si="178"/>
        <v>20.3</v>
      </c>
      <c r="CC235" s="1">
        <f t="shared" si="179"/>
        <v>13.7</v>
      </c>
      <c r="CD235" s="1">
        <f t="shared" si="180"/>
        <v>10.3</v>
      </c>
      <c r="CE235" s="1" t="str">
        <f t="shared" si="181"/>
        <v>NAN</v>
      </c>
      <c r="CF235" s="1">
        <f t="shared" si="182"/>
        <v>0.79600000000000004</v>
      </c>
      <c r="CG235" s="1">
        <f t="shared" si="183"/>
        <v>3.286</v>
      </c>
      <c r="CI235" s="1">
        <f t="shared" si="150"/>
        <v>2880</v>
      </c>
      <c r="CJ235" s="1">
        <f t="shared" si="151"/>
        <v>3.3000000000000002E-2</v>
      </c>
      <c r="CK235" s="1">
        <f t="shared" si="152"/>
        <v>7.8E-2</v>
      </c>
      <c r="CL235" s="1">
        <f t="shared" si="153"/>
        <v>0.13</v>
      </c>
      <c r="CM235" s="1">
        <f t="shared" si="154"/>
        <v>9.0999999999999998E-2</v>
      </c>
      <c r="CN235" s="1">
        <f t="shared" si="155"/>
        <v>0.14199999999999999</v>
      </c>
      <c r="CO235" s="1">
        <f t="shared" si="156"/>
        <v>0.252</v>
      </c>
      <c r="CP235" s="1">
        <f t="shared" si="157"/>
        <v>0.20899999999999999</v>
      </c>
      <c r="CQ235" s="1">
        <f t="shared" si="158"/>
        <v>6.5000000000000002E-2</v>
      </c>
      <c r="CS235" s="1">
        <f t="shared" si="186"/>
        <v>6.1999999999999993</v>
      </c>
      <c r="CT235" s="1">
        <f t="shared" si="187"/>
        <v>-4.4000000000000004</v>
      </c>
    </row>
    <row r="236" spans="1:98" x14ac:dyDescent="0.2">
      <c r="A236" s="8">
        <f t="shared" si="184"/>
        <v>44061</v>
      </c>
      <c r="B236" s="1">
        <v>231</v>
      </c>
      <c r="C236" s="1">
        <v>11</v>
      </c>
      <c r="D236" s="2">
        <v>12.99</v>
      </c>
      <c r="E236" s="2">
        <v>30.02</v>
      </c>
      <c r="F236" s="2">
        <v>8.9700000000000006</v>
      </c>
      <c r="G236" s="2">
        <v>19.579999999999998</v>
      </c>
      <c r="H236" s="2">
        <v>31.98</v>
      </c>
      <c r="I236" s="2">
        <v>16</v>
      </c>
      <c r="J236" s="2">
        <v>17</v>
      </c>
      <c r="K236" s="2">
        <v>18.940000000000001</v>
      </c>
      <c r="L236" s="2">
        <v>13.79</v>
      </c>
      <c r="M236" s="2">
        <v>10.53</v>
      </c>
      <c r="N236" s="2">
        <v>28.28</v>
      </c>
      <c r="O236" s="2">
        <v>58.79</v>
      </c>
      <c r="P236" s="2">
        <v>34.82</v>
      </c>
      <c r="Q236" s="2">
        <v>32.909999999999997</v>
      </c>
      <c r="R236" s="2">
        <v>38.33</v>
      </c>
      <c r="S236" s="2">
        <v>14.99</v>
      </c>
      <c r="T236" s="2">
        <v>10.68</v>
      </c>
      <c r="U236" s="2">
        <v>13.22</v>
      </c>
      <c r="V236" s="2">
        <v>13.96</v>
      </c>
      <c r="W236" s="2">
        <v>4.4880000000000004</v>
      </c>
      <c r="X236" s="2">
        <v>5.0739999999999998</v>
      </c>
      <c r="Y236" s="2">
        <v>7.8869999999999996</v>
      </c>
      <c r="Z236" s="2">
        <v>12.41</v>
      </c>
      <c r="AA236" s="2">
        <v>10.34</v>
      </c>
      <c r="AB236" s="2">
        <v>2.2370000000000001</v>
      </c>
      <c r="AC236" s="2">
        <v>0</v>
      </c>
      <c r="AD236" s="2">
        <v>22.03</v>
      </c>
      <c r="AE236" s="2">
        <v>4.7469999999999999</v>
      </c>
      <c r="AF236" s="2">
        <v>1.393</v>
      </c>
      <c r="AG236" s="2">
        <v>3.9969999999999999</v>
      </c>
      <c r="AH236" s="2">
        <v>18.399999999999999</v>
      </c>
      <c r="AI236" s="2">
        <v>33.85</v>
      </c>
      <c r="AJ236" s="2">
        <v>8.6</v>
      </c>
      <c r="AK236" s="2">
        <v>32.049999999999997</v>
      </c>
      <c r="AL236" s="2">
        <v>13.37</v>
      </c>
      <c r="AM236" s="2">
        <v>2.1829999999999998</v>
      </c>
      <c r="AN236" s="2" t="s">
        <v>122</v>
      </c>
      <c r="AO236" s="2">
        <v>183</v>
      </c>
      <c r="AP236" s="2">
        <v>564</v>
      </c>
      <c r="AQ236" s="2">
        <v>724</v>
      </c>
      <c r="AR236" s="2">
        <v>225</v>
      </c>
      <c r="AS236" s="2">
        <v>172</v>
      </c>
      <c r="AT236" s="2">
        <v>393</v>
      </c>
      <c r="AU236" s="2">
        <v>415</v>
      </c>
      <c r="AV236" s="2">
        <v>204</v>
      </c>
      <c r="AW236" s="2"/>
      <c r="AX236" s="2">
        <v>0</v>
      </c>
      <c r="AY236" s="26"/>
      <c r="AZ236" s="5">
        <v>26.15</v>
      </c>
      <c r="BA236" s="1">
        <v>22.03</v>
      </c>
      <c r="BB236" s="1">
        <v>4.37</v>
      </c>
      <c r="BC236" s="6">
        <f t="shared" si="185"/>
        <v>0.19836586472991374</v>
      </c>
      <c r="BE236" s="30">
        <v>0</v>
      </c>
      <c r="BF236" s="27">
        <v>0</v>
      </c>
      <c r="BG236" s="1">
        <f t="shared" si="159"/>
        <v>58.8</v>
      </c>
      <c r="BH236" s="1">
        <f t="shared" si="160"/>
        <v>32</v>
      </c>
      <c r="BI236" s="1">
        <f t="shared" si="161"/>
        <v>14</v>
      </c>
      <c r="BJ236" s="7">
        <f t="shared" si="162"/>
        <v>0.53800000000000003</v>
      </c>
      <c r="BK236" s="7">
        <f t="shared" si="163"/>
        <v>3.3050000000000002</v>
      </c>
      <c r="BM236" s="5">
        <f t="shared" si="164"/>
        <v>22.03</v>
      </c>
      <c r="BN236" s="5">
        <f t="shared" si="165"/>
        <v>4.37</v>
      </c>
      <c r="BO236" s="1">
        <f t="shared" si="166"/>
        <v>19.600000000000001</v>
      </c>
      <c r="BP236" s="1">
        <f t="shared" si="167"/>
        <v>28.3</v>
      </c>
      <c r="BQ236" s="1">
        <f t="shared" si="168"/>
        <v>13.2</v>
      </c>
      <c r="BR236" s="1">
        <f t="shared" si="169"/>
        <v>32</v>
      </c>
      <c r="BS236" s="1">
        <f t="shared" si="170"/>
        <v>14</v>
      </c>
      <c r="BT236" s="1">
        <f t="shared" si="171"/>
        <v>1.4</v>
      </c>
      <c r="BU236" s="1">
        <f t="shared" si="172"/>
        <v>4</v>
      </c>
      <c r="BV236" s="33">
        <f t="shared" si="173"/>
        <v>0</v>
      </c>
      <c r="BW236" s="26">
        <f t="shared" si="188"/>
        <v>0</v>
      </c>
      <c r="BX236" s="20" t="str">
        <f t="shared" si="174"/>
        <v>NAN</v>
      </c>
      <c r="BY236" s="1">
        <f t="shared" si="175"/>
        <v>18.399999999999999</v>
      </c>
      <c r="BZ236" s="1">
        <f t="shared" si="176"/>
        <v>33.9</v>
      </c>
      <c r="CA236" s="1">
        <f t="shared" si="177"/>
        <v>8.6</v>
      </c>
      <c r="CB236" s="1">
        <f t="shared" si="178"/>
        <v>18.899999999999999</v>
      </c>
      <c r="CC236" s="1">
        <f t="shared" si="179"/>
        <v>13.8</v>
      </c>
      <c r="CD236" s="1">
        <f t="shared" si="180"/>
        <v>10.5</v>
      </c>
      <c r="CE236" s="1" t="str">
        <f t="shared" si="181"/>
        <v>NAN</v>
      </c>
      <c r="CF236" s="1">
        <f t="shared" si="182"/>
        <v>0.53800000000000003</v>
      </c>
      <c r="CG236" s="1">
        <f t="shared" si="183"/>
        <v>3.3050000000000002</v>
      </c>
      <c r="CI236" s="1">
        <f t="shared" si="150"/>
        <v>2880</v>
      </c>
      <c r="CJ236" s="1">
        <f t="shared" si="151"/>
        <v>6.4000000000000001E-2</v>
      </c>
      <c r="CK236" s="1">
        <f t="shared" si="152"/>
        <v>0.19600000000000001</v>
      </c>
      <c r="CL236" s="1">
        <f t="shared" si="153"/>
        <v>0.251</v>
      </c>
      <c r="CM236" s="1">
        <f t="shared" si="154"/>
        <v>7.8E-2</v>
      </c>
      <c r="CN236" s="1">
        <f t="shared" si="155"/>
        <v>0.06</v>
      </c>
      <c r="CO236" s="1">
        <f t="shared" si="156"/>
        <v>0.13600000000000001</v>
      </c>
      <c r="CP236" s="1">
        <f t="shared" si="157"/>
        <v>0.14399999999999999</v>
      </c>
      <c r="CQ236" s="1">
        <f t="shared" si="158"/>
        <v>7.0999999999999994E-2</v>
      </c>
      <c r="CS236" s="1">
        <f t="shared" si="186"/>
        <v>5.5999999999999979</v>
      </c>
      <c r="CT236" s="1">
        <f t="shared" si="187"/>
        <v>-4.5999999999999996</v>
      </c>
    </row>
    <row r="237" spans="1:98" x14ac:dyDescent="0.2">
      <c r="A237" s="8">
        <f t="shared" si="184"/>
        <v>44062</v>
      </c>
      <c r="B237" s="1">
        <v>232</v>
      </c>
      <c r="C237" s="1">
        <v>11</v>
      </c>
      <c r="D237" s="2">
        <v>12.97</v>
      </c>
      <c r="E237" s="2">
        <v>25.37</v>
      </c>
      <c r="F237" s="2">
        <v>8.08</v>
      </c>
      <c r="G237" s="2">
        <v>15.65</v>
      </c>
      <c r="H237" s="2">
        <v>39.15</v>
      </c>
      <c r="I237" s="2">
        <v>13.52</v>
      </c>
      <c r="J237" s="2">
        <v>14.17</v>
      </c>
      <c r="K237" s="2">
        <v>16.420000000000002</v>
      </c>
      <c r="L237" s="2">
        <v>13.47</v>
      </c>
      <c r="M237" s="2">
        <v>10.64</v>
      </c>
      <c r="N237" s="2">
        <v>23.59</v>
      </c>
      <c r="O237" s="2">
        <v>60.31</v>
      </c>
      <c r="P237" s="2">
        <v>31.72</v>
      </c>
      <c r="Q237" s="2">
        <v>29.52</v>
      </c>
      <c r="R237" s="2">
        <v>34.14</v>
      </c>
      <c r="S237" s="2">
        <v>14.48</v>
      </c>
      <c r="T237" s="2">
        <v>10.81</v>
      </c>
      <c r="U237" s="2">
        <v>10.65</v>
      </c>
      <c r="V237" s="2">
        <v>18.03</v>
      </c>
      <c r="W237" s="2">
        <v>3.363</v>
      </c>
      <c r="X237" s="2">
        <v>4.492</v>
      </c>
      <c r="Y237" s="2">
        <v>7.5810000000000004</v>
      </c>
      <c r="Z237" s="2">
        <v>12.37</v>
      </c>
      <c r="AA237" s="2">
        <v>10.52</v>
      </c>
      <c r="AB237" s="2">
        <v>2.5760000000000001</v>
      </c>
      <c r="AC237" s="2">
        <v>0</v>
      </c>
      <c r="AD237" s="2">
        <v>17.149999999999999</v>
      </c>
      <c r="AE237" s="2">
        <v>3.484</v>
      </c>
      <c r="AF237" s="2">
        <v>1.3939999999999999</v>
      </c>
      <c r="AG237" s="2">
        <v>3.5329999999999999</v>
      </c>
      <c r="AH237" s="2">
        <v>15.3</v>
      </c>
      <c r="AI237" s="2">
        <v>30.3</v>
      </c>
      <c r="AJ237" s="2">
        <v>7.4489999999999998</v>
      </c>
      <c r="AK237" s="2">
        <v>26.47</v>
      </c>
      <c r="AL237" s="2">
        <v>10.97</v>
      </c>
      <c r="AM237" s="2">
        <v>2.52</v>
      </c>
      <c r="AN237" s="2" t="s">
        <v>122</v>
      </c>
      <c r="AO237" s="2">
        <v>225</v>
      </c>
      <c r="AP237" s="2">
        <v>1237</v>
      </c>
      <c r="AQ237" s="2">
        <v>401</v>
      </c>
      <c r="AR237" s="2">
        <v>17</v>
      </c>
      <c r="AS237" s="2">
        <v>61</v>
      </c>
      <c r="AT237" s="2">
        <v>325</v>
      </c>
      <c r="AU237" s="2">
        <v>437</v>
      </c>
      <c r="AV237" s="2">
        <v>177</v>
      </c>
      <c r="AW237" s="2"/>
      <c r="AX237" s="2">
        <v>0</v>
      </c>
      <c r="AY237" s="26"/>
      <c r="AZ237" s="5">
        <v>25.94</v>
      </c>
      <c r="BA237" s="1">
        <v>17.149999999999999</v>
      </c>
      <c r="BB237" s="1">
        <v>3.21</v>
      </c>
      <c r="BC237" s="6">
        <f t="shared" si="185"/>
        <v>0.18717201166180758</v>
      </c>
      <c r="BE237" s="30">
        <v>0</v>
      </c>
      <c r="BF237" s="27">
        <v>0</v>
      </c>
      <c r="BG237" s="1">
        <f t="shared" si="159"/>
        <v>60.3</v>
      </c>
      <c r="BH237" s="1">
        <f t="shared" si="160"/>
        <v>39.200000000000003</v>
      </c>
      <c r="BI237" s="1">
        <f t="shared" si="161"/>
        <v>18</v>
      </c>
      <c r="BJ237" s="7">
        <f t="shared" si="162"/>
        <v>0.52400000000000002</v>
      </c>
      <c r="BK237" s="7">
        <f t="shared" si="163"/>
        <v>2.387</v>
      </c>
      <c r="BM237" s="5">
        <f t="shared" si="164"/>
        <v>17.149999999999999</v>
      </c>
      <c r="BN237" s="5">
        <f t="shared" si="165"/>
        <v>3.21</v>
      </c>
      <c r="BO237" s="1">
        <f t="shared" si="166"/>
        <v>15.7</v>
      </c>
      <c r="BP237" s="1">
        <f t="shared" si="167"/>
        <v>23.6</v>
      </c>
      <c r="BQ237" s="1">
        <f t="shared" si="168"/>
        <v>10.7</v>
      </c>
      <c r="BR237" s="1">
        <f t="shared" si="169"/>
        <v>39.200000000000003</v>
      </c>
      <c r="BS237" s="1">
        <f t="shared" si="170"/>
        <v>18</v>
      </c>
      <c r="BT237" s="1">
        <f t="shared" si="171"/>
        <v>1.4</v>
      </c>
      <c r="BU237" s="1">
        <f t="shared" si="172"/>
        <v>3.5</v>
      </c>
      <c r="BV237" s="33">
        <f t="shared" si="173"/>
        <v>0</v>
      </c>
      <c r="BW237" s="26">
        <f t="shared" si="188"/>
        <v>0</v>
      </c>
      <c r="BX237" s="20" t="str">
        <f t="shared" si="174"/>
        <v>NAN</v>
      </c>
      <c r="BY237" s="1">
        <f t="shared" si="175"/>
        <v>15.3</v>
      </c>
      <c r="BZ237" s="1">
        <f t="shared" si="176"/>
        <v>30.3</v>
      </c>
      <c r="CA237" s="1">
        <f t="shared" si="177"/>
        <v>7.4</v>
      </c>
      <c r="CB237" s="1">
        <f t="shared" si="178"/>
        <v>16.399999999999999</v>
      </c>
      <c r="CC237" s="1">
        <f t="shared" si="179"/>
        <v>13.5</v>
      </c>
      <c r="CD237" s="1">
        <f t="shared" si="180"/>
        <v>10.6</v>
      </c>
      <c r="CE237" s="1" t="str">
        <f t="shared" si="181"/>
        <v>NAN</v>
      </c>
      <c r="CF237" s="1">
        <f t="shared" si="182"/>
        <v>0.52400000000000002</v>
      </c>
      <c r="CG237" s="1">
        <f t="shared" si="183"/>
        <v>2.387</v>
      </c>
      <c r="CI237" s="1">
        <f t="shared" si="150"/>
        <v>2880</v>
      </c>
      <c r="CJ237" s="1">
        <f t="shared" si="151"/>
        <v>7.8E-2</v>
      </c>
      <c r="CK237" s="1">
        <f t="shared" si="152"/>
        <v>0.43</v>
      </c>
      <c r="CL237" s="1">
        <f t="shared" si="153"/>
        <v>0.13900000000000001</v>
      </c>
      <c r="CM237" s="1">
        <f t="shared" si="154"/>
        <v>6.0000000000000001E-3</v>
      </c>
      <c r="CN237" s="1">
        <f t="shared" si="155"/>
        <v>2.1000000000000001E-2</v>
      </c>
      <c r="CO237" s="1">
        <f t="shared" si="156"/>
        <v>0.113</v>
      </c>
      <c r="CP237" s="1">
        <f t="shared" si="157"/>
        <v>0.152</v>
      </c>
      <c r="CQ237" s="1">
        <f t="shared" si="158"/>
        <v>6.0999999999999999E-2</v>
      </c>
      <c r="CS237" s="1">
        <f t="shared" si="186"/>
        <v>6.6999999999999993</v>
      </c>
      <c r="CT237" s="1">
        <f t="shared" si="187"/>
        <v>-3.2999999999999989</v>
      </c>
    </row>
    <row r="238" spans="1:98" x14ac:dyDescent="0.2">
      <c r="A238" s="8">
        <f t="shared" si="184"/>
        <v>44063</v>
      </c>
      <c r="B238" s="1">
        <v>233</v>
      </c>
      <c r="C238" s="1">
        <v>11</v>
      </c>
      <c r="D238" s="2">
        <v>12.98</v>
      </c>
      <c r="E238" s="2">
        <v>20.88</v>
      </c>
      <c r="F238" s="2">
        <v>9.0299999999999994</v>
      </c>
      <c r="G238" s="2">
        <v>13.7</v>
      </c>
      <c r="H238" s="2">
        <v>54.06</v>
      </c>
      <c r="I238" s="2">
        <v>12.89</v>
      </c>
      <c r="J238" s="2">
        <v>13.28</v>
      </c>
      <c r="K238" s="2">
        <v>15.52</v>
      </c>
      <c r="L238" s="2">
        <v>12.89</v>
      </c>
      <c r="M238" s="2">
        <v>10.58</v>
      </c>
      <c r="N238" s="2">
        <v>19.8</v>
      </c>
      <c r="O238" s="2">
        <v>67.33</v>
      </c>
      <c r="P238" s="2">
        <v>28.8</v>
      </c>
      <c r="Q238" s="2">
        <v>25.7</v>
      </c>
      <c r="R238" s="2">
        <v>30.42</v>
      </c>
      <c r="S238" s="2">
        <v>13.67</v>
      </c>
      <c r="T238" s="2">
        <v>10.71</v>
      </c>
      <c r="U238" s="2">
        <v>10.61</v>
      </c>
      <c r="V238" s="2">
        <v>35.43</v>
      </c>
      <c r="W238" s="2">
        <v>6.282</v>
      </c>
      <c r="X238" s="2">
        <v>7.2489999999999997</v>
      </c>
      <c r="Y238" s="2">
        <v>9.65</v>
      </c>
      <c r="Z238" s="2">
        <v>12.13</v>
      </c>
      <c r="AA238" s="2">
        <v>10.42</v>
      </c>
      <c r="AB238" s="2">
        <v>2.2029999999999998</v>
      </c>
      <c r="AC238" s="2">
        <v>0</v>
      </c>
      <c r="AD238" s="2">
        <v>13.9</v>
      </c>
      <c r="AE238" s="2">
        <v>3.13</v>
      </c>
      <c r="AF238" s="2">
        <v>1.135</v>
      </c>
      <c r="AG238" s="2">
        <v>3.028</v>
      </c>
      <c r="AH238" s="2">
        <v>13.84</v>
      </c>
      <c r="AI238" s="2">
        <v>25.88</v>
      </c>
      <c r="AJ238" s="2">
        <v>8.4</v>
      </c>
      <c r="AK238" s="2">
        <v>23.53</v>
      </c>
      <c r="AL238" s="2">
        <v>10.56</v>
      </c>
      <c r="AM238" s="2">
        <v>2.1549999999999998</v>
      </c>
      <c r="AN238" s="2" t="s">
        <v>122</v>
      </c>
      <c r="AO238" s="2">
        <v>388</v>
      </c>
      <c r="AP238" s="2">
        <v>821</v>
      </c>
      <c r="AQ238" s="2">
        <v>232</v>
      </c>
      <c r="AR238" s="2">
        <v>49</v>
      </c>
      <c r="AS238" s="2">
        <v>248</v>
      </c>
      <c r="AT238" s="2">
        <v>627</v>
      </c>
      <c r="AU238" s="2">
        <v>350</v>
      </c>
      <c r="AV238" s="2">
        <v>165</v>
      </c>
      <c r="AW238" s="2"/>
      <c r="AX238" s="2">
        <v>0</v>
      </c>
      <c r="AY238" s="26"/>
      <c r="AZ238" s="5">
        <v>25.72</v>
      </c>
      <c r="BA238" s="1">
        <v>13.9</v>
      </c>
      <c r="BB238" s="1">
        <v>2.88</v>
      </c>
      <c r="BC238" s="6">
        <f t="shared" si="185"/>
        <v>0.20719424460431654</v>
      </c>
      <c r="BE238" s="30">
        <v>0</v>
      </c>
      <c r="BF238" s="27">
        <v>0</v>
      </c>
      <c r="BG238" s="1">
        <f t="shared" si="159"/>
        <v>67.3</v>
      </c>
      <c r="BH238" s="1">
        <f t="shared" si="160"/>
        <v>54.1</v>
      </c>
      <c r="BI238" s="1">
        <f t="shared" si="161"/>
        <v>35.4</v>
      </c>
      <c r="BJ238" s="7">
        <f t="shared" si="162"/>
        <v>0.81699999999999995</v>
      </c>
      <c r="BK238" s="7">
        <f t="shared" si="163"/>
        <v>1.4910000000000001</v>
      </c>
      <c r="BM238" s="5">
        <f t="shared" si="164"/>
        <v>13.9</v>
      </c>
      <c r="BN238" s="5">
        <f t="shared" si="165"/>
        <v>2.88</v>
      </c>
      <c r="BO238" s="1">
        <f t="shared" si="166"/>
        <v>13.7</v>
      </c>
      <c r="BP238" s="1">
        <f t="shared" si="167"/>
        <v>19.8</v>
      </c>
      <c r="BQ238" s="1">
        <f t="shared" si="168"/>
        <v>10.6</v>
      </c>
      <c r="BR238" s="1">
        <f t="shared" si="169"/>
        <v>54.1</v>
      </c>
      <c r="BS238" s="1">
        <f t="shared" si="170"/>
        <v>35.4</v>
      </c>
      <c r="BT238" s="1">
        <f t="shared" si="171"/>
        <v>1.1000000000000001</v>
      </c>
      <c r="BU238" s="1">
        <f t="shared" si="172"/>
        <v>3</v>
      </c>
      <c r="BV238" s="33">
        <f t="shared" si="173"/>
        <v>0</v>
      </c>
      <c r="BW238" s="26">
        <f t="shared" si="188"/>
        <v>0</v>
      </c>
      <c r="BX238" s="20" t="str">
        <f t="shared" si="174"/>
        <v>NAN</v>
      </c>
      <c r="BY238" s="1">
        <f t="shared" si="175"/>
        <v>13.8</v>
      </c>
      <c r="BZ238" s="1">
        <f t="shared" si="176"/>
        <v>25.9</v>
      </c>
      <c r="CA238" s="1">
        <f t="shared" si="177"/>
        <v>8.4</v>
      </c>
      <c r="CB238" s="1">
        <f t="shared" si="178"/>
        <v>15.5</v>
      </c>
      <c r="CC238" s="1">
        <f t="shared" si="179"/>
        <v>12.9</v>
      </c>
      <c r="CD238" s="1">
        <f t="shared" si="180"/>
        <v>10.6</v>
      </c>
      <c r="CE238" s="1" t="str">
        <f t="shared" si="181"/>
        <v>NAN</v>
      </c>
      <c r="CF238" s="1">
        <f t="shared" si="182"/>
        <v>0.81699999999999995</v>
      </c>
      <c r="CG238" s="1">
        <f t="shared" si="183"/>
        <v>1.4910000000000001</v>
      </c>
      <c r="CI238" s="1">
        <f t="shared" si="150"/>
        <v>2880</v>
      </c>
      <c r="CJ238" s="1">
        <f t="shared" si="151"/>
        <v>0.13500000000000001</v>
      </c>
      <c r="CK238" s="1">
        <f t="shared" si="152"/>
        <v>0.28499999999999998</v>
      </c>
      <c r="CL238" s="1">
        <f t="shared" si="153"/>
        <v>8.1000000000000003E-2</v>
      </c>
      <c r="CM238" s="1">
        <f t="shared" si="154"/>
        <v>1.7000000000000001E-2</v>
      </c>
      <c r="CN238" s="1">
        <f t="shared" si="155"/>
        <v>8.5999999999999993E-2</v>
      </c>
      <c r="CO238" s="1">
        <f t="shared" si="156"/>
        <v>0.218</v>
      </c>
      <c r="CP238" s="1">
        <f t="shared" si="157"/>
        <v>0.122</v>
      </c>
      <c r="CQ238" s="1">
        <f t="shared" si="158"/>
        <v>5.7000000000000002E-2</v>
      </c>
      <c r="CS238" s="1">
        <f t="shared" si="186"/>
        <v>6.0999999999999979</v>
      </c>
      <c r="CT238" s="1">
        <f t="shared" si="187"/>
        <v>-2.1999999999999993</v>
      </c>
    </row>
    <row r="239" spans="1:98" x14ac:dyDescent="0.2">
      <c r="A239" s="8">
        <f t="shared" si="184"/>
        <v>44064</v>
      </c>
      <c r="B239" s="1">
        <v>234</v>
      </c>
      <c r="C239" s="1">
        <v>11</v>
      </c>
      <c r="D239" s="2">
        <v>12.99</v>
      </c>
      <c r="E239" s="2">
        <v>20.05</v>
      </c>
      <c r="F239" s="2">
        <v>5.5709999999999997</v>
      </c>
      <c r="G239" s="2">
        <v>12.41</v>
      </c>
      <c r="H239" s="2">
        <v>66.12</v>
      </c>
      <c r="I239" s="2">
        <v>11.62</v>
      </c>
      <c r="J239" s="2">
        <v>11.67</v>
      </c>
      <c r="K239" s="2">
        <v>13.78</v>
      </c>
      <c r="L239" s="2">
        <v>12.52</v>
      </c>
      <c r="M239" s="2">
        <v>10.47</v>
      </c>
      <c r="N239" s="2">
        <v>19.7</v>
      </c>
      <c r="O239" s="2">
        <v>94.1</v>
      </c>
      <c r="P239" s="2">
        <v>27.27</v>
      </c>
      <c r="Q239" s="2">
        <v>25.65</v>
      </c>
      <c r="R239" s="2">
        <v>25.01</v>
      </c>
      <c r="S239" s="2">
        <v>13.21</v>
      </c>
      <c r="T239" s="2">
        <v>10.61</v>
      </c>
      <c r="U239" s="2">
        <v>6.827</v>
      </c>
      <c r="V239" s="2">
        <v>41.46</v>
      </c>
      <c r="W239" s="2">
        <v>3.6579999999999999</v>
      </c>
      <c r="X239" s="2">
        <v>3.8359999999999999</v>
      </c>
      <c r="Y239" s="2">
        <v>7.2140000000000004</v>
      </c>
      <c r="Z239" s="2">
        <v>11.9</v>
      </c>
      <c r="AA239" s="2">
        <v>10.3</v>
      </c>
      <c r="AB239" s="2">
        <v>2.2109999999999999</v>
      </c>
      <c r="AC239" s="2">
        <v>1.27</v>
      </c>
      <c r="AD239" s="2">
        <v>11.3</v>
      </c>
      <c r="AE239" s="2">
        <v>2.3820000000000001</v>
      </c>
      <c r="AF239" s="2">
        <v>1.9650000000000001</v>
      </c>
      <c r="AG239" s="2">
        <v>6.5910000000000002</v>
      </c>
      <c r="AH239" s="2">
        <v>12.17</v>
      </c>
      <c r="AI239" s="2">
        <v>26.67</v>
      </c>
      <c r="AJ239" s="2">
        <v>5.3959999999999999</v>
      </c>
      <c r="AK239" s="2">
        <v>21.53</v>
      </c>
      <c r="AL239" s="2">
        <v>6.5270000000000001</v>
      </c>
      <c r="AM239" s="2">
        <v>2.1840000000000002</v>
      </c>
      <c r="AN239" s="2" t="s">
        <v>122</v>
      </c>
      <c r="AO239" s="2">
        <v>267</v>
      </c>
      <c r="AP239" s="2">
        <v>433</v>
      </c>
      <c r="AQ239" s="2">
        <v>84</v>
      </c>
      <c r="AR239" s="2">
        <v>106</v>
      </c>
      <c r="AS239" s="2">
        <v>558</v>
      </c>
      <c r="AT239" s="2">
        <v>953</v>
      </c>
      <c r="AU239" s="2">
        <v>364</v>
      </c>
      <c r="AV239" s="2">
        <v>115</v>
      </c>
      <c r="AW239" s="2"/>
      <c r="AX239" s="2">
        <v>0</v>
      </c>
      <c r="AY239" s="26"/>
      <c r="AZ239" s="5">
        <v>25.5</v>
      </c>
      <c r="BA239" s="1">
        <v>11.3</v>
      </c>
      <c r="BB239" s="1">
        <v>2.19</v>
      </c>
      <c r="BC239" s="6">
        <f t="shared" si="185"/>
        <v>0.19380530973451326</v>
      </c>
      <c r="BE239" s="30">
        <v>1.27</v>
      </c>
      <c r="BF239" s="27">
        <v>0</v>
      </c>
      <c r="BG239" s="1">
        <f t="shared" si="159"/>
        <v>94.1</v>
      </c>
      <c r="BH239" s="1">
        <f t="shared" si="160"/>
        <v>66.099999999999994</v>
      </c>
      <c r="BI239" s="1">
        <f t="shared" si="161"/>
        <v>41.5</v>
      </c>
      <c r="BJ239" s="7">
        <f t="shared" si="162"/>
        <v>0.95199999999999996</v>
      </c>
      <c r="BK239" s="7">
        <f t="shared" si="163"/>
        <v>1.3420000000000001</v>
      </c>
      <c r="BM239" s="5">
        <f t="shared" si="164"/>
        <v>11.3</v>
      </c>
      <c r="BN239" s="5">
        <f t="shared" si="165"/>
        <v>2.19</v>
      </c>
      <c r="BO239" s="1">
        <f t="shared" si="166"/>
        <v>12.4</v>
      </c>
      <c r="BP239" s="1">
        <f t="shared" si="167"/>
        <v>19.7</v>
      </c>
      <c r="BQ239" s="1">
        <f t="shared" si="168"/>
        <v>6.8</v>
      </c>
      <c r="BR239" s="1">
        <f t="shared" si="169"/>
        <v>66.099999999999994</v>
      </c>
      <c r="BS239" s="1">
        <f t="shared" si="170"/>
        <v>41.5</v>
      </c>
      <c r="BT239" s="1">
        <f t="shared" si="171"/>
        <v>2</v>
      </c>
      <c r="BU239" s="1">
        <f t="shared" si="172"/>
        <v>6.6</v>
      </c>
      <c r="BV239" s="33">
        <f t="shared" si="173"/>
        <v>1.27</v>
      </c>
      <c r="BW239" s="26">
        <f t="shared" si="188"/>
        <v>0</v>
      </c>
      <c r="BX239" s="20" t="str">
        <f t="shared" si="174"/>
        <v>NAN</v>
      </c>
      <c r="BY239" s="1">
        <f t="shared" si="175"/>
        <v>12.2</v>
      </c>
      <c r="BZ239" s="1">
        <f t="shared" si="176"/>
        <v>26.7</v>
      </c>
      <c r="CA239" s="1">
        <f t="shared" si="177"/>
        <v>5.4</v>
      </c>
      <c r="CB239" s="1">
        <f t="shared" si="178"/>
        <v>13.8</v>
      </c>
      <c r="CC239" s="1">
        <f t="shared" si="179"/>
        <v>12.5</v>
      </c>
      <c r="CD239" s="1">
        <f t="shared" si="180"/>
        <v>10.5</v>
      </c>
      <c r="CE239" s="1" t="str">
        <f t="shared" si="181"/>
        <v>NAN</v>
      </c>
      <c r="CF239" s="1">
        <f t="shared" si="182"/>
        <v>0.95199999999999996</v>
      </c>
      <c r="CG239" s="1">
        <f t="shared" si="183"/>
        <v>1.3420000000000001</v>
      </c>
      <c r="CI239" s="1">
        <f t="shared" si="150"/>
        <v>2880</v>
      </c>
      <c r="CJ239" s="1">
        <f t="shared" si="151"/>
        <v>9.2999999999999999E-2</v>
      </c>
      <c r="CK239" s="1">
        <f t="shared" si="152"/>
        <v>0.15</v>
      </c>
      <c r="CL239" s="1">
        <f t="shared" si="153"/>
        <v>2.9000000000000001E-2</v>
      </c>
      <c r="CM239" s="1">
        <f t="shared" si="154"/>
        <v>3.6999999999999998E-2</v>
      </c>
      <c r="CN239" s="1">
        <f t="shared" si="155"/>
        <v>0.19400000000000001</v>
      </c>
      <c r="CO239" s="1">
        <f t="shared" si="156"/>
        <v>0.33100000000000002</v>
      </c>
      <c r="CP239" s="1">
        <f t="shared" si="157"/>
        <v>0.126</v>
      </c>
      <c r="CQ239" s="1">
        <f t="shared" si="158"/>
        <v>0.04</v>
      </c>
      <c r="CS239" s="1">
        <f t="shared" si="186"/>
        <v>7</v>
      </c>
      <c r="CT239" s="1">
        <f t="shared" si="187"/>
        <v>-1.3999999999999995</v>
      </c>
    </row>
    <row r="240" spans="1:98" x14ac:dyDescent="0.2">
      <c r="A240" s="8">
        <f t="shared" si="184"/>
        <v>44065</v>
      </c>
      <c r="B240" s="1">
        <v>235</v>
      </c>
      <c r="C240" s="1">
        <v>11</v>
      </c>
      <c r="D240" s="2">
        <v>12.98</v>
      </c>
      <c r="E240" s="2">
        <v>20.21</v>
      </c>
      <c r="F240" s="2">
        <v>1.7549999999999999</v>
      </c>
      <c r="G240" s="2">
        <v>10.01</v>
      </c>
      <c r="H240" s="2">
        <v>57.75</v>
      </c>
      <c r="I240" s="2">
        <v>9.77</v>
      </c>
      <c r="J240" s="2">
        <v>9.9</v>
      </c>
      <c r="K240" s="2">
        <v>12.93</v>
      </c>
      <c r="L240" s="2">
        <v>11.86</v>
      </c>
      <c r="M240" s="2">
        <v>10.31</v>
      </c>
      <c r="N240" s="2">
        <v>18.07</v>
      </c>
      <c r="O240" s="2">
        <v>90.1</v>
      </c>
      <c r="P240" s="2">
        <v>25.41</v>
      </c>
      <c r="Q240" s="2">
        <v>23.58</v>
      </c>
      <c r="R240" s="2">
        <v>28.35</v>
      </c>
      <c r="S240" s="2">
        <v>13.02</v>
      </c>
      <c r="T240" s="2">
        <v>10.48</v>
      </c>
      <c r="U240" s="2">
        <v>3.5840000000000001</v>
      </c>
      <c r="V240" s="2">
        <v>30.64</v>
      </c>
      <c r="W240" s="2">
        <v>0.11600000000000001</v>
      </c>
      <c r="X240" s="2">
        <v>0.61</v>
      </c>
      <c r="Y240" s="2">
        <v>3.9529999999999998</v>
      </c>
      <c r="Z240" s="2">
        <v>10.68</v>
      </c>
      <c r="AA240" s="2">
        <v>10.130000000000001</v>
      </c>
      <c r="AB240" s="2">
        <v>2.1840000000000002</v>
      </c>
      <c r="AC240" s="2">
        <v>0.50800000000000001</v>
      </c>
      <c r="AD240" s="2">
        <v>21.59</v>
      </c>
      <c r="AE240" s="2">
        <v>4.617</v>
      </c>
      <c r="AF240" s="2">
        <v>1.351</v>
      </c>
      <c r="AG240" s="2">
        <v>4.1710000000000003</v>
      </c>
      <c r="AH240" s="2">
        <v>10.41</v>
      </c>
      <c r="AI240" s="2">
        <v>23.62</v>
      </c>
      <c r="AJ240" s="2">
        <v>1.5069999999999999</v>
      </c>
      <c r="AK240" s="2">
        <v>22.17</v>
      </c>
      <c r="AL240" s="2">
        <v>3.3570000000000002</v>
      </c>
      <c r="AM240" s="2">
        <v>2.1560000000000001</v>
      </c>
      <c r="AN240" s="2" t="s">
        <v>122</v>
      </c>
      <c r="AO240" s="2">
        <v>478</v>
      </c>
      <c r="AP240" s="2">
        <v>519</v>
      </c>
      <c r="AQ240" s="2">
        <v>515</v>
      </c>
      <c r="AR240" s="2">
        <v>45</v>
      </c>
      <c r="AS240" s="2">
        <v>78</v>
      </c>
      <c r="AT240" s="2">
        <v>252</v>
      </c>
      <c r="AU240" s="2">
        <v>479</v>
      </c>
      <c r="AV240" s="2">
        <v>514</v>
      </c>
      <c r="AW240" s="2"/>
      <c r="AX240" s="2">
        <v>0</v>
      </c>
      <c r="AY240" s="26"/>
      <c r="AZ240" s="5">
        <v>25.27</v>
      </c>
      <c r="BA240" s="1">
        <v>21.59</v>
      </c>
      <c r="BB240" s="1">
        <v>4.25</v>
      </c>
      <c r="BC240" s="6">
        <f t="shared" si="185"/>
        <v>0.19685039370078741</v>
      </c>
      <c r="BE240" s="30">
        <v>0.50800000000000001</v>
      </c>
      <c r="BF240" s="27">
        <v>0</v>
      </c>
      <c r="BG240" s="1">
        <f t="shared" si="159"/>
        <v>90.1</v>
      </c>
      <c r="BH240" s="1">
        <f t="shared" si="160"/>
        <v>57.8</v>
      </c>
      <c r="BI240" s="1">
        <f t="shared" si="161"/>
        <v>30.6</v>
      </c>
      <c r="BJ240" s="7">
        <f t="shared" si="162"/>
        <v>0.63400000000000001</v>
      </c>
      <c r="BK240" s="7">
        <f t="shared" si="163"/>
        <v>1.4379999999999999</v>
      </c>
      <c r="BM240" s="5">
        <f t="shared" si="164"/>
        <v>21.59</v>
      </c>
      <c r="BN240" s="5">
        <f t="shared" si="165"/>
        <v>4.25</v>
      </c>
      <c r="BO240" s="1">
        <f t="shared" si="166"/>
        <v>10</v>
      </c>
      <c r="BP240" s="1">
        <f t="shared" si="167"/>
        <v>18.100000000000001</v>
      </c>
      <c r="BQ240" s="1">
        <f t="shared" si="168"/>
        <v>3.6</v>
      </c>
      <c r="BR240" s="1">
        <f t="shared" si="169"/>
        <v>57.8</v>
      </c>
      <c r="BS240" s="1">
        <f t="shared" si="170"/>
        <v>30.6</v>
      </c>
      <c r="BT240" s="1">
        <f t="shared" si="171"/>
        <v>1.4</v>
      </c>
      <c r="BU240" s="1">
        <f t="shared" si="172"/>
        <v>4.2</v>
      </c>
      <c r="BV240" s="33">
        <f t="shared" si="173"/>
        <v>0.50800000000000001</v>
      </c>
      <c r="BW240" s="26">
        <f t="shared" si="188"/>
        <v>0</v>
      </c>
      <c r="BX240" s="20" t="str">
        <f t="shared" si="174"/>
        <v>NAN</v>
      </c>
      <c r="BY240" s="1">
        <f t="shared" si="175"/>
        <v>10.4</v>
      </c>
      <c r="BZ240" s="1">
        <f t="shared" si="176"/>
        <v>23.6</v>
      </c>
      <c r="CA240" s="1">
        <f t="shared" si="177"/>
        <v>1.5</v>
      </c>
      <c r="CB240" s="1">
        <f t="shared" si="178"/>
        <v>12.9</v>
      </c>
      <c r="CC240" s="1">
        <f t="shared" si="179"/>
        <v>11.9</v>
      </c>
      <c r="CD240" s="1">
        <f t="shared" si="180"/>
        <v>10.3</v>
      </c>
      <c r="CE240" s="1" t="str">
        <f t="shared" si="181"/>
        <v>NAN</v>
      </c>
      <c r="CF240" s="1">
        <f t="shared" si="182"/>
        <v>0.63400000000000001</v>
      </c>
      <c r="CG240" s="1">
        <f t="shared" si="183"/>
        <v>1.4379999999999999</v>
      </c>
      <c r="CI240" s="1">
        <f t="shared" si="150"/>
        <v>2880</v>
      </c>
      <c r="CJ240" s="1">
        <f t="shared" si="151"/>
        <v>0.16600000000000001</v>
      </c>
      <c r="CK240" s="1">
        <f t="shared" si="152"/>
        <v>0.18</v>
      </c>
      <c r="CL240" s="1">
        <f t="shared" si="153"/>
        <v>0.17899999999999999</v>
      </c>
      <c r="CM240" s="1">
        <f t="shared" si="154"/>
        <v>1.6E-2</v>
      </c>
      <c r="CN240" s="1">
        <f t="shared" si="155"/>
        <v>2.7E-2</v>
      </c>
      <c r="CO240" s="1">
        <f t="shared" si="156"/>
        <v>8.7999999999999995E-2</v>
      </c>
      <c r="CP240" s="1">
        <f t="shared" si="157"/>
        <v>0.16600000000000001</v>
      </c>
      <c r="CQ240" s="1">
        <f t="shared" si="158"/>
        <v>0.17799999999999999</v>
      </c>
      <c r="CS240" s="1">
        <f t="shared" si="186"/>
        <v>5.5</v>
      </c>
      <c r="CT240" s="1">
        <f t="shared" si="187"/>
        <v>-2.1</v>
      </c>
    </row>
    <row r="241" spans="1:98" x14ac:dyDescent="0.2">
      <c r="A241" s="8">
        <f t="shared" si="184"/>
        <v>44066</v>
      </c>
      <c r="B241" s="1">
        <v>236</v>
      </c>
      <c r="C241" s="1">
        <v>11</v>
      </c>
      <c r="D241" s="2">
        <v>12.98</v>
      </c>
      <c r="E241" s="2">
        <v>23.47</v>
      </c>
      <c r="F241" s="2">
        <v>2.63</v>
      </c>
      <c r="G241" s="2">
        <v>12.58</v>
      </c>
      <c r="H241" s="2">
        <v>48.58</v>
      </c>
      <c r="I241" s="2">
        <v>11.08</v>
      </c>
      <c r="J241" s="2">
        <v>10.8</v>
      </c>
      <c r="K241" s="2">
        <v>13.97</v>
      </c>
      <c r="L241" s="2">
        <v>11.75</v>
      </c>
      <c r="M241" s="2">
        <v>10.15</v>
      </c>
      <c r="N241" s="2">
        <v>21.49</v>
      </c>
      <c r="O241" s="2">
        <v>64.150000000000006</v>
      </c>
      <c r="P241" s="2">
        <v>30.8</v>
      </c>
      <c r="Q241" s="2">
        <v>28.66</v>
      </c>
      <c r="R241" s="2">
        <v>32.04</v>
      </c>
      <c r="S241" s="2">
        <v>13.09</v>
      </c>
      <c r="T241" s="2">
        <v>10.32</v>
      </c>
      <c r="U241" s="2">
        <v>6.7009999999999996</v>
      </c>
      <c r="V241" s="2">
        <v>12.54</v>
      </c>
      <c r="W241" s="2">
        <v>-0.35499999999999998</v>
      </c>
      <c r="X241" s="2">
        <v>-8.2000000000000003E-2</v>
      </c>
      <c r="Y241" s="2">
        <v>3.13</v>
      </c>
      <c r="Z241" s="2">
        <v>10.38</v>
      </c>
      <c r="AA241" s="2">
        <v>9.98</v>
      </c>
      <c r="AB241" s="2">
        <v>2.1960000000000002</v>
      </c>
      <c r="AC241" s="2">
        <v>0</v>
      </c>
      <c r="AD241" s="2">
        <v>19.29</v>
      </c>
      <c r="AE241" s="2">
        <v>4.1539999999999999</v>
      </c>
      <c r="AF241" s="2">
        <v>0.999</v>
      </c>
      <c r="AG241" s="2">
        <v>3.0619999999999998</v>
      </c>
      <c r="AH241" s="2">
        <v>12.23</v>
      </c>
      <c r="AI241" s="2">
        <v>27.76</v>
      </c>
      <c r="AJ241" s="2">
        <v>2.7160000000000002</v>
      </c>
      <c r="AK241" s="2">
        <v>24.76</v>
      </c>
      <c r="AL241" s="2">
        <v>6.5129999999999999</v>
      </c>
      <c r="AM241" s="2">
        <v>2.157</v>
      </c>
      <c r="AN241" s="2" t="s">
        <v>122</v>
      </c>
      <c r="AO241" s="2">
        <v>129</v>
      </c>
      <c r="AP241" s="2">
        <v>149</v>
      </c>
      <c r="AQ241" s="2">
        <v>1134</v>
      </c>
      <c r="AR241" s="2">
        <v>286</v>
      </c>
      <c r="AS241" s="2">
        <v>161</v>
      </c>
      <c r="AT241" s="2">
        <v>341</v>
      </c>
      <c r="AU241" s="2">
        <v>464</v>
      </c>
      <c r="AV241" s="2">
        <v>216</v>
      </c>
      <c r="AW241" s="2"/>
      <c r="AX241" s="2">
        <v>0</v>
      </c>
      <c r="AY241" s="26"/>
      <c r="AZ241" s="5">
        <v>25.04</v>
      </c>
      <c r="BA241" s="1">
        <v>19.29</v>
      </c>
      <c r="BB241" s="1">
        <v>3.82</v>
      </c>
      <c r="BC241" s="6">
        <f t="shared" si="185"/>
        <v>0.19803006739243131</v>
      </c>
      <c r="BE241" s="30">
        <v>0</v>
      </c>
      <c r="BF241" s="27">
        <v>0</v>
      </c>
      <c r="BG241" s="1">
        <f t="shared" si="159"/>
        <v>64.2</v>
      </c>
      <c r="BH241" s="1">
        <f t="shared" si="160"/>
        <v>48.6</v>
      </c>
      <c r="BI241" s="1">
        <f t="shared" si="161"/>
        <v>12.5</v>
      </c>
      <c r="BJ241" s="7">
        <f t="shared" si="162"/>
        <v>0.32</v>
      </c>
      <c r="BK241" s="7">
        <f t="shared" si="163"/>
        <v>2.2400000000000002</v>
      </c>
      <c r="BM241" s="5">
        <f t="shared" si="164"/>
        <v>19.29</v>
      </c>
      <c r="BN241" s="5">
        <f t="shared" si="165"/>
        <v>3.82</v>
      </c>
      <c r="BO241" s="1">
        <f t="shared" si="166"/>
        <v>12.6</v>
      </c>
      <c r="BP241" s="1">
        <f t="shared" si="167"/>
        <v>21.5</v>
      </c>
      <c r="BQ241" s="1">
        <f t="shared" si="168"/>
        <v>6.7</v>
      </c>
      <c r="BR241" s="1">
        <f t="shared" si="169"/>
        <v>48.6</v>
      </c>
      <c r="BS241" s="1">
        <f t="shared" si="170"/>
        <v>12.5</v>
      </c>
      <c r="BT241" s="1">
        <f t="shared" si="171"/>
        <v>1</v>
      </c>
      <c r="BU241" s="1">
        <f t="shared" si="172"/>
        <v>3.1</v>
      </c>
      <c r="BV241" s="33">
        <f t="shared" si="173"/>
        <v>0</v>
      </c>
      <c r="BW241" s="26">
        <f t="shared" si="188"/>
        <v>0</v>
      </c>
      <c r="BX241" s="20" t="str">
        <f t="shared" si="174"/>
        <v>NAN</v>
      </c>
      <c r="BY241" s="1">
        <f t="shared" si="175"/>
        <v>12.2</v>
      </c>
      <c r="BZ241" s="1">
        <f t="shared" si="176"/>
        <v>27.8</v>
      </c>
      <c r="CA241" s="1">
        <f t="shared" si="177"/>
        <v>2.7</v>
      </c>
      <c r="CB241" s="1">
        <f t="shared" si="178"/>
        <v>14</v>
      </c>
      <c r="CC241" s="1">
        <f t="shared" si="179"/>
        <v>11.8</v>
      </c>
      <c r="CD241" s="1">
        <f t="shared" si="180"/>
        <v>10.199999999999999</v>
      </c>
      <c r="CE241" s="1" t="str">
        <f t="shared" si="181"/>
        <v>NAN</v>
      </c>
      <c r="CF241" s="1">
        <f t="shared" si="182"/>
        <v>0.32</v>
      </c>
      <c r="CG241" s="1">
        <f t="shared" si="183"/>
        <v>2.2400000000000002</v>
      </c>
      <c r="CI241" s="1">
        <f t="shared" si="150"/>
        <v>2880</v>
      </c>
      <c r="CJ241" s="1">
        <f t="shared" si="151"/>
        <v>4.4999999999999998E-2</v>
      </c>
      <c r="CK241" s="1">
        <f t="shared" si="152"/>
        <v>5.1999999999999998E-2</v>
      </c>
      <c r="CL241" s="1">
        <f t="shared" si="153"/>
        <v>0.39400000000000002</v>
      </c>
      <c r="CM241" s="1">
        <f t="shared" si="154"/>
        <v>9.9000000000000005E-2</v>
      </c>
      <c r="CN241" s="1">
        <f t="shared" si="155"/>
        <v>5.6000000000000001E-2</v>
      </c>
      <c r="CO241" s="1">
        <f t="shared" si="156"/>
        <v>0.11799999999999999</v>
      </c>
      <c r="CP241" s="1">
        <f t="shared" si="157"/>
        <v>0.161</v>
      </c>
      <c r="CQ241" s="1">
        <f t="shared" si="158"/>
        <v>7.4999999999999997E-2</v>
      </c>
      <c r="CS241" s="1">
        <f t="shared" si="186"/>
        <v>6.3000000000000007</v>
      </c>
      <c r="CT241" s="1">
        <f t="shared" si="187"/>
        <v>-4</v>
      </c>
    </row>
    <row r="242" spans="1:98" x14ac:dyDescent="0.2">
      <c r="A242" s="8">
        <f t="shared" si="184"/>
        <v>44067</v>
      </c>
      <c r="B242" s="1">
        <v>237</v>
      </c>
      <c r="C242" s="1">
        <v>11</v>
      </c>
      <c r="D242" s="2">
        <v>12.99</v>
      </c>
      <c r="E242" s="2">
        <v>16.46</v>
      </c>
      <c r="F242" s="2">
        <v>5.8739999999999997</v>
      </c>
      <c r="G242" s="2">
        <v>9.9600000000000009</v>
      </c>
      <c r="H242" s="2">
        <v>62.63</v>
      </c>
      <c r="I242" s="2">
        <v>9.36</v>
      </c>
      <c r="J242" s="2">
        <v>9.43</v>
      </c>
      <c r="K242" s="2">
        <v>12.83</v>
      </c>
      <c r="L242" s="2">
        <v>11.54</v>
      </c>
      <c r="M242" s="2">
        <v>10.08</v>
      </c>
      <c r="N242" s="2">
        <v>14.7</v>
      </c>
      <c r="O242" s="2">
        <v>89.1</v>
      </c>
      <c r="P242" s="2">
        <v>23.05</v>
      </c>
      <c r="Q242" s="2">
        <v>21.29</v>
      </c>
      <c r="R242" s="2">
        <v>32.909999999999997</v>
      </c>
      <c r="S242" s="2">
        <v>12.66</v>
      </c>
      <c r="T242" s="2">
        <v>10.23</v>
      </c>
      <c r="U242" s="2">
        <v>6.9290000000000003</v>
      </c>
      <c r="V242" s="2">
        <v>41.66</v>
      </c>
      <c r="W242" s="2">
        <v>1.8149999999999999</v>
      </c>
      <c r="X242" s="2">
        <v>2.7890000000000001</v>
      </c>
      <c r="Y242" s="2">
        <v>5.806</v>
      </c>
      <c r="Z242" s="2">
        <v>10.76</v>
      </c>
      <c r="AA242" s="2">
        <v>9.94</v>
      </c>
      <c r="AB242" s="2">
        <v>2.633</v>
      </c>
      <c r="AC242" s="2">
        <v>0</v>
      </c>
      <c r="AD242" s="2">
        <v>13.3</v>
      </c>
      <c r="AE242" s="2">
        <v>3.0640000000000001</v>
      </c>
      <c r="AF242" s="2">
        <v>1.556</v>
      </c>
      <c r="AG242" s="2">
        <v>4.3789999999999996</v>
      </c>
      <c r="AH242" s="2">
        <v>9.89</v>
      </c>
      <c r="AI242" s="2">
        <v>21.21</v>
      </c>
      <c r="AJ242" s="2">
        <v>5.335</v>
      </c>
      <c r="AK242" s="2">
        <v>18</v>
      </c>
      <c r="AL242" s="2">
        <v>6.7919999999999998</v>
      </c>
      <c r="AM242" s="2">
        <v>2.5990000000000002</v>
      </c>
      <c r="AN242" s="2" t="s">
        <v>122</v>
      </c>
      <c r="AO242" s="2">
        <v>453</v>
      </c>
      <c r="AP242" s="2">
        <v>1151</v>
      </c>
      <c r="AQ242" s="2">
        <v>511</v>
      </c>
      <c r="AR242" s="2">
        <v>444</v>
      </c>
      <c r="AS242" s="2">
        <v>179</v>
      </c>
      <c r="AT242" s="2">
        <v>31</v>
      </c>
      <c r="AU242" s="2">
        <v>18</v>
      </c>
      <c r="AV242" s="2">
        <v>93</v>
      </c>
      <c r="AW242" s="2"/>
      <c r="AX242" s="2">
        <v>0</v>
      </c>
      <c r="AY242" s="26"/>
      <c r="AZ242" s="5">
        <v>24.82</v>
      </c>
      <c r="BA242" s="1">
        <v>13.3</v>
      </c>
      <c r="BB242" s="1">
        <v>2.82</v>
      </c>
      <c r="BC242" s="6">
        <f t="shared" si="185"/>
        <v>0.2120300751879699</v>
      </c>
      <c r="BE242" s="30">
        <v>0</v>
      </c>
      <c r="BF242" s="27">
        <v>0</v>
      </c>
      <c r="BG242" s="1">
        <f t="shared" si="159"/>
        <v>89.1</v>
      </c>
      <c r="BH242" s="1">
        <f t="shared" si="160"/>
        <v>62.6</v>
      </c>
      <c r="BI242" s="1">
        <f t="shared" si="161"/>
        <v>41.7</v>
      </c>
      <c r="BJ242" s="7">
        <f t="shared" si="162"/>
        <v>0.69699999999999995</v>
      </c>
      <c r="BK242" s="7">
        <f t="shared" si="163"/>
        <v>0.97399999999999998</v>
      </c>
      <c r="BM242" s="5">
        <f t="shared" si="164"/>
        <v>13.3</v>
      </c>
      <c r="BN242" s="5">
        <f t="shared" si="165"/>
        <v>2.82</v>
      </c>
      <c r="BO242" s="1">
        <f t="shared" si="166"/>
        <v>10</v>
      </c>
      <c r="BP242" s="1">
        <f t="shared" si="167"/>
        <v>14.7</v>
      </c>
      <c r="BQ242" s="1">
        <f t="shared" si="168"/>
        <v>6.9</v>
      </c>
      <c r="BR242" s="1">
        <f t="shared" si="169"/>
        <v>62.6</v>
      </c>
      <c r="BS242" s="1">
        <f t="shared" si="170"/>
        <v>41.7</v>
      </c>
      <c r="BT242" s="1">
        <f t="shared" si="171"/>
        <v>1.6</v>
      </c>
      <c r="BU242" s="1">
        <f t="shared" si="172"/>
        <v>4.4000000000000004</v>
      </c>
      <c r="BV242" s="33">
        <f t="shared" si="173"/>
        <v>0</v>
      </c>
      <c r="BW242" s="26">
        <f t="shared" si="188"/>
        <v>0</v>
      </c>
      <c r="BX242" s="20" t="str">
        <f t="shared" si="174"/>
        <v>NAN</v>
      </c>
      <c r="BY242" s="1">
        <f t="shared" si="175"/>
        <v>9.9</v>
      </c>
      <c r="BZ242" s="1">
        <f t="shared" si="176"/>
        <v>21.2</v>
      </c>
      <c r="CA242" s="1">
        <f t="shared" si="177"/>
        <v>5.3</v>
      </c>
      <c r="CB242" s="1">
        <f t="shared" si="178"/>
        <v>12.8</v>
      </c>
      <c r="CC242" s="1">
        <f t="shared" si="179"/>
        <v>11.5</v>
      </c>
      <c r="CD242" s="1">
        <f t="shared" si="180"/>
        <v>10.1</v>
      </c>
      <c r="CE242" s="1" t="str">
        <f t="shared" si="181"/>
        <v>NAN</v>
      </c>
      <c r="CF242" s="1">
        <f t="shared" si="182"/>
        <v>0.69699999999999995</v>
      </c>
      <c r="CG242" s="1">
        <f t="shared" si="183"/>
        <v>0.97399999999999998</v>
      </c>
      <c r="CI242" s="1">
        <f t="shared" si="150"/>
        <v>2880</v>
      </c>
      <c r="CJ242" s="1">
        <f t="shared" si="151"/>
        <v>0.157</v>
      </c>
      <c r="CK242" s="1">
        <f t="shared" si="152"/>
        <v>0.4</v>
      </c>
      <c r="CL242" s="1">
        <f t="shared" si="153"/>
        <v>0.17699999999999999</v>
      </c>
      <c r="CM242" s="1">
        <f t="shared" si="154"/>
        <v>0.154</v>
      </c>
      <c r="CN242" s="1">
        <f t="shared" si="155"/>
        <v>6.2E-2</v>
      </c>
      <c r="CO242" s="1">
        <f t="shared" si="156"/>
        <v>1.0999999999999999E-2</v>
      </c>
      <c r="CP242" s="1">
        <f t="shared" si="157"/>
        <v>6.0000000000000001E-3</v>
      </c>
      <c r="CQ242" s="1">
        <f t="shared" si="158"/>
        <v>3.2000000000000001E-2</v>
      </c>
      <c r="CS242" s="1">
        <f t="shared" si="186"/>
        <v>6.5</v>
      </c>
      <c r="CT242" s="1">
        <f t="shared" si="187"/>
        <v>-1.6000000000000005</v>
      </c>
    </row>
    <row r="243" spans="1:98" x14ac:dyDescent="0.2">
      <c r="A243" s="8">
        <f t="shared" si="184"/>
        <v>44068</v>
      </c>
      <c r="B243" s="1">
        <v>238</v>
      </c>
      <c r="C243" s="1">
        <v>11</v>
      </c>
      <c r="D243" s="2">
        <v>12.97</v>
      </c>
      <c r="E243" s="2">
        <v>19.440000000000001</v>
      </c>
      <c r="F243" s="2">
        <v>3.2280000000000002</v>
      </c>
      <c r="G243" s="2">
        <v>10.35</v>
      </c>
      <c r="H243" s="2">
        <v>56.39</v>
      </c>
      <c r="I243" s="2">
        <v>10.63</v>
      </c>
      <c r="J243" s="2">
        <v>10.130000000000001</v>
      </c>
      <c r="K243" s="2">
        <v>16.309999999999999</v>
      </c>
      <c r="L243" s="2">
        <v>11.55</v>
      </c>
      <c r="M243" s="2">
        <v>9.9700000000000006</v>
      </c>
      <c r="N243" s="2">
        <v>17.760000000000002</v>
      </c>
      <c r="O243" s="2">
        <v>80.400000000000006</v>
      </c>
      <c r="P243" s="2">
        <v>29.19</v>
      </c>
      <c r="Q243" s="2">
        <v>23.98</v>
      </c>
      <c r="R243" s="2">
        <v>42.86</v>
      </c>
      <c r="S243" s="2">
        <v>13.04</v>
      </c>
      <c r="T243" s="2">
        <v>10.14</v>
      </c>
      <c r="U243" s="2">
        <v>5.21</v>
      </c>
      <c r="V243" s="2">
        <v>27.73</v>
      </c>
      <c r="W243" s="2">
        <v>0.19800000000000001</v>
      </c>
      <c r="X243" s="2">
        <v>-8.9999999999999993E-3</v>
      </c>
      <c r="Y243" s="2">
        <v>4.415</v>
      </c>
      <c r="Z243" s="2">
        <v>10.26</v>
      </c>
      <c r="AA243" s="2">
        <v>9.8000000000000007</v>
      </c>
      <c r="AB243" s="2">
        <v>2.6429999999999998</v>
      </c>
      <c r="AC243" s="2">
        <v>0</v>
      </c>
      <c r="AD243" s="2">
        <v>21.66</v>
      </c>
      <c r="AE243" s="2">
        <v>4.6639999999999997</v>
      </c>
      <c r="AF243" s="2">
        <v>1.3720000000000001</v>
      </c>
      <c r="AG243" s="2">
        <v>3.3889999999999998</v>
      </c>
      <c r="AH243" s="2">
        <v>10.71</v>
      </c>
      <c r="AI243" s="2">
        <v>24.38</v>
      </c>
      <c r="AJ243" s="2">
        <v>3.028</v>
      </c>
      <c r="AK243" s="2">
        <v>22.03</v>
      </c>
      <c r="AL243" s="2">
        <v>5.125</v>
      </c>
      <c r="AM243" s="2">
        <v>2.605</v>
      </c>
      <c r="AN243" s="2" t="s">
        <v>122</v>
      </c>
      <c r="AO243" s="2">
        <v>406</v>
      </c>
      <c r="AP243" s="2">
        <v>1087</v>
      </c>
      <c r="AQ243" s="2">
        <v>1069</v>
      </c>
      <c r="AR243" s="2">
        <v>80</v>
      </c>
      <c r="AS243" s="2">
        <v>15</v>
      </c>
      <c r="AT243" s="2">
        <v>18</v>
      </c>
      <c r="AU243" s="2">
        <v>41</v>
      </c>
      <c r="AV243" s="2">
        <v>164</v>
      </c>
      <c r="AW243" s="2"/>
      <c r="AX243" s="2">
        <v>0</v>
      </c>
      <c r="AY243" s="26"/>
      <c r="AZ243" s="5">
        <v>24.59</v>
      </c>
      <c r="BA243" s="1">
        <v>21.66</v>
      </c>
      <c r="BB243" s="1">
        <v>4.29</v>
      </c>
      <c r="BC243" s="6">
        <f t="shared" si="185"/>
        <v>0.19806094182825484</v>
      </c>
      <c r="BE243" s="30">
        <v>0</v>
      </c>
      <c r="BF243" s="27">
        <v>0</v>
      </c>
      <c r="BG243" s="1">
        <f t="shared" si="159"/>
        <v>80.400000000000006</v>
      </c>
      <c r="BH243" s="1">
        <f t="shared" si="160"/>
        <v>56.4</v>
      </c>
      <c r="BI243" s="1">
        <f t="shared" si="161"/>
        <v>27.7</v>
      </c>
      <c r="BJ243" s="7">
        <f t="shared" si="162"/>
        <v>0.56299999999999994</v>
      </c>
      <c r="BK243" s="7">
        <f t="shared" si="163"/>
        <v>1.4690000000000001</v>
      </c>
      <c r="BM243" s="5">
        <f t="shared" si="164"/>
        <v>21.66</v>
      </c>
      <c r="BN243" s="5">
        <f t="shared" si="165"/>
        <v>4.29</v>
      </c>
      <c r="BO243" s="1">
        <f t="shared" si="166"/>
        <v>10.4</v>
      </c>
      <c r="BP243" s="1">
        <f t="shared" si="167"/>
        <v>17.8</v>
      </c>
      <c r="BQ243" s="1">
        <f t="shared" si="168"/>
        <v>5.2</v>
      </c>
      <c r="BR243" s="1">
        <f t="shared" si="169"/>
        <v>56.4</v>
      </c>
      <c r="BS243" s="1">
        <f t="shared" si="170"/>
        <v>27.7</v>
      </c>
      <c r="BT243" s="1">
        <f t="shared" si="171"/>
        <v>1.4</v>
      </c>
      <c r="BU243" s="1">
        <f t="shared" si="172"/>
        <v>3.4</v>
      </c>
      <c r="BV243" s="33">
        <f t="shared" si="173"/>
        <v>0</v>
      </c>
      <c r="BW243" s="26">
        <f t="shared" si="188"/>
        <v>0</v>
      </c>
      <c r="BX243" s="20" t="str">
        <f t="shared" si="174"/>
        <v>NAN</v>
      </c>
      <c r="BY243" s="1">
        <f t="shared" si="175"/>
        <v>10.7</v>
      </c>
      <c r="BZ243" s="1">
        <f t="shared" si="176"/>
        <v>24.4</v>
      </c>
      <c r="CA243" s="1">
        <f t="shared" si="177"/>
        <v>3</v>
      </c>
      <c r="CB243" s="1">
        <f t="shared" si="178"/>
        <v>16.3</v>
      </c>
      <c r="CC243" s="1">
        <f t="shared" si="179"/>
        <v>11.6</v>
      </c>
      <c r="CD243" s="1">
        <f t="shared" si="180"/>
        <v>10</v>
      </c>
      <c r="CE243" s="1" t="str">
        <f t="shared" si="181"/>
        <v>NAN</v>
      </c>
      <c r="CF243" s="1">
        <f t="shared" si="182"/>
        <v>0.56299999999999994</v>
      </c>
      <c r="CG243" s="1">
        <f t="shared" si="183"/>
        <v>1.4690000000000001</v>
      </c>
      <c r="CI243" s="1">
        <f t="shared" si="150"/>
        <v>2880</v>
      </c>
      <c r="CJ243" s="1">
        <f t="shared" si="151"/>
        <v>0.14099999999999999</v>
      </c>
      <c r="CK243" s="1">
        <f t="shared" si="152"/>
        <v>0.377</v>
      </c>
      <c r="CL243" s="1">
        <f t="shared" si="153"/>
        <v>0.371</v>
      </c>
      <c r="CM243" s="1">
        <f t="shared" si="154"/>
        <v>2.8000000000000001E-2</v>
      </c>
      <c r="CN243" s="1">
        <f t="shared" si="155"/>
        <v>5.0000000000000001E-3</v>
      </c>
      <c r="CO243" s="1">
        <f t="shared" si="156"/>
        <v>6.0000000000000001E-3</v>
      </c>
      <c r="CP243" s="1">
        <f t="shared" si="157"/>
        <v>1.4E-2</v>
      </c>
      <c r="CQ243" s="1">
        <f t="shared" si="158"/>
        <v>5.7000000000000002E-2</v>
      </c>
      <c r="CS243" s="1">
        <f t="shared" si="186"/>
        <v>6.5999999999999979</v>
      </c>
      <c r="CT243" s="1">
        <f t="shared" si="187"/>
        <v>-2.2000000000000002</v>
      </c>
    </row>
    <row r="244" spans="1:98" x14ac:dyDescent="0.2">
      <c r="A244" s="8">
        <f t="shared" si="184"/>
        <v>44069</v>
      </c>
      <c r="B244" s="1">
        <v>239</v>
      </c>
      <c r="C244" s="1">
        <v>11</v>
      </c>
      <c r="D244" s="2">
        <v>12.97</v>
      </c>
      <c r="E244" s="2">
        <v>21.53</v>
      </c>
      <c r="F244" s="2">
        <v>1.4370000000000001</v>
      </c>
      <c r="G244" s="2">
        <v>11.59</v>
      </c>
      <c r="H244" s="2">
        <v>51.5</v>
      </c>
      <c r="I244" s="2">
        <v>10.31</v>
      </c>
      <c r="J244" s="2">
        <v>9.91</v>
      </c>
      <c r="K244" s="2">
        <v>15.67</v>
      </c>
      <c r="L244" s="2">
        <v>11.57</v>
      </c>
      <c r="M244" s="2">
        <v>9.92</v>
      </c>
      <c r="N244" s="2">
        <v>20</v>
      </c>
      <c r="O244" s="2">
        <v>74.540000000000006</v>
      </c>
      <c r="P244" s="2">
        <v>31.82</v>
      </c>
      <c r="Q244" s="2">
        <v>26.53</v>
      </c>
      <c r="R244" s="2">
        <v>42.25</v>
      </c>
      <c r="S244" s="2">
        <v>12.98</v>
      </c>
      <c r="T244" s="2">
        <v>10.15</v>
      </c>
      <c r="U244" s="2">
        <v>4.7690000000000001</v>
      </c>
      <c r="V244" s="2">
        <v>21.97</v>
      </c>
      <c r="W244" s="2">
        <v>-2.0059999999999998</v>
      </c>
      <c r="X244" s="2">
        <v>-2.0720000000000001</v>
      </c>
      <c r="Y244" s="2">
        <v>1.93</v>
      </c>
      <c r="Z244" s="2">
        <v>10.1</v>
      </c>
      <c r="AA244" s="2">
        <v>9.7799999999999994</v>
      </c>
      <c r="AB244" s="2">
        <v>2.6429999999999998</v>
      </c>
      <c r="AC244" s="2">
        <v>0</v>
      </c>
      <c r="AD244" s="2">
        <v>20.55</v>
      </c>
      <c r="AE244" s="2">
        <v>4.3410000000000002</v>
      </c>
      <c r="AF244" s="2">
        <v>0.98099999999999998</v>
      </c>
      <c r="AG244" s="2">
        <v>3.4820000000000002</v>
      </c>
      <c r="AH244" s="2">
        <v>11.13</v>
      </c>
      <c r="AI244" s="2">
        <v>26.63</v>
      </c>
      <c r="AJ244" s="2">
        <v>0.69899999999999995</v>
      </c>
      <c r="AK244" s="2">
        <v>23.08</v>
      </c>
      <c r="AL244" s="2">
        <v>4.58</v>
      </c>
      <c r="AM244" s="2">
        <v>2.6</v>
      </c>
      <c r="AN244" s="2" t="s">
        <v>122</v>
      </c>
      <c r="AO244" s="2">
        <v>475</v>
      </c>
      <c r="AP244" s="2">
        <v>1031</v>
      </c>
      <c r="AQ244" s="2">
        <v>552</v>
      </c>
      <c r="AR244" s="2">
        <v>152</v>
      </c>
      <c r="AS244" s="2">
        <v>58</v>
      </c>
      <c r="AT244" s="2">
        <v>81</v>
      </c>
      <c r="AU244" s="2">
        <v>201</v>
      </c>
      <c r="AV244" s="2">
        <v>330</v>
      </c>
      <c r="AW244" s="2"/>
      <c r="AX244" s="2">
        <v>0</v>
      </c>
      <c r="AY244" s="26"/>
      <c r="AZ244" s="5">
        <v>24.36</v>
      </c>
      <c r="BA244" s="1">
        <v>20.55</v>
      </c>
      <c r="BB244" s="1">
        <v>3.99</v>
      </c>
      <c r="BC244" s="6">
        <f t="shared" si="185"/>
        <v>0.19416058394160585</v>
      </c>
      <c r="BE244" s="30">
        <v>0</v>
      </c>
      <c r="BF244" s="27">
        <v>0</v>
      </c>
      <c r="BG244" s="1">
        <f t="shared" si="159"/>
        <v>74.5</v>
      </c>
      <c r="BH244" s="1">
        <f t="shared" si="160"/>
        <v>51.5</v>
      </c>
      <c r="BI244" s="1">
        <f t="shared" si="161"/>
        <v>22</v>
      </c>
      <c r="BJ244" s="7">
        <f t="shared" si="162"/>
        <v>0.51400000000000001</v>
      </c>
      <c r="BK244" s="7">
        <f t="shared" si="163"/>
        <v>1.8220000000000001</v>
      </c>
      <c r="BM244" s="5">
        <f t="shared" si="164"/>
        <v>20.55</v>
      </c>
      <c r="BN244" s="5">
        <f t="shared" si="165"/>
        <v>3.99</v>
      </c>
      <c r="BO244" s="1">
        <f t="shared" si="166"/>
        <v>11.6</v>
      </c>
      <c r="BP244" s="1">
        <f t="shared" si="167"/>
        <v>20</v>
      </c>
      <c r="BQ244" s="1">
        <f t="shared" si="168"/>
        <v>4.8</v>
      </c>
      <c r="BR244" s="1">
        <f t="shared" si="169"/>
        <v>51.5</v>
      </c>
      <c r="BS244" s="1">
        <f t="shared" si="170"/>
        <v>22</v>
      </c>
      <c r="BT244" s="1">
        <f t="shared" si="171"/>
        <v>1</v>
      </c>
      <c r="BU244" s="1">
        <f t="shared" si="172"/>
        <v>3.5</v>
      </c>
      <c r="BV244" s="33">
        <f t="shared" si="173"/>
        <v>0</v>
      </c>
      <c r="BW244" s="26">
        <f t="shared" si="188"/>
        <v>0</v>
      </c>
      <c r="BX244" s="20" t="str">
        <f t="shared" si="174"/>
        <v>NAN</v>
      </c>
      <c r="BY244" s="1">
        <f t="shared" si="175"/>
        <v>11.1</v>
      </c>
      <c r="BZ244" s="1">
        <f t="shared" si="176"/>
        <v>26.6</v>
      </c>
      <c r="CA244" s="1">
        <f t="shared" si="177"/>
        <v>0.7</v>
      </c>
      <c r="CB244" s="1">
        <f t="shared" si="178"/>
        <v>15.7</v>
      </c>
      <c r="CC244" s="1">
        <f t="shared" si="179"/>
        <v>11.6</v>
      </c>
      <c r="CD244" s="1">
        <f t="shared" si="180"/>
        <v>9.9</v>
      </c>
      <c r="CE244" s="1" t="str">
        <f t="shared" si="181"/>
        <v>NAN</v>
      </c>
      <c r="CF244" s="1">
        <f t="shared" si="182"/>
        <v>0.51400000000000001</v>
      </c>
      <c r="CG244" s="1">
        <f t="shared" si="183"/>
        <v>1.8220000000000001</v>
      </c>
      <c r="CI244" s="1">
        <f t="shared" si="150"/>
        <v>2880</v>
      </c>
      <c r="CJ244" s="1">
        <f t="shared" si="151"/>
        <v>0.16500000000000001</v>
      </c>
      <c r="CK244" s="1">
        <f t="shared" si="152"/>
        <v>0.35799999999999998</v>
      </c>
      <c r="CL244" s="1">
        <f t="shared" si="153"/>
        <v>0.192</v>
      </c>
      <c r="CM244" s="1">
        <f t="shared" si="154"/>
        <v>5.2999999999999999E-2</v>
      </c>
      <c r="CN244" s="1">
        <f t="shared" si="155"/>
        <v>0.02</v>
      </c>
      <c r="CO244" s="1">
        <f t="shared" si="156"/>
        <v>2.8000000000000001E-2</v>
      </c>
      <c r="CP244" s="1">
        <f t="shared" si="157"/>
        <v>7.0000000000000007E-2</v>
      </c>
      <c r="CQ244" s="1">
        <f t="shared" si="158"/>
        <v>0.115</v>
      </c>
      <c r="CS244" s="1">
        <f t="shared" si="186"/>
        <v>6.6000000000000014</v>
      </c>
      <c r="CT244" s="1">
        <f t="shared" si="187"/>
        <v>-4.0999999999999996</v>
      </c>
    </row>
    <row r="245" spans="1:98" x14ac:dyDescent="0.2">
      <c r="A245" s="8">
        <f t="shared" si="184"/>
        <v>44070</v>
      </c>
      <c r="B245" s="1">
        <v>240</v>
      </c>
      <c r="C245" s="1">
        <v>11</v>
      </c>
      <c r="D245" s="2">
        <v>12.97</v>
      </c>
      <c r="E245" s="2">
        <v>20.100000000000001</v>
      </c>
      <c r="F245" s="2">
        <v>1.4370000000000001</v>
      </c>
      <c r="G245" s="2">
        <v>11.09</v>
      </c>
      <c r="H245" s="2">
        <v>53.87</v>
      </c>
      <c r="I245" s="2">
        <v>10.29</v>
      </c>
      <c r="J245" s="2">
        <v>9.83</v>
      </c>
      <c r="K245" s="2">
        <v>16.46</v>
      </c>
      <c r="L245" s="2">
        <v>11.66</v>
      </c>
      <c r="M245" s="2">
        <v>9.8800000000000008</v>
      </c>
      <c r="N245" s="2">
        <v>18.309999999999999</v>
      </c>
      <c r="O245" s="2">
        <v>80.3</v>
      </c>
      <c r="P245" s="2">
        <v>30.7</v>
      </c>
      <c r="Q245" s="2">
        <v>24.74</v>
      </c>
      <c r="R245" s="2">
        <v>44.58</v>
      </c>
      <c r="S245" s="2">
        <v>13.1</v>
      </c>
      <c r="T245" s="2">
        <v>10.09</v>
      </c>
      <c r="U245" s="2">
        <v>4.8070000000000004</v>
      </c>
      <c r="V245" s="2">
        <v>21.83</v>
      </c>
      <c r="W245" s="2">
        <v>-2.3260000000000001</v>
      </c>
      <c r="X245" s="2">
        <v>-2.0430000000000001</v>
      </c>
      <c r="Y245" s="2">
        <v>2.5510000000000002</v>
      </c>
      <c r="Z245" s="2">
        <v>10.210000000000001</v>
      </c>
      <c r="AA245" s="2">
        <v>9.73</v>
      </c>
      <c r="AB245" s="2">
        <v>2.641</v>
      </c>
      <c r="AC245" s="2">
        <v>0</v>
      </c>
      <c r="AD245" s="2">
        <v>21.43</v>
      </c>
      <c r="AE245" s="2">
        <v>4.5609999999999999</v>
      </c>
      <c r="AF245" s="2">
        <v>1.173</v>
      </c>
      <c r="AG245" s="2">
        <v>3.4849999999999999</v>
      </c>
      <c r="AH245" s="2">
        <v>10.84</v>
      </c>
      <c r="AI245" s="2">
        <v>25.43</v>
      </c>
      <c r="AJ245" s="2">
        <v>0.88800000000000001</v>
      </c>
      <c r="AK245" s="2">
        <v>21.93</v>
      </c>
      <c r="AL245" s="2">
        <v>4.6900000000000004</v>
      </c>
      <c r="AM245" s="2">
        <v>2.6030000000000002</v>
      </c>
      <c r="AN245" s="2" t="s">
        <v>122</v>
      </c>
      <c r="AO245" s="2">
        <v>488</v>
      </c>
      <c r="AP245" s="2">
        <v>1108</v>
      </c>
      <c r="AQ245" s="2">
        <v>938</v>
      </c>
      <c r="AR245" s="2">
        <v>77</v>
      </c>
      <c r="AS245" s="2">
        <v>15</v>
      </c>
      <c r="AT245" s="2">
        <v>13</v>
      </c>
      <c r="AU245" s="2">
        <v>72</v>
      </c>
      <c r="AV245" s="2">
        <v>168</v>
      </c>
      <c r="AW245" s="2"/>
      <c r="AX245" s="2">
        <v>0</v>
      </c>
      <c r="AY245" s="26"/>
      <c r="AZ245" s="5">
        <v>24.12</v>
      </c>
      <c r="BA245" s="1">
        <v>21.43</v>
      </c>
      <c r="BB245" s="1">
        <v>4.2</v>
      </c>
      <c r="BC245" s="6">
        <f t="shared" si="185"/>
        <v>0.1959869342043864</v>
      </c>
      <c r="BE245" s="30">
        <v>0</v>
      </c>
      <c r="BF245" s="27">
        <v>0</v>
      </c>
      <c r="BG245" s="1">
        <f t="shared" si="159"/>
        <v>80.3</v>
      </c>
      <c r="BH245" s="1">
        <f t="shared" si="160"/>
        <v>53.9</v>
      </c>
      <c r="BI245" s="1">
        <f t="shared" si="161"/>
        <v>21.8</v>
      </c>
      <c r="BJ245" s="7">
        <f t="shared" si="162"/>
        <v>0.45900000000000002</v>
      </c>
      <c r="BK245" s="7">
        <f t="shared" si="163"/>
        <v>1.647</v>
      </c>
      <c r="BM245" s="5">
        <f t="shared" si="164"/>
        <v>21.43</v>
      </c>
      <c r="BN245" s="5">
        <f t="shared" si="165"/>
        <v>4.2</v>
      </c>
      <c r="BO245" s="1">
        <f t="shared" si="166"/>
        <v>11.1</v>
      </c>
      <c r="BP245" s="1">
        <f t="shared" si="167"/>
        <v>18.3</v>
      </c>
      <c r="BQ245" s="1">
        <f t="shared" si="168"/>
        <v>4.8</v>
      </c>
      <c r="BR245" s="1">
        <f t="shared" si="169"/>
        <v>53.9</v>
      </c>
      <c r="BS245" s="1">
        <f t="shared" si="170"/>
        <v>21.8</v>
      </c>
      <c r="BT245" s="1">
        <f t="shared" si="171"/>
        <v>1.2</v>
      </c>
      <c r="BU245" s="1">
        <f t="shared" si="172"/>
        <v>3.5</v>
      </c>
      <c r="BV245" s="33">
        <f t="shared" si="173"/>
        <v>0</v>
      </c>
      <c r="BW245" s="26">
        <f t="shared" si="188"/>
        <v>0</v>
      </c>
      <c r="BX245" s="20" t="str">
        <f t="shared" si="174"/>
        <v>NAN</v>
      </c>
      <c r="BY245" s="1">
        <f t="shared" si="175"/>
        <v>10.8</v>
      </c>
      <c r="BZ245" s="1">
        <f t="shared" si="176"/>
        <v>25.4</v>
      </c>
      <c r="CA245" s="1">
        <f t="shared" si="177"/>
        <v>0.9</v>
      </c>
      <c r="CB245" s="1">
        <f t="shared" si="178"/>
        <v>16.5</v>
      </c>
      <c r="CC245" s="1">
        <f t="shared" si="179"/>
        <v>11.7</v>
      </c>
      <c r="CD245" s="1">
        <f t="shared" si="180"/>
        <v>9.9</v>
      </c>
      <c r="CE245" s="1" t="str">
        <f t="shared" si="181"/>
        <v>NAN</v>
      </c>
      <c r="CF245" s="1">
        <f t="shared" si="182"/>
        <v>0.45900000000000002</v>
      </c>
      <c r="CG245" s="1">
        <f t="shared" si="183"/>
        <v>1.647</v>
      </c>
      <c r="CI245" s="1">
        <f t="shared" si="150"/>
        <v>2879</v>
      </c>
      <c r="CJ245" s="1">
        <f t="shared" si="151"/>
        <v>0.17</v>
      </c>
      <c r="CK245" s="1">
        <f t="shared" si="152"/>
        <v>0.38500000000000001</v>
      </c>
      <c r="CL245" s="1">
        <f t="shared" si="153"/>
        <v>0.32600000000000001</v>
      </c>
      <c r="CM245" s="1">
        <f t="shared" si="154"/>
        <v>2.7E-2</v>
      </c>
      <c r="CN245" s="1">
        <f t="shared" si="155"/>
        <v>5.0000000000000001E-3</v>
      </c>
      <c r="CO245" s="1">
        <f t="shared" si="156"/>
        <v>5.0000000000000001E-3</v>
      </c>
      <c r="CP245" s="1">
        <f t="shared" si="157"/>
        <v>2.5000000000000001E-2</v>
      </c>
      <c r="CQ245" s="1">
        <f t="shared" si="158"/>
        <v>5.8000000000000003E-2</v>
      </c>
      <c r="CS245" s="1">
        <f t="shared" si="186"/>
        <v>7.0999999999999979</v>
      </c>
      <c r="CT245" s="1">
        <f t="shared" si="187"/>
        <v>-3.9</v>
      </c>
    </row>
    <row r="246" spans="1:98" x14ac:dyDescent="0.2">
      <c r="A246" s="8">
        <f t="shared" si="184"/>
        <v>44071</v>
      </c>
      <c r="B246" s="1">
        <v>241</v>
      </c>
      <c r="C246" s="1">
        <v>11</v>
      </c>
      <c r="D246" s="2">
        <v>12.97</v>
      </c>
      <c r="E246" s="2">
        <v>25.34</v>
      </c>
      <c r="F246" s="2">
        <v>3.3340000000000001</v>
      </c>
      <c r="G246" s="2">
        <v>14.7</v>
      </c>
      <c r="H246" s="2">
        <v>38.47</v>
      </c>
      <c r="I246" s="2">
        <v>13.16</v>
      </c>
      <c r="J246" s="2">
        <v>13.03</v>
      </c>
      <c r="K246" s="2">
        <v>17.97</v>
      </c>
      <c r="L246" s="2">
        <v>11.84</v>
      </c>
      <c r="M246" s="2">
        <v>9.8699999999999992</v>
      </c>
      <c r="N246" s="2">
        <v>24.34</v>
      </c>
      <c r="O246" s="2">
        <v>67.61</v>
      </c>
      <c r="P246" s="2">
        <v>33.65</v>
      </c>
      <c r="Q246" s="2">
        <v>30.36</v>
      </c>
      <c r="R246" s="2">
        <v>46.9</v>
      </c>
      <c r="S246" s="2">
        <v>13.47</v>
      </c>
      <c r="T246" s="2">
        <v>10.06</v>
      </c>
      <c r="U246" s="2">
        <v>6.94</v>
      </c>
      <c r="V246" s="2">
        <v>16.809999999999999</v>
      </c>
      <c r="W246" s="2">
        <v>-0.441</v>
      </c>
      <c r="X246" s="2">
        <v>-4.0000000000000001E-3</v>
      </c>
      <c r="Y246" s="2">
        <v>3.206</v>
      </c>
      <c r="Z246" s="2">
        <v>10.31</v>
      </c>
      <c r="AA246" s="2">
        <v>9.75</v>
      </c>
      <c r="AB246" s="2">
        <v>2.6379999999999999</v>
      </c>
      <c r="AC246" s="2">
        <v>0</v>
      </c>
      <c r="AD246" s="2">
        <v>21.15</v>
      </c>
      <c r="AE246" s="2">
        <v>4.4969999999999999</v>
      </c>
      <c r="AF246" s="2">
        <v>1.121</v>
      </c>
      <c r="AG246" s="2">
        <v>3.5259999999999998</v>
      </c>
      <c r="AH246" s="2">
        <v>13.9</v>
      </c>
      <c r="AI246" s="2">
        <v>30.26</v>
      </c>
      <c r="AJ246" s="2">
        <v>2.96</v>
      </c>
      <c r="AK246" s="2">
        <v>27.15</v>
      </c>
      <c r="AL246" s="2">
        <v>7.2709999999999999</v>
      </c>
      <c r="AM246" s="2">
        <v>2.5939999999999999</v>
      </c>
      <c r="AN246" s="2" t="s">
        <v>122</v>
      </c>
      <c r="AO246" s="2">
        <v>284</v>
      </c>
      <c r="AP246" s="2">
        <v>217</v>
      </c>
      <c r="AQ246" s="2">
        <v>683</v>
      </c>
      <c r="AR246" s="2">
        <v>233</v>
      </c>
      <c r="AS246" s="2">
        <v>155</v>
      </c>
      <c r="AT246" s="2">
        <v>464</v>
      </c>
      <c r="AU246" s="2">
        <v>588</v>
      </c>
      <c r="AV246" s="2">
        <v>256</v>
      </c>
      <c r="AW246" s="2"/>
      <c r="AX246" s="2">
        <v>0</v>
      </c>
      <c r="AY246" s="26"/>
      <c r="AZ246" s="5">
        <v>23.89</v>
      </c>
      <c r="BA246" s="1">
        <v>21.15</v>
      </c>
      <c r="BB246" s="1">
        <v>4.1399999999999997</v>
      </c>
      <c r="BC246" s="6">
        <f t="shared" si="185"/>
        <v>0.19574468085106383</v>
      </c>
      <c r="BE246" s="30">
        <v>0</v>
      </c>
      <c r="BF246" s="27">
        <v>0</v>
      </c>
      <c r="BG246" s="1">
        <f t="shared" si="159"/>
        <v>67.599999999999994</v>
      </c>
      <c r="BH246" s="1">
        <f t="shared" si="160"/>
        <v>38.5</v>
      </c>
      <c r="BI246" s="1">
        <f t="shared" si="161"/>
        <v>16.8</v>
      </c>
      <c r="BJ246" s="7">
        <f t="shared" si="162"/>
        <v>0.51200000000000001</v>
      </c>
      <c r="BK246" s="7">
        <f t="shared" si="163"/>
        <v>2.536</v>
      </c>
      <c r="BM246" s="5">
        <f t="shared" si="164"/>
        <v>21.15</v>
      </c>
      <c r="BN246" s="5">
        <f t="shared" si="165"/>
        <v>4.1399999999999997</v>
      </c>
      <c r="BO246" s="1">
        <f t="shared" si="166"/>
        <v>14.7</v>
      </c>
      <c r="BP246" s="1">
        <f t="shared" si="167"/>
        <v>24.3</v>
      </c>
      <c r="BQ246" s="1">
        <f t="shared" si="168"/>
        <v>6.9</v>
      </c>
      <c r="BR246" s="1">
        <f t="shared" si="169"/>
        <v>38.5</v>
      </c>
      <c r="BS246" s="1">
        <f t="shared" si="170"/>
        <v>16.8</v>
      </c>
      <c r="BT246" s="1">
        <f t="shared" si="171"/>
        <v>1.1000000000000001</v>
      </c>
      <c r="BU246" s="1">
        <f t="shared" si="172"/>
        <v>3.5</v>
      </c>
      <c r="BV246" s="33">
        <f t="shared" si="173"/>
        <v>0</v>
      </c>
      <c r="BW246" s="26">
        <f t="shared" si="188"/>
        <v>0</v>
      </c>
      <c r="BX246" s="20" t="str">
        <f t="shared" si="174"/>
        <v>NAN</v>
      </c>
      <c r="BY246" s="1">
        <f t="shared" si="175"/>
        <v>13.9</v>
      </c>
      <c r="BZ246" s="1">
        <f t="shared" si="176"/>
        <v>30.3</v>
      </c>
      <c r="CA246" s="1">
        <f t="shared" si="177"/>
        <v>3</v>
      </c>
      <c r="CB246" s="1">
        <f t="shared" si="178"/>
        <v>18</v>
      </c>
      <c r="CC246" s="1">
        <f t="shared" si="179"/>
        <v>11.8</v>
      </c>
      <c r="CD246" s="1">
        <f t="shared" si="180"/>
        <v>9.9</v>
      </c>
      <c r="CE246" s="1" t="str">
        <f t="shared" si="181"/>
        <v>NAN</v>
      </c>
      <c r="CF246" s="1">
        <f t="shared" si="182"/>
        <v>0.51200000000000001</v>
      </c>
      <c r="CG246" s="1">
        <f t="shared" si="183"/>
        <v>2.536</v>
      </c>
      <c r="CI246" s="1">
        <f t="shared" si="150"/>
        <v>2880</v>
      </c>
      <c r="CJ246" s="1">
        <f t="shared" si="151"/>
        <v>9.9000000000000005E-2</v>
      </c>
      <c r="CK246" s="1">
        <f t="shared" si="152"/>
        <v>7.4999999999999997E-2</v>
      </c>
      <c r="CL246" s="1">
        <f t="shared" si="153"/>
        <v>0.23699999999999999</v>
      </c>
      <c r="CM246" s="1">
        <f t="shared" si="154"/>
        <v>8.1000000000000003E-2</v>
      </c>
      <c r="CN246" s="1">
        <f t="shared" si="155"/>
        <v>5.3999999999999999E-2</v>
      </c>
      <c r="CO246" s="1">
        <f t="shared" si="156"/>
        <v>0.161</v>
      </c>
      <c r="CP246" s="1">
        <f t="shared" si="157"/>
        <v>0.20399999999999999</v>
      </c>
      <c r="CQ246" s="1">
        <f t="shared" si="158"/>
        <v>8.8999999999999996E-2</v>
      </c>
      <c r="CS246" s="1">
        <f t="shared" si="186"/>
        <v>6</v>
      </c>
      <c r="CT246" s="1">
        <f t="shared" si="187"/>
        <v>-3.9000000000000004</v>
      </c>
    </row>
    <row r="247" spans="1:98" x14ac:dyDescent="0.2">
      <c r="A247" s="8">
        <f t="shared" si="184"/>
        <v>44072</v>
      </c>
      <c r="B247" s="1">
        <v>242</v>
      </c>
      <c r="C247" s="1">
        <v>11</v>
      </c>
      <c r="D247" s="2">
        <v>12.97</v>
      </c>
      <c r="E247" s="2">
        <v>15</v>
      </c>
      <c r="F247" s="2">
        <v>0.77700000000000002</v>
      </c>
      <c r="G247" s="2">
        <v>7.6989999999999998</v>
      </c>
      <c r="H247" s="2">
        <v>58.61</v>
      </c>
      <c r="I247" s="2">
        <v>7.9249999999999998</v>
      </c>
      <c r="J247" s="2">
        <v>7.6959999999999997</v>
      </c>
      <c r="K247" s="2">
        <v>13.16</v>
      </c>
      <c r="L247" s="2">
        <v>11.72</v>
      </c>
      <c r="M247" s="2">
        <v>9.8800000000000008</v>
      </c>
      <c r="N247" s="2">
        <v>13.51</v>
      </c>
      <c r="O247" s="2">
        <v>76.23</v>
      </c>
      <c r="P247" s="2">
        <v>26.36</v>
      </c>
      <c r="Q247" s="2">
        <v>21.67</v>
      </c>
      <c r="R247" s="2">
        <v>36.200000000000003</v>
      </c>
      <c r="S247" s="2">
        <v>13.01</v>
      </c>
      <c r="T247" s="2">
        <v>10.039999999999999</v>
      </c>
      <c r="U247" s="2">
        <v>3.4830000000000001</v>
      </c>
      <c r="V247" s="2">
        <v>38.56</v>
      </c>
      <c r="W247" s="2">
        <v>-1.329</v>
      </c>
      <c r="X247" s="2">
        <v>-1.429</v>
      </c>
      <c r="Y247" s="2">
        <v>4.8979999999999997</v>
      </c>
      <c r="Z247" s="2">
        <v>10.82</v>
      </c>
      <c r="AA247" s="2">
        <v>9.7200000000000006</v>
      </c>
      <c r="AB247" s="2">
        <v>2.633</v>
      </c>
      <c r="AC247" s="2">
        <v>0</v>
      </c>
      <c r="AD247" s="2">
        <v>14.02</v>
      </c>
      <c r="AE247" s="2">
        <v>3.1850000000000001</v>
      </c>
      <c r="AF247" s="2">
        <v>1.1240000000000001</v>
      </c>
      <c r="AG247" s="2">
        <v>4.1920000000000002</v>
      </c>
      <c r="AH247" s="2">
        <v>7.851</v>
      </c>
      <c r="AI247" s="2">
        <v>21.35</v>
      </c>
      <c r="AJ247" s="2">
        <v>0.314</v>
      </c>
      <c r="AK247" s="2">
        <v>16.75</v>
      </c>
      <c r="AL247" s="2">
        <v>2.5289999999999999</v>
      </c>
      <c r="AM247" s="2">
        <v>2.6150000000000002</v>
      </c>
      <c r="AN247" s="2" t="s">
        <v>122</v>
      </c>
      <c r="AO247" s="2">
        <v>782</v>
      </c>
      <c r="AP247" s="2">
        <v>527</v>
      </c>
      <c r="AQ247" s="2">
        <v>242</v>
      </c>
      <c r="AR247" s="2">
        <v>109</v>
      </c>
      <c r="AS247" s="2">
        <v>127</v>
      </c>
      <c r="AT247" s="2">
        <v>203</v>
      </c>
      <c r="AU247" s="2">
        <v>299</v>
      </c>
      <c r="AV247" s="2">
        <v>590</v>
      </c>
      <c r="AW247" s="2"/>
      <c r="AX247" s="2">
        <v>0</v>
      </c>
      <c r="AY247" s="26"/>
      <c r="AZ247" s="5">
        <v>23.65</v>
      </c>
      <c r="BA247" s="1">
        <v>14.02</v>
      </c>
      <c r="BB247" s="1">
        <v>2.93</v>
      </c>
      <c r="BC247" s="6">
        <f t="shared" si="185"/>
        <v>0.20898716119828817</v>
      </c>
      <c r="BE247" s="30">
        <v>0</v>
      </c>
      <c r="BF247" s="27">
        <v>0</v>
      </c>
      <c r="BG247" s="1">
        <f t="shared" si="159"/>
        <v>76.2</v>
      </c>
      <c r="BH247" s="1">
        <f t="shared" si="160"/>
        <v>58.6</v>
      </c>
      <c r="BI247" s="1">
        <f t="shared" si="161"/>
        <v>38.6</v>
      </c>
      <c r="BJ247" s="7">
        <f t="shared" si="162"/>
        <v>0.59799999999999998</v>
      </c>
      <c r="BK247" s="7">
        <f t="shared" si="163"/>
        <v>0.95099999999999996</v>
      </c>
      <c r="BM247" s="5">
        <f t="shared" si="164"/>
        <v>14.02</v>
      </c>
      <c r="BN247" s="5">
        <f t="shared" si="165"/>
        <v>2.93</v>
      </c>
      <c r="BO247" s="1">
        <f t="shared" si="166"/>
        <v>7.7</v>
      </c>
      <c r="BP247" s="1">
        <f t="shared" si="167"/>
        <v>13.5</v>
      </c>
      <c r="BQ247" s="1">
        <f t="shared" si="168"/>
        <v>3.5</v>
      </c>
      <c r="BR247" s="1">
        <f t="shared" si="169"/>
        <v>58.6</v>
      </c>
      <c r="BS247" s="1">
        <f t="shared" si="170"/>
        <v>38.6</v>
      </c>
      <c r="BT247" s="1">
        <f t="shared" si="171"/>
        <v>1.1000000000000001</v>
      </c>
      <c r="BU247" s="1">
        <f t="shared" si="172"/>
        <v>4.2</v>
      </c>
      <c r="BV247" s="33">
        <f t="shared" si="173"/>
        <v>0</v>
      </c>
      <c r="BW247" s="26">
        <f t="shared" si="188"/>
        <v>0</v>
      </c>
      <c r="BX247" s="20" t="str">
        <f t="shared" si="174"/>
        <v>NAN</v>
      </c>
      <c r="BY247" s="1">
        <f t="shared" si="175"/>
        <v>7.9</v>
      </c>
      <c r="BZ247" s="1">
        <f t="shared" si="176"/>
        <v>21.4</v>
      </c>
      <c r="CA247" s="1">
        <f t="shared" si="177"/>
        <v>0.3</v>
      </c>
      <c r="CB247" s="1">
        <f t="shared" si="178"/>
        <v>13.2</v>
      </c>
      <c r="CC247" s="1">
        <f t="shared" si="179"/>
        <v>11.7</v>
      </c>
      <c r="CD247" s="1">
        <f t="shared" si="180"/>
        <v>9.9</v>
      </c>
      <c r="CE247" s="1" t="str">
        <f t="shared" si="181"/>
        <v>NAN</v>
      </c>
      <c r="CF247" s="1">
        <f t="shared" si="182"/>
        <v>0.59799999999999998</v>
      </c>
      <c r="CG247" s="1">
        <f t="shared" si="183"/>
        <v>0.95099999999999996</v>
      </c>
      <c r="CI247" s="1">
        <f t="shared" si="150"/>
        <v>2879</v>
      </c>
      <c r="CJ247" s="1">
        <f t="shared" si="151"/>
        <v>0.27200000000000002</v>
      </c>
      <c r="CK247" s="1">
        <f t="shared" si="152"/>
        <v>0.183</v>
      </c>
      <c r="CL247" s="1">
        <f t="shared" si="153"/>
        <v>8.4000000000000005E-2</v>
      </c>
      <c r="CM247" s="1">
        <f t="shared" si="154"/>
        <v>3.7999999999999999E-2</v>
      </c>
      <c r="CN247" s="1">
        <f t="shared" si="155"/>
        <v>4.3999999999999997E-2</v>
      </c>
      <c r="CO247" s="1">
        <f t="shared" si="156"/>
        <v>7.0999999999999994E-2</v>
      </c>
      <c r="CP247" s="1">
        <f t="shared" si="157"/>
        <v>0.104</v>
      </c>
      <c r="CQ247" s="1">
        <f t="shared" si="158"/>
        <v>0.20499999999999999</v>
      </c>
      <c r="CS247" s="1">
        <f t="shared" si="186"/>
        <v>7.8999999999999986</v>
      </c>
      <c r="CT247" s="1">
        <f t="shared" si="187"/>
        <v>-3.2</v>
      </c>
    </row>
    <row r="248" spans="1:98" x14ac:dyDescent="0.2">
      <c r="A248" s="8">
        <f t="shared" si="184"/>
        <v>44073</v>
      </c>
      <c r="B248" s="1">
        <v>243</v>
      </c>
      <c r="C248" s="1">
        <v>11</v>
      </c>
      <c r="D248" s="2">
        <v>12.95</v>
      </c>
      <c r="E248" s="2">
        <v>14.54</v>
      </c>
      <c r="F248" s="2">
        <v>-1.5229999999999999</v>
      </c>
      <c r="G248" s="2">
        <v>5.2729999999999997</v>
      </c>
      <c r="H248" s="2">
        <v>67.61</v>
      </c>
      <c r="I248" s="2">
        <v>6.9349999999999996</v>
      </c>
      <c r="J248" s="2">
        <v>6.0590000000000002</v>
      </c>
      <c r="K248" s="2">
        <v>12.84</v>
      </c>
      <c r="L248" s="2">
        <v>10.81</v>
      </c>
      <c r="M248" s="2">
        <v>9.75</v>
      </c>
      <c r="N248" s="2">
        <v>13</v>
      </c>
      <c r="O248" s="2">
        <v>95.5</v>
      </c>
      <c r="P248" s="2">
        <v>23.87</v>
      </c>
      <c r="Q248" s="2">
        <v>20.73</v>
      </c>
      <c r="R248" s="2">
        <v>38.79</v>
      </c>
      <c r="S248" s="2">
        <v>11.8</v>
      </c>
      <c r="T248" s="2">
        <v>9.9600000000000009</v>
      </c>
      <c r="U248" s="2">
        <v>0.503</v>
      </c>
      <c r="V248" s="2">
        <v>33.159999999999997</v>
      </c>
      <c r="W248" s="2">
        <v>-2.8109999999999999</v>
      </c>
      <c r="X248" s="2">
        <v>-2.4670000000000001</v>
      </c>
      <c r="Y248" s="2">
        <v>1.419</v>
      </c>
      <c r="Z248" s="2">
        <v>9.6300000000000008</v>
      </c>
      <c r="AA248" s="2">
        <v>9.5299999999999994</v>
      </c>
      <c r="AB248" s="2">
        <v>2.6280000000000001</v>
      </c>
      <c r="AC248" s="2">
        <v>1.27</v>
      </c>
      <c r="AD248" s="2">
        <v>16.79</v>
      </c>
      <c r="AE248" s="2">
        <v>3.351</v>
      </c>
      <c r="AF248" s="2">
        <v>1.111</v>
      </c>
      <c r="AG248" s="2">
        <v>3.7029999999999998</v>
      </c>
      <c r="AH248" s="2">
        <v>6.1989999999999998</v>
      </c>
      <c r="AI248" s="2">
        <v>21.31</v>
      </c>
      <c r="AJ248" s="2">
        <v>-1.8859999999999999</v>
      </c>
      <c r="AK248" s="2">
        <v>16.09</v>
      </c>
      <c r="AL248" s="2">
        <v>0.29199999999999998</v>
      </c>
      <c r="AM248" s="2">
        <v>2.6179999999999999</v>
      </c>
      <c r="AN248" s="2" t="s">
        <v>122</v>
      </c>
      <c r="AO248" s="2">
        <v>723</v>
      </c>
      <c r="AP248" s="2">
        <v>409</v>
      </c>
      <c r="AQ248" s="2">
        <v>194</v>
      </c>
      <c r="AR248" s="2">
        <v>85</v>
      </c>
      <c r="AS248" s="2">
        <v>72</v>
      </c>
      <c r="AT248" s="2">
        <v>167</v>
      </c>
      <c r="AU248" s="2">
        <v>454</v>
      </c>
      <c r="AV248" s="2">
        <v>776</v>
      </c>
      <c r="AW248" s="2"/>
      <c r="AX248" s="2">
        <v>0</v>
      </c>
      <c r="AY248" s="26"/>
      <c r="AZ248" s="5">
        <v>23.41</v>
      </c>
      <c r="BA248" s="1">
        <v>16.79</v>
      </c>
      <c r="BB248" s="1">
        <v>3.08</v>
      </c>
      <c r="BC248" s="6">
        <f t="shared" si="185"/>
        <v>0.18344252531268615</v>
      </c>
      <c r="BE248" s="30">
        <v>1.27</v>
      </c>
      <c r="BF248" s="27">
        <v>0</v>
      </c>
      <c r="BG248" s="1">
        <f t="shared" si="159"/>
        <v>95.5</v>
      </c>
      <c r="BH248" s="1">
        <f t="shared" si="160"/>
        <v>67.599999999999994</v>
      </c>
      <c r="BI248" s="1">
        <f t="shared" si="161"/>
        <v>33.200000000000003</v>
      </c>
      <c r="BJ248" s="7">
        <f t="shared" si="162"/>
        <v>0.497</v>
      </c>
      <c r="BK248" s="7">
        <f t="shared" si="163"/>
        <v>1</v>
      </c>
      <c r="BM248" s="5">
        <f t="shared" si="164"/>
        <v>16.79</v>
      </c>
      <c r="BN248" s="5">
        <f t="shared" si="165"/>
        <v>3.08</v>
      </c>
      <c r="BO248" s="1">
        <f t="shared" si="166"/>
        <v>5.3</v>
      </c>
      <c r="BP248" s="1">
        <f t="shared" si="167"/>
        <v>13</v>
      </c>
      <c r="BQ248" s="1">
        <f t="shared" si="168"/>
        <v>0.5</v>
      </c>
      <c r="BR248" s="1">
        <f t="shared" si="169"/>
        <v>67.599999999999994</v>
      </c>
      <c r="BS248" s="1">
        <f t="shared" si="170"/>
        <v>33.200000000000003</v>
      </c>
      <c r="BT248" s="1">
        <f t="shared" si="171"/>
        <v>1.1000000000000001</v>
      </c>
      <c r="BU248" s="1">
        <f t="shared" si="172"/>
        <v>3.7</v>
      </c>
      <c r="BV248" s="33">
        <f t="shared" si="173"/>
        <v>1.27</v>
      </c>
      <c r="BW248" s="26">
        <f t="shared" si="188"/>
        <v>0</v>
      </c>
      <c r="BX248" s="20" t="str">
        <f t="shared" si="174"/>
        <v>NAN</v>
      </c>
      <c r="BY248" s="1">
        <f t="shared" si="175"/>
        <v>6.2</v>
      </c>
      <c r="BZ248" s="1">
        <f t="shared" si="176"/>
        <v>21.3</v>
      </c>
      <c r="CA248" s="1">
        <f t="shared" si="177"/>
        <v>-1.9</v>
      </c>
      <c r="CB248" s="1">
        <f t="shared" si="178"/>
        <v>12.8</v>
      </c>
      <c r="CC248" s="1">
        <f t="shared" si="179"/>
        <v>10.8</v>
      </c>
      <c r="CD248" s="1">
        <f t="shared" si="180"/>
        <v>9.8000000000000007</v>
      </c>
      <c r="CE248" s="1" t="str">
        <f t="shared" si="181"/>
        <v>NAN</v>
      </c>
      <c r="CF248" s="1">
        <f t="shared" si="182"/>
        <v>0.497</v>
      </c>
      <c r="CG248" s="1">
        <f t="shared" si="183"/>
        <v>1</v>
      </c>
      <c r="CI248" s="1">
        <f t="shared" si="150"/>
        <v>2880</v>
      </c>
      <c r="CJ248" s="1">
        <f t="shared" si="151"/>
        <v>0.251</v>
      </c>
      <c r="CK248" s="1">
        <f t="shared" si="152"/>
        <v>0.14199999999999999</v>
      </c>
      <c r="CL248" s="1">
        <f t="shared" si="153"/>
        <v>6.7000000000000004E-2</v>
      </c>
      <c r="CM248" s="1">
        <f t="shared" si="154"/>
        <v>0.03</v>
      </c>
      <c r="CN248" s="1">
        <f t="shared" si="155"/>
        <v>2.5000000000000001E-2</v>
      </c>
      <c r="CO248" s="1">
        <f t="shared" si="156"/>
        <v>5.8000000000000003E-2</v>
      </c>
      <c r="CP248" s="1">
        <f t="shared" si="157"/>
        <v>0.158</v>
      </c>
      <c r="CQ248" s="1">
        <f t="shared" si="158"/>
        <v>0.26900000000000002</v>
      </c>
      <c r="CS248" s="1">
        <f t="shared" si="186"/>
        <v>8.3000000000000007</v>
      </c>
      <c r="CT248" s="1">
        <f t="shared" si="187"/>
        <v>-2.4</v>
      </c>
    </row>
    <row r="249" spans="1:98" x14ac:dyDescent="0.2">
      <c r="A249" s="8">
        <f t="shared" si="184"/>
        <v>44074</v>
      </c>
      <c r="B249" s="1">
        <v>244</v>
      </c>
      <c r="C249" s="1">
        <v>11</v>
      </c>
      <c r="D249" s="2">
        <v>12.99</v>
      </c>
      <c r="E249" s="2">
        <v>12.21</v>
      </c>
      <c r="F249" s="2">
        <v>2.0329999999999999</v>
      </c>
      <c r="G249" s="2">
        <v>6.2670000000000003</v>
      </c>
      <c r="H249" s="2">
        <v>81.2</v>
      </c>
      <c r="I249" s="2">
        <v>6.9829999999999997</v>
      </c>
      <c r="J249" s="2">
        <v>6.5730000000000004</v>
      </c>
      <c r="K249" s="2">
        <v>10.1</v>
      </c>
      <c r="L249" s="2">
        <v>10.41</v>
      </c>
      <c r="M249" s="2">
        <v>9.56</v>
      </c>
      <c r="N249" s="2">
        <v>10.98</v>
      </c>
      <c r="O249" s="2">
        <v>96.7</v>
      </c>
      <c r="P249" s="2">
        <v>19.809999999999999</v>
      </c>
      <c r="Q249" s="2">
        <v>17.920000000000002</v>
      </c>
      <c r="R249" s="2">
        <v>21.58</v>
      </c>
      <c r="S249" s="2">
        <v>11.38</v>
      </c>
      <c r="T249" s="2">
        <v>9.68</v>
      </c>
      <c r="U249" s="2">
        <v>2.0230000000000001</v>
      </c>
      <c r="V249" s="2">
        <v>58.55</v>
      </c>
      <c r="W249" s="2">
        <v>2.133</v>
      </c>
      <c r="X249" s="2">
        <v>1.927</v>
      </c>
      <c r="Y249" s="2">
        <v>5.2009999999999996</v>
      </c>
      <c r="Z249" s="2">
        <v>9.75</v>
      </c>
      <c r="AA249" s="2">
        <v>9.41</v>
      </c>
      <c r="AB249" s="2">
        <v>2.633</v>
      </c>
      <c r="AC249" s="2">
        <v>0.254</v>
      </c>
      <c r="AD249" s="2">
        <v>9.3000000000000007</v>
      </c>
      <c r="AE249" s="2">
        <v>1.9450000000000001</v>
      </c>
      <c r="AF249" s="2">
        <v>0.98299999999999998</v>
      </c>
      <c r="AG249" s="2">
        <v>3.669</v>
      </c>
      <c r="AH249" s="2">
        <v>6.7519999999999998</v>
      </c>
      <c r="AI249" s="2">
        <v>16.850000000000001</v>
      </c>
      <c r="AJ249" s="2">
        <v>2.0179999999999998</v>
      </c>
      <c r="AK249" s="2">
        <v>13.99</v>
      </c>
      <c r="AL249" s="2">
        <v>1.879</v>
      </c>
      <c r="AM249" s="2">
        <v>2.589</v>
      </c>
      <c r="AN249" s="2" t="s">
        <v>122</v>
      </c>
      <c r="AO249" s="2">
        <v>712</v>
      </c>
      <c r="AP249" s="2">
        <v>346</v>
      </c>
      <c r="AQ249" s="2">
        <v>146</v>
      </c>
      <c r="AR249" s="2">
        <v>98</v>
      </c>
      <c r="AS249" s="2">
        <v>131</v>
      </c>
      <c r="AT249" s="2">
        <v>204</v>
      </c>
      <c r="AU249" s="2">
        <v>484</v>
      </c>
      <c r="AV249" s="2">
        <v>759</v>
      </c>
      <c r="AW249" s="2"/>
      <c r="AX249" s="2">
        <v>0</v>
      </c>
      <c r="AY249" s="26"/>
      <c r="AZ249" s="5">
        <v>23.17</v>
      </c>
      <c r="BA249" s="1">
        <v>9.3000000000000007</v>
      </c>
      <c r="BB249" s="1">
        <v>1.79</v>
      </c>
      <c r="BC249" s="6">
        <f t="shared" si="185"/>
        <v>0.19247311827956989</v>
      </c>
      <c r="BE249" s="30">
        <v>0.254</v>
      </c>
      <c r="BF249" s="27">
        <v>0</v>
      </c>
      <c r="BG249" s="1">
        <f t="shared" si="159"/>
        <v>96.7</v>
      </c>
      <c r="BH249" s="1">
        <f t="shared" si="160"/>
        <v>81.2</v>
      </c>
      <c r="BI249" s="1">
        <f t="shared" si="161"/>
        <v>58.6</v>
      </c>
      <c r="BJ249" s="7">
        <f t="shared" si="162"/>
        <v>0.76800000000000002</v>
      </c>
      <c r="BK249" s="7">
        <f t="shared" si="163"/>
        <v>0.54300000000000004</v>
      </c>
      <c r="BM249" s="5">
        <f t="shared" si="164"/>
        <v>9.3000000000000007</v>
      </c>
      <c r="BN249" s="5">
        <f t="shared" si="165"/>
        <v>1.79</v>
      </c>
      <c r="BO249" s="1">
        <f t="shared" si="166"/>
        <v>6.3</v>
      </c>
      <c r="BP249" s="1">
        <f t="shared" si="167"/>
        <v>11</v>
      </c>
      <c r="BQ249" s="1">
        <f t="shared" si="168"/>
        <v>2</v>
      </c>
      <c r="BR249" s="1">
        <f t="shared" si="169"/>
        <v>81.2</v>
      </c>
      <c r="BS249" s="1">
        <f t="shared" si="170"/>
        <v>58.6</v>
      </c>
      <c r="BT249" s="1">
        <f t="shared" si="171"/>
        <v>1</v>
      </c>
      <c r="BU249" s="1">
        <f t="shared" si="172"/>
        <v>3.7</v>
      </c>
      <c r="BV249" s="33">
        <f t="shared" si="173"/>
        <v>0.254</v>
      </c>
      <c r="BW249" s="26">
        <f t="shared" si="188"/>
        <v>0</v>
      </c>
      <c r="BX249" s="20" t="str">
        <f t="shared" si="174"/>
        <v>NAN</v>
      </c>
      <c r="BY249" s="1">
        <f t="shared" si="175"/>
        <v>6.8</v>
      </c>
      <c r="BZ249" s="1">
        <f t="shared" si="176"/>
        <v>16.899999999999999</v>
      </c>
      <c r="CA249" s="1">
        <f t="shared" si="177"/>
        <v>2</v>
      </c>
      <c r="CB249" s="1">
        <f t="shared" si="178"/>
        <v>10.1</v>
      </c>
      <c r="CC249" s="1">
        <f t="shared" si="179"/>
        <v>10.4</v>
      </c>
      <c r="CD249" s="1">
        <f t="shared" si="180"/>
        <v>9.6</v>
      </c>
      <c r="CE249" s="1" t="str">
        <f t="shared" si="181"/>
        <v>NAN</v>
      </c>
      <c r="CF249" s="1">
        <f t="shared" si="182"/>
        <v>0.76800000000000002</v>
      </c>
      <c r="CG249" s="1">
        <f t="shared" si="183"/>
        <v>0.54300000000000004</v>
      </c>
      <c r="CI249" s="1">
        <f t="shared" si="150"/>
        <v>2880</v>
      </c>
      <c r="CJ249" s="1">
        <f t="shared" si="151"/>
        <v>0.247</v>
      </c>
      <c r="CK249" s="1">
        <f t="shared" si="152"/>
        <v>0.12</v>
      </c>
      <c r="CL249" s="1">
        <f t="shared" si="153"/>
        <v>5.0999999999999997E-2</v>
      </c>
      <c r="CM249" s="1">
        <f t="shared" si="154"/>
        <v>3.4000000000000002E-2</v>
      </c>
      <c r="CN249" s="1">
        <f t="shared" si="155"/>
        <v>4.4999999999999998E-2</v>
      </c>
      <c r="CO249" s="1">
        <f t="shared" si="156"/>
        <v>7.0999999999999994E-2</v>
      </c>
      <c r="CP249" s="1">
        <f t="shared" si="157"/>
        <v>0.16800000000000001</v>
      </c>
      <c r="CQ249" s="1">
        <f t="shared" si="158"/>
        <v>0.26400000000000001</v>
      </c>
      <c r="CS249" s="1">
        <f t="shared" si="186"/>
        <v>5.8999999999999986</v>
      </c>
      <c r="CT249" s="1">
        <f t="shared" si="187"/>
        <v>0</v>
      </c>
    </row>
    <row r="250" spans="1:98" x14ac:dyDescent="0.2">
      <c r="A250" s="8">
        <f t="shared" si="184"/>
        <v>44075</v>
      </c>
      <c r="B250" s="1">
        <v>245</v>
      </c>
      <c r="C250" s="1">
        <v>11</v>
      </c>
      <c r="D250" s="2">
        <v>12.99</v>
      </c>
      <c r="E250" s="2">
        <v>22.47</v>
      </c>
      <c r="F250" s="2">
        <v>5.9820000000000002</v>
      </c>
      <c r="G250" s="2">
        <v>13.57</v>
      </c>
      <c r="H250" s="2">
        <v>61.77</v>
      </c>
      <c r="I250" s="2">
        <v>14.47</v>
      </c>
      <c r="J250" s="2">
        <v>14.14</v>
      </c>
      <c r="K250" s="2">
        <v>17.57</v>
      </c>
      <c r="L250" s="2">
        <v>10.9</v>
      </c>
      <c r="M250" s="2">
        <v>9.43</v>
      </c>
      <c r="N250" s="2">
        <v>21.46</v>
      </c>
      <c r="O250" s="2">
        <v>86.1</v>
      </c>
      <c r="P250" s="2">
        <v>32.770000000000003</v>
      </c>
      <c r="Q250" s="2">
        <v>28.07</v>
      </c>
      <c r="R250" s="2">
        <v>40.21</v>
      </c>
      <c r="S250" s="2">
        <v>12.66</v>
      </c>
      <c r="T250" s="2">
        <v>9.58</v>
      </c>
      <c r="U250" s="2">
        <v>7.5659999999999998</v>
      </c>
      <c r="V250" s="2">
        <v>36.369999999999997</v>
      </c>
      <c r="W250" s="2">
        <v>3.5880000000000001</v>
      </c>
      <c r="X250" s="2">
        <v>4.4109999999999996</v>
      </c>
      <c r="Y250" s="2">
        <v>5.8230000000000004</v>
      </c>
      <c r="Z250" s="2">
        <v>9.6199999999999992</v>
      </c>
      <c r="AA250" s="2">
        <v>9.2899999999999991</v>
      </c>
      <c r="AB250" s="2">
        <v>2.633</v>
      </c>
      <c r="AC250" s="2">
        <v>0</v>
      </c>
      <c r="AD250" s="2">
        <v>18.899999999999999</v>
      </c>
      <c r="AE250" s="2">
        <v>3.9249999999999998</v>
      </c>
      <c r="AF250" s="2">
        <v>1.6180000000000001</v>
      </c>
      <c r="AG250" s="2">
        <v>6.1950000000000003</v>
      </c>
      <c r="AH250" s="2">
        <v>13.8</v>
      </c>
      <c r="AI250" s="2">
        <v>27.52</v>
      </c>
      <c r="AJ250" s="2">
        <v>5.19</v>
      </c>
      <c r="AK250" s="2">
        <v>24.28</v>
      </c>
      <c r="AL250" s="2">
        <v>7.5380000000000003</v>
      </c>
      <c r="AM250" s="2">
        <v>2.5819999999999999</v>
      </c>
      <c r="AN250" s="2" t="s">
        <v>122</v>
      </c>
      <c r="AO250" s="2">
        <v>577</v>
      </c>
      <c r="AP250" s="2">
        <v>213</v>
      </c>
      <c r="AQ250" s="2">
        <v>114</v>
      </c>
      <c r="AR250" s="2">
        <v>104</v>
      </c>
      <c r="AS250" s="2">
        <v>127</v>
      </c>
      <c r="AT250" s="2">
        <v>253</v>
      </c>
      <c r="AU250" s="2">
        <v>678</v>
      </c>
      <c r="AV250" s="2">
        <v>813</v>
      </c>
      <c r="AW250" s="2"/>
      <c r="AX250" s="2">
        <v>0</v>
      </c>
      <c r="AY250" s="26"/>
      <c r="AZ250" s="5">
        <v>22.93</v>
      </c>
      <c r="BA250" s="1">
        <v>18.899999999999999</v>
      </c>
      <c r="BB250" s="1">
        <v>3.61</v>
      </c>
      <c r="BC250" s="6">
        <f t="shared" si="185"/>
        <v>0.19100529100529101</v>
      </c>
      <c r="BE250" s="30">
        <v>0</v>
      </c>
      <c r="BF250" s="27">
        <v>0</v>
      </c>
      <c r="BG250" s="1">
        <f t="shared" si="159"/>
        <v>86.1</v>
      </c>
      <c r="BH250" s="1">
        <f t="shared" si="160"/>
        <v>61.8</v>
      </c>
      <c r="BI250" s="1">
        <f t="shared" si="161"/>
        <v>36.4</v>
      </c>
      <c r="BJ250" s="7">
        <f t="shared" si="162"/>
        <v>0.93100000000000005</v>
      </c>
      <c r="BK250" s="7">
        <f t="shared" si="163"/>
        <v>1.627</v>
      </c>
      <c r="BM250" s="5">
        <f t="shared" si="164"/>
        <v>18.899999999999999</v>
      </c>
      <c r="BN250" s="5">
        <f t="shared" si="165"/>
        <v>3.61</v>
      </c>
      <c r="BO250" s="1">
        <f t="shared" si="166"/>
        <v>13.6</v>
      </c>
      <c r="BP250" s="1">
        <f t="shared" si="167"/>
        <v>21.5</v>
      </c>
      <c r="BQ250" s="1">
        <f t="shared" si="168"/>
        <v>7.6</v>
      </c>
      <c r="BR250" s="1">
        <f t="shared" si="169"/>
        <v>61.8</v>
      </c>
      <c r="BS250" s="1">
        <f t="shared" si="170"/>
        <v>36.4</v>
      </c>
      <c r="BT250" s="1">
        <f t="shared" si="171"/>
        <v>1.6</v>
      </c>
      <c r="BU250" s="1">
        <f t="shared" si="172"/>
        <v>6.2</v>
      </c>
      <c r="BV250" s="33">
        <f t="shared" si="173"/>
        <v>0</v>
      </c>
      <c r="BW250" s="26">
        <f t="shared" si="188"/>
        <v>0</v>
      </c>
      <c r="BX250" s="20" t="str">
        <f t="shared" si="174"/>
        <v>NAN</v>
      </c>
      <c r="BY250" s="1">
        <f t="shared" si="175"/>
        <v>13.8</v>
      </c>
      <c r="BZ250" s="1">
        <f t="shared" si="176"/>
        <v>27.5</v>
      </c>
      <c r="CA250" s="1">
        <f t="shared" si="177"/>
        <v>5.2</v>
      </c>
      <c r="CB250" s="1">
        <f t="shared" si="178"/>
        <v>17.600000000000001</v>
      </c>
      <c r="CC250" s="1">
        <f t="shared" si="179"/>
        <v>10.9</v>
      </c>
      <c r="CD250" s="1">
        <f t="shared" si="180"/>
        <v>9.4</v>
      </c>
      <c r="CE250" s="1" t="str">
        <f t="shared" si="181"/>
        <v>NAN</v>
      </c>
      <c r="CF250" s="1">
        <f t="shared" si="182"/>
        <v>0.93100000000000005</v>
      </c>
      <c r="CG250" s="1">
        <f t="shared" si="183"/>
        <v>1.627</v>
      </c>
      <c r="CI250" s="1">
        <f t="shared" si="150"/>
        <v>2879</v>
      </c>
      <c r="CJ250" s="1">
        <f t="shared" si="151"/>
        <v>0.2</v>
      </c>
      <c r="CK250" s="1">
        <f t="shared" si="152"/>
        <v>7.3999999999999996E-2</v>
      </c>
      <c r="CL250" s="1">
        <f t="shared" si="153"/>
        <v>0.04</v>
      </c>
      <c r="CM250" s="1">
        <f t="shared" si="154"/>
        <v>3.5999999999999997E-2</v>
      </c>
      <c r="CN250" s="1">
        <f t="shared" si="155"/>
        <v>4.3999999999999997E-2</v>
      </c>
      <c r="CO250" s="1">
        <f t="shared" si="156"/>
        <v>8.7999999999999995E-2</v>
      </c>
      <c r="CP250" s="1">
        <f t="shared" si="157"/>
        <v>0.23499999999999999</v>
      </c>
      <c r="CQ250" s="1">
        <f t="shared" si="158"/>
        <v>0.28199999999999997</v>
      </c>
      <c r="CS250" s="1">
        <f t="shared" si="186"/>
        <v>6</v>
      </c>
      <c r="CT250" s="1">
        <f t="shared" si="187"/>
        <v>-2.3999999999999995</v>
      </c>
    </row>
    <row r="251" spans="1:98" x14ac:dyDescent="0.2">
      <c r="A251" s="8">
        <f t="shared" si="184"/>
        <v>44076</v>
      </c>
      <c r="B251" s="1">
        <v>246</v>
      </c>
      <c r="C251" s="1">
        <v>11</v>
      </c>
      <c r="D251" s="2">
        <v>12.98</v>
      </c>
      <c r="E251" s="2">
        <v>18.3</v>
      </c>
      <c r="F251" s="2">
        <v>4.2990000000000004</v>
      </c>
      <c r="G251" s="2">
        <v>11.38</v>
      </c>
      <c r="H251" s="2">
        <v>69.8</v>
      </c>
      <c r="I251" s="2">
        <v>11.94</v>
      </c>
      <c r="J251" s="2">
        <v>11.32</v>
      </c>
      <c r="K251" s="2">
        <v>17.22</v>
      </c>
      <c r="L251" s="2">
        <v>11.97</v>
      </c>
      <c r="M251" s="2">
        <v>9.5299999999999994</v>
      </c>
      <c r="N251" s="2">
        <v>16.72</v>
      </c>
      <c r="O251" s="2">
        <v>96.3</v>
      </c>
      <c r="P251" s="2">
        <v>29.2</v>
      </c>
      <c r="Q251" s="2">
        <v>24.25</v>
      </c>
      <c r="R251" s="2">
        <v>40.5</v>
      </c>
      <c r="S251" s="2">
        <v>13.2</v>
      </c>
      <c r="T251" s="2">
        <v>9.68</v>
      </c>
      <c r="U251" s="2">
        <v>6.8470000000000004</v>
      </c>
      <c r="V251" s="2">
        <v>48.28</v>
      </c>
      <c r="W251" s="2">
        <v>1.643</v>
      </c>
      <c r="X251" s="2">
        <v>1.9410000000000001</v>
      </c>
      <c r="Y251" s="2">
        <v>6.2160000000000002</v>
      </c>
      <c r="Z251" s="2">
        <v>10.97</v>
      </c>
      <c r="AA251" s="2">
        <v>9.35</v>
      </c>
      <c r="AB251" s="2">
        <v>2.6379999999999999</v>
      </c>
      <c r="AC251" s="2">
        <v>1.27</v>
      </c>
      <c r="AD251" s="2">
        <v>17.86</v>
      </c>
      <c r="AE251" s="2">
        <v>3.8719999999999999</v>
      </c>
      <c r="AF251" s="2">
        <v>1.4590000000000001</v>
      </c>
      <c r="AG251" s="2">
        <v>5.407</v>
      </c>
      <c r="AH251" s="2">
        <v>11.56</v>
      </c>
      <c r="AI251" s="2">
        <v>23.55</v>
      </c>
      <c r="AJ251" s="2">
        <v>4.0049999999999999</v>
      </c>
      <c r="AK251" s="2">
        <v>20.29</v>
      </c>
      <c r="AL251" s="2">
        <v>6.7859999999999996</v>
      </c>
      <c r="AM251" s="2">
        <v>2.601</v>
      </c>
      <c r="AN251" s="2" t="s">
        <v>122</v>
      </c>
      <c r="AO251" s="2">
        <v>667</v>
      </c>
      <c r="AP251" s="2">
        <v>722</v>
      </c>
      <c r="AQ251" s="2">
        <v>344</v>
      </c>
      <c r="AR251" s="2">
        <v>41</v>
      </c>
      <c r="AS251" s="2">
        <v>26</v>
      </c>
      <c r="AT251" s="2">
        <v>89</v>
      </c>
      <c r="AU251" s="2">
        <v>346</v>
      </c>
      <c r="AV251" s="2">
        <v>645</v>
      </c>
      <c r="AW251" s="2"/>
      <c r="AX251" s="2">
        <v>0</v>
      </c>
      <c r="AY251" s="26"/>
      <c r="AZ251" s="5">
        <v>22.69</v>
      </c>
      <c r="BA251" s="1">
        <v>17.86</v>
      </c>
      <c r="BB251" s="1">
        <v>3.56</v>
      </c>
      <c r="BC251" s="6">
        <f t="shared" si="185"/>
        <v>0.19932810750279956</v>
      </c>
      <c r="BE251" s="30">
        <v>1.27</v>
      </c>
      <c r="BF251" s="27">
        <v>0</v>
      </c>
      <c r="BG251" s="1">
        <f t="shared" si="159"/>
        <v>96.3</v>
      </c>
      <c r="BH251" s="1">
        <f t="shared" si="160"/>
        <v>69.8</v>
      </c>
      <c r="BI251" s="1">
        <f t="shared" si="161"/>
        <v>48.3</v>
      </c>
      <c r="BJ251" s="7">
        <f t="shared" si="162"/>
        <v>0.91900000000000004</v>
      </c>
      <c r="BK251" s="7">
        <f t="shared" si="163"/>
        <v>0.98399999999999999</v>
      </c>
      <c r="BM251" s="5">
        <f t="shared" si="164"/>
        <v>17.86</v>
      </c>
      <c r="BN251" s="5">
        <f t="shared" si="165"/>
        <v>3.56</v>
      </c>
      <c r="BO251" s="1">
        <f t="shared" si="166"/>
        <v>11.4</v>
      </c>
      <c r="BP251" s="1">
        <f t="shared" si="167"/>
        <v>16.7</v>
      </c>
      <c r="BQ251" s="1">
        <f t="shared" si="168"/>
        <v>6.8</v>
      </c>
      <c r="BR251" s="1">
        <f t="shared" si="169"/>
        <v>69.8</v>
      </c>
      <c r="BS251" s="1">
        <f t="shared" si="170"/>
        <v>48.3</v>
      </c>
      <c r="BT251" s="1">
        <f t="shared" si="171"/>
        <v>1.5</v>
      </c>
      <c r="BU251" s="1">
        <f t="shared" si="172"/>
        <v>5.4</v>
      </c>
      <c r="BV251" s="33">
        <f t="shared" si="173"/>
        <v>1.27</v>
      </c>
      <c r="BW251" s="26">
        <f t="shared" si="188"/>
        <v>0</v>
      </c>
      <c r="BX251" s="20" t="str">
        <f t="shared" si="174"/>
        <v>NAN</v>
      </c>
      <c r="BY251" s="1">
        <f t="shared" si="175"/>
        <v>11.6</v>
      </c>
      <c r="BZ251" s="1">
        <f t="shared" si="176"/>
        <v>23.6</v>
      </c>
      <c r="CA251" s="1">
        <f t="shared" si="177"/>
        <v>4</v>
      </c>
      <c r="CB251" s="1">
        <f t="shared" si="178"/>
        <v>17.2</v>
      </c>
      <c r="CC251" s="1">
        <f t="shared" si="179"/>
        <v>12</v>
      </c>
      <c r="CD251" s="1">
        <f t="shared" si="180"/>
        <v>9.5</v>
      </c>
      <c r="CE251" s="1" t="str">
        <f t="shared" si="181"/>
        <v>NAN</v>
      </c>
      <c r="CF251" s="1">
        <f t="shared" si="182"/>
        <v>0.91900000000000004</v>
      </c>
      <c r="CG251" s="1">
        <f t="shared" si="183"/>
        <v>0.98399999999999999</v>
      </c>
      <c r="CI251" s="1">
        <f t="shared" si="150"/>
        <v>2880</v>
      </c>
      <c r="CJ251" s="1">
        <f t="shared" si="151"/>
        <v>0.23200000000000001</v>
      </c>
      <c r="CK251" s="1">
        <f t="shared" si="152"/>
        <v>0.251</v>
      </c>
      <c r="CL251" s="1">
        <f t="shared" si="153"/>
        <v>0.11899999999999999</v>
      </c>
      <c r="CM251" s="1">
        <f t="shared" si="154"/>
        <v>1.4E-2</v>
      </c>
      <c r="CN251" s="1">
        <f t="shared" si="155"/>
        <v>8.9999999999999993E-3</v>
      </c>
      <c r="CO251" s="1">
        <f t="shared" si="156"/>
        <v>3.1E-2</v>
      </c>
      <c r="CP251" s="1">
        <f t="shared" si="157"/>
        <v>0.12</v>
      </c>
      <c r="CQ251" s="1">
        <f t="shared" si="158"/>
        <v>0.224</v>
      </c>
      <c r="CS251" s="1">
        <f t="shared" si="186"/>
        <v>6.9000000000000021</v>
      </c>
      <c r="CT251" s="1">
        <f t="shared" si="187"/>
        <v>-2.8</v>
      </c>
    </row>
    <row r="252" spans="1:98" x14ac:dyDescent="0.2">
      <c r="A252" s="8">
        <f t="shared" si="184"/>
        <v>44077</v>
      </c>
      <c r="B252" s="1">
        <v>247</v>
      </c>
      <c r="C252" s="1">
        <v>11</v>
      </c>
      <c r="D252" s="2">
        <v>12.97</v>
      </c>
      <c r="E252" s="2">
        <v>24.1</v>
      </c>
      <c r="F252" s="2">
        <v>3.4</v>
      </c>
      <c r="G252" s="2">
        <v>14.54</v>
      </c>
      <c r="H252" s="2">
        <v>45.92</v>
      </c>
      <c r="I252" s="2">
        <v>13.05</v>
      </c>
      <c r="J252" s="2">
        <v>12.78</v>
      </c>
      <c r="K252" s="2">
        <v>18.14</v>
      </c>
      <c r="L252" s="2">
        <v>11.85</v>
      </c>
      <c r="M252" s="2">
        <v>9.67</v>
      </c>
      <c r="N252" s="2">
        <v>22.91</v>
      </c>
      <c r="O252" s="2">
        <v>79.56</v>
      </c>
      <c r="P252" s="2">
        <v>34.61</v>
      </c>
      <c r="Q252" s="2">
        <v>29.45</v>
      </c>
      <c r="R252" s="2">
        <v>48</v>
      </c>
      <c r="S252" s="2">
        <v>13.49</v>
      </c>
      <c r="T252" s="2">
        <v>9.8800000000000008</v>
      </c>
      <c r="U252" s="2">
        <v>6.5330000000000004</v>
      </c>
      <c r="V252" s="2">
        <v>22</v>
      </c>
      <c r="W252" s="2">
        <v>0.376</v>
      </c>
      <c r="X252" s="2">
        <v>0.96499999999999997</v>
      </c>
      <c r="Y252" s="2">
        <v>3.347</v>
      </c>
      <c r="Z252" s="2">
        <v>10.28</v>
      </c>
      <c r="AA252" s="2">
        <v>9.5500000000000007</v>
      </c>
      <c r="AB252" s="2">
        <v>2.6440000000000001</v>
      </c>
      <c r="AC252" s="2">
        <v>0</v>
      </c>
      <c r="AD252" s="2">
        <v>19.829999999999998</v>
      </c>
      <c r="AE252" s="2">
        <v>4.1180000000000003</v>
      </c>
      <c r="AF252" s="2">
        <v>0.97899999999999998</v>
      </c>
      <c r="AG252" s="2">
        <v>3.7650000000000001</v>
      </c>
      <c r="AH252" s="2">
        <v>13.53</v>
      </c>
      <c r="AI252" s="2">
        <v>28.16</v>
      </c>
      <c r="AJ252" s="2">
        <v>3.0009999999999999</v>
      </c>
      <c r="AK252" s="2">
        <v>26.2</v>
      </c>
      <c r="AL252" s="2">
        <v>6.2210000000000001</v>
      </c>
      <c r="AM252" s="2">
        <v>2.5830000000000002</v>
      </c>
      <c r="AN252" s="2" t="s">
        <v>122</v>
      </c>
      <c r="AO252" s="2">
        <v>630</v>
      </c>
      <c r="AP252" s="2">
        <v>893</v>
      </c>
      <c r="AQ252" s="2">
        <v>214</v>
      </c>
      <c r="AR252" s="2">
        <v>108</v>
      </c>
      <c r="AS252" s="2">
        <v>64</v>
      </c>
      <c r="AT252" s="2">
        <v>171</v>
      </c>
      <c r="AU252" s="2">
        <v>359</v>
      </c>
      <c r="AV252" s="2">
        <v>441</v>
      </c>
      <c r="AW252" s="2"/>
      <c r="AX252" s="2">
        <v>0</v>
      </c>
      <c r="AY252" s="26"/>
      <c r="AZ252" s="5">
        <v>22.44</v>
      </c>
      <c r="BA252" s="1">
        <v>19.829999999999998</v>
      </c>
      <c r="BB252" s="1">
        <v>3.79</v>
      </c>
      <c r="BC252" s="6">
        <f t="shared" si="185"/>
        <v>0.19112455874936965</v>
      </c>
      <c r="BE252" s="30">
        <v>0</v>
      </c>
      <c r="BF252" s="27">
        <v>0</v>
      </c>
      <c r="BG252" s="1">
        <f t="shared" si="159"/>
        <v>79.599999999999994</v>
      </c>
      <c r="BH252" s="1">
        <f t="shared" si="160"/>
        <v>45.9</v>
      </c>
      <c r="BI252" s="1">
        <f t="shared" si="161"/>
        <v>22</v>
      </c>
      <c r="BJ252" s="7">
        <f t="shared" si="162"/>
        <v>0.61499999999999999</v>
      </c>
      <c r="BK252" s="7">
        <f t="shared" si="163"/>
        <v>2.1800000000000002</v>
      </c>
      <c r="BM252" s="5">
        <f t="shared" si="164"/>
        <v>19.829999999999998</v>
      </c>
      <c r="BN252" s="5">
        <f t="shared" si="165"/>
        <v>3.79</v>
      </c>
      <c r="BO252" s="1">
        <f t="shared" si="166"/>
        <v>14.5</v>
      </c>
      <c r="BP252" s="1">
        <f t="shared" si="167"/>
        <v>22.9</v>
      </c>
      <c r="BQ252" s="1">
        <f t="shared" si="168"/>
        <v>6.5</v>
      </c>
      <c r="BR252" s="1">
        <f t="shared" si="169"/>
        <v>45.9</v>
      </c>
      <c r="BS252" s="1">
        <f t="shared" si="170"/>
        <v>22</v>
      </c>
      <c r="BT252" s="1">
        <f t="shared" si="171"/>
        <v>1</v>
      </c>
      <c r="BU252" s="1">
        <f t="shared" si="172"/>
        <v>3.8</v>
      </c>
      <c r="BV252" s="33">
        <f t="shared" si="173"/>
        <v>0</v>
      </c>
      <c r="BW252" s="26">
        <f t="shared" si="188"/>
        <v>0</v>
      </c>
      <c r="BX252" s="20" t="str">
        <f t="shared" si="174"/>
        <v>NAN</v>
      </c>
      <c r="BY252" s="1">
        <f t="shared" si="175"/>
        <v>13.5</v>
      </c>
      <c r="BZ252" s="1">
        <f t="shared" si="176"/>
        <v>28.2</v>
      </c>
      <c r="CA252" s="1">
        <f t="shared" si="177"/>
        <v>3</v>
      </c>
      <c r="CB252" s="1">
        <f t="shared" si="178"/>
        <v>18.100000000000001</v>
      </c>
      <c r="CC252" s="1">
        <f t="shared" si="179"/>
        <v>11.9</v>
      </c>
      <c r="CD252" s="1">
        <f t="shared" si="180"/>
        <v>9.6999999999999993</v>
      </c>
      <c r="CE252" s="1" t="str">
        <f t="shared" si="181"/>
        <v>NAN</v>
      </c>
      <c r="CF252" s="1">
        <f t="shared" si="182"/>
        <v>0.61499999999999999</v>
      </c>
      <c r="CG252" s="1">
        <f t="shared" si="183"/>
        <v>2.1800000000000002</v>
      </c>
      <c r="CI252" s="1">
        <f t="shared" si="150"/>
        <v>2880</v>
      </c>
      <c r="CJ252" s="1">
        <f t="shared" si="151"/>
        <v>0.219</v>
      </c>
      <c r="CK252" s="1">
        <f t="shared" si="152"/>
        <v>0.31</v>
      </c>
      <c r="CL252" s="1">
        <f t="shared" si="153"/>
        <v>7.3999999999999996E-2</v>
      </c>
      <c r="CM252" s="1">
        <f t="shared" si="154"/>
        <v>3.7999999999999999E-2</v>
      </c>
      <c r="CN252" s="1">
        <f t="shared" si="155"/>
        <v>2.1999999999999999E-2</v>
      </c>
      <c r="CO252" s="1">
        <f t="shared" si="156"/>
        <v>5.8999999999999997E-2</v>
      </c>
      <c r="CP252" s="1">
        <f t="shared" si="157"/>
        <v>0.125</v>
      </c>
      <c r="CQ252" s="1">
        <f t="shared" si="158"/>
        <v>0.153</v>
      </c>
      <c r="CS252" s="1">
        <f t="shared" si="186"/>
        <v>5.3000000000000007</v>
      </c>
      <c r="CT252" s="1">
        <f t="shared" si="187"/>
        <v>-3.5</v>
      </c>
    </row>
    <row r="253" spans="1:98" x14ac:dyDescent="0.2">
      <c r="A253" s="8">
        <f t="shared" si="184"/>
        <v>44078</v>
      </c>
      <c r="B253" s="1">
        <v>248</v>
      </c>
      <c r="C253" s="1">
        <v>11</v>
      </c>
      <c r="D253" s="2">
        <v>12.97</v>
      </c>
      <c r="E253" s="2">
        <v>27.69</v>
      </c>
      <c r="F253" s="2">
        <v>7.7290000000000001</v>
      </c>
      <c r="G253" s="2">
        <v>18.18</v>
      </c>
      <c r="H253" s="2">
        <v>33.67</v>
      </c>
      <c r="I253" s="2">
        <v>15.72</v>
      </c>
      <c r="J253" s="2">
        <v>15.79</v>
      </c>
      <c r="K253" s="2">
        <v>20.27</v>
      </c>
      <c r="L253" s="2">
        <v>12.41</v>
      </c>
      <c r="M253" s="2">
        <v>9.74</v>
      </c>
      <c r="N253" s="2">
        <v>27.23</v>
      </c>
      <c r="O253" s="2">
        <v>46</v>
      </c>
      <c r="P253" s="2">
        <v>39.11</v>
      </c>
      <c r="Q253" s="2">
        <v>34.08</v>
      </c>
      <c r="R253" s="2">
        <v>47.3</v>
      </c>
      <c r="S253" s="2">
        <v>14.07</v>
      </c>
      <c r="T253" s="2">
        <v>9.93</v>
      </c>
      <c r="U253" s="2">
        <v>11.43</v>
      </c>
      <c r="V253" s="2">
        <v>13.15</v>
      </c>
      <c r="W253" s="2">
        <v>2.9279999999999999</v>
      </c>
      <c r="X253" s="2">
        <v>3.9809999999999999</v>
      </c>
      <c r="Y253" s="2">
        <v>5.7729999999999997</v>
      </c>
      <c r="Z253" s="2">
        <v>10.91</v>
      </c>
      <c r="AA253" s="2">
        <v>9.58</v>
      </c>
      <c r="AB253" s="2">
        <v>2.6379999999999999</v>
      </c>
      <c r="AC253" s="2">
        <v>0</v>
      </c>
      <c r="AD253" s="2">
        <v>18.84</v>
      </c>
      <c r="AE253" s="2">
        <v>3.8730000000000002</v>
      </c>
      <c r="AF253" s="2">
        <v>0.97899999999999998</v>
      </c>
      <c r="AG253" s="2">
        <v>3.0920000000000001</v>
      </c>
      <c r="AH253" s="2">
        <v>16.59</v>
      </c>
      <c r="AI253" s="2">
        <v>33.17</v>
      </c>
      <c r="AJ253" s="2">
        <v>6.5960000000000001</v>
      </c>
      <c r="AK253" s="2">
        <v>29.93</v>
      </c>
      <c r="AL253" s="2">
        <v>11.53</v>
      </c>
      <c r="AM253" s="2">
        <v>2.5720000000000001</v>
      </c>
      <c r="AN253" s="2" t="s">
        <v>122</v>
      </c>
      <c r="AO253" s="2">
        <v>21</v>
      </c>
      <c r="AP253" s="2">
        <v>148</v>
      </c>
      <c r="AQ253" s="2">
        <v>1056</v>
      </c>
      <c r="AR253" s="2">
        <v>411</v>
      </c>
      <c r="AS253" s="2">
        <v>290</v>
      </c>
      <c r="AT253" s="2">
        <v>419</v>
      </c>
      <c r="AU253" s="2">
        <v>421</v>
      </c>
      <c r="AV253" s="2">
        <v>114</v>
      </c>
      <c r="AW253" s="2"/>
      <c r="AX253" s="2">
        <v>0</v>
      </c>
      <c r="AY253" s="26"/>
      <c r="AZ253" s="5">
        <v>22.2</v>
      </c>
      <c r="BA253" s="1">
        <v>18.84</v>
      </c>
      <c r="BB253" s="1">
        <v>3.56</v>
      </c>
      <c r="BC253" s="6">
        <f t="shared" si="185"/>
        <v>0.18895966029723993</v>
      </c>
      <c r="BE253" s="30">
        <v>0</v>
      </c>
      <c r="BF253" s="27">
        <v>0</v>
      </c>
      <c r="BG253" s="1">
        <f t="shared" si="159"/>
        <v>46</v>
      </c>
      <c r="BH253" s="1">
        <f t="shared" si="160"/>
        <v>33.700000000000003</v>
      </c>
      <c r="BI253" s="1">
        <f t="shared" si="161"/>
        <v>13.2</v>
      </c>
      <c r="BJ253" s="7">
        <f t="shared" si="162"/>
        <v>0.47699999999999998</v>
      </c>
      <c r="BK253" s="7">
        <f t="shared" si="163"/>
        <v>3.137</v>
      </c>
      <c r="BM253" s="5">
        <f t="shared" si="164"/>
        <v>18.84</v>
      </c>
      <c r="BN253" s="5">
        <f t="shared" si="165"/>
        <v>3.56</v>
      </c>
      <c r="BO253" s="1">
        <f t="shared" si="166"/>
        <v>18.2</v>
      </c>
      <c r="BP253" s="1">
        <f t="shared" si="167"/>
        <v>27.2</v>
      </c>
      <c r="BQ253" s="1">
        <f t="shared" si="168"/>
        <v>11.4</v>
      </c>
      <c r="BR253" s="1">
        <f t="shared" si="169"/>
        <v>33.700000000000003</v>
      </c>
      <c r="BS253" s="1">
        <f t="shared" si="170"/>
        <v>13.2</v>
      </c>
      <c r="BT253" s="1">
        <f t="shared" si="171"/>
        <v>1</v>
      </c>
      <c r="BU253" s="1">
        <f t="shared" si="172"/>
        <v>3.1</v>
      </c>
      <c r="BV253" s="33">
        <f t="shared" si="173"/>
        <v>0</v>
      </c>
      <c r="BW253" s="26">
        <f t="shared" si="188"/>
        <v>0</v>
      </c>
      <c r="BX253" s="20" t="str">
        <f t="shared" si="174"/>
        <v>NAN</v>
      </c>
      <c r="BY253" s="1">
        <f t="shared" si="175"/>
        <v>16.600000000000001</v>
      </c>
      <c r="BZ253" s="1">
        <f t="shared" si="176"/>
        <v>33.200000000000003</v>
      </c>
      <c r="CA253" s="1">
        <f t="shared" si="177"/>
        <v>6.6</v>
      </c>
      <c r="CB253" s="1">
        <f t="shared" si="178"/>
        <v>20.3</v>
      </c>
      <c r="CC253" s="1">
        <f t="shared" si="179"/>
        <v>12.4</v>
      </c>
      <c r="CD253" s="1">
        <f t="shared" si="180"/>
        <v>9.6999999999999993</v>
      </c>
      <c r="CE253" s="1" t="str">
        <f t="shared" si="181"/>
        <v>NAN</v>
      </c>
      <c r="CF253" s="1">
        <f t="shared" si="182"/>
        <v>0.47699999999999998</v>
      </c>
      <c r="CG253" s="1">
        <f t="shared" si="183"/>
        <v>3.137</v>
      </c>
      <c r="CI253" s="1">
        <f t="shared" si="150"/>
        <v>2880</v>
      </c>
      <c r="CJ253" s="1">
        <f t="shared" si="151"/>
        <v>7.0000000000000001E-3</v>
      </c>
      <c r="CK253" s="1">
        <f t="shared" si="152"/>
        <v>5.0999999999999997E-2</v>
      </c>
      <c r="CL253" s="1">
        <f t="shared" si="153"/>
        <v>0.36699999999999999</v>
      </c>
      <c r="CM253" s="1">
        <f t="shared" si="154"/>
        <v>0.14299999999999999</v>
      </c>
      <c r="CN253" s="1">
        <f t="shared" si="155"/>
        <v>0.10100000000000001</v>
      </c>
      <c r="CO253" s="1">
        <f t="shared" si="156"/>
        <v>0.14499999999999999</v>
      </c>
      <c r="CP253" s="1">
        <f t="shared" si="157"/>
        <v>0.14599999999999999</v>
      </c>
      <c r="CQ253" s="1">
        <f t="shared" si="158"/>
        <v>0.04</v>
      </c>
      <c r="CS253" s="1">
        <f t="shared" si="186"/>
        <v>6.0000000000000036</v>
      </c>
      <c r="CT253" s="1">
        <f t="shared" si="187"/>
        <v>-4.8000000000000007</v>
      </c>
    </row>
    <row r="254" spans="1:98" x14ac:dyDescent="0.2">
      <c r="A254" s="8">
        <f t="shared" si="184"/>
        <v>44079</v>
      </c>
      <c r="B254" s="1">
        <v>249</v>
      </c>
      <c r="C254" s="1">
        <v>11</v>
      </c>
      <c r="D254" s="2">
        <v>12.97</v>
      </c>
      <c r="E254" s="2">
        <v>23.72</v>
      </c>
      <c r="F254" s="2">
        <v>9.41</v>
      </c>
      <c r="G254" s="2">
        <v>16.87</v>
      </c>
      <c r="H254" s="2">
        <v>38.42</v>
      </c>
      <c r="I254" s="2">
        <v>15.52</v>
      </c>
      <c r="J254" s="2">
        <v>15.39</v>
      </c>
      <c r="K254" s="2">
        <v>20.54</v>
      </c>
      <c r="L254" s="2">
        <v>12.95</v>
      </c>
      <c r="M254" s="2">
        <v>9.91</v>
      </c>
      <c r="N254" s="2">
        <v>22.41</v>
      </c>
      <c r="O254" s="2">
        <v>56.34</v>
      </c>
      <c r="P254" s="2">
        <v>34.729999999999997</v>
      </c>
      <c r="Q254" s="2">
        <v>29.83</v>
      </c>
      <c r="R254" s="2">
        <v>48.49</v>
      </c>
      <c r="S254" s="2">
        <v>14.35</v>
      </c>
      <c r="T254" s="2">
        <v>10.08</v>
      </c>
      <c r="U254" s="2">
        <v>12.58</v>
      </c>
      <c r="V254" s="2">
        <v>27.07</v>
      </c>
      <c r="W254" s="2">
        <v>4.6159999999999997</v>
      </c>
      <c r="X254" s="2">
        <v>5.9909999999999997</v>
      </c>
      <c r="Y254" s="2">
        <v>7.9429999999999996</v>
      </c>
      <c r="Z254" s="2">
        <v>11.6</v>
      </c>
      <c r="AA254" s="2">
        <v>9.7100000000000009</v>
      </c>
      <c r="AB254" s="2">
        <v>2.6339999999999999</v>
      </c>
      <c r="AC254" s="2">
        <v>0</v>
      </c>
      <c r="AD254" s="2">
        <v>18.809999999999999</v>
      </c>
      <c r="AE254" s="2">
        <v>3.8650000000000002</v>
      </c>
      <c r="AF254" s="2">
        <v>1.244</v>
      </c>
      <c r="AG254" s="2">
        <v>3.8879999999999999</v>
      </c>
      <c r="AH254" s="2">
        <v>15.61</v>
      </c>
      <c r="AI254" s="2">
        <v>27.4</v>
      </c>
      <c r="AJ254" s="2">
        <v>8.2899999999999991</v>
      </c>
      <c r="AK254" s="2">
        <v>25.52</v>
      </c>
      <c r="AL254" s="2">
        <v>12.42</v>
      </c>
      <c r="AM254" s="2">
        <v>2.5750000000000002</v>
      </c>
      <c r="AN254" s="2" t="s">
        <v>122</v>
      </c>
      <c r="AO254" s="2">
        <v>654</v>
      </c>
      <c r="AP254" s="2">
        <v>912</v>
      </c>
      <c r="AQ254" s="2">
        <v>894</v>
      </c>
      <c r="AR254" s="2">
        <v>47</v>
      </c>
      <c r="AS254" s="2">
        <v>23</v>
      </c>
      <c r="AT254" s="2">
        <v>16</v>
      </c>
      <c r="AU254" s="2">
        <v>74</v>
      </c>
      <c r="AV254" s="2">
        <v>260</v>
      </c>
      <c r="AW254" s="2"/>
      <c r="AX254" s="2">
        <v>0</v>
      </c>
      <c r="AY254" s="26"/>
      <c r="AZ254" s="5">
        <v>21.95</v>
      </c>
      <c r="BA254" s="1">
        <v>18.82</v>
      </c>
      <c r="BB254" s="1">
        <v>3.56</v>
      </c>
      <c r="BC254" s="6">
        <f t="shared" si="185"/>
        <v>0.18916046758767269</v>
      </c>
      <c r="BE254" s="30">
        <v>0</v>
      </c>
      <c r="BF254" s="27">
        <v>0</v>
      </c>
      <c r="BG254" s="1">
        <f t="shared" si="159"/>
        <v>56.3</v>
      </c>
      <c r="BH254" s="1">
        <f t="shared" si="160"/>
        <v>38.4</v>
      </c>
      <c r="BI254" s="1">
        <f t="shared" si="161"/>
        <v>27.1</v>
      </c>
      <c r="BJ254" s="7">
        <f t="shared" si="162"/>
        <v>0.73399999999999999</v>
      </c>
      <c r="BK254" s="7">
        <f t="shared" si="163"/>
        <v>1.974</v>
      </c>
      <c r="BM254" s="5">
        <f t="shared" si="164"/>
        <v>18.82</v>
      </c>
      <c r="BN254" s="5">
        <f t="shared" si="165"/>
        <v>3.56</v>
      </c>
      <c r="BO254" s="1">
        <f t="shared" si="166"/>
        <v>16.899999999999999</v>
      </c>
      <c r="BP254" s="1">
        <f t="shared" si="167"/>
        <v>22.4</v>
      </c>
      <c r="BQ254" s="1">
        <f t="shared" si="168"/>
        <v>12.6</v>
      </c>
      <c r="BR254" s="1">
        <f t="shared" si="169"/>
        <v>38.4</v>
      </c>
      <c r="BS254" s="1">
        <f t="shared" si="170"/>
        <v>27.1</v>
      </c>
      <c r="BT254" s="1">
        <f t="shared" si="171"/>
        <v>1.2</v>
      </c>
      <c r="BU254" s="1">
        <f t="shared" si="172"/>
        <v>3.9</v>
      </c>
      <c r="BV254" s="33">
        <f t="shared" si="173"/>
        <v>0</v>
      </c>
      <c r="BW254" s="26">
        <f t="shared" si="188"/>
        <v>0</v>
      </c>
      <c r="BX254" s="20" t="str">
        <f t="shared" si="174"/>
        <v>NAN</v>
      </c>
      <c r="BY254" s="1">
        <f t="shared" si="175"/>
        <v>15.6</v>
      </c>
      <c r="BZ254" s="1">
        <f t="shared" si="176"/>
        <v>27.4</v>
      </c>
      <c r="CA254" s="1">
        <f t="shared" si="177"/>
        <v>8.3000000000000007</v>
      </c>
      <c r="CB254" s="1">
        <f t="shared" si="178"/>
        <v>20.5</v>
      </c>
      <c r="CC254" s="1">
        <f t="shared" si="179"/>
        <v>13</v>
      </c>
      <c r="CD254" s="1">
        <f t="shared" si="180"/>
        <v>9.9</v>
      </c>
      <c r="CE254" s="1" t="str">
        <f t="shared" si="181"/>
        <v>NAN</v>
      </c>
      <c r="CF254" s="1">
        <f t="shared" si="182"/>
        <v>0.73399999999999999</v>
      </c>
      <c r="CG254" s="1">
        <f t="shared" si="183"/>
        <v>1.974</v>
      </c>
      <c r="CI254" s="1">
        <f t="shared" si="150"/>
        <v>2880</v>
      </c>
      <c r="CJ254" s="1">
        <f t="shared" si="151"/>
        <v>0.22700000000000001</v>
      </c>
      <c r="CK254" s="1">
        <f t="shared" si="152"/>
        <v>0.317</v>
      </c>
      <c r="CL254" s="1">
        <f t="shared" si="153"/>
        <v>0.31</v>
      </c>
      <c r="CM254" s="1">
        <f t="shared" si="154"/>
        <v>1.6E-2</v>
      </c>
      <c r="CN254" s="1">
        <f t="shared" si="155"/>
        <v>8.0000000000000002E-3</v>
      </c>
      <c r="CO254" s="1">
        <f t="shared" si="156"/>
        <v>6.0000000000000001E-3</v>
      </c>
      <c r="CP254" s="1">
        <f t="shared" si="157"/>
        <v>2.5999999999999999E-2</v>
      </c>
      <c r="CQ254" s="1">
        <f t="shared" si="158"/>
        <v>0.09</v>
      </c>
      <c r="CS254" s="1">
        <f t="shared" si="186"/>
        <v>5</v>
      </c>
      <c r="CT254" s="1">
        <f t="shared" si="187"/>
        <v>-4.2999999999999989</v>
      </c>
    </row>
    <row r="255" spans="1:98" x14ac:dyDescent="0.2">
      <c r="A255" s="8">
        <f t="shared" si="184"/>
        <v>44080</v>
      </c>
      <c r="B255" s="1">
        <v>250</v>
      </c>
      <c r="C255" s="1">
        <v>11</v>
      </c>
      <c r="D255" s="2">
        <v>12.97</v>
      </c>
      <c r="E255" s="2">
        <v>23.04</v>
      </c>
      <c r="F255" s="2">
        <v>7.1589999999999998</v>
      </c>
      <c r="G255" s="2">
        <v>14.42</v>
      </c>
      <c r="H255" s="2">
        <v>52.34</v>
      </c>
      <c r="I255" s="2">
        <v>14.85</v>
      </c>
      <c r="J255" s="2">
        <v>14.36</v>
      </c>
      <c r="K255" s="2">
        <v>20.43</v>
      </c>
      <c r="L255" s="2">
        <v>12.98</v>
      </c>
      <c r="M255" s="2">
        <v>10.02</v>
      </c>
      <c r="N255" s="2">
        <v>21.42</v>
      </c>
      <c r="O255" s="2">
        <v>82.8</v>
      </c>
      <c r="P255" s="2">
        <v>33.18</v>
      </c>
      <c r="Q255" s="2">
        <v>28.4</v>
      </c>
      <c r="R255" s="2">
        <v>47.47</v>
      </c>
      <c r="S255" s="2">
        <v>14.33</v>
      </c>
      <c r="T255" s="2">
        <v>10.199999999999999</v>
      </c>
      <c r="U255" s="2">
        <v>8.11</v>
      </c>
      <c r="V255" s="2">
        <v>33.020000000000003</v>
      </c>
      <c r="W255" s="2">
        <v>3.117</v>
      </c>
      <c r="X255" s="2">
        <v>4.0869999999999997</v>
      </c>
      <c r="Y255" s="2">
        <v>6.8390000000000004</v>
      </c>
      <c r="Z255" s="2">
        <v>11.58</v>
      </c>
      <c r="AA255" s="2">
        <v>9.86</v>
      </c>
      <c r="AB255" s="2">
        <v>2.6280000000000001</v>
      </c>
      <c r="AC255" s="2">
        <v>0</v>
      </c>
      <c r="AD255" s="2">
        <v>18.440000000000001</v>
      </c>
      <c r="AE255" s="2">
        <v>3.702</v>
      </c>
      <c r="AF255" s="2">
        <v>1.2629999999999999</v>
      </c>
      <c r="AG255" s="2">
        <v>4.3179999999999996</v>
      </c>
      <c r="AH255" s="2">
        <v>14.46</v>
      </c>
      <c r="AI255" s="2">
        <v>27.56</v>
      </c>
      <c r="AJ255" s="2">
        <v>6.0149999999999997</v>
      </c>
      <c r="AK255" s="2">
        <v>24.49</v>
      </c>
      <c r="AL255" s="2">
        <v>7.8120000000000003</v>
      </c>
      <c r="AM255" s="2">
        <v>2.59</v>
      </c>
      <c r="AN255" s="2" t="s">
        <v>122</v>
      </c>
      <c r="AO255" s="2">
        <v>475</v>
      </c>
      <c r="AP255" s="2">
        <v>1098</v>
      </c>
      <c r="AQ255" s="2">
        <v>472</v>
      </c>
      <c r="AR255" s="2">
        <v>117</v>
      </c>
      <c r="AS255" s="2">
        <v>91</v>
      </c>
      <c r="AT255" s="2">
        <v>125</v>
      </c>
      <c r="AU255" s="2">
        <v>205</v>
      </c>
      <c r="AV255" s="2">
        <v>297</v>
      </c>
      <c r="AW255" s="2"/>
      <c r="AX255" s="2">
        <v>0</v>
      </c>
      <c r="AY255" s="26"/>
      <c r="AZ255" s="5">
        <v>21.71</v>
      </c>
      <c r="BA255" s="1">
        <v>18.440000000000001</v>
      </c>
      <c r="BB255" s="1">
        <v>3.41</v>
      </c>
      <c r="BC255" s="6">
        <f t="shared" si="185"/>
        <v>0.18492407809110628</v>
      </c>
      <c r="BE255" s="30">
        <v>0</v>
      </c>
      <c r="BF255" s="27">
        <v>0</v>
      </c>
      <c r="BG255" s="1">
        <f t="shared" si="159"/>
        <v>82.8</v>
      </c>
      <c r="BH255" s="1">
        <f t="shared" si="160"/>
        <v>52.3</v>
      </c>
      <c r="BI255" s="1">
        <f t="shared" si="161"/>
        <v>33</v>
      </c>
      <c r="BJ255" s="7">
        <f t="shared" si="162"/>
        <v>0.84199999999999997</v>
      </c>
      <c r="BK255" s="7">
        <f t="shared" si="163"/>
        <v>1.71</v>
      </c>
      <c r="BM255" s="5">
        <f t="shared" si="164"/>
        <v>18.440000000000001</v>
      </c>
      <c r="BN255" s="5">
        <f t="shared" si="165"/>
        <v>3.41</v>
      </c>
      <c r="BO255" s="1">
        <f t="shared" si="166"/>
        <v>14.4</v>
      </c>
      <c r="BP255" s="1">
        <f t="shared" si="167"/>
        <v>21.4</v>
      </c>
      <c r="BQ255" s="1">
        <f t="shared" si="168"/>
        <v>8.1</v>
      </c>
      <c r="BR255" s="1">
        <f t="shared" si="169"/>
        <v>52.3</v>
      </c>
      <c r="BS255" s="1">
        <f t="shared" si="170"/>
        <v>33</v>
      </c>
      <c r="BT255" s="1">
        <f t="shared" si="171"/>
        <v>1.3</v>
      </c>
      <c r="BU255" s="1">
        <f t="shared" si="172"/>
        <v>4.3</v>
      </c>
      <c r="BV255" s="33">
        <f t="shared" si="173"/>
        <v>0</v>
      </c>
      <c r="BW255" s="26">
        <f t="shared" si="188"/>
        <v>0</v>
      </c>
      <c r="BX255" s="20" t="str">
        <f t="shared" si="174"/>
        <v>NAN</v>
      </c>
      <c r="BY255" s="1">
        <f t="shared" si="175"/>
        <v>14.5</v>
      </c>
      <c r="BZ255" s="1">
        <f t="shared" si="176"/>
        <v>27.6</v>
      </c>
      <c r="CA255" s="1">
        <f t="shared" si="177"/>
        <v>6</v>
      </c>
      <c r="CB255" s="1">
        <f t="shared" si="178"/>
        <v>20.399999999999999</v>
      </c>
      <c r="CC255" s="1">
        <f t="shared" si="179"/>
        <v>13</v>
      </c>
      <c r="CD255" s="1">
        <f t="shared" si="180"/>
        <v>10</v>
      </c>
      <c r="CE255" s="1" t="str">
        <f t="shared" si="181"/>
        <v>NAN</v>
      </c>
      <c r="CF255" s="1">
        <f t="shared" si="182"/>
        <v>0.84199999999999997</v>
      </c>
      <c r="CG255" s="1">
        <f t="shared" si="183"/>
        <v>1.71</v>
      </c>
      <c r="CI255" s="1">
        <f t="shared" si="150"/>
        <v>2880</v>
      </c>
      <c r="CJ255" s="1">
        <f t="shared" si="151"/>
        <v>0.16500000000000001</v>
      </c>
      <c r="CK255" s="1">
        <f t="shared" si="152"/>
        <v>0.38100000000000001</v>
      </c>
      <c r="CL255" s="1">
        <f t="shared" si="153"/>
        <v>0.16400000000000001</v>
      </c>
      <c r="CM255" s="1">
        <f t="shared" si="154"/>
        <v>4.1000000000000002E-2</v>
      </c>
      <c r="CN255" s="1">
        <f t="shared" si="155"/>
        <v>3.2000000000000001E-2</v>
      </c>
      <c r="CO255" s="1">
        <f t="shared" si="156"/>
        <v>4.2999999999999997E-2</v>
      </c>
      <c r="CP255" s="1">
        <f t="shared" si="157"/>
        <v>7.0999999999999994E-2</v>
      </c>
      <c r="CQ255" s="1">
        <f t="shared" si="158"/>
        <v>0.10299999999999999</v>
      </c>
      <c r="CS255" s="1">
        <f t="shared" si="186"/>
        <v>6.2000000000000028</v>
      </c>
      <c r="CT255" s="1">
        <f t="shared" si="187"/>
        <v>-2.0999999999999996</v>
      </c>
    </row>
    <row r="256" spans="1:98" x14ac:dyDescent="0.2">
      <c r="A256" s="8">
        <f t="shared" si="184"/>
        <v>44081</v>
      </c>
      <c r="B256" s="1">
        <v>251</v>
      </c>
      <c r="C256" s="1">
        <v>11</v>
      </c>
      <c r="D256" s="2">
        <v>12.96</v>
      </c>
      <c r="E256" s="2">
        <v>15.36</v>
      </c>
      <c r="F256" s="2">
        <v>-0.373</v>
      </c>
      <c r="G256" s="2">
        <v>7.5869999999999997</v>
      </c>
      <c r="H256" s="2">
        <v>55.87</v>
      </c>
      <c r="I256" s="2">
        <v>7.5140000000000002</v>
      </c>
      <c r="J256" s="2">
        <v>7.117</v>
      </c>
      <c r="K256" s="2">
        <v>14.63</v>
      </c>
      <c r="L256" s="2">
        <v>12.68</v>
      </c>
      <c r="M256" s="2">
        <v>10.07</v>
      </c>
      <c r="N256" s="2">
        <v>13.98</v>
      </c>
      <c r="O256" s="2">
        <v>85.7</v>
      </c>
      <c r="P256" s="2">
        <v>26.73</v>
      </c>
      <c r="Q256" s="2">
        <v>22.25</v>
      </c>
      <c r="R256" s="2">
        <v>40.049999999999997</v>
      </c>
      <c r="S256" s="2">
        <v>13.97</v>
      </c>
      <c r="T256" s="2">
        <v>10.29</v>
      </c>
      <c r="U256" s="2">
        <v>3.218</v>
      </c>
      <c r="V256" s="2">
        <v>26.31</v>
      </c>
      <c r="W256" s="2">
        <v>-4.8330000000000002</v>
      </c>
      <c r="X256" s="2">
        <v>-3.444</v>
      </c>
      <c r="Y256" s="2">
        <v>1.1659999999999999</v>
      </c>
      <c r="Z256" s="2">
        <v>11.79</v>
      </c>
      <c r="AA256" s="2">
        <v>9.93</v>
      </c>
      <c r="AB256" s="2">
        <v>2.645</v>
      </c>
      <c r="AC256" s="2">
        <v>0</v>
      </c>
      <c r="AD256" s="2">
        <v>15.21</v>
      </c>
      <c r="AE256" s="2">
        <v>3.3650000000000002</v>
      </c>
      <c r="AF256" s="2">
        <v>1.0660000000000001</v>
      </c>
      <c r="AG256" s="2">
        <v>3.9830000000000001</v>
      </c>
      <c r="AH256" s="2">
        <v>7.5990000000000002</v>
      </c>
      <c r="AI256" s="2">
        <v>21.67</v>
      </c>
      <c r="AJ256" s="2">
        <v>-1.294</v>
      </c>
      <c r="AK256" s="2">
        <v>17.73</v>
      </c>
      <c r="AL256" s="2">
        <v>3.254</v>
      </c>
      <c r="AM256" s="2">
        <v>2.63</v>
      </c>
      <c r="AN256" s="2" t="s">
        <v>122</v>
      </c>
      <c r="AO256" s="2">
        <v>365</v>
      </c>
      <c r="AP256" s="2">
        <v>456</v>
      </c>
      <c r="AQ256" s="2">
        <v>617</v>
      </c>
      <c r="AR256" s="2">
        <v>304</v>
      </c>
      <c r="AS256" s="2">
        <v>226</v>
      </c>
      <c r="AT256" s="2">
        <v>268</v>
      </c>
      <c r="AU256" s="2">
        <v>322</v>
      </c>
      <c r="AV256" s="2">
        <v>322</v>
      </c>
      <c r="AW256" s="2"/>
      <c r="AX256" s="2">
        <v>0</v>
      </c>
      <c r="AY256" s="26"/>
      <c r="AZ256" s="5">
        <v>21.46</v>
      </c>
      <c r="BA256" s="1">
        <v>15.21</v>
      </c>
      <c r="BB256" s="1">
        <v>3.1</v>
      </c>
      <c r="BC256" s="6">
        <f t="shared" si="185"/>
        <v>0.20381328073635765</v>
      </c>
      <c r="BE256" s="30">
        <v>0</v>
      </c>
      <c r="BF256" s="27">
        <v>0</v>
      </c>
      <c r="BG256" s="1">
        <f t="shared" si="159"/>
        <v>85.7</v>
      </c>
      <c r="BH256" s="1">
        <f t="shared" si="160"/>
        <v>55.9</v>
      </c>
      <c r="BI256" s="1">
        <f t="shared" si="161"/>
        <v>26.3</v>
      </c>
      <c r="BJ256" s="7">
        <f t="shared" si="162"/>
        <v>0.42</v>
      </c>
      <c r="BK256" s="7">
        <f t="shared" si="163"/>
        <v>1.177</v>
      </c>
      <c r="BM256" s="5">
        <f t="shared" si="164"/>
        <v>15.21</v>
      </c>
      <c r="BN256" s="5">
        <f t="shared" si="165"/>
        <v>3.1</v>
      </c>
      <c r="BO256" s="1">
        <f t="shared" si="166"/>
        <v>7.6</v>
      </c>
      <c r="BP256" s="1">
        <f t="shared" si="167"/>
        <v>14</v>
      </c>
      <c r="BQ256" s="1">
        <f t="shared" si="168"/>
        <v>3.2</v>
      </c>
      <c r="BR256" s="1">
        <f t="shared" si="169"/>
        <v>55.9</v>
      </c>
      <c r="BS256" s="1">
        <f t="shared" si="170"/>
        <v>26.3</v>
      </c>
      <c r="BT256" s="1">
        <f t="shared" si="171"/>
        <v>1.1000000000000001</v>
      </c>
      <c r="BU256" s="1">
        <f t="shared" si="172"/>
        <v>4</v>
      </c>
      <c r="BV256" s="33">
        <f t="shared" si="173"/>
        <v>0</v>
      </c>
      <c r="BW256" s="26">
        <f t="shared" ref="BW256:BW278" si="189">BF256</f>
        <v>0</v>
      </c>
      <c r="BX256" s="20" t="str">
        <f t="shared" si="174"/>
        <v>NAN</v>
      </c>
      <c r="BY256" s="1">
        <f t="shared" si="175"/>
        <v>7.6</v>
      </c>
      <c r="BZ256" s="1">
        <f t="shared" si="176"/>
        <v>21.7</v>
      </c>
      <c r="CA256" s="1">
        <f t="shared" si="177"/>
        <v>-1.3</v>
      </c>
      <c r="CB256" s="1">
        <f t="shared" si="178"/>
        <v>14.6</v>
      </c>
      <c r="CC256" s="1">
        <f t="shared" si="179"/>
        <v>12.7</v>
      </c>
      <c r="CD256" s="1">
        <f t="shared" si="180"/>
        <v>10.1</v>
      </c>
      <c r="CE256" s="1" t="str">
        <f t="shared" si="181"/>
        <v>NAN</v>
      </c>
      <c r="CF256" s="1">
        <f t="shared" si="182"/>
        <v>0.42</v>
      </c>
      <c r="CG256" s="1">
        <f t="shared" si="183"/>
        <v>1.177</v>
      </c>
      <c r="CI256" s="1">
        <f t="shared" ref="CI256:CI319" si="190">SUM(AO256:AV256)</f>
        <v>2880</v>
      </c>
      <c r="CJ256" s="1">
        <f t="shared" ref="CJ256:CJ319" si="191">ROUND(AO256/$CI256,3)</f>
        <v>0.127</v>
      </c>
      <c r="CK256" s="1">
        <f t="shared" ref="CK256:CK319" si="192">ROUND(AP256/$CI256,3)</f>
        <v>0.158</v>
      </c>
      <c r="CL256" s="1">
        <f t="shared" ref="CL256:CL319" si="193">ROUND(AQ256/$CI256,3)</f>
        <v>0.214</v>
      </c>
      <c r="CM256" s="1">
        <f t="shared" ref="CM256:CM319" si="194">ROUND(AR256/$CI256,3)</f>
        <v>0.106</v>
      </c>
      <c r="CN256" s="1">
        <f t="shared" ref="CN256:CN319" si="195">ROUND(AS256/$CI256,3)</f>
        <v>7.8E-2</v>
      </c>
      <c r="CO256" s="1">
        <f t="shared" ref="CO256:CO319" si="196">ROUND(AT256/$CI256,3)</f>
        <v>9.2999999999999999E-2</v>
      </c>
      <c r="CP256" s="1">
        <f t="shared" ref="CP256:CP319" si="197">ROUND(AU256/$CI256,3)</f>
        <v>0.112</v>
      </c>
      <c r="CQ256" s="1">
        <f t="shared" ref="CQ256:CQ319" si="198">ROUND(AV256/$CI256,3)</f>
        <v>0.112</v>
      </c>
      <c r="CS256" s="1">
        <f t="shared" si="186"/>
        <v>7.6999999999999993</v>
      </c>
      <c r="CT256" s="1">
        <f t="shared" si="187"/>
        <v>-4.5</v>
      </c>
    </row>
    <row r="257" spans="1:98" x14ac:dyDescent="0.2">
      <c r="A257" s="8">
        <f t="shared" si="184"/>
        <v>44082</v>
      </c>
      <c r="B257" s="1">
        <v>252</v>
      </c>
      <c r="C257" s="1">
        <v>11</v>
      </c>
      <c r="D257" s="2">
        <v>12.97</v>
      </c>
      <c r="E257" s="2">
        <v>17.41</v>
      </c>
      <c r="F257" s="2">
        <v>-2.1419999999999999</v>
      </c>
      <c r="G257" s="2">
        <v>8.4</v>
      </c>
      <c r="H257" s="2">
        <v>39.880000000000003</v>
      </c>
      <c r="I257" s="2">
        <v>7.2270000000000003</v>
      </c>
      <c r="J257" s="2">
        <v>6.9710000000000001</v>
      </c>
      <c r="K257" s="2">
        <v>14.14</v>
      </c>
      <c r="L257" s="2">
        <v>11.09</v>
      </c>
      <c r="M257" s="2">
        <v>9.92</v>
      </c>
      <c r="N257" s="2">
        <v>15.78</v>
      </c>
      <c r="O257" s="2">
        <v>61.9</v>
      </c>
      <c r="P257" s="2">
        <v>27.86</v>
      </c>
      <c r="Q257" s="2">
        <v>23.79</v>
      </c>
      <c r="R257" s="2">
        <v>45.24</v>
      </c>
      <c r="S257" s="2">
        <v>12.46</v>
      </c>
      <c r="T257" s="2">
        <v>10.15</v>
      </c>
      <c r="U257" s="2">
        <v>1.6910000000000001</v>
      </c>
      <c r="V257" s="2">
        <v>17.57</v>
      </c>
      <c r="W257" s="2">
        <v>-6.28</v>
      </c>
      <c r="X257" s="2">
        <v>-4.875</v>
      </c>
      <c r="Y257" s="2">
        <v>-2.0529999999999999</v>
      </c>
      <c r="Z257" s="2">
        <v>9.58</v>
      </c>
      <c r="AA257" s="2">
        <v>9.67</v>
      </c>
      <c r="AB257" s="2">
        <v>2.6419999999999999</v>
      </c>
      <c r="AC257" s="2">
        <v>0</v>
      </c>
      <c r="AD257" s="2">
        <v>18.64</v>
      </c>
      <c r="AE257" s="2">
        <v>3.7850000000000001</v>
      </c>
      <c r="AF257" s="2">
        <v>0.82099999999999995</v>
      </c>
      <c r="AG257" s="2">
        <v>3.7</v>
      </c>
      <c r="AH257" s="2">
        <v>7.7329999999999997</v>
      </c>
      <c r="AI257" s="2">
        <v>24.08</v>
      </c>
      <c r="AJ257" s="2">
        <v>-2.6989999999999998</v>
      </c>
      <c r="AK257" s="2">
        <v>18.89</v>
      </c>
      <c r="AL257" s="2">
        <v>1.712</v>
      </c>
      <c r="AM257" s="2">
        <v>2.6030000000000002</v>
      </c>
      <c r="AN257" s="2" t="s">
        <v>122</v>
      </c>
      <c r="AO257" s="2">
        <v>347</v>
      </c>
      <c r="AP257" s="2">
        <v>366</v>
      </c>
      <c r="AQ257" s="2">
        <v>1125</v>
      </c>
      <c r="AR257" s="2">
        <v>325</v>
      </c>
      <c r="AS257" s="2">
        <v>142</v>
      </c>
      <c r="AT257" s="2">
        <v>158</v>
      </c>
      <c r="AU257" s="2">
        <v>169</v>
      </c>
      <c r="AV257" s="2">
        <v>248</v>
      </c>
      <c r="AW257" s="2"/>
      <c r="AX257" s="2">
        <v>0</v>
      </c>
      <c r="AY257" s="26"/>
      <c r="AZ257" s="5">
        <v>21.21</v>
      </c>
      <c r="BA257" s="1">
        <v>18.64</v>
      </c>
      <c r="BB257" s="1">
        <v>3.48</v>
      </c>
      <c r="BC257" s="6">
        <f t="shared" si="185"/>
        <v>0.18669527896995708</v>
      </c>
      <c r="BE257" s="30">
        <v>0</v>
      </c>
      <c r="BF257" s="27">
        <v>0</v>
      </c>
      <c r="BG257" s="1">
        <f t="shared" si="159"/>
        <v>61.9</v>
      </c>
      <c r="BH257" s="1">
        <f t="shared" si="160"/>
        <v>39.9</v>
      </c>
      <c r="BI257" s="1">
        <f t="shared" si="161"/>
        <v>17.600000000000001</v>
      </c>
      <c r="BJ257" s="7">
        <f t="shared" si="162"/>
        <v>0.315</v>
      </c>
      <c r="BK257" s="7">
        <f t="shared" si="163"/>
        <v>1.4750000000000001</v>
      </c>
      <c r="BM257" s="5">
        <f t="shared" si="164"/>
        <v>18.64</v>
      </c>
      <c r="BN257" s="5">
        <f t="shared" si="165"/>
        <v>3.48</v>
      </c>
      <c r="BO257" s="1">
        <f t="shared" si="166"/>
        <v>8.4</v>
      </c>
      <c r="BP257" s="1">
        <f t="shared" si="167"/>
        <v>15.8</v>
      </c>
      <c r="BQ257" s="1">
        <f t="shared" si="168"/>
        <v>1.7</v>
      </c>
      <c r="BR257" s="1">
        <f t="shared" si="169"/>
        <v>39.9</v>
      </c>
      <c r="BS257" s="1">
        <f t="shared" si="170"/>
        <v>17.600000000000001</v>
      </c>
      <c r="BT257" s="1">
        <f t="shared" si="171"/>
        <v>0.8</v>
      </c>
      <c r="BU257" s="1">
        <f t="shared" si="172"/>
        <v>3.7</v>
      </c>
      <c r="BV257" s="33">
        <f t="shared" si="173"/>
        <v>0</v>
      </c>
      <c r="BW257" s="26">
        <f t="shared" si="189"/>
        <v>0</v>
      </c>
      <c r="BX257" s="20" t="str">
        <f t="shared" si="174"/>
        <v>NAN</v>
      </c>
      <c r="BY257" s="1">
        <f t="shared" si="175"/>
        <v>7.7</v>
      </c>
      <c r="BZ257" s="1">
        <f t="shared" si="176"/>
        <v>24.1</v>
      </c>
      <c r="CA257" s="1">
        <f t="shared" si="177"/>
        <v>-2.7</v>
      </c>
      <c r="CB257" s="1">
        <f t="shared" si="178"/>
        <v>14.1</v>
      </c>
      <c r="CC257" s="1">
        <f t="shared" si="179"/>
        <v>11.1</v>
      </c>
      <c r="CD257" s="1">
        <f t="shared" si="180"/>
        <v>9.9</v>
      </c>
      <c r="CE257" s="1" t="str">
        <f t="shared" si="181"/>
        <v>NAN</v>
      </c>
      <c r="CF257" s="1">
        <f t="shared" si="182"/>
        <v>0.315</v>
      </c>
      <c r="CG257" s="1">
        <f t="shared" si="183"/>
        <v>1.4750000000000001</v>
      </c>
      <c r="CI257" s="1">
        <f t="shared" si="190"/>
        <v>2880</v>
      </c>
      <c r="CJ257" s="1">
        <f t="shared" si="191"/>
        <v>0.12</v>
      </c>
      <c r="CK257" s="1">
        <f t="shared" si="192"/>
        <v>0.127</v>
      </c>
      <c r="CL257" s="1">
        <f t="shared" si="193"/>
        <v>0.39100000000000001</v>
      </c>
      <c r="CM257" s="1">
        <f t="shared" si="194"/>
        <v>0.113</v>
      </c>
      <c r="CN257" s="1">
        <f t="shared" si="195"/>
        <v>4.9000000000000002E-2</v>
      </c>
      <c r="CO257" s="1">
        <f t="shared" si="196"/>
        <v>5.5E-2</v>
      </c>
      <c r="CP257" s="1">
        <f t="shared" si="197"/>
        <v>5.8999999999999997E-2</v>
      </c>
      <c r="CQ257" s="1">
        <f t="shared" si="198"/>
        <v>8.5999999999999993E-2</v>
      </c>
      <c r="CS257" s="1">
        <f t="shared" si="186"/>
        <v>8.3000000000000007</v>
      </c>
      <c r="CT257" s="1">
        <f t="shared" si="187"/>
        <v>-4.4000000000000004</v>
      </c>
    </row>
    <row r="258" spans="1:98" x14ac:dyDescent="0.2">
      <c r="A258" s="8">
        <f t="shared" si="184"/>
        <v>44083</v>
      </c>
      <c r="B258" s="1">
        <v>253</v>
      </c>
      <c r="C258" s="1">
        <v>11</v>
      </c>
      <c r="D258" s="2">
        <v>12.96</v>
      </c>
      <c r="E258" s="2">
        <v>22.08</v>
      </c>
      <c r="F258" s="2">
        <v>2.3519999999999999</v>
      </c>
      <c r="G258" s="2">
        <v>12.86</v>
      </c>
      <c r="H258" s="2">
        <v>49.5</v>
      </c>
      <c r="I258" s="2">
        <v>11.27</v>
      </c>
      <c r="J258" s="2">
        <v>11.14</v>
      </c>
      <c r="K258" s="2">
        <v>17.43</v>
      </c>
      <c r="L258" s="2">
        <v>11.3</v>
      </c>
      <c r="M258" s="2">
        <v>9.69</v>
      </c>
      <c r="N258" s="2">
        <v>20.2</v>
      </c>
      <c r="O258" s="2">
        <v>71.28</v>
      </c>
      <c r="P258" s="2">
        <v>32.58</v>
      </c>
      <c r="Q258" s="2">
        <v>28.25</v>
      </c>
      <c r="R258" s="2">
        <v>48.57</v>
      </c>
      <c r="S258" s="2">
        <v>12.94</v>
      </c>
      <c r="T258" s="2">
        <v>9.89</v>
      </c>
      <c r="U258" s="2">
        <v>6.0590000000000002</v>
      </c>
      <c r="V258" s="2">
        <v>31.86</v>
      </c>
      <c r="W258" s="2">
        <v>-1.069</v>
      </c>
      <c r="X258" s="2">
        <v>0.16800000000000001</v>
      </c>
      <c r="Y258" s="2">
        <v>1.893</v>
      </c>
      <c r="Z258" s="2">
        <v>9.8000000000000007</v>
      </c>
      <c r="AA258" s="2">
        <v>9.52</v>
      </c>
      <c r="AB258" s="2">
        <v>2.6429999999999998</v>
      </c>
      <c r="AC258" s="2">
        <v>0</v>
      </c>
      <c r="AD258" s="2">
        <v>18.690000000000001</v>
      </c>
      <c r="AE258" s="2">
        <v>3.8140000000000001</v>
      </c>
      <c r="AF258" s="2">
        <v>0.97399999999999998</v>
      </c>
      <c r="AG258" s="2">
        <v>2.976</v>
      </c>
      <c r="AH258" s="2">
        <v>11.93</v>
      </c>
      <c r="AI258" s="2">
        <v>25.66</v>
      </c>
      <c r="AJ258" s="2">
        <v>2.1040000000000001</v>
      </c>
      <c r="AK258" s="2">
        <v>23.78</v>
      </c>
      <c r="AL258" s="2">
        <v>6.1740000000000004</v>
      </c>
      <c r="AM258" s="2">
        <v>2.597</v>
      </c>
      <c r="AN258" s="2" t="s">
        <v>122</v>
      </c>
      <c r="AO258" s="2">
        <v>388</v>
      </c>
      <c r="AP258" s="2">
        <v>407</v>
      </c>
      <c r="AQ258" s="2">
        <v>1379</v>
      </c>
      <c r="AR258" s="2">
        <v>248</v>
      </c>
      <c r="AS258" s="2">
        <v>65</v>
      </c>
      <c r="AT258" s="2">
        <v>109</v>
      </c>
      <c r="AU258" s="2">
        <v>121</v>
      </c>
      <c r="AV258" s="2">
        <v>162</v>
      </c>
      <c r="AW258" s="2"/>
      <c r="AX258" s="2">
        <v>0</v>
      </c>
      <c r="AY258" s="26"/>
      <c r="AZ258" s="5">
        <v>20.96</v>
      </c>
      <c r="BA258" s="1">
        <v>18.690000000000001</v>
      </c>
      <c r="BB258" s="1">
        <v>3.51</v>
      </c>
      <c r="BC258" s="6">
        <f t="shared" si="185"/>
        <v>0.18780096308186192</v>
      </c>
      <c r="BE258" s="30">
        <v>0</v>
      </c>
      <c r="BF258" s="27">
        <v>0</v>
      </c>
      <c r="BG258" s="1">
        <f t="shared" si="159"/>
        <v>71.3</v>
      </c>
      <c r="BH258" s="1">
        <f t="shared" si="160"/>
        <v>49.5</v>
      </c>
      <c r="BI258" s="1">
        <f t="shared" si="161"/>
        <v>31.9</v>
      </c>
      <c r="BJ258" s="7">
        <f t="shared" si="162"/>
        <v>0.755</v>
      </c>
      <c r="BK258" s="7">
        <f t="shared" si="163"/>
        <v>1.6120000000000001</v>
      </c>
      <c r="BM258" s="5">
        <f t="shared" si="164"/>
        <v>18.690000000000001</v>
      </c>
      <c r="BN258" s="5">
        <f t="shared" si="165"/>
        <v>3.51</v>
      </c>
      <c r="BO258" s="1">
        <f t="shared" si="166"/>
        <v>12.9</v>
      </c>
      <c r="BP258" s="1">
        <f t="shared" si="167"/>
        <v>20.2</v>
      </c>
      <c r="BQ258" s="1">
        <f t="shared" si="168"/>
        <v>6.1</v>
      </c>
      <c r="BR258" s="1">
        <f t="shared" si="169"/>
        <v>49.5</v>
      </c>
      <c r="BS258" s="1">
        <f t="shared" si="170"/>
        <v>31.9</v>
      </c>
      <c r="BT258" s="1">
        <f t="shared" si="171"/>
        <v>1</v>
      </c>
      <c r="BU258" s="1">
        <f t="shared" si="172"/>
        <v>3</v>
      </c>
      <c r="BV258" s="33">
        <f t="shared" si="173"/>
        <v>0</v>
      </c>
      <c r="BW258" s="26">
        <f t="shared" si="189"/>
        <v>0</v>
      </c>
      <c r="BX258" s="20" t="str">
        <f t="shared" si="174"/>
        <v>NAN</v>
      </c>
      <c r="BY258" s="1">
        <f t="shared" si="175"/>
        <v>11.9</v>
      </c>
      <c r="BZ258" s="1">
        <f t="shared" si="176"/>
        <v>25.7</v>
      </c>
      <c r="CA258" s="1">
        <f t="shared" si="177"/>
        <v>2.1</v>
      </c>
      <c r="CB258" s="1">
        <f t="shared" si="178"/>
        <v>17.399999999999999</v>
      </c>
      <c r="CC258" s="1">
        <f t="shared" si="179"/>
        <v>11.3</v>
      </c>
      <c r="CD258" s="1">
        <f t="shared" si="180"/>
        <v>9.6999999999999993</v>
      </c>
      <c r="CE258" s="1" t="str">
        <f t="shared" si="181"/>
        <v>NAN</v>
      </c>
      <c r="CF258" s="1">
        <f t="shared" si="182"/>
        <v>0.755</v>
      </c>
      <c r="CG258" s="1">
        <f t="shared" si="183"/>
        <v>1.6120000000000001</v>
      </c>
      <c r="CI258" s="1">
        <f t="shared" si="190"/>
        <v>2879</v>
      </c>
      <c r="CJ258" s="1">
        <f t="shared" si="191"/>
        <v>0.13500000000000001</v>
      </c>
      <c r="CK258" s="1">
        <f t="shared" si="192"/>
        <v>0.14099999999999999</v>
      </c>
      <c r="CL258" s="1">
        <f t="shared" si="193"/>
        <v>0.47899999999999998</v>
      </c>
      <c r="CM258" s="1">
        <f t="shared" si="194"/>
        <v>8.5999999999999993E-2</v>
      </c>
      <c r="CN258" s="1">
        <f t="shared" si="195"/>
        <v>2.3E-2</v>
      </c>
      <c r="CO258" s="1">
        <f t="shared" si="196"/>
        <v>3.7999999999999999E-2</v>
      </c>
      <c r="CP258" s="1">
        <f t="shared" si="197"/>
        <v>4.2000000000000003E-2</v>
      </c>
      <c r="CQ258" s="1">
        <f t="shared" si="198"/>
        <v>5.6000000000000001E-2</v>
      </c>
      <c r="CS258" s="1">
        <f t="shared" si="186"/>
        <v>5.5</v>
      </c>
      <c r="CT258" s="1">
        <f t="shared" si="187"/>
        <v>-3.9999999999999996</v>
      </c>
    </row>
    <row r="259" spans="1:98" x14ac:dyDescent="0.2">
      <c r="A259" s="8">
        <f t="shared" si="184"/>
        <v>44084</v>
      </c>
      <c r="B259" s="1">
        <v>254</v>
      </c>
      <c r="C259" s="1">
        <v>11</v>
      </c>
      <c r="D259" s="2">
        <v>12.96</v>
      </c>
      <c r="E259" s="2">
        <v>25.22</v>
      </c>
      <c r="F259" s="2">
        <v>4.5999999999999996</v>
      </c>
      <c r="G259" s="2">
        <v>15.45</v>
      </c>
      <c r="H259" s="2">
        <v>42.16</v>
      </c>
      <c r="I259" s="2">
        <v>12.92</v>
      </c>
      <c r="J259" s="2">
        <v>12.97</v>
      </c>
      <c r="K259" s="2">
        <v>18.55</v>
      </c>
      <c r="L259" s="2">
        <v>11.75</v>
      </c>
      <c r="M259" s="2">
        <v>9.65</v>
      </c>
      <c r="N259" s="2">
        <v>24.56</v>
      </c>
      <c r="O259" s="2">
        <v>62.44</v>
      </c>
      <c r="P259" s="2">
        <v>37.380000000000003</v>
      </c>
      <c r="Q259" s="2">
        <v>31.09</v>
      </c>
      <c r="R259" s="2">
        <v>49.71</v>
      </c>
      <c r="S259" s="2">
        <v>13.38</v>
      </c>
      <c r="T259" s="2">
        <v>9.84</v>
      </c>
      <c r="U259" s="2">
        <v>8.86</v>
      </c>
      <c r="V259" s="2">
        <v>17.39</v>
      </c>
      <c r="W259" s="2">
        <v>-7.2999999999999995E-2</v>
      </c>
      <c r="X259" s="2">
        <v>1.42</v>
      </c>
      <c r="Y259" s="2">
        <v>2.758</v>
      </c>
      <c r="Z259" s="2">
        <v>10.19</v>
      </c>
      <c r="AA259" s="2">
        <v>9.5399999999999991</v>
      </c>
      <c r="AB259" s="2">
        <v>2.6379999999999999</v>
      </c>
      <c r="AC259" s="2">
        <v>0</v>
      </c>
      <c r="AD259" s="2">
        <v>18.53</v>
      </c>
      <c r="AE259" s="2">
        <v>3.7890000000000001</v>
      </c>
      <c r="AF259" s="2">
        <v>0.91400000000000003</v>
      </c>
      <c r="AG259" s="2">
        <v>3.9319999999999999</v>
      </c>
      <c r="AH259" s="2">
        <v>14.05</v>
      </c>
      <c r="AI259" s="2">
        <v>30.39</v>
      </c>
      <c r="AJ259" s="2">
        <v>4.24</v>
      </c>
      <c r="AK259" s="2">
        <v>27.56</v>
      </c>
      <c r="AL259" s="2">
        <v>9.33</v>
      </c>
      <c r="AM259" s="2">
        <v>2.5830000000000002</v>
      </c>
      <c r="AN259" s="2" t="s">
        <v>122</v>
      </c>
      <c r="AO259" s="2">
        <v>206</v>
      </c>
      <c r="AP259" s="2">
        <v>292</v>
      </c>
      <c r="AQ259" s="2">
        <v>1462</v>
      </c>
      <c r="AR259" s="2">
        <v>61</v>
      </c>
      <c r="AS259" s="2">
        <v>84</v>
      </c>
      <c r="AT259" s="2">
        <v>237</v>
      </c>
      <c r="AU259" s="2">
        <v>285</v>
      </c>
      <c r="AV259" s="2">
        <v>253</v>
      </c>
      <c r="AW259" s="2"/>
      <c r="AX259" s="2">
        <v>0</v>
      </c>
      <c r="AY259" s="26"/>
      <c r="AZ259" s="5">
        <v>20.71</v>
      </c>
      <c r="BA259" s="1">
        <v>18.53</v>
      </c>
      <c r="BB259" s="1">
        <v>3.49</v>
      </c>
      <c r="BC259" s="6">
        <f t="shared" si="185"/>
        <v>0.18834322719913654</v>
      </c>
      <c r="BE259" s="30">
        <v>0</v>
      </c>
      <c r="BF259" s="27">
        <v>0</v>
      </c>
      <c r="BG259" s="1">
        <f t="shared" si="159"/>
        <v>62.4</v>
      </c>
      <c r="BH259" s="1">
        <f t="shared" si="160"/>
        <v>42.2</v>
      </c>
      <c r="BI259" s="1">
        <f t="shared" si="161"/>
        <v>17.399999999999999</v>
      </c>
      <c r="BJ259" s="7">
        <f t="shared" si="162"/>
        <v>0.53700000000000003</v>
      </c>
      <c r="BK259" s="7">
        <f t="shared" si="163"/>
        <v>2.5489999999999999</v>
      </c>
      <c r="BM259" s="5">
        <f t="shared" si="164"/>
        <v>18.53</v>
      </c>
      <c r="BN259" s="5">
        <f t="shared" si="165"/>
        <v>3.49</v>
      </c>
      <c r="BO259" s="1">
        <f t="shared" si="166"/>
        <v>15.5</v>
      </c>
      <c r="BP259" s="1">
        <f t="shared" si="167"/>
        <v>24.6</v>
      </c>
      <c r="BQ259" s="1">
        <f t="shared" si="168"/>
        <v>8.9</v>
      </c>
      <c r="BR259" s="1">
        <f t="shared" si="169"/>
        <v>42.2</v>
      </c>
      <c r="BS259" s="1">
        <f t="shared" si="170"/>
        <v>17.399999999999999</v>
      </c>
      <c r="BT259" s="1">
        <f t="shared" si="171"/>
        <v>0.9</v>
      </c>
      <c r="BU259" s="1">
        <f t="shared" si="172"/>
        <v>3.9</v>
      </c>
      <c r="BV259" s="33">
        <f t="shared" si="173"/>
        <v>0</v>
      </c>
      <c r="BW259" s="26">
        <f t="shared" si="189"/>
        <v>0</v>
      </c>
      <c r="BX259" s="20" t="str">
        <f t="shared" si="174"/>
        <v>NAN</v>
      </c>
      <c r="BY259" s="1">
        <f t="shared" si="175"/>
        <v>14.1</v>
      </c>
      <c r="BZ259" s="1">
        <f t="shared" si="176"/>
        <v>30.4</v>
      </c>
      <c r="CA259" s="1">
        <f t="shared" si="177"/>
        <v>4.2</v>
      </c>
      <c r="CB259" s="1">
        <f t="shared" si="178"/>
        <v>18.600000000000001</v>
      </c>
      <c r="CC259" s="1">
        <f t="shared" si="179"/>
        <v>11.8</v>
      </c>
      <c r="CD259" s="1">
        <f t="shared" si="180"/>
        <v>9.6999999999999993</v>
      </c>
      <c r="CE259" s="1" t="str">
        <f t="shared" si="181"/>
        <v>NAN</v>
      </c>
      <c r="CF259" s="1">
        <f t="shared" si="182"/>
        <v>0.53700000000000003</v>
      </c>
      <c r="CG259" s="1">
        <f t="shared" si="183"/>
        <v>2.5489999999999999</v>
      </c>
      <c r="CI259" s="1">
        <f t="shared" si="190"/>
        <v>2880</v>
      </c>
      <c r="CJ259" s="1">
        <f t="shared" si="191"/>
        <v>7.1999999999999995E-2</v>
      </c>
      <c r="CK259" s="1">
        <f t="shared" si="192"/>
        <v>0.10100000000000001</v>
      </c>
      <c r="CL259" s="1">
        <f t="shared" si="193"/>
        <v>0.50800000000000001</v>
      </c>
      <c r="CM259" s="1">
        <f t="shared" si="194"/>
        <v>2.1000000000000001E-2</v>
      </c>
      <c r="CN259" s="1">
        <f t="shared" si="195"/>
        <v>2.9000000000000001E-2</v>
      </c>
      <c r="CO259" s="1">
        <f t="shared" si="196"/>
        <v>8.2000000000000003E-2</v>
      </c>
      <c r="CP259" s="1">
        <f t="shared" si="197"/>
        <v>9.9000000000000005E-2</v>
      </c>
      <c r="CQ259" s="1">
        <f t="shared" si="198"/>
        <v>8.7999999999999995E-2</v>
      </c>
      <c r="CS259" s="1">
        <f t="shared" si="186"/>
        <v>5.7999999999999972</v>
      </c>
      <c r="CT259" s="1">
        <f t="shared" si="187"/>
        <v>-4.7</v>
      </c>
    </row>
    <row r="260" spans="1:98" x14ac:dyDescent="0.2">
      <c r="A260" s="8">
        <f t="shared" si="184"/>
        <v>44085</v>
      </c>
      <c r="B260" s="1">
        <v>255</v>
      </c>
      <c r="C260" s="1">
        <v>11</v>
      </c>
      <c r="D260" s="2">
        <v>12.97</v>
      </c>
      <c r="E260" s="2">
        <v>27.5</v>
      </c>
      <c r="F260" s="2">
        <v>7.3780000000000001</v>
      </c>
      <c r="G260" s="2">
        <v>17.97</v>
      </c>
      <c r="H260" s="2">
        <v>32.159999999999997</v>
      </c>
      <c r="I260" s="2">
        <v>15.96</v>
      </c>
      <c r="J260" s="2">
        <v>16.02</v>
      </c>
      <c r="K260" s="2">
        <v>20.309999999999999</v>
      </c>
      <c r="L260" s="2">
        <v>12.23</v>
      </c>
      <c r="M260" s="2">
        <v>9.7100000000000009</v>
      </c>
      <c r="N260" s="2">
        <v>26.52</v>
      </c>
      <c r="O260" s="2">
        <v>47.46</v>
      </c>
      <c r="P260" s="2">
        <v>38.380000000000003</v>
      </c>
      <c r="Q260" s="2">
        <v>33.11</v>
      </c>
      <c r="R260" s="2">
        <v>51.21</v>
      </c>
      <c r="S260" s="2">
        <v>13.9</v>
      </c>
      <c r="T260" s="2">
        <v>9.89</v>
      </c>
      <c r="U260" s="2">
        <v>11.43</v>
      </c>
      <c r="V260" s="2">
        <v>17.52</v>
      </c>
      <c r="W260" s="2">
        <v>2.0230000000000001</v>
      </c>
      <c r="X260" s="2">
        <v>3.569</v>
      </c>
      <c r="Y260" s="2">
        <v>4.8289999999999997</v>
      </c>
      <c r="Z260" s="2">
        <v>10.7</v>
      </c>
      <c r="AA260" s="2">
        <v>9.57</v>
      </c>
      <c r="AB260" s="2">
        <v>2.6219999999999999</v>
      </c>
      <c r="AC260" s="2">
        <v>0</v>
      </c>
      <c r="AD260" s="2">
        <v>18.13</v>
      </c>
      <c r="AE260" s="2">
        <v>3.6720000000000002</v>
      </c>
      <c r="AF260" s="2">
        <v>1.109</v>
      </c>
      <c r="AG260" s="2">
        <v>4.1950000000000003</v>
      </c>
      <c r="AH260" s="2">
        <v>16.32</v>
      </c>
      <c r="AI260" s="2">
        <v>31.77</v>
      </c>
      <c r="AJ260" s="2">
        <v>6.383</v>
      </c>
      <c r="AK260" s="2">
        <v>29.35</v>
      </c>
      <c r="AL260" s="2">
        <v>11.58</v>
      </c>
      <c r="AM260" s="2">
        <v>2.5640000000000001</v>
      </c>
      <c r="AN260" s="2" t="s">
        <v>122</v>
      </c>
      <c r="AO260" s="2">
        <v>410</v>
      </c>
      <c r="AP260" s="2">
        <v>418</v>
      </c>
      <c r="AQ260" s="2">
        <v>438</v>
      </c>
      <c r="AR260" s="2">
        <v>66</v>
      </c>
      <c r="AS260" s="2">
        <v>85</v>
      </c>
      <c r="AT260" s="2">
        <v>296</v>
      </c>
      <c r="AU260" s="2">
        <v>615</v>
      </c>
      <c r="AV260" s="2">
        <v>552</v>
      </c>
      <c r="AW260" s="2"/>
      <c r="AX260" s="2">
        <v>0</v>
      </c>
      <c r="AY260" s="26"/>
      <c r="AZ260" s="5">
        <v>20.46</v>
      </c>
      <c r="BA260" s="1">
        <v>18.13</v>
      </c>
      <c r="BB260" s="1">
        <v>3.38</v>
      </c>
      <c r="BC260" s="6">
        <f t="shared" si="185"/>
        <v>0.18643132928847214</v>
      </c>
      <c r="BE260" s="30">
        <v>0</v>
      </c>
      <c r="BF260" s="27">
        <v>0</v>
      </c>
      <c r="BG260" s="1">
        <f t="shared" si="159"/>
        <v>47.5</v>
      </c>
      <c r="BH260" s="1">
        <f t="shared" si="160"/>
        <v>32.200000000000003</v>
      </c>
      <c r="BI260" s="1">
        <f t="shared" si="161"/>
        <v>17.5</v>
      </c>
      <c r="BJ260" s="7">
        <f t="shared" si="162"/>
        <v>0.60599999999999998</v>
      </c>
      <c r="BK260" s="7">
        <f t="shared" si="163"/>
        <v>2.8570000000000002</v>
      </c>
      <c r="BM260" s="5">
        <f t="shared" si="164"/>
        <v>18.13</v>
      </c>
      <c r="BN260" s="5">
        <f t="shared" si="165"/>
        <v>3.38</v>
      </c>
      <c r="BO260" s="1">
        <f t="shared" si="166"/>
        <v>18</v>
      </c>
      <c r="BP260" s="1">
        <f t="shared" si="167"/>
        <v>26.5</v>
      </c>
      <c r="BQ260" s="1">
        <f t="shared" si="168"/>
        <v>11.4</v>
      </c>
      <c r="BR260" s="1">
        <f t="shared" si="169"/>
        <v>32.200000000000003</v>
      </c>
      <c r="BS260" s="1">
        <f t="shared" si="170"/>
        <v>17.5</v>
      </c>
      <c r="BT260" s="1">
        <f t="shared" si="171"/>
        <v>1.1000000000000001</v>
      </c>
      <c r="BU260" s="1">
        <f t="shared" si="172"/>
        <v>4.2</v>
      </c>
      <c r="BV260" s="33">
        <f t="shared" si="173"/>
        <v>0</v>
      </c>
      <c r="BW260" s="26">
        <f t="shared" si="189"/>
        <v>0</v>
      </c>
      <c r="BX260" s="20" t="str">
        <f t="shared" si="174"/>
        <v>NAN</v>
      </c>
      <c r="BY260" s="1">
        <f t="shared" si="175"/>
        <v>16.3</v>
      </c>
      <c r="BZ260" s="1">
        <f t="shared" si="176"/>
        <v>31.8</v>
      </c>
      <c r="CA260" s="1">
        <f t="shared" si="177"/>
        <v>6.4</v>
      </c>
      <c r="CB260" s="1">
        <f t="shared" si="178"/>
        <v>20.3</v>
      </c>
      <c r="CC260" s="1">
        <f t="shared" si="179"/>
        <v>12.2</v>
      </c>
      <c r="CD260" s="1">
        <f t="shared" si="180"/>
        <v>9.6999999999999993</v>
      </c>
      <c r="CE260" s="1" t="str">
        <f t="shared" si="181"/>
        <v>NAN</v>
      </c>
      <c r="CF260" s="1">
        <f t="shared" si="182"/>
        <v>0.60599999999999998</v>
      </c>
      <c r="CG260" s="1">
        <f t="shared" si="183"/>
        <v>2.8570000000000002</v>
      </c>
      <c r="CI260" s="1">
        <f t="shared" si="190"/>
        <v>2880</v>
      </c>
      <c r="CJ260" s="1">
        <f t="shared" si="191"/>
        <v>0.14199999999999999</v>
      </c>
      <c r="CK260" s="1">
        <f t="shared" si="192"/>
        <v>0.14499999999999999</v>
      </c>
      <c r="CL260" s="1">
        <f t="shared" si="193"/>
        <v>0.152</v>
      </c>
      <c r="CM260" s="1">
        <f t="shared" si="194"/>
        <v>2.3E-2</v>
      </c>
      <c r="CN260" s="1">
        <f t="shared" si="195"/>
        <v>0.03</v>
      </c>
      <c r="CO260" s="1">
        <f t="shared" si="196"/>
        <v>0.10299999999999999</v>
      </c>
      <c r="CP260" s="1">
        <f t="shared" si="197"/>
        <v>0.214</v>
      </c>
      <c r="CQ260" s="1">
        <f t="shared" si="198"/>
        <v>0.192</v>
      </c>
      <c r="CS260" s="1">
        <f t="shared" si="186"/>
        <v>5.3000000000000007</v>
      </c>
      <c r="CT260" s="1">
        <f t="shared" si="187"/>
        <v>-5</v>
      </c>
    </row>
    <row r="261" spans="1:98" x14ac:dyDescent="0.2">
      <c r="A261" s="8">
        <f t="shared" si="184"/>
        <v>44086</v>
      </c>
      <c r="B261" s="1">
        <v>256</v>
      </c>
      <c r="C261" s="1">
        <v>11</v>
      </c>
      <c r="D261" s="2">
        <v>12.96</v>
      </c>
      <c r="E261" s="2">
        <v>23.9</v>
      </c>
      <c r="F261" s="2">
        <v>8.33</v>
      </c>
      <c r="G261" s="2">
        <v>15.78</v>
      </c>
      <c r="H261" s="2">
        <v>32.11</v>
      </c>
      <c r="I261" s="2">
        <v>14.34</v>
      </c>
      <c r="J261" s="2">
        <v>14.22</v>
      </c>
      <c r="K261" s="2">
        <v>18.97</v>
      </c>
      <c r="L261" s="2">
        <v>12.63</v>
      </c>
      <c r="M261" s="2">
        <v>9.82</v>
      </c>
      <c r="N261" s="2">
        <v>22.51</v>
      </c>
      <c r="O261" s="2">
        <v>43.73</v>
      </c>
      <c r="P261" s="2">
        <v>33.61</v>
      </c>
      <c r="Q261" s="2">
        <v>30</v>
      </c>
      <c r="R261" s="2">
        <v>47.5</v>
      </c>
      <c r="S261" s="2">
        <v>13.82</v>
      </c>
      <c r="T261" s="2">
        <v>10.01</v>
      </c>
      <c r="U261" s="2">
        <v>11.77</v>
      </c>
      <c r="V261" s="2">
        <v>18.920000000000002</v>
      </c>
      <c r="W261" s="2">
        <v>3.1909999999999998</v>
      </c>
      <c r="X261" s="2">
        <v>4.9370000000000003</v>
      </c>
      <c r="Y261" s="2">
        <v>6.5709999999999997</v>
      </c>
      <c r="Z261" s="2">
        <v>11.32</v>
      </c>
      <c r="AA261" s="2">
        <v>9.65</v>
      </c>
      <c r="AB261" s="2">
        <v>2.6419999999999999</v>
      </c>
      <c r="AC261" s="2">
        <v>0</v>
      </c>
      <c r="AD261" s="2">
        <v>16.05</v>
      </c>
      <c r="AE261" s="2">
        <v>3.15</v>
      </c>
      <c r="AF261" s="2">
        <v>0.92900000000000005</v>
      </c>
      <c r="AG261" s="2">
        <v>3.843</v>
      </c>
      <c r="AH261" s="2">
        <v>14.17</v>
      </c>
      <c r="AI261" s="2">
        <v>28.8</v>
      </c>
      <c r="AJ261" s="2">
        <v>6.71</v>
      </c>
      <c r="AK261" s="2">
        <v>25.7</v>
      </c>
      <c r="AL261" s="2">
        <v>11.72</v>
      </c>
      <c r="AM261" s="2">
        <v>2.585</v>
      </c>
      <c r="AN261" s="2" t="s">
        <v>122</v>
      </c>
      <c r="AO261" s="2">
        <v>497</v>
      </c>
      <c r="AP261" s="2">
        <v>324</v>
      </c>
      <c r="AQ261" s="2">
        <v>402</v>
      </c>
      <c r="AR261" s="2">
        <v>276</v>
      </c>
      <c r="AS261" s="2">
        <v>227</v>
      </c>
      <c r="AT261" s="2">
        <v>207</v>
      </c>
      <c r="AU261" s="2">
        <v>436</v>
      </c>
      <c r="AV261" s="2">
        <v>510</v>
      </c>
      <c r="AW261" s="2"/>
      <c r="AX261" s="2">
        <v>0</v>
      </c>
      <c r="AY261" s="26"/>
      <c r="AZ261" s="5">
        <v>20.21</v>
      </c>
      <c r="BA261" s="1">
        <v>16.05</v>
      </c>
      <c r="BB261" s="1">
        <v>2.9</v>
      </c>
      <c r="BC261" s="6">
        <f t="shared" si="185"/>
        <v>0.18068535825545171</v>
      </c>
      <c r="BE261" s="30">
        <v>0</v>
      </c>
      <c r="BF261" s="27">
        <v>0</v>
      </c>
      <c r="BG261" s="1">
        <f t="shared" si="159"/>
        <v>43.7</v>
      </c>
      <c r="BH261" s="1">
        <f t="shared" si="160"/>
        <v>32.1</v>
      </c>
      <c r="BI261" s="1">
        <f t="shared" si="161"/>
        <v>18.899999999999999</v>
      </c>
      <c r="BJ261" s="7">
        <f t="shared" si="162"/>
        <v>0.51500000000000001</v>
      </c>
      <c r="BK261" s="7">
        <f t="shared" si="163"/>
        <v>2.21</v>
      </c>
      <c r="BM261" s="5">
        <f t="shared" si="164"/>
        <v>16.05</v>
      </c>
      <c r="BN261" s="5">
        <f t="shared" si="165"/>
        <v>2.9</v>
      </c>
      <c r="BO261" s="1">
        <f t="shared" si="166"/>
        <v>15.8</v>
      </c>
      <c r="BP261" s="1">
        <f t="shared" si="167"/>
        <v>22.5</v>
      </c>
      <c r="BQ261" s="1">
        <f t="shared" si="168"/>
        <v>11.8</v>
      </c>
      <c r="BR261" s="1">
        <f t="shared" si="169"/>
        <v>32.1</v>
      </c>
      <c r="BS261" s="1">
        <f t="shared" si="170"/>
        <v>18.899999999999999</v>
      </c>
      <c r="BT261" s="1">
        <f t="shared" si="171"/>
        <v>0.9</v>
      </c>
      <c r="BU261" s="1">
        <f t="shared" si="172"/>
        <v>3.8</v>
      </c>
      <c r="BV261" s="33">
        <f t="shared" si="173"/>
        <v>0</v>
      </c>
      <c r="BW261" s="26">
        <f t="shared" si="189"/>
        <v>0</v>
      </c>
      <c r="BX261" s="20" t="str">
        <f t="shared" si="174"/>
        <v>NAN</v>
      </c>
      <c r="BY261" s="1">
        <f t="shared" si="175"/>
        <v>14.2</v>
      </c>
      <c r="BZ261" s="1">
        <f t="shared" si="176"/>
        <v>28.8</v>
      </c>
      <c r="CA261" s="1">
        <f t="shared" si="177"/>
        <v>6.7</v>
      </c>
      <c r="CB261" s="1">
        <f t="shared" si="178"/>
        <v>19</v>
      </c>
      <c r="CC261" s="1">
        <f t="shared" si="179"/>
        <v>12.6</v>
      </c>
      <c r="CD261" s="1">
        <f t="shared" si="180"/>
        <v>9.8000000000000007</v>
      </c>
      <c r="CE261" s="1" t="str">
        <f t="shared" si="181"/>
        <v>NAN</v>
      </c>
      <c r="CF261" s="1">
        <f t="shared" si="182"/>
        <v>0.51500000000000001</v>
      </c>
      <c r="CG261" s="1">
        <f t="shared" si="183"/>
        <v>2.21</v>
      </c>
      <c r="CI261" s="1">
        <f t="shared" si="190"/>
        <v>2879</v>
      </c>
      <c r="CJ261" s="1">
        <f t="shared" si="191"/>
        <v>0.17299999999999999</v>
      </c>
      <c r="CK261" s="1">
        <f t="shared" si="192"/>
        <v>0.113</v>
      </c>
      <c r="CL261" s="1">
        <f t="shared" si="193"/>
        <v>0.14000000000000001</v>
      </c>
      <c r="CM261" s="1">
        <f t="shared" si="194"/>
        <v>9.6000000000000002E-2</v>
      </c>
      <c r="CN261" s="1">
        <f t="shared" si="195"/>
        <v>7.9000000000000001E-2</v>
      </c>
      <c r="CO261" s="1">
        <f t="shared" si="196"/>
        <v>7.1999999999999995E-2</v>
      </c>
      <c r="CP261" s="1">
        <f t="shared" si="197"/>
        <v>0.151</v>
      </c>
      <c r="CQ261" s="1">
        <f t="shared" si="198"/>
        <v>0.17699999999999999</v>
      </c>
      <c r="CS261" s="1">
        <f t="shared" si="186"/>
        <v>6.3000000000000007</v>
      </c>
      <c r="CT261" s="1">
        <f t="shared" si="187"/>
        <v>-5.1000000000000005</v>
      </c>
    </row>
    <row r="262" spans="1:98" x14ac:dyDescent="0.2">
      <c r="A262" s="8">
        <f t="shared" si="184"/>
        <v>44087</v>
      </c>
      <c r="B262" s="1">
        <v>257</v>
      </c>
      <c r="C262" s="1">
        <v>11</v>
      </c>
      <c r="D262" s="2">
        <v>12.96</v>
      </c>
      <c r="E262" s="2">
        <v>16.84</v>
      </c>
      <c r="F262" s="2">
        <v>5.5060000000000002</v>
      </c>
      <c r="G262" s="2">
        <v>11.9</v>
      </c>
      <c r="H262" s="2">
        <v>44.24</v>
      </c>
      <c r="I262" s="2">
        <v>9.42</v>
      </c>
      <c r="J262" s="2">
        <v>9.8000000000000007</v>
      </c>
      <c r="K262" s="2">
        <v>13.26</v>
      </c>
      <c r="L262" s="2">
        <v>11.8</v>
      </c>
      <c r="M262" s="2">
        <v>9.85</v>
      </c>
      <c r="N262" s="2">
        <v>16.02</v>
      </c>
      <c r="O262" s="2">
        <v>53.66</v>
      </c>
      <c r="P262" s="2">
        <v>21.91</v>
      </c>
      <c r="Q262" s="2">
        <v>20.22</v>
      </c>
      <c r="R262" s="2">
        <v>29.88</v>
      </c>
      <c r="S262" s="2">
        <v>13.3</v>
      </c>
      <c r="T262" s="2">
        <v>10</v>
      </c>
      <c r="U262" s="2">
        <v>9.16</v>
      </c>
      <c r="V262" s="2">
        <v>31.08</v>
      </c>
      <c r="W262" s="2">
        <v>0.65800000000000003</v>
      </c>
      <c r="X262" s="2">
        <v>2.4820000000000002</v>
      </c>
      <c r="Y262" s="2">
        <v>3.6890000000000001</v>
      </c>
      <c r="Z262" s="2">
        <v>10.84</v>
      </c>
      <c r="AA262" s="2">
        <v>9.6999999999999993</v>
      </c>
      <c r="AB262" s="2">
        <v>2.637</v>
      </c>
      <c r="AC262" s="2">
        <v>0</v>
      </c>
      <c r="AD262" s="2">
        <v>11.44</v>
      </c>
      <c r="AE262" s="2">
        <v>2.4670000000000001</v>
      </c>
      <c r="AF262" s="2">
        <v>0.99</v>
      </c>
      <c r="AG262" s="2">
        <v>3.1539999999999999</v>
      </c>
      <c r="AH262" s="2">
        <v>10.36</v>
      </c>
      <c r="AI262" s="2">
        <v>21.61</v>
      </c>
      <c r="AJ262" s="2">
        <v>4.1210000000000004</v>
      </c>
      <c r="AK262" s="2">
        <v>18.260000000000002</v>
      </c>
      <c r="AL262" s="2">
        <v>9.0299999999999994</v>
      </c>
      <c r="AM262" s="2">
        <v>2.5920000000000001</v>
      </c>
      <c r="AN262" s="2" t="s">
        <v>122</v>
      </c>
      <c r="AO262" s="2">
        <v>11</v>
      </c>
      <c r="AP262" s="2">
        <v>33</v>
      </c>
      <c r="AQ262" s="2">
        <v>306</v>
      </c>
      <c r="AR262" s="2">
        <v>1055</v>
      </c>
      <c r="AS262" s="2">
        <v>974</v>
      </c>
      <c r="AT262" s="2">
        <v>394</v>
      </c>
      <c r="AU262" s="2">
        <v>91</v>
      </c>
      <c r="AV262" s="2">
        <v>16</v>
      </c>
      <c r="AW262" s="2"/>
      <c r="AX262" s="2">
        <v>0</v>
      </c>
      <c r="AY262" s="26"/>
      <c r="AZ262" s="5">
        <v>19.95</v>
      </c>
      <c r="BA262" s="1">
        <v>11.44</v>
      </c>
      <c r="BB262" s="1">
        <v>2.27</v>
      </c>
      <c r="BC262" s="6">
        <f t="shared" si="185"/>
        <v>0.19842657342657344</v>
      </c>
      <c r="BE262" s="30">
        <v>0</v>
      </c>
      <c r="BF262" s="27">
        <v>0</v>
      </c>
      <c r="BG262" s="1">
        <f t="shared" ref="BG262:BG325" si="199">ROUND(BH$1*O262+BH$2,1)</f>
        <v>53.7</v>
      </c>
      <c r="BH262" s="1">
        <f t="shared" ref="BH262:BH325" si="200">ROUND(H262*BH$1+BH$2,1)</f>
        <v>44.2</v>
      </c>
      <c r="BI262" s="1">
        <f t="shared" ref="BI262:BI325" si="201">ROUND(V262*BH$1+BH$2,1)</f>
        <v>31.1</v>
      </c>
      <c r="BJ262" s="7">
        <f t="shared" ref="BJ262:BJ325" si="202">ROUND((0.6105*(EXP((17.273*N262)/(N262+237.3))))*BI262/100,3)</f>
        <v>0.56599999999999995</v>
      </c>
      <c r="BK262" s="7">
        <f t="shared" ref="BK262:BK325" si="203">ROUND(BJ262/BI262*(100-BI262),3)</f>
        <v>1.254</v>
      </c>
      <c r="BM262" s="5">
        <f t="shared" ref="BM262:BM325" si="204">BA262</f>
        <v>11.44</v>
      </c>
      <c r="BN262" s="5">
        <f t="shared" ref="BN262:BN325" si="205">BB262</f>
        <v>2.27</v>
      </c>
      <c r="BO262" s="1">
        <f t="shared" ref="BO262:BO325" si="206">ROUND(G262,1)</f>
        <v>11.9</v>
      </c>
      <c r="BP262" s="1">
        <f t="shared" ref="BP262:BP325" si="207">ROUND(N262,1)</f>
        <v>16</v>
      </c>
      <c r="BQ262" s="1">
        <f t="shared" ref="BQ262:BQ325" si="208">ROUND(U262,1)</f>
        <v>9.1999999999999993</v>
      </c>
      <c r="BR262" s="1">
        <f t="shared" ref="BR262:BR325" si="209">BH262</f>
        <v>44.2</v>
      </c>
      <c r="BS262" s="1">
        <f t="shared" ref="BS262:BS325" si="210">BI262</f>
        <v>31.1</v>
      </c>
      <c r="BT262" s="1">
        <f t="shared" ref="BT262:BT325" si="211">ROUND(AF262,1)</f>
        <v>1</v>
      </c>
      <c r="BU262" s="1">
        <f t="shared" ref="BU262:BU325" si="212">ROUND(AG262,1)</f>
        <v>3.2</v>
      </c>
      <c r="BV262" s="33">
        <f t="shared" ref="BV262:BV279" si="213">BE262</f>
        <v>0</v>
      </c>
      <c r="BW262" s="26">
        <f t="shared" si="189"/>
        <v>0</v>
      </c>
      <c r="BX262" s="20" t="str">
        <f t="shared" ref="BX262:BX325" si="214">IF(AY262="","NAN",AY262)</f>
        <v>NAN</v>
      </c>
      <c r="BY262" s="1">
        <f t="shared" ref="BY262:BY325" si="215">IF(AH262="NAN", "NAN", ROUND(AH262,1))</f>
        <v>10.4</v>
      </c>
      <c r="BZ262" s="1">
        <f t="shared" ref="BZ262:BZ325" si="216">IF(AI262="NAN", "NAN", ROUND(AI262,1))</f>
        <v>21.6</v>
      </c>
      <c r="CA262" s="1">
        <f t="shared" ref="CA262:CA325" si="217">IF(AJ262="NAN", "NAN", ROUND(AJ262,1))</f>
        <v>4.0999999999999996</v>
      </c>
      <c r="CB262" s="1">
        <f t="shared" ref="CB262:CB325" si="218">ROUND(K262,1)</f>
        <v>13.3</v>
      </c>
      <c r="CC262" s="1">
        <f t="shared" ref="CC262:CC325" si="219">ROUND(L262,1)</f>
        <v>11.8</v>
      </c>
      <c r="CD262" s="1">
        <f t="shared" ref="CD262:CD325" si="220">ROUND(M262,1)</f>
        <v>9.9</v>
      </c>
      <c r="CE262" s="1" t="str">
        <f t="shared" ref="CE262:CE325" si="221">AN262</f>
        <v>NAN</v>
      </c>
      <c r="CF262" s="1">
        <f t="shared" si="182"/>
        <v>0.56599999999999995</v>
      </c>
      <c r="CG262" s="1">
        <f t="shared" si="183"/>
        <v>1.254</v>
      </c>
      <c r="CI262" s="1">
        <f t="shared" si="190"/>
        <v>2880</v>
      </c>
      <c r="CJ262" s="1">
        <f t="shared" si="191"/>
        <v>4.0000000000000001E-3</v>
      </c>
      <c r="CK262" s="1">
        <f t="shared" si="192"/>
        <v>1.0999999999999999E-2</v>
      </c>
      <c r="CL262" s="1">
        <f t="shared" si="193"/>
        <v>0.106</v>
      </c>
      <c r="CM262" s="1">
        <f t="shared" si="194"/>
        <v>0.36599999999999999</v>
      </c>
      <c r="CN262" s="1">
        <f t="shared" si="195"/>
        <v>0.33800000000000002</v>
      </c>
      <c r="CO262" s="1">
        <f t="shared" si="196"/>
        <v>0.13700000000000001</v>
      </c>
      <c r="CP262" s="1">
        <f t="shared" si="197"/>
        <v>3.2000000000000001E-2</v>
      </c>
      <c r="CQ262" s="1">
        <f t="shared" si="198"/>
        <v>6.0000000000000001E-3</v>
      </c>
      <c r="CS262" s="1">
        <f t="shared" si="186"/>
        <v>5.6000000000000014</v>
      </c>
      <c r="CT262" s="1">
        <f t="shared" si="187"/>
        <v>-5.0999999999999996</v>
      </c>
    </row>
    <row r="263" spans="1:98" x14ac:dyDescent="0.2">
      <c r="A263" s="8">
        <f t="shared" si="184"/>
        <v>44088</v>
      </c>
      <c r="B263" s="1">
        <v>258</v>
      </c>
      <c r="C263" s="1">
        <v>11</v>
      </c>
      <c r="D263" s="2">
        <v>12.97</v>
      </c>
      <c r="E263" s="2">
        <v>20.29</v>
      </c>
      <c r="F263" s="2">
        <v>6.2869999999999999</v>
      </c>
      <c r="G263" s="2">
        <v>11.91</v>
      </c>
      <c r="H263" s="2">
        <v>45.89</v>
      </c>
      <c r="I263" s="2">
        <v>11.13</v>
      </c>
      <c r="J263" s="2">
        <v>10.96</v>
      </c>
      <c r="K263" s="2">
        <v>13.88</v>
      </c>
      <c r="L263" s="2">
        <v>11.06</v>
      </c>
      <c r="M263" s="2">
        <v>9.68</v>
      </c>
      <c r="N263" s="2">
        <v>19.940000000000001</v>
      </c>
      <c r="O263" s="2">
        <v>88.1</v>
      </c>
      <c r="P263" s="2">
        <v>28.43</v>
      </c>
      <c r="Q263" s="2">
        <v>24.71</v>
      </c>
      <c r="R263" s="2">
        <v>33.01</v>
      </c>
      <c r="S263" s="2">
        <v>11.83</v>
      </c>
      <c r="T263" s="2">
        <v>9.82</v>
      </c>
      <c r="U263" s="2">
        <v>7.0830000000000002</v>
      </c>
      <c r="V263" s="2">
        <v>17.760000000000002</v>
      </c>
      <c r="W263" s="2">
        <v>4.5140000000000002</v>
      </c>
      <c r="X263" s="2">
        <v>5.2080000000000002</v>
      </c>
      <c r="Y263" s="2">
        <v>6.5049999999999999</v>
      </c>
      <c r="Z263" s="2">
        <v>10.26</v>
      </c>
      <c r="AA263" s="2">
        <v>9.5</v>
      </c>
      <c r="AB263" s="2">
        <v>2.637</v>
      </c>
      <c r="AC263" s="2">
        <v>0.254</v>
      </c>
      <c r="AD263" s="2">
        <v>8.93</v>
      </c>
      <c r="AE263" s="2">
        <v>1.8919999999999999</v>
      </c>
      <c r="AF263" s="2">
        <v>0.67400000000000004</v>
      </c>
      <c r="AG263" s="2">
        <v>2.6589999999999998</v>
      </c>
      <c r="AH263" s="2">
        <v>11.5</v>
      </c>
      <c r="AI263" s="2">
        <v>25.25</v>
      </c>
      <c r="AJ263" s="2">
        <v>6.0949999999999998</v>
      </c>
      <c r="AK263" s="2">
        <v>22.77</v>
      </c>
      <c r="AL263" s="2">
        <v>6.2249999999999996</v>
      </c>
      <c r="AM263" s="2">
        <v>2.589</v>
      </c>
      <c r="AN263" s="2" t="s">
        <v>122</v>
      </c>
      <c r="AO263" s="2">
        <v>97</v>
      </c>
      <c r="AP263" s="2">
        <v>208</v>
      </c>
      <c r="AQ263" s="2">
        <v>620</v>
      </c>
      <c r="AR263" s="2">
        <v>443</v>
      </c>
      <c r="AS263" s="2">
        <v>350</v>
      </c>
      <c r="AT263" s="2">
        <v>493</v>
      </c>
      <c r="AU263" s="2">
        <v>508</v>
      </c>
      <c r="AV263" s="2">
        <v>161</v>
      </c>
      <c r="AW263" s="2"/>
      <c r="AX263" s="2">
        <v>0</v>
      </c>
      <c r="AY263" s="26"/>
      <c r="AZ263" s="5">
        <v>19.7</v>
      </c>
      <c r="BA263" s="1">
        <v>8.93</v>
      </c>
      <c r="BB263" s="1">
        <v>1.74</v>
      </c>
      <c r="BC263" s="6">
        <f t="shared" si="185"/>
        <v>0.1948488241881299</v>
      </c>
      <c r="BE263" s="30">
        <v>0.254</v>
      </c>
      <c r="BF263" s="27">
        <v>0</v>
      </c>
      <c r="BG263" s="1">
        <f t="shared" si="199"/>
        <v>88.1</v>
      </c>
      <c r="BH263" s="1">
        <f t="shared" si="200"/>
        <v>45.9</v>
      </c>
      <c r="BI263" s="1">
        <f t="shared" si="201"/>
        <v>17.8</v>
      </c>
      <c r="BJ263" s="7">
        <f t="shared" si="202"/>
        <v>0.41499999999999998</v>
      </c>
      <c r="BK263" s="7">
        <f t="shared" si="203"/>
        <v>1.9159999999999999</v>
      </c>
      <c r="BM263" s="5">
        <f t="shared" si="204"/>
        <v>8.93</v>
      </c>
      <c r="BN263" s="5">
        <f t="shared" si="205"/>
        <v>1.74</v>
      </c>
      <c r="BO263" s="1">
        <f t="shared" si="206"/>
        <v>11.9</v>
      </c>
      <c r="BP263" s="1">
        <f t="shared" si="207"/>
        <v>19.899999999999999</v>
      </c>
      <c r="BQ263" s="1">
        <f t="shared" si="208"/>
        <v>7.1</v>
      </c>
      <c r="BR263" s="1">
        <f t="shared" si="209"/>
        <v>45.9</v>
      </c>
      <c r="BS263" s="1">
        <f t="shared" si="210"/>
        <v>17.8</v>
      </c>
      <c r="BT263" s="1">
        <f t="shared" si="211"/>
        <v>0.7</v>
      </c>
      <c r="BU263" s="1">
        <f t="shared" si="212"/>
        <v>2.7</v>
      </c>
      <c r="BV263" s="33">
        <f t="shared" si="213"/>
        <v>0.254</v>
      </c>
      <c r="BW263" s="26">
        <f t="shared" si="189"/>
        <v>0</v>
      </c>
      <c r="BX263" s="20" t="str">
        <f t="shared" si="214"/>
        <v>NAN</v>
      </c>
      <c r="BY263" s="1">
        <f t="shared" si="215"/>
        <v>11.5</v>
      </c>
      <c r="BZ263" s="1">
        <f t="shared" si="216"/>
        <v>25.3</v>
      </c>
      <c r="CA263" s="1">
        <f t="shared" si="217"/>
        <v>6.1</v>
      </c>
      <c r="CB263" s="1">
        <f t="shared" si="218"/>
        <v>13.9</v>
      </c>
      <c r="CC263" s="1">
        <f t="shared" si="219"/>
        <v>11.1</v>
      </c>
      <c r="CD263" s="1">
        <f t="shared" si="220"/>
        <v>9.6999999999999993</v>
      </c>
      <c r="CE263" s="1" t="str">
        <f t="shared" si="221"/>
        <v>NAN</v>
      </c>
      <c r="CF263" s="1">
        <f t="shared" ref="CF263:CF326" si="222">BJ263</f>
        <v>0.41499999999999998</v>
      </c>
      <c r="CG263" s="1">
        <f t="shared" ref="CG263:CG326" si="223">BK263</f>
        <v>1.9159999999999999</v>
      </c>
      <c r="CI263" s="1">
        <f t="shared" si="190"/>
        <v>2880</v>
      </c>
      <c r="CJ263" s="1">
        <f t="shared" si="191"/>
        <v>3.4000000000000002E-2</v>
      </c>
      <c r="CK263" s="1">
        <f t="shared" si="192"/>
        <v>7.1999999999999995E-2</v>
      </c>
      <c r="CL263" s="1">
        <f t="shared" si="193"/>
        <v>0.215</v>
      </c>
      <c r="CM263" s="1">
        <f t="shared" si="194"/>
        <v>0.154</v>
      </c>
      <c r="CN263" s="1">
        <f t="shared" si="195"/>
        <v>0.122</v>
      </c>
      <c r="CO263" s="1">
        <f t="shared" si="196"/>
        <v>0.17100000000000001</v>
      </c>
      <c r="CP263" s="1">
        <f t="shared" si="197"/>
        <v>0.17599999999999999</v>
      </c>
      <c r="CQ263" s="1">
        <f t="shared" si="198"/>
        <v>5.6000000000000001E-2</v>
      </c>
      <c r="CS263" s="1">
        <f t="shared" si="186"/>
        <v>5.4000000000000021</v>
      </c>
      <c r="CT263" s="1">
        <f t="shared" si="187"/>
        <v>-1</v>
      </c>
    </row>
    <row r="264" spans="1:98" x14ac:dyDescent="0.2">
      <c r="A264" s="8">
        <f t="shared" ref="A264:A327" si="224">A263+1</f>
        <v>44089</v>
      </c>
      <c r="B264" s="1">
        <v>259</v>
      </c>
      <c r="C264" s="1">
        <v>11</v>
      </c>
      <c r="D264" s="2">
        <v>12.99</v>
      </c>
      <c r="E264" s="2">
        <v>22.25</v>
      </c>
      <c r="F264" s="2">
        <v>6.048</v>
      </c>
      <c r="G264" s="2">
        <v>13.64</v>
      </c>
      <c r="H264" s="2">
        <v>53.6</v>
      </c>
      <c r="I264" s="2">
        <v>13.2</v>
      </c>
      <c r="J264" s="2">
        <v>12.76</v>
      </c>
      <c r="K264" s="2">
        <v>17.36</v>
      </c>
      <c r="L264" s="2">
        <v>11.43</v>
      </c>
      <c r="M264" s="2">
        <v>9.57</v>
      </c>
      <c r="N264" s="2">
        <v>20.98</v>
      </c>
      <c r="O264" s="2">
        <v>76.52</v>
      </c>
      <c r="P264" s="2">
        <v>31.07</v>
      </c>
      <c r="Q264" s="2">
        <v>27.09</v>
      </c>
      <c r="R264" s="2">
        <v>42.31</v>
      </c>
      <c r="S264" s="2">
        <v>12.66</v>
      </c>
      <c r="T264" s="2">
        <v>9.73</v>
      </c>
      <c r="U264" s="2">
        <v>8.14</v>
      </c>
      <c r="V264" s="2">
        <v>32.61</v>
      </c>
      <c r="W264" s="2">
        <v>1.887</v>
      </c>
      <c r="X264" s="2">
        <v>2.8610000000000002</v>
      </c>
      <c r="Y264" s="2">
        <v>5.4349999999999996</v>
      </c>
      <c r="Z264" s="2">
        <v>10.42</v>
      </c>
      <c r="AA264" s="2">
        <v>9.42</v>
      </c>
      <c r="AB264" s="2">
        <v>2.6360000000000001</v>
      </c>
      <c r="AC264" s="2">
        <v>0</v>
      </c>
      <c r="AD264" s="2">
        <v>14.84</v>
      </c>
      <c r="AE264" s="2">
        <v>2.99</v>
      </c>
      <c r="AF264" s="2">
        <v>0.72299999999999998</v>
      </c>
      <c r="AG264" s="2">
        <v>3.335</v>
      </c>
      <c r="AH264" s="2">
        <v>13.13</v>
      </c>
      <c r="AI264" s="2">
        <v>26.02</v>
      </c>
      <c r="AJ264" s="2">
        <v>4.9009999999999998</v>
      </c>
      <c r="AK264" s="2">
        <v>23.9</v>
      </c>
      <c r="AL264" s="2">
        <v>8.1199999999999992</v>
      </c>
      <c r="AM264" s="2">
        <v>2.5779999999999998</v>
      </c>
      <c r="AN264" s="2" t="s">
        <v>122</v>
      </c>
      <c r="AO264" s="2">
        <v>239</v>
      </c>
      <c r="AP264" s="2">
        <v>415</v>
      </c>
      <c r="AQ264" s="2">
        <v>657</v>
      </c>
      <c r="AR264" s="2">
        <v>400</v>
      </c>
      <c r="AS264" s="2">
        <v>149</v>
      </c>
      <c r="AT264" s="2">
        <v>252</v>
      </c>
      <c r="AU264" s="2">
        <v>474</v>
      </c>
      <c r="AV264" s="2">
        <v>294</v>
      </c>
      <c r="AW264" s="2"/>
      <c r="AX264" s="2">
        <v>0</v>
      </c>
      <c r="AY264" s="26"/>
      <c r="AZ264" s="5">
        <v>19.45</v>
      </c>
      <c r="BA264" s="1">
        <v>14.84</v>
      </c>
      <c r="BB264" s="1">
        <v>2.75</v>
      </c>
      <c r="BC264" s="6">
        <f t="shared" ref="BC264:BC327" si="225">BB264/BA264</f>
        <v>0.18530997304582211</v>
      </c>
      <c r="BE264" s="30">
        <v>0</v>
      </c>
      <c r="BF264" s="27">
        <v>0</v>
      </c>
      <c r="BG264" s="1">
        <f t="shared" si="199"/>
        <v>76.5</v>
      </c>
      <c r="BH264" s="1">
        <f t="shared" si="200"/>
        <v>53.6</v>
      </c>
      <c r="BI264" s="1">
        <f t="shared" si="201"/>
        <v>32.6</v>
      </c>
      <c r="BJ264" s="7">
        <f t="shared" si="202"/>
        <v>0.81</v>
      </c>
      <c r="BK264" s="7">
        <f t="shared" si="203"/>
        <v>1.675</v>
      </c>
      <c r="BM264" s="5">
        <f t="shared" si="204"/>
        <v>14.84</v>
      </c>
      <c r="BN264" s="5">
        <f t="shared" si="205"/>
        <v>2.75</v>
      </c>
      <c r="BO264" s="1">
        <f t="shared" si="206"/>
        <v>13.6</v>
      </c>
      <c r="BP264" s="1">
        <f t="shared" si="207"/>
        <v>21</v>
      </c>
      <c r="BQ264" s="1">
        <f t="shared" si="208"/>
        <v>8.1</v>
      </c>
      <c r="BR264" s="1">
        <f t="shared" si="209"/>
        <v>53.6</v>
      </c>
      <c r="BS264" s="1">
        <f t="shared" si="210"/>
        <v>32.6</v>
      </c>
      <c r="BT264" s="1">
        <f t="shared" si="211"/>
        <v>0.7</v>
      </c>
      <c r="BU264" s="1">
        <f t="shared" si="212"/>
        <v>3.3</v>
      </c>
      <c r="BV264" s="33">
        <f t="shared" si="213"/>
        <v>0</v>
      </c>
      <c r="BW264" s="26">
        <f t="shared" si="189"/>
        <v>0</v>
      </c>
      <c r="BX264" s="20" t="str">
        <f t="shared" si="214"/>
        <v>NAN</v>
      </c>
      <c r="BY264" s="1">
        <f t="shared" si="215"/>
        <v>13.1</v>
      </c>
      <c r="BZ264" s="1">
        <f t="shared" si="216"/>
        <v>26</v>
      </c>
      <c r="CA264" s="1">
        <f t="shared" si="217"/>
        <v>4.9000000000000004</v>
      </c>
      <c r="CB264" s="1">
        <f t="shared" si="218"/>
        <v>17.399999999999999</v>
      </c>
      <c r="CC264" s="1">
        <f t="shared" si="219"/>
        <v>11.4</v>
      </c>
      <c r="CD264" s="1">
        <f t="shared" si="220"/>
        <v>9.6</v>
      </c>
      <c r="CE264" s="1" t="str">
        <f t="shared" si="221"/>
        <v>NAN</v>
      </c>
      <c r="CF264" s="1">
        <f t="shared" si="222"/>
        <v>0.81</v>
      </c>
      <c r="CG264" s="1">
        <f t="shared" si="223"/>
        <v>1.675</v>
      </c>
      <c r="CI264" s="1">
        <f t="shared" si="190"/>
        <v>2880</v>
      </c>
      <c r="CJ264" s="1">
        <f t="shared" si="191"/>
        <v>8.3000000000000004E-2</v>
      </c>
      <c r="CK264" s="1">
        <f t="shared" si="192"/>
        <v>0.14399999999999999</v>
      </c>
      <c r="CL264" s="1">
        <f t="shared" si="193"/>
        <v>0.22800000000000001</v>
      </c>
      <c r="CM264" s="1">
        <f t="shared" si="194"/>
        <v>0.13900000000000001</v>
      </c>
      <c r="CN264" s="1">
        <f t="shared" si="195"/>
        <v>5.1999999999999998E-2</v>
      </c>
      <c r="CO264" s="1">
        <f t="shared" si="196"/>
        <v>8.7999999999999995E-2</v>
      </c>
      <c r="CP264" s="1">
        <f t="shared" si="197"/>
        <v>0.16500000000000001</v>
      </c>
      <c r="CQ264" s="1">
        <f t="shared" si="198"/>
        <v>0.10199999999999999</v>
      </c>
      <c r="CS264" s="1">
        <f t="shared" ref="CS264:CS327" si="226">IF(BZ264="NAN","NAN",BZ264-BP264)</f>
        <v>5</v>
      </c>
      <c r="CT264" s="1">
        <f t="shared" ref="CT264:CT327" si="227">IF(CA264="NAN","NAN",CA264-BQ264)</f>
        <v>-3.1999999999999993</v>
      </c>
    </row>
    <row r="265" spans="1:98" x14ac:dyDescent="0.2">
      <c r="A265" s="8">
        <f t="shared" si="224"/>
        <v>44090</v>
      </c>
      <c r="B265" s="1">
        <v>260</v>
      </c>
      <c r="C265" s="1">
        <v>11</v>
      </c>
      <c r="D265" s="2">
        <v>12.97</v>
      </c>
      <c r="E265" s="2">
        <v>22.81</v>
      </c>
      <c r="F265" s="2">
        <v>6.94</v>
      </c>
      <c r="G265" s="2">
        <v>15.05</v>
      </c>
      <c r="H265" s="2">
        <v>56.03</v>
      </c>
      <c r="I265" s="2">
        <v>13.64</v>
      </c>
      <c r="J265" s="2">
        <v>13.52</v>
      </c>
      <c r="K265" s="2">
        <v>17.649999999999999</v>
      </c>
      <c r="L265" s="2">
        <v>11.98</v>
      </c>
      <c r="M265" s="2">
        <v>9.61</v>
      </c>
      <c r="N265" s="2">
        <v>22.1</v>
      </c>
      <c r="O265" s="2">
        <v>79.290000000000006</v>
      </c>
      <c r="P265" s="2">
        <v>29.58</v>
      </c>
      <c r="Q265" s="2">
        <v>27.01</v>
      </c>
      <c r="R265" s="2">
        <v>37.729999999999997</v>
      </c>
      <c r="S265" s="2">
        <v>13.06</v>
      </c>
      <c r="T265" s="2">
        <v>9.77</v>
      </c>
      <c r="U265" s="2">
        <v>9.3000000000000007</v>
      </c>
      <c r="V265" s="2">
        <v>32.54</v>
      </c>
      <c r="W265" s="2">
        <v>3.9</v>
      </c>
      <c r="X265" s="2">
        <v>5.0430000000000001</v>
      </c>
      <c r="Y265" s="2">
        <v>7.1109999999999998</v>
      </c>
      <c r="Z265" s="2">
        <v>10.97</v>
      </c>
      <c r="AA265" s="2">
        <v>9.4700000000000006</v>
      </c>
      <c r="AB265" s="2">
        <v>2.6339999999999999</v>
      </c>
      <c r="AC265" s="2">
        <v>0</v>
      </c>
      <c r="AD265" s="2">
        <v>13.25</v>
      </c>
      <c r="AE265" s="2">
        <v>2.7360000000000002</v>
      </c>
      <c r="AF265" s="2">
        <v>0.70499999999999996</v>
      </c>
      <c r="AG265" s="2">
        <v>2.4409999999999998</v>
      </c>
      <c r="AH265" s="2">
        <v>14.13</v>
      </c>
      <c r="AI265" s="2">
        <v>26.6</v>
      </c>
      <c r="AJ265" s="2">
        <v>6.3920000000000003</v>
      </c>
      <c r="AK265" s="2">
        <v>24.85</v>
      </c>
      <c r="AL265" s="2">
        <v>9.4600000000000009</v>
      </c>
      <c r="AM265" s="2">
        <v>2.573</v>
      </c>
      <c r="AN265" s="2" t="s">
        <v>122</v>
      </c>
      <c r="AO265" s="2">
        <v>43</v>
      </c>
      <c r="AP265" s="2">
        <v>130</v>
      </c>
      <c r="AQ265" s="2">
        <v>1167</v>
      </c>
      <c r="AR265" s="2">
        <v>327</v>
      </c>
      <c r="AS265" s="2">
        <v>355</v>
      </c>
      <c r="AT265" s="2">
        <v>406</v>
      </c>
      <c r="AU265" s="2">
        <v>325</v>
      </c>
      <c r="AV265" s="2">
        <v>127</v>
      </c>
      <c r="AW265" s="2"/>
      <c r="AX265" s="2">
        <v>0</v>
      </c>
      <c r="AY265" s="26"/>
      <c r="AZ265" s="5">
        <v>19.2</v>
      </c>
      <c r="BA265" s="1">
        <v>13.25</v>
      </c>
      <c r="BB265" s="1">
        <v>2.52</v>
      </c>
      <c r="BC265" s="6">
        <f t="shared" si="225"/>
        <v>0.19018867924528302</v>
      </c>
      <c r="BE265" s="30">
        <v>0</v>
      </c>
      <c r="BF265" s="27">
        <v>0</v>
      </c>
      <c r="BG265" s="1">
        <f t="shared" si="199"/>
        <v>79.3</v>
      </c>
      <c r="BH265" s="1">
        <f t="shared" si="200"/>
        <v>56</v>
      </c>
      <c r="BI265" s="1">
        <f t="shared" si="201"/>
        <v>32.5</v>
      </c>
      <c r="BJ265" s="7">
        <f t="shared" si="202"/>
        <v>0.86399999999999999</v>
      </c>
      <c r="BK265" s="7">
        <f t="shared" si="203"/>
        <v>1.794</v>
      </c>
      <c r="BM265" s="5">
        <f t="shared" si="204"/>
        <v>13.25</v>
      </c>
      <c r="BN265" s="5">
        <f t="shared" si="205"/>
        <v>2.52</v>
      </c>
      <c r="BO265" s="1">
        <f t="shared" si="206"/>
        <v>15.1</v>
      </c>
      <c r="BP265" s="1">
        <f t="shared" si="207"/>
        <v>22.1</v>
      </c>
      <c r="BQ265" s="1">
        <f t="shared" si="208"/>
        <v>9.3000000000000007</v>
      </c>
      <c r="BR265" s="1">
        <f t="shared" si="209"/>
        <v>56</v>
      </c>
      <c r="BS265" s="1">
        <f t="shared" si="210"/>
        <v>32.5</v>
      </c>
      <c r="BT265" s="1">
        <f t="shared" si="211"/>
        <v>0.7</v>
      </c>
      <c r="BU265" s="1">
        <f t="shared" si="212"/>
        <v>2.4</v>
      </c>
      <c r="BV265" s="33">
        <f t="shared" si="213"/>
        <v>0</v>
      </c>
      <c r="BW265" s="26">
        <f t="shared" si="189"/>
        <v>0</v>
      </c>
      <c r="BX265" s="20" t="str">
        <f t="shared" si="214"/>
        <v>NAN</v>
      </c>
      <c r="BY265" s="1">
        <f t="shared" si="215"/>
        <v>14.1</v>
      </c>
      <c r="BZ265" s="1">
        <f t="shared" si="216"/>
        <v>26.6</v>
      </c>
      <c r="CA265" s="1">
        <f t="shared" si="217"/>
        <v>6.4</v>
      </c>
      <c r="CB265" s="1">
        <f t="shared" si="218"/>
        <v>17.7</v>
      </c>
      <c r="CC265" s="1">
        <f t="shared" si="219"/>
        <v>12</v>
      </c>
      <c r="CD265" s="1">
        <f t="shared" si="220"/>
        <v>9.6</v>
      </c>
      <c r="CE265" s="1" t="str">
        <f t="shared" si="221"/>
        <v>NAN</v>
      </c>
      <c r="CF265" s="1">
        <f t="shared" si="222"/>
        <v>0.86399999999999999</v>
      </c>
      <c r="CG265" s="1">
        <f t="shared" si="223"/>
        <v>1.794</v>
      </c>
      <c r="CI265" s="1">
        <f t="shared" si="190"/>
        <v>2880</v>
      </c>
      <c r="CJ265" s="1">
        <f t="shared" si="191"/>
        <v>1.4999999999999999E-2</v>
      </c>
      <c r="CK265" s="1">
        <f t="shared" si="192"/>
        <v>4.4999999999999998E-2</v>
      </c>
      <c r="CL265" s="1">
        <f t="shared" si="193"/>
        <v>0.40500000000000003</v>
      </c>
      <c r="CM265" s="1">
        <f t="shared" si="194"/>
        <v>0.114</v>
      </c>
      <c r="CN265" s="1">
        <f t="shared" si="195"/>
        <v>0.123</v>
      </c>
      <c r="CO265" s="1">
        <f t="shared" si="196"/>
        <v>0.14099999999999999</v>
      </c>
      <c r="CP265" s="1">
        <f t="shared" si="197"/>
        <v>0.113</v>
      </c>
      <c r="CQ265" s="1">
        <f t="shared" si="198"/>
        <v>4.3999999999999997E-2</v>
      </c>
      <c r="CS265" s="1">
        <f t="shared" si="226"/>
        <v>4.5</v>
      </c>
      <c r="CT265" s="1">
        <f t="shared" si="227"/>
        <v>-2.9000000000000004</v>
      </c>
    </row>
    <row r="266" spans="1:98" x14ac:dyDescent="0.2">
      <c r="A266" s="8">
        <f t="shared" si="224"/>
        <v>44091</v>
      </c>
      <c r="B266" s="1">
        <v>261</v>
      </c>
      <c r="C266" s="1">
        <v>11</v>
      </c>
      <c r="D266" s="2">
        <v>12.97</v>
      </c>
      <c r="E266" s="2">
        <v>23.07</v>
      </c>
      <c r="F266" s="2">
        <v>6.94</v>
      </c>
      <c r="G266" s="2">
        <v>15.75</v>
      </c>
      <c r="H266" s="2">
        <v>45.35</v>
      </c>
      <c r="I266" s="2">
        <v>12.93</v>
      </c>
      <c r="J266" s="2">
        <v>13.24</v>
      </c>
      <c r="K266" s="2">
        <v>16.73</v>
      </c>
      <c r="L266" s="2">
        <v>11.9</v>
      </c>
      <c r="M266" s="2">
        <v>9.69</v>
      </c>
      <c r="N266" s="2">
        <v>22.41</v>
      </c>
      <c r="O266" s="2">
        <v>66.84</v>
      </c>
      <c r="P266" s="2">
        <v>30.25</v>
      </c>
      <c r="Q266" s="2">
        <v>27.11</v>
      </c>
      <c r="R266" s="2">
        <v>40.08</v>
      </c>
      <c r="S266" s="2">
        <v>12.97</v>
      </c>
      <c r="T266" s="2">
        <v>9.85</v>
      </c>
      <c r="U266" s="2">
        <v>10.79</v>
      </c>
      <c r="V266" s="2">
        <v>20.64</v>
      </c>
      <c r="W266" s="2">
        <v>2.65</v>
      </c>
      <c r="X266" s="2">
        <v>3.9430000000000001</v>
      </c>
      <c r="Y266" s="2">
        <v>5.0679999999999996</v>
      </c>
      <c r="Z266" s="2">
        <v>10.8</v>
      </c>
      <c r="AA266" s="2">
        <v>9.5500000000000007</v>
      </c>
      <c r="AB266" s="2">
        <v>2.6389999999999998</v>
      </c>
      <c r="AC266" s="2">
        <v>0</v>
      </c>
      <c r="AD266" s="2">
        <v>13.48</v>
      </c>
      <c r="AE266" s="2">
        <v>2.7789999999999999</v>
      </c>
      <c r="AF266" s="2">
        <v>0.80600000000000005</v>
      </c>
      <c r="AG266" s="2">
        <v>3.6349999999999998</v>
      </c>
      <c r="AH266" s="2">
        <v>13.95</v>
      </c>
      <c r="AI266" s="2">
        <v>27.1</v>
      </c>
      <c r="AJ266" s="2">
        <v>6.1390000000000002</v>
      </c>
      <c r="AK266" s="2">
        <v>25.21</v>
      </c>
      <c r="AL266" s="2">
        <v>10.79</v>
      </c>
      <c r="AM266" s="2">
        <v>2.5720000000000001</v>
      </c>
      <c r="AN266" s="2" t="s">
        <v>122</v>
      </c>
      <c r="AO266" s="2">
        <v>40</v>
      </c>
      <c r="AP266" s="2">
        <v>179</v>
      </c>
      <c r="AQ266" s="2">
        <v>826</v>
      </c>
      <c r="AR266" s="2">
        <v>603</v>
      </c>
      <c r="AS266" s="2">
        <v>523</v>
      </c>
      <c r="AT266" s="2">
        <v>477</v>
      </c>
      <c r="AU266" s="2">
        <v>193</v>
      </c>
      <c r="AV266" s="2">
        <v>39</v>
      </c>
      <c r="AW266" s="2"/>
      <c r="AX266" s="2">
        <v>0</v>
      </c>
      <c r="AY266" s="26"/>
      <c r="AZ266" s="5">
        <v>18.940000000000001</v>
      </c>
      <c r="BA266" s="1">
        <v>13.48</v>
      </c>
      <c r="BB266" s="1">
        <v>2.56</v>
      </c>
      <c r="BC266" s="6">
        <f t="shared" si="225"/>
        <v>0.18991097922848665</v>
      </c>
      <c r="BE266" s="30">
        <v>0</v>
      </c>
      <c r="BF266" s="27">
        <v>0</v>
      </c>
      <c r="BG266" s="1">
        <f t="shared" si="199"/>
        <v>66.8</v>
      </c>
      <c r="BH266" s="1">
        <f t="shared" si="200"/>
        <v>45.4</v>
      </c>
      <c r="BI266" s="1">
        <f t="shared" si="201"/>
        <v>20.6</v>
      </c>
      <c r="BJ266" s="7">
        <f t="shared" si="202"/>
        <v>0.55800000000000005</v>
      </c>
      <c r="BK266" s="7">
        <f t="shared" si="203"/>
        <v>2.1509999999999998</v>
      </c>
      <c r="BM266" s="5">
        <f t="shared" si="204"/>
        <v>13.48</v>
      </c>
      <c r="BN266" s="5">
        <f t="shared" si="205"/>
        <v>2.56</v>
      </c>
      <c r="BO266" s="1">
        <f t="shared" si="206"/>
        <v>15.8</v>
      </c>
      <c r="BP266" s="1">
        <f t="shared" si="207"/>
        <v>22.4</v>
      </c>
      <c r="BQ266" s="1">
        <f t="shared" si="208"/>
        <v>10.8</v>
      </c>
      <c r="BR266" s="1">
        <f t="shared" si="209"/>
        <v>45.4</v>
      </c>
      <c r="BS266" s="1">
        <f t="shared" si="210"/>
        <v>20.6</v>
      </c>
      <c r="BT266" s="1">
        <f t="shared" si="211"/>
        <v>0.8</v>
      </c>
      <c r="BU266" s="1">
        <f t="shared" si="212"/>
        <v>3.6</v>
      </c>
      <c r="BV266" s="33">
        <f t="shared" si="213"/>
        <v>0</v>
      </c>
      <c r="BW266" s="26">
        <f t="shared" si="189"/>
        <v>0</v>
      </c>
      <c r="BX266" s="20" t="str">
        <f t="shared" si="214"/>
        <v>NAN</v>
      </c>
      <c r="BY266" s="1">
        <f t="shared" si="215"/>
        <v>14</v>
      </c>
      <c r="BZ266" s="1">
        <f t="shared" si="216"/>
        <v>27.1</v>
      </c>
      <c r="CA266" s="1">
        <f t="shared" si="217"/>
        <v>6.1</v>
      </c>
      <c r="CB266" s="1">
        <f t="shared" si="218"/>
        <v>16.7</v>
      </c>
      <c r="CC266" s="1">
        <f t="shared" si="219"/>
        <v>11.9</v>
      </c>
      <c r="CD266" s="1">
        <f t="shared" si="220"/>
        <v>9.6999999999999993</v>
      </c>
      <c r="CE266" s="1" t="str">
        <f t="shared" si="221"/>
        <v>NAN</v>
      </c>
      <c r="CF266" s="1">
        <f t="shared" si="222"/>
        <v>0.55800000000000005</v>
      </c>
      <c r="CG266" s="1">
        <f t="shared" si="223"/>
        <v>2.1509999999999998</v>
      </c>
      <c r="CI266" s="1">
        <f t="shared" si="190"/>
        <v>2880</v>
      </c>
      <c r="CJ266" s="1">
        <f t="shared" si="191"/>
        <v>1.4E-2</v>
      </c>
      <c r="CK266" s="1">
        <f t="shared" si="192"/>
        <v>6.2E-2</v>
      </c>
      <c r="CL266" s="1">
        <f t="shared" si="193"/>
        <v>0.28699999999999998</v>
      </c>
      <c r="CM266" s="1">
        <f t="shared" si="194"/>
        <v>0.20899999999999999</v>
      </c>
      <c r="CN266" s="1">
        <f t="shared" si="195"/>
        <v>0.182</v>
      </c>
      <c r="CO266" s="1">
        <f t="shared" si="196"/>
        <v>0.16600000000000001</v>
      </c>
      <c r="CP266" s="1">
        <f t="shared" si="197"/>
        <v>6.7000000000000004E-2</v>
      </c>
      <c r="CQ266" s="1">
        <f t="shared" si="198"/>
        <v>1.4E-2</v>
      </c>
      <c r="CS266" s="1">
        <f t="shared" si="226"/>
        <v>4.7000000000000028</v>
      </c>
      <c r="CT266" s="1">
        <f t="shared" si="227"/>
        <v>-4.7000000000000011</v>
      </c>
    </row>
    <row r="267" spans="1:98" x14ac:dyDescent="0.2">
      <c r="A267" s="8">
        <f t="shared" si="224"/>
        <v>44092</v>
      </c>
      <c r="B267" s="1">
        <v>262</v>
      </c>
      <c r="C267" s="1">
        <v>11</v>
      </c>
      <c r="D267" s="2">
        <v>12.98</v>
      </c>
      <c r="E267" s="2">
        <v>21.37</v>
      </c>
      <c r="F267" s="2">
        <v>6.6559999999999997</v>
      </c>
      <c r="G267" s="2">
        <v>14.46</v>
      </c>
      <c r="H267" s="2">
        <v>47.01</v>
      </c>
      <c r="I267" s="2">
        <v>12.6</v>
      </c>
      <c r="J267" s="2">
        <v>12.84</v>
      </c>
      <c r="K267" s="2">
        <v>14.69</v>
      </c>
      <c r="L267" s="2">
        <v>11.49</v>
      </c>
      <c r="M267" s="2">
        <v>9.67</v>
      </c>
      <c r="N267" s="2">
        <v>21.42</v>
      </c>
      <c r="O267" s="2">
        <v>83.1</v>
      </c>
      <c r="P267" s="2">
        <v>27.28</v>
      </c>
      <c r="Q267" s="2">
        <v>25.72</v>
      </c>
      <c r="R267" s="2">
        <v>31.47</v>
      </c>
      <c r="S267" s="2">
        <v>12.54</v>
      </c>
      <c r="T267" s="2">
        <v>9.81</v>
      </c>
      <c r="U267" s="2">
        <v>8.11</v>
      </c>
      <c r="V267" s="2">
        <v>27.25</v>
      </c>
      <c r="W267" s="2">
        <v>1.635</v>
      </c>
      <c r="X267" s="2">
        <v>3.4910000000000001</v>
      </c>
      <c r="Y267" s="2">
        <v>3.9510000000000001</v>
      </c>
      <c r="Z267" s="2">
        <v>10.51</v>
      </c>
      <c r="AA267" s="2">
        <v>9.5399999999999991</v>
      </c>
      <c r="AB267" s="2">
        <v>2.6280000000000001</v>
      </c>
      <c r="AC267" s="2">
        <v>0</v>
      </c>
      <c r="AD267" s="2">
        <v>10.71</v>
      </c>
      <c r="AE267" s="2">
        <v>2.165</v>
      </c>
      <c r="AF267" s="2">
        <v>1.151</v>
      </c>
      <c r="AG267" s="2">
        <v>3.7549999999999999</v>
      </c>
      <c r="AH267" s="2">
        <v>13.07</v>
      </c>
      <c r="AI267" s="2">
        <v>25.91</v>
      </c>
      <c r="AJ267" s="2">
        <v>5.5709999999999997</v>
      </c>
      <c r="AK267" s="2">
        <v>23.51</v>
      </c>
      <c r="AL267" s="2">
        <v>7.8550000000000004</v>
      </c>
      <c r="AM267" s="2">
        <v>2.589</v>
      </c>
      <c r="AN267" s="2" t="s">
        <v>122</v>
      </c>
      <c r="AO267" s="2">
        <v>33</v>
      </c>
      <c r="AP267" s="2">
        <v>36</v>
      </c>
      <c r="AQ267" s="2">
        <v>475</v>
      </c>
      <c r="AR267" s="2">
        <v>258</v>
      </c>
      <c r="AS267" s="2">
        <v>535</v>
      </c>
      <c r="AT267" s="2">
        <v>957</v>
      </c>
      <c r="AU267" s="2">
        <v>492</v>
      </c>
      <c r="AV267" s="2">
        <v>94</v>
      </c>
      <c r="AW267" s="2"/>
      <c r="AX267" s="2">
        <v>0</v>
      </c>
      <c r="AY267" s="26"/>
      <c r="AZ267" s="5">
        <v>18.690000000000001</v>
      </c>
      <c r="BA267" s="1">
        <v>10.71</v>
      </c>
      <c r="BB267" s="1">
        <v>1.99</v>
      </c>
      <c r="BC267" s="6">
        <f t="shared" si="225"/>
        <v>0.18580765639589167</v>
      </c>
      <c r="BE267" s="30">
        <v>0</v>
      </c>
      <c r="BF267" s="27">
        <v>0</v>
      </c>
      <c r="BG267" s="1">
        <f t="shared" si="199"/>
        <v>83.1</v>
      </c>
      <c r="BH267" s="1">
        <f t="shared" si="200"/>
        <v>47</v>
      </c>
      <c r="BI267" s="1">
        <f t="shared" si="201"/>
        <v>27.3</v>
      </c>
      <c r="BJ267" s="7">
        <f t="shared" si="202"/>
        <v>0.69599999999999995</v>
      </c>
      <c r="BK267" s="7">
        <f t="shared" si="203"/>
        <v>1.853</v>
      </c>
      <c r="BM267" s="5">
        <f t="shared" si="204"/>
        <v>10.71</v>
      </c>
      <c r="BN267" s="5">
        <f t="shared" si="205"/>
        <v>1.99</v>
      </c>
      <c r="BO267" s="1">
        <f t="shared" si="206"/>
        <v>14.5</v>
      </c>
      <c r="BP267" s="1">
        <f t="shared" si="207"/>
        <v>21.4</v>
      </c>
      <c r="BQ267" s="1">
        <f t="shared" si="208"/>
        <v>8.1</v>
      </c>
      <c r="BR267" s="1">
        <f t="shared" si="209"/>
        <v>47</v>
      </c>
      <c r="BS267" s="1">
        <f t="shared" si="210"/>
        <v>27.3</v>
      </c>
      <c r="BT267" s="1">
        <f t="shared" si="211"/>
        <v>1.2</v>
      </c>
      <c r="BU267" s="1">
        <f t="shared" si="212"/>
        <v>3.8</v>
      </c>
      <c r="BV267" s="33">
        <f t="shared" si="213"/>
        <v>0</v>
      </c>
      <c r="BW267" s="26">
        <f t="shared" si="189"/>
        <v>0</v>
      </c>
      <c r="BX267" s="20" t="str">
        <f t="shared" si="214"/>
        <v>NAN</v>
      </c>
      <c r="BY267" s="1">
        <f t="shared" si="215"/>
        <v>13.1</v>
      </c>
      <c r="BZ267" s="1">
        <f t="shared" si="216"/>
        <v>25.9</v>
      </c>
      <c r="CA267" s="1">
        <f t="shared" si="217"/>
        <v>5.6</v>
      </c>
      <c r="CB267" s="1">
        <f t="shared" si="218"/>
        <v>14.7</v>
      </c>
      <c r="CC267" s="1">
        <f t="shared" si="219"/>
        <v>11.5</v>
      </c>
      <c r="CD267" s="1">
        <f t="shared" si="220"/>
        <v>9.6999999999999993</v>
      </c>
      <c r="CE267" s="1" t="str">
        <f t="shared" si="221"/>
        <v>NAN</v>
      </c>
      <c r="CF267" s="1">
        <f t="shared" si="222"/>
        <v>0.69599999999999995</v>
      </c>
      <c r="CG267" s="1">
        <f t="shared" si="223"/>
        <v>1.853</v>
      </c>
      <c r="CI267" s="1">
        <f t="shared" si="190"/>
        <v>2880</v>
      </c>
      <c r="CJ267" s="1">
        <f t="shared" si="191"/>
        <v>1.0999999999999999E-2</v>
      </c>
      <c r="CK267" s="1">
        <f t="shared" si="192"/>
        <v>1.2999999999999999E-2</v>
      </c>
      <c r="CL267" s="1">
        <f t="shared" si="193"/>
        <v>0.16500000000000001</v>
      </c>
      <c r="CM267" s="1">
        <f t="shared" si="194"/>
        <v>0.09</v>
      </c>
      <c r="CN267" s="1">
        <f t="shared" si="195"/>
        <v>0.186</v>
      </c>
      <c r="CO267" s="1">
        <f t="shared" si="196"/>
        <v>0.33200000000000002</v>
      </c>
      <c r="CP267" s="1">
        <f t="shared" si="197"/>
        <v>0.17100000000000001</v>
      </c>
      <c r="CQ267" s="1">
        <f t="shared" si="198"/>
        <v>3.3000000000000002E-2</v>
      </c>
      <c r="CS267" s="1">
        <f t="shared" si="226"/>
        <v>4.5</v>
      </c>
      <c r="CT267" s="1">
        <f t="shared" si="227"/>
        <v>-2.5</v>
      </c>
    </row>
    <row r="268" spans="1:98" x14ac:dyDescent="0.2">
      <c r="A268" s="8">
        <f t="shared" si="224"/>
        <v>44093</v>
      </c>
      <c r="B268" s="1">
        <v>263</v>
      </c>
      <c r="C268" s="1">
        <v>11</v>
      </c>
      <c r="D268" s="2">
        <v>12.98</v>
      </c>
      <c r="E268" s="2">
        <v>13.64</v>
      </c>
      <c r="F268" s="2">
        <v>3.9129999999999998</v>
      </c>
      <c r="G268" s="2">
        <v>7.8719999999999999</v>
      </c>
      <c r="H268" s="2">
        <v>82.3</v>
      </c>
      <c r="I268" s="2">
        <v>8.2899999999999991</v>
      </c>
      <c r="J268" s="2">
        <v>7.97</v>
      </c>
      <c r="K268" s="2">
        <v>11.14</v>
      </c>
      <c r="L268" s="2">
        <v>11.13</v>
      </c>
      <c r="M268" s="2">
        <v>9.57</v>
      </c>
      <c r="N268" s="2">
        <v>12.31</v>
      </c>
      <c r="O268" s="2">
        <v>96.5</v>
      </c>
      <c r="P268" s="2">
        <v>20.71</v>
      </c>
      <c r="Q268" s="2">
        <v>18.100000000000001</v>
      </c>
      <c r="R268" s="2">
        <v>21.11</v>
      </c>
      <c r="S268" s="2">
        <v>11.97</v>
      </c>
      <c r="T268" s="2">
        <v>9.69</v>
      </c>
      <c r="U268" s="2">
        <v>5.0339999999999998</v>
      </c>
      <c r="V268" s="2">
        <v>60.96</v>
      </c>
      <c r="W268" s="2">
        <v>2.4340000000000002</v>
      </c>
      <c r="X268" s="2">
        <v>3.0409999999999999</v>
      </c>
      <c r="Y268" s="2">
        <v>5.6680000000000001</v>
      </c>
      <c r="Z268" s="2">
        <v>10.61</v>
      </c>
      <c r="AA268" s="2">
        <v>9.44</v>
      </c>
      <c r="AB268" s="2">
        <v>2.6320000000000001</v>
      </c>
      <c r="AC268" s="2">
        <v>0.76200000000000001</v>
      </c>
      <c r="AD268" s="2">
        <v>7.6459999999999999</v>
      </c>
      <c r="AE268" s="2">
        <v>1.45</v>
      </c>
      <c r="AF268" s="2">
        <v>1.369</v>
      </c>
      <c r="AG268" s="2">
        <v>3.7480000000000002</v>
      </c>
      <c r="AH268" s="2">
        <v>8.1300000000000008</v>
      </c>
      <c r="AI268" s="2">
        <v>17.649999999999999</v>
      </c>
      <c r="AJ268" s="2">
        <v>3.4750000000000001</v>
      </c>
      <c r="AK268" s="2">
        <v>14.99</v>
      </c>
      <c r="AL268" s="2">
        <v>4.5709999999999997</v>
      </c>
      <c r="AM268" s="2">
        <v>2.605</v>
      </c>
      <c r="AN268" s="2" t="s">
        <v>122</v>
      </c>
      <c r="AO268" s="2">
        <v>605</v>
      </c>
      <c r="AP268" s="2">
        <v>239</v>
      </c>
      <c r="AQ268" s="2">
        <v>64</v>
      </c>
      <c r="AR268" s="2">
        <v>20</v>
      </c>
      <c r="AS268" s="2">
        <v>126</v>
      </c>
      <c r="AT268" s="2">
        <v>385</v>
      </c>
      <c r="AU268" s="2">
        <v>700</v>
      </c>
      <c r="AV268" s="2">
        <v>741</v>
      </c>
      <c r="AW268" s="2"/>
      <c r="AX268" s="2">
        <v>0</v>
      </c>
      <c r="AY268" s="26"/>
      <c r="AZ268" s="5">
        <v>18.440000000000001</v>
      </c>
      <c r="BA268" s="1">
        <v>7.65</v>
      </c>
      <c r="BB268" s="1">
        <v>1.33</v>
      </c>
      <c r="BC268" s="6">
        <f t="shared" si="225"/>
        <v>0.17385620915032679</v>
      </c>
      <c r="BE268" s="30">
        <v>0.76200000000000001</v>
      </c>
      <c r="BF268" s="27">
        <v>0</v>
      </c>
      <c r="BG268" s="1">
        <f t="shared" si="199"/>
        <v>96.5</v>
      </c>
      <c r="BH268" s="1">
        <f t="shared" si="200"/>
        <v>82.3</v>
      </c>
      <c r="BI268" s="1">
        <f t="shared" si="201"/>
        <v>61</v>
      </c>
      <c r="BJ268" s="7">
        <f t="shared" si="202"/>
        <v>0.873</v>
      </c>
      <c r="BK268" s="7">
        <f t="shared" si="203"/>
        <v>0.55800000000000005</v>
      </c>
      <c r="BM268" s="5">
        <f t="shared" si="204"/>
        <v>7.65</v>
      </c>
      <c r="BN268" s="5">
        <f t="shared" si="205"/>
        <v>1.33</v>
      </c>
      <c r="BO268" s="1">
        <f t="shared" si="206"/>
        <v>7.9</v>
      </c>
      <c r="BP268" s="1">
        <f t="shared" si="207"/>
        <v>12.3</v>
      </c>
      <c r="BQ268" s="1">
        <f t="shared" si="208"/>
        <v>5</v>
      </c>
      <c r="BR268" s="1">
        <f t="shared" si="209"/>
        <v>82.3</v>
      </c>
      <c r="BS268" s="1">
        <f t="shared" si="210"/>
        <v>61</v>
      </c>
      <c r="BT268" s="1">
        <f t="shared" si="211"/>
        <v>1.4</v>
      </c>
      <c r="BU268" s="1">
        <f t="shared" si="212"/>
        <v>3.7</v>
      </c>
      <c r="BV268" s="33">
        <f t="shared" si="213"/>
        <v>0.76200000000000001</v>
      </c>
      <c r="BW268" s="26">
        <f t="shared" si="189"/>
        <v>0</v>
      </c>
      <c r="BX268" s="20" t="str">
        <f t="shared" si="214"/>
        <v>NAN</v>
      </c>
      <c r="BY268" s="1">
        <f t="shared" si="215"/>
        <v>8.1</v>
      </c>
      <c r="BZ268" s="1">
        <f t="shared" si="216"/>
        <v>17.7</v>
      </c>
      <c r="CA268" s="1">
        <f t="shared" si="217"/>
        <v>3.5</v>
      </c>
      <c r="CB268" s="1">
        <f t="shared" si="218"/>
        <v>11.1</v>
      </c>
      <c r="CC268" s="1">
        <f t="shared" si="219"/>
        <v>11.1</v>
      </c>
      <c r="CD268" s="1">
        <f t="shared" si="220"/>
        <v>9.6</v>
      </c>
      <c r="CE268" s="1" t="str">
        <f t="shared" si="221"/>
        <v>NAN</v>
      </c>
      <c r="CF268" s="1">
        <f t="shared" si="222"/>
        <v>0.873</v>
      </c>
      <c r="CG268" s="1">
        <f t="shared" si="223"/>
        <v>0.55800000000000005</v>
      </c>
      <c r="CI268" s="1">
        <f t="shared" si="190"/>
        <v>2880</v>
      </c>
      <c r="CJ268" s="1">
        <f t="shared" si="191"/>
        <v>0.21</v>
      </c>
      <c r="CK268" s="1">
        <f t="shared" si="192"/>
        <v>8.3000000000000004E-2</v>
      </c>
      <c r="CL268" s="1">
        <f t="shared" si="193"/>
        <v>2.1999999999999999E-2</v>
      </c>
      <c r="CM268" s="1">
        <f t="shared" si="194"/>
        <v>7.0000000000000001E-3</v>
      </c>
      <c r="CN268" s="1">
        <f t="shared" si="195"/>
        <v>4.3999999999999997E-2</v>
      </c>
      <c r="CO268" s="1">
        <f t="shared" si="196"/>
        <v>0.13400000000000001</v>
      </c>
      <c r="CP268" s="1">
        <f t="shared" si="197"/>
        <v>0.24299999999999999</v>
      </c>
      <c r="CQ268" s="1">
        <f t="shared" si="198"/>
        <v>0.25700000000000001</v>
      </c>
      <c r="CS268" s="1">
        <f t="shared" si="226"/>
        <v>5.3999999999999986</v>
      </c>
      <c r="CT268" s="1">
        <f t="shared" si="227"/>
        <v>-1.5</v>
      </c>
    </row>
    <row r="269" spans="1:98" x14ac:dyDescent="0.2">
      <c r="A269" s="8">
        <f t="shared" si="224"/>
        <v>44094</v>
      </c>
      <c r="B269" s="1">
        <v>264</v>
      </c>
      <c r="C269" s="1">
        <v>11</v>
      </c>
      <c r="D269" s="2">
        <v>12.98</v>
      </c>
      <c r="E269" s="2">
        <v>18.559999999999999</v>
      </c>
      <c r="F269" s="2">
        <v>2.1619999999999999</v>
      </c>
      <c r="G269" s="2">
        <v>8.23</v>
      </c>
      <c r="H269" s="2">
        <v>70.540000000000006</v>
      </c>
      <c r="I269" s="2">
        <v>8.4700000000000006</v>
      </c>
      <c r="J269" s="2">
        <v>8.23</v>
      </c>
      <c r="K269" s="2">
        <v>13.22</v>
      </c>
      <c r="L269" s="2">
        <v>10.58</v>
      </c>
      <c r="M269" s="2">
        <v>9.43</v>
      </c>
      <c r="N269" s="2">
        <v>15.84</v>
      </c>
      <c r="O269" s="2">
        <v>94.3</v>
      </c>
      <c r="P269" s="2">
        <v>27.11</v>
      </c>
      <c r="Q269" s="2">
        <v>24.59</v>
      </c>
      <c r="R269" s="2">
        <v>38.869999999999997</v>
      </c>
      <c r="S269" s="2">
        <v>11.54</v>
      </c>
      <c r="T269" s="2">
        <v>9.59</v>
      </c>
      <c r="U269" s="2">
        <v>3.68</v>
      </c>
      <c r="V269" s="2">
        <v>36.520000000000003</v>
      </c>
      <c r="W269" s="2">
        <v>0.214</v>
      </c>
      <c r="X269" s="2">
        <v>1.0589999999999999</v>
      </c>
      <c r="Y269" s="2">
        <v>3.819</v>
      </c>
      <c r="Z269" s="2">
        <v>9.68</v>
      </c>
      <c r="AA269" s="2">
        <v>9.27</v>
      </c>
      <c r="AB269" s="2">
        <v>2.6320000000000001</v>
      </c>
      <c r="AC269" s="2">
        <v>0</v>
      </c>
      <c r="AD269" s="2">
        <v>14.37</v>
      </c>
      <c r="AE269" s="2">
        <v>2.88</v>
      </c>
      <c r="AF269" s="2">
        <v>0.96299999999999997</v>
      </c>
      <c r="AG269" s="2">
        <v>3.3889999999999998</v>
      </c>
      <c r="AH269" s="2">
        <v>8.48</v>
      </c>
      <c r="AI269" s="2">
        <v>23.79</v>
      </c>
      <c r="AJ269" s="2">
        <v>1.4990000000000001</v>
      </c>
      <c r="AK269" s="2">
        <v>19.07</v>
      </c>
      <c r="AL269" s="2">
        <v>3.7669999999999999</v>
      </c>
      <c r="AM269" s="2">
        <v>2.609</v>
      </c>
      <c r="AN269" s="2" t="s">
        <v>122</v>
      </c>
      <c r="AO269" s="2">
        <v>385</v>
      </c>
      <c r="AP269" s="2">
        <v>191</v>
      </c>
      <c r="AQ269" s="2">
        <v>150</v>
      </c>
      <c r="AR269" s="2">
        <v>97</v>
      </c>
      <c r="AS269" s="2">
        <v>242</v>
      </c>
      <c r="AT269" s="2">
        <v>609</v>
      </c>
      <c r="AU269" s="2">
        <v>671</v>
      </c>
      <c r="AV269" s="2">
        <v>535</v>
      </c>
      <c r="AW269" s="2"/>
      <c r="AX269" s="2">
        <v>0</v>
      </c>
      <c r="AY269" s="26"/>
      <c r="AZ269" s="5">
        <v>18.18</v>
      </c>
      <c r="BA269" s="1">
        <v>14.37</v>
      </c>
      <c r="BB269" s="1">
        <v>2.65</v>
      </c>
      <c r="BC269" s="6">
        <f t="shared" si="225"/>
        <v>0.18441196938065416</v>
      </c>
      <c r="BE269" s="30">
        <v>0</v>
      </c>
      <c r="BF269" s="27">
        <v>0</v>
      </c>
      <c r="BG269" s="1">
        <f t="shared" si="199"/>
        <v>94.3</v>
      </c>
      <c r="BH269" s="1">
        <f t="shared" si="200"/>
        <v>70.5</v>
      </c>
      <c r="BI269" s="1">
        <f t="shared" si="201"/>
        <v>36.5</v>
      </c>
      <c r="BJ269" s="7">
        <f t="shared" si="202"/>
        <v>0.65700000000000003</v>
      </c>
      <c r="BK269" s="7">
        <f t="shared" si="203"/>
        <v>1.143</v>
      </c>
      <c r="BM269" s="5">
        <f t="shared" si="204"/>
        <v>14.37</v>
      </c>
      <c r="BN269" s="5">
        <f t="shared" si="205"/>
        <v>2.65</v>
      </c>
      <c r="BO269" s="1">
        <f t="shared" si="206"/>
        <v>8.1999999999999993</v>
      </c>
      <c r="BP269" s="1">
        <f t="shared" si="207"/>
        <v>15.8</v>
      </c>
      <c r="BQ269" s="1">
        <f t="shared" si="208"/>
        <v>3.7</v>
      </c>
      <c r="BR269" s="1">
        <f t="shared" si="209"/>
        <v>70.5</v>
      </c>
      <c r="BS269" s="1">
        <f t="shared" si="210"/>
        <v>36.5</v>
      </c>
      <c r="BT269" s="1">
        <f t="shared" si="211"/>
        <v>1</v>
      </c>
      <c r="BU269" s="1">
        <f t="shared" si="212"/>
        <v>3.4</v>
      </c>
      <c r="BV269" s="33">
        <f t="shared" si="213"/>
        <v>0</v>
      </c>
      <c r="BW269" s="26">
        <f t="shared" si="189"/>
        <v>0</v>
      </c>
      <c r="BX269" s="20" t="str">
        <f t="shared" si="214"/>
        <v>NAN</v>
      </c>
      <c r="BY269" s="1">
        <f t="shared" si="215"/>
        <v>8.5</v>
      </c>
      <c r="BZ269" s="1">
        <f t="shared" si="216"/>
        <v>23.8</v>
      </c>
      <c r="CA269" s="1">
        <f t="shared" si="217"/>
        <v>1.5</v>
      </c>
      <c r="CB269" s="1">
        <f t="shared" si="218"/>
        <v>13.2</v>
      </c>
      <c r="CC269" s="1">
        <f t="shared" si="219"/>
        <v>10.6</v>
      </c>
      <c r="CD269" s="1">
        <f t="shared" si="220"/>
        <v>9.4</v>
      </c>
      <c r="CE269" s="1" t="str">
        <f t="shared" si="221"/>
        <v>NAN</v>
      </c>
      <c r="CF269" s="1">
        <f t="shared" si="222"/>
        <v>0.65700000000000003</v>
      </c>
      <c r="CG269" s="1">
        <f t="shared" si="223"/>
        <v>1.143</v>
      </c>
      <c r="CI269" s="1">
        <f t="shared" si="190"/>
        <v>2880</v>
      </c>
      <c r="CJ269" s="1">
        <f t="shared" si="191"/>
        <v>0.13400000000000001</v>
      </c>
      <c r="CK269" s="1">
        <f t="shared" si="192"/>
        <v>6.6000000000000003E-2</v>
      </c>
      <c r="CL269" s="1">
        <f t="shared" si="193"/>
        <v>5.1999999999999998E-2</v>
      </c>
      <c r="CM269" s="1">
        <f t="shared" si="194"/>
        <v>3.4000000000000002E-2</v>
      </c>
      <c r="CN269" s="1">
        <f t="shared" si="195"/>
        <v>8.4000000000000005E-2</v>
      </c>
      <c r="CO269" s="1">
        <f t="shared" si="196"/>
        <v>0.21099999999999999</v>
      </c>
      <c r="CP269" s="1">
        <f t="shared" si="197"/>
        <v>0.23300000000000001</v>
      </c>
      <c r="CQ269" s="1">
        <f t="shared" si="198"/>
        <v>0.186</v>
      </c>
      <c r="CS269" s="1">
        <f t="shared" si="226"/>
        <v>8</v>
      </c>
      <c r="CT269" s="1">
        <f t="shared" si="227"/>
        <v>-2.2000000000000002</v>
      </c>
    </row>
    <row r="270" spans="1:98" x14ac:dyDescent="0.2">
      <c r="A270" s="8">
        <f t="shared" si="224"/>
        <v>44095</v>
      </c>
      <c r="B270" s="1">
        <v>265</v>
      </c>
      <c r="C270" s="1">
        <v>11</v>
      </c>
      <c r="D270" s="2">
        <v>12.97</v>
      </c>
      <c r="E270" s="2">
        <v>15.21</v>
      </c>
      <c r="F270" s="2">
        <v>0.73399999999999999</v>
      </c>
      <c r="G270" s="2">
        <v>7.7460000000000004</v>
      </c>
      <c r="H270" s="2">
        <v>70.61</v>
      </c>
      <c r="I270" s="2">
        <v>6.0620000000000003</v>
      </c>
      <c r="J270" s="2">
        <v>6.18</v>
      </c>
      <c r="K270" s="2">
        <v>8.9600000000000009</v>
      </c>
      <c r="L270" s="2">
        <v>9.8000000000000007</v>
      </c>
      <c r="M270" s="2">
        <v>9.2899999999999991</v>
      </c>
      <c r="N270" s="2">
        <v>14.83</v>
      </c>
      <c r="O270" s="2">
        <v>94.5</v>
      </c>
      <c r="P270" s="2">
        <v>19.79</v>
      </c>
      <c r="Q270" s="2">
        <v>18.36</v>
      </c>
      <c r="R270" s="2">
        <v>22</v>
      </c>
      <c r="S270" s="2">
        <v>11.09</v>
      </c>
      <c r="T270" s="2">
        <v>9.4600000000000009</v>
      </c>
      <c r="U270" s="2">
        <v>3.1429999999999998</v>
      </c>
      <c r="V270" s="2">
        <v>30.04</v>
      </c>
      <c r="W270" s="2">
        <v>-3.4350000000000001</v>
      </c>
      <c r="X270" s="2">
        <v>-2.1619999999999999</v>
      </c>
      <c r="Y270" s="2">
        <v>-0.17399999999999999</v>
      </c>
      <c r="Z270" s="2">
        <v>8.9600000000000009</v>
      </c>
      <c r="AA270" s="2">
        <v>9.07</v>
      </c>
      <c r="AB270" s="2">
        <v>2.6320000000000001</v>
      </c>
      <c r="AC270" s="2">
        <v>0.254</v>
      </c>
      <c r="AD270" s="2">
        <v>10.19</v>
      </c>
      <c r="AE270" s="2">
        <v>1.958</v>
      </c>
      <c r="AF270" s="2">
        <v>0.86199999999999999</v>
      </c>
      <c r="AG270" s="2">
        <v>2.86</v>
      </c>
      <c r="AH270" s="2">
        <v>6.931</v>
      </c>
      <c r="AI270" s="2">
        <v>20.49</v>
      </c>
      <c r="AJ270" s="2">
        <v>-0.28799999999999998</v>
      </c>
      <c r="AK270" s="2">
        <v>18.57</v>
      </c>
      <c r="AL270" s="2">
        <v>2.4980000000000002</v>
      </c>
      <c r="AM270" s="2">
        <v>2.605</v>
      </c>
      <c r="AN270" s="2" t="s">
        <v>122</v>
      </c>
      <c r="AO270" s="2">
        <v>66</v>
      </c>
      <c r="AP270" s="2">
        <v>215</v>
      </c>
      <c r="AQ270" s="2">
        <v>392</v>
      </c>
      <c r="AR270" s="2">
        <v>333</v>
      </c>
      <c r="AS270" s="2">
        <v>373</v>
      </c>
      <c r="AT270" s="2">
        <v>613</v>
      </c>
      <c r="AU270" s="2">
        <v>666</v>
      </c>
      <c r="AV270" s="2">
        <v>222</v>
      </c>
      <c r="AW270" s="2"/>
      <c r="AX270" s="2">
        <v>0</v>
      </c>
      <c r="AY270" s="26"/>
      <c r="AZ270" s="5">
        <v>17.93</v>
      </c>
      <c r="BA270" s="1">
        <v>10.19</v>
      </c>
      <c r="BB270" s="1">
        <v>1.8</v>
      </c>
      <c r="BC270" s="6">
        <f t="shared" si="225"/>
        <v>0.17664376840039256</v>
      </c>
      <c r="BE270" s="30">
        <v>0.254</v>
      </c>
      <c r="BF270" s="27">
        <v>0</v>
      </c>
      <c r="BG270" s="1">
        <f t="shared" si="199"/>
        <v>94.5</v>
      </c>
      <c r="BH270" s="1">
        <f t="shared" si="200"/>
        <v>70.599999999999994</v>
      </c>
      <c r="BI270" s="1">
        <f t="shared" si="201"/>
        <v>30</v>
      </c>
      <c r="BJ270" s="7">
        <f t="shared" si="202"/>
        <v>0.50600000000000001</v>
      </c>
      <c r="BK270" s="7">
        <f t="shared" si="203"/>
        <v>1.181</v>
      </c>
      <c r="BM270" s="5">
        <f t="shared" si="204"/>
        <v>10.19</v>
      </c>
      <c r="BN270" s="5">
        <f t="shared" si="205"/>
        <v>1.8</v>
      </c>
      <c r="BO270" s="1">
        <f t="shared" si="206"/>
        <v>7.7</v>
      </c>
      <c r="BP270" s="1">
        <f t="shared" si="207"/>
        <v>14.8</v>
      </c>
      <c r="BQ270" s="1">
        <f t="shared" si="208"/>
        <v>3.1</v>
      </c>
      <c r="BR270" s="1">
        <f t="shared" si="209"/>
        <v>70.599999999999994</v>
      </c>
      <c r="BS270" s="1">
        <f t="shared" si="210"/>
        <v>30</v>
      </c>
      <c r="BT270" s="1">
        <f t="shared" si="211"/>
        <v>0.9</v>
      </c>
      <c r="BU270" s="1">
        <f t="shared" si="212"/>
        <v>2.9</v>
      </c>
      <c r="BV270" s="33">
        <f t="shared" si="213"/>
        <v>0.254</v>
      </c>
      <c r="BW270" s="26">
        <f t="shared" si="189"/>
        <v>0</v>
      </c>
      <c r="BX270" s="20" t="str">
        <f t="shared" si="214"/>
        <v>NAN</v>
      </c>
      <c r="BY270" s="1">
        <f t="shared" si="215"/>
        <v>6.9</v>
      </c>
      <c r="BZ270" s="1">
        <f t="shared" si="216"/>
        <v>20.5</v>
      </c>
      <c r="CA270" s="1">
        <f t="shared" si="217"/>
        <v>-0.3</v>
      </c>
      <c r="CB270" s="1">
        <f t="shared" si="218"/>
        <v>9</v>
      </c>
      <c r="CC270" s="1">
        <f t="shared" si="219"/>
        <v>9.8000000000000007</v>
      </c>
      <c r="CD270" s="1">
        <f t="shared" si="220"/>
        <v>9.3000000000000007</v>
      </c>
      <c r="CE270" s="1" t="str">
        <f t="shared" si="221"/>
        <v>NAN</v>
      </c>
      <c r="CF270" s="1">
        <f t="shared" si="222"/>
        <v>0.50600000000000001</v>
      </c>
      <c r="CG270" s="1">
        <f t="shared" si="223"/>
        <v>1.181</v>
      </c>
      <c r="CI270" s="1">
        <f t="shared" si="190"/>
        <v>2880</v>
      </c>
      <c r="CJ270" s="1">
        <f t="shared" si="191"/>
        <v>2.3E-2</v>
      </c>
      <c r="CK270" s="1">
        <f t="shared" si="192"/>
        <v>7.4999999999999997E-2</v>
      </c>
      <c r="CL270" s="1">
        <f t="shared" si="193"/>
        <v>0.13600000000000001</v>
      </c>
      <c r="CM270" s="1">
        <f t="shared" si="194"/>
        <v>0.11600000000000001</v>
      </c>
      <c r="CN270" s="1">
        <f t="shared" si="195"/>
        <v>0.13</v>
      </c>
      <c r="CO270" s="1">
        <f t="shared" si="196"/>
        <v>0.21299999999999999</v>
      </c>
      <c r="CP270" s="1">
        <f t="shared" si="197"/>
        <v>0.23100000000000001</v>
      </c>
      <c r="CQ270" s="1">
        <f t="shared" si="198"/>
        <v>7.6999999999999999E-2</v>
      </c>
      <c r="CS270" s="1">
        <f t="shared" si="226"/>
        <v>5.6999999999999993</v>
      </c>
      <c r="CT270" s="1">
        <f t="shared" si="227"/>
        <v>-3.4</v>
      </c>
    </row>
    <row r="271" spans="1:98" x14ac:dyDescent="0.2">
      <c r="A271" s="8">
        <f t="shared" si="224"/>
        <v>44096</v>
      </c>
      <c r="B271" s="1">
        <v>266</v>
      </c>
      <c r="C271" s="1">
        <v>11</v>
      </c>
      <c r="D271" s="2">
        <v>12.97</v>
      </c>
      <c r="E271" s="2">
        <v>19.86</v>
      </c>
      <c r="F271" s="2">
        <v>2.0529999999999999</v>
      </c>
      <c r="G271" s="2">
        <v>9.68</v>
      </c>
      <c r="H271" s="2">
        <v>58.53</v>
      </c>
      <c r="I271" s="2">
        <v>9.23</v>
      </c>
      <c r="J271" s="2">
        <v>9.02</v>
      </c>
      <c r="K271" s="2">
        <v>13.02</v>
      </c>
      <c r="L271" s="2">
        <v>9.4700000000000006</v>
      </c>
      <c r="M271" s="2">
        <v>9.0500000000000007</v>
      </c>
      <c r="N271" s="2">
        <v>18</v>
      </c>
      <c r="O271" s="2">
        <v>78.2</v>
      </c>
      <c r="P271" s="2">
        <v>28.91</v>
      </c>
      <c r="Q271" s="2">
        <v>25.41</v>
      </c>
      <c r="R271" s="2">
        <v>40.69</v>
      </c>
      <c r="S271" s="2">
        <v>10.7</v>
      </c>
      <c r="T271" s="2">
        <v>9.24</v>
      </c>
      <c r="U271" s="2">
        <v>4.5979999999999999</v>
      </c>
      <c r="V271" s="2">
        <v>32.68</v>
      </c>
      <c r="W271" s="2">
        <v>-1.038</v>
      </c>
      <c r="X271" s="2">
        <v>0.32</v>
      </c>
      <c r="Y271" s="2">
        <v>1.653</v>
      </c>
      <c r="Z271" s="2">
        <v>8.3800000000000008</v>
      </c>
      <c r="AA271" s="2">
        <v>8.8699999999999992</v>
      </c>
      <c r="AB271" s="2">
        <v>2.6339999999999999</v>
      </c>
      <c r="AC271" s="2">
        <v>0</v>
      </c>
      <c r="AD271" s="2">
        <v>12.92</v>
      </c>
      <c r="AE271" s="2">
        <v>2.5489999999999999</v>
      </c>
      <c r="AF271" s="2">
        <v>1.125</v>
      </c>
      <c r="AG271" s="2">
        <v>3.3929999999999998</v>
      </c>
      <c r="AH271" s="2">
        <v>9.42</v>
      </c>
      <c r="AI271" s="2">
        <v>23.89</v>
      </c>
      <c r="AJ271" s="2">
        <v>2.0379999999999998</v>
      </c>
      <c r="AK271" s="2">
        <v>21.03</v>
      </c>
      <c r="AL271" s="2">
        <v>4.8170000000000002</v>
      </c>
      <c r="AM271" s="2">
        <v>2.5960000000000001</v>
      </c>
      <c r="AN271" s="2" t="s">
        <v>122</v>
      </c>
      <c r="AO271" s="2">
        <v>35</v>
      </c>
      <c r="AP271" s="2">
        <v>365</v>
      </c>
      <c r="AQ271" s="2">
        <v>515</v>
      </c>
      <c r="AR271" s="2">
        <v>88</v>
      </c>
      <c r="AS271" s="2">
        <v>284</v>
      </c>
      <c r="AT271" s="2">
        <v>804</v>
      </c>
      <c r="AU271" s="2">
        <v>647</v>
      </c>
      <c r="AV271" s="2">
        <v>142</v>
      </c>
      <c r="AW271" s="2"/>
      <c r="AX271" s="2">
        <v>0</v>
      </c>
      <c r="AY271" s="26"/>
      <c r="AZ271" s="5">
        <v>17.68</v>
      </c>
      <c r="BA271" s="1">
        <v>12.92</v>
      </c>
      <c r="BB271" s="1">
        <v>2.35</v>
      </c>
      <c r="BC271" s="6">
        <f t="shared" si="225"/>
        <v>0.18188854489164089</v>
      </c>
      <c r="BE271" s="30">
        <v>0</v>
      </c>
      <c r="BF271" s="27">
        <v>0</v>
      </c>
      <c r="BG271" s="1">
        <f t="shared" si="199"/>
        <v>78.2</v>
      </c>
      <c r="BH271" s="1">
        <f t="shared" si="200"/>
        <v>58.5</v>
      </c>
      <c r="BI271" s="1">
        <f t="shared" si="201"/>
        <v>32.700000000000003</v>
      </c>
      <c r="BJ271" s="7">
        <f t="shared" si="202"/>
        <v>0.67500000000000004</v>
      </c>
      <c r="BK271" s="7">
        <f t="shared" si="203"/>
        <v>1.389</v>
      </c>
      <c r="BM271" s="5">
        <f t="shared" si="204"/>
        <v>12.92</v>
      </c>
      <c r="BN271" s="5">
        <f t="shared" si="205"/>
        <v>2.35</v>
      </c>
      <c r="BO271" s="1">
        <f t="shared" si="206"/>
        <v>9.6999999999999993</v>
      </c>
      <c r="BP271" s="1">
        <f t="shared" si="207"/>
        <v>18</v>
      </c>
      <c r="BQ271" s="1">
        <f t="shared" si="208"/>
        <v>4.5999999999999996</v>
      </c>
      <c r="BR271" s="1">
        <f t="shared" si="209"/>
        <v>58.5</v>
      </c>
      <c r="BS271" s="1">
        <f t="shared" si="210"/>
        <v>32.700000000000003</v>
      </c>
      <c r="BT271" s="1">
        <f t="shared" si="211"/>
        <v>1.1000000000000001</v>
      </c>
      <c r="BU271" s="1">
        <f t="shared" si="212"/>
        <v>3.4</v>
      </c>
      <c r="BV271" s="33">
        <f t="shared" si="213"/>
        <v>0</v>
      </c>
      <c r="BW271" s="26">
        <f t="shared" si="189"/>
        <v>0</v>
      </c>
      <c r="BX271" s="20" t="str">
        <f t="shared" si="214"/>
        <v>NAN</v>
      </c>
      <c r="BY271" s="1">
        <f t="shared" si="215"/>
        <v>9.4</v>
      </c>
      <c r="BZ271" s="1">
        <f t="shared" si="216"/>
        <v>23.9</v>
      </c>
      <c r="CA271" s="1">
        <f t="shared" si="217"/>
        <v>2</v>
      </c>
      <c r="CB271" s="1">
        <f t="shared" si="218"/>
        <v>13</v>
      </c>
      <c r="CC271" s="1">
        <f t="shared" si="219"/>
        <v>9.5</v>
      </c>
      <c r="CD271" s="1">
        <f t="shared" si="220"/>
        <v>9.1</v>
      </c>
      <c r="CE271" s="1" t="str">
        <f t="shared" si="221"/>
        <v>NAN</v>
      </c>
      <c r="CF271" s="1">
        <f t="shared" si="222"/>
        <v>0.67500000000000004</v>
      </c>
      <c r="CG271" s="1">
        <f t="shared" si="223"/>
        <v>1.389</v>
      </c>
      <c r="CI271" s="1">
        <f t="shared" si="190"/>
        <v>2880</v>
      </c>
      <c r="CJ271" s="1">
        <f t="shared" si="191"/>
        <v>1.2E-2</v>
      </c>
      <c r="CK271" s="1">
        <f t="shared" si="192"/>
        <v>0.127</v>
      </c>
      <c r="CL271" s="1">
        <f t="shared" si="193"/>
        <v>0.17899999999999999</v>
      </c>
      <c r="CM271" s="1">
        <f t="shared" si="194"/>
        <v>3.1E-2</v>
      </c>
      <c r="CN271" s="1">
        <f t="shared" si="195"/>
        <v>9.9000000000000005E-2</v>
      </c>
      <c r="CO271" s="1">
        <f t="shared" si="196"/>
        <v>0.27900000000000003</v>
      </c>
      <c r="CP271" s="1">
        <f t="shared" si="197"/>
        <v>0.22500000000000001</v>
      </c>
      <c r="CQ271" s="1">
        <f t="shared" si="198"/>
        <v>4.9000000000000002E-2</v>
      </c>
      <c r="CS271" s="1">
        <f t="shared" si="226"/>
        <v>5.8999999999999986</v>
      </c>
      <c r="CT271" s="1">
        <f t="shared" si="227"/>
        <v>-2.5999999999999996</v>
      </c>
    </row>
    <row r="272" spans="1:98" x14ac:dyDescent="0.2">
      <c r="A272" s="8">
        <f t="shared" si="224"/>
        <v>44097</v>
      </c>
      <c r="B272" s="1">
        <v>267</v>
      </c>
      <c r="C272" s="1">
        <v>11</v>
      </c>
      <c r="D272" s="2">
        <v>12.89</v>
      </c>
      <c r="E272" s="2">
        <v>9.1199999999999992</v>
      </c>
      <c r="F272" s="2">
        <v>2.2679999999999998</v>
      </c>
      <c r="G272" s="2">
        <v>6.5350000000000001</v>
      </c>
      <c r="H272" s="2">
        <v>84.3</v>
      </c>
      <c r="I272" s="2">
        <v>6.37</v>
      </c>
      <c r="J272" s="2">
        <v>6.2949999999999999</v>
      </c>
      <c r="K272" s="2">
        <v>7.8440000000000003</v>
      </c>
      <c r="L272" s="2">
        <v>9.5500000000000007</v>
      </c>
      <c r="M272" s="2">
        <v>8.93</v>
      </c>
      <c r="N272" s="2">
        <v>9.09</v>
      </c>
      <c r="O272" s="2">
        <v>96.7</v>
      </c>
      <c r="P272" s="2">
        <v>11.68</v>
      </c>
      <c r="Q272" s="2">
        <v>10.93</v>
      </c>
      <c r="R272" s="2">
        <v>12.46</v>
      </c>
      <c r="S272" s="2">
        <v>10.43</v>
      </c>
      <c r="T272" s="2">
        <v>9.0299999999999994</v>
      </c>
      <c r="U272" s="2">
        <v>2.1779999999999999</v>
      </c>
      <c r="V272" s="2">
        <v>59.45</v>
      </c>
      <c r="W272" s="2">
        <v>1.373</v>
      </c>
      <c r="X272" s="2">
        <v>1.5429999999999999</v>
      </c>
      <c r="Y272" s="2">
        <v>3.8239999999999998</v>
      </c>
      <c r="Z272" s="2">
        <v>9.01</v>
      </c>
      <c r="AA272" s="2">
        <v>8.84</v>
      </c>
      <c r="AB272" s="2">
        <v>5.3570000000000002</v>
      </c>
      <c r="AC272" s="2">
        <v>8.64</v>
      </c>
      <c r="AD272" s="2">
        <v>3.0110000000000001</v>
      </c>
      <c r="AE272" s="2">
        <v>0.56000000000000005</v>
      </c>
      <c r="AF272" s="2">
        <v>2.39</v>
      </c>
      <c r="AG272" s="2">
        <v>5.7380000000000004</v>
      </c>
      <c r="AH272" s="2">
        <v>6.26</v>
      </c>
      <c r="AI272" s="2">
        <v>11.77</v>
      </c>
      <c r="AJ272" s="2">
        <v>0.80500000000000005</v>
      </c>
      <c r="AK272" s="2">
        <v>10.17</v>
      </c>
      <c r="AL272" s="2">
        <v>1.7370000000000001</v>
      </c>
      <c r="AM272" s="2">
        <v>5.3339999999999996</v>
      </c>
      <c r="AN272" s="2" t="s">
        <v>122</v>
      </c>
      <c r="AO272" s="2">
        <v>32</v>
      </c>
      <c r="AP272" s="2">
        <v>16</v>
      </c>
      <c r="AQ272" s="2">
        <v>15</v>
      </c>
      <c r="AR272" s="2">
        <v>112</v>
      </c>
      <c r="AS272" s="2">
        <v>820</v>
      </c>
      <c r="AT272" s="2">
        <v>1293</v>
      </c>
      <c r="AU272" s="2">
        <v>501</v>
      </c>
      <c r="AV272" s="2">
        <v>91</v>
      </c>
      <c r="AW272" s="2"/>
      <c r="AX272" s="2">
        <v>0</v>
      </c>
      <c r="AY272" s="26"/>
      <c r="AZ272" s="5">
        <v>17.43</v>
      </c>
      <c r="BA272" s="1">
        <v>3.01</v>
      </c>
      <c r="BB272" s="1">
        <v>0.52</v>
      </c>
      <c r="BC272" s="6">
        <f t="shared" si="225"/>
        <v>0.1727574750830565</v>
      </c>
      <c r="BE272" s="30">
        <v>8.6359999999999992</v>
      </c>
      <c r="BF272" s="27">
        <v>0</v>
      </c>
      <c r="BG272" s="1">
        <f t="shared" si="199"/>
        <v>96.7</v>
      </c>
      <c r="BH272" s="1">
        <f t="shared" si="200"/>
        <v>84.3</v>
      </c>
      <c r="BI272" s="1">
        <f t="shared" si="201"/>
        <v>59.5</v>
      </c>
      <c r="BJ272" s="7">
        <f t="shared" si="202"/>
        <v>0.68700000000000006</v>
      </c>
      <c r="BK272" s="7">
        <f t="shared" si="203"/>
        <v>0.46800000000000003</v>
      </c>
      <c r="BM272" s="5">
        <f t="shared" si="204"/>
        <v>3.01</v>
      </c>
      <c r="BN272" s="5">
        <f t="shared" si="205"/>
        <v>0.52</v>
      </c>
      <c r="BO272" s="1">
        <f t="shared" si="206"/>
        <v>6.5</v>
      </c>
      <c r="BP272" s="1">
        <f t="shared" si="207"/>
        <v>9.1</v>
      </c>
      <c r="BQ272" s="1">
        <f t="shared" si="208"/>
        <v>2.2000000000000002</v>
      </c>
      <c r="BR272" s="1">
        <f t="shared" si="209"/>
        <v>84.3</v>
      </c>
      <c r="BS272" s="1">
        <f t="shared" si="210"/>
        <v>59.5</v>
      </c>
      <c r="BT272" s="1">
        <f t="shared" si="211"/>
        <v>2.4</v>
      </c>
      <c r="BU272" s="1">
        <f t="shared" si="212"/>
        <v>5.7</v>
      </c>
      <c r="BV272" s="33">
        <f t="shared" si="213"/>
        <v>8.6359999999999992</v>
      </c>
      <c r="BW272" s="26">
        <f t="shared" si="189"/>
        <v>0</v>
      </c>
      <c r="BX272" s="20" t="str">
        <f t="shared" si="214"/>
        <v>NAN</v>
      </c>
      <c r="BY272" s="1">
        <f t="shared" si="215"/>
        <v>6.3</v>
      </c>
      <c r="BZ272" s="1">
        <f t="shared" si="216"/>
        <v>11.8</v>
      </c>
      <c r="CA272" s="1">
        <f t="shared" si="217"/>
        <v>0.8</v>
      </c>
      <c r="CB272" s="1">
        <f t="shared" si="218"/>
        <v>7.8</v>
      </c>
      <c r="CC272" s="1">
        <f t="shared" si="219"/>
        <v>9.6</v>
      </c>
      <c r="CD272" s="1">
        <f t="shared" si="220"/>
        <v>8.9</v>
      </c>
      <c r="CE272" s="1" t="str">
        <f t="shared" si="221"/>
        <v>NAN</v>
      </c>
      <c r="CF272" s="1">
        <f t="shared" si="222"/>
        <v>0.68700000000000006</v>
      </c>
      <c r="CG272" s="1">
        <f t="shared" si="223"/>
        <v>0.46800000000000003</v>
      </c>
      <c r="CI272" s="1">
        <f t="shared" si="190"/>
        <v>2880</v>
      </c>
      <c r="CJ272" s="1">
        <f t="shared" si="191"/>
        <v>1.0999999999999999E-2</v>
      </c>
      <c r="CK272" s="1">
        <f t="shared" si="192"/>
        <v>6.0000000000000001E-3</v>
      </c>
      <c r="CL272" s="1">
        <f t="shared" si="193"/>
        <v>5.0000000000000001E-3</v>
      </c>
      <c r="CM272" s="1">
        <f t="shared" si="194"/>
        <v>3.9E-2</v>
      </c>
      <c r="CN272" s="1">
        <f t="shared" si="195"/>
        <v>0.28499999999999998</v>
      </c>
      <c r="CO272" s="1">
        <f t="shared" si="196"/>
        <v>0.44900000000000001</v>
      </c>
      <c r="CP272" s="1">
        <f t="shared" si="197"/>
        <v>0.17399999999999999</v>
      </c>
      <c r="CQ272" s="1">
        <f t="shared" si="198"/>
        <v>3.2000000000000001E-2</v>
      </c>
      <c r="CS272" s="1">
        <f t="shared" si="226"/>
        <v>2.7000000000000011</v>
      </c>
      <c r="CT272" s="1">
        <f t="shared" si="227"/>
        <v>-1.4000000000000001</v>
      </c>
    </row>
    <row r="273" spans="1:98" x14ac:dyDescent="0.2">
      <c r="A273" s="8">
        <f t="shared" si="224"/>
        <v>44098</v>
      </c>
      <c r="B273" s="1">
        <v>268</v>
      </c>
      <c r="C273" s="1">
        <v>11</v>
      </c>
      <c r="D273" s="2">
        <v>13</v>
      </c>
      <c r="E273" s="2">
        <v>6.3079999999999998</v>
      </c>
      <c r="F273" s="2">
        <v>-1.0529999999999999</v>
      </c>
      <c r="G273" s="2">
        <v>3.2170000000000001</v>
      </c>
      <c r="H273" s="2">
        <v>91.4</v>
      </c>
      <c r="I273" s="2">
        <v>2.8220000000000001</v>
      </c>
      <c r="J273" s="2">
        <v>2.6819999999999999</v>
      </c>
      <c r="K273" s="2">
        <v>5.2830000000000004</v>
      </c>
      <c r="L273" s="2">
        <v>8.34</v>
      </c>
      <c r="M273" s="2">
        <v>8.75</v>
      </c>
      <c r="N273" s="2">
        <v>7.0990000000000002</v>
      </c>
      <c r="O273" s="2">
        <v>96</v>
      </c>
      <c r="P273" s="2">
        <v>9.99</v>
      </c>
      <c r="Q273" s="2">
        <v>9.2100000000000009</v>
      </c>
      <c r="R273" s="2">
        <v>12.22</v>
      </c>
      <c r="S273" s="2">
        <v>9.09</v>
      </c>
      <c r="T273" s="2">
        <v>8.93</v>
      </c>
      <c r="U273" s="2">
        <v>0.97799999999999998</v>
      </c>
      <c r="V273" s="2">
        <v>78.19</v>
      </c>
      <c r="W273" s="2">
        <v>-1.673</v>
      </c>
      <c r="X273" s="2">
        <v>-1.466</v>
      </c>
      <c r="Y273" s="2">
        <v>1.254</v>
      </c>
      <c r="Z273" s="2">
        <v>7.8760000000000003</v>
      </c>
      <c r="AA273" s="2">
        <v>8.51</v>
      </c>
      <c r="AB273" s="2">
        <v>2.629</v>
      </c>
      <c r="AC273" s="2">
        <v>0.76200000000000001</v>
      </c>
      <c r="AD273" s="2">
        <v>5.3869999999999996</v>
      </c>
      <c r="AE273" s="2">
        <v>0.91</v>
      </c>
      <c r="AF273" s="2">
        <v>1.3959999999999999</v>
      </c>
      <c r="AG273" s="2">
        <v>5.2160000000000002</v>
      </c>
      <c r="AH273" s="2">
        <v>3.15</v>
      </c>
      <c r="AI273" s="2">
        <v>11.5</v>
      </c>
      <c r="AJ273" s="2">
        <v>-0.495</v>
      </c>
      <c r="AK273" s="2">
        <v>8.41</v>
      </c>
      <c r="AL273" s="2">
        <v>0.59499999999999997</v>
      </c>
      <c r="AM273" s="2">
        <v>2.6179999999999999</v>
      </c>
      <c r="AN273" s="2" t="s">
        <v>122</v>
      </c>
      <c r="AO273" s="2">
        <v>99</v>
      </c>
      <c r="AP273" s="2">
        <v>7</v>
      </c>
      <c r="AQ273" s="2">
        <v>9</v>
      </c>
      <c r="AR273" s="2">
        <v>55</v>
      </c>
      <c r="AS273" s="2">
        <v>285</v>
      </c>
      <c r="AT273" s="2">
        <v>866</v>
      </c>
      <c r="AU273" s="2">
        <v>1124</v>
      </c>
      <c r="AV273" s="2">
        <v>435</v>
      </c>
      <c r="AW273" s="2"/>
      <c r="AX273" s="2">
        <v>0</v>
      </c>
      <c r="AY273" s="26"/>
      <c r="AZ273" s="5">
        <v>17.170000000000002</v>
      </c>
      <c r="BA273" s="1">
        <v>5.39</v>
      </c>
      <c r="BB273" s="1">
        <v>0.84</v>
      </c>
      <c r="BC273" s="6">
        <f t="shared" si="225"/>
        <v>0.15584415584415584</v>
      </c>
      <c r="BE273" s="30">
        <v>0.76200000000000001</v>
      </c>
      <c r="BF273" s="27">
        <v>0</v>
      </c>
      <c r="BG273" s="1">
        <f t="shared" si="199"/>
        <v>96</v>
      </c>
      <c r="BH273" s="1">
        <f t="shared" si="200"/>
        <v>91.4</v>
      </c>
      <c r="BI273" s="1">
        <f t="shared" si="201"/>
        <v>78.2</v>
      </c>
      <c r="BJ273" s="7">
        <f t="shared" si="202"/>
        <v>0.78800000000000003</v>
      </c>
      <c r="BK273" s="7">
        <f t="shared" si="203"/>
        <v>0.22</v>
      </c>
      <c r="BM273" s="5">
        <f t="shared" si="204"/>
        <v>5.39</v>
      </c>
      <c r="BN273" s="5">
        <f t="shared" si="205"/>
        <v>0.84</v>
      </c>
      <c r="BO273" s="1">
        <f t="shared" si="206"/>
        <v>3.2</v>
      </c>
      <c r="BP273" s="1">
        <f t="shared" si="207"/>
        <v>7.1</v>
      </c>
      <c r="BQ273" s="1">
        <f t="shared" si="208"/>
        <v>1</v>
      </c>
      <c r="BR273" s="1">
        <f t="shared" si="209"/>
        <v>91.4</v>
      </c>
      <c r="BS273" s="1">
        <f t="shared" si="210"/>
        <v>78.2</v>
      </c>
      <c r="BT273" s="1">
        <f t="shared" si="211"/>
        <v>1.4</v>
      </c>
      <c r="BU273" s="1">
        <f t="shared" si="212"/>
        <v>5.2</v>
      </c>
      <c r="BV273" s="33">
        <f t="shared" si="213"/>
        <v>0.76200000000000001</v>
      </c>
      <c r="BW273" s="26">
        <f t="shared" si="189"/>
        <v>0</v>
      </c>
      <c r="BX273" s="20" t="str">
        <f t="shared" si="214"/>
        <v>NAN</v>
      </c>
      <c r="BY273" s="1">
        <f t="shared" si="215"/>
        <v>3.2</v>
      </c>
      <c r="BZ273" s="1">
        <f t="shared" si="216"/>
        <v>11.5</v>
      </c>
      <c r="CA273" s="1">
        <f t="shared" si="217"/>
        <v>-0.5</v>
      </c>
      <c r="CB273" s="1">
        <f t="shared" si="218"/>
        <v>5.3</v>
      </c>
      <c r="CC273" s="1">
        <f t="shared" si="219"/>
        <v>8.3000000000000007</v>
      </c>
      <c r="CD273" s="1">
        <f t="shared" si="220"/>
        <v>8.8000000000000007</v>
      </c>
      <c r="CE273" s="1" t="str">
        <f t="shared" si="221"/>
        <v>NAN</v>
      </c>
      <c r="CF273" s="1">
        <f t="shared" si="222"/>
        <v>0.78800000000000003</v>
      </c>
      <c r="CG273" s="1">
        <f t="shared" si="223"/>
        <v>0.22</v>
      </c>
      <c r="CI273" s="1">
        <f t="shared" si="190"/>
        <v>2880</v>
      </c>
      <c r="CJ273" s="1">
        <f t="shared" si="191"/>
        <v>3.4000000000000002E-2</v>
      </c>
      <c r="CK273" s="1">
        <f t="shared" si="192"/>
        <v>2E-3</v>
      </c>
      <c r="CL273" s="1">
        <f t="shared" si="193"/>
        <v>3.0000000000000001E-3</v>
      </c>
      <c r="CM273" s="1">
        <f t="shared" si="194"/>
        <v>1.9E-2</v>
      </c>
      <c r="CN273" s="1">
        <f t="shared" si="195"/>
        <v>9.9000000000000005E-2</v>
      </c>
      <c r="CO273" s="1">
        <f t="shared" si="196"/>
        <v>0.30099999999999999</v>
      </c>
      <c r="CP273" s="1">
        <f t="shared" si="197"/>
        <v>0.39</v>
      </c>
      <c r="CQ273" s="1">
        <f t="shared" si="198"/>
        <v>0.151</v>
      </c>
      <c r="CS273" s="1">
        <f t="shared" si="226"/>
        <v>4.4000000000000004</v>
      </c>
      <c r="CT273" s="1">
        <f t="shared" si="227"/>
        <v>-1.5</v>
      </c>
    </row>
    <row r="274" spans="1:98" x14ac:dyDescent="0.2">
      <c r="A274" s="8">
        <f t="shared" si="224"/>
        <v>44099</v>
      </c>
      <c r="B274" s="1">
        <v>269</v>
      </c>
      <c r="C274" s="1">
        <v>11</v>
      </c>
      <c r="D274" s="2">
        <v>12.82</v>
      </c>
      <c r="E274" s="2">
        <v>3.2280000000000002</v>
      </c>
      <c r="F274" s="2">
        <v>-0.90400000000000003</v>
      </c>
      <c r="G274" s="2">
        <v>1.8049999999999999</v>
      </c>
      <c r="H274" s="2">
        <v>90</v>
      </c>
      <c r="I274" s="2">
        <v>1.115</v>
      </c>
      <c r="J274" s="2">
        <v>1.22</v>
      </c>
      <c r="K274" s="2">
        <v>2.1629999999999998</v>
      </c>
      <c r="L274" s="2">
        <v>7.1280000000000001</v>
      </c>
      <c r="M274" s="2">
        <v>8.44</v>
      </c>
      <c r="N274" s="2">
        <v>3.4489999999999998</v>
      </c>
      <c r="O274" s="2">
        <v>96.7</v>
      </c>
      <c r="P274" s="2">
        <v>3.8170000000000002</v>
      </c>
      <c r="Q274" s="2">
        <v>3.5880000000000001</v>
      </c>
      <c r="R274" s="2">
        <v>4.5430000000000001</v>
      </c>
      <c r="S274" s="2">
        <v>8.26</v>
      </c>
      <c r="T274" s="2">
        <v>8.6300000000000008</v>
      </c>
      <c r="U274" s="2">
        <v>0.129</v>
      </c>
      <c r="V274" s="2">
        <v>70.2</v>
      </c>
      <c r="W274" s="2">
        <v>-0.90600000000000003</v>
      </c>
      <c r="X274" s="2">
        <v>-0.872</v>
      </c>
      <c r="Y274" s="2">
        <v>0.59</v>
      </c>
      <c r="Z274" s="2">
        <v>6.5519999999999996</v>
      </c>
      <c r="AA274" s="2">
        <v>8.19</v>
      </c>
      <c r="AB274" s="2">
        <v>2.6280000000000001</v>
      </c>
      <c r="AC274" s="2">
        <v>6.6040000000000001</v>
      </c>
      <c r="AD274" s="2">
        <v>1.3620000000000001</v>
      </c>
      <c r="AE274" s="2">
        <v>0.217</v>
      </c>
      <c r="AF274" s="2">
        <v>2.11</v>
      </c>
      <c r="AG274" s="2">
        <v>6.4550000000000001</v>
      </c>
      <c r="AH274" s="2">
        <v>1.252</v>
      </c>
      <c r="AI274" s="2">
        <v>3.8039999999999998</v>
      </c>
      <c r="AJ274" s="2">
        <v>-0.79400000000000004</v>
      </c>
      <c r="AK274" s="2">
        <v>3.2869999999999999</v>
      </c>
      <c r="AL274" s="2">
        <v>-0.26100000000000001</v>
      </c>
      <c r="AM274" s="2">
        <v>2.6259999999999999</v>
      </c>
      <c r="AN274" s="2" t="s">
        <v>122</v>
      </c>
      <c r="AO274" s="2">
        <v>221</v>
      </c>
      <c r="AP274" s="2">
        <v>29</v>
      </c>
      <c r="AQ274" s="2">
        <v>16</v>
      </c>
      <c r="AR274" s="2">
        <v>78</v>
      </c>
      <c r="AS274" s="2">
        <v>608</v>
      </c>
      <c r="AT274" s="2">
        <v>908</v>
      </c>
      <c r="AU274" s="2">
        <v>565</v>
      </c>
      <c r="AV274" s="2">
        <v>455</v>
      </c>
      <c r="AW274" s="2"/>
      <c r="AX274" s="2">
        <v>0</v>
      </c>
      <c r="AY274" s="26"/>
      <c r="AZ274" s="5">
        <v>16.93</v>
      </c>
      <c r="BA274" s="1">
        <v>1.36</v>
      </c>
      <c r="BB274" s="1">
        <v>0.2</v>
      </c>
      <c r="BC274" s="6">
        <f t="shared" si="225"/>
        <v>0.14705882352941177</v>
      </c>
      <c r="BE274" s="30">
        <v>6.6040000000000001</v>
      </c>
      <c r="BF274" s="27">
        <v>0</v>
      </c>
      <c r="BG274" s="1">
        <f t="shared" si="199"/>
        <v>96.7</v>
      </c>
      <c r="BH274" s="1">
        <f t="shared" si="200"/>
        <v>90</v>
      </c>
      <c r="BI274" s="1">
        <f t="shared" si="201"/>
        <v>70.2</v>
      </c>
      <c r="BJ274" s="7">
        <f t="shared" si="202"/>
        <v>0.54900000000000004</v>
      </c>
      <c r="BK274" s="7">
        <f t="shared" si="203"/>
        <v>0.23300000000000001</v>
      </c>
      <c r="BM274" s="5">
        <f t="shared" si="204"/>
        <v>1.36</v>
      </c>
      <c r="BN274" s="5">
        <f t="shared" si="205"/>
        <v>0.2</v>
      </c>
      <c r="BO274" s="1">
        <f t="shared" si="206"/>
        <v>1.8</v>
      </c>
      <c r="BP274" s="1">
        <f t="shared" si="207"/>
        <v>3.4</v>
      </c>
      <c r="BQ274" s="1">
        <f t="shared" si="208"/>
        <v>0.1</v>
      </c>
      <c r="BR274" s="1">
        <f t="shared" si="209"/>
        <v>90</v>
      </c>
      <c r="BS274" s="1">
        <f t="shared" si="210"/>
        <v>70.2</v>
      </c>
      <c r="BT274" s="1">
        <f t="shared" si="211"/>
        <v>2.1</v>
      </c>
      <c r="BU274" s="1">
        <f t="shared" si="212"/>
        <v>6.5</v>
      </c>
      <c r="BV274" s="33">
        <f t="shared" si="213"/>
        <v>6.6040000000000001</v>
      </c>
      <c r="BW274" s="26">
        <f t="shared" si="189"/>
        <v>0</v>
      </c>
      <c r="BX274" s="20" t="str">
        <f t="shared" si="214"/>
        <v>NAN</v>
      </c>
      <c r="BY274" s="1">
        <f t="shared" si="215"/>
        <v>1.3</v>
      </c>
      <c r="BZ274" s="1">
        <f t="shared" si="216"/>
        <v>3.8</v>
      </c>
      <c r="CA274" s="1">
        <f t="shared" si="217"/>
        <v>-0.8</v>
      </c>
      <c r="CB274" s="1">
        <f t="shared" si="218"/>
        <v>2.2000000000000002</v>
      </c>
      <c r="CC274" s="1">
        <f t="shared" si="219"/>
        <v>7.1</v>
      </c>
      <c r="CD274" s="1">
        <f t="shared" si="220"/>
        <v>8.4</v>
      </c>
      <c r="CE274" s="1" t="str">
        <f t="shared" si="221"/>
        <v>NAN</v>
      </c>
      <c r="CF274" s="1">
        <f t="shared" si="222"/>
        <v>0.54900000000000004</v>
      </c>
      <c r="CG274" s="1">
        <f t="shared" si="223"/>
        <v>0.23300000000000001</v>
      </c>
      <c r="CI274" s="1">
        <f t="shared" si="190"/>
        <v>2880</v>
      </c>
      <c r="CJ274" s="1">
        <f t="shared" si="191"/>
        <v>7.6999999999999999E-2</v>
      </c>
      <c r="CK274" s="1">
        <f t="shared" si="192"/>
        <v>0.01</v>
      </c>
      <c r="CL274" s="1">
        <f t="shared" si="193"/>
        <v>6.0000000000000001E-3</v>
      </c>
      <c r="CM274" s="1">
        <f t="shared" si="194"/>
        <v>2.7E-2</v>
      </c>
      <c r="CN274" s="1">
        <f t="shared" si="195"/>
        <v>0.21099999999999999</v>
      </c>
      <c r="CO274" s="1">
        <f t="shared" si="196"/>
        <v>0.315</v>
      </c>
      <c r="CP274" s="1">
        <f t="shared" si="197"/>
        <v>0.19600000000000001</v>
      </c>
      <c r="CQ274" s="1">
        <f t="shared" si="198"/>
        <v>0.158</v>
      </c>
      <c r="CS274" s="1">
        <f t="shared" si="226"/>
        <v>0.39999999999999991</v>
      </c>
      <c r="CT274" s="1">
        <f t="shared" si="227"/>
        <v>-0.9</v>
      </c>
    </row>
    <row r="275" spans="1:98" x14ac:dyDescent="0.2">
      <c r="A275" s="8">
        <f t="shared" si="224"/>
        <v>44100</v>
      </c>
      <c r="B275" s="1">
        <v>270</v>
      </c>
      <c r="C275" s="1">
        <v>11</v>
      </c>
      <c r="D275" s="2">
        <v>13.02</v>
      </c>
      <c r="E275" s="2">
        <v>7.2679999999999998</v>
      </c>
      <c r="F275" s="2">
        <v>-1.0760000000000001</v>
      </c>
      <c r="G275" s="2">
        <v>1.5309999999999999</v>
      </c>
      <c r="H275" s="2">
        <v>81.8</v>
      </c>
      <c r="I275" s="2">
        <v>1.3560000000000001</v>
      </c>
      <c r="J275" s="2">
        <v>1.446</v>
      </c>
      <c r="K275" s="2">
        <v>3.927</v>
      </c>
      <c r="L275" s="2">
        <v>6.3650000000000002</v>
      </c>
      <c r="M275" s="2">
        <v>8.0299999999999994</v>
      </c>
      <c r="N275" s="2">
        <v>5.7169999999999996</v>
      </c>
      <c r="O275" s="2">
        <v>94.9</v>
      </c>
      <c r="P275" s="2">
        <v>11.91</v>
      </c>
      <c r="Q275" s="2">
        <v>11.37</v>
      </c>
      <c r="R275" s="2">
        <v>12.21</v>
      </c>
      <c r="S275" s="2">
        <v>6.9390000000000001</v>
      </c>
      <c r="T275" s="2">
        <v>8.31</v>
      </c>
      <c r="U275" s="2">
        <v>-7.0000000000000001E-3</v>
      </c>
      <c r="V275" s="2">
        <v>61.09</v>
      </c>
      <c r="W275" s="2">
        <v>-1.9450000000000001</v>
      </c>
      <c r="X275" s="2">
        <v>-1.9219999999999999</v>
      </c>
      <c r="Y275" s="2">
        <v>0.33600000000000002</v>
      </c>
      <c r="Z275" s="2">
        <v>5.766</v>
      </c>
      <c r="AA275" s="2">
        <v>7.77</v>
      </c>
      <c r="AB275" s="2">
        <v>2.629</v>
      </c>
      <c r="AC275" s="2">
        <v>0.50800000000000001</v>
      </c>
      <c r="AD275" s="2">
        <v>7.78</v>
      </c>
      <c r="AE275" s="2">
        <v>1.3560000000000001</v>
      </c>
      <c r="AF275" s="2">
        <v>1.5960000000000001</v>
      </c>
      <c r="AG275" s="2">
        <v>4.8159999999999998</v>
      </c>
      <c r="AH275" s="2">
        <v>1.599</v>
      </c>
      <c r="AI275" s="2">
        <v>11.79</v>
      </c>
      <c r="AJ275" s="2">
        <v>-0.68899999999999995</v>
      </c>
      <c r="AK275" s="2">
        <v>9.02</v>
      </c>
      <c r="AL275" s="2">
        <v>-0.23899999999999999</v>
      </c>
      <c r="AM275" s="2">
        <v>2.625</v>
      </c>
      <c r="AN275" s="2" t="s">
        <v>122</v>
      </c>
      <c r="AO275" s="2">
        <v>605</v>
      </c>
      <c r="AP275" s="2">
        <v>152</v>
      </c>
      <c r="AQ275" s="2">
        <v>32</v>
      </c>
      <c r="AR275" s="2">
        <v>11</v>
      </c>
      <c r="AS275" s="2">
        <v>36</v>
      </c>
      <c r="AT275" s="2">
        <v>162</v>
      </c>
      <c r="AU275" s="2">
        <v>776</v>
      </c>
      <c r="AV275" s="2">
        <v>1105</v>
      </c>
      <c r="AW275" s="2"/>
      <c r="AX275" s="2">
        <v>0</v>
      </c>
      <c r="AY275" s="26"/>
      <c r="AZ275" s="5">
        <v>16.68</v>
      </c>
      <c r="BA275" s="1">
        <v>7.78</v>
      </c>
      <c r="BB275" s="1">
        <v>1.25</v>
      </c>
      <c r="BC275" s="6">
        <f t="shared" si="225"/>
        <v>0.16066838046272494</v>
      </c>
      <c r="BE275" s="30">
        <v>0.50800000000000001</v>
      </c>
      <c r="BF275" s="27">
        <v>0</v>
      </c>
      <c r="BG275" s="1">
        <f t="shared" si="199"/>
        <v>94.9</v>
      </c>
      <c r="BH275" s="1">
        <f t="shared" si="200"/>
        <v>81.8</v>
      </c>
      <c r="BI275" s="1">
        <f t="shared" si="201"/>
        <v>61.1</v>
      </c>
      <c r="BJ275" s="7">
        <f t="shared" si="202"/>
        <v>0.56000000000000005</v>
      </c>
      <c r="BK275" s="7">
        <f t="shared" si="203"/>
        <v>0.35699999999999998</v>
      </c>
      <c r="BM275" s="5">
        <f t="shared" si="204"/>
        <v>7.78</v>
      </c>
      <c r="BN275" s="5">
        <f t="shared" si="205"/>
        <v>1.25</v>
      </c>
      <c r="BO275" s="1">
        <f t="shared" si="206"/>
        <v>1.5</v>
      </c>
      <c r="BP275" s="1">
        <f t="shared" si="207"/>
        <v>5.7</v>
      </c>
      <c r="BQ275" s="1">
        <f t="shared" si="208"/>
        <v>0</v>
      </c>
      <c r="BR275" s="1">
        <f t="shared" si="209"/>
        <v>81.8</v>
      </c>
      <c r="BS275" s="1">
        <f t="shared" si="210"/>
        <v>61.1</v>
      </c>
      <c r="BT275" s="1">
        <f t="shared" si="211"/>
        <v>1.6</v>
      </c>
      <c r="BU275" s="1">
        <f t="shared" si="212"/>
        <v>4.8</v>
      </c>
      <c r="BV275" s="33">
        <f t="shared" si="213"/>
        <v>0.50800000000000001</v>
      </c>
      <c r="BW275" s="26">
        <f t="shared" si="189"/>
        <v>0</v>
      </c>
      <c r="BX275" s="20" t="str">
        <f t="shared" si="214"/>
        <v>NAN</v>
      </c>
      <c r="BY275" s="1">
        <f t="shared" si="215"/>
        <v>1.6</v>
      </c>
      <c r="BZ275" s="1">
        <f t="shared" si="216"/>
        <v>11.8</v>
      </c>
      <c r="CA275" s="1">
        <f t="shared" si="217"/>
        <v>-0.7</v>
      </c>
      <c r="CB275" s="1">
        <f t="shared" si="218"/>
        <v>3.9</v>
      </c>
      <c r="CC275" s="1">
        <f t="shared" si="219"/>
        <v>6.4</v>
      </c>
      <c r="CD275" s="1">
        <f t="shared" si="220"/>
        <v>8</v>
      </c>
      <c r="CE275" s="1" t="str">
        <f t="shared" si="221"/>
        <v>NAN</v>
      </c>
      <c r="CF275" s="1">
        <f t="shared" si="222"/>
        <v>0.56000000000000005</v>
      </c>
      <c r="CG275" s="1">
        <f t="shared" si="223"/>
        <v>0.35699999999999998</v>
      </c>
      <c r="CI275" s="1">
        <f t="shared" si="190"/>
        <v>2879</v>
      </c>
      <c r="CJ275" s="1">
        <f t="shared" si="191"/>
        <v>0.21</v>
      </c>
      <c r="CK275" s="1">
        <f t="shared" si="192"/>
        <v>5.2999999999999999E-2</v>
      </c>
      <c r="CL275" s="1">
        <f t="shared" si="193"/>
        <v>1.0999999999999999E-2</v>
      </c>
      <c r="CM275" s="1">
        <f t="shared" si="194"/>
        <v>4.0000000000000001E-3</v>
      </c>
      <c r="CN275" s="1">
        <f t="shared" si="195"/>
        <v>1.2999999999999999E-2</v>
      </c>
      <c r="CO275" s="1">
        <f t="shared" si="196"/>
        <v>5.6000000000000001E-2</v>
      </c>
      <c r="CP275" s="1">
        <f t="shared" si="197"/>
        <v>0.27</v>
      </c>
      <c r="CQ275" s="1">
        <f t="shared" si="198"/>
        <v>0.38400000000000001</v>
      </c>
      <c r="CS275" s="1">
        <f t="shared" si="226"/>
        <v>6.1000000000000005</v>
      </c>
      <c r="CT275" s="1">
        <f t="shared" si="227"/>
        <v>-0.7</v>
      </c>
    </row>
    <row r="276" spans="1:98" x14ac:dyDescent="0.2">
      <c r="A276" s="8">
        <f t="shared" si="224"/>
        <v>44101</v>
      </c>
      <c r="B276" s="1">
        <v>271</v>
      </c>
      <c r="C276" s="1">
        <v>11</v>
      </c>
      <c r="D276" s="2">
        <v>12.99</v>
      </c>
      <c r="E276" s="2">
        <v>12.79</v>
      </c>
      <c r="F276" s="2">
        <v>-2.806</v>
      </c>
      <c r="G276" s="2">
        <v>4.5510000000000002</v>
      </c>
      <c r="H276" s="2">
        <v>72.16</v>
      </c>
      <c r="I276" s="2">
        <v>4.2060000000000004</v>
      </c>
      <c r="J276" s="2">
        <v>3.9860000000000002</v>
      </c>
      <c r="K276" s="2">
        <v>7.6269999999999998</v>
      </c>
      <c r="L276" s="2">
        <v>6.7469999999999999</v>
      </c>
      <c r="M276" s="2">
        <v>7.7610000000000001</v>
      </c>
      <c r="N276" s="2">
        <v>11.59</v>
      </c>
      <c r="O276" s="2">
        <v>94.4</v>
      </c>
      <c r="P276" s="2">
        <v>20.059999999999999</v>
      </c>
      <c r="Q276" s="2">
        <v>17.57</v>
      </c>
      <c r="R276" s="2">
        <v>26.08</v>
      </c>
      <c r="S276" s="2">
        <v>8.2899999999999991</v>
      </c>
      <c r="T276" s="2">
        <v>7.9420000000000002</v>
      </c>
      <c r="U276" s="2">
        <v>-0.88400000000000001</v>
      </c>
      <c r="V276" s="2">
        <v>35.11</v>
      </c>
      <c r="W276" s="2">
        <v>-4.0990000000000002</v>
      </c>
      <c r="X276" s="2">
        <v>-3.5</v>
      </c>
      <c r="Y276" s="2">
        <v>0.13200000000000001</v>
      </c>
      <c r="Z276" s="2">
        <v>5.6059999999999999</v>
      </c>
      <c r="AA276" s="2">
        <v>7.5750000000000002</v>
      </c>
      <c r="AB276" s="2">
        <v>2.6320000000000001</v>
      </c>
      <c r="AC276" s="2">
        <v>0.254</v>
      </c>
      <c r="AD276" s="2">
        <v>14.65</v>
      </c>
      <c r="AE276" s="2">
        <v>2.4980000000000002</v>
      </c>
      <c r="AF276" s="2">
        <v>0.78900000000000003</v>
      </c>
      <c r="AG276" s="2">
        <v>2.98</v>
      </c>
      <c r="AH276" s="2">
        <v>4.4089999999999998</v>
      </c>
      <c r="AI276" s="2">
        <v>15.07</v>
      </c>
      <c r="AJ276" s="2">
        <v>-2.0750000000000002</v>
      </c>
      <c r="AK276" s="2">
        <v>14.83</v>
      </c>
      <c r="AL276" s="2">
        <v>-1.073</v>
      </c>
      <c r="AM276" s="2">
        <v>2.6070000000000002</v>
      </c>
      <c r="AN276" s="2" t="s">
        <v>122</v>
      </c>
      <c r="AO276" s="2">
        <v>438</v>
      </c>
      <c r="AP276" s="2">
        <v>622</v>
      </c>
      <c r="AQ276" s="2">
        <v>400</v>
      </c>
      <c r="AR276" s="2">
        <v>95</v>
      </c>
      <c r="AS276" s="2">
        <v>98</v>
      </c>
      <c r="AT276" s="2">
        <v>380</v>
      </c>
      <c r="AU276" s="2">
        <v>530</v>
      </c>
      <c r="AV276" s="2">
        <v>317</v>
      </c>
      <c r="AW276" s="2"/>
      <c r="AX276" s="2">
        <v>0</v>
      </c>
      <c r="AY276" s="26"/>
      <c r="AZ276" s="5">
        <v>16.43</v>
      </c>
      <c r="BA276" s="1">
        <v>14.65</v>
      </c>
      <c r="BB276" s="1">
        <v>2.2999999999999998</v>
      </c>
      <c r="BC276" s="6">
        <f t="shared" si="225"/>
        <v>0.1569965870307167</v>
      </c>
      <c r="BE276" s="30">
        <v>0.254</v>
      </c>
      <c r="BF276" s="27">
        <v>0</v>
      </c>
      <c r="BG276" s="1">
        <f t="shared" si="199"/>
        <v>94.4</v>
      </c>
      <c r="BH276" s="1">
        <f t="shared" si="200"/>
        <v>72.2</v>
      </c>
      <c r="BI276" s="1">
        <f t="shared" si="201"/>
        <v>35.1</v>
      </c>
      <c r="BJ276" s="7">
        <f t="shared" si="202"/>
        <v>0.47899999999999998</v>
      </c>
      <c r="BK276" s="7">
        <f t="shared" si="203"/>
        <v>0.88600000000000001</v>
      </c>
      <c r="BM276" s="5">
        <f t="shared" si="204"/>
        <v>14.65</v>
      </c>
      <c r="BN276" s="5">
        <f t="shared" si="205"/>
        <v>2.2999999999999998</v>
      </c>
      <c r="BO276" s="1">
        <f t="shared" si="206"/>
        <v>4.5999999999999996</v>
      </c>
      <c r="BP276" s="1">
        <f t="shared" si="207"/>
        <v>11.6</v>
      </c>
      <c r="BQ276" s="1">
        <f t="shared" si="208"/>
        <v>-0.9</v>
      </c>
      <c r="BR276" s="1">
        <f t="shared" si="209"/>
        <v>72.2</v>
      </c>
      <c r="BS276" s="1">
        <f t="shared" si="210"/>
        <v>35.1</v>
      </c>
      <c r="BT276" s="1">
        <f t="shared" si="211"/>
        <v>0.8</v>
      </c>
      <c r="BU276" s="1">
        <f t="shared" si="212"/>
        <v>3</v>
      </c>
      <c r="BV276" s="33">
        <f t="shared" si="213"/>
        <v>0.254</v>
      </c>
      <c r="BW276" s="26">
        <f t="shared" si="189"/>
        <v>0</v>
      </c>
      <c r="BX276" s="20" t="str">
        <f t="shared" si="214"/>
        <v>NAN</v>
      </c>
      <c r="BY276" s="1">
        <f t="shared" si="215"/>
        <v>4.4000000000000004</v>
      </c>
      <c r="BZ276" s="1">
        <f t="shared" si="216"/>
        <v>15.1</v>
      </c>
      <c r="CA276" s="1">
        <f t="shared" si="217"/>
        <v>-2.1</v>
      </c>
      <c r="CB276" s="1">
        <f t="shared" si="218"/>
        <v>7.6</v>
      </c>
      <c r="CC276" s="1">
        <f t="shared" si="219"/>
        <v>6.7</v>
      </c>
      <c r="CD276" s="1">
        <f t="shared" si="220"/>
        <v>7.8</v>
      </c>
      <c r="CE276" s="1" t="str">
        <f t="shared" si="221"/>
        <v>NAN</v>
      </c>
      <c r="CF276" s="1">
        <f t="shared" si="222"/>
        <v>0.47899999999999998</v>
      </c>
      <c r="CG276" s="1">
        <f t="shared" si="223"/>
        <v>0.88600000000000001</v>
      </c>
      <c r="CI276" s="1">
        <f t="shared" si="190"/>
        <v>2880</v>
      </c>
      <c r="CJ276" s="1">
        <f t="shared" si="191"/>
        <v>0.152</v>
      </c>
      <c r="CK276" s="1">
        <f t="shared" si="192"/>
        <v>0.216</v>
      </c>
      <c r="CL276" s="1">
        <f t="shared" si="193"/>
        <v>0.13900000000000001</v>
      </c>
      <c r="CM276" s="1">
        <f t="shared" si="194"/>
        <v>3.3000000000000002E-2</v>
      </c>
      <c r="CN276" s="1">
        <f t="shared" si="195"/>
        <v>3.4000000000000002E-2</v>
      </c>
      <c r="CO276" s="1">
        <f t="shared" si="196"/>
        <v>0.13200000000000001</v>
      </c>
      <c r="CP276" s="1">
        <f t="shared" si="197"/>
        <v>0.184</v>
      </c>
      <c r="CQ276" s="1">
        <f t="shared" si="198"/>
        <v>0.11</v>
      </c>
      <c r="CS276" s="1">
        <f t="shared" si="226"/>
        <v>3.5</v>
      </c>
      <c r="CT276" s="1">
        <f t="shared" si="227"/>
        <v>-1.2000000000000002</v>
      </c>
    </row>
    <row r="277" spans="1:98" x14ac:dyDescent="0.2">
      <c r="A277" s="8">
        <f t="shared" si="224"/>
        <v>44102</v>
      </c>
      <c r="B277" s="1">
        <v>272</v>
      </c>
      <c r="C277" s="1">
        <v>11</v>
      </c>
      <c r="D277" s="2">
        <v>12.99</v>
      </c>
      <c r="E277" s="2">
        <v>20.18</v>
      </c>
      <c r="F277" s="2">
        <v>1.821</v>
      </c>
      <c r="G277" s="2">
        <v>11.23</v>
      </c>
      <c r="H277" s="2">
        <v>57.62</v>
      </c>
      <c r="I277" s="2">
        <v>9.27</v>
      </c>
      <c r="J277" s="2">
        <v>9.57</v>
      </c>
      <c r="K277" s="2">
        <v>10.35</v>
      </c>
      <c r="L277" s="2">
        <v>7.915</v>
      </c>
      <c r="M277" s="2">
        <v>7.7350000000000003</v>
      </c>
      <c r="N277" s="2">
        <v>19.39</v>
      </c>
      <c r="O277" s="2">
        <v>80.5</v>
      </c>
      <c r="P277" s="2">
        <v>29.04</v>
      </c>
      <c r="Q277" s="2">
        <v>24.91</v>
      </c>
      <c r="R277" s="2">
        <v>29.27</v>
      </c>
      <c r="S277" s="2">
        <v>9.7100000000000009</v>
      </c>
      <c r="T277" s="2">
        <v>7.8979999999999997</v>
      </c>
      <c r="U277" s="2">
        <v>4.7370000000000001</v>
      </c>
      <c r="V277" s="2">
        <v>36.409999999999997</v>
      </c>
      <c r="W277" s="2">
        <v>-1.242</v>
      </c>
      <c r="X277" s="2">
        <v>1.4999999999999999E-2</v>
      </c>
      <c r="Y277" s="2">
        <v>0.76</v>
      </c>
      <c r="Z277" s="2">
        <v>6.5060000000000002</v>
      </c>
      <c r="AA277" s="2">
        <v>7.601</v>
      </c>
      <c r="AB277" s="2">
        <v>2.64</v>
      </c>
      <c r="AC277" s="2">
        <v>0</v>
      </c>
      <c r="AD277" s="2">
        <v>14.59</v>
      </c>
      <c r="AE277" s="2">
        <v>2.62</v>
      </c>
      <c r="AF277" s="2">
        <v>0.871</v>
      </c>
      <c r="AG277" s="2">
        <v>2.84</v>
      </c>
      <c r="AH277" s="2">
        <v>9.58</v>
      </c>
      <c r="AI277" s="2">
        <v>21.58</v>
      </c>
      <c r="AJ277" s="2">
        <v>1.585</v>
      </c>
      <c r="AK277" s="2">
        <v>22.28</v>
      </c>
      <c r="AL277" s="2">
        <v>4.5350000000000001</v>
      </c>
      <c r="AM277" s="2">
        <v>2.5859999999999999</v>
      </c>
      <c r="AN277" s="2" t="s">
        <v>122</v>
      </c>
      <c r="AO277" s="2">
        <v>288</v>
      </c>
      <c r="AP277" s="2">
        <v>289</v>
      </c>
      <c r="AQ277" s="2">
        <v>357</v>
      </c>
      <c r="AR277" s="2">
        <v>290</v>
      </c>
      <c r="AS277" s="2">
        <v>227</v>
      </c>
      <c r="AT277" s="2">
        <v>510</v>
      </c>
      <c r="AU277" s="2">
        <v>620</v>
      </c>
      <c r="AV277" s="2">
        <v>299</v>
      </c>
      <c r="AW277" s="2"/>
      <c r="AX277" s="2">
        <v>0</v>
      </c>
      <c r="AY277" s="26"/>
      <c r="AZ277" s="5">
        <v>16.18</v>
      </c>
      <c r="BA277" s="1">
        <v>14.59</v>
      </c>
      <c r="BB277" s="1">
        <v>2.41</v>
      </c>
      <c r="BC277" s="6">
        <f t="shared" si="225"/>
        <v>0.16518163125428376</v>
      </c>
      <c r="BE277" s="30">
        <v>0</v>
      </c>
      <c r="BF277" s="27">
        <v>0</v>
      </c>
      <c r="BG277" s="1">
        <f t="shared" si="199"/>
        <v>80.5</v>
      </c>
      <c r="BH277" s="1">
        <f t="shared" si="200"/>
        <v>57.6</v>
      </c>
      <c r="BI277" s="1">
        <f t="shared" si="201"/>
        <v>36.4</v>
      </c>
      <c r="BJ277" s="7">
        <f t="shared" si="202"/>
        <v>0.81899999999999995</v>
      </c>
      <c r="BK277" s="7">
        <f t="shared" si="203"/>
        <v>1.431</v>
      </c>
      <c r="BM277" s="5">
        <f t="shared" si="204"/>
        <v>14.59</v>
      </c>
      <c r="BN277" s="5">
        <f t="shared" si="205"/>
        <v>2.41</v>
      </c>
      <c r="BO277" s="1">
        <f t="shared" si="206"/>
        <v>11.2</v>
      </c>
      <c r="BP277" s="1">
        <f t="shared" si="207"/>
        <v>19.399999999999999</v>
      </c>
      <c r="BQ277" s="1">
        <f t="shared" si="208"/>
        <v>4.7</v>
      </c>
      <c r="BR277" s="1">
        <f t="shared" si="209"/>
        <v>57.6</v>
      </c>
      <c r="BS277" s="1">
        <f t="shared" si="210"/>
        <v>36.4</v>
      </c>
      <c r="BT277" s="1">
        <f t="shared" si="211"/>
        <v>0.9</v>
      </c>
      <c r="BU277" s="1">
        <f t="shared" si="212"/>
        <v>2.8</v>
      </c>
      <c r="BV277" s="33">
        <f t="shared" si="213"/>
        <v>0</v>
      </c>
      <c r="BW277" s="26">
        <f t="shared" si="189"/>
        <v>0</v>
      </c>
      <c r="BX277" s="20" t="str">
        <f t="shared" si="214"/>
        <v>NAN</v>
      </c>
      <c r="BY277" s="1">
        <f t="shared" si="215"/>
        <v>9.6</v>
      </c>
      <c r="BZ277" s="1">
        <f t="shared" si="216"/>
        <v>21.6</v>
      </c>
      <c r="CA277" s="1">
        <f t="shared" si="217"/>
        <v>1.6</v>
      </c>
      <c r="CB277" s="1">
        <f t="shared" si="218"/>
        <v>10.4</v>
      </c>
      <c r="CC277" s="1">
        <f t="shared" si="219"/>
        <v>7.9</v>
      </c>
      <c r="CD277" s="1">
        <f t="shared" si="220"/>
        <v>7.7</v>
      </c>
      <c r="CE277" s="1" t="str">
        <f t="shared" si="221"/>
        <v>NAN</v>
      </c>
      <c r="CF277" s="1">
        <f t="shared" si="222"/>
        <v>0.81899999999999995</v>
      </c>
      <c r="CG277" s="1">
        <f t="shared" si="223"/>
        <v>1.431</v>
      </c>
      <c r="CI277" s="1">
        <f t="shared" si="190"/>
        <v>2880</v>
      </c>
      <c r="CJ277" s="1">
        <f t="shared" si="191"/>
        <v>0.1</v>
      </c>
      <c r="CK277" s="1">
        <f t="shared" si="192"/>
        <v>0.1</v>
      </c>
      <c r="CL277" s="1">
        <f t="shared" si="193"/>
        <v>0.124</v>
      </c>
      <c r="CM277" s="1">
        <f t="shared" si="194"/>
        <v>0.10100000000000001</v>
      </c>
      <c r="CN277" s="1">
        <f t="shared" si="195"/>
        <v>7.9000000000000001E-2</v>
      </c>
      <c r="CO277" s="1">
        <f t="shared" si="196"/>
        <v>0.17699999999999999</v>
      </c>
      <c r="CP277" s="1">
        <f t="shared" si="197"/>
        <v>0.215</v>
      </c>
      <c r="CQ277" s="1">
        <f t="shared" si="198"/>
        <v>0.104</v>
      </c>
      <c r="CS277" s="1">
        <f t="shared" si="226"/>
        <v>2.2000000000000028</v>
      </c>
      <c r="CT277" s="1">
        <f t="shared" si="227"/>
        <v>-3.1</v>
      </c>
    </row>
    <row r="278" spans="1:98" x14ac:dyDescent="0.2">
      <c r="A278" s="8">
        <f t="shared" si="224"/>
        <v>44103</v>
      </c>
      <c r="B278" s="1">
        <v>273</v>
      </c>
      <c r="C278" s="1">
        <v>11</v>
      </c>
      <c r="D278" s="2">
        <v>12.98</v>
      </c>
      <c r="E278" s="2">
        <v>21.53</v>
      </c>
      <c r="F278" s="2">
        <v>4.3650000000000002</v>
      </c>
      <c r="G278" s="2">
        <v>13.41</v>
      </c>
      <c r="H278" s="2">
        <v>45.81</v>
      </c>
      <c r="I278" s="2">
        <v>10.08</v>
      </c>
      <c r="J278" s="2">
        <v>10.76</v>
      </c>
      <c r="K278" s="2">
        <v>11.46</v>
      </c>
      <c r="L278" s="2">
        <v>8.92</v>
      </c>
      <c r="M278" s="2">
        <v>7.9089999999999998</v>
      </c>
      <c r="N278" s="2">
        <v>20.64</v>
      </c>
      <c r="O278" s="2">
        <v>64.569999999999993</v>
      </c>
      <c r="P278" s="2">
        <v>30.35</v>
      </c>
      <c r="Q278" s="2">
        <v>26.88</v>
      </c>
      <c r="R278" s="2">
        <v>31.4</v>
      </c>
      <c r="S278" s="2">
        <v>10.54</v>
      </c>
      <c r="T278" s="2">
        <v>8.1</v>
      </c>
      <c r="U278" s="2">
        <v>8.2899999999999991</v>
      </c>
      <c r="V278" s="2">
        <v>24.81</v>
      </c>
      <c r="W278" s="2">
        <v>-0.214</v>
      </c>
      <c r="X278" s="2">
        <v>1.429</v>
      </c>
      <c r="Y278" s="2">
        <v>1.633</v>
      </c>
      <c r="Z278" s="2">
        <v>7.4630000000000001</v>
      </c>
      <c r="AA278" s="2">
        <v>7.72</v>
      </c>
      <c r="AB278" s="2">
        <v>2.6419999999999999</v>
      </c>
      <c r="AC278" s="2">
        <v>0</v>
      </c>
      <c r="AD278" s="2">
        <v>14.87</v>
      </c>
      <c r="AE278" s="2">
        <v>2.6579999999999999</v>
      </c>
      <c r="AF278" s="2">
        <v>0.76</v>
      </c>
      <c r="AG278" s="2">
        <v>2.3450000000000002</v>
      </c>
      <c r="AH278" s="2">
        <v>11.02</v>
      </c>
      <c r="AI278" s="2">
        <v>22.7</v>
      </c>
      <c r="AJ278" s="2">
        <v>3.6549999999999998</v>
      </c>
      <c r="AK278" s="2">
        <v>24.43</v>
      </c>
      <c r="AL278" s="2">
        <v>8.16</v>
      </c>
      <c r="AM278" s="2">
        <v>2.5950000000000002</v>
      </c>
      <c r="AN278" s="2" t="s">
        <v>122</v>
      </c>
      <c r="AO278" s="2">
        <v>415</v>
      </c>
      <c r="AP278" s="2">
        <v>434</v>
      </c>
      <c r="AQ278" s="2">
        <v>1245</v>
      </c>
      <c r="AR278" s="2">
        <v>275</v>
      </c>
      <c r="AS278" s="2">
        <v>90</v>
      </c>
      <c r="AT278" s="2">
        <v>66</v>
      </c>
      <c r="AU278" s="2">
        <v>122</v>
      </c>
      <c r="AV278" s="2">
        <v>233</v>
      </c>
      <c r="AW278" s="2"/>
      <c r="AX278" s="2">
        <v>0</v>
      </c>
      <c r="AY278" s="26"/>
      <c r="AZ278" s="5">
        <v>15.93</v>
      </c>
      <c r="BA278" s="1">
        <v>14.87</v>
      </c>
      <c r="BB278" s="1">
        <v>2.44</v>
      </c>
      <c r="BC278" s="6">
        <f t="shared" si="225"/>
        <v>0.16408876933423</v>
      </c>
      <c r="BE278" s="30">
        <v>0</v>
      </c>
      <c r="BF278" s="27">
        <v>0</v>
      </c>
      <c r="BG278" s="1">
        <f t="shared" si="199"/>
        <v>64.599999999999994</v>
      </c>
      <c r="BH278" s="1">
        <f t="shared" si="200"/>
        <v>45.8</v>
      </c>
      <c r="BI278" s="1">
        <f t="shared" si="201"/>
        <v>24.8</v>
      </c>
      <c r="BJ278" s="7">
        <f t="shared" si="202"/>
        <v>0.60299999999999998</v>
      </c>
      <c r="BK278" s="7">
        <f t="shared" si="203"/>
        <v>1.8280000000000001</v>
      </c>
      <c r="BM278" s="5">
        <f t="shared" si="204"/>
        <v>14.87</v>
      </c>
      <c r="BN278" s="5">
        <f t="shared" si="205"/>
        <v>2.44</v>
      </c>
      <c r="BO278" s="1">
        <f t="shared" si="206"/>
        <v>13.4</v>
      </c>
      <c r="BP278" s="1">
        <f t="shared" si="207"/>
        <v>20.6</v>
      </c>
      <c r="BQ278" s="1">
        <f t="shared" si="208"/>
        <v>8.3000000000000007</v>
      </c>
      <c r="BR278" s="1">
        <f t="shared" si="209"/>
        <v>45.8</v>
      </c>
      <c r="BS278" s="1">
        <f t="shared" si="210"/>
        <v>24.8</v>
      </c>
      <c r="BT278" s="1">
        <f t="shared" si="211"/>
        <v>0.8</v>
      </c>
      <c r="BU278" s="1">
        <f t="shared" si="212"/>
        <v>2.2999999999999998</v>
      </c>
      <c r="BV278" s="33">
        <f t="shared" si="213"/>
        <v>0</v>
      </c>
      <c r="BW278" s="26">
        <f t="shared" si="189"/>
        <v>0</v>
      </c>
      <c r="BX278" s="20" t="str">
        <f t="shared" si="214"/>
        <v>NAN</v>
      </c>
      <c r="BY278" s="1">
        <f t="shared" si="215"/>
        <v>11</v>
      </c>
      <c r="BZ278" s="1">
        <f t="shared" si="216"/>
        <v>22.7</v>
      </c>
      <c r="CA278" s="1">
        <f t="shared" si="217"/>
        <v>3.7</v>
      </c>
      <c r="CB278" s="1">
        <f t="shared" si="218"/>
        <v>11.5</v>
      </c>
      <c r="CC278" s="1">
        <f t="shared" si="219"/>
        <v>8.9</v>
      </c>
      <c r="CD278" s="1">
        <f t="shared" si="220"/>
        <v>7.9</v>
      </c>
      <c r="CE278" s="1" t="str">
        <f t="shared" si="221"/>
        <v>NAN</v>
      </c>
      <c r="CF278" s="1">
        <f t="shared" si="222"/>
        <v>0.60299999999999998</v>
      </c>
      <c r="CG278" s="1">
        <f t="shared" si="223"/>
        <v>1.8280000000000001</v>
      </c>
      <c r="CI278" s="1">
        <f t="shared" si="190"/>
        <v>2880</v>
      </c>
      <c r="CJ278" s="1">
        <f t="shared" si="191"/>
        <v>0.14399999999999999</v>
      </c>
      <c r="CK278" s="1">
        <f t="shared" si="192"/>
        <v>0.151</v>
      </c>
      <c r="CL278" s="1">
        <f t="shared" si="193"/>
        <v>0.432</v>
      </c>
      <c r="CM278" s="1">
        <f t="shared" si="194"/>
        <v>9.5000000000000001E-2</v>
      </c>
      <c r="CN278" s="1">
        <f t="shared" si="195"/>
        <v>3.1E-2</v>
      </c>
      <c r="CO278" s="1">
        <f t="shared" si="196"/>
        <v>2.3E-2</v>
      </c>
      <c r="CP278" s="1">
        <f t="shared" si="197"/>
        <v>4.2000000000000003E-2</v>
      </c>
      <c r="CQ278" s="1">
        <f t="shared" si="198"/>
        <v>8.1000000000000003E-2</v>
      </c>
      <c r="CS278" s="1">
        <f t="shared" si="226"/>
        <v>2.0999999999999979</v>
      </c>
      <c r="CT278" s="1">
        <f t="shared" si="227"/>
        <v>-4.6000000000000005</v>
      </c>
    </row>
    <row r="279" spans="1:98" x14ac:dyDescent="0.2">
      <c r="A279" s="8">
        <f t="shared" si="224"/>
        <v>44104</v>
      </c>
      <c r="B279" s="1">
        <v>274</v>
      </c>
      <c r="C279" s="1">
        <v>11</v>
      </c>
      <c r="D279" s="2">
        <v>12.97</v>
      </c>
      <c r="E279" s="2">
        <v>21.12</v>
      </c>
      <c r="F279" s="2">
        <v>4.4279999999999999</v>
      </c>
      <c r="G279" s="2">
        <v>13.55</v>
      </c>
      <c r="H279" s="2">
        <v>43.13</v>
      </c>
      <c r="I279" s="2">
        <v>9.3800000000000008</v>
      </c>
      <c r="J279" s="2">
        <v>10.11</v>
      </c>
      <c r="K279" s="2">
        <v>10.89</v>
      </c>
      <c r="L279" s="2">
        <v>9.19</v>
      </c>
      <c r="M279" s="2">
        <v>8.08</v>
      </c>
      <c r="N279" s="2">
        <v>21.22</v>
      </c>
      <c r="O279" s="2">
        <v>54.92</v>
      </c>
      <c r="P279" s="2">
        <v>29.63</v>
      </c>
      <c r="Q279" s="2">
        <v>25.74</v>
      </c>
      <c r="R279" s="2">
        <v>29.45</v>
      </c>
      <c r="S279" s="2">
        <v>10.47</v>
      </c>
      <c r="T279" s="2">
        <v>8.26</v>
      </c>
      <c r="U279" s="2">
        <v>8.66</v>
      </c>
      <c r="V279" s="2">
        <v>27.22</v>
      </c>
      <c r="W279" s="2">
        <v>-0.57699999999999996</v>
      </c>
      <c r="X279" s="2">
        <v>1.101</v>
      </c>
      <c r="Y279" s="2">
        <v>1.52</v>
      </c>
      <c r="Z279" s="2">
        <v>7.8289999999999997</v>
      </c>
      <c r="AA279" s="2">
        <v>7.9039999999999999</v>
      </c>
      <c r="AB279" s="2">
        <v>2.6429999999999998</v>
      </c>
      <c r="AC279" s="2">
        <v>0</v>
      </c>
      <c r="AD279" s="2">
        <v>12.95</v>
      </c>
      <c r="AE279" s="2">
        <v>2.33</v>
      </c>
      <c r="AF279" s="2">
        <v>0.92400000000000004</v>
      </c>
      <c r="AG279" s="2">
        <v>2.492</v>
      </c>
      <c r="AH279" s="2">
        <v>10.84</v>
      </c>
      <c r="AI279" s="2">
        <v>22.83</v>
      </c>
      <c r="AJ279" s="2">
        <v>3.915</v>
      </c>
      <c r="AK279" s="2">
        <v>24.11</v>
      </c>
      <c r="AL279" s="2">
        <v>8.67</v>
      </c>
      <c r="AM279" s="2">
        <v>2.5920000000000001</v>
      </c>
      <c r="AN279" s="2" t="s">
        <v>122</v>
      </c>
      <c r="AO279" s="2">
        <v>24</v>
      </c>
      <c r="AP279" s="2">
        <v>120</v>
      </c>
      <c r="AQ279" s="2">
        <v>1526</v>
      </c>
      <c r="AR279" s="2">
        <v>230</v>
      </c>
      <c r="AS279" s="2">
        <v>184</v>
      </c>
      <c r="AT279" s="2">
        <v>365</v>
      </c>
      <c r="AU279" s="2">
        <v>339</v>
      </c>
      <c r="AV279" s="2">
        <v>92</v>
      </c>
      <c r="AW279" s="2"/>
      <c r="AX279" s="2">
        <v>0</v>
      </c>
      <c r="AY279" s="26"/>
      <c r="AZ279" s="5">
        <v>15.69</v>
      </c>
      <c r="BA279" s="1">
        <v>12.95</v>
      </c>
      <c r="BB279" s="1">
        <v>2.14</v>
      </c>
      <c r="BC279" s="6">
        <f t="shared" si="225"/>
        <v>0.16525096525096528</v>
      </c>
      <c r="BE279" s="30">
        <v>0</v>
      </c>
      <c r="BF279" s="27">
        <v>0</v>
      </c>
      <c r="BG279" s="1">
        <f t="shared" si="199"/>
        <v>54.9</v>
      </c>
      <c r="BH279" s="1">
        <f t="shared" si="200"/>
        <v>43.1</v>
      </c>
      <c r="BI279" s="1">
        <f t="shared" si="201"/>
        <v>27.2</v>
      </c>
      <c r="BJ279" s="7">
        <f t="shared" si="202"/>
        <v>0.68500000000000005</v>
      </c>
      <c r="BK279" s="7">
        <f t="shared" si="203"/>
        <v>1.833</v>
      </c>
      <c r="BM279" s="5">
        <f t="shared" si="204"/>
        <v>12.95</v>
      </c>
      <c r="BN279" s="5">
        <f t="shared" si="205"/>
        <v>2.14</v>
      </c>
      <c r="BO279" s="1">
        <f t="shared" si="206"/>
        <v>13.6</v>
      </c>
      <c r="BP279" s="1">
        <f t="shared" si="207"/>
        <v>21.2</v>
      </c>
      <c r="BQ279" s="1">
        <f t="shared" si="208"/>
        <v>8.6999999999999993</v>
      </c>
      <c r="BR279" s="1">
        <f t="shared" si="209"/>
        <v>43.1</v>
      </c>
      <c r="BS279" s="1">
        <f t="shared" si="210"/>
        <v>27.2</v>
      </c>
      <c r="BT279" s="1">
        <f t="shared" si="211"/>
        <v>0.9</v>
      </c>
      <c r="BU279" s="1">
        <f t="shared" si="212"/>
        <v>2.5</v>
      </c>
      <c r="BV279" s="33">
        <f t="shared" si="213"/>
        <v>0</v>
      </c>
      <c r="BW279" s="26">
        <v>0</v>
      </c>
      <c r="BX279" s="20" t="str">
        <f t="shared" si="214"/>
        <v>NAN</v>
      </c>
      <c r="BY279" s="1">
        <f t="shared" si="215"/>
        <v>10.8</v>
      </c>
      <c r="BZ279" s="1">
        <f t="shared" si="216"/>
        <v>22.8</v>
      </c>
      <c r="CA279" s="1">
        <f t="shared" si="217"/>
        <v>3.9</v>
      </c>
      <c r="CB279" s="1">
        <f t="shared" si="218"/>
        <v>10.9</v>
      </c>
      <c r="CC279" s="1">
        <f t="shared" si="219"/>
        <v>9.1999999999999993</v>
      </c>
      <c r="CD279" s="1">
        <f t="shared" si="220"/>
        <v>8.1</v>
      </c>
      <c r="CE279" s="1" t="str">
        <f t="shared" si="221"/>
        <v>NAN</v>
      </c>
      <c r="CF279" s="1">
        <f t="shared" si="222"/>
        <v>0.68500000000000005</v>
      </c>
      <c r="CG279" s="1">
        <f t="shared" si="223"/>
        <v>1.833</v>
      </c>
      <c r="CI279" s="1">
        <f t="shared" si="190"/>
        <v>2880</v>
      </c>
      <c r="CJ279" s="1">
        <f t="shared" si="191"/>
        <v>8.0000000000000002E-3</v>
      </c>
      <c r="CK279" s="1">
        <f t="shared" si="192"/>
        <v>4.2000000000000003E-2</v>
      </c>
      <c r="CL279" s="1">
        <f t="shared" si="193"/>
        <v>0.53</v>
      </c>
      <c r="CM279" s="1">
        <f t="shared" si="194"/>
        <v>0.08</v>
      </c>
      <c r="CN279" s="1">
        <f t="shared" si="195"/>
        <v>6.4000000000000001E-2</v>
      </c>
      <c r="CO279" s="1">
        <f t="shared" si="196"/>
        <v>0.127</v>
      </c>
      <c r="CP279" s="1">
        <f t="shared" si="197"/>
        <v>0.11799999999999999</v>
      </c>
      <c r="CQ279" s="1">
        <f t="shared" si="198"/>
        <v>3.2000000000000001E-2</v>
      </c>
      <c r="CS279" s="1">
        <f t="shared" si="226"/>
        <v>1.6000000000000014</v>
      </c>
      <c r="CT279" s="1">
        <f t="shared" si="227"/>
        <v>-4.7999999999999989</v>
      </c>
    </row>
    <row r="280" spans="1:98" x14ac:dyDescent="0.2">
      <c r="A280" s="8">
        <f t="shared" si="224"/>
        <v>44105</v>
      </c>
      <c r="B280" s="1">
        <v>275</v>
      </c>
      <c r="C280" s="1">
        <v>11</v>
      </c>
      <c r="D280" s="2">
        <v>12.97</v>
      </c>
      <c r="E280" s="2">
        <v>18.100000000000001</v>
      </c>
      <c r="F280" s="2">
        <v>6.0049999999999999</v>
      </c>
      <c r="G280" s="2">
        <v>13.46</v>
      </c>
      <c r="H280" s="2">
        <v>41.8</v>
      </c>
      <c r="I280" s="2">
        <v>9</v>
      </c>
      <c r="J280" s="2">
        <v>9.7899999999999991</v>
      </c>
      <c r="K280" s="2">
        <v>8.98</v>
      </c>
      <c r="L280" s="2">
        <v>9.0500000000000007</v>
      </c>
      <c r="M280" s="2">
        <v>8.17</v>
      </c>
      <c r="N280" s="2">
        <v>17.84</v>
      </c>
      <c r="O280" s="2">
        <v>60.39</v>
      </c>
      <c r="P280" s="2">
        <v>21.3</v>
      </c>
      <c r="Q280" s="2">
        <v>20.32</v>
      </c>
      <c r="R280" s="2">
        <v>16.010000000000002</v>
      </c>
      <c r="S280" s="2">
        <v>10.02</v>
      </c>
      <c r="T280" s="2">
        <v>8.2799999999999994</v>
      </c>
      <c r="U280" s="2">
        <v>9.75</v>
      </c>
      <c r="V280" s="2">
        <v>26.85</v>
      </c>
      <c r="W280" s="2">
        <v>1.554</v>
      </c>
      <c r="X280" s="2">
        <v>3.29</v>
      </c>
      <c r="Y280" s="2">
        <v>3.512</v>
      </c>
      <c r="Z280" s="2">
        <v>8.24</v>
      </c>
      <c r="AA280" s="2">
        <v>8.0399999999999991</v>
      </c>
      <c r="AB280" s="2">
        <v>2.6389999999999998</v>
      </c>
      <c r="AC280" s="2">
        <v>0</v>
      </c>
      <c r="AD280" s="2">
        <v>6.0529999999999999</v>
      </c>
      <c r="AE280" s="2">
        <v>1.073</v>
      </c>
      <c r="AF280" s="2">
        <v>0.54600000000000004</v>
      </c>
      <c r="AG280" s="2">
        <v>1.7070000000000001</v>
      </c>
      <c r="AH280" s="2">
        <v>11.04</v>
      </c>
      <c r="AI280" s="2">
        <v>19.88</v>
      </c>
      <c r="AJ280" s="2">
        <v>5.391</v>
      </c>
      <c r="AK280" s="2">
        <v>21.49</v>
      </c>
      <c r="AL280" s="2">
        <v>10.08</v>
      </c>
      <c r="AM280" s="2">
        <v>2.581</v>
      </c>
      <c r="AN280" s="2" t="s">
        <v>122</v>
      </c>
      <c r="AO280" s="2">
        <v>51</v>
      </c>
      <c r="AP280" s="2">
        <v>210</v>
      </c>
      <c r="AQ280" s="2">
        <v>1717</v>
      </c>
      <c r="AR280" s="2">
        <v>54</v>
      </c>
      <c r="AS280" s="2">
        <v>55</v>
      </c>
      <c r="AT280" s="2">
        <v>232</v>
      </c>
      <c r="AU280" s="2">
        <v>389</v>
      </c>
      <c r="AV280" s="2">
        <v>172</v>
      </c>
      <c r="AW280" s="2"/>
      <c r="AX280" s="2">
        <v>0</v>
      </c>
      <c r="AY280" s="26"/>
      <c r="AZ280" s="5">
        <v>15.45</v>
      </c>
      <c r="BA280" s="1">
        <v>6.05</v>
      </c>
      <c r="BB280" s="1">
        <v>0.99</v>
      </c>
      <c r="BC280" s="6">
        <f t="shared" si="225"/>
        <v>0.16363636363636364</v>
      </c>
      <c r="BE280" s="35">
        <f>AC280</f>
        <v>0</v>
      </c>
      <c r="BF280" s="26"/>
      <c r="BG280" s="1">
        <f t="shared" si="199"/>
        <v>60.4</v>
      </c>
      <c r="BH280" s="1">
        <f t="shared" si="200"/>
        <v>41.8</v>
      </c>
      <c r="BI280" s="1">
        <f t="shared" si="201"/>
        <v>26.9</v>
      </c>
      <c r="BJ280" s="7">
        <f t="shared" si="202"/>
        <v>0.54900000000000004</v>
      </c>
      <c r="BK280" s="7">
        <f t="shared" si="203"/>
        <v>1.492</v>
      </c>
      <c r="BM280" s="5">
        <f t="shared" si="204"/>
        <v>6.05</v>
      </c>
      <c r="BN280" s="5">
        <f t="shared" si="205"/>
        <v>0.99</v>
      </c>
      <c r="BO280" s="1">
        <f t="shared" si="206"/>
        <v>13.5</v>
      </c>
      <c r="BP280" s="1">
        <f t="shared" si="207"/>
        <v>17.8</v>
      </c>
      <c r="BQ280" s="1">
        <f t="shared" si="208"/>
        <v>9.8000000000000007</v>
      </c>
      <c r="BR280" s="1">
        <f t="shared" si="209"/>
        <v>41.8</v>
      </c>
      <c r="BS280" s="1">
        <f t="shared" si="210"/>
        <v>26.9</v>
      </c>
      <c r="BT280" s="1">
        <f t="shared" si="211"/>
        <v>0.5</v>
      </c>
      <c r="BU280" s="1">
        <f t="shared" si="212"/>
        <v>1.7</v>
      </c>
      <c r="BV280" s="33">
        <f t="shared" ref="BV280:BV289" si="228">AC280</f>
        <v>0</v>
      </c>
      <c r="BW280" s="34">
        <f t="shared" ref="BW280:BW311" si="229">AX280</f>
        <v>0</v>
      </c>
      <c r="BX280" s="20" t="str">
        <f t="shared" si="214"/>
        <v>NAN</v>
      </c>
      <c r="BY280" s="1">
        <f t="shared" si="215"/>
        <v>11</v>
      </c>
      <c r="BZ280" s="1">
        <f t="shared" si="216"/>
        <v>19.899999999999999</v>
      </c>
      <c r="CA280" s="1">
        <f t="shared" si="217"/>
        <v>5.4</v>
      </c>
      <c r="CB280" s="1">
        <f t="shared" si="218"/>
        <v>9</v>
      </c>
      <c r="CC280" s="1">
        <f t="shared" si="219"/>
        <v>9.1</v>
      </c>
      <c r="CD280" s="1">
        <f t="shared" si="220"/>
        <v>8.1999999999999993</v>
      </c>
      <c r="CE280" s="1" t="str">
        <f t="shared" si="221"/>
        <v>NAN</v>
      </c>
      <c r="CF280" s="1">
        <f t="shared" si="222"/>
        <v>0.54900000000000004</v>
      </c>
      <c r="CG280" s="1">
        <f t="shared" si="223"/>
        <v>1.492</v>
      </c>
      <c r="CI280" s="1">
        <f t="shared" si="190"/>
        <v>2880</v>
      </c>
      <c r="CJ280" s="1">
        <f t="shared" si="191"/>
        <v>1.7999999999999999E-2</v>
      </c>
      <c r="CK280" s="1">
        <f t="shared" si="192"/>
        <v>7.2999999999999995E-2</v>
      </c>
      <c r="CL280" s="1">
        <f t="shared" si="193"/>
        <v>0.59599999999999997</v>
      </c>
      <c r="CM280" s="1">
        <f t="shared" si="194"/>
        <v>1.9E-2</v>
      </c>
      <c r="CN280" s="1">
        <f t="shared" si="195"/>
        <v>1.9E-2</v>
      </c>
      <c r="CO280" s="1">
        <f t="shared" si="196"/>
        <v>8.1000000000000003E-2</v>
      </c>
      <c r="CP280" s="1">
        <f t="shared" si="197"/>
        <v>0.13500000000000001</v>
      </c>
      <c r="CQ280" s="1">
        <f t="shared" si="198"/>
        <v>0.06</v>
      </c>
      <c r="CS280" s="1">
        <f t="shared" si="226"/>
        <v>2.0999999999999979</v>
      </c>
      <c r="CT280" s="1">
        <f t="shared" si="227"/>
        <v>-4.4000000000000004</v>
      </c>
    </row>
    <row r="281" spans="1:98" x14ac:dyDescent="0.2">
      <c r="A281" s="8">
        <f t="shared" si="224"/>
        <v>44106</v>
      </c>
      <c r="B281" s="1">
        <v>276</v>
      </c>
      <c r="C281" s="1">
        <v>11</v>
      </c>
      <c r="D281" s="2">
        <v>12.98</v>
      </c>
      <c r="E281" s="2">
        <v>21.59</v>
      </c>
      <c r="F281" s="2">
        <v>6.0910000000000002</v>
      </c>
      <c r="G281" s="2">
        <v>14.07</v>
      </c>
      <c r="H281" s="2">
        <v>44.79</v>
      </c>
      <c r="I281" s="2">
        <v>11.24</v>
      </c>
      <c r="J281" s="2">
        <v>11.81</v>
      </c>
      <c r="K281" s="2">
        <v>12.41</v>
      </c>
      <c r="L281" s="2">
        <v>9.18</v>
      </c>
      <c r="M281" s="2">
        <v>8.18</v>
      </c>
      <c r="N281" s="2">
        <v>19.73</v>
      </c>
      <c r="O281" s="2">
        <v>63.52</v>
      </c>
      <c r="P281" s="2">
        <v>29.04</v>
      </c>
      <c r="Q281" s="2">
        <v>26.24</v>
      </c>
      <c r="R281" s="2">
        <v>32.6</v>
      </c>
      <c r="S281" s="2">
        <v>10.77</v>
      </c>
      <c r="T281" s="2">
        <v>8.35</v>
      </c>
      <c r="U281" s="2">
        <v>9.5</v>
      </c>
      <c r="V281" s="2">
        <v>29.25</v>
      </c>
      <c r="W281" s="2">
        <v>1.409</v>
      </c>
      <c r="X281" s="2">
        <v>3.5939999999999999</v>
      </c>
      <c r="Y281" s="2">
        <v>2.8239999999999998</v>
      </c>
      <c r="Z281" s="2">
        <v>7.8659999999999997</v>
      </c>
      <c r="AA281" s="2">
        <v>8.07</v>
      </c>
      <c r="AB281" s="2">
        <v>2.6419999999999999</v>
      </c>
      <c r="AC281" s="2">
        <v>0</v>
      </c>
      <c r="AD281" s="2">
        <v>13.37</v>
      </c>
      <c r="AE281" s="2">
        <v>2.38</v>
      </c>
      <c r="AF281" s="2">
        <v>1.1879999999999999</v>
      </c>
      <c r="AG281" s="2">
        <v>2.6150000000000002</v>
      </c>
      <c r="AH281" s="2">
        <v>11.91</v>
      </c>
      <c r="AI281" s="2">
        <v>22.16</v>
      </c>
      <c r="AJ281" s="2">
        <v>5.2640000000000002</v>
      </c>
      <c r="AK281" s="2">
        <v>23.66</v>
      </c>
      <c r="AL281" s="2">
        <v>9.8000000000000007</v>
      </c>
      <c r="AM281" s="2">
        <v>2.5950000000000002</v>
      </c>
      <c r="AN281" s="2" t="s">
        <v>122</v>
      </c>
      <c r="AO281" s="2">
        <v>308</v>
      </c>
      <c r="AP281" s="2">
        <v>948</v>
      </c>
      <c r="AQ281" s="2">
        <v>1326</v>
      </c>
      <c r="AR281" s="2">
        <v>59</v>
      </c>
      <c r="AS281" s="2">
        <v>20</v>
      </c>
      <c r="AT281" s="2">
        <v>30</v>
      </c>
      <c r="AU281" s="2">
        <v>64</v>
      </c>
      <c r="AV281" s="2">
        <v>124</v>
      </c>
      <c r="AW281" s="2"/>
      <c r="AX281" s="2">
        <v>0</v>
      </c>
      <c r="AY281" s="26"/>
      <c r="AZ281" s="5">
        <v>15.2</v>
      </c>
      <c r="BA281" s="1">
        <v>13.37</v>
      </c>
      <c r="BB281" s="1">
        <v>2.19</v>
      </c>
      <c r="BC281" s="6">
        <f t="shared" si="225"/>
        <v>0.16379955123410622</v>
      </c>
      <c r="BE281" s="35">
        <f t="shared" ref="BE281:BE289" si="230">AC281</f>
        <v>0</v>
      </c>
      <c r="BF281" s="26"/>
      <c r="BG281" s="1">
        <f t="shared" si="199"/>
        <v>63.5</v>
      </c>
      <c r="BH281" s="1">
        <f t="shared" si="200"/>
        <v>44.8</v>
      </c>
      <c r="BI281" s="1">
        <f t="shared" si="201"/>
        <v>29.3</v>
      </c>
      <c r="BJ281" s="7">
        <f t="shared" si="202"/>
        <v>0.67400000000000004</v>
      </c>
      <c r="BK281" s="7">
        <f t="shared" si="203"/>
        <v>1.6259999999999999</v>
      </c>
      <c r="BM281" s="5">
        <f t="shared" si="204"/>
        <v>13.37</v>
      </c>
      <c r="BN281" s="5">
        <f t="shared" si="205"/>
        <v>2.19</v>
      </c>
      <c r="BO281" s="1">
        <f t="shared" si="206"/>
        <v>14.1</v>
      </c>
      <c r="BP281" s="1">
        <f t="shared" si="207"/>
        <v>19.7</v>
      </c>
      <c r="BQ281" s="1">
        <f t="shared" si="208"/>
        <v>9.5</v>
      </c>
      <c r="BR281" s="1">
        <f t="shared" si="209"/>
        <v>44.8</v>
      </c>
      <c r="BS281" s="1">
        <f t="shared" si="210"/>
        <v>29.3</v>
      </c>
      <c r="BT281" s="1">
        <f t="shared" si="211"/>
        <v>1.2</v>
      </c>
      <c r="BU281" s="1">
        <f t="shared" si="212"/>
        <v>2.6</v>
      </c>
      <c r="BV281" s="33">
        <f t="shared" si="228"/>
        <v>0</v>
      </c>
      <c r="BW281" s="34">
        <f t="shared" si="229"/>
        <v>0</v>
      </c>
      <c r="BX281" s="20" t="str">
        <f t="shared" si="214"/>
        <v>NAN</v>
      </c>
      <c r="BY281" s="1">
        <f t="shared" si="215"/>
        <v>11.9</v>
      </c>
      <c r="BZ281" s="1">
        <f t="shared" si="216"/>
        <v>22.2</v>
      </c>
      <c r="CA281" s="1">
        <f t="shared" si="217"/>
        <v>5.3</v>
      </c>
      <c r="CB281" s="1">
        <f t="shared" si="218"/>
        <v>12.4</v>
      </c>
      <c r="CC281" s="1">
        <f t="shared" si="219"/>
        <v>9.1999999999999993</v>
      </c>
      <c r="CD281" s="1">
        <f t="shared" si="220"/>
        <v>8.1999999999999993</v>
      </c>
      <c r="CE281" s="1" t="str">
        <f t="shared" si="221"/>
        <v>NAN</v>
      </c>
      <c r="CF281" s="1">
        <f t="shared" si="222"/>
        <v>0.67400000000000004</v>
      </c>
      <c r="CG281" s="1">
        <f t="shared" si="223"/>
        <v>1.6259999999999999</v>
      </c>
      <c r="CI281" s="1">
        <f t="shared" si="190"/>
        <v>2879</v>
      </c>
      <c r="CJ281" s="1">
        <f t="shared" si="191"/>
        <v>0.107</v>
      </c>
      <c r="CK281" s="1">
        <f t="shared" si="192"/>
        <v>0.32900000000000001</v>
      </c>
      <c r="CL281" s="1">
        <f t="shared" si="193"/>
        <v>0.46100000000000002</v>
      </c>
      <c r="CM281" s="1">
        <f t="shared" si="194"/>
        <v>0.02</v>
      </c>
      <c r="CN281" s="1">
        <f t="shared" si="195"/>
        <v>7.0000000000000001E-3</v>
      </c>
      <c r="CO281" s="1">
        <f t="shared" si="196"/>
        <v>0.01</v>
      </c>
      <c r="CP281" s="1">
        <f t="shared" si="197"/>
        <v>2.1999999999999999E-2</v>
      </c>
      <c r="CQ281" s="1">
        <f t="shared" si="198"/>
        <v>4.2999999999999997E-2</v>
      </c>
      <c r="CS281" s="1">
        <f t="shared" si="226"/>
        <v>2.5</v>
      </c>
      <c r="CT281" s="1">
        <f t="shared" si="227"/>
        <v>-4.2</v>
      </c>
    </row>
    <row r="282" spans="1:98" x14ac:dyDescent="0.2">
      <c r="A282" s="8">
        <f t="shared" si="224"/>
        <v>44107</v>
      </c>
      <c r="B282" s="1">
        <v>277</v>
      </c>
      <c r="C282" s="1">
        <v>11</v>
      </c>
      <c r="D282" s="2">
        <v>12.97</v>
      </c>
      <c r="E282" s="2">
        <v>21.92</v>
      </c>
      <c r="F282" s="2">
        <v>4.923</v>
      </c>
      <c r="G282" s="2">
        <v>13.63</v>
      </c>
      <c r="H282" s="2">
        <v>52.95</v>
      </c>
      <c r="I282" s="2">
        <v>10.119999999999999</v>
      </c>
      <c r="J282" s="2">
        <v>10.63</v>
      </c>
      <c r="K282" s="2">
        <v>12.58</v>
      </c>
      <c r="L282" s="2">
        <v>9.68</v>
      </c>
      <c r="M282" s="2">
        <v>8.25</v>
      </c>
      <c r="N282" s="2">
        <v>21.69</v>
      </c>
      <c r="O282" s="2">
        <v>74.45</v>
      </c>
      <c r="P282" s="2">
        <v>30.43</v>
      </c>
      <c r="Q282" s="2">
        <v>27.92</v>
      </c>
      <c r="R282" s="2">
        <v>34.369999999999997</v>
      </c>
      <c r="S282" s="2">
        <v>11.01</v>
      </c>
      <c r="T282" s="2">
        <v>8.43</v>
      </c>
      <c r="U282" s="2">
        <v>8.1199999999999992</v>
      </c>
      <c r="V282" s="2">
        <v>33.22</v>
      </c>
      <c r="W282" s="2">
        <v>0.92400000000000004</v>
      </c>
      <c r="X282" s="2">
        <v>2.4380000000000002</v>
      </c>
      <c r="Y282" s="2">
        <v>2.948</v>
      </c>
      <c r="Z282" s="2">
        <v>8.3699999999999992</v>
      </c>
      <c r="AA282" s="2">
        <v>8.1</v>
      </c>
      <c r="AB282" s="2">
        <v>2.64</v>
      </c>
      <c r="AC282" s="2">
        <v>0</v>
      </c>
      <c r="AD282" s="2">
        <v>13.14</v>
      </c>
      <c r="AE282" s="2">
        <v>2.3130000000000002</v>
      </c>
      <c r="AF282" s="2">
        <v>0.78300000000000003</v>
      </c>
      <c r="AG282" s="2">
        <v>2.8330000000000002</v>
      </c>
      <c r="AH282" s="2">
        <v>11.29</v>
      </c>
      <c r="AI282" s="2">
        <v>23.69</v>
      </c>
      <c r="AJ282" s="2">
        <v>4.2220000000000004</v>
      </c>
      <c r="AK282" s="2">
        <v>24.49</v>
      </c>
      <c r="AL282" s="2">
        <v>8.56</v>
      </c>
      <c r="AM282" s="2">
        <v>2.5960000000000001</v>
      </c>
      <c r="AN282" s="2" t="s">
        <v>122</v>
      </c>
      <c r="AO282" s="2">
        <v>86</v>
      </c>
      <c r="AP282" s="2">
        <v>251</v>
      </c>
      <c r="AQ282" s="2">
        <v>1302</v>
      </c>
      <c r="AR282" s="2">
        <v>136</v>
      </c>
      <c r="AS282" s="2">
        <v>156</v>
      </c>
      <c r="AT282" s="2">
        <v>407</v>
      </c>
      <c r="AU282" s="2">
        <v>418</v>
      </c>
      <c r="AV282" s="2">
        <v>124</v>
      </c>
      <c r="AW282" s="2"/>
      <c r="AX282" s="2">
        <v>0</v>
      </c>
      <c r="AY282" s="26"/>
      <c r="AZ282" s="5">
        <v>14.96</v>
      </c>
      <c r="BA282" s="1">
        <v>13.14</v>
      </c>
      <c r="BB282" s="1">
        <v>2.13</v>
      </c>
      <c r="BC282" s="6">
        <f t="shared" si="225"/>
        <v>0.16210045662100456</v>
      </c>
      <c r="BE282" s="35">
        <f t="shared" si="230"/>
        <v>0</v>
      </c>
      <c r="BF282" s="26"/>
      <c r="BG282" s="1">
        <f t="shared" si="199"/>
        <v>74.5</v>
      </c>
      <c r="BH282" s="1">
        <f t="shared" si="200"/>
        <v>53</v>
      </c>
      <c r="BI282" s="1">
        <f t="shared" si="201"/>
        <v>33.200000000000003</v>
      </c>
      <c r="BJ282" s="7">
        <f t="shared" si="202"/>
        <v>0.86099999999999999</v>
      </c>
      <c r="BK282" s="7">
        <f t="shared" si="203"/>
        <v>1.732</v>
      </c>
      <c r="BM282" s="5">
        <f t="shared" si="204"/>
        <v>13.14</v>
      </c>
      <c r="BN282" s="5">
        <f t="shared" si="205"/>
        <v>2.13</v>
      </c>
      <c r="BO282" s="1">
        <f t="shared" si="206"/>
        <v>13.6</v>
      </c>
      <c r="BP282" s="1">
        <f t="shared" si="207"/>
        <v>21.7</v>
      </c>
      <c r="BQ282" s="1">
        <f t="shared" si="208"/>
        <v>8.1</v>
      </c>
      <c r="BR282" s="1">
        <f t="shared" si="209"/>
        <v>53</v>
      </c>
      <c r="BS282" s="1">
        <f t="shared" si="210"/>
        <v>33.200000000000003</v>
      </c>
      <c r="BT282" s="1">
        <f t="shared" si="211"/>
        <v>0.8</v>
      </c>
      <c r="BU282" s="1">
        <f t="shared" si="212"/>
        <v>2.8</v>
      </c>
      <c r="BV282" s="33">
        <f t="shared" si="228"/>
        <v>0</v>
      </c>
      <c r="BW282" s="34">
        <f t="shared" si="229"/>
        <v>0</v>
      </c>
      <c r="BX282" s="20" t="str">
        <f t="shared" si="214"/>
        <v>NAN</v>
      </c>
      <c r="BY282" s="1">
        <f t="shared" si="215"/>
        <v>11.3</v>
      </c>
      <c r="BZ282" s="1">
        <f t="shared" si="216"/>
        <v>23.7</v>
      </c>
      <c r="CA282" s="1">
        <f t="shared" si="217"/>
        <v>4.2</v>
      </c>
      <c r="CB282" s="1">
        <f t="shared" si="218"/>
        <v>12.6</v>
      </c>
      <c r="CC282" s="1">
        <f t="shared" si="219"/>
        <v>9.6999999999999993</v>
      </c>
      <c r="CD282" s="1">
        <f t="shared" si="220"/>
        <v>8.3000000000000007</v>
      </c>
      <c r="CE282" s="1" t="str">
        <f t="shared" si="221"/>
        <v>NAN</v>
      </c>
      <c r="CF282" s="1">
        <f t="shared" si="222"/>
        <v>0.86099999999999999</v>
      </c>
      <c r="CG282" s="1">
        <f t="shared" si="223"/>
        <v>1.732</v>
      </c>
      <c r="CI282" s="1">
        <f t="shared" si="190"/>
        <v>2880</v>
      </c>
      <c r="CJ282" s="1">
        <f t="shared" si="191"/>
        <v>0.03</v>
      </c>
      <c r="CK282" s="1">
        <f t="shared" si="192"/>
        <v>8.6999999999999994E-2</v>
      </c>
      <c r="CL282" s="1">
        <f t="shared" si="193"/>
        <v>0.45200000000000001</v>
      </c>
      <c r="CM282" s="1">
        <f t="shared" si="194"/>
        <v>4.7E-2</v>
      </c>
      <c r="CN282" s="1">
        <f t="shared" si="195"/>
        <v>5.3999999999999999E-2</v>
      </c>
      <c r="CO282" s="1">
        <f t="shared" si="196"/>
        <v>0.14099999999999999</v>
      </c>
      <c r="CP282" s="1">
        <f t="shared" si="197"/>
        <v>0.14499999999999999</v>
      </c>
      <c r="CQ282" s="1">
        <f t="shared" si="198"/>
        <v>4.2999999999999997E-2</v>
      </c>
      <c r="CS282" s="1">
        <f t="shared" si="226"/>
        <v>2</v>
      </c>
      <c r="CT282" s="1">
        <f t="shared" si="227"/>
        <v>-3.8999999999999995</v>
      </c>
    </row>
    <row r="283" spans="1:98" x14ac:dyDescent="0.2">
      <c r="A283" s="8">
        <f t="shared" si="224"/>
        <v>44108</v>
      </c>
      <c r="B283" s="1">
        <v>278</v>
      </c>
      <c r="C283" s="1">
        <v>11</v>
      </c>
      <c r="D283" s="2">
        <v>12.97</v>
      </c>
      <c r="E283" s="2">
        <v>16.489999999999998</v>
      </c>
      <c r="F283" s="2">
        <v>2.93</v>
      </c>
      <c r="G283" s="2">
        <v>9.3699999999999992</v>
      </c>
      <c r="H283" s="2">
        <v>64.260000000000005</v>
      </c>
      <c r="I283" s="2">
        <v>6.6289999999999996</v>
      </c>
      <c r="J283" s="2">
        <v>7.101</v>
      </c>
      <c r="K283" s="2">
        <v>8.86</v>
      </c>
      <c r="L283" s="2">
        <v>9.24</v>
      </c>
      <c r="M283" s="2">
        <v>8.3000000000000007</v>
      </c>
      <c r="N283" s="2">
        <v>15.65</v>
      </c>
      <c r="O283" s="2">
        <v>91</v>
      </c>
      <c r="P283" s="2">
        <v>25.08</v>
      </c>
      <c r="Q283" s="2">
        <v>21.95</v>
      </c>
      <c r="R283" s="2">
        <v>22.14</v>
      </c>
      <c r="S283" s="2">
        <v>10.51</v>
      </c>
      <c r="T283" s="2">
        <v>8.4600000000000009</v>
      </c>
      <c r="U283" s="2">
        <v>5.2759999999999998</v>
      </c>
      <c r="V283" s="2">
        <v>32.33</v>
      </c>
      <c r="W283" s="2">
        <v>-1.0249999999999999</v>
      </c>
      <c r="X283" s="2">
        <v>0.42699999999999999</v>
      </c>
      <c r="Y283" s="2">
        <v>1.843</v>
      </c>
      <c r="Z283" s="2">
        <v>8.2899999999999991</v>
      </c>
      <c r="AA283" s="2">
        <v>8.17</v>
      </c>
      <c r="AB283" s="2">
        <v>2.64</v>
      </c>
      <c r="AC283" s="2">
        <v>0</v>
      </c>
      <c r="AD283" s="2">
        <v>8.6999999999999993</v>
      </c>
      <c r="AE283" s="2">
        <v>1.464</v>
      </c>
      <c r="AF283" s="2">
        <v>0.93600000000000005</v>
      </c>
      <c r="AG283" s="2">
        <v>3.6560000000000001</v>
      </c>
      <c r="AH283" s="2">
        <v>7.9379999999999997</v>
      </c>
      <c r="AI283" s="2">
        <v>20.32</v>
      </c>
      <c r="AJ283" s="2">
        <v>1.9379999999999999</v>
      </c>
      <c r="AK283" s="2">
        <v>17.920000000000002</v>
      </c>
      <c r="AL283" s="2">
        <v>5.0789999999999997</v>
      </c>
      <c r="AM283" s="2">
        <v>2.6139999999999999</v>
      </c>
      <c r="AN283" s="2" t="s">
        <v>122</v>
      </c>
      <c r="AO283" s="2">
        <v>577</v>
      </c>
      <c r="AP283" s="2">
        <v>863</v>
      </c>
      <c r="AQ283" s="2">
        <v>490</v>
      </c>
      <c r="AR283" s="2">
        <v>59</v>
      </c>
      <c r="AS283" s="2">
        <v>57</v>
      </c>
      <c r="AT283" s="2">
        <v>116</v>
      </c>
      <c r="AU283" s="2">
        <v>271</v>
      </c>
      <c r="AV283" s="2">
        <v>447</v>
      </c>
      <c r="AW283" s="2"/>
      <c r="AX283" s="2">
        <v>0</v>
      </c>
      <c r="AY283" s="26"/>
      <c r="AZ283" s="5">
        <v>14.72</v>
      </c>
      <c r="BA283" s="1">
        <v>8.6999999999999993</v>
      </c>
      <c r="BB283" s="1">
        <v>1.35</v>
      </c>
      <c r="BC283" s="6">
        <f t="shared" si="225"/>
        <v>0.15517241379310348</v>
      </c>
      <c r="BE283" s="35">
        <f t="shared" si="230"/>
        <v>0</v>
      </c>
      <c r="BF283" s="26"/>
      <c r="BG283" s="1">
        <f t="shared" si="199"/>
        <v>91</v>
      </c>
      <c r="BH283" s="1">
        <f t="shared" si="200"/>
        <v>64.3</v>
      </c>
      <c r="BI283" s="1">
        <f t="shared" si="201"/>
        <v>32.299999999999997</v>
      </c>
      <c r="BJ283" s="7">
        <f t="shared" si="202"/>
        <v>0.57399999999999995</v>
      </c>
      <c r="BK283" s="7">
        <f t="shared" si="203"/>
        <v>1.2030000000000001</v>
      </c>
      <c r="BM283" s="5">
        <f t="shared" si="204"/>
        <v>8.6999999999999993</v>
      </c>
      <c r="BN283" s="5">
        <f t="shared" si="205"/>
        <v>1.35</v>
      </c>
      <c r="BO283" s="1">
        <f t="shared" si="206"/>
        <v>9.4</v>
      </c>
      <c r="BP283" s="1">
        <f t="shared" si="207"/>
        <v>15.7</v>
      </c>
      <c r="BQ283" s="1">
        <f t="shared" si="208"/>
        <v>5.3</v>
      </c>
      <c r="BR283" s="1">
        <f t="shared" si="209"/>
        <v>64.3</v>
      </c>
      <c r="BS283" s="1">
        <f t="shared" si="210"/>
        <v>32.299999999999997</v>
      </c>
      <c r="BT283" s="1">
        <f t="shared" si="211"/>
        <v>0.9</v>
      </c>
      <c r="BU283" s="1">
        <f t="shared" si="212"/>
        <v>3.7</v>
      </c>
      <c r="BV283" s="33">
        <f t="shared" si="228"/>
        <v>0</v>
      </c>
      <c r="BW283" s="34">
        <f t="shared" si="229"/>
        <v>0</v>
      </c>
      <c r="BX283" s="20" t="str">
        <f t="shared" si="214"/>
        <v>NAN</v>
      </c>
      <c r="BY283" s="1">
        <f t="shared" si="215"/>
        <v>7.9</v>
      </c>
      <c r="BZ283" s="1">
        <f t="shared" si="216"/>
        <v>20.3</v>
      </c>
      <c r="CA283" s="1">
        <f t="shared" si="217"/>
        <v>1.9</v>
      </c>
      <c r="CB283" s="1">
        <f t="shared" si="218"/>
        <v>8.9</v>
      </c>
      <c r="CC283" s="1">
        <f t="shared" si="219"/>
        <v>9.1999999999999993</v>
      </c>
      <c r="CD283" s="1">
        <f t="shared" si="220"/>
        <v>8.3000000000000007</v>
      </c>
      <c r="CE283" s="1" t="str">
        <f t="shared" si="221"/>
        <v>NAN</v>
      </c>
      <c r="CF283" s="1">
        <f t="shared" si="222"/>
        <v>0.57399999999999995</v>
      </c>
      <c r="CG283" s="1">
        <f t="shared" si="223"/>
        <v>1.2030000000000001</v>
      </c>
      <c r="CI283" s="1">
        <f t="shared" si="190"/>
        <v>2880</v>
      </c>
      <c r="CJ283" s="1">
        <f t="shared" si="191"/>
        <v>0.2</v>
      </c>
      <c r="CK283" s="1">
        <f t="shared" si="192"/>
        <v>0.3</v>
      </c>
      <c r="CL283" s="1">
        <f t="shared" si="193"/>
        <v>0.17</v>
      </c>
      <c r="CM283" s="1">
        <f t="shared" si="194"/>
        <v>0.02</v>
      </c>
      <c r="CN283" s="1">
        <f t="shared" si="195"/>
        <v>0.02</v>
      </c>
      <c r="CO283" s="1">
        <f t="shared" si="196"/>
        <v>0.04</v>
      </c>
      <c r="CP283" s="1">
        <f t="shared" si="197"/>
        <v>9.4E-2</v>
      </c>
      <c r="CQ283" s="1">
        <f t="shared" si="198"/>
        <v>0.155</v>
      </c>
      <c r="CS283" s="1">
        <f t="shared" si="226"/>
        <v>4.6000000000000014</v>
      </c>
      <c r="CT283" s="1">
        <f t="shared" si="227"/>
        <v>-3.4</v>
      </c>
    </row>
    <row r="284" spans="1:98" x14ac:dyDescent="0.2">
      <c r="A284" s="8">
        <f t="shared" si="224"/>
        <v>44109</v>
      </c>
      <c r="B284" s="1">
        <v>279</v>
      </c>
      <c r="C284" s="1">
        <v>11</v>
      </c>
      <c r="D284" s="2">
        <v>12.98</v>
      </c>
      <c r="E284" s="2">
        <v>19.97</v>
      </c>
      <c r="F284" s="2">
        <v>2.3740000000000001</v>
      </c>
      <c r="G284" s="2">
        <v>10.71</v>
      </c>
      <c r="H284" s="2">
        <v>68.97</v>
      </c>
      <c r="I284" s="2">
        <v>9</v>
      </c>
      <c r="J284" s="2">
        <v>9.32</v>
      </c>
      <c r="K284" s="2">
        <v>11.8</v>
      </c>
      <c r="L284" s="2">
        <v>8.8000000000000007</v>
      </c>
      <c r="M284" s="2">
        <v>8.2100000000000009</v>
      </c>
      <c r="N284" s="2">
        <v>18.95</v>
      </c>
      <c r="O284" s="2">
        <v>94.7</v>
      </c>
      <c r="P284" s="2">
        <v>28.22</v>
      </c>
      <c r="Q284" s="2">
        <v>25.29</v>
      </c>
      <c r="R284" s="2">
        <v>36.75</v>
      </c>
      <c r="S284" s="2">
        <v>10.23</v>
      </c>
      <c r="T284" s="2">
        <v>8.41</v>
      </c>
      <c r="U284" s="2">
        <v>4.633</v>
      </c>
      <c r="V284" s="2">
        <v>41.63</v>
      </c>
      <c r="W284" s="2">
        <v>-1.7769999999999999</v>
      </c>
      <c r="X284" s="2">
        <v>-2.1999999999999999E-2</v>
      </c>
      <c r="Y284" s="2">
        <v>0.375</v>
      </c>
      <c r="Z284" s="2">
        <v>7.4930000000000003</v>
      </c>
      <c r="AA284" s="2">
        <v>8.0399999999999991</v>
      </c>
      <c r="AB284" s="2">
        <v>2.6320000000000001</v>
      </c>
      <c r="AC284" s="2">
        <v>0</v>
      </c>
      <c r="AD284" s="2">
        <v>13.09</v>
      </c>
      <c r="AE284" s="2">
        <v>2.2360000000000002</v>
      </c>
      <c r="AF284" s="2">
        <v>1.0349999999999999</v>
      </c>
      <c r="AG284" s="2">
        <v>3.97</v>
      </c>
      <c r="AH284" s="2">
        <v>9.2799999999999994</v>
      </c>
      <c r="AI284" s="2">
        <v>23.01</v>
      </c>
      <c r="AJ284" s="2">
        <v>1.4490000000000001</v>
      </c>
      <c r="AK284" s="2">
        <v>21.38</v>
      </c>
      <c r="AL284" s="2">
        <v>4.5540000000000003</v>
      </c>
      <c r="AM284" s="2">
        <v>2.5910000000000002</v>
      </c>
      <c r="AN284" s="2" t="s">
        <v>122</v>
      </c>
      <c r="AO284" s="2">
        <v>213</v>
      </c>
      <c r="AP284" s="2">
        <v>248</v>
      </c>
      <c r="AQ284" s="2">
        <v>652</v>
      </c>
      <c r="AR284" s="2">
        <v>210</v>
      </c>
      <c r="AS284" s="2">
        <v>212</v>
      </c>
      <c r="AT284" s="2">
        <v>355</v>
      </c>
      <c r="AU284" s="2">
        <v>579</v>
      </c>
      <c r="AV284" s="2">
        <v>411</v>
      </c>
      <c r="AW284" s="2"/>
      <c r="AX284" s="2">
        <v>0</v>
      </c>
      <c r="AY284" s="26"/>
      <c r="AZ284" s="5">
        <v>14.48</v>
      </c>
      <c r="BA284" s="1">
        <v>13.09</v>
      </c>
      <c r="BB284" s="1">
        <v>2.06</v>
      </c>
      <c r="BC284" s="6">
        <f t="shared" si="225"/>
        <v>0.1573720397249809</v>
      </c>
      <c r="BE284" s="35">
        <f t="shared" si="230"/>
        <v>0</v>
      </c>
      <c r="BF284" s="26"/>
      <c r="BG284" s="1">
        <f t="shared" si="199"/>
        <v>94.7</v>
      </c>
      <c r="BH284" s="1">
        <f t="shared" si="200"/>
        <v>69</v>
      </c>
      <c r="BI284" s="1">
        <f t="shared" si="201"/>
        <v>41.6</v>
      </c>
      <c r="BJ284" s="7">
        <f t="shared" si="202"/>
        <v>0.91100000000000003</v>
      </c>
      <c r="BK284" s="7">
        <f t="shared" si="203"/>
        <v>1.2789999999999999</v>
      </c>
      <c r="BM284" s="5">
        <f t="shared" si="204"/>
        <v>13.09</v>
      </c>
      <c r="BN284" s="5">
        <f t="shared" si="205"/>
        <v>2.06</v>
      </c>
      <c r="BO284" s="1">
        <f t="shared" si="206"/>
        <v>10.7</v>
      </c>
      <c r="BP284" s="1">
        <f t="shared" si="207"/>
        <v>19</v>
      </c>
      <c r="BQ284" s="1">
        <f t="shared" si="208"/>
        <v>4.5999999999999996</v>
      </c>
      <c r="BR284" s="1">
        <f t="shared" si="209"/>
        <v>69</v>
      </c>
      <c r="BS284" s="1">
        <f t="shared" si="210"/>
        <v>41.6</v>
      </c>
      <c r="BT284" s="1">
        <f t="shared" si="211"/>
        <v>1</v>
      </c>
      <c r="BU284" s="1">
        <f t="shared" si="212"/>
        <v>4</v>
      </c>
      <c r="BV284" s="33">
        <f t="shared" si="228"/>
        <v>0</v>
      </c>
      <c r="BW284" s="34">
        <f t="shared" si="229"/>
        <v>0</v>
      </c>
      <c r="BX284" s="20" t="str">
        <f t="shared" si="214"/>
        <v>NAN</v>
      </c>
      <c r="BY284" s="1">
        <f t="shared" si="215"/>
        <v>9.3000000000000007</v>
      </c>
      <c r="BZ284" s="1">
        <f t="shared" si="216"/>
        <v>23</v>
      </c>
      <c r="CA284" s="1">
        <f t="shared" si="217"/>
        <v>1.4</v>
      </c>
      <c r="CB284" s="1">
        <f t="shared" si="218"/>
        <v>11.8</v>
      </c>
      <c r="CC284" s="1">
        <f t="shared" si="219"/>
        <v>8.8000000000000007</v>
      </c>
      <c r="CD284" s="1">
        <f t="shared" si="220"/>
        <v>8.1999999999999993</v>
      </c>
      <c r="CE284" s="1" t="str">
        <f t="shared" si="221"/>
        <v>NAN</v>
      </c>
      <c r="CF284" s="1">
        <f t="shared" si="222"/>
        <v>0.91100000000000003</v>
      </c>
      <c r="CG284" s="1">
        <f t="shared" si="223"/>
        <v>1.2789999999999999</v>
      </c>
      <c r="CI284" s="1">
        <f t="shared" si="190"/>
        <v>2880</v>
      </c>
      <c r="CJ284" s="1">
        <f t="shared" si="191"/>
        <v>7.3999999999999996E-2</v>
      </c>
      <c r="CK284" s="1">
        <f t="shared" si="192"/>
        <v>8.5999999999999993E-2</v>
      </c>
      <c r="CL284" s="1">
        <f t="shared" si="193"/>
        <v>0.22600000000000001</v>
      </c>
      <c r="CM284" s="1">
        <f t="shared" si="194"/>
        <v>7.2999999999999995E-2</v>
      </c>
      <c r="CN284" s="1">
        <f t="shared" si="195"/>
        <v>7.3999999999999996E-2</v>
      </c>
      <c r="CO284" s="1">
        <f t="shared" si="196"/>
        <v>0.123</v>
      </c>
      <c r="CP284" s="1">
        <f t="shared" si="197"/>
        <v>0.20100000000000001</v>
      </c>
      <c r="CQ284" s="1">
        <f t="shared" si="198"/>
        <v>0.14299999999999999</v>
      </c>
      <c r="CS284" s="1">
        <f t="shared" si="226"/>
        <v>4</v>
      </c>
      <c r="CT284" s="1">
        <f t="shared" si="227"/>
        <v>-3.1999999999999997</v>
      </c>
    </row>
    <row r="285" spans="1:98" x14ac:dyDescent="0.2">
      <c r="A285" s="8">
        <f t="shared" si="224"/>
        <v>44110</v>
      </c>
      <c r="B285" s="1">
        <v>280</v>
      </c>
      <c r="C285" s="1">
        <v>11</v>
      </c>
      <c r="D285" s="2">
        <v>12.98</v>
      </c>
      <c r="E285" s="2">
        <v>19.18</v>
      </c>
      <c r="F285" s="2">
        <v>5.9169999999999998</v>
      </c>
      <c r="G285" s="2">
        <v>11.65</v>
      </c>
      <c r="H285" s="2">
        <v>71.489999999999995</v>
      </c>
      <c r="I285" s="2">
        <v>11.16</v>
      </c>
      <c r="J285" s="2">
        <v>11.19</v>
      </c>
      <c r="K285" s="2">
        <v>13.29</v>
      </c>
      <c r="L285" s="2">
        <v>9.57</v>
      </c>
      <c r="M285" s="2">
        <v>8.1999999999999993</v>
      </c>
      <c r="N285" s="2">
        <v>17.8</v>
      </c>
      <c r="O285" s="2">
        <v>88.9</v>
      </c>
      <c r="P285" s="2">
        <v>26.8</v>
      </c>
      <c r="Q285" s="2">
        <v>24.66</v>
      </c>
      <c r="R285" s="2">
        <v>34.65</v>
      </c>
      <c r="S285" s="2">
        <v>10.7</v>
      </c>
      <c r="T285" s="2">
        <v>8.36</v>
      </c>
      <c r="U285" s="2">
        <v>7.9130000000000003</v>
      </c>
      <c r="V285" s="2">
        <v>47.6</v>
      </c>
      <c r="W285" s="2">
        <v>2.6179999999999999</v>
      </c>
      <c r="X285" s="2">
        <v>4.2169999999999996</v>
      </c>
      <c r="Y285" s="2">
        <v>5.7770000000000001</v>
      </c>
      <c r="Z285" s="2">
        <v>8.58</v>
      </c>
      <c r="AA285" s="2">
        <v>8.0399999999999991</v>
      </c>
      <c r="AB285" s="2">
        <v>2.6349999999999998</v>
      </c>
      <c r="AC285" s="2">
        <v>0</v>
      </c>
      <c r="AD285" s="2">
        <v>12.07</v>
      </c>
      <c r="AE285" s="2">
        <v>2.0619999999999998</v>
      </c>
      <c r="AF285" s="2">
        <v>1.278</v>
      </c>
      <c r="AG285" s="2">
        <v>4.4580000000000002</v>
      </c>
      <c r="AH285" s="2">
        <v>10.89</v>
      </c>
      <c r="AI285" s="2">
        <v>23.37</v>
      </c>
      <c r="AJ285" s="2">
        <v>5.0119999999999996</v>
      </c>
      <c r="AK285" s="2">
        <v>20.63</v>
      </c>
      <c r="AL285" s="2">
        <v>7.6849999999999996</v>
      </c>
      <c r="AM285" s="2">
        <v>2.597</v>
      </c>
      <c r="AN285" s="2" t="s">
        <v>122</v>
      </c>
      <c r="AO285" s="2">
        <v>679</v>
      </c>
      <c r="AP285" s="2">
        <v>656</v>
      </c>
      <c r="AQ285" s="2">
        <v>140</v>
      </c>
      <c r="AR285" s="2">
        <v>32</v>
      </c>
      <c r="AS285" s="2">
        <v>33</v>
      </c>
      <c r="AT285" s="2">
        <v>149</v>
      </c>
      <c r="AU285" s="2">
        <v>440</v>
      </c>
      <c r="AV285" s="2">
        <v>751</v>
      </c>
      <c r="AW285" s="2"/>
      <c r="AX285" s="2">
        <v>0</v>
      </c>
      <c r="AY285" s="26"/>
      <c r="AZ285" s="5">
        <v>14.24</v>
      </c>
      <c r="BA285" s="1">
        <v>12.07</v>
      </c>
      <c r="BB285" s="1">
        <v>1.9</v>
      </c>
      <c r="BC285" s="6">
        <f t="shared" si="225"/>
        <v>0.15741507870753935</v>
      </c>
      <c r="BE285" s="35">
        <f t="shared" si="230"/>
        <v>0</v>
      </c>
      <c r="BF285" s="26"/>
      <c r="BG285" s="1">
        <f t="shared" si="199"/>
        <v>88.9</v>
      </c>
      <c r="BH285" s="1">
        <f t="shared" si="200"/>
        <v>71.5</v>
      </c>
      <c r="BI285" s="1">
        <f t="shared" si="201"/>
        <v>47.6</v>
      </c>
      <c r="BJ285" s="7">
        <f t="shared" si="202"/>
        <v>0.97</v>
      </c>
      <c r="BK285" s="7">
        <f t="shared" si="203"/>
        <v>1.0680000000000001</v>
      </c>
      <c r="BM285" s="5">
        <f t="shared" si="204"/>
        <v>12.07</v>
      </c>
      <c r="BN285" s="5">
        <f t="shared" si="205"/>
        <v>1.9</v>
      </c>
      <c r="BO285" s="1">
        <f t="shared" si="206"/>
        <v>11.7</v>
      </c>
      <c r="BP285" s="1">
        <f t="shared" si="207"/>
        <v>17.8</v>
      </c>
      <c r="BQ285" s="1">
        <f t="shared" si="208"/>
        <v>7.9</v>
      </c>
      <c r="BR285" s="1">
        <f t="shared" si="209"/>
        <v>71.5</v>
      </c>
      <c r="BS285" s="1">
        <f t="shared" si="210"/>
        <v>47.6</v>
      </c>
      <c r="BT285" s="1">
        <f t="shared" si="211"/>
        <v>1.3</v>
      </c>
      <c r="BU285" s="1">
        <f t="shared" si="212"/>
        <v>4.5</v>
      </c>
      <c r="BV285" s="33">
        <f t="shared" si="228"/>
        <v>0</v>
      </c>
      <c r="BW285" s="34">
        <f t="shared" si="229"/>
        <v>0</v>
      </c>
      <c r="BX285" s="20" t="str">
        <f t="shared" si="214"/>
        <v>NAN</v>
      </c>
      <c r="BY285" s="1">
        <f t="shared" si="215"/>
        <v>10.9</v>
      </c>
      <c r="BZ285" s="1">
        <f t="shared" si="216"/>
        <v>23.4</v>
      </c>
      <c r="CA285" s="1">
        <f t="shared" si="217"/>
        <v>5</v>
      </c>
      <c r="CB285" s="1">
        <f t="shared" si="218"/>
        <v>13.3</v>
      </c>
      <c r="CC285" s="1">
        <f t="shared" si="219"/>
        <v>9.6</v>
      </c>
      <c r="CD285" s="1">
        <f t="shared" si="220"/>
        <v>8.1999999999999993</v>
      </c>
      <c r="CE285" s="1" t="str">
        <f t="shared" si="221"/>
        <v>NAN</v>
      </c>
      <c r="CF285" s="1">
        <f t="shared" si="222"/>
        <v>0.97</v>
      </c>
      <c r="CG285" s="1">
        <f t="shared" si="223"/>
        <v>1.0680000000000001</v>
      </c>
      <c r="CI285" s="1">
        <f t="shared" si="190"/>
        <v>2880</v>
      </c>
      <c r="CJ285" s="1">
        <f t="shared" si="191"/>
        <v>0.23599999999999999</v>
      </c>
      <c r="CK285" s="1">
        <f t="shared" si="192"/>
        <v>0.22800000000000001</v>
      </c>
      <c r="CL285" s="1">
        <f t="shared" si="193"/>
        <v>4.9000000000000002E-2</v>
      </c>
      <c r="CM285" s="1">
        <f t="shared" si="194"/>
        <v>1.0999999999999999E-2</v>
      </c>
      <c r="CN285" s="1">
        <f t="shared" si="195"/>
        <v>1.0999999999999999E-2</v>
      </c>
      <c r="CO285" s="1">
        <f t="shared" si="196"/>
        <v>5.1999999999999998E-2</v>
      </c>
      <c r="CP285" s="1">
        <f t="shared" si="197"/>
        <v>0.153</v>
      </c>
      <c r="CQ285" s="1">
        <f t="shared" si="198"/>
        <v>0.26100000000000001</v>
      </c>
      <c r="CS285" s="1">
        <f t="shared" si="226"/>
        <v>5.5999999999999979</v>
      </c>
      <c r="CT285" s="1">
        <f t="shared" si="227"/>
        <v>-2.9000000000000004</v>
      </c>
    </row>
    <row r="286" spans="1:98" x14ac:dyDescent="0.2">
      <c r="A286" s="8">
        <f t="shared" si="224"/>
        <v>44111</v>
      </c>
      <c r="B286" s="1">
        <v>281</v>
      </c>
      <c r="C286" s="1">
        <v>11</v>
      </c>
      <c r="D286" s="2">
        <v>12.97</v>
      </c>
      <c r="E286" s="2">
        <v>21.29</v>
      </c>
      <c r="F286" s="2">
        <v>3.9129999999999998</v>
      </c>
      <c r="G286" s="2">
        <v>11.62</v>
      </c>
      <c r="H286" s="2">
        <v>69.61</v>
      </c>
      <c r="I286" s="2">
        <v>9.3000000000000007</v>
      </c>
      <c r="J286" s="2">
        <v>9.6300000000000008</v>
      </c>
      <c r="K286" s="2">
        <v>12.8</v>
      </c>
      <c r="L286" s="2">
        <v>9.5399999999999991</v>
      </c>
      <c r="M286" s="2">
        <v>8.2799999999999994</v>
      </c>
      <c r="N286" s="2">
        <v>20.100000000000001</v>
      </c>
      <c r="O286" s="2">
        <v>95.8</v>
      </c>
      <c r="P286" s="2">
        <v>30.32</v>
      </c>
      <c r="Q286" s="2">
        <v>26.21</v>
      </c>
      <c r="R286" s="2">
        <v>39.39</v>
      </c>
      <c r="S286" s="2">
        <v>10.69</v>
      </c>
      <c r="T286" s="2">
        <v>8.49</v>
      </c>
      <c r="U286" s="2">
        <v>5.8780000000000001</v>
      </c>
      <c r="V286" s="2">
        <v>34.44</v>
      </c>
      <c r="W286" s="2">
        <v>-0.30199999999999999</v>
      </c>
      <c r="X286" s="2">
        <v>1.39</v>
      </c>
      <c r="Y286" s="2">
        <v>2.0470000000000002</v>
      </c>
      <c r="Z286" s="2">
        <v>8.35</v>
      </c>
      <c r="AA286" s="2">
        <v>8.15</v>
      </c>
      <c r="AB286" s="2">
        <v>2.6339999999999999</v>
      </c>
      <c r="AC286" s="2">
        <v>0</v>
      </c>
      <c r="AD286" s="2">
        <v>13.16</v>
      </c>
      <c r="AE286" s="2">
        <v>2.254</v>
      </c>
      <c r="AF286" s="2">
        <v>0.86099999999999999</v>
      </c>
      <c r="AG286" s="2">
        <v>3.359</v>
      </c>
      <c r="AH286" s="2">
        <v>10.02</v>
      </c>
      <c r="AI286" s="2">
        <v>24.15</v>
      </c>
      <c r="AJ286" s="2">
        <v>2.9319999999999999</v>
      </c>
      <c r="AK286" s="2">
        <v>23.11</v>
      </c>
      <c r="AL286" s="2">
        <v>5.6289999999999996</v>
      </c>
      <c r="AM286" s="2">
        <v>2.589</v>
      </c>
      <c r="AN286" s="2" t="s">
        <v>122</v>
      </c>
      <c r="AO286" s="2">
        <v>102</v>
      </c>
      <c r="AP286" s="2">
        <v>384</v>
      </c>
      <c r="AQ286" s="2">
        <v>1027</v>
      </c>
      <c r="AR286" s="2">
        <v>242</v>
      </c>
      <c r="AS286" s="2">
        <v>158</v>
      </c>
      <c r="AT286" s="2">
        <v>392</v>
      </c>
      <c r="AU286" s="2">
        <v>381</v>
      </c>
      <c r="AV286" s="2">
        <v>194</v>
      </c>
      <c r="AW286" s="2"/>
      <c r="AX286" s="2">
        <v>0</v>
      </c>
      <c r="AY286" s="26"/>
      <c r="AZ286" s="5">
        <v>14.01</v>
      </c>
      <c r="BA286" s="1">
        <v>13.16</v>
      </c>
      <c r="BB286" s="1">
        <v>2.0699999999999998</v>
      </c>
      <c r="BC286" s="6">
        <f t="shared" si="225"/>
        <v>0.15729483282674769</v>
      </c>
      <c r="BE286" s="35">
        <f t="shared" si="230"/>
        <v>0</v>
      </c>
      <c r="BF286" s="26"/>
      <c r="BG286" s="1">
        <f t="shared" si="199"/>
        <v>95.8</v>
      </c>
      <c r="BH286" s="1">
        <f t="shared" si="200"/>
        <v>69.599999999999994</v>
      </c>
      <c r="BI286" s="1">
        <f t="shared" si="201"/>
        <v>34.4</v>
      </c>
      <c r="BJ286" s="7">
        <f t="shared" si="202"/>
        <v>0.80900000000000005</v>
      </c>
      <c r="BK286" s="7">
        <f t="shared" si="203"/>
        <v>1.5429999999999999</v>
      </c>
      <c r="BM286" s="5">
        <f t="shared" si="204"/>
        <v>13.16</v>
      </c>
      <c r="BN286" s="5">
        <f t="shared" si="205"/>
        <v>2.0699999999999998</v>
      </c>
      <c r="BO286" s="1">
        <f t="shared" si="206"/>
        <v>11.6</v>
      </c>
      <c r="BP286" s="1">
        <f t="shared" si="207"/>
        <v>20.100000000000001</v>
      </c>
      <c r="BQ286" s="1">
        <f t="shared" si="208"/>
        <v>5.9</v>
      </c>
      <c r="BR286" s="1">
        <f t="shared" si="209"/>
        <v>69.599999999999994</v>
      </c>
      <c r="BS286" s="1">
        <f t="shared" si="210"/>
        <v>34.4</v>
      </c>
      <c r="BT286" s="1">
        <f t="shared" si="211"/>
        <v>0.9</v>
      </c>
      <c r="BU286" s="1">
        <f t="shared" si="212"/>
        <v>3.4</v>
      </c>
      <c r="BV286" s="33">
        <f t="shared" si="228"/>
        <v>0</v>
      </c>
      <c r="BW286" s="34">
        <f t="shared" si="229"/>
        <v>0</v>
      </c>
      <c r="BX286" s="20" t="str">
        <f t="shared" si="214"/>
        <v>NAN</v>
      </c>
      <c r="BY286" s="1">
        <f t="shared" si="215"/>
        <v>10</v>
      </c>
      <c r="BZ286" s="1">
        <f t="shared" si="216"/>
        <v>24.2</v>
      </c>
      <c r="CA286" s="1">
        <f t="shared" si="217"/>
        <v>2.9</v>
      </c>
      <c r="CB286" s="1">
        <f t="shared" si="218"/>
        <v>12.8</v>
      </c>
      <c r="CC286" s="1">
        <f t="shared" si="219"/>
        <v>9.5</v>
      </c>
      <c r="CD286" s="1">
        <f t="shared" si="220"/>
        <v>8.3000000000000007</v>
      </c>
      <c r="CE286" s="1" t="str">
        <f t="shared" si="221"/>
        <v>NAN</v>
      </c>
      <c r="CF286" s="1">
        <f t="shared" si="222"/>
        <v>0.80900000000000005</v>
      </c>
      <c r="CG286" s="1">
        <f t="shared" si="223"/>
        <v>1.5429999999999999</v>
      </c>
      <c r="CI286" s="1">
        <f t="shared" si="190"/>
        <v>2880</v>
      </c>
      <c r="CJ286" s="1">
        <f t="shared" si="191"/>
        <v>3.5000000000000003E-2</v>
      </c>
      <c r="CK286" s="1">
        <f t="shared" si="192"/>
        <v>0.13300000000000001</v>
      </c>
      <c r="CL286" s="1">
        <f t="shared" si="193"/>
        <v>0.35699999999999998</v>
      </c>
      <c r="CM286" s="1">
        <f t="shared" si="194"/>
        <v>8.4000000000000005E-2</v>
      </c>
      <c r="CN286" s="1">
        <f t="shared" si="195"/>
        <v>5.5E-2</v>
      </c>
      <c r="CO286" s="1">
        <f t="shared" si="196"/>
        <v>0.13600000000000001</v>
      </c>
      <c r="CP286" s="1">
        <f t="shared" si="197"/>
        <v>0.13200000000000001</v>
      </c>
      <c r="CQ286" s="1">
        <f t="shared" si="198"/>
        <v>6.7000000000000004E-2</v>
      </c>
      <c r="CS286" s="1">
        <f t="shared" si="226"/>
        <v>4.0999999999999979</v>
      </c>
      <c r="CT286" s="1">
        <f t="shared" si="227"/>
        <v>-3.0000000000000004</v>
      </c>
    </row>
    <row r="287" spans="1:98" x14ac:dyDescent="0.2">
      <c r="A287" s="8">
        <f t="shared" si="224"/>
        <v>44112</v>
      </c>
      <c r="B287" s="1">
        <v>282</v>
      </c>
      <c r="C287" s="1">
        <v>11</v>
      </c>
      <c r="D287" s="2">
        <v>12.85</v>
      </c>
      <c r="E287" s="2">
        <v>8.2799999999999994</v>
      </c>
      <c r="F287" s="2">
        <v>2.2250000000000001</v>
      </c>
      <c r="G287" s="2">
        <v>7.4850000000000003</v>
      </c>
      <c r="H287" s="2">
        <v>81.3</v>
      </c>
      <c r="I287" s="2">
        <v>5.2569999999999997</v>
      </c>
      <c r="J287" s="2">
        <v>5.7279999999999998</v>
      </c>
      <c r="K287" s="2">
        <v>6.21</v>
      </c>
      <c r="L287" s="2">
        <v>8.91</v>
      </c>
      <c r="M287" s="2">
        <v>8.27</v>
      </c>
      <c r="N287" s="2">
        <v>10.050000000000001</v>
      </c>
      <c r="O287" s="2">
        <v>93.1</v>
      </c>
      <c r="P287" s="2">
        <v>8.93</v>
      </c>
      <c r="Q287" s="2">
        <v>8.91</v>
      </c>
      <c r="R287" s="2">
        <v>9.64</v>
      </c>
      <c r="S287" s="2">
        <v>10.210000000000001</v>
      </c>
      <c r="T287" s="2">
        <v>8.3800000000000008</v>
      </c>
      <c r="U287" s="2">
        <v>4.4950000000000001</v>
      </c>
      <c r="V287" s="2">
        <v>68.84</v>
      </c>
      <c r="W287" s="2">
        <v>-0.24299999999999999</v>
      </c>
      <c r="X287" s="2">
        <v>0.78</v>
      </c>
      <c r="Y287" s="2">
        <v>1.6060000000000001</v>
      </c>
      <c r="Z287" s="2">
        <v>8.15</v>
      </c>
      <c r="AA287" s="2">
        <v>8.1300000000000008</v>
      </c>
      <c r="AB287" s="2">
        <v>2.633</v>
      </c>
      <c r="AC287" s="2">
        <v>2.794</v>
      </c>
      <c r="AD287" s="2">
        <v>2.3079999999999998</v>
      </c>
      <c r="AE287" s="2">
        <v>0.36299999999999999</v>
      </c>
      <c r="AF287" s="2">
        <v>1.0760000000000001</v>
      </c>
      <c r="AG287" s="2">
        <v>4</v>
      </c>
      <c r="AH287" s="2">
        <v>5.875</v>
      </c>
      <c r="AI287" s="2">
        <v>8.81</v>
      </c>
      <c r="AJ287" s="2">
        <v>1.847</v>
      </c>
      <c r="AK287" s="2">
        <v>9.6999999999999993</v>
      </c>
      <c r="AL287" s="2">
        <v>4.3559999999999999</v>
      </c>
      <c r="AM287" s="2">
        <v>2.609</v>
      </c>
      <c r="AN287" s="2" t="s">
        <v>122</v>
      </c>
      <c r="AO287" s="2">
        <v>806</v>
      </c>
      <c r="AP287" s="2">
        <v>283</v>
      </c>
      <c r="AQ287" s="2">
        <v>75</v>
      </c>
      <c r="AR287" s="2">
        <v>56</v>
      </c>
      <c r="AS287" s="2">
        <v>48</v>
      </c>
      <c r="AT287" s="2">
        <v>140</v>
      </c>
      <c r="AU287" s="2">
        <v>522</v>
      </c>
      <c r="AV287" s="2">
        <v>950</v>
      </c>
      <c r="AW287" s="2"/>
      <c r="AX287" s="2">
        <v>0</v>
      </c>
      <c r="AY287" s="26"/>
      <c r="AZ287" s="5">
        <v>13.78</v>
      </c>
      <c r="BA287" s="1">
        <v>2.31</v>
      </c>
      <c r="BB287" s="1">
        <v>0.33</v>
      </c>
      <c r="BC287" s="6">
        <f t="shared" si="225"/>
        <v>0.14285714285714285</v>
      </c>
      <c r="BE287" s="35">
        <f t="shared" si="230"/>
        <v>2.794</v>
      </c>
      <c r="BF287" s="26"/>
      <c r="BG287" s="1">
        <f t="shared" si="199"/>
        <v>93.1</v>
      </c>
      <c r="BH287" s="1">
        <f t="shared" si="200"/>
        <v>81.3</v>
      </c>
      <c r="BI287" s="1">
        <f t="shared" si="201"/>
        <v>68.8</v>
      </c>
      <c r="BJ287" s="7">
        <f t="shared" si="202"/>
        <v>0.84699999999999998</v>
      </c>
      <c r="BK287" s="7">
        <f t="shared" si="203"/>
        <v>0.38400000000000001</v>
      </c>
      <c r="BM287" s="5">
        <f t="shared" si="204"/>
        <v>2.31</v>
      </c>
      <c r="BN287" s="5">
        <f t="shared" si="205"/>
        <v>0.33</v>
      </c>
      <c r="BO287" s="1">
        <f t="shared" si="206"/>
        <v>7.5</v>
      </c>
      <c r="BP287" s="1">
        <f t="shared" si="207"/>
        <v>10.1</v>
      </c>
      <c r="BQ287" s="1">
        <f t="shared" si="208"/>
        <v>4.5</v>
      </c>
      <c r="BR287" s="1">
        <f t="shared" si="209"/>
        <v>81.3</v>
      </c>
      <c r="BS287" s="1">
        <f t="shared" si="210"/>
        <v>68.8</v>
      </c>
      <c r="BT287" s="1">
        <f t="shared" si="211"/>
        <v>1.1000000000000001</v>
      </c>
      <c r="BU287" s="1">
        <f t="shared" si="212"/>
        <v>4</v>
      </c>
      <c r="BV287" s="33">
        <f t="shared" si="228"/>
        <v>2.794</v>
      </c>
      <c r="BW287" s="34">
        <f t="shared" si="229"/>
        <v>0</v>
      </c>
      <c r="BX287" s="20" t="str">
        <f t="shared" si="214"/>
        <v>NAN</v>
      </c>
      <c r="BY287" s="1">
        <f t="shared" si="215"/>
        <v>5.9</v>
      </c>
      <c r="BZ287" s="1">
        <f t="shared" si="216"/>
        <v>8.8000000000000007</v>
      </c>
      <c r="CA287" s="1">
        <f t="shared" si="217"/>
        <v>1.8</v>
      </c>
      <c r="CB287" s="1">
        <f t="shared" si="218"/>
        <v>6.2</v>
      </c>
      <c r="CC287" s="1">
        <f t="shared" si="219"/>
        <v>8.9</v>
      </c>
      <c r="CD287" s="1">
        <f t="shared" si="220"/>
        <v>8.3000000000000007</v>
      </c>
      <c r="CE287" s="1" t="str">
        <f t="shared" si="221"/>
        <v>NAN</v>
      </c>
      <c r="CF287" s="1">
        <f t="shared" si="222"/>
        <v>0.84699999999999998</v>
      </c>
      <c r="CG287" s="1">
        <f t="shared" si="223"/>
        <v>0.38400000000000001</v>
      </c>
      <c r="CI287" s="1">
        <f t="shared" si="190"/>
        <v>2880</v>
      </c>
      <c r="CJ287" s="1">
        <f t="shared" si="191"/>
        <v>0.28000000000000003</v>
      </c>
      <c r="CK287" s="1">
        <f t="shared" si="192"/>
        <v>9.8000000000000004E-2</v>
      </c>
      <c r="CL287" s="1">
        <f t="shared" si="193"/>
        <v>2.5999999999999999E-2</v>
      </c>
      <c r="CM287" s="1">
        <f t="shared" si="194"/>
        <v>1.9E-2</v>
      </c>
      <c r="CN287" s="1">
        <f t="shared" si="195"/>
        <v>1.7000000000000001E-2</v>
      </c>
      <c r="CO287" s="1">
        <f t="shared" si="196"/>
        <v>4.9000000000000002E-2</v>
      </c>
      <c r="CP287" s="1">
        <f t="shared" si="197"/>
        <v>0.18099999999999999</v>
      </c>
      <c r="CQ287" s="1">
        <f t="shared" si="198"/>
        <v>0.33</v>
      </c>
      <c r="CS287" s="1">
        <f t="shared" si="226"/>
        <v>-1.2999999999999989</v>
      </c>
      <c r="CT287" s="1">
        <f t="shared" si="227"/>
        <v>-2.7</v>
      </c>
    </row>
    <row r="288" spans="1:98" x14ac:dyDescent="0.2">
      <c r="A288" s="8">
        <f t="shared" si="224"/>
        <v>44113</v>
      </c>
      <c r="B288" s="1">
        <v>283</v>
      </c>
      <c r="C288" s="1">
        <v>11</v>
      </c>
      <c r="D288" s="2">
        <v>12.89</v>
      </c>
      <c r="E288" s="2">
        <v>6.0679999999999996</v>
      </c>
      <c r="F288" s="2">
        <v>2.609</v>
      </c>
      <c r="G288" s="2">
        <v>5.7560000000000002</v>
      </c>
      <c r="H288" s="2">
        <v>81.900000000000006</v>
      </c>
      <c r="I288" s="2">
        <v>4.383</v>
      </c>
      <c r="J288" s="2">
        <v>4.6509999999999998</v>
      </c>
      <c r="K288" s="2">
        <v>5.42</v>
      </c>
      <c r="L288" s="2">
        <v>7.5039999999999996</v>
      </c>
      <c r="M288" s="2">
        <v>8.0399999999999991</v>
      </c>
      <c r="N288" s="2">
        <v>7.4720000000000004</v>
      </c>
      <c r="O288" s="2">
        <v>93.2</v>
      </c>
      <c r="P288" s="2">
        <v>6.9669999999999996</v>
      </c>
      <c r="Q288" s="2">
        <v>6.6310000000000002</v>
      </c>
      <c r="R288" s="2">
        <v>8.93</v>
      </c>
      <c r="S288" s="2">
        <v>8.23</v>
      </c>
      <c r="T288" s="2">
        <v>8.25</v>
      </c>
      <c r="U288" s="2">
        <v>4.2569999999999997</v>
      </c>
      <c r="V288" s="2">
        <v>70.44</v>
      </c>
      <c r="W288" s="2">
        <v>0.28899999999999998</v>
      </c>
      <c r="X288" s="2">
        <v>1.288</v>
      </c>
      <c r="Y288" s="2">
        <v>1.964</v>
      </c>
      <c r="Z288" s="2">
        <v>7.1379999999999999</v>
      </c>
      <c r="AA288" s="2">
        <v>7.83</v>
      </c>
      <c r="AB288" s="2">
        <v>2.6309999999999998</v>
      </c>
      <c r="AC288" s="2">
        <v>3.81</v>
      </c>
      <c r="AD288" s="2">
        <v>2.84</v>
      </c>
      <c r="AE288" s="2">
        <v>0.40300000000000002</v>
      </c>
      <c r="AF288" s="2">
        <v>1.327</v>
      </c>
      <c r="AG288" s="2">
        <v>4.8570000000000002</v>
      </c>
      <c r="AH288" s="2">
        <v>4.9690000000000003</v>
      </c>
      <c r="AI288" s="2">
        <v>7.4829999999999997</v>
      </c>
      <c r="AJ288" s="2">
        <v>2.218</v>
      </c>
      <c r="AK288" s="2">
        <v>7.1660000000000004</v>
      </c>
      <c r="AL288" s="2">
        <v>3.548</v>
      </c>
      <c r="AM288" s="2">
        <v>2.5990000000000002</v>
      </c>
      <c r="AN288" s="2" t="s">
        <v>122</v>
      </c>
      <c r="AO288" s="2">
        <v>123</v>
      </c>
      <c r="AP288" s="2">
        <v>176</v>
      </c>
      <c r="AQ288" s="2">
        <v>118</v>
      </c>
      <c r="AR288" s="2">
        <v>162</v>
      </c>
      <c r="AS288" s="2">
        <v>746</v>
      </c>
      <c r="AT288" s="2">
        <v>1046</v>
      </c>
      <c r="AU288" s="2">
        <v>389</v>
      </c>
      <c r="AV288" s="2">
        <v>120</v>
      </c>
      <c r="AW288" s="2"/>
      <c r="AX288" s="2">
        <v>0</v>
      </c>
      <c r="AY288" s="26"/>
      <c r="AZ288" s="5">
        <v>13.55</v>
      </c>
      <c r="BA288" s="1">
        <v>2.84</v>
      </c>
      <c r="BB288" s="1">
        <v>0.37</v>
      </c>
      <c r="BC288" s="6">
        <f t="shared" si="225"/>
        <v>0.13028169014084506</v>
      </c>
      <c r="BE288" s="35">
        <f t="shared" si="230"/>
        <v>3.81</v>
      </c>
      <c r="BF288" s="26"/>
      <c r="BG288" s="1">
        <f t="shared" si="199"/>
        <v>93.2</v>
      </c>
      <c r="BH288" s="1">
        <f t="shared" si="200"/>
        <v>81.900000000000006</v>
      </c>
      <c r="BI288" s="1">
        <f t="shared" si="201"/>
        <v>70.400000000000006</v>
      </c>
      <c r="BJ288" s="7">
        <f t="shared" si="202"/>
        <v>0.72799999999999998</v>
      </c>
      <c r="BK288" s="7">
        <f t="shared" si="203"/>
        <v>0.30599999999999999</v>
      </c>
      <c r="BM288" s="5">
        <f t="shared" si="204"/>
        <v>2.84</v>
      </c>
      <c r="BN288" s="5">
        <f t="shared" si="205"/>
        <v>0.37</v>
      </c>
      <c r="BO288" s="1">
        <f t="shared" si="206"/>
        <v>5.8</v>
      </c>
      <c r="BP288" s="1">
        <f t="shared" si="207"/>
        <v>7.5</v>
      </c>
      <c r="BQ288" s="1">
        <f t="shared" si="208"/>
        <v>4.3</v>
      </c>
      <c r="BR288" s="1">
        <f t="shared" si="209"/>
        <v>81.900000000000006</v>
      </c>
      <c r="BS288" s="1">
        <f t="shared" si="210"/>
        <v>70.400000000000006</v>
      </c>
      <c r="BT288" s="1">
        <f t="shared" si="211"/>
        <v>1.3</v>
      </c>
      <c r="BU288" s="1">
        <f t="shared" si="212"/>
        <v>4.9000000000000004</v>
      </c>
      <c r="BV288" s="33">
        <f t="shared" si="228"/>
        <v>3.81</v>
      </c>
      <c r="BW288" s="34">
        <f t="shared" si="229"/>
        <v>0</v>
      </c>
      <c r="BX288" s="20" t="str">
        <f t="shared" si="214"/>
        <v>NAN</v>
      </c>
      <c r="BY288" s="1">
        <f t="shared" si="215"/>
        <v>5</v>
      </c>
      <c r="BZ288" s="1">
        <f t="shared" si="216"/>
        <v>7.5</v>
      </c>
      <c r="CA288" s="1">
        <f t="shared" si="217"/>
        <v>2.2000000000000002</v>
      </c>
      <c r="CB288" s="1">
        <f t="shared" si="218"/>
        <v>5.4</v>
      </c>
      <c r="CC288" s="1">
        <f t="shared" si="219"/>
        <v>7.5</v>
      </c>
      <c r="CD288" s="1">
        <f t="shared" si="220"/>
        <v>8</v>
      </c>
      <c r="CE288" s="1" t="str">
        <f t="shared" si="221"/>
        <v>NAN</v>
      </c>
      <c r="CF288" s="1">
        <f t="shared" si="222"/>
        <v>0.72799999999999998</v>
      </c>
      <c r="CG288" s="1">
        <f t="shared" si="223"/>
        <v>0.30599999999999999</v>
      </c>
      <c r="CI288" s="1">
        <f t="shared" si="190"/>
        <v>2880</v>
      </c>
      <c r="CJ288" s="1">
        <f t="shared" si="191"/>
        <v>4.2999999999999997E-2</v>
      </c>
      <c r="CK288" s="1">
        <f t="shared" si="192"/>
        <v>6.0999999999999999E-2</v>
      </c>
      <c r="CL288" s="1">
        <f t="shared" si="193"/>
        <v>4.1000000000000002E-2</v>
      </c>
      <c r="CM288" s="1">
        <f t="shared" si="194"/>
        <v>5.6000000000000001E-2</v>
      </c>
      <c r="CN288" s="1">
        <f t="shared" si="195"/>
        <v>0.25900000000000001</v>
      </c>
      <c r="CO288" s="1">
        <f t="shared" si="196"/>
        <v>0.36299999999999999</v>
      </c>
      <c r="CP288" s="1">
        <f t="shared" si="197"/>
        <v>0.13500000000000001</v>
      </c>
      <c r="CQ288" s="1">
        <f t="shared" si="198"/>
        <v>4.2000000000000003E-2</v>
      </c>
      <c r="CS288" s="1">
        <f t="shared" si="226"/>
        <v>0</v>
      </c>
      <c r="CT288" s="1">
        <f t="shared" si="227"/>
        <v>-2.0999999999999996</v>
      </c>
    </row>
    <row r="289" spans="1:98" x14ac:dyDescent="0.2">
      <c r="A289" s="8">
        <f t="shared" si="224"/>
        <v>44114</v>
      </c>
      <c r="B289" s="1">
        <v>284</v>
      </c>
      <c r="C289" s="1">
        <v>11</v>
      </c>
      <c r="D289" s="2">
        <v>13.03</v>
      </c>
      <c r="E289" s="2">
        <v>6.0049999999999999</v>
      </c>
      <c r="F289" s="2">
        <v>-2.4630000000000001</v>
      </c>
      <c r="G289" s="2">
        <v>2.706</v>
      </c>
      <c r="H289" s="2">
        <v>83.5</v>
      </c>
      <c r="I289" s="2">
        <v>2.363</v>
      </c>
      <c r="J289" s="2">
        <v>2.36</v>
      </c>
      <c r="K289" s="2">
        <v>4.2389999999999999</v>
      </c>
      <c r="L289" s="2">
        <v>7.008</v>
      </c>
      <c r="M289" s="2">
        <v>7.7460000000000004</v>
      </c>
      <c r="N289" s="2">
        <v>6.9630000000000001</v>
      </c>
      <c r="O289" s="2">
        <v>96</v>
      </c>
      <c r="P289" s="2">
        <v>9.02</v>
      </c>
      <c r="Q289" s="2">
        <v>7.13</v>
      </c>
      <c r="R289" s="2">
        <v>13.2</v>
      </c>
      <c r="S289" s="2">
        <v>7.5190000000000001</v>
      </c>
      <c r="T289" s="2">
        <v>7.9290000000000003</v>
      </c>
      <c r="U289" s="2">
        <v>-1.772</v>
      </c>
      <c r="V289" s="2">
        <v>66.209999999999994</v>
      </c>
      <c r="W289" s="2">
        <v>-2.9009999999999998</v>
      </c>
      <c r="X289" s="2">
        <v>-2.74</v>
      </c>
      <c r="Y289" s="2">
        <v>0.32800000000000001</v>
      </c>
      <c r="Z289" s="2">
        <v>6.4039999999999999</v>
      </c>
      <c r="AA289" s="2">
        <v>7.5419999999999998</v>
      </c>
      <c r="AB289" s="2">
        <v>2.6309999999999998</v>
      </c>
      <c r="AC289" s="2">
        <v>6.6040000000000001</v>
      </c>
      <c r="AD289" s="2">
        <v>3.976</v>
      </c>
      <c r="AE289" s="2">
        <v>0.61</v>
      </c>
      <c r="AF289" s="2">
        <v>2.1459999999999999</v>
      </c>
      <c r="AG289" s="2">
        <v>5.9560000000000004</v>
      </c>
      <c r="AH289" s="2">
        <v>2.37</v>
      </c>
      <c r="AI289" s="2">
        <v>6.8840000000000003</v>
      </c>
      <c r="AJ289" s="2">
        <v>-2.2879999999999998</v>
      </c>
      <c r="AK289" s="2">
        <v>6.6820000000000004</v>
      </c>
      <c r="AL289" s="2">
        <v>-1.9319999999999999</v>
      </c>
      <c r="AM289" s="2">
        <v>2.6379999999999999</v>
      </c>
      <c r="AN289" s="2" t="s">
        <v>122</v>
      </c>
      <c r="AO289" s="2">
        <v>410</v>
      </c>
      <c r="AP289" s="2">
        <v>62</v>
      </c>
      <c r="AQ289" s="2">
        <v>23</v>
      </c>
      <c r="AR289" s="2">
        <v>46</v>
      </c>
      <c r="AS289" s="2">
        <v>251</v>
      </c>
      <c r="AT289" s="2">
        <v>665</v>
      </c>
      <c r="AU289" s="2">
        <v>685</v>
      </c>
      <c r="AV289" s="2">
        <v>738</v>
      </c>
      <c r="AW289" s="2"/>
      <c r="AX289" s="25">
        <v>0</v>
      </c>
      <c r="AY289" s="26"/>
      <c r="AZ289" s="5">
        <v>13.32</v>
      </c>
      <c r="BA289" s="1">
        <v>3.98</v>
      </c>
      <c r="BB289" s="1">
        <v>0.56000000000000005</v>
      </c>
      <c r="BC289" s="6">
        <f t="shared" si="225"/>
        <v>0.14070351758793972</v>
      </c>
      <c r="BE289" s="35">
        <f t="shared" si="230"/>
        <v>6.6040000000000001</v>
      </c>
      <c r="BF289" s="26"/>
      <c r="BG289" s="1">
        <f t="shared" si="199"/>
        <v>96</v>
      </c>
      <c r="BH289" s="1">
        <f t="shared" si="200"/>
        <v>83.5</v>
      </c>
      <c r="BI289" s="1">
        <f t="shared" si="201"/>
        <v>66.2</v>
      </c>
      <c r="BJ289" s="7">
        <f t="shared" si="202"/>
        <v>0.66100000000000003</v>
      </c>
      <c r="BK289" s="7">
        <f t="shared" si="203"/>
        <v>0.33700000000000002</v>
      </c>
      <c r="BM289" s="5">
        <f t="shared" si="204"/>
        <v>3.98</v>
      </c>
      <c r="BN289" s="5">
        <f t="shared" si="205"/>
        <v>0.56000000000000005</v>
      </c>
      <c r="BO289" s="1">
        <f t="shared" si="206"/>
        <v>2.7</v>
      </c>
      <c r="BP289" s="1">
        <f t="shared" si="207"/>
        <v>7</v>
      </c>
      <c r="BQ289" s="1">
        <f t="shared" si="208"/>
        <v>-1.8</v>
      </c>
      <c r="BR289" s="1">
        <f t="shared" si="209"/>
        <v>83.5</v>
      </c>
      <c r="BS289" s="1">
        <f t="shared" si="210"/>
        <v>66.2</v>
      </c>
      <c r="BT289" s="1">
        <f t="shared" si="211"/>
        <v>2.1</v>
      </c>
      <c r="BU289" s="1">
        <f t="shared" si="212"/>
        <v>6</v>
      </c>
      <c r="BV289" s="33">
        <f t="shared" si="228"/>
        <v>6.6040000000000001</v>
      </c>
      <c r="BW289" s="34">
        <f t="shared" si="229"/>
        <v>0</v>
      </c>
      <c r="BX289" s="20" t="str">
        <f t="shared" si="214"/>
        <v>NAN</v>
      </c>
      <c r="BY289" s="1">
        <f t="shared" si="215"/>
        <v>2.4</v>
      </c>
      <c r="BZ289" s="1">
        <f t="shared" si="216"/>
        <v>6.9</v>
      </c>
      <c r="CA289" s="1">
        <f t="shared" si="217"/>
        <v>-2.2999999999999998</v>
      </c>
      <c r="CB289" s="1">
        <f t="shared" si="218"/>
        <v>4.2</v>
      </c>
      <c r="CC289" s="1">
        <f t="shared" si="219"/>
        <v>7</v>
      </c>
      <c r="CD289" s="1">
        <f t="shared" si="220"/>
        <v>7.7</v>
      </c>
      <c r="CE289" s="1" t="str">
        <f t="shared" si="221"/>
        <v>NAN</v>
      </c>
      <c r="CF289" s="1">
        <f t="shared" si="222"/>
        <v>0.66100000000000003</v>
      </c>
      <c r="CG289" s="1">
        <f t="shared" si="223"/>
        <v>0.33700000000000002</v>
      </c>
      <c r="CI289" s="1">
        <f t="shared" si="190"/>
        <v>2880</v>
      </c>
      <c r="CJ289" s="1">
        <f t="shared" si="191"/>
        <v>0.14199999999999999</v>
      </c>
      <c r="CK289" s="1">
        <f t="shared" si="192"/>
        <v>2.1999999999999999E-2</v>
      </c>
      <c r="CL289" s="1">
        <f t="shared" si="193"/>
        <v>8.0000000000000002E-3</v>
      </c>
      <c r="CM289" s="1">
        <f t="shared" si="194"/>
        <v>1.6E-2</v>
      </c>
      <c r="CN289" s="1">
        <f t="shared" si="195"/>
        <v>8.6999999999999994E-2</v>
      </c>
      <c r="CO289" s="1">
        <f t="shared" si="196"/>
        <v>0.23100000000000001</v>
      </c>
      <c r="CP289" s="1">
        <f t="shared" si="197"/>
        <v>0.23799999999999999</v>
      </c>
      <c r="CQ289" s="1">
        <f t="shared" si="198"/>
        <v>0.25600000000000001</v>
      </c>
      <c r="CS289" s="1">
        <f t="shared" si="226"/>
        <v>-9.9999999999999645E-2</v>
      </c>
      <c r="CT289" s="1">
        <f t="shared" si="227"/>
        <v>-0.49999999999999978</v>
      </c>
    </row>
    <row r="290" spans="1:98" x14ac:dyDescent="0.2">
      <c r="A290" s="8">
        <f t="shared" si="224"/>
        <v>44115</v>
      </c>
      <c r="B290" s="1">
        <v>285</v>
      </c>
      <c r="C290" s="1">
        <v>11</v>
      </c>
      <c r="D290" s="2">
        <v>12.99</v>
      </c>
      <c r="E290" s="2">
        <v>3.2919999999999998</v>
      </c>
      <c r="F290" s="2">
        <v>-3.45</v>
      </c>
      <c r="G290" s="2">
        <v>-0.96399999999999997</v>
      </c>
      <c r="H290" s="2">
        <v>80.900000000000006</v>
      </c>
      <c r="I290" s="2">
        <v>-0.68899999999999995</v>
      </c>
      <c r="J290" s="2">
        <v>-0.876</v>
      </c>
      <c r="K290" s="2">
        <v>1.4870000000000001</v>
      </c>
      <c r="L290" s="2">
        <v>5.6559999999999997</v>
      </c>
      <c r="M290" s="2">
        <v>7.4050000000000002</v>
      </c>
      <c r="N290" s="2">
        <v>2.2229999999999999</v>
      </c>
      <c r="O290" s="2">
        <v>95.5</v>
      </c>
      <c r="P290" s="2">
        <v>7.6189999999999998</v>
      </c>
      <c r="Q290" s="2">
        <v>6.8390000000000004</v>
      </c>
      <c r="R290" s="2">
        <v>7.9109999999999996</v>
      </c>
      <c r="S290" s="2">
        <v>6.47</v>
      </c>
      <c r="T290" s="2">
        <v>7.65</v>
      </c>
      <c r="U290" s="2">
        <v>-2.6869999999999998</v>
      </c>
      <c r="V290" s="2">
        <v>56.75</v>
      </c>
      <c r="W290" s="2">
        <v>-3.6960000000000002</v>
      </c>
      <c r="X290" s="2">
        <v>-3.488</v>
      </c>
      <c r="Y290" s="2">
        <v>-7.2999999999999995E-2</v>
      </c>
      <c r="Z290" s="2">
        <v>5.2290000000000001</v>
      </c>
      <c r="AA290" s="2">
        <v>7.1479999999999997</v>
      </c>
      <c r="AB290" s="2">
        <v>2.504</v>
      </c>
      <c r="AC290" s="2">
        <v>0.254</v>
      </c>
      <c r="AD290" s="2">
        <v>6.5590000000000002</v>
      </c>
      <c r="AE290" s="2">
        <v>0.95299999999999996</v>
      </c>
      <c r="AF290" s="2">
        <v>1.9279999999999999</v>
      </c>
      <c r="AG290" s="2">
        <v>5.2569999999999997</v>
      </c>
      <c r="AH290" s="2">
        <v>-0.90500000000000003</v>
      </c>
      <c r="AI290" s="2">
        <v>4.7210000000000001</v>
      </c>
      <c r="AJ290" s="2">
        <v>-3.2</v>
      </c>
      <c r="AK290" s="2">
        <v>4.4210000000000003</v>
      </c>
      <c r="AL290" s="2">
        <v>-2.9079999999999999</v>
      </c>
      <c r="AM290" s="2">
        <v>2.5049999999999999</v>
      </c>
      <c r="AN290" s="2" t="s">
        <v>122</v>
      </c>
      <c r="AO290" s="2">
        <v>310</v>
      </c>
      <c r="AP290" s="2">
        <v>47</v>
      </c>
      <c r="AQ290" s="2">
        <v>22</v>
      </c>
      <c r="AR290" s="2">
        <v>38</v>
      </c>
      <c r="AS290" s="2">
        <v>299</v>
      </c>
      <c r="AT290" s="2">
        <v>697</v>
      </c>
      <c r="AU290" s="2">
        <v>773</v>
      </c>
      <c r="AV290" s="2">
        <v>694</v>
      </c>
      <c r="AW290" s="2"/>
      <c r="AX290" s="1">
        <f t="shared" ref="AX290:AX321" si="231">AX$1-AB290</f>
        <v>4.5999999999999819E-2</v>
      </c>
      <c r="AY290" s="26"/>
      <c r="AZ290" s="5">
        <v>13.09</v>
      </c>
      <c r="BA290" s="1">
        <v>6.56</v>
      </c>
      <c r="BB290" s="1">
        <v>0.88</v>
      </c>
      <c r="BC290" s="6">
        <f t="shared" si="225"/>
        <v>0.13414634146341464</v>
      </c>
      <c r="BE290" s="28">
        <f t="shared" ref="BE290:BE343" si="232">IF(AX290&gt;AX289,ROUND((AX290-AX289)*130,1),0)</f>
        <v>6</v>
      </c>
      <c r="BF290" s="26"/>
      <c r="BG290" s="1">
        <f t="shared" si="199"/>
        <v>95.5</v>
      </c>
      <c r="BH290" s="1">
        <f t="shared" si="200"/>
        <v>80.900000000000006</v>
      </c>
      <c r="BI290" s="1">
        <f t="shared" si="201"/>
        <v>56.8</v>
      </c>
      <c r="BJ290" s="7">
        <f t="shared" si="202"/>
        <v>0.40699999999999997</v>
      </c>
      <c r="BK290" s="7">
        <f t="shared" si="203"/>
        <v>0.31</v>
      </c>
      <c r="BM290" s="5">
        <f t="shared" si="204"/>
        <v>6.56</v>
      </c>
      <c r="BN290" s="5">
        <f t="shared" si="205"/>
        <v>0.88</v>
      </c>
      <c r="BO290" s="1">
        <f t="shared" si="206"/>
        <v>-1</v>
      </c>
      <c r="BP290" s="1">
        <f t="shared" si="207"/>
        <v>2.2000000000000002</v>
      </c>
      <c r="BQ290" s="1">
        <f t="shared" si="208"/>
        <v>-2.7</v>
      </c>
      <c r="BR290" s="1">
        <f t="shared" si="209"/>
        <v>80.900000000000006</v>
      </c>
      <c r="BS290" s="1">
        <f t="shared" si="210"/>
        <v>56.8</v>
      </c>
      <c r="BT290" s="1">
        <f t="shared" si="211"/>
        <v>1.9</v>
      </c>
      <c r="BU290" s="1">
        <f t="shared" si="212"/>
        <v>5.3</v>
      </c>
      <c r="BV290" s="33">
        <f t="shared" ref="BV290:BV321" si="233">BE290</f>
        <v>6</v>
      </c>
      <c r="BW290" s="34">
        <f t="shared" si="229"/>
        <v>4.5999999999999819E-2</v>
      </c>
      <c r="BX290" s="20" t="str">
        <f t="shared" si="214"/>
        <v>NAN</v>
      </c>
      <c r="BY290" s="1">
        <f t="shared" si="215"/>
        <v>-0.9</v>
      </c>
      <c r="BZ290" s="1">
        <f t="shared" si="216"/>
        <v>4.7</v>
      </c>
      <c r="CA290" s="1">
        <f t="shared" si="217"/>
        <v>-3.2</v>
      </c>
      <c r="CB290" s="1">
        <f t="shared" si="218"/>
        <v>1.5</v>
      </c>
      <c r="CC290" s="1">
        <f t="shared" si="219"/>
        <v>5.7</v>
      </c>
      <c r="CD290" s="1">
        <f t="shared" si="220"/>
        <v>7.4</v>
      </c>
      <c r="CE290" s="1" t="str">
        <f t="shared" si="221"/>
        <v>NAN</v>
      </c>
      <c r="CF290" s="1">
        <f t="shared" si="222"/>
        <v>0.40699999999999997</v>
      </c>
      <c r="CG290" s="1">
        <f t="shared" si="223"/>
        <v>0.31</v>
      </c>
      <c r="CI290" s="1">
        <f t="shared" si="190"/>
        <v>2880</v>
      </c>
      <c r="CJ290" s="1">
        <f t="shared" si="191"/>
        <v>0.108</v>
      </c>
      <c r="CK290" s="1">
        <f t="shared" si="192"/>
        <v>1.6E-2</v>
      </c>
      <c r="CL290" s="1">
        <f t="shared" si="193"/>
        <v>8.0000000000000002E-3</v>
      </c>
      <c r="CM290" s="1">
        <f t="shared" si="194"/>
        <v>1.2999999999999999E-2</v>
      </c>
      <c r="CN290" s="1">
        <f t="shared" si="195"/>
        <v>0.104</v>
      </c>
      <c r="CO290" s="1">
        <f t="shared" si="196"/>
        <v>0.24199999999999999</v>
      </c>
      <c r="CP290" s="1">
        <f t="shared" si="197"/>
        <v>0.26800000000000002</v>
      </c>
      <c r="CQ290" s="1">
        <f t="shared" si="198"/>
        <v>0.24099999999999999</v>
      </c>
      <c r="CS290" s="1">
        <f t="shared" si="226"/>
        <v>2.5</v>
      </c>
      <c r="CT290" s="1">
        <f t="shared" si="227"/>
        <v>-0.5</v>
      </c>
    </row>
    <row r="291" spans="1:98" x14ac:dyDescent="0.2">
      <c r="A291" s="8">
        <f t="shared" si="224"/>
        <v>44116</v>
      </c>
      <c r="B291" s="1">
        <v>286</v>
      </c>
      <c r="C291" s="1">
        <v>11</v>
      </c>
      <c r="D291" s="2">
        <v>13.01</v>
      </c>
      <c r="E291" s="2">
        <v>2.0110000000000001</v>
      </c>
      <c r="F291" s="2">
        <v>-4.117</v>
      </c>
      <c r="G291" s="2">
        <v>-1.61</v>
      </c>
      <c r="H291" s="2">
        <v>94.5</v>
      </c>
      <c r="I291" s="2">
        <v>-0.17699999999999999</v>
      </c>
      <c r="J291" s="2">
        <v>-1.82</v>
      </c>
      <c r="K291" s="2">
        <v>0.80700000000000005</v>
      </c>
      <c r="L291" s="2">
        <v>4.9020000000000001</v>
      </c>
      <c r="M291" s="2">
        <v>7.0010000000000003</v>
      </c>
      <c r="N291" s="2">
        <v>0.46200000000000002</v>
      </c>
      <c r="O291" s="2">
        <v>95.8</v>
      </c>
      <c r="P291" s="2">
        <v>0.104</v>
      </c>
      <c r="Q291" s="2">
        <v>4.5069999999999997</v>
      </c>
      <c r="R291" s="2">
        <v>0.98599999999999999</v>
      </c>
      <c r="S291" s="2">
        <v>5.4370000000000003</v>
      </c>
      <c r="T291" s="2">
        <v>7.2560000000000002</v>
      </c>
      <c r="U291" s="2">
        <v>-3.4590000000000001</v>
      </c>
      <c r="V291" s="2">
        <v>93.4</v>
      </c>
      <c r="W291" s="2">
        <v>-0.68300000000000005</v>
      </c>
      <c r="X291" s="2">
        <v>-6.3390000000000004</v>
      </c>
      <c r="Y291" s="2">
        <v>0.63300000000000001</v>
      </c>
      <c r="Z291" s="2">
        <v>4.49</v>
      </c>
      <c r="AA291" s="2">
        <v>6.76</v>
      </c>
      <c r="AB291" s="2">
        <v>2.496</v>
      </c>
      <c r="AC291" s="2">
        <v>0</v>
      </c>
      <c r="AD291" s="2">
        <v>7.657</v>
      </c>
      <c r="AE291" s="2">
        <v>5.0359999999999996</v>
      </c>
      <c r="AF291" s="2">
        <v>1.2390000000000001</v>
      </c>
      <c r="AG291" s="2">
        <v>4.0960000000000001</v>
      </c>
      <c r="AH291" s="2">
        <v>-2.2810000000000001</v>
      </c>
      <c r="AI291" s="2">
        <v>3.1520000000000001</v>
      </c>
      <c r="AJ291" s="2">
        <v>-6.1879999999999997</v>
      </c>
      <c r="AK291" s="2">
        <v>4.3179999999999996</v>
      </c>
      <c r="AL291" s="2">
        <v>-3.669</v>
      </c>
      <c r="AM291" s="2">
        <v>2.508</v>
      </c>
      <c r="AN291" s="2" t="s">
        <v>122</v>
      </c>
      <c r="AO291" s="2">
        <v>706</v>
      </c>
      <c r="AP291" s="2">
        <v>265</v>
      </c>
      <c r="AQ291" s="2">
        <v>265</v>
      </c>
      <c r="AR291" s="2">
        <v>179</v>
      </c>
      <c r="AS291" s="2">
        <v>203</v>
      </c>
      <c r="AT291" s="2">
        <v>154</v>
      </c>
      <c r="AU291" s="2">
        <v>363</v>
      </c>
      <c r="AV291" s="2">
        <v>744</v>
      </c>
      <c r="AW291" s="2"/>
      <c r="AX291" s="1">
        <f t="shared" si="231"/>
        <v>5.3999999999999826E-2</v>
      </c>
      <c r="AY291" s="26"/>
      <c r="AZ291" s="5">
        <v>12.87</v>
      </c>
      <c r="BA291" s="1">
        <v>7.66</v>
      </c>
      <c r="BB291" s="1">
        <v>4.63</v>
      </c>
      <c r="BC291" s="6">
        <f t="shared" si="225"/>
        <v>0.6044386422976501</v>
      </c>
      <c r="BE291" s="28">
        <f t="shared" si="232"/>
        <v>1</v>
      </c>
      <c r="BF291" s="26"/>
      <c r="BG291" s="1">
        <f t="shared" si="199"/>
        <v>95.8</v>
      </c>
      <c r="BH291" s="1">
        <f t="shared" si="200"/>
        <v>94.5</v>
      </c>
      <c r="BI291" s="1">
        <f t="shared" si="201"/>
        <v>93.4</v>
      </c>
      <c r="BJ291" s="7">
        <f t="shared" si="202"/>
        <v>0.59</v>
      </c>
      <c r="BK291" s="7">
        <f t="shared" si="203"/>
        <v>4.2000000000000003E-2</v>
      </c>
      <c r="BM291" s="5">
        <f t="shared" si="204"/>
        <v>7.66</v>
      </c>
      <c r="BN291" s="5">
        <f t="shared" si="205"/>
        <v>4.63</v>
      </c>
      <c r="BO291" s="1">
        <f t="shared" si="206"/>
        <v>-1.6</v>
      </c>
      <c r="BP291" s="1">
        <f t="shared" si="207"/>
        <v>0.5</v>
      </c>
      <c r="BQ291" s="1">
        <f t="shared" si="208"/>
        <v>-3.5</v>
      </c>
      <c r="BR291" s="1">
        <f t="shared" si="209"/>
        <v>94.5</v>
      </c>
      <c r="BS291" s="1">
        <f t="shared" si="210"/>
        <v>93.4</v>
      </c>
      <c r="BT291" s="1">
        <f t="shared" si="211"/>
        <v>1.2</v>
      </c>
      <c r="BU291" s="1">
        <f t="shared" si="212"/>
        <v>4.0999999999999996</v>
      </c>
      <c r="BV291" s="33">
        <f t="shared" si="233"/>
        <v>1</v>
      </c>
      <c r="BW291" s="34">
        <f t="shared" si="229"/>
        <v>5.3999999999999826E-2</v>
      </c>
      <c r="BX291" s="20" t="str">
        <f t="shared" si="214"/>
        <v>NAN</v>
      </c>
      <c r="BY291" s="1">
        <f t="shared" si="215"/>
        <v>-2.2999999999999998</v>
      </c>
      <c r="BZ291" s="1">
        <f t="shared" si="216"/>
        <v>3.2</v>
      </c>
      <c r="CA291" s="1">
        <f t="shared" si="217"/>
        <v>-6.2</v>
      </c>
      <c r="CB291" s="1">
        <f t="shared" si="218"/>
        <v>0.8</v>
      </c>
      <c r="CC291" s="1">
        <f t="shared" si="219"/>
        <v>4.9000000000000004</v>
      </c>
      <c r="CD291" s="1">
        <f t="shared" si="220"/>
        <v>7</v>
      </c>
      <c r="CE291" s="1" t="str">
        <f t="shared" si="221"/>
        <v>NAN</v>
      </c>
      <c r="CF291" s="1">
        <f t="shared" si="222"/>
        <v>0.59</v>
      </c>
      <c r="CG291" s="1">
        <f t="shared" si="223"/>
        <v>4.2000000000000003E-2</v>
      </c>
      <c r="CI291" s="1">
        <f t="shared" si="190"/>
        <v>2879</v>
      </c>
      <c r="CJ291" s="1">
        <f t="shared" si="191"/>
        <v>0.245</v>
      </c>
      <c r="CK291" s="1">
        <f t="shared" si="192"/>
        <v>9.1999999999999998E-2</v>
      </c>
      <c r="CL291" s="1">
        <f t="shared" si="193"/>
        <v>9.1999999999999998E-2</v>
      </c>
      <c r="CM291" s="1">
        <f t="shared" si="194"/>
        <v>6.2E-2</v>
      </c>
      <c r="CN291" s="1">
        <f t="shared" si="195"/>
        <v>7.0999999999999994E-2</v>
      </c>
      <c r="CO291" s="1">
        <f t="shared" si="196"/>
        <v>5.2999999999999999E-2</v>
      </c>
      <c r="CP291" s="1">
        <f t="shared" si="197"/>
        <v>0.126</v>
      </c>
      <c r="CQ291" s="1">
        <f t="shared" si="198"/>
        <v>0.25800000000000001</v>
      </c>
      <c r="CS291" s="1">
        <f t="shared" si="226"/>
        <v>2.7</v>
      </c>
      <c r="CT291" s="1">
        <f t="shared" si="227"/>
        <v>-2.7</v>
      </c>
    </row>
    <row r="292" spans="1:98" x14ac:dyDescent="0.2">
      <c r="A292" s="8">
        <f t="shared" si="224"/>
        <v>44117</v>
      </c>
      <c r="B292" s="1">
        <v>287</v>
      </c>
      <c r="C292" s="1">
        <v>11</v>
      </c>
      <c r="D292" s="2">
        <v>13</v>
      </c>
      <c r="E292" s="2">
        <v>0.88300000000000001</v>
      </c>
      <c r="F292" s="2">
        <v>-3.4929999999999999</v>
      </c>
      <c r="G292" s="2">
        <v>-1.89</v>
      </c>
      <c r="H292" s="2">
        <v>94.4</v>
      </c>
      <c r="I292" s="2">
        <v>-0.434</v>
      </c>
      <c r="J292" s="2">
        <v>-1.7330000000000001</v>
      </c>
      <c r="K292" s="2">
        <v>0.81699999999999995</v>
      </c>
      <c r="L292" s="2">
        <v>4.3380000000000001</v>
      </c>
      <c r="M292" s="2">
        <v>6.6619999999999999</v>
      </c>
      <c r="N292" s="2">
        <v>0.36099999999999999</v>
      </c>
      <c r="O292" s="2">
        <v>95.7</v>
      </c>
      <c r="P292" s="2">
        <v>-2.1000000000000001E-2</v>
      </c>
      <c r="Q292" s="2">
        <v>1.302</v>
      </c>
      <c r="R292" s="2">
        <v>0.93700000000000006</v>
      </c>
      <c r="S292" s="2">
        <v>4.6029999999999998</v>
      </c>
      <c r="T292" s="2">
        <v>6.8719999999999999</v>
      </c>
      <c r="U292" s="2">
        <v>-3.5649999999999999</v>
      </c>
      <c r="V292" s="2">
        <v>93.2</v>
      </c>
      <c r="W292" s="2">
        <v>-0.95799999999999996</v>
      </c>
      <c r="X292" s="2">
        <v>-3.6520000000000001</v>
      </c>
      <c r="Y292" s="2">
        <v>0.67100000000000004</v>
      </c>
      <c r="Z292" s="2">
        <v>4.0999999999999996</v>
      </c>
      <c r="AA292" s="2">
        <v>6.4550000000000001</v>
      </c>
      <c r="AB292" s="2">
        <v>2.33</v>
      </c>
      <c r="AC292" s="2">
        <v>0</v>
      </c>
      <c r="AD292" s="2">
        <v>2.9009999999999998</v>
      </c>
      <c r="AE292" s="2">
        <v>2.1589999999999998</v>
      </c>
      <c r="AF292" s="2">
        <v>2.1120000000000001</v>
      </c>
      <c r="AG292" s="2">
        <v>5.9080000000000004</v>
      </c>
      <c r="AH292" s="2">
        <v>-2.1659999999999999</v>
      </c>
      <c r="AI292" s="2">
        <v>1.8180000000000001</v>
      </c>
      <c r="AJ292" s="2">
        <v>-3.84</v>
      </c>
      <c r="AK292" s="2">
        <v>2.64</v>
      </c>
      <c r="AL292" s="2">
        <v>-3.7149999999999999</v>
      </c>
      <c r="AM292" s="2">
        <v>2.3439999999999999</v>
      </c>
      <c r="AN292" s="2" t="s">
        <v>122</v>
      </c>
      <c r="AO292" s="2">
        <v>258</v>
      </c>
      <c r="AP292" s="2">
        <v>73</v>
      </c>
      <c r="AQ292" s="2">
        <v>42</v>
      </c>
      <c r="AR292" s="2">
        <v>116</v>
      </c>
      <c r="AS292" s="2">
        <v>553</v>
      </c>
      <c r="AT292" s="2">
        <v>766</v>
      </c>
      <c r="AU292" s="2">
        <v>608</v>
      </c>
      <c r="AV292" s="2">
        <v>464</v>
      </c>
      <c r="AW292" s="2"/>
      <c r="AX292" s="1">
        <f t="shared" si="231"/>
        <v>0.21999999999999975</v>
      </c>
      <c r="AY292" s="26"/>
      <c r="AZ292" s="5">
        <v>12.65</v>
      </c>
      <c r="BA292" s="1">
        <v>2.9</v>
      </c>
      <c r="BB292" s="1">
        <v>1.99</v>
      </c>
      <c r="BC292" s="6">
        <f t="shared" si="225"/>
        <v>0.68620689655172418</v>
      </c>
      <c r="BE292" s="28">
        <f t="shared" si="232"/>
        <v>21.6</v>
      </c>
      <c r="BF292" s="26"/>
      <c r="BG292" s="1">
        <f t="shared" si="199"/>
        <v>95.7</v>
      </c>
      <c r="BH292" s="1">
        <f t="shared" si="200"/>
        <v>94.4</v>
      </c>
      <c r="BI292" s="1">
        <f t="shared" si="201"/>
        <v>93.2</v>
      </c>
      <c r="BJ292" s="7">
        <f t="shared" si="202"/>
        <v>0.58399999999999996</v>
      </c>
      <c r="BK292" s="7">
        <f t="shared" si="203"/>
        <v>4.2999999999999997E-2</v>
      </c>
      <c r="BM292" s="5">
        <f t="shared" si="204"/>
        <v>2.9</v>
      </c>
      <c r="BN292" s="5">
        <f t="shared" si="205"/>
        <v>1.99</v>
      </c>
      <c r="BO292" s="1">
        <f t="shared" si="206"/>
        <v>-1.9</v>
      </c>
      <c r="BP292" s="1">
        <f t="shared" si="207"/>
        <v>0.4</v>
      </c>
      <c r="BQ292" s="1">
        <f t="shared" si="208"/>
        <v>-3.6</v>
      </c>
      <c r="BR292" s="1">
        <f t="shared" si="209"/>
        <v>94.4</v>
      </c>
      <c r="BS292" s="1">
        <f t="shared" si="210"/>
        <v>93.2</v>
      </c>
      <c r="BT292" s="1">
        <f t="shared" si="211"/>
        <v>2.1</v>
      </c>
      <c r="BU292" s="1">
        <f t="shared" si="212"/>
        <v>5.9</v>
      </c>
      <c r="BV292" s="33">
        <f t="shared" si="233"/>
        <v>21.6</v>
      </c>
      <c r="BW292" s="34">
        <f t="shared" si="229"/>
        <v>0.21999999999999975</v>
      </c>
      <c r="BX292" s="20" t="str">
        <f t="shared" si="214"/>
        <v>NAN</v>
      </c>
      <c r="BY292" s="1">
        <f t="shared" si="215"/>
        <v>-2.2000000000000002</v>
      </c>
      <c r="BZ292" s="1">
        <f t="shared" si="216"/>
        <v>1.8</v>
      </c>
      <c r="CA292" s="1">
        <f t="shared" si="217"/>
        <v>-3.8</v>
      </c>
      <c r="CB292" s="1">
        <f t="shared" si="218"/>
        <v>0.8</v>
      </c>
      <c r="CC292" s="1">
        <f t="shared" si="219"/>
        <v>4.3</v>
      </c>
      <c r="CD292" s="1">
        <f t="shared" si="220"/>
        <v>6.7</v>
      </c>
      <c r="CE292" s="1" t="str">
        <f t="shared" si="221"/>
        <v>NAN</v>
      </c>
      <c r="CF292" s="1">
        <f t="shared" si="222"/>
        <v>0.58399999999999996</v>
      </c>
      <c r="CG292" s="1">
        <f t="shared" si="223"/>
        <v>4.2999999999999997E-2</v>
      </c>
      <c r="CI292" s="1">
        <f t="shared" si="190"/>
        <v>2880</v>
      </c>
      <c r="CJ292" s="1">
        <f t="shared" si="191"/>
        <v>0.09</v>
      </c>
      <c r="CK292" s="1">
        <f t="shared" si="192"/>
        <v>2.5000000000000001E-2</v>
      </c>
      <c r="CL292" s="1">
        <f t="shared" si="193"/>
        <v>1.4999999999999999E-2</v>
      </c>
      <c r="CM292" s="1">
        <f t="shared" si="194"/>
        <v>0.04</v>
      </c>
      <c r="CN292" s="1">
        <f t="shared" si="195"/>
        <v>0.192</v>
      </c>
      <c r="CO292" s="1">
        <f t="shared" si="196"/>
        <v>0.26600000000000001</v>
      </c>
      <c r="CP292" s="1">
        <f t="shared" si="197"/>
        <v>0.21099999999999999</v>
      </c>
      <c r="CQ292" s="1">
        <f t="shared" si="198"/>
        <v>0.161</v>
      </c>
      <c r="CS292" s="1">
        <f t="shared" si="226"/>
        <v>1.4</v>
      </c>
      <c r="CT292" s="1">
        <f t="shared" si="227"/>
        <v>-0.19999999999999973</v>
      </c>
    </row>
    <row r="293" spans="1:98" x14ac:dyDescent="0.2">
      <c r="A293" s="8">
        <f t="shared" si="224"/>
        <v>44118</v>
      </c>
      <c r="B293" s="1">
        <v>288</v>
      </c>
      <c r="C293" s="1">
        <v>11</v>
      </c>
      <c r="D293" s="2">
        <v>12.99</v>
      </c>
      <c r="E293" s="2">
        <v>4.3419999999999996</v>
      </c>
      <c r="F293" s="2">
        <v>-3.7080000000000002</v>
      </c>
      <c r="G293" s="2">
        <v>-1.6479999999999999</v>
      </c>
      <c r="H293" s="2">
        <v>93.2</v>
      </c>
      <c r="I293" s="2">
        <v>-0.159</v>
      </c>
      <c r="J293" s="2">
        <v>-1.33</v>
      </c>
      <c r="K293" s="2">
        <v>0.69899999999999995</v>
      </c>
      <c r="L293" s="2">
        <v>3.9729999999999999</v>
      </c>
      <c r="M293" s="2">
        <v>6.3789999999999996</v>
      </c>
      <c r="N293" s="2">
        <v>1.6779999999999999</v>
      </c>
      <c r="O293" s="2">
        <v>95.2</v>
      </c>
      <c r="P293" s="2">
        <v>0.107</v>
      </c>
      <c r="Q293" s="2">
        <v>2.7280000000000002</v>
      </c>
      <c r="R293" s="2">
        <v>0.86499999999999999</v>
      </c>
      <c r="S293" s="2">
        <v>4.1849999999999996</v>
      </c>
      <c r="T293" s="2">
        <v>6.56</v>
      </c>
      <c r="U293" s="2">
        <v>-3.226</v>
      </c>
      <c r="V293" s="2">
        <v>83.6</v>
      </c>
      <c r="W293" s="2">
        <v>-0.41099999999999998</v>
      </c>
      <c r="X293" s="2">
        <v>-4.6050000000000004</v>
      </c>
      <c r="Y293" s="2">
        <v>0.55900000000000005</v>
      </c>
      <c r="Z293" s="2">
        <v>3.7130000000000001</v>
      </c>
      <c r="AA293" s="2">
        <v>6.1580000000000004</v>
      </c>
      <c r="AB293" s="2">
        <v>2.3540000000000001</v>
      </c>
      <c r="AC293" s="2">
        <v>0.254</v>
      </c>
      <c r="AD293" s="2">
        <v>9.6</v>
      </c>
      <c r="AE293" s="2">
        <v>6.2969999999999997</v>
      </c>
      <c r="AF293" s="2">
        <v>1.2330000000000001</v>
      </c>
      <c r="AG293" s="2">
        <v>4.2910000000000004</v>
      </c>
      <c r="AH293" s="2">
        <v>-2.3959999999999999</v>
      </c>
      <c r="AI293" s="2">
        <v>4.7930000000000001</v>
      </c>
      <c r="AJ293" s="2">
        <v>-6.6219999999999999</v>
      </c>
      <c r="AK293" s="2">
        <v>8.89</v>
      </c>
      <c r="AL293" s="2">
        <v>-3.3279999999999998</v>
      </c>
      <c r="AM293" s="2">
        <v>2.3650000000000002</v>
      </c>
      <c r="AN293" s="2" t="s">
        <v>122</v>
      </c>
      <c r="AO293" s="2">
        <v>764</v>
      </c>
      <c r="AP293" s="2">
        <v>286</v>
      </c>
      <c r="AQ293" s="2">
        <v>95</v>
      </c>
      <c r="AR293" s="2">
        <v>41</v>
      </c>
      <c r="AS293" s="2">
        <v>42</v>
      </c>
      <c r="AT293" s="2">
        <v>124</v>
      </c>
      <c r="AU293" s="2">
        <v>531</v>
      </c>
      <c r="AV293" s="2">
        <v>997</v>
      </c>
      <c r="AW293" s="2"/>
      <c r="AX293" s="1">
        <f t="shared" si="231"/>
        <v>0.19599999999999973</v>
      </c>
      <c r="AY293" s="26"/>
      <c r="AZ293" s="5">
        <v>12.43</v>
      </c>
      <c r="BA293" s="1">
        <v>9.6</v>
      </c>
      <c r="BB293" s="1">
        <v>5.79</v>
      </c>
      <c r="BC293" s="6">
        <f t="shared" si="225"/>
        <v>0.60312500000000002</v>
      </c>
      <c r="BE293" s="28">
        <f t="shared" si="232"/>
        <v>0</v>
      </c>
      <c r="BF293" s="26"/>
      <c r="BG293" s="1">
        <f t="shared" si="199"/>
        <v>95.2</v>
      </c>
      <c r="BH293" s="1">
        <f t="shared" si="200"/>
        <v>93.2</v>
      </c>
      <c r="BI293" s="1">
        <f t="shared" si="201"/>
        <v>83.6</v>
      </c>
      <c r="BJ293" s="7">
        <f t="shared" si="202"/>
        <v>0.57599999999999996</v>
      </c>
      <c r="BK293" s="7">
        <f t="shared" si="203"/>
        <v>0.113</v>
      </c>
      <c r="BM293" s="5">
        <f t="shared" si="204"/>
        <v>9.6</v>
      </c>
      <c r="BN293" s="5">
        <f t="shared" si="205"/>
        <v>5.79</v>
      </c>
      <c r="BO293" s="1">
        <f t="shared" si="206"/>
        <v>-1.6</v>
      </c>
      <c r="BP293" s="1">
        <f t="shared" si="207"/>
        <v>1.7</v>
      </c>
      <c r="BQ293" s="1">
        <f t="shared" si="208"/>
        <v>-3.2</v>
      </c>
      <c r="BR293" s="1">
        <f t="shared" si="209"/>
        <v>93.2</v>
      </c>
      <c r="BS293" s="1">
        <f t="shared" si="210"/>
        <v>83.6</v>
      </c>
      <c r="BT293" s="1">
        <f t="shared" si="211"/>
        <v>1.2</v>
      </c>
      <c r="BU293" s="1">
        <f t="shared" si="212"/>
        <v>4.3</v>
      </c>
      <c r="BV293" s="33">
        <f t="shared" si="233"/>
        <v>0</v>
      </c>
      <c r="BW293" s="34">
        <f t="shared" si="229"/>
        <v>0.19599999999999973</v>
      </c>
      <c r="BX293" s="20" t="str">
        <f t="shared" si="214"/>
        <v>NAN</v>
      </c>
      <c r="BY293" s="1">
        <f t="shared" si="215"/>
        <v>-2.4</v>
      </c>
      <c r="BZ293" s="1">
        <f t="shared" si="216"/>
        <v>4.8</v>
      </c>
      <c r="CA293" s="1">
        <f t="shared" si="217"/>
        <v>-6.6</v>
      </c>
      <c r="CB293" s="1">
        <f t="shared" si="218"/>
        <v>0.7</v>
      </c>
      <c r="CC293" s="1">
        <f t="shared" si="219"/>
        <v>4</v>
      </c>
      <c r="CD293" s="1">
        <f t="shared" si="220"/>
        <v>6.4</v>
      </c>
      <c r="CE293" s="1" t="str">
        <f t="shared" si="221"/>
        <v>NAN</v>
      </c>
      <c r="CF293" s="1">
        <f t="shared" si="222"/>
        <v>0.57599999999999996</v>
      </c>
      <c r="CG293" s="1">
        <f t="shared" si="223"/>
        <v>0.113</v>
      </c>
      <c r="CI293" s="1">
        <f t="shared" si="190"/>
        <v>2880</v>
      </c>
      <c r="CJ293" s="1">
        <f t="shared" si="191"/>
        <v>0.26500000000000001</v>
      </c>
      <c r="CK293" s="1">
        <f t="shared" si="192"/>
        <v>9.9000000000000005E-2</v>
      </c>
      <c r="CL293" s="1">
        <f t="shared" si="193"/>
        <v>3.3000000000000002E-2</v>
      </c>
      <c r="CM293" s="1">
        <f t="shared" si="194"/>
        <v>1.4E-2</v>
      </c>
      <c r="CN293" s="1">
        <f t="shared" si="195"/>
        <v>1.4999999999999999E-2</v>
      </c>
      <c r="CO293" s="1">
        <f t="shared" si="196"/>
        <v>4.2999999999999997E-2</v>
      </c>
      <c r="CP293" s="1">
        <f t="shared" si="197"/>
        <v>0.184</v>
      </c>
      <c r="CQ293" s="1">
        <f t="shared" si="198"/>
        <v>0.34599999999999997</v>
      </c>
      <c r="CS293" s="1">
        <f t="shared" si="226"/>
        <v>3.0999999999999996</v>
      </c>
      <c r="CT293" s="1">
        <f t="shared" si="227"/>
        <v>-3.3999999999999995</v>
      </c>
    </row>
    <row r="294" spans="1:98" x14ac:dyDescent="0.2">
      <c r="A294" s="8">
        <f t="shared" si="224"/>
        <v>44119</v>
      </c>
      <c r="B294" s="1">
        <v>289</v>
      </c>
      <c r="C294" s="1">
        <v>11</v>
      </c>
      <c r="D294" s="2">
        <v>12.99</v>
      </c>
      <c r="E294" s="2">
        <v>3.2919999999999998</v>
      </c>
      <c r="F294" s="2">
        <v>-3.1269999999999998</v>
      </c>
      <c r="G294" s="2">
        <v>-1.623</v>
      </c>
      <c r="H294" s="2">
        <v>88.7</v>
      </c>
      <c r="I294" s="2">
        <v>-9.1999999999999998E-2</v>
      </c>
      <c r="J294" s="2">
        <v>-0.39400000000000002</v>
      </c>
      <c r="K294" s="2">
        <v>0.70399999999999996</v>
      </c>
      <c r="L294" s="2">
        <v>3.694</v>
      </c>
      <c r="M294" s="2">
        <v>6.133</v>
      </c>
      <c r="N294" s="2">
        <v>2.3929999999999998</v>
      </c>
      <c r="O294" s="2">
        <v>94.8</v>
      </c>
      <c r="P294" s="2">
        <v>0.13900000000000001</v>
      </c>
      <c r="Q294" s="2">
        <v>7.2549999999999999</v>
      </c>
      <c r="R294" s="2">
        <v>0.88400000000000001</v>
      </c>
      <c r="S294" s="2">
        <v>3.8479999999999999</v>
      </c>
      <c r="T294" s="2">
        <v>6.282</v>
      </c>
      <c r="U294" s="2">
        <v>-3.3620000000000001</v>
      </c>
      <c r="V294" s="2">
        <v>65.81</v>
      </c>
      <c r="W294" s="2">
        <v>-0.38600000000000001</v>
      </c>
      <c r="X294" s="2">
        <v>-2.8</v>
      </c>
      <c r="Y294" s="2">
        <v>0.59</v>
      </c>
      <c r="Z294" s="2">
        <v>3.5249999999999999</v>
      </c>
      <c r="AA294" s="2">
        <v>5.9589999999999996</v>
      </c>
      <c r="AB294" s="2">
        <v>2.3359999999999999</v>
      </c>
      <c r="AC294" s="2">
        <v>0</v>
      </c>
      <c r="AD294" s="2">
        <v>8.1</v>
      </c>
      <c r="AE294" s="2">
        <v>5.61</v>
      </c>
      <c r="AF294" s="2">
        <v>0.996</v>
      </c>
      <c r="AG294" s="2">
        <v>3.3380000000000001</v>
      </c>
      <c r="AH294" s="2">
        <v>-1.7729999999999999</v>
      </c>
      <c r="AI294" s="2">
        <v>3.6040000000000001</v>
      </c>
      <c r="AJ294" s="2">
        <v>-3.948</v>
      </c>
      <c r="AK294" s="2">
        <v>6.9480000000000004</v>
      </c>
      <c r="AL294" s="2">
        <v>-3.4980000000000002</v>
      </c>
      <c r="AM294" s="2">
        <v>2.3410000000000002</v>
      </c>
      <c r="AN294" s="2" t="s">
        <v>122</v>
      </c>
      <c r="AO294" s="2">
        <v>375</v>
      </c>
      <c r="AP294" s="2">
        <v>109</v>
      </c>
      <c r="AQ294" s="2">
        <v>50</v>
      </c>
      <c r="AR294" s="2">
        <v>32</v>
      </c>
      <c r="AS294" s="2">
        <v>127</v>
      </c>
      <c r="AT294" s="2">
        <v>456</v>
      </c>
      <c r="AU294" s="2">
        <v>937</v>
      </c>
      <c r="AV294" s="2">
        <v>794</v>
      </c>
      <c r="AW294" s="2"/>
      <c r="AX294" s="1">
        <f t="shared" si="231"/>
        <v>0.21399999999999997</v>
      </c>
      <c r="AY294" s="26"/>
      <c r="AZ294" s="5">
        <v>12.21</v>
      </c>
      <c r="BA294" s="1">
        <v>8.1</v>
      </c>
      <c r="BB294" s="1">
        <v>5.16</v>
      </c>
      <c r="BC294" s="6">
        <f t="shared" si="225"/>
        <v>0.63703703703703707</v>
      </c>
      <c r="BE294" s="28">
        <f t="shared" si="232"/>
        <v>2.2999999999999998</v>
      </c>
      <c r="BF294" s="26"/>
      <c r="BG294" s="1">
        <f t="shared" si="199"/>
        <v>94.8</v>
      </c>
      <c r="BH294" s="1">
        <f t="shared" si="200"/>
        <v>88.7</v>
      </c>
      <c r="BI294" s="1">
        <f t="shared" si="201"/>
        <v>65.8</v>
      </c>
      <c r="BJ294" s="7">
        <f t="shared" si="202"/>
        <v>0.47699999999999998</v>
      </c>
      <c r="BK294" s="7">
        <f t="shared" si="203"/>
        <v>0.248</v>
      </c>
      <c r="BM294" s="5">
        <f t="shared" si="204"/>
        <v>8.1</v>
      </c>
      <c r="BN294" s="5">
        <f t="shared" si="205"/>
        <v>5.16</v>
      </c>
      <c r="BO294" s="1">
        <f t="shared" si="206"/>
        <v>-1.6</v>
      </c>
      <c r="BP294" s="1">
        <f t="shared" si="207"/>
        <v>2.4</v>
      </c>
      <c r="BQ294" s="1">
        <f t="shared" si="208"/>
        <v>-3.4</v>
      </c>
      <c r="BR294" s="1">
        <f t="shared" si="209"/>
        <v>88.7</v>
      </c>
      <c r="BS294" s="1">
        <f t="shared" si="210"/>
        <v>65.8</v>
      </c>
      <c r="BT294" s="1">
        <f t="shared" si="211"/>
        <v>1</v>
      </c>
      <c r="BU294" s="1">
        <f t="shared" si="212"/>
        <v>3.3</v>
      </c>
      <c r="BV294" s="33">
        <f t="shared" si="233"/>
        <v>2.2999999999999998</v>
      </c>
      <c r="BW294" s="34">
        <f t="shared" si="229"/>
        <v>0.21399999999999997</v>
      </c>
      <c r="BX294" s="20" t="str">
        <f t="shared" si="214"/>
        <v>NAN</v>
      </c>
      <c r="BY294" s="1">
        <f t="shared" si="215"/>
        <v>-1.8</v>
      </c>
      <c r="BZ294" s="1">
        <f t="shared" si="216"/>
        <v>3.6</v>
      </c>
      <c r="CA294" s="1">
        <f t="shared" si="217"/>
        <v>-3.9</v>
      </c>
      <c r="CB294" s="1">
        <f t="shared" si="218"/>
        <v>0.7</v>
      </c>
      <c r="CC294" s="1">
        <f t="shared" si="219"/>
        <v>3.7</v>
      </c>
      <c r="CD294" s="1">
        <f t="shared" si="220"/>
        <v>6.1</v>
      </c>
      <c r="CE294" s="1" t="str">
        <f t="shared" si="221"/>
        <v>NAN</v>
      </c>
      <c r="CF294" s="1">
        <f t="shared" si="222"/>
        <v>0.47699999999999998</v>
      </c>
      <c r="CG294" s="1">
        <f t="shared" si="223"/>
        <v>0.248</v>
      </c>
      <c r="CI294" s="1">
        <f t="shared" si="190"/>
        <v>2880</v>
      </c>
      <c r="CJ294" s="1">
        <f t="shared" si="191"/>
        <v>0.13</v>
      </c>
      <c r="CK294" s="1">
        <f t="shared" si="192"/>
        <v>3.7999999999999999E-2</v>
      </c>
      <c r="CL294" s="1">
        <f t="shared" si="193"/>
        <v>1.7000000000000001E-2</v>
      </c>
      <c r="CM294" s="1">
        <f t="shared" si="194"/>
        <v>1.0999999999999999E-2</v>
      </c>
      <c r="CN294" s="1">
        <f t="shared" si="195"/>
        <v>4.3999999999999997E-2</v>
      </c>
      <c r="CO294" s="1">
        <f t="shared" si="196"/>
        <v>0.158</v>
      </c>
      <c r="CP294" s="1">
        <f t="shared" si="197"/>
        <v>0.32500000000000001</v>
      </c>
      <c r="CQ294" s="1">
        <f t="shared" si="198"/>
        <v>0.27600000000000002</v>
      </c>
      <c r="CS294" s="1">
        <f t="shared" si="226"/>
        <v>1.2000000000000002</v>
      </c>
      <c r="CT294" s="1">
        <f t="shared" si="227"/>
        <v>-0.5</v>
      </c>
    </row>
    <row r="295" spans="1:98" x14ac:dyDescent="0.2">
      <c r="A295" s="8">
        <f t="shared" si="224"/>
        <v>44120</v>
      </c>
      <c r="B295" s="1">
        <v>290</v>
      </c>
      <c r="C295" s="1">
        <v>11</v>
      </c>
      <c r="D295" s="2">
        <v>12.97</v>
      </c>
      <c r="E295" s="2">
        <v>7.0709999999999997</v>
      </c>
      <c r="F295" s="2">
        <v>-1.887</v>
      </c>
      <c r="G295" s="2">
        <v>2.6190000000000002</v>
      </c>
      <c r="H295" s="2">
        <v>90.2</v>
      </c>
      <c r="I295" s="2">
        <v>9.5000000000000001E-2</v>
      </c>
      <c r="J295" s="2">
        <v>1.615</v>
      </c>
      <c r="K295" s="2">
        <v>0.67600000000000005</v>
      </c>
      <c r="L295" s="2">
        <v>3.5190000000000001</v>
      </c>
      <c r="M295" s="2">
        <v>5.9580000000000002</v>
      </c>
      <c r="N295" s="2">
        <v>7.7729999999999997</v>
      </c>
      <c r="O295" s="2">
        <v>95.9</v>
      </c>
      <c r="P295" s="2">
        <v>0.32400000000000001</v>
      </c>
      <c r="Q295" s="2">
        <v>8.9499999999999993</v>
      </c>
      <c r="R295" s="2">
        <v>0.81</v>
      </c>
      <c r="S295" s="2">
        <v>3.6659999999999999</v>
      </c>
      <c r="T295" s="2">
        <v>6.1189999999999998</v>
      </c>
      <c r="U295" s="2">
        <v>-2.621</v>
      </c>
      <c r="V295" s="2">
        <v>71.52</v>
      </c>
      <c r="W295" s="2">
        <v>-0.08</v>
      </c>
      <c r="X295" s="2">
        <v>-2.7709999999999999</v>
      </c>
      <c r="Y295" s="2">
        <v>0.51100000000000001</v>
      </c>
      <c r="Z295" s="2">
        <v>3.2970000000000002</v>
      </c>
      <c r="AA295" s="2">
        <v>5.7539999999999996</v>
      </c>
      <c r="AB295" s="2">
        <v>2.4079999999999999</v>
      </c>
      <c r="AC295" s="2">
        <v>1.778</v>
      </c>
      <c r="AD295" s="2">
        <v>2.8180000000000001</v>
      </c>
      <c r="AE295" s="2">
        <v>1.8080000000000001</v>
      </c>
      <c r="AF295" s="2">
        <v>2.48</v>
      </c>
      <c r="AG295" s="2">
        <v>7.8470000000000004</v>
      </c>
      <c r="AH295" s="2">
        <v>1.0469999999999999</v>
      </c>
      <c r="AI295" s="2">
        <v>5.484</v>
      </c>
      <c r="AJ295" s="2">
        <v>-2.8620000000000001</v>
      </c>
      <c r="AK295" s="2">
        <v>10.029999999999999</v>
      </c>
      <c r="AL295" s="2">
        <v>-2.8149999999999999</v>
      </c>
      <c r="AM295" s="2">
        <v>2.419</v>
      </c>
      <c r="AN295" s="2" t="s">
        <v>122</v>
      </c>
      <c r="AO295" s="2">
        <v>664</v>
      </c>
      <c r="AP295" s="2">
        <v>364</v>
      </c>
      <c r="AQ295" s="2">
        <v>145</v>
      </c>
      <c r="AR295" s="2">
        <v>29</v>
      </c>
      <c r="AS295" s="2">
        <v>33</v>
      </c>
      <c r="AT295" s="2">
        <v>116</v>
      </c>
      <c r="AU295" s="2">
        <v>562</v>
      </c>
      <c r="AV295" s="2">
        <v>966</v>
      </c>
      <c r="AW295" s="2"/>
      <c r="AX295" s="1">
        <f t="shared" si="231"/>
        <v>0.1419999999999999</v>
      </c>
      <c r="AY295" s="26"/>
      <c r="AZ295" s="5">
        <v>11.99</v>
      </c>
      <c r="BA295" s="1">
        <v>2.82</v>
      </c>
      <c r="BB295" s="1">
        <v>1.66</v>
      </c>
      <c r="BC295" s="6">
        <f t="shared" si="225"/>
        <v>0.58865248226950351</v>
      </c>
      <c r="BE295" s="28">
        <f t="shared" si="232"/>
        <v>0</v>
      </c>
      <c r="BF295" s="26"/>
      <c r="BG295" s="1">
        <f t="shared" si="199"/>
        <v>95.9</v>
      </c>
      <c r="BH295" s="1">
        <f t="shared" si="200"/>
        <v>90.2</v>
      </c>
      <c r="BI295" s="1">
        <f t="shared" si="201"/>
        <v>71.5</v>
      </c>
      <c r="BJ295" s="7">
        <f t="shared" si="202"/>
        <v>0.755</v>
      </c>
      <c r="BK295" s="7">
        <f t="shared" si="203"/>
        <v>0.30099999999999999</v>
      </c>
      <c r="BM295" s="5">
        <f t="shared" si="204"/>
        <v>2.82</v>
      </c>
      <c r="BN295" s="5">
        <f t="shared" si="205"/>
        <v>1.66</v>
      </c>
      <c r="BO295" s="1">
        <f t="shared" si="206"/>
        <v>2.6</v>
      </c>
      <c r="BP295" s="1">
        <f t="shared" si="207"/>
        <v>7.8</v>
      </c>
      <c r="BQ295" s="1">
        <f t="shared" si="208"/>
        <v>-2.6</v>
      </c>
      <c r="BR295" s="1">
        <f t="shared" si="209"/>
        <v>90.2</v>
      </c>
      <c r="BS295" s="1">
        <f t="shared" si="210"/>
        <v>71.5</v>
      </c>
      <c r="BT295" s="1">
        <f t="shared" si="211"/>
        <v>2.5</v>
      </c>
      <c r="BU295" s="1">
        <f t="shared" si="212"/>
        <v>7.8</v>
      </c>
      <c r="BV295" s="33">
        <f t="shared" si="233"/>
        <v>0</v>
      </c>
      <c r="BW295" s="34">
        <f t="shared" si="229"/>
        <v>0.1419999999999999</v>
      </c>
      <c r="BX295" s="20" t="str">
        <f t="shared" si="214"/>
        <v>NAN</v>
      </c>
      <c r="BY295" s="1">
        <f t="shared" si="215"/>
        <v>1</v>
      </c>
      <c r="BZ295" s="1">
        <f t="shared" si="216"/>
        <v>5.5</v>
      </c>
      <c r="CA295" s="1">
        <f t="shared" si="217"/>
        <v>-2.9</v>
      </c>
      <c r="CB295" s="1">
        <f t="shared" si="218"/>
        <v>0.7</v>
      </c>
      <c r="CC295" s="1">
        <f t="shared" si="219"/>
        <v>3.5</v>
      </c>
      <c r="CD295" s="1">
        <f t="shared" si="220"/>
        <v>6</v>
      </c>
      <c r="CE295" s="1" t="str">
        <f t="shared" si="221"/>
        <v>NAN</v>
      </c>
      <c r="CF295" s="1">
        <f t="shared" si="222"/>
        <v>0.755</v>
      </c>
      <c r="CG295" s="1">
        <f t="shared" si="223"/>
        <v>0.30099999999999999</v>
      </c>
      <c r="CI295" s="1">
        <f t="shared" si="190"/>
        <v>2879</v>
      </c>
      <c r="CJ295" s="1">
        <f t="shared" si="191"/>
        <v>0.23100000000000001</v>
      </c>
      <c r="CK295" s="1">
        <f t="shared" si="192"/>
        <v>0.126</v>
      </c>
      <c r="CL295" s="1">
        <f t="shared" si="193"/>
        <v>0.05</v>
      </c>
      <c r="CM295" s="1">
        <f t="shared" si="194"/>
        <v>0.01</v>
      </c>
      <c r="CN295" s="1">
        <f t="shared" si="195"/>
        <v>1.0999999999999999E-2</v>
      </c>
      <c r="CO295" s="1">
        <f t="shared" si="196"/>
        <v>0.04</v>
      </c>
      <c r="CP295" s="1">
        <f t="shared" si="197"/>
        <v>0.19500000000000001</v>
      </c>
      <c r="CQ295" s="1">
        <f t="shared" si="198"/>
        <v>0.33600000000000002</v>
      </c>
      <c r="CS295" s="1">
        <f t="shared" si="226"/>
        <v>-2.2999999999999998</v>
      </c>
      <c r="CT295" s="1">
        <f t="shared" si="227"/>
        <v>-0.29999999999999982</v>
      </c>
    </row>
    <row r="296" spans="1:98" x14ac:dyDescent="0.2">
      <c r="A296" s="8">
        <f t="shared" si="224"/>
        <v>44121</v>
      </c>
      <c r="B296" s="1">
        <v>291</v>
      </c>
      <c r="C296" s="1">
        <v>11</v>
      </c>
      <c r="D296" s="2">
        <v>12.99</v>
      </c>
      <c r="E296" s="2">
        <v>-1.8640000000000001</v>
      </c>
      <c r="F296" s="2">
        <v>-4.8959999999999999</v>
      </c>
      <c r="G296" s="2">
        <v>-3.8420000000000001</v>
      </c>
      <c r="H296" s="2">
        <v>89.5</v>
      </c>
      <c r="I296" s="2">
        <v>-1.2E-2</v>
      </c>
      <c r="J296" s="2">
        <v>-3.7589999999999999</v>
      </c>
      <c r="K296" s="2">
        <v>0.60399999999999998</v>
      </c>
      <c r="L296" s="2">
        <v>3.2749999999999999</v>
      </c>
      <c r="M296" s="2">
        <v>5.7119999999999997</v>
      </c>
      <c r="N296" s="2">
        <v>-2.4849999999999999</v>
      </c>
      <c r="O296" s="2">
        <v>93.9</v>
      </c>
      <c r="P296" s="2">
        <v>7.9000000000000001E-2</v>
      </c>
      <c r="Q296" s="2">
        <v>-1.8839999999999999</v>
      </c>
      <c r="R296" s="2">
        <v>0.69899999999999995</v>
      </c>
      <c r="S296" s="2">
        <v>3.403</v>
      </c>
      <c r="T296" s="2">
        <v>5.8520000000000003</v>
      </c>
      <c r="U296" s="2">
        <v>-4.883</v>
      </c>
      <c r="V296" s="2">
        <v>82.8</v>
      </c>
      <c r="W296" s="2">
        <v>-0.126</v>
      </c>
      <c r="X296" s="2">
        <v>-4.9219999999999997</v>
      </c>
      <c r="Y296" s="2">
        <v>0.51300000000000001</v>
      </c>
      <c r="Z296" s="2">
        <v>3.1509999999999998</v>
      </c>
      <c r="AA296" s="2">
        <v>5.5650000000000004</v>
      </c>
      <c r="AB296" s="2">
        <v>2.427</v>
      </c>
      <c r="AC296" s="2">
        <v>0.254</v>
      </c>
      <c r="AD296" s="2">
        <v>1.3720000000000001</v>
      </c>
      <c r="AE296" s="2">
        <v>2.8969999999999998</v>
      </c>
      <c r="AF296" s="2">
        <v>0</v>
      </c>
      <c r="AG296" s="2">
        <v>0</v>
      </c>
      <c r="AH296" s="2">
        <v>-3.8519999999999999</v>
      </c>
      <c r="AI296" s="2">
        <v>-1.5920000000000001</v>
      </c>
      <c r="AJ296" s="2">
        <v>-5.0759999999999996</v>
      </c>
      <c r="AK296" s="2">
        <v>-1.341</v>
      </c>
      <c r="AL296" s="2">
        <v>-5.1870000000000003</v>
      </c>
      <c r="AM296" s="2">
        <v>2.4470000000000001</v>
      </c>
      <c r="AN296" s="2" t="s">
        <v>122</v>
      </c>
      <c r="AO296" s="2">
        <v>738</v>
      </c>
      <c r="AP296" s="2">
        <v>731</v>
      </c>
      <c r="AQ296" s="2">
        <v>388</v>
      </c>
      <c r="AR296" s="2">
        <v>190</v>
      </c>
      <c r="AS296" s="2">
        <v>113</v>
      </c>
      <c r="AT296" s="2">
        <v>74</v>
      </c>
      <c r="AU296" s="2">
        <v>178</v>
      </c>
      <c r="AV296" s="2">
        <v>468</v>
      </c>
      <c r="AW296" s="2"/>
      <c r="AX296" s="1">
        <f t="shared" si="231"/>
        <v>0.12299999999999978</v>
      </c>
      <c r="AY296" s="26"/>
      <c r="AZ296" s="5">
        <v>11.78</v>
      </c>
      <c r="BA296" s="1">
        <v>2.81</v>
      </c>
      <c r="BB296" s="1">
        <v>2.67</v>
      </c>
      <c r="BC296" s="6">
        <f t="shared" si="225"/>
        <v>0.95017793594306044</v>
      </c>
      <c r="BE296" s="28">
        <f t="shared" si="232"/>
        <v>0</v>
      </c>
      <c r="BF296" s="6"/>
      <c r="BG296" s="1">
        <f t="shared" si="199"/>
        <v>93.9</v>
      </c>
      <c r="BH296" s="1">
        <f t="shared" si="200"/>
        <v>89.5</v>
      </c>
      <c r="BI296" s="1">
        <f t="shared" si="201"/>
        <v>82.8</v>
      </c>
      <c r="BJ296" s="7">
        <f t="shared" si="202"/>
        <v>0.42099999999999999</v>
      </c>
      <c r="BK296" s="7">
        <f t="shared" si="203"/>
        <v>8.6999999999999994E-2</v>
      </c>
      <c r="BM296" s="5">
        <f t="shared" si="204"/>
        <v>2.81</v>
      </c>
      <c r="BN296" s="5">
        <f t="shared" si="205"/>
        <v>2.67</v>
      </c>
      <c r="BO296" s="1">
        <f t="shared" si="206"/>
        <v>-3.8</v>
      </c>
      <c r="BP296" s="1">
        <f t="shared" si="207"/>
        <v>-2.5</v>
      </c>
      <c r="BQ296" s="1">
        <f t="shared" si="208"/>
        <v>-4.9000000000000004</v>
      </c>
      <c r="BR296" s="1">
        <f t="shared" si="209"/>
        <v>89.5</v>
      </c>
      <c r="BS296" s="1">
        <f t="shared" si="210"/>
        <v>82.8</v>
      </c>
      <c r="BT296" s="1">
        <f t="shared" si="211"/>
        <v>0</v>
      </c>
      <c r="BU296" s="1">
        <f t="shared" si="212"/>
        <v>0</v>
      </c>
      <c r="BV296" s="33">
        <f t="shared" si="233"/>
        <v>0</v>
      </c>
      <c r="BW296" s="34">
        <f t="shared" si="229"/>
        <v>0.12299999999999978</v>
      </c>
      <c r="BX296" s="20" t="str">
        <f t="shared" si="214"/>
        <v>NAN</v>
      </c>
      <c r="BY296" s="1">
        <f t="shared" si="215"/>
        <v>-3.9</v>
      </c>
      <c r="BZ296" s="1">
        <f t="shared" si="216"/>
        <v>-1.6</v>
      </c>
      <c r="CA296" s="1">
        <f t="shared" si="217"/>
        <v>-5.0999999999999996</v>
      </c>
      <c r="CB296" s="1">
        <f t="shared" si="218"/>
        <v>0.6</v>
      </c>
      <c r="CC296" s="1">
        <f t="shared" si="219"/>
        <v>3.3</v>
      </c>
      <c r="CD296" s="1">
        <f t="shared" si="220"/>
        <v>5.7</v>
      </c>
      <c r="CE296" s="1" t="str">
        <f t="shared" si="221"/>
        <v>NAN</v>
      </c>
      <c r="CF296" s="1">
        <f t="shared" si="222"/>
        <v>0.42099999999999999</v>
      </c>
      <c r="CG296" s="1">
        <f t="shared" si="223"/>
        <v>8.6999999999999994E-2</v>
      </c>
      <c r="CI296" s="1">
        <f t="shared" si="190"/>
        <v>2880</v>
      </c>
      <c r="CJ296" s="1">
        <f t="shared" si="191"/>
        <v>0.25600000000000001</v>
      </c>
      <c r="CK296" s="1">
        <f t="shared" si="192"/>
        <v>0.254</v>
      </c>
      <c r="CL296" s="1">
        <f t="shared" si="193"/>
        <v>0.13500000000000001</v>
      </c>
      <c r="CM296" s="1">
        <f t="shared" si="194"/>
        <v>6.6000000000000003E-2</v>
      </c>
      <c r="CN296" s="1">
        <f t="shared" si="195"/>
        <v>3.9E-2</v>
      </c>
      <c r="CO296" s="1">
        <f t="shared" si="196"/>
        <v>2.5999999999999999E-2</v>
      </c>
      <c r="CP296" s="1">
        <f t="shared" si="197"/>
        <v>6.2E-2</v>
      </c>
      <c r="CQ296" s="1">
        <f t="shared" si="198"/>
        <v>0.16300000000000001</v>
      </c>
      <c r="CS296" s="1">
        <f t="shared" si="226"/>
        <v>0.89999999999999991</v>
      </c>
      <c r="CT296" s="1">
        <f t="shared" si="227"/>
        <v>-0.19999999999999929</v>
      </c>
    </row>
    <row r="297" spans="1:98" x14ac:dyDescent="0.2">
      <c r="A297" s="8">
        <f t="shared" si="224"/>
        <v>44122</v>
      </c>
      <c r="B297" s="1">
        <v>292</v>
      </c>
      <c r="C297" s="1">
        <v>11</v>
      </c>
      <c r="D297" s="2">
        <v>12.98</v>
      </c>
      <c r="E297" s="2">
        <v>1.0960000000000001</v>
      </c>
      <c r="F297" s="2">
        <v>-4.548</v>
      </c>
      <c r="G297" s="2">
        <v>-0.72299999999999998</v>
      </c>
      <c r="H297" s="2">
        <v>94.6</v>
      </c>
      <c r="I297" s="2">
        <v>4.3999999999999997E-2</v>
      </c>
      <c r="J297" s="2">
        <v>-0.82499999999999996</v>
      </c>
      <c r="K297" s="2">
        <v>0.69099999999999995</v>
      </c>
      <c r="L297" s="2">
        <v>3.153</v>
      </c>
      <c r="M297" s="2">
        <v>5.5449999999999999</v>
      </c>
      <c r="N297" s="2">
        <v>1.819</v>
      </c>
      <c r="O297" s="2">
        <v>96.5</v>
      </c>
      <c r="P297" s="2">
        <v>0.21099999999999999</v>
      </c>
      <c r="Q297" s="2">
        <v>0.88900000000000001</v>
      </c>
      <c r="R297" s="2">
        <v>0.79700000000000004</v>
      </c>
      <c r="S297" s="2">
        <v>3.2589999999999999</v>
      </c>
      <c r="T297" s="2">
        <v>5.6749999999999998</v>
      </c>
      <c r="U297" s="2">
        <v>-4.4420000000000002</v>
      </c>
      <c r="V297" s="2">
        <v>91.3</v>
      </c>
      <c r="W297" s="2">
        <v>-0.107</v>
      </c>
      <c r="X297" s="2">
        <v>-4.423</v>
      </c>
      <c r="Y297" s="2">
        <v>0.59899999999999998</v>
      </c>
      <c r="Z297" s="2">
        <v>3.0579999999999998</v>
      </c>
      <c r="AA297" s="2">
        <v>5.4480000000000004</v>
      </c>
      <c r="AB297" s="2">
        <v>2.3639999999999999</v>
      </c>
      <c r="AC297" s="2">
        <v>0</v>
      </c>
      <c r="AD297" s="2">
        <v>0.47599999999999998</v>
      </c>
      <c r="AE297" s="2">
        <v>2.09</v>
      </c>
      <c r="AF297" s="2">
        <v>1.0940000000000001</v>
      </c>
      <c r="AG297" s="2">
        <v>6.25</v>
      </c>
      <c r="AH297" s="2">
        <v>-1.0920000000000001</v>
      </c>
      <c r="AI297" s="2">
        <v>1.0469999999999999</v>
      </c>
      <c r="AJ297" s="2">
        <v>-4.6180000000000003</v>
      </c>
      <c r="AK297" s="2">
        <v>1.4670000000000001</v>
      </c>
      <c r="AL297" s="2">
        <v>-4.58</v>
      </c>
      <c r="AM297" s="2">
        <v>2.3580000000000001</v>
      </c>
      <c r="AN297" s="2" t="s">
        <v>122</v>
      </c>
      <c r="AO297" s="2">
        <v>464</v>
      </c>
      <c r="AP297" s="2">
        <v>90</v>
      </c>
      <c r="AQ297" s="2">
        <v>31</v>
      </c>
      <c r="AR297" s="2">
        <v>39</v>
      </c>
      <c r="AS297" s="2">
        <v>116</v>
      </c>
      <c r="AT297" s="2">
        <v>378</v>
      </c>
      <c r="AU297" s="2">
        <v>759</v>
      </c>
      <c r="AV297" s="2">
        <v>1003</v>
      </c>
      <c r="AW297" s="2"/>
      <c r="AX297" s="1">
        <f t="shared" si="231"/>
        <v>0.18599999999999994</v>
      </c>
      <c r="AY297" s="26"/>
      <c r="AZ297" s="5">
        <v>11.57</v>
      </c>
      <c r="BA297" s="1">
        <v>2.02</v>
      </c>
      <c r="BB297" s="1">
        <v>1.92</v>
      </c>
      <c r="BC297" s="6">
        <f t="shared" si="225"/>
        <v>0.95049504950495045</v>
      </c>
      <c r="BE297" s="28">
        <f t="shared" si="232"/>
        <v>8.1999999999999993</v>
      </c>
      <c r="BF297" s="6"/>
      <c r="BG297" s="1">
        <f t="shared" si="199"/>
        <v>96.5</v>
      </c>
      <c r="BH297" s="1">
        <f t="shared" si="200"/>
        <v>94.6</v>
      </c>
      <c r="BI297" s="1">
        <f t="shared" si="201"/>
        <v>91.3</v>
      </c>
      <c r="BJ297" s="7">
        <f t="shared" si="202"/>
        <v>0.63600000000000001</v>
      </c>
      <c r="BK297" s="7">
        <f t="shared" si="203"/>
        <v>6.0999999999999999E-2</v>
      </c>
      <c r="BM297" s="5">
        <f t="shared" si="204"/>
        <v>2.02</v>
      </c>
      <c r="BN297" s="5">
        <f t="shared" si="205"/>
        <v>1.92</v>
      </c>
      <c r="BO297" s="1">
        <f t="shared" si="206"/>
        <v>-0.7</v>
      </c>
      <c r="BP297" s="1">
        <f t="shared" si="207"/>
        <v>1.8</v>
      </c>
      <c r="BQ297" s="1">
        <f t="shared" si="208"/>
        <v>-4.4000000000000004</v>
      </c>
      <c r="BR297" s="1">
        <f t="shared" si="209"/>
        <v>94.6</v>
      </c>
      <c r="BS297" s="1">
        <f t="shared" si="210"/>
        <v>91.3</v>
      </c>
      <c r="BT297" s="1">
        <f t="shared" si="211"/>
        <v>1.1000000000000001</v>
      </c>
      <c r="BU297" s="1">
        <f t="shared" si="212"/>
        <v>6.3</v>
      </c>
      <c r="BV297" s="33">
        <f t="shared" si="233"/>
        <v>8.1999999999999993</v>
      </c>
      <c r="BW297" s="34">
        <f t="shared" si="229"/>
        <v>0.18599999999999994</v>
      </c>
      <c r="BX297" s="20" t="str">
        <f t="shared" si="214"/>
        <v>NAN</v>
      </c>
      <c r="BY297" s="1">
        <f t="shared" si="215"/>
        <v>-1.1000000000000001</v>
      </c>
      <c r="BZ297" s="1">
        <f t="shared" si="216"/>
        <v>1</v>
      </c>
      <c r="CA297" s="1">
        <f t="shared" si="217"/>
        <v>-4.5999999999999996</v>
      </c>
      <c r="CB297" s="1">
        <f t="shared" si="218"/>
        <v>0.7</v>
      </c>
      <c r="CC297" s="1">
        <f t="shared" si="219"/>
        <v>3.2</v>
      </c>
      <c r="CD297" s="1">
        <f t="shared" si="220"/>
        <v>5.5</v>
      </c>
      <c r="CE297" s="1" t="str">
        <f t="shared" si="221"/>
        <v>NAN</v>
      </c>
      <c r="CF297" s="1">
        <f t="shared" si="222"/>
        <v>0.63600000000000001</v>
      </c>
      <c r="CG297" s="1">
        <f t="shared" si="223"/>
        <v>6.0999999999999999E-2</v>
      </c>
      <c r="CI297" s="1">
        <f t="shared" si="190"/>
        <v>2880</v>
      </c>
      <c r="CJ297" s="1">
        <f t="shared" si="191"/>
        <v>0.161</v>
      </c>
      <c r="CK297" s="1">
        <f t="shared" si="192"/>
        <v>3.1E-2</v>
      </c>
      <c r="CL297" s="1">
        <f t="shared" si="193"/>
        <v>1.0999999999999999E-2</v>
      </c>
      <c r="CM297" s="1">
        <f t="shared" si="194"/>
        <v>1.4E-2</v>
      </c>
      <c r="CN297" s="1">
        <f t="shared" si="195"/>
        <v>0.04</v>
      </c>
      <c r="CO297" s="1">
        <f t="shared" si="196"/>
        <v>0.13100000000000001</v>
      </c>
      <c r="CP297" s="1">
        <f t="shared" si="197"/>
        <v>0.26400000000000001</v>
      </c>
      <c r="CQ297" s="1">
        <f t="shared" si="198"/>
        <v>0.34799999999999998</v>
      </c>
      <c r="CS297" s="1">
        <f t="shared" si="226"/>
        <v>-0.8</v>
      </c>
      <c r="CT297" s="1">
        <f t="shared" si="227"/>
        <v>-0.19999999999999929</v>
      </c>
    </row>
    <row r="298" spans="1:98" x14ac:dyDescent="0.2">
      <c r="A298" s="8">
        <f t="shared" si="224"/>
        <v>44123</v>
      </c>
      <c r="B298" s="1">
        <v>293</v>
      </c>
      <c r="C298" s="1">
        <v>11</v>
      </c>
      <c r="D298" s="2">
        <v>12.98</v>
      </c>
      <c r="E298" s="2">
        <v>2.3519999999999999</v>
      </c>
      <c r="F298" s="2">
        <v>-3.0409999999999999</v>
      </c>
      <c r="G298" s="2">
        <v>0.255</v>
      </c>
      <c r="H298" s="2">
        <v>87.8</v>
      </c>
      <c r="I298" s="2">
        <v>0.104</v>
      </c>
      <c r="J298" s="2">
        <v>-0.29699999999999999</v>
      </c>
      <c r="K298" s="2">
        <v>0.69099999999999995</v>
      </c>
      <c r="L298" s="2">
        <v>3.0190000000000001</v>
      </c>
      <c r="M298" s="2">
        <v>5.3840000000000003</v>
      </c>
      <c r="N298" s="2">
        <v>2.6339999999999999</v>
      </c>
      <c r="O298" s="2">
        <v>94.9</v>
      </c>
      <c r="P298" s="2">
        <v>0.26800000000000002</v>
      </c>
      <c r="Q298" s="2">
        <v>2.34</v>
      </c>
      <c r="R298" s="2">
        <v>0.80600000000000005</v>
      </c>
      <c r="S298" s="2">
        <v>3.1549999999999998</v>
      </c>
      <c r="T298" s="2">
        <v>5.5309999999999997</v>
      </c>
      <c r="U298" s="2">
        <v>-3.3959999999999999</v>
      </c>
      <c r="V298" s="2">
        <v>77.7</v>
      </c>
      <c r="W298" s="2">
        <v>-6.8000000000000005E-2</v>
      </c>
      <c r="X298" s="2">
        <v>-3.8769999999999998</v>
      </c>
      <c r="Y298" s="2">
        <v>0.57099999999999995</v>
      </c>
      <c r="Z298" s="2">
        <v>2.8410000000000002</v>
      </c>
      <c r="AA298" s="2">
        <v>5.2160000000000002</v>
      </c>
      <c r="AB298" s="2">
        <v>2.3759999999999999</v>
      </c>
      <c r="AC298" s="2">
        <v>0</v>
      </c>
      <c r="AD298" s="2">
        <v>3.3460000000000001</v>
      </c>
      <c r="AE298" s="2">
        <v>2.0950000000000002</v>
      </c>
      <c r="AF298" s="2">
        <v>2.1549999999999998</v>
      </c>
      <c r="AG298" s="2">
        <v>6.6180000000000003</v>
      </c>
      <c r="AH298" s="2">
        <v>-0.50800000000000001</v>
      </c>
      <c r="AI298" s="2">
        <v>1.9550000000000001</v>
      </c>
      <c r="AJ298" s="2">
        <v>-4.0410000000000004</v>
      </c>
      <c r="AK298" s="2">
        <v>3.6619999999999999</v>
      </c>
      <c r="AL298" s="2">
        <v>-3.5859999999999999</v>
      </c>
      <c r="AM298" s="2">
        <v>2.391</v>
      </c>
      <c r="AN298" s="2" t="s">
        <v>122</v>
      </c>
      <c r="AO298" s="2">
        <v>721</v>
      </c>
      <c r="AP298" s="2">
        <v>166</v>
      </c>
      <c r="AQ298" s="2">
        <v>62</v>
      </c>
      <c r="AR298" s="2">
        <v>35</v>
      </c>
      <c r="AS298" s="2">
        <v>40</v>
      </c>
      <c r="AT298" s="2">
        <v>151</v>
      </c>
      <c r="AU298" s="2">
        <v>600</v>
      </c>
      <c r="AV298" s="2">
        <v>1105</v>
      </c>
      <c r="AW298" s="2"/>
      <c r="AX298" s="1">
        <f t="shared" si="231"/>
        <v>0.17399999999999993</v>
      </c>
      <c r="AY298" s="26"/>
      <c r="AZ298" s="5">
        <v>11.36</v>
      </c>
      <c r="BA298" s="1">
        <v>3.35</v>
      </c>
      <c r="BB298" s="1">
        <v>1.93</v>
      </c>
      <c r="BC298" s="6">
        <f t="shared" si="225"/>
        <v>0.57611940298507458</v>
      </c>
      <c r="BE298" s="28">
        <f t="shared" si="232"/>
        <v>0</v>
      </c>
      <c r="BF298" s="6"/>
      <c r="BG298" s="1">
        <f t="shared" si="199"/>
        <v>94.9</v>
      </c>
      <c r="BH298" s="1">
        <f t="shared" si="200"/>
        <v>87.8</v>
      </c>
      <c r="BI298" s="1">
        <f t="shared" si="201"/>
        <v>77.7</v>
      </c>
      <c r="BJ298" s="7">
        <f t="shared" si="202"/>
        <v>0.57299999999999995</v>
      </c>
      <c r="BK298" s="7">
        <f t="shared" si="203"/>
        <v>0.16400000000000001</v>
      </c>
      <c r="BM298" s="5">
        <f t="shared" si="204"/>
        <v>3.35</v>
      </c>
      <c r="BN298" s="5">
        <f t="shared" si="205"/>
        <v>1.93</v>
      </c>
      <c r="BO298" s="1">
        <f t="shared" si="206"/>
        <v>0.3</v>
      </c>
      <c r="BP298" s="1">
        <f t="shared" si="207"/>
        <v>2.6</v>
      </c>
      <c r="BQ298" s="1">
        <f t="shared" si="208"/>
        <v>-3.4</v>
      </c>
      <c r="BR298" s="1">
        <f t="shared" si="209"/>
        <v>87.8</v>
      </c>
      <c r="BS298" s="1">
        <f t="shared" si="210"/>
        <v>77.7</v>
      </c>
      <c r="BT298" s="1">
        <f t="shared" si="211"/>
        <v>2.2000000000000002</v>
      </c>
      <c r="BU298" s="1">
        <f t="shared" si="212"/>
        <v>6.6</v>
      </c>
      <c r="BV298" s="33">
        <f t="shared" si="233"/>
        <v>0</v>
      </c>
      <c r="BW298" s="34">
        <f t="shared" si="229"/>
        <v>0.17399999999999993</v>
      </c>
      <c r="BX298" s="20" t="str">
        <f t="shared" si="214"/>
        <v>NAN</v>
      </c>
      <c r="BY298" s="1">
        <f t="shared" si="215"/>
        <v>-0.5</v>
      </c>
      <c r="BZ298" s="1">
        <f t="shared" si="216"/>
        <v>2</v>
      </c>
      <c r="CA298" s="1">
        <f t="shared" si="217"/>
        <v>-4</v>
      </c>
      <c r="CB298" s="1">
        <f t="shared" si="218"/>
        <v>0.7</v>
      </c>
      <c r="CC298" s="1">
        <f t="shared" si="219"/>
        <v>3</v>
      </c>
      <c r="CD298" s="1">
        <f t="shared" si="220"/>
        <v>5.4</v>
      </c>
      <c r="CE298" s="1" t="str">
        <f t="shared" si="221"/>
        <v>NAN</v>
      </c>
      <c r="CF298" s="1">
        <f t="shared" si="222"/>
        <v>0.57299999999999995</v>
      </c>
      <c r="CG298" s="1">
        <f t="shared" si="223"/>
        <v>0.16400000000000001</v>
      </c>
      <c r="CI298" s="1">
        <f t="shared" si="190"/>
        <v>2880</v>
      </c>
      <c r="CJ298" s="1">
        <f t="shared" si="191"/>
        <v>0.25</v>
      </c>
      <c r="CK298" s="1">
        <f t="shared" si="192"/>
        <v>5.8000000000000003E-2</v>
      </c>
      <c r="CL298" s="1">
        <f t="shared" si="193"/>
        <v>2.1999999999999999E-2</v>
      </c>
      <c r="CM298" s="1">
        <f t="shared" si="194"/>
        <v>1.2E-2</v>
      </c>
      <c r="CN298" s="1">
        <f t="shared" si="195"/>
        <v>1.4E-2</v>
      </c>
      <c r="CO298" s="1">
        <f t="shared" si="196"/>
        <v>5.1999999999999998E-2</v>
      </c>
      <c r="CP298" s="1">
        <f t="shared" si="197"/>
        <v>0.20799999999999999</v>
      </c>
      <c r="CQ298" s="1">
        <f t="shared" si="198"/>
        <v>0.38400000000000001</v>
      </c>
      <c r="CS298" s="1">
        <f t="shared" si="226"/>
        <v>-0.60000000000000009</v>
      </c>
      <c r="CT298" s="1">
        <f t="shared" si="227"/>
        <v>-0.60000000000000009</v>
      </c>
    </row>
    <row r="299" spans="1:98" x14ac:dyDescent="0.2">
      <c r="A299" s="8">
        <f t="shared" si="224"/>
        <v>44124</v>
      </c>
      <c r="B299" s="1">
        <v>294</v>
      </c>
      <c r="C299" s="1">
        <v>11</v>
      </c>
      <c r="D299" s="2">
        <v>12.98</v>
      </c>
      <c r="E299" s="2">
        <v>0.35199999999999998</v>
      </c>
      <c r="F299" s="2">
        <v>-4.8959999999999999</v>
      </c>
      <c r="G299" s="2">
        <v>-2.7589999999999999</v>
      </c>
      <c r="H299" s="2">
        <v>84.8</v>
      </c>
      <c r="I299" s="2">
        <v>6.2E-2</v>
      </c>
      <c r="J299" s="2">
        <v>-3.0630000000000002</v>
      </c>
      <c r="K299" s="2">
        <v>0.67300000000000004</v>
      </c>
      <c r="L299" s="2">
        <v>2.883</v>
      </c>
      <c r="M299" s="2">
        <v>5.2140000000000004</v>
      </c>
      <c r="N299" s="2">
        <v>0.94399999999999995</v>
      </c>
      <c r="O299" s="2">
        <v>91.7</v>
      </c>
      <c r="P299" s="2">
        <v>0.247</v>
      </c>
      <c r="Q299" s="2">
        <v>5.23</v>
      </c>
      <c r="R299" s="2">
        <v>0.77600000000000002</v>
      </c>
      <c r="S299" s="2">
        <v>2.968</v>
      </c>
      <c r="T299" s="2">
        <v>5.3380000000000001</v>
      </c>
      <c r="U299" s="2">
        <v>-4.5780000000000003</v>
      </c>
      <c r="V299" s="2">
        <v>64</v>
      </c>
      <c r="W299" s="2">
        <v>-0.11</v>
      </c>
      <c r="X299" s="2">
        <v>-6.1680000000000001</v>
      </c>
      <c r="Y299" s="2">
        <v>0.56299999999999994</v>
      </c>
      <c r="Z299" s="2">
        <v>2.7850000000000001</v>
      </c>
      <c r="AA299" s="2">
        <v>5.101</v>
      </c>
      <c r="AB299" s="2">
        <v>2.387</v>
      </c>
      <c r="AC299" s="2">
        <v>0.254</v>
      </c>
      <c r="AD299" s="2">
        <v>4.1660000000000004</v>
      </c>
      <c r="AE299" s="2">
        <v>2.9529999999999998</v>
      </c>
      <c r="AF299" s="2">
        <v>1.2210000000000001</v>
      </c>
      <c r="AG299" s="2">
        <v>4.6349999999999998</v>
      </c>
      <c r="AH299" s="2">
        <v>-3.407</v>
      </c>
      <c r="AI299" s="2">
        <v>2.81</v>
      </c>
      <c r="AJ299" s="2">
        <v>-6.35</v>
      </c>
      <c r="AK299" s="2">
        <v>3.9249999999999998</v>
      </c>
      <c r="AL299" s="2">
        <v>-4.6849999999999996</v>
      </c>
      <c r="AM299" s="2">
        <v>2.407</v>
      </c>
      <c r="AN299" s="2" t="s">
        <v>122</v>
      </c>
      <c r="AO299" s="2">
        <v>773</v>
      </c>
      <c r="AP299" s="2">
        <v>167</v>
      </c>
      <c r="AQ299" s="2">
        <v>58</v>
      </c>
      <c r="AR299" s="2">
        <v>22</v>
      </c>
      <c r="AS299" s="2">
        <v>22</v>
      </c>
      <c r="AT299" s="2">
        <v>164</v>
      </c>
      <c r="AU299" s="2">
        <v>615</v>
      </c>
      <c r="AV299" s="2">
        <v>1058</v>
      </c>
      <c r="AW299" s="2"/>
      <c r="AX299" s="1">
        <f t="shared" si="231"/>
        <v>0.16299999999999981</v>
      </c>
      <c r="AY299" s="26"/>
      <c r="AZ299" s="5">
        <v>11.15</v>
      </c>
      <c r="BA299" s="1">
        <v>4.17</v>
      </c>
      <c r="BB299" s="1">
        <v>2.72</v>
      </c>
      <c r="BC299" s="6">
        <f t="shared" si="225"/>
        <v>0.65227817745803363</v>
      </c>
      <c r="BE299" s="28">
        <f t="shared" si="232"/>
        <v>0</v>
      </c>
      <c r="BF299" s="6"/>
      <c r="BG299" s="1">
        <f t="shared" si="199"/>
        <v>91.7</v>
      </c>
      <c r="BH299" s="1">
        <f t="shared" si="200"/>
        <v>84.8</v>
      </c>
      <c r="BI299" s="1">
        <f t="shared" si="201"/>
        <v>64</v>
      </c>
      <c r="BJ299" s="7">
        <f t="shared" si="202"/>
        <v>0.41799999999999998</v>
      </c>
      <c r="BK299" s="7">
        <f t="shared" si="203"/>
        <v>0.23499999999999999</v>
      </c>
      <c r="BM299" s="5">
        <f t="shared" si="204"/>
        <v>4.17</v>
      </c>
      <c r="BN299" s="5">
        <f t="shared" si="205"/>
        <v>2.72</v>
      </c>
      <c r="BO299" s="1">
        <f t="shared" si="206"/>
        <v>-2.8</v>
      </c>
      <c r="BP299" s="1">
        <f t="shared" si="207"/>
        <v>0.9</v>
      </c>
      <c r="BQ299" s="1">
        <f t="shared" si="208"/>
        <v>-4.5999999999999996</v>
      </c>
      <c r="BR299" s="1">
        <f t="shared" si="209"/>
        <v>84.8</v>
      </c>
      <c r="BS299" s="1">
        <f t="shared" si="210"/>
        <v>64</v>
      </c>
      <c r="BT299" s="1">
        <f t="shared" si="211"/>
        <v>1.2</v>
      </c>
      <c r="BU299" s="1">
        <f t="shared" si="212"/>
        <v>4.5999999999999996</v>
      </c>
      <c r="BV299" s="33">
        <f t="shared" si="233"/>
        <v>0</v>
      </c>
      <c r="BW299" s="34">
        <f t="shared" si="229"/>
        <v>0.16299999999999981</v>
      </c>
      <c r="BX299" s="20" t="str">
        <f t="shared" si="214"/>
        <v>NAN</v>
      </c>
      <c r="BY299" s="1">
        <f t="shared" si="215"/>
        <v>-3.4</v>
      </c>
      <c r="BZ299" s="1">
        <f t="shared" si="216"/>
        <v>2.8</v>
      </c>
      <c r="CA299" s="1">
        <f t="shared" si="217"/>
        <v>-6.4</v>
      </c>
      <c r="CB299" s="1">
        <f t="shared" si="218"/>
        <v>0.7</v>
      </c>
      <c r="CC299" s="1">
        <f t="shared" si="219"/>
        <v>2.9</v>
      </c>
      <c r="CD299" s="1">
        <f t="shared" si="220"/>
        <v>5.2</v>
      </c>
      <c r="CE299" s="1" t="str">
        <f t="shared" si="221"/>
        <v>NAN</v>
      </c>
      <c r="CF299" s="1">
        <f t="shared" si="222"/>
        <v>0.41799999999999998</v>
      </c>
      <c r="CG299" s="1">
        <f t="shared" si="223"/>
        <v>0.23499999999999999</v>
      </c>
      <c r="CI299" s="1">
        <f t="shared" si="190"/>
        <v>2879</v>
      </c>
      <c r="CJ299" s="1">
        <f t="shared" si="191"/>
        <v>0.26800000000000002</v>
      </c>
      <c r="CK299" s="1">
        <f t="shared" si="192"/>
        <v>5.8000000000000003E-2</v>
      </c>
      <c r="CL299" s="1">
        <f t="shared" si="193"/>
        <v>0.02</v>
      </c>
      <c r="CM299" s="1">
        <f t="shared" si="194"/>
        <v>8.0000000000000002E-3</v>
      </c>
      <c r="CN299" s="1">
        <f t="shared" si="195"/>
        <v>8.0000000000000002E-3</v>
      </c>
      <c r="CO299" s="1">
        <f t="shared" si="196"/>
        <v>5.7000000000000002E-2</v>
      </c>
      <c r="CP299" s="1">
        <f t="shared" si="197"/>
        <v>0.214</v>
      </c>
      <c r="CQ299" s="1">
        <f t="shared" si="198"/>
        <v>0.36699999999999999</v>
      </c>
      <c r="CS299" s="1">
        <f t="shared" si="226"/>
        <v>1.9</v>
      </c>
      <c r="CT299" s="1">
        <f t="shared" si="227"/>
        <v>-1.8000000000000007</v>
      </c>
    </row>
    <row r="300" spans="1:98" x14ac:dyDescent="0.2">
      <c r="A300" s="8">
        <f t="shared" si="224"/>
        <v>44125</v>
      </c>
      <c r="B300" s="1">
        <v>295</v>
      </c>
      <c r="C300" s="1">
        <v>11</v>
      </c>
      <c r="D300" s="2">
        <v>12.97</v>
      </c>
      <c r="E300" s="2">
        <v>-1.5</v>
      </c>
      <c r="F300" s="2">
        <v>-13.27</v>
      </c>
      <c r="G300" s="2">
        <v>-6.5250000000000004</v>
      </c>
      <c r="H300" s="2">
        <v>89.3</v>
      </c>
      <c r="I300" s="2">
        <v>-0.20100000000000001</v>
      </c>
      <c r="J300" s="2">
        <v>-6.008</v>
      </c>
      <c r="K300" s="2">
        <v>0.65400000000000003</v>
      </c>
      <c r="L300" s="2">
        <v>2.7749999999999999</v>
      </c>
      <c r="M300" s="2">
        <v>5.0720000000000001</v>
      </c>
      <c r="N300" s="2">
        <v>-3.13</v>
      </c>
      <c r="O300" s="2">
        <v>92.4</v>
      </c>
      <c r="P300" s="2">
        <v>-1.0999999999999999E-2</v>
      </c>
      <c r="Q300" s="2">
        <v>3.8380000000000001</v>
      </c>
      <c r="R300" s="2">
        <v>0.76200000000000001</v>
      </c>
      <c r="S300" s="2">
        <v>2.883</v>
      </c>
      <c r="T300" s="2">
        <v>5.2050000000000001</v>
      </c>
      <c r="U300" s="2">
        <v>-10.77</v>
      </c>
      <c r="V300" s="2">
        <v>79.55</v>
      </c>
      <c r="W300" s="2">
        <v>-0.68600000000000005</v>
      </c>
      <c r="X300" s="2">
        <v>-15.72</v>
      </c>
      <c r="Y300" s="2">
        <v>0.54600000000000004</v>
      </c>
      <c r="Z300" s="2">
        <v>2.641</v>
      </c>
      <c r="AA300" s="2">
        <v>4.9379999999999997</v>
      </c>
      <c r="AB300" s="2">
        <v>2.35</v>
      </c>
      <c r="AC300" s="2">
        <v>0</v>
      </c>
      <c r="AD300" s="2">
        <v>3.056</v>
      </c>
      <c r="AE300" s="2">
        <v>4.0119999999999996</v>
      </c>
      <c r="AF300" s="2">
        <v>1.0780000000000001</v>
      </c>
      <c r="AG300" s="2">
        <v>3.9220000000000002</v>
      </c>
      <c r="AH300" s="2">
        <v>-7.6589999999999998</v>
      </c>
      <c r="AI300" s="2">
        <v>-0.04</v>
      </c>
      <c r="AJ300" s="2">
        <v>-16.87</v>
      </c>
      <c r="AK300" s="2">
        <v>-0.109</v>
      </c>
      <c r="AL300" s="2">
        <v>-11.79</v>
      </c>
      <c r="AM300" s="2">
        <v>2.3959999999999999</v>
      </c>
      <c r="AN300" s="2" t="s">
        <v>122</v>
      </c>
      <c r="AO300" s="2">
        <v>880</v>
      </c>
      <c r="AP300" s="2">
        <v>1009</v>
      </c>
      <c r="AQ300" s="2">
        <v>454</v>
      </c>
      <c r="AR300" s="2">
        <v>89</v>
      </c>
      <c r="AS300" s="2">
        <v>31</v>
      </c>
      <c r="AT300" s="2">
        <v>69</v>
      </c>
      <c r="AU300" s="2">
        <v>104</v>
      </c>
      <c r="AV300" s="2">
        <v>243</v>
      </c>
      <c r="AW300" s="2"/>
      <c r="AX300" s="1">
        <f t="shared" si="231"/>
        <v>0.19999999999999973</v>
      </c>
      <c r="AY300" s="26"/>
      <c r="AZ300" s="5">
        <v>10.95</v>
      </c>
      <c r="BA300" s="1">
        <v>3.88</v>
      </c>
      <c r="BB300" s="1">
        <v>3.69</v>
      </c>
      <c r="BC300" s="6">
        <f t="shared" si="225"/>
        <v>0.95103092783505161</v>
      </c>
      <c r="BE300" s="28">
        <f t="shared" si="232"/>
        <v>4.8</v>
      </c>
      <c r="BF300" s="6"/>
      <c r="BG300" s="1">
        <f t="shared" si="199"/>
        <v>92.4</v>
      </c>
      <c r="BH300" s="1">
        <f t="shared" si="200"/>
        <v>89.3</v>
      </c>
      <c r="BI300" s="1">
        <f t="shared" si="201"/>
        <v>79.599999999999994</v>
      </c>
      <c r="BJ300" s="7">
        <f t="shared" si="202"/>
        <v>0.38600000000000001</v>
      </c>
      <c r="BK300" s="7">
        <f t="shared" si="203"/>
        <v>9.9000000000000005E-2</v>
      </c>
      <c r="BM300" s="5">
        <f t="shared" si="204"/>
        <v>3.88</v>
      </c>
      <c r="BN300" s="5">
        <f t="shared" si="205"/>
        <v>3.69</v>
      </c>
      <c r="BO300" s="1">
        <f t="shared" si="206"/>
        <v>-6.5</v>
      </c>
      <c r="BP300" s="1">
        <f t="shared" si="207"/>
        <v>-3.1</v>
      </c>
      <c r="BQ300" s="1">
        <f t="shared" si="208"/>
        <v>-10.8</v>
      </c>
      <c r="BR300" s="1">
        <f t="shared" si="209"/>
        <v>89.3</v>
      </c>
      <c r="BS300" s="1">
        <f t="shared" si="210"/>
        <v>79.599999999999994</v>
      </c>
      <c r="BT300" s="1">
        <f t="shared" si="211"/>
        <v>1.1000000000000001</v>
      </c>
      <c r="BU300" s="1">
        <f t="shared" si="212"/>
        <v>3.9</v>
      </c>
      <c r="BV300" s="33">
        <f t="shared" si="233"/>
        <v>4.8</v>
      </c>
      <c r="BW300" s="34">
        <f t="shared" si="229"/>
        <v>0.19999999999999973</v>
      </c>
      <c r="BX300" s="20" t="str">
        <f t="shared" si="214"/>
        <v>NAN</v>
      </c>
      <c r="BY300" s="1">
        <f t="shared" si="215"/>
        <v>-7.7</v>
      </c>
      <c r="BZ300" s="1">
        <f t="shared" si="216"/>
        <v>0</v>
      </c>
      <c r="CA300" s="1">
        <f t="shared" si="217"/>
        <v>-16.899999999999999</v>
      </c>
      <c r="CB300" s="1">
        <f t="shared" si="218"/>
        <v>0.7</v>
      </c>
      <c r="CC300" s="1">
        <f t="shared" si="219"/>
        <v>2.8</v>
      </c>
      <c r="CD300" s="1">
        <f t="shared" si="220"/>
        <v>5.0999999999999996</v>
      </c>
      <c r="CE300" s="1" t="str">
        <f t="shared" si="221"/>
        <v>NAN</v>
      </c>
      <c r="CF300" s="1">
        <f t="shared" si="222"/>
        <v>0.38600000000000001</v>
      </c>
      <c r="CG300" s="1">
        <f t="shared" si="223"/>
        <v>9.9000000000000005E-2</v>
      </c>
      <c r="CI300" s="1">
        <f t="shared" si="190"/>
        <v>2879</v>
      </c>
      <c r="CJ300" s="1">
        <f t="shared" si="191"/>
        <v>0.30599999999999999</v>
      </c>
      <c r="CK300" s="1">
        <f t="shared" si="192"/>
        <v>0.35</v>
      </c>
      <c r="CL300" s="1">
        <f t="shared" si="193"/>
        <v>0.158</v>
      </c>
      <c r="CM300" s="1">
        <f t="shared" si="194"/>
        <v>3.1E-2</v>
      </c>
      <c r="CN300" s="1">
        <f t="shared" si="195"/>
        <v>1.0999999999999999E-2</v>
      </c>
      <c r="CO300" s="1">
        <f t="shared" si="196"/>
        <v>2.4E-2</v>
      </c>
      <c r="CP300" s="1">
        <f t="shared" si="197"/>
        <v>3.5999999999999997E-2</v>
      </c>
      <c r="CQ300" s="1">
        <f t="shared" si="198"/>
        <v>8.4000000000000005E-2</v>
      </c>
      <c r="CS300" s="1">
        <f t="shared" si="226"/>
        <v>3.1</v>
      </c>
      <c r="CT300" s="1">
        <f t="shared" si="227"/>
        <v>-6.0999999999999979</v>
      </c>
    </row>
    <row r="301" spans="1:98" x14ac:dyDescent="0.2">
      <c r="A301" s="8">
        <f t="shared" si="224"/>
        <v>44126</v>
      </c>
      <c r="B301" s="1">
        <v>296</v>
      </c>
      <c r="C301" s="1">
        <v>11</v>
      </c>
      <c r="D301" s="2">
        <v>12.97</v>
      </c>
      <c r="E301" s="2">
        <v>-2.4</v>
      </c>
      <c r="F301" s="2">
        <v>-13.34</v>
      </c>
      <c r="G301" s="2">
        <v>-8.0399999999999991</v>
      </c>
      <c r="H301" s="2">
        <v>81.900000000000006</v>
      </c>
      <c r="I301" s="2">
        <v>-1.2170000000000001</v>
      </c>
      <c r="J301" s="2">
        <v>-9.58</v>
      </c>
      <c r="K301" s="2">
        <v>0.55000000000000004</v>
      </c>
      <c r="L301" s="2">
        <v>2.6869999999999998</v>
      </c>
      <c r="M301" s="2">
        <v>4.9470000000000001</v>
      </c>
      <c r="N301" s="2">
        <v>-3.0219999999999998</v>
      </c>
      <c r="O301" s="2">
        <v>91.5</v>
      </c>
      <c r="P301" s="2">
        <v>-0.63</v>
      </c>
      <c r="Q301" s="2">
        <v>7.8289999999999997</v>
      </c>
      <c r="R301" s="2">
        <v>0.71</v>
      </c>
      <c r="S301" s="2">
        <v>2.8069999999999999</v>
      </c>
      <c r="T301" s="2">
        <v>5.0570000000000004</v>
      </c>
      <c r="U301" s="2">
        <v>-11.05</v>
      </c>
      <c r="V301" s="2">
        <v>56.77</v>
      </c>
      <c r="W301" s="2">
        <v>-1.65</v>
      </c>
      <c r="X301" s="2">
        <v>-15.95</v>
      </c>
      <c r="Y301" s="2">
        <v>0.38600000000000001</v>
      </c>
      <c r="Z301" s="2">
        <v>2.5409999999999999</v>
      </c>
      <c r="AA301" s="2">
        <v>4.82</v>
      </c>
      <c r="AB301" s="2">
        <v>2.3610000000000002</v>
      </c>
      <c r="AC301" s="2">
        <v>0</v>
      </c>
      <c r="AD301" s="2">
        <v>5.3220000000000001</v>
      </c>
      <c r="AE301" s="2">
        <v>4.5629999999999997</v>
      </c>
      <c r="AF301" s="2">
        <v>0.86199999999999999</v>
      </c>
      <c r="AG301" s="2">
        <v>2.7029999999999998</v>
      </c>
      <c r="AH301" s="2">
        <v>-11.05</v>
      </c>
      <c r="AI301" s="2">
        <v>-2.3239999999999998</v>
      </c>
      <c r="AJ301" s="2">
        <v>-16.670000000000002</v>
      </c>
      <c r="AK301" s="2">
        <v>0.69899999999999995</v>
      </c>
      <c r="AL301" s="2">
        <v>-11.99</v>
      </c>
      <c r="AM301" s="2">
        <v>2.4</v>
      </c>
      <c r="AN301" s="2" t="s">
        <v>122</v>
      </c>
      <c r="AO301" s="2">
        <v>429</v>
      </c>
      <c r="AP301" s="2">
        <v>1067</v>
      </c>
      <c r="AQ301" s="2">
        <v>929</v>
      </c>
      <c r="AR301" s="2">
        <v>243</v>
      </c>
      <c r="AS301" s="2">
        <v>40</v>
      </c>
      <c r="AT301" s="2">
        <v>14</v>
      </c>
      <c r="AU301" s="2">
        <v>16</v>
      </c>
      <c r="AV301" s="2">
        <v>142</v>
      </c>
      <c r="AW301" s="2"/>
      <c r="AX301" s="1">
        <f t="shared" si="231"/>
        <v>0.18899999999999961</v>
      </c>
      <c r="AY301" s="26"/>
      <c r="AZ301" s="5">
        <v>10.75</v>
      </c>
      <c r="BA301" s="1">
        <v>5.32</v>
      </c>
      <c r="BB301" s="1">
        <v>4.2</v>
      </c>
      <c r="BC301" s="6">
        <f t="shared" si="225"/>
        <v>0.78947368421052633</v>
      </c>
      <c r="BE301" s="28">
        <f t="shared" si="232"/>
        <v>0</v>
      </c>
      <c r="BF301" s="6"/>
      <c r="BG301" s="1">
        <f t="shared" si="199"/>
        <v>91.5</v>
      </c>
      <c r="BH301" s="1">
        <f t="shared" si="200"/>
        <v>81.900000000000006</v>
      </c>
      <c r="BI301" s="1">
        <f t="shared" si="201"/>
        <v>56.8</v>
      </c>
      <c r="BJ301" s="7">
        <f t="shared" si="202"/>
        <v>0.27800000000000002</v>
      </c>
      <c r="BK301" s="7">
        <f t="shared" si="203"/>
        <v>0.21099999999999999</v>
      </c>
      <c r="BM301" s="5">
        <f t="shared" si="204"/>
        <v>5.32</v>
      </c>
      <c r="BN301" s="5">
        <f t="shared" si="205"/>
        <v>4.2</v>
      </c>
      <c r="BO301" s="1">
        <f t="shared" si="206"/>
        <v>-8</v>
      </c>
      <c r="BP301" s="1">
        <f t="shared" si="207"/>
        <v>-3</v>
      </c>
      <c r="BQ301" s="1">
        <f t="shared" si="208"/>
        <v>-11.1</v>
      </c>
      <c r="BR301" s="1">
        <f t="shared" si="209"/>
        <v>81.900000000000006</v>
      </c>
      <c r="BS301" s="1">
        <f t="shared" si="210"/>
        <v>56.8</v>
      </c>
      <c r="BT301" s="1">
        <f t="shared" si="211"/>
        <v>0.9</v>
      </c>
      <c r="BU301" s="1">
        <f t="shared" si="212"/>
        <v>2.7</v>
      </c>
      <c r="BV301" s="33">
        <f t="shared" si="233"/>
        <v>0</v>
      </c>
      <c r="BW301" s="34">
        <f t="shared" si="229"/>
        <v>0.18899999999999961</v>
      </c>
      <c r="BX301" s="20" t="str">
        <f t="shared" si="214"/>
        <v>NAN</v>
      </c>
      <c r="BY301" s="1">
        <f t="shared" si="215"/>
        <v>-11.1</v>
      </c>
      <c r="BZ301" s="1">
        <f t="shared" si="216"/>
        <v>-2.2999999999999998</v>
      </c>
      <c r="CA301" s="1">
        <f t="shared" si="217"/>
        <v>-16.7</v>
      </c>
      <c r="CB301" s="1">
        <f t="shared" si="218"/>
        <v>0.6</v>
      </c>
      <c r="CC301" s="1">
        <f t="shared" si="219"/>
        <v>2.7</v>
      </c>
      <c r="CD301" s="1">
        <f t="shared" si="220"/>
        <v>4.9000000000000004</v>
      </c>
      <c r="CE301" s="1" t="str">
        <f t="shared" si="221"/>
        <v>NAN</v>
      </c>
      <c r="CF301" s="1">
        <f t="shared" si="222"/>
        <v>0.27800000000000002</v>
      </c>
      <c r="CG301" s="1">
        <f t="shared" si="223"/>
        <v>0.21099999999999999</v>
      </c>
      <c r="CI301" s="1">
        <f t="shared" si="190"/>
        <v>2880</v>
      </c>
      <c r="CJ301" s="1">
        <f t="shared" si="191"/>
        <v>0.14899999999999999</v>
      </c>
      <c r="CK301" s="1">
        <f t="shared" si="192"/>
        <v>0.37</v>
      </c>
      <c r="CL301" s="1">
        <f t="shared" si="193"/>
        <v>0.32300000000000001</v>
      </c>
      <c r="CM301" s="1">
        <f t="shared" si="194"/>
        <v>8.4000000000000005E-2</v>
      </c>
      <c r="CN301" s="1">
        <f t="shared" si="195"/>
        <v>1.4E-2</v>
      </c>
      <c r="CO301" s="1">
        <f t="shared" si="196"/>
        <v>5.0000000000000001E-3</v>
      </c>
      <c r="CP301" s="1">
        <f t="shared" si="197"/>
        <v>6.0000000000000001E-3</v>
      </c>
      <c r="CQ301" s="1">
        <f t="shared" si="198"/>
        <v>4.9000000000000002E-2</v>
      </c>
      <c r="CS301" s="1">
        <f t="shared" si="226"/>
        <v>0.70000000000000018</v>
      </c>
      <c r="CT301" s="1">
        <f t="shared" si="227"/>
        <v>-5.6</v>
      </c>
    </row>
    <row r="302" spans="1:98" x14ac:dyDescent="0.2">
      <c r="A302" s="8">
        <f t="shared" si="224"/>
        <v>44127</v>
      </c>
      <c r="B302" s="1">
        <v>297</v>
      </c>
      <c r="C302" s="1">
        <v>11</v>
      </c>
      <c r="D302" s="2">
        <v>12.95</v>
      </c>
      <c r="E302" s="2">
        <v>-6.4459999999999997</v>
      </c>
      <c r="F302" s="2">
        <v>-10.49</v>
      </c>
      <c r="G302" s="2">
        <v>-8.0399999999999991</v>
      </c>
      <c r="H302" s="2">
        <v>87.6</v>
      </c>
      <c r="I302" s="2">
        <v>-1.131</v>
      </c>
      <c r="J302" s="2">
        <v>-5.681</v>
      </c>
      <c r="K302" s="2">
        <v>0.378</v>
      </c>
      <c r="L302" s="2">
        <v>2.6070000000000002</v>
      </c>
      <c r="M302" s="2">
        <v>4.8440000000000003</v>
      </c>
      <c r="N302" s="2">
        <v>-6.3380000000000001</v>
      </c>
      <c r="O302" s="2">
        <v>90.6</v>
      </c>
      <c r="P302" s="2">
        <v>-0.76700000000000002</v>
      </c>
      <c r="Q302" s="2">
        <v>-3.4540000000000002</v>
      </c>
      <c r="R302" s="2">
        <v>0.498</v>
      </c>
      <c r="S302" s="2">
        <v>2.7240000000000002</v>
      </c>
      <c r="T302" s="2">
        <v>4.9530000000000003</v>
      </c>
      <c r="U302" s="2">
        <v>-9.2899999999999991</v>
      </c>
      <c r="V302" s="2">
        <v>72.77</v>
      </c>
      <c r="W302" s="2">
        <v>-1.5680000000000001</v>
      </c>
      <c r="X302" s="2">
        <v>-10.87</v>
      </c>
      <c r="Y302" s="2">
        <v>0.28999999999999998</v>
      </c>
      <c r="Z302" s="2">
        <v>2.5009999999999999</v>
      </c>
      <c r="AA302" s="2">
        <v>4.7389999999999999</v>
      </c>
      <c r="AB302" s="2">
        <v>2.0230000000000001</v>
      </c>
      <c r="AC302" s="2">
        <v>0</v>
      </c>
      <c r="AD302" s="2">
        <v>1.6379999999999999</v>
      </c>
      <c r="AE302" s="2">
        <v>1.49</v>
      </c>
      <c r="AF302" s="2">
        <v>1.2609999999999999</v>
      </c>
      <c r="AG302" s="2">
        <v>3.8639999999999999</v>
      </c>
      <c r="AH302" s="2">
        <v>-8.51</v>
      </c>
      <c r="AI302" s="2">
        <v>-6.6829999999999998</v>
      </c>
      <c r="AJ302" s="2">
        <v>-11.07</v>
      </c>
      <c r="AK302" s="2">
        <v>-5.8049999999999997</v>
      </c>
      <c r="AL302" s="2">
        <v>-9.41</v>
      </c>
      <c r="AM302" s="2">
        <v>2.056</v>
      </c>
      <c r="AN302" s="2" t="s">
        <v>122</v>
      </c>
      <c r="AO302" s="2">
        <v>206</v>
      </c>
      <c r="AP302" s="2">
        <v>369</v>
      </c>
      <c r="AQ302" s="2">
        <v>257</v>
      </c>
      <c r="AR302" s="2">
        <v>359</v>
      </c>
      <c r="AS302" s="2">
        <v>836</v>
      </c>
      <c r="AT302" s="2">
        <v>634</v>
      </c>
      <c r="AU302" s="2">
        <v>135</v>
      </c>
      <c r="AV302" s="2">
        <v>83</v>
      </c>
      <c r="AW302" s="2"/>
      <c r="AX302" s="1">
        <f t="shared" si="231"/>
        <v>0.52699999999999969</v>
      </c>
      <c r="AY302" s="26"/>
      <c r="AZ302" s="5">
        <v>10.55</v>
      </c>
      <c r="BA302" s="1">
        <v>1.77</v>
      </c>
      <c r="BB302" s="1">
        <v>1.37</v>
      </c>
      <c r="BC302" s="6">
        <f t="shared" si="225"/>
        <v>0.77401129943502833</v>
      </c>
      <c r="BE302" s="28">
        <f t="shared" si="232"/>
        <v>43.9</v>
      </c>
      <c r="BF302" s="6"/>
      <c r="BG302" s="1">
        <f t="shared" si="199"/>
        <v>90.6</v>
      </c>
      <c r="BH302" s="1">
        <f t="shared" si="200"/>
        <v>87.6</v>
      </c>
      <c r="BI302" s="1">
        <f t="shared" si="201"/>
        <v>72.8</v>
      </c>
      <c r="BJ302" s="7">
        <f t="shared" si="202"/>
        <v>0.27700000000000002</v>
      </c>
      <c r="BK302" s="7">
        <f t="shared" si="203"/>
        <v>0.10299999999999999</v>
      </c>
      <c r="BM302" s="5">
        <f t="shared" si="204"/>
        <v>1.77</v>
      </c>
      <c r="BN302" s="5">
        <f t="shared" si="205"/>
        <v>1.37</v>
      </c>
      <c r="BO302" s="1">
        <f t="shared" si="206"/>
        <v>-8</v>
      </c>
      <c r="BP302" s="1">
        <f t="shared" si="207"/>
        <v>-6.3</v>
      </c>
      <c r="BQ302" s="1">
        <f t="shared" si="208"/>
        <v>-9.3000000000000007</v>
      </c>
      <c r="BR302" s="1">
        <f t="shared" si="209"/>
        <v>87.6</v>
      </c>
      <c r="BS302" s="1">
        <f t="shared" si="210"/>
        <v>72.8</v>
      </c>
      <c r="BT302" s="1">
        <f t="shared" si="211"/>
        <v>1.3</v>
      </c>
      <c r="BU302" s="1">
        <f t="shared" si="212"/>
        <v>3.9</v>
      </c>
      <c r="BV302" s="33">
        <f t="shared" si="233"/>
        <v>43.9</v>
      </c>
      <c r="BW302" s="34">
        <f t="shared" si="229"/>
        <v>0.52699999999999969</v>
      </c>
      <c r="BX302" s="20" t="str">
        <f t="shared" si="214"/>
        <v>NAN</v>
      </c>
      <c r="BY302" s="1">
        <f t="shared" si="215"/>
        <v>-8.5</v>
      </c>
      <c r="BZ302" s="1">
        <f t="shared" si="216"/>
        <v>-6.7</v>
      </c>
      <c r="CA302" s="1">
        <f t="shared" si="217"/>
        <v>-11.1</v>
      </c>
      <c r="CB302" s="1">
        <f t="shared" si="218"/>
        <v>0.4</v>
      </c>
      <c r="CC302" s="1">
        <f t="shared" si="219"/>
        <v>2.6</v>
      </c>
      <c r="CD302" s="1">
        <f t="shared" si="220"/>
        <v>4.8</v>
      </c>
      <c r="CE302" s="1" t="str">
        <f t="shared" si="221"/>
        <v>NAN</v>
      </c>
      <c r="CF302" s="1">
        <f t="shared" si="222"/>
        <v>0.27700000000000002</v>
      </c>
      <c r="CG302" s="1">
        <f t="shared" si="223"/>
        <v>0.10299999999999999</v>
      </c>
      <c r="CI302" s="1">
        <f t="shared" si="190"/>
        <v>2879</v>
      </c>
      <c r="CJ302" s="1">
        <f t="shared" si="191"/>
        <v>7.1999999999999995E-2</v>
      </c>
      <c r="CK302" s="1">
        <f t="shared" si="192"/>
        <v>0.128</v>
      </c>
      <c r="CL302" s="1">
        <f t="shared" si="193"/>
        <v>8.8999999999999996E-2</v>
      </c>
      <c r="CM302" s="1">
        <f t="shared" si="194"/>
        <v>0.125</v>
      </c>
      <c r="CN302" s="1">
        <f t="shared" si="195"/>
        <v>0.28999999999999998</v>
      </c>
      <c r="CO302" s="1">
        <f t="shared" si="196"/>
        <v>0.22</v>
      </c>
      <c r="CP302" s="1">
        <f t="shared" si="197"/>
        <v>4.7E-2</v>
      </c>
      <c r="CQ302" s="1">
        <f t="shared" si="198"/>
        <v>2.9000000000000001E-2</v>
      </c>
      <c r="CS302" s="1">
        <f t="shared" si="226"/>
        <v>-0.40000000000000036</v>
      </c>
      <c r="CT302" s="1">
        <f t="shared" si="227"/>
        <v>-1.7999999999999989</v>
      </c>
    </row>
    <row r="303" spans="1:98" x14ac:dyDescent="0.2">
      <c r="A303" s="8">
        <f t="shared" si="224"/>
        <v>44128</v>
      </c>
      <c r="B303" s="1">
        <v>298</v>
      </c>
      <c r="C303" s="1">
        <v>11</v>
      </c>
      <c r="D303" s="2">
        <v>12.99</v>
      </c>
      <c r="E303" s="2">
        <v>-8.49</v>
      </c>
      <c r="F303" s="2">
        <v>-13.98</v>
      </c>
      <c r="G303" s="2">
        <v>-11.7</v>
      </c>
      <c r="H303" s="2">
        <v>86.3</v>
      </c>
      <c r="I303" s="2">
        <v>-0.65700000000000003</v>
      </c>
      <c r="J303" s="2">
        <v>-2.96</v>
      </c>
      <c r="K303" s="2">
        <v>0.435</v>
      </c>
      <c r="L303" s="2">
        <v>2.5049999999999999</v>
      </c>
      <c r="M303" s="2">
        <v>4.718</v>
      </c>
      <c r="N303" s="2">
        <v>-8.4700000000000006</v>
      </c>
      <c r="O303" s="2">
        <v>89.2</v>
      </c>
      <c r="P303" s="2">
        <v>-0.433</v>
      </c>
      <c r="Q303" s="2">
        <v>-2.5649999999999999</v>
      </c>
      <c r="R303" s="2">
        <v>0.53800000000000003</v>
      </c>
      <c r="S303" s="2">
        <v>2.6110000000000002</v>
      </c>
      <c r="T303" s="2">
        <v>4.8600000000000003</v>
      </c>
      <c r="U303" s="2">
        <v>-13.93</v>
      </c>
      <c r="V303" s="2">
        <v>84.3</v>
      </c>
      <c r="W303" s="2">
        <v>-0.88500000000000001</v>
      </c>
      <c r="X303" s="2">
        <v>-3.5209999999999999</v>
      </c>
      <c r="Y303" s="2">
        <v>0.34100000000000003</v>
      </c>
      <c r="Z303" s="2">
        <v>2.4060000000000001</v>
      </c>
      <c r="AA303" s="2">
        <v>4.6079999999999997</v>
      </c>
      <c r="AB303" s="2">
        <v>2.0019999999999998</v>
      </c>
      <c r="AC303" s="2">
        <v>0</v>
      </c>
      <c r="AD303" s="2">
        <v>2.2389999999999999</v>
      </c>
      <c r="AE303" s="2">
        <v>3.7240000000000002</v>
      </c>
      <c r="AF303" s="2">
        <v>1.375</v>
      </c>
      <c r="AG303" s="2">
        <v>3.7850000000000001</v>
      </c>
      <c r="AH303" s="2">
        <v>-11.96</v>
      </c>
      <c r="AI303" s="2">
        <v>-8.82</v>
      </c>
      <c r="AJ303" s="2">
        <v>-14.24</v>
      </c>
      <c r="AK303" s="2">
        <v>-8.3800000000000008</v>
      </c>
      <c r="AL303" s="2">
        <v>-14.17</v>
      </c>
      <c r="AM303" s="2">
        <v>2.0550000000000002</v>
      </c>
      <c r="AN303" s="2" t="s">
        <v>122</v>
      </c>
      <c r="AO303" s="2">
        <v>447</v>
      </c>
      <c r="AP303" s="2">
        <v>1137</v>
      </c>
      <c r="AQ303" s="2">
        <v>549</v>
      </c>
      <c r="AR303" s="2">
        <v>122</v>
      </c>
      <c r="AS303" s="2">
        <v>82</v>
      </c>
      <c r="AT303" s="2">
        <v>139</v>
      </c>
      <c r="AU303" s="2">
        <v>197</v>
      </c>
      <c r="AV303" s="2">
        <v>207</v>
      </c>
      <c r="AW303" s="2"/>
      <c r="AX303" s="1">
        <f t="shared" si="231"/>
        <v>0.54800000000000004</v>
      </c>
      <c r="AY303" s="26"/>
      <c r="AZ303" s="5">
        <v>10.36</v>
      </c>
      <c r="BA303" s="1">
        <v>3.61</v>
      </c>
      <c r="BB303" s="1">
        <v>3.43</v>
      </c>
      <c r="BC303" s="6">
        <f t="shared" si="225"/>
        <v>0.95013850415512469</v>
      </c>
      <c r="BE303" s="28">
        <f t="shared" si="232"/>
        <v>2.7</v>
      </c>
      <c r="BF303" s="6"/>
      <c r="BG303" s="1">
        <f t="shared" si="199"/>
        <v>89.2</v>
      </c>
      <c r="BH303" s="1">
        <f t="shared" si="200"/>
        <v>86.3</v>
      </c>
      <c r="BI303" s="1">
        <f t="shared" si="201"/>
        <v>84.3</v>
      </c>
      <c r="BJ303" s="7">
        <f t="shared" si="202"/>
        <v>0.27200000000000002</v>
      </c>
      <c r="BK303" s="7">
        <f t="shared" si="203"/>
        <v>5.0999999999999997E-2</v>
      </c>
      <c r="BM303" s="5">
        <f t="shared" si="204"/>
        <v>3.61</v>
      </c>
      <c r="BN303" s="5">
        <f t="shared" si="205"/>
        <v>3.43</v>
      </c>
      <c r="BO303" s="1">
        <f t="shared" si="206"/>
        <v>-11.7</v>
      </c>
      <c r="BP303" s="1">
        <f t="shared" si="207"/>
        <v>-8.5</v>
      </c>
      <c r="BQ303" s="1">
        <f t="shared" si="208"/>
        <v>-13.9</v>
      </c>
      <c r="BR303" s="1">
        <f t="shared" si="209"/>
        <v>86.3</v>
      </c>
      <c r="BS303" s="1">
        <f t="shared" si="210"/>
        <v>84.3</v>
      </c>
      <c r="BT303" s="1">
        <f t="shared" si="211"/>
        <v>1.4</v>
      </c>
      <c r="BU303" s="1">
        <f t="shared" si="212"/>
        <v>3.8</v>
      </c>
      <c r="BV303" s="33">
        <f t="shared" si="233"/>
        <v>2.7</v>
      </c>
      <c r="BW303" s="34">
        <f t="shared" si="229"/>
        <v>0.54800000000000004</v>
      </c>
      <c r="BX303" s="20" t="str">
        <f t="shared" si="214"/>
        <v>NAN</v>
      </c>
      <c r="BY303" s="1">
        <f t="shared" si="215"/>
        <v>-12</v>
      </c>
      <c r="BZ303" s="1">
        <f t="shared" si="216"/>
        <v>-8.8000000000000007</v>
      </c>
      <c r="CA303" s="1">
        <f t="shared" si="217"/>
        <v>-14.2</v>
      </c>
      <c r="CB303" s="1">
        <f t="shared" si="218"/>
        <v>0.4</v>
      </c>
      <c r="CC303" s="1">
        <f t="shared" si="219"/>
        <v>2.5</v>
      </c>
      <c r="CD303" s="1">
        <f t="shared" si="220"/>
        <v>4.7</v>
      </c>
      <c r="CE303" s="1" t="str">
        <f t="shared" si="221"/>
        <v>NAN</v>
      </c>
      <c r="CF303" s="1">
        <f t="shared" si="222"/>
        <v>0.27200000000000002</v>
      </c>
      <c r="CG303" s="1">
        <f t="shared" si="223"/>
        <v>5.0999999999999997E-2</v>
      </c>
      <c r="CI303" s="1">
        <f t="shared" si="190"/>
        <v>2880</v>
      </c>
      <c r="CJ303" s="1">
        <f t="shared" si="191"/>
        <v>0.155</v>
      </c>
      <c r="CK303" s="1">
        <f t="shared" si="192"/>
        <v>0.39500000000000002</v>
      </c>
      <c r="CL303" s="1">
        <f t="shared" si="193"/>
        <v>0.191</v>
      </c>
      <c r="CM303" s="1">
        <f t="shared" si="194"/>
        <v>4.2000000000000003E-2</v>
      </c>
      <c r="CN303" s="1">
        <f t="shared" si="195"/>
        <v>2.8000000000000001E-2</v>
      </c>
      <c r="CO303" s="1">
        <f t="shared" si="196"/>
        <v>4.8000000000000001E-2</v>
      </c>
      <c r="CP303" s="1">
        <f t="shared" si="197"/>
        <v>6.8000000000000005E-2</v>
      </c>
      <c r="CQ303" s="1">
        <f t="shared" si="198"/>
        <v>7.1999999999999995E-2</v>
      </c>
      <c r="CS303" s="1">
        <f t="shared" si="226"/>
        <v>-0.30000000000000071</v>
      </c>
      <c r="CT303" s="1">
        <f t="shared" si="227"/>
        <v>-0.29999999999999893</v>
      </c>
    </row>
    <row r="304" spans="1:98" x14ac:dyDescent="0.2">
      <c r="A304" s="8">
        <f t="shared" si="224"/>
        <v>44129</v>
      </c>
      <c r="B304" s="1">
        <v>299</v>
      </c>
      <c r="C304" s="1">
        <v>11</v>
      </c>
      <c r="D304" s="2">
        <v>12.99</v>
      </c>
      <c r="E304" s="2">
        <v>-0.73399999999999999</v>
      </c>
      <c r="F304" s="2">
        <v>-17.97</v>
      </c>
      <c r="G304" s="2">
        <v>-8.9</v>
      </c>
      <c r="H304" s="2">
        <v>88.5</v>
      </c>
      <c r="I304" s="2">
        <v>-0.46</v>
      </c>
      <c r="J304" s="2">
        <v>-2.5169999999999999</v>
      </c>
      <c r="K304" s="2">
        <v>0.50600000000000001</v>
      </c>
      <c r="L304" s="2">
        <v>2.4569999999999999</v>
      </c>
      <c r="M304" s="2">
        <v>4.62</v>
      </c>
      <c r="N304" s="2">
        <v>0.129</v>
      </c>
      <c r="O304" s="2">
        <v>95.6</v>
      </c>
      <c r="P304" s="2">
        <v>-0.246</v>
      </c>
      <c r="Q304" s="2">
        <v>-2.0249999999999999</v>
      </c>
      <c r="R304" s="2">
        <v>0.628</v>
      </c>
      <c r="S304" s="2">
        <v>2.585</v>
      </c>
      <c r="T304" s="2">
        <v>4.7679999999999998</v>
      </c>
      <c r="U304" s="2">
        <v>-16.13</v>
      </c>
      <c r="V304" s="2">
        <v>82.2</v>
      </c>
      <c r="W304" s="2">
        <v>-0.72199999999999998</v>
      </c>
      <c r="X304" s="2">
        <v>-3.1709999999999998</v>
      </c>
      <c r="Y304" s="2">
        <v>0.30099999999999999</v>
      </c>
      <c r="Z304" s="2">
        <v>2.2850000000000001</v>
      </c>
      <c r="AA304" s="2">
        <v>4.3789999999999996</v>
      </c>
      <c r="AB304" s="2">
        <v>2.0649999999999999</v>
      </c>
      <c r="AC304" s="2">
        <v>0</v>
      </c>
      <c r="AD304" s="2">
        <v>4.9029999999999996</v>
      </c>
      <c r="AE304" s="2">
        <v>5.9740000000000002</v>
      </c>
      <c r="AF304" s="2">
        <v>1.0840000000000001</v>
      </c>
      <c r="AG304" s="2">
        <v>3.8740000000000001</v>
      </c>
      <c r="AH304" s="2">
        <v>-12.42</v>
      </c>
      <c r="AI304" s="2">
        <v>-5.0289999999999999</v>
      </c>
      <c r="AJ304" s="2">
        <v>-22.74</v>
      </c>
      <c r="AK304" s="2">
        <v>2.58</v>
      </c>
      <c r="AL304" s="2">
        <v>-17.71</v>
      </c>
      <c r="AM304" s="2">
        <v>2.0939999999999999</v>
      </c>
      <c r="AN304" s="2" t="s">
        <v>122</v>
      </c>
      <c r="AO304" s="2">
        <v>336</v>
      </c>
      <c r="AP304" s="2">
        <v>1048</v>
      </c>
      <c r="AQ304" s="2">
        <v>606</v>
      </c>
      <c r="AR304" s="2">
        <v>82</v>
      </c>
      <c r="AS304" s="2">
        <v>31</v>
      </c>
      <c r="AT304" s="2">
        <v>139</v>
      </c>
      <c r="AU304" s="2">
        <v>436</v>
      </c>
      <c r="AV304" s="2">
        <v>202</v>
      </c>
      <c r="AW304" s="2"/>
      <c r="AX304" s="1">
        <f t="shared" si="231"/>
        <v>0.48499999999999988</v>
      </c>
      <c r="AY304" s="26"/>
      <c r="AZ304" s="5">
        <v>10.17</v>
      </c>
      <c r="BA304" s="1">
        <v>5.97</v>
      </c>
      <c r="BB304" s="1">
        <v>5.5</v>
      </c>
      <c r="BC304" s="6">
        <f t="shared" si="225"/>
        <v>0.92127303182579567</v>
      </c>
      <c r="BE304" s="28">
        <f t="shared" si="232"/>
        <v>0</v>
      </c>
      <c r="BF304" s="6"/>
      <c r="BG304" s="1">
        <f t="shared" si="199"/>
        <v>95.6</v>
      </c>
      <c r="BH304" s="1">
        <f t="shared" si="200"/>
        <v>88.5</v>
      </c>
      <c r="BI304" s="1">
        <f t="shared" si="201"/>
        <v>82.2</v>
      </c>
      <c r="BJ304" s="7">
        <f t="shared" si="202"/>
        <v>0.50700000000000001</v>
      </c>
      <c r="BK304" s="7">
        <f t="shared" si="203"/>
        <v>0.11</v>
      </c>
      <c r="BM304" s="5">
        <f t="shared" si="204"/>
        <v>5.97</v>
      </c>
      <c r="BN304" s="5">
        <f t="shared" si="205"/>
        <v>5.5</v>
      </c>
      <c r="BO304" s="1">
        <f t="shared" si="206"/>
        <v>-8.9</v>
      </c>
      <c r="BP304" s="1">
        <f t="shared" si="207"/>
        <v>0.1</v>
      </c>
      <c r="BQ304" s="1">
        <f t="shared" si="208"/>
        <v>-16.100000000000001</v>
      </c>
      <c r="BR304" s="1">
        <f t="shared" si="209"/>
        <v>88.5</v>
      </c>
      <c r="BS304" s="1">
        <f t="shared" si="210"/>
        <v>82.2</v>
      </c>
      <c r="BT304" s="1">
        <f t="shared" si="211"/>
        <v>1.1000000000000001</v>
      </c>
      <c r="BU304" s="1">
        <f t="shared" si="212"/>
        <v>3.9</v>
      </c>
      <c r="BV304" s="33">
        <f t="shared" si="233"/>
        <v>0</v>
      </c>
      <c r="BW304" s="34">
        <f t="shared" si="229"/>
        <v>0.48499999999999988</v>
      </c>
      <c r="BX304" s="20" t="str">
        <f t="shared" si="214"/>
        <v>NAN</v>
      </c>
      <c r="BY304" s="1">
        <f t="shared" si="215"/>
        <v>-12.4</v>
      </c>
      <c r="BZ304" s="1">
        <f t="shared" si="216"/>
        <v>-5</v>
      </c>
      <c r="CA304" s="1">
        <f t="shared" si="217"/>
        <v>-22.7</v>
      </c>
      <c r="CB304" s="1">
        <f t="shared" si="218"/>
        <v>0.5</v>
      </c>
      <c r="CC304" s="1">
        <f t="shared" si="219"/>
        <v>2.5</v>
      </c>
      <c r="CD304" s="1">
        <f t="shared" si="220"/>
        <v>4.5999999999999996</v>
      </c>
      <c r="CE304" s="1" t="str">
        <f t="shared" si="221"/>
        <v>NAN</v>
      </c>
      <c r="CF304" s="1">
        <f t="shared" si="222"/>
        <v>0.50700000000000001</v>
      </c>
      <c r="CG304" s="1">
        <f t="shared" si="223"/>
        <v>0.11</v>
      </c>
      <c r="CI304" s="1">
        <f t="shared" si="190"/>
        <v>2880</v>
      </c>
      <c r="CJ304" s="1">
        <f t="shared" si="191"/>
        <v>0.11700000000000001</v>
      </c>
      <c r="CK304" s="1">
        <f t="shared" si="192"/>
        <v>0.36399999999999999</v>
      </c>
      <c r="CL304" s="1">
        <f t="shared" si="193"/>
        <v>0.21</v>
      </c>
      <c r="CM304" s="1">
        <f t="shared" si="194"/>
        <v>2.8000000000000001E-2</v>
      </c>
      <c r="CN304" s="1">
        <f t="shared" si="195"/>
        <v>1.0999999999999999E-2</v>
      </c>
      <c r="CO304" s="1">
        <f t="shared" si="196"/>
        <v>4.8000000000000001E-2</v>
      </c>
      <c r="CP304" s="1">
        <f t="shared" si="197"/>
        <v>0.151</v>
      </c>
      <c r="CQ304" s="1">
        <f t="shared" si="198"/>
        <v>7.0000000000000007E-2</v>
      </c>
      <c r="CS304" s="1">
        <f t="shared" si="226"/>
        <v>-5.0999999999999996</v>
      </c>
      <c r="CT304" s="1">
        <f t="shared" si="227"/>
        <v>-6.5999999999999979</v>
      </c>
    </row>
    <row r="305" spans="1:98" x14ac:dyDescent="0.2">
      <c r="A305" s="8">
        <f t="shared" si="224"/>
        <v>44130</v>
      </c>
      <c r="B305" s="1">
        <v>300</v>
      </c>
      <c r="C305" s="1">
        <v>11</v>
      </c>
      <c r="D305" s="2">
        <v>12.98</v>
      </c>
      <c r="E305" s="2">
        <v>0.56499999999999995</v>
      </c>
      <c r="F305" s="2">
        <v>-8.6199999999999992</v>
      </c>
      <c r="G305" s="2">
        <v>-3.2109999999999999</v>
      </c>
      <c r="H305" s="2">
        <v>93.4</v>
      </c>
      <c r="I305" s="2">
        <v>-0.19800000000000001</v>
      </c>
      <c r="J305" s="2">
        <v>-1.8540000000000001</v>
      </c>
      <c r="K305" s="2">
        <v>0.61199999999999999</v>
      </c>
      <c r="L305" s="2">
        <v>2.4969999999999999</v>
      </c>
      <c r="M305" s="2">
        <v>4.5999999999999996</v>
      </c>
      <c r="N305" s="2">
        <v>0.33300000000000002</v>
      </c>
      <c r="O305" s="2">
        <v>96.3</v>
      </c>
      <c r="P305" s="2">
        <v>-0.04</v>
      </c>
      <c r="Q305" s="2">
        <v>-1.2370000000000001</v>
      </c>
      <c r="R305" s="2">
        <v>0.70299999999999996</v>
      </c>
      <c r="S305" s="2">
        <v>2.5760000000000001</v>
      </c>
      <c r="T305" s="2">
        <v>4.6909999999999998</v>
      </c>
      <c r="U305" s="2">
        <v>-7.8959999999999999</v>
      </c>
      <c r="V305" s="2">
        <v>89.7</v>
      </c>
      <c r="W305" s="2">
        <v>-0.34100000000000003</v>
      </c>
      <c r="X305" s="2">
        <v>-2.4340000000000002</v>
      </c>
      <c r="Y305" s="2">
        <v>0.52700000000000002</v>
      </c>
      <c r="Z305" s="2">
        <v>2.4020000000000001</v>
      </c>
      <c r="AA305" s="2">
        <v>4.4989999999999997</v>
      </c>
      <c r="AB305" s="2">
        <v>2.121</v>
      </c>
      <c r="AC305" s="2">
        <v>0</v>
      </c>
      <c r="AD305" s="2">
        <v>3.734</v>
      </c>
      <c r="AE305" s="2">
        <v>2.9220000000000002</v>
      </c>
      <c r="AF305" s="2">
        <v>0.92500000000000004</v>
      </c>
      <c r="AG305" s="2">
        <v>4.0449999999999999</v>
      </c>
      <c r="AH305" s="2">
        <v>-4.4420000000000002</v>
      </c>
      <c r="AI305" s="2">
        <v>1.885</v>
      </c>
      <c r="AJ305" s="2">
        <v>-8.58</v>
      </c>
      <c r="AK305" s="2">
        <v>2.2330000000000001</v>
      </c>
      <c r="AL305" s="2">
        <v>-8.23</v>
      </c>
      <c r="AM305" s="2">
        <v>2.1280000000000001</v>
      </c>
      <c r="AN305" s="2" t="s">
        <v>122</v>
      </c>
      <c r="AO305" s="2">
        <v>808</v>
      </c>
      <c r="AP305" s="2">
        <v>719</v>
      </c>
      <c r="AQ305" s="2">
        <v>211</v>
      </c>
      <c r="AR305" s="2">
        <v>62</v>
      </c>
      <c r="AS305" s="2">
        <v>55</v>
      </c>
      <c r="AT305" s="2">
        <v>96</v>
      </c>
      <c r="AU305" s="2">
        <v>270</v>
      </c>
      <c r="AV305" s="2">
        <v>659</v>
      </c>
      <c r="AW305" s="2"/>
      <c r="AX305" s="1">
        <f t="shared" si="231"/>
        <v>0.42899999999999983</v>
      </c>
      <c r="AY305" s="26"/>
      <c r="AZ305" s="5">
        <v>9.98</v>
      </c>
      <c r="BA305" s="1">
        <v>3.73</v>
      </c>
      <c r="BB305" s="1">
        <v>2.69</v>
      </c>
      <c r="BC305" s="6">
        <f t="shared" si="225"/>
        <v>0.72117962466487939</v>
      </c>
      <c r="BE305" s="28">
        <f t="shared" si="232"/>
        <v>0</v>
      </c>
      <c r="BF305" s="6"/>
      <c r="BG305" s="1">
        <f t="shared" si="199"/>
        <v>96.3</v>
      </c>
      <c r="BH305" s="1">
        <f t="shared" si="200"/>
        <v>93.4</v>
      </c>
      <c r="BI305" s="1">
        <f t="shared" si="201"/>
        <v>89.7</v>
      </c>
      <c r="BJ305" s="7">
        <f t="shared" si="202"/>
        <v>0.56100000000000005</v>
      </c>
      <c r="BK305" s="7">
        <f t="shared" si="203"/>
        <v>6.4000000000000001E-2</v>
      </c>
      <c r="BM305" s="5">
        <f t="shared" si="204"/>
        <v>3.73</v>
      </c>
      <c r="BN305" s="5">
        <f t="shared" si="205"/>
        <v>2.69</v>
      </c>
      <c r="BO305" s="1">
        <f t="shared" si="206"/>
        <v>-3.2</v>
      </c>
      <c r="BP305" s="1">
        <f t="shared" si="207"/>
        <v>0.3</v>
      </c>
      <c r="BQ305" s="1">
        <f t="shared" si="208"/>
        <v>-7.9</v>
      </c>
      <c r="BR305" s="1">
        <f t="shared" si="209"/>
        <v>93.4</v>
      </c>
      <c r="BS305" s="1">
        <f t="shared" si="210"/>
        <v>89.7</v>
      </c>
      <c r="BT305" s="1">
        <f t="shared" si="211"/>
        <v>0.9</v>
      </c>
      <c r="BU305" s="1">
        <f t="shared" si="212"/>
        <v>4</v>
      </c>
      <c r="BV305" s="33">
        <f t="shared" si="233"/>
        <v>0</v>
      </c>
      <c r="BW305" s="34">
        <f t="shared" si="229"/>
        <v>0.42899999999999983</v>
      </c>
      <c r="BX305" s="20" t="str">
        <f t="shared" si="214"/>
        <v>NAN</v>
      </c>
      <c r="BY305" s="1">
        <f t="shared" si="215"/>
        <v>-4.4000000000000004</v>
      </c>
      <c r="BZ305" s="1">
        <f t="shared" si="216"/>
        <v>1.9</v>
      </c>
      <c r="CA305" s="1">
        <f t="shared" si="217"/>
        <v>-8.6</v>
      </c>
      <c r="CB305" s="1">
        <f t="shared" si="218"/>
        <v>0.6</v>
      </c>
      <c r="CC305" s="1">
        <f t="shared" si="219"/>
        <v>2.5</v>
      </c>
      <c r="CD305" s="1">
        <f t="shared" si="220"/>
        <v>4.5999999999999996</v>
      </c>
      <c r="CE305" s="1" t="str">
        <f t="shared" si="221"/>
        <v>NAN</v>
      </c>
      <c r="CF305" s="1">
        <f t="shared" si="222"/>
        <v>0.56100000000000005</v>
      </c>
      <c r="CG305" s="1">
        <f t="shared" si="223"/>
        <v>6.4000000000000001E-2</v>
      </c>
      <c r="CI305" s="1">
        <f t="shared" si="190"/>
        <v>2880</v>
      </c>
      <c r="CJ305" s="1">
        <f t="shared" si="191"/>
        <v>0.28100000000000003</v>
      </c>
      <c r="CK305" s="1">
        <f t="shared" si="192"/>
        <v>0.25</v>
      </c>
      <c r="CL305" s="1">
        <f t="shared" si="193"/>
        <v>7.2999999999999995E-2</v>
      </c>
      <c r="CM305" s="1">
        <f t="shared" si="194"/>
        <v>2.1999999999999999E-2</v>
      </c>
      <c r="CN305" s="1">
        <f t="shared" si="195"/>
        <v>1.9E-2</v>
      </c>
      <c r="CO305" s="1">
        <f t="shared" si="196"/>
        <v>3.3000000000000002E-2</v>
      </c>
      <c r="CP305" s="1">
        <f t="shared" si="197"/>
        <v>9.4E-2</v>
      </c>
      <c r="CQ305" s="1">
        <f t="shared" si="198"/>
        <v>0.22900000000000001</v>
      </c>
      <c r="CS305" s="1">
        <f t="shared" si="226"/>
        <v>1.5999999999999999</v>
      </c>
      <c r="CT305" s="1">
        <f t="shared" si="227"/>
        <v>-0.69999999999999929</v>
      </c>
    </row>
    <row r="306" spans="1:98" x14ac:dyDescent="0.2">
      <c r="A306" s="8">
        <f t="shared" si="224"/>
        <v>44131</v>
      </c>
      <c r="B306" s="1">
        <v>301</v>
      </c>
      <c r="C306" s="1">
        <v>11</v>
      </c>
      <c r="D306" s="2">
        <v>12.98</v>
      </c>
      <c r="E306" s="2">
        <v>4.4080000000000004</v>
      </c>
      <c r="F306" s="2">
        <v>-4.0309999999999997</v>
      </c>
      <c r="G306" s="2">
        <v>0.34899999999999998</v>
      </c>
      <c r="H306" s="2">
        <v>91.3</v>
      </c>
      <c r="I306" s="2">
        <v>-1.7000000000000001E-2</v>
      </c>
      <c r="J306" s="2">
        <v>-1.0669999999999999</v>
      </c>
      <c r="K306" s="2">
        <v>0.65200000000000002</v>
      </c>
      <c r="L306" s="2">
        <v>2.492</v>
      </c>
      <c r="M306" s="2">
        <v>4.5650000000000004</v>
      </c>
      <c r="N306" s="2">
        <v>2.97</v>
      </c>
      <c r="O306" s="2">
        <v>95.1</v>
      </c>
      <c r="P306" s="2">
        <v>0.127</v>
      </c>
      <c r="Q306" s="2">
        <v>-0.32400000000000001</v>
      </c>
      <c r="R306" s="2">
        <v>0.79</v>
      </c>
      <c r="S306" s="2">
        <v>2.6349999999999998</v>
      </c>
      <c r="T306" s="2">
        <v>4.7290000000000001</v>
      </c>
      <c r="U306" s="2">
        <v>-2.7789999999999999</v>
      </c>
      <c r="V306" s="2">
        <v>79.900000000000006</v>
      </c>
      <c r="W306" s="2">
        <v>-0.14699999999999999</v>
      </c>
      <c r="X306" s="2">
        <v>-1.909</v>
      </c>
      <c r="Y306" s="2">
        <v>0.54500000000000004</v>
      </c>
      <c r="Z306" s="2">
        <v>2.4079999999999999</v>
      </c>
      <c r="AA306" s="2">
        <v>4.4729999999999999</v>
      </c>
      <c r="AB306" s="2">
        <v>2.1549999999999998</v>
      </c>
      <c r="AC306" s="2">
        <v>0</v>
      </c>
      <c r="AD306" s="2">
        <v>6.9749999999999996</v>
      </c>
      <c r="AE306" s="2">
        <v>4.7359999999999998</v>
      </c>
      <c r="AF306" s="2">
        <v>1.954</v>
      </c>
      <c r="AG306" s="2">
        <v>5.9630000000000001</v>
      </c>
      <c r="AH306" s="2">
        <v>-1.385</v>
      </c>
      <c r="AI306" s="2">
        <v>2.726</v>
      </c>
      <c r="AJ306" s="2">
        <v>-6.8609999999999998</v>
      </c>
      <c r="AK306" s="2">
        <v>6.8849999999999998</v>
      </c>
      <c r="AL306" s="2">
        <v>-2.3359999999999999</v>
      </c>
      <c r="AM306" s="2">
        <v>2.145</v>
      </c>
      <c r="AN306" s="2" t="s">
        <v>122</v>
      </c>
      <c r="AO306" s="2">
        <v>441</v>
      </c>
      <c r="AP306" s="2">
        <v>270</v>
      </c>
      <c r="AQ306" s="2">
        <v>186</v>
      </c>
      <c r="AR306" s="2">
        <v>182</v>
      </c>
      <c r="AS306" s="2">
        <v>201</v>
      </c>
      <c r="AT306" s="2">
        <v>278</v>
      </c>
      <c r="AU306" s="2">
        <v>566</v>
      </c>
      <c r="AV306" s="2">
        <v>756</v>
      </c>
      <c r="AW306" s="2"/>
      <c r="AX306" s="1">
        <f t="shared" si="231"/>
        <v>0.39500000000000002</v>
      </c>
      <c r="AY306" s="26"/>
      <c r="AZ306" s="5">
        <v>9.8000000000000007</v>
      </c>
      <c r="BA306" s="1">
        <v>6.97</v>
      </c>
      <c r="BB306" s="1">
        <v>4.3600000000000003</v>
      </c>
      <c r="BC306" s="6">
        <f t="shared" si="225"/>
        <v>0.62553802008608328</v>
      </c>
      <c r="BE306" s="28">
        <f t="shared" si="232"/>
        <v>0</v>
      </c>
      <c r="BF306" s="6"/>
      <c r="BG306" s="1">
        <f t="shared" si="199"/>
        <v>95.1</v>
      </c>
      <c r="BH306" s="1">
        <f t="shared" si="200"/>
        <v>91.3</v>
      </c>
      <c r="BI306" s="1">
        <f t="shared" si="201"/>
        <v>79.900000000000006</v>
      </c>
      <c r="BJ306" s="7">
        <f t="shared" si="202"/>
        <v>0.60399999999999998</v>
      </c>
      <c r="BK306" s="7">
        <f t="shared" si="203"/>
        <v>0.152</v>
      </c>
      <c r="BM306" s="5">
        <f t="shared" si="204"/>
        <v>6.97</v>
      </c>
      <c r="BN306" s="5">
        <f t="shared" si="205"/>
        <v>4.3600000000000003</v>
      </c>
      <c r="BO306" s="1">
        <f t="shared" si="206"/>
        <v>0.3</v>
      </c>
      <c r="BP306" s="1">
        <f t="shared" si="207"/>
        <v>3</v>
      </c>
      <c r="BQ306" s="1">
        <f t="shared" si="208"/>
        <v>-2.8</v>
      </c>
      <c r="BR306" s="1">
        <f t="shared" si="209"/>
        <v>91.3</v>
      </c>
      <c r="BS306" s="1">
        <f t="shared" si="210"/>
        <v>79.900000000000006</v>
      </c>
      <c r="BT306" s="1">
        <f t="shared" si="211"/>
        <v>2</v>
      </c>
      <c r="BU306" s="1">
        <f t="shared" si="212"/>
        <v>6</v>
      </c>
      <c r="BV306" s="33">
        <f t="shared" si="233"/>
        <v>0</v>
      </c>
      <c r="BW306" s="34">
        <f t="shared" si="229"/>
        <v>0.39500000000000002</v>
      </c>
      <c r="BX306" s="20" t="str">
        <f t="shared" si="214"/>
        <v>NAN</v>
      </c>
      <c r="BY306" s="1">
        <f t="shared" si="215"/>
        <v>-1.4</v>
      </c>
      <c r="BZ306" s="1">
        <f t="shared" si="216"/>
        <v>2.7</v>
      </c>
      <c r="CA306" s="1">
        <f t="shared" si="217"/>
        <v>-6.9</v>
      </c>
      <c r="CB306" s="1">
        <f t="shared" si="218"/>
        <v>0.7</v>
      </c>
      <c r="CC306" s="1">
        <f t="shared" si="219"/>
        <v>2.5</v>
      </c>
      <c r="CD306" s="1">
        <f t="shared" si="220"/>
        <v>4.5999999999999996</v>
      </c>
      <c r="CE306" s="1" t="str">
        <f t="shared" si="221"/>
        <v>NAN</v>
      </c>
      <c r="CF306" s="1">
        <f t="shared" si="222"/>
        <v>0.60399999999999998</v>
      </c>
      <c r="CG306" s="1">
        <f t="shared" si="223"/>
        <v>0.152</v>
      </c>
      <c r="CI306" s="1">
        <f t="shared" si="190"/>
        <v>2880</v>
      </c>
      <c r="CJ306" s="1">
        <f t="shared" si="191"/>
        <v>0.153</v>
      </c>
      <c r="CK306" s="1">
        <f t="shared" si="192"/>
        <v>9.4E-2</v>
      </c>
      <c r="CL306" s="1">
        <f t="shared" si="193"/>
        <v>6.5000000000000002E-2</v>
      </c>
      <c r="CM306" s="1">
        <f t="shared" si="194"/>
        <v>6.3E-2</v>
      </c>
      <c r="CN306" s="1">
        <f t="shared" si="195"/>
        <v>7.0000000000000007E-2</v>
      </c>
      <c r="CO306" s="1">
        <f t="shared" si="196"/>
        <v>9.7000000000000003E-2</v>
      </c>
      <c r="CP306" s="1">
        <f t="shared" si="197"/>
        <v>0.19700000000000001</v>
      </c>
      <c r="CQ306" s="1">
        <f t="shared" si="198"/>
        <v>0.26300000000000001</v>
      </c>
      <c r="CS306" s="1">
        <f t="shared" si="226"/>
        <v>-0.29999999999999982</v>
      </c>
      <c r="CT306" s="1">
        <f t="shared" si="227"/>
        <v>-4.1000000000000005</v>
      </c>
    </row>
    <row r="307" spans="1:98" x14ac:dyDescent="0.2">
      <c r="A307" s="8">
        <f t="shared" si="224"/>
        <v>44132</v>
      </c>
      <c r="B307" s="1">
        <v>302</v>
      </c>
      <c r="C307" s="1">
        <v>11</v>
      </c>
      <c r="D307" s="2">
        <v>12.97</v>
      </c>
      <c r="E307" s="2">
        <v>6.5469999999999997</v>
      </c>
      <c r="F307" s="2">
        <v>1.5429999999999999</v>
      </c>
      <c r="G307" s="2">
        <v>3.6339999999999999</v>
      </c>
      <c r="H307" s="2">
        <v>82.6</v>
      </c>
      <c r="I307" s="2">
        <v>0.108</v>
      </c>
      <c r="J307" s="2">
        <v>-3.3000000000000002E-2</v>
      </c>
      <c r="K307" s="2">
        <v>0.66300000000000003</v>
      </c>
      <c r="L307" s="2">
        <v>2.4830000000000001</v>
      </c>
      <c r="M307" s="2">
        <v>4.5279999999999996</v>
      </c>
      <c r="N307" s="2">
        <v>6.617</v>
      </c>
      <c r="O307" s="2">
        <v>92.2</v>
      </c>
      <c r="P307" s="2">
        <v>0.20300000000000001</v>
      </c>
      <c r="Q307" s="2">
        <v>0.15</v>
      </c>
      <c r="R307" s="2">
        <v>0.80200000000000005</v>
      </c>
      <c r="S307" s="2">
        <v>2.6030000000000002</v>
      </c>
      <c r="T307" s="2">
        <v>4.6390000000000002</v>
      </c>
      <c r="U307" s="2">
        <v>2.4300000000000002</v>
      </c>
      <c r="V307" s="2">
        <v>69.62</v>
      </c>
      <c r="W307" s="2">
        <v>0.01</v>
      </c>
      <c r="X307" s="2">
        <v>-0.39900000000000002</v>
      </c>
      <c r="Y307" s="2">
        <v>0.55300000000000005</v>
      </c>
      <c r="Z307" s="2">
        <v>2.3740000000000001</v>
      </c>
      <c r="AA307" s="2">
        <v>4.4139999999999997</v>
      </c>
      <c r="AB307" s="2">
        <v>2.2850000000000001</v>
      </c>
      <c r="AC307" s="2">
        <v>1.524</v>
      </c>
      <c r="AD307" s="2">
        <v>4.6959999999999997</v>
      </c>
      <c r="AE307" s="2">
        <v>3.1859999999999999</v>
      </c>
      <c r="AF307" s="2">
        <v>2.6789999999999998</v>
      </c>
      <c r="AG307" s="2">
        <v>6.2290000000000001</v>
      </c>
      <c r="AH307" s="2">
        <v>1.694</v>
      </c>
      <c r="AI307" s="2">
        <v>4.5389999999999997</v>
      </c>
      <c r="AJ307" s="2">
        <v>1.0129999999999999</v>
      </c>
      <c r="AK307" s="2">
        <v>8.26</v>
      </c>
      <c r="AL307" s="2">
        <v>2.3130000000000002</v>
      </c>
      <c r="AM307" s="2">
        <v>2.2709999999999999</v>
      </c>
      <c r="AN307" s="2" t="s">
        <v>122</v>
      </c>
      <c r="AO307" s="2">
        <v>491</v>
      </c>
      <c r="AP307" s="2">
        <v>44</v>
      </c>
      <c r="AQ307" s="2">
        <v>6</v>
      </c>
      <c r="AR307" s="2">
        <v>5</v>
      </c>
      <c r="AS307" s="2">
        <v>34</v>
      </c>
      <c r="AT307" s="2">
        <v>178</v>
      </c>
      <c r="AU307" s="2">
        <v>839</v>
      </c>
      <c r="AV307" s="2">
        <v>1283</v>
      </c>
      <c r="AW307" s="2"/>
      <c r="AX307" s="1">
        <f t="shared" si="231"/>
        <v>0.26499999999999968</v>
      </c>
      <c r="AY307" s="26"/>
      <c r="AZ307" s="5">
        <v>9.6199999999999992</v>
      </c>
      <c r="BA307" s="1">
        <v>4.7</v>
      </c>
      <c r="BB307" s="1">
        <v>2.93</v>
      </c>
      <c r="BC307" s="6">
        <f t="shared" si="225"/>
        <v>0.62340425531914889</v>
      </c>
      <c r="BE307" s="28">
        <f t="shared" si="232"/>
        <v>0</v>
      </c>
      <c r="BF307" s="6"/>
      <c r="BG307" s="1">
        <f t="shared" si="199"/>
        <v>92.2</v>
      </c>
      <c r="BH307" s="1">
        <f t="shared" si="200"/>
        <v>82.6</v>
      </c>
      <c r="BI307" s="1">
        <f t="shared" si="201"/>
        <v>69.599999999999994</v>
      </c>
      <c r="BJ307" s="7">
        <f t="shared" si="202"/>
        <v>0.67900000000000005</v>
      </c>
      <c r="BK307" s="7">
        <f t="shared" si="203"/>
        <v>0.29699999999999999</v>
      </c>
      <c r="BM307" s="5">
        <f t="shared" si="204"/>
        <v>4.7</v>
      </c>
      <c r="BN307" s="5">
        <f t="shared" si="205"/>
        <v>2.93</v>
      </c>
      <c r="BO307" s="1">
        <f t="shared" si="206"/>
        <v>3.6</v>
      </c>
      <c r="BP307" s="1">
        <f t="shared" si="207"/>
        <v>6.6</v>
      </c>
      <c r="BQ307" s="1">
        <f t="shared" si="208"/>
        <v>2.4</v>
      </c>
      <c r="BR307" s="1">
        <f t="shared" si="209"/>
        <v>82.6</v>
      </c>
      <c r="BS307" s="1">
        <f t="shared" si="210"/>
        <v>69.599999999999994</v>
      </c>
      <c r="BT307" s="1">
        <f t="shared" si="211"/>
        <v>2.7</v>
      </c>
      <c r="BU307" s="1">
        <f t="shared" si="212"/>
        <v>6.2</v>
      </c>
      <c r="BV307" s="33">
        <f t="shared" si="233"/>
        <v>0</v>
      </c>
      <c r="BW307" s="34">
        <f t="shared" si="229"/>
        <v>0.26499999999999968</v>
      </c>
      <c r="BX307" s="20" t="str">
        <f t="shared" si="214"/>
        <v>NAN</v>
      </c>
      <c r="BY307" s="1">
        <f t="shared" si="215"/>
        <v>1.7</v>
      </c>
      <c r="BZ307" s="1">
        <f t="shared" si="216"/>
        <v>4.5</v>
      </c>
      <c r="CA307" s="1">
        <f t="shared" si="217"/>
        <v>1</v>
      </c>
      <c r="CB307" s="1">
        <f t="shared" si="218"/>
        <v>0.7</v>
      </c>
      <c r="CC307" s="1">
        <f t="shared" si="219"/>
        <v>2.5</v>
      </c>
      <c r="CD307" s="1">
        <f t="shared" si="220"/>
        <v>4.5</v>
      </c>
      <c r="CE307" s="1" t="str">
        <f t="shared" si="221"/>
        <v>NAN</v>
      </c>
      <c r="CF307" s="1">
        <f t="shared" si="222"/>
        <v>0.67900000000000005</v>
      </c>
      <c r="CG307" s="1">
        <f t="shared" si="223"/>
        <v>0.29699999999999999</v>
      </c>
      <c r="CI307" s="1">
        <f t="shared" si="190"/>
        <v>2880</v>
      </c>
      <c r="CJ307" s="1">
        <f t="shared" si="191"/>
        <v>0.17</v>
      </c>
      <c r="CK307" s="1">
        <f t="shared" si="192"/>
        <v>1.4999999999999999E-2</v>
      </c>
      <c r="CL307" s="1">
        <f t="shared" si="193"/>
        <v>2E-3</v>
      </c>
      <c r="CM307" s="1">
        <f t="shared" si="194"/>
        <v>2E-3</v>
      </c>
      <c r="CN307" s="1">
        <f t="shared" si="195"/>
        <v>1.2E-2</v>
      </c>
      <c r="CO307" s="1">
        <f t="shared" si="196"/>
        <v>6.2E-2</v>
      </c>
      <c r="CP307" s="1">
        <f t="shared" si="197"/>
        <v>0.29099999999999998</v>
      </c>
      <c r="CQ307" s="1">
        <f t="shared" si="198"/>
        <v>0.44500000000000001</v>
      </c>
      <c r="CS307" s="1">
        <f t="shared" si="226"/>
        <v>-2.0999999999999996</v>
      </c>
      <c r="CT307" s="1">
        <f t="shared" si="227"/>
        <v>-1.4</v>
      </c>
    </row>
    <row r="308" spans="1:98" x14ac:dyDescent="0.2">
      <c r="A308" s="8">
        <f t="shared" si="224"/>
        <v>44133</v>
      </c>
      <c r="B308" s="1">
        <v>303</v>
      </c>
      <c r="C308" s="1">
        <v>11</v>
      </c>
      <c r="D308" s="2">
        <v>12.97</v>
      </c>
      <c r="E308" s="2">
        <v>7.8620000000000001</v>
      </c>
      <c r="F308" s="2">
        <v>-0.20100000000000001</v>
      </c>
      <c r="G308" s="2">
        <v>3.8380000000000001</v>
      </c>
      <c r="H308" s="2">
        <v>77.42</v>
      </c>
      <c r="I308" s="2">
        <v>0.161</v>
      </c>
      <c r="J308" s="2">
        <v>0.28199999999999997</v>
      </c>
      <c r="K308" s="2">
        <v>0.57699999999999996</v>
      </c>
      <c r="L308" s="2">
        <v>2.4009999999999998</v>
      </c>
      <c r="M308" s="2">
        <v>4.4379999999999997</v>
      </c>
      <c r="N308" s="2">
        <v>8.2799999999999994</v>
      </c>
      <c r="O308" s="2">
        <v>87.9</v>
      </c>
      <c r="P308" s="2">
        <v>0.29799999999999999</v>
      </c>
      <c r="Q308" s="2">
        <v>3.1829999999999998</v>
      </c>
      <c r="R308" s="2">
        <v>0.67700000000000005</v>
      </c>
      <c r="S308" s="2">
        <v>2.512</v>
      </c>
      <c r="T308" s="2">
        <v>4.5460000000000003</v>
      </c>
      <c r="U308" s="2">
        <v>1.823</v>
      </c>
      <c r="V308" s="2">
        <v>60.36</v>
      </c>
      <c r="W308" s="2">
        <v>7.0999999999999994E-2</v>
      </c>
      <c r="X308" s="2">
        <v>-1.5720000000000001</v>
      </c>
      <c r="Y308" s="2">
        <v>0.47</v>
      </c>
      <c r="Z308" s="2">
        <v>2.2970000000000002</v>
      </c>
      <c r="AA308" s="2">
        <v>4.3339999999999996</v>
      </c>
      <c r="AB308" s="2">
        <v>2.3319999999999999</v>
      </c>
      <c r="AC308" s="2">
        <v>1.27</v>
      </c>
      <c r="AD308" s="2">
        <v>6.0259999999999998</v>
      </c>
      <c r="AE308" s="2">
        <v>3.718</v>
      </c>
      <c r="AF308" s="2">
        <v>1.6040000000000001</v>
      </c>
      <c r="AG308" s="2">
        <v>5.85</v>
      </c>
      <c r="AH308" s="2">
        <v>1.508</v>
      </c>
      <c r="AI308" s="2">
        <v>5.4249999999999998</v>
      </c>
      <c r="AJ308" s="2">
        <v>-1.2350000000000001</v>
      </c>
      <c r="AK308" s="2">
        <v>10.84</v>
      </c>
      <c r="AL308" s="2">
        <v>1.665</v>
      </c>
      <c r="AM308" s="2">
        <v>2.3199999999999998</v>
      </c>
      <c r="AN308" s="2" t="s">
        <v>122</v>
      </c>
      <c r="AO308" s="2">
        <v>283</v>
      </c>
      <c r="AP308" s="2">
        <v>52</v>
      </c>
      <c r="AQ308" s="2">
        <v>33</v>
      </c>
      <c r="AR308" s="2">
        <v>144</v>
      </c>
      <c r="AS308" s="2">
        <v>378</v>
      </c>
      <c r="AT308" s="2">
        <v>582</v>
      </c>
      <c r="AU308" s="2">
        <v>715</v>
      </c>
      <c r="AV308" s="2">
        <v>693</v>
      </c>
      <c r="AW308" s="2"/>
      <c r="AX308" s="1">
        <f t="shared" si="231"/>
        <v>0.21799999999999997</v>
      </c>
      <c r="AY308" s="26"/>
      <c r="AZ308" s="5">
        <v>9.44</v>
      </c>
      <c r="BA308" s="1">
        <v>6.03</v>
      </c>
      <c r="BB308" s="1">
        <v>3.42</v>
      </c>
      <c r="BC308" s="6">
        <f t="shared" si="225"/>
        <v>0.56716417910447758</v>
      </c>
      <c r="BE308" s="28">
        <f t="shared" si="232"/>
        <v>0</v>
      </c>
      <c r="BF308" s="6"/>
      <c r="BG308" s="1">
        <f t="shared" si="199"/>
        <v>87.9</v>
      </c>
      <c r="BH308" s="1">
        <f t="shared" si="200"/>
        <v>77.400000000000006</v>
      </c>
      <c r="BI308" s="1">
        <f t="shared" si="201"/>
        <v>60.4</v>
      </c>
      <c r="BJ308" s="7">
        <f t="shared" si="202"/>
        <v>0.66</v>
      </c>
      <c r="BK308" s="7">
        <f t="shared" si="203"/>
        <v>0.433</v>
      </c>
      <c r="BM308" s="5">
        <f t="shared" si="204"/>
        <v>6.03</v>
      </c>
      <c r="BN308" s="5">
        <f t="shared" si="205"/>
        <v>3.42</v>
      </c>
      <c r="BO308" s="1">
        <f t="shared" si="206"/>
        <v>3.8</v>
      </c>
      <c r="BP308" s="1">
        <f t="shared" si="207"/>
        <v>8.3000000000000007</v>
      </c>
      <c r="BQ308" s="1">
        <f t="shared" si="208"/>
        <v>1.8</v>
      </c>
      <c r="BR308" s="1">
        <f t="shared" si="209"/>
        <v>77.400000000000006</v>
      </c>
      <c r="BS308" s="1">
        <f t="shared" si="210"/>
        <v>60.4</v>
      </c>
      <c r="BT308" s="1">
        <f t="shared" si="211"/>
        <v>1.6</v>
      </c>
      <c r="BU308" s="1">
        <f t="shared" si="212"/>
        <v>5.9</v>
      </c>
      <c r="BV308" s="33">
        <f t="shared" si="233"/>
        <v>0</v>
      </c>
      <c r="BW308" s="34">
        <f t="shared" si="229"/>
        <v>0.21799999999999997</v>
      </c>
      <c r="BX308" s="20" t="str">
        <f t="shared" si="214"/>
        <v>NAN</v>
      </c>
      <c r="BY308" s="1">
        <f t="shared" si="215"/>
        <v>1.5</v>
      </c>
      <c r="BZ308" s="1">
        <f t="shared" si="216"/>
        <v>5.4</v>
      </c>
      <c r="CA308" s="1">
        <f t="shared" si="217"/>
        <v>-1.2</v>
      </c>
      <c r="CB308" s="1">
        <f t="shared" si="218"/>
        <v>0.6</v>
      </c>
      <c r="CC308" s="1">
        <f t="shared" si="219"/>
        <v>2.4</v>
      </c>
      <c r="CD308" s="1">
        <f t="shared" si="220"/>
        <v>4.4000000000000004</v>
      </c>
      <c r="CE308" s="1" t="str">
        <f t="shared" si="221"/>
        <v>NAN</v>
      </c>
      <c r="CF308" s="1">
        <f t="shared" si="222"/>
        <v>0.66</v>
      </c>
      <c r="CG308" s="1">
        <f t="shared" si="223"/>
        <v>0.433</v>
      </c>
      <c r="CI308" s="1">
        <f t="shared" si="190"/>
        <v>2880</v>
      </c>
      <c r="CJ308" s="1">
        <f t="shared" si="191"/>
        <v>9.8000000000000004E-2</v>
      </c>
      <c r="CK308" s="1">
        <f t="shared" si="192"/>
        <v>1.7999999999999999E-2</v>
      </c>
      <c r="CL308" s="1">
        <f t="shared" si="193"/>
        <v>1.0999999999999999E-2</v>
      </c>
      <c r="CM308" s="1">
        <f t="shared" si="194"/>
        <v>0.05</v>
      </c>
      <c r="CN308" s="1">
        <f t="shared" si="195"/>
        <v>0.13100000000000001</v>
      </c>
      <c r="CO308" s="1">
        <f t="shared" si="196"/>
        <v>0.20200000000000001</v>
      </c>
      <c r="CP308" s="1">
        <f t="shared" si="197"/>
        <v>0.248</v>
      </c>
      <c r="CQ308" s="1">
        <f t="shared" si="198"/>
        <v>0.24099999999999999</v>
      </c>
      <c r="CS308" s="1">
        <f t="shared" si="226"/>
        <v>-2.9000000000000004</v>
      </c>
      <c r="CT308" s="1">
        <f t="shared" si="227"/>
        <v>-3</v>
      </c>
    </row>
    <row r="309" spans="1:98" x14ac:dyDescent="0.2">
      <c r="A309" s="8">
        <f t="shared" si="224"/>
        <v>44134</v>
      </c>
      <c r="B309" s="1">
        <v>304</v>
      </c>
      <c r="C309" s="1">
        <v>11</v>
      </c>
      <c r="D309" s="2">
        <v>12.96</v>
      </c>
      <c r="E309" s="2">
        <v>4.3419999999999996</v>
      </c>
      <c r="F309" s="2">
        <v>-5.8739999999999997</v>
      </c>
      <c r="G309" s="2">
        <v>0.22900000000000001</v>
      </c>
      <c r="H309" s="2">
        <v>75.78</v>
      </c>
      <c r="I309" s="2">
        <v>0.127</v>
      </c>
      <c r="J309" s="2">
        <v>-0.85399999999999998</v>
      </c>
      <c r="K309" s="2">
        <v>0.498</v>
      </c>
      <c r="L309" s="2">
        <v>2.3079999999999998</v>
      </c>
      <c r="M309" s="2">
        <v>4.3380000000000001</v>
      </c>
      <c r="N309" s="2">
        <v>3.4750000000000001</v>
      </c>
      <c r="O309" s="2">
        <v>95.2</v>
      </c>
      <c r="P309" s="2">
        <v>0.33700000000000002</v>
      </c>
      <c r="Q309" s="2">
        <v>5.774</v>
      </c>
      <c r="R309" s="2">
        <v>0.61</v>
      </c>
      <c r="S309" s="2">
        <v>2.431</v>
      </c>
      <c r="T309" s="2">
        <v>4.4610000000000003</v>
      </c>
      <c r="U309" s="2">
        <v>-3.9319999999999999</v>
      </c>
      <c r="V309" s="2">
        <v>55.38</v>
      </c>
      <c r="W309" s="2">
        <v>-8.9999999999999993E-3</v>
      </c>
      <c r="X309" s="2">
        <v>-7.3780000000000001</v>
      </c>
      <c r="Y309" s="2">
        <v>0.38100000000000001</v>
      </c>
      <c r="Z309" s="2">
        <v>2.1859999999999999</v>
      </c>
      <c r="AA309" s="2">
        <v>4.2140000000000004</v>
      </c>
      <c r="AB309" s="2">
        <v>2.343</v>
      </c>
      <c r="AC309" s="2">
        <v>0</v>
      </c>
      <c r="AD309" s="2">
        <v>7.5439999999999996</v>
      </c>
      <c r="AE309" s="2">
        <v>4.2779999999999996</v>
      </c>
      <c r="AF309" s="2">
        <v>2.0129999999999999</v>
      </c>
      <c r="AG309" s="2">
        <v>6.6870000000000003</v>
      </c>
      <c r="AH309" s="2">
        <v>-1.4219999999999999</v>
      </c>
      <c r="AI309" s="2">
        <v>3.3210000000000002</v>
      </c>
      <c r="AJ309" s="2">
        <v>-7.7759999999999998</v>
      </c>
      <c r="AK309" s="2">
        <v>5.6719999999999997</v>
      </c>
      <c r="AL309" s="2">
        <v>-4.2389999999999999</v>
      </c>
      <c r="AM309" s="2">
        <v>2.36</v>
      </c>
      <c r="AN309" s="2" t="s">
        <v>122</v>
      </c>
      <c r="AO309" s="2">
        <v>478</v>
      </c>
      <c r="AP309" s="2">
        <v>196</v>
      </c>
      <c r="AQ309" s="2">
        <v>60</v>
      </c>
      <c r="AR309" s="2">
        <v>44</v>
      </c>
      <c r="AS309" s="2">
        <v>206</v>
      </c>
      <c r="AT309" s="2">
        <v>446</v>
      </c>
      <c r="AU309" s="2">
        <v>734</v>
      </c>
      <c r="AV309" s="2">
        <v>716</v>
      </c>
      <c r="AW309" s="2"/>
      <c r="AX309" s="1">
        <f t="shared" si="231"/>
        <v>0.20699999999999985</v>
      </c>
      <c r="AY309" s="26"/>
      <c r="AZ309" s="5">
        <v>9.26</v>
      </c>
      <c r="BA309" s="1">
        <v>7.54</v>
      </c>
      <c r="BB309" s="1">
        <v>3.94</v>
      </c>
      <c r="BC309" s="6">
        <f t="shared" si="225"/>
        <v>0.52254641909814326</v>
      </c>
      <c r="BE309" s="28">
        <f t="shared" si="232"/>
        <v>0</v>
      </c>
      <c r="BF309" s="6"/>
      <c r="BG309" s="1">
        <f t="shared" si="199"/>
        <v>95.2</v>
      </c>
      <c r="BH309" s="1">
        <f t="shared" si="200"/>
        <v>75.8</v>
      </c>
      <c r="BI309" s="1">
        <f t="shared" si="201"/>
        <v>55.4</v>
      </c>
      <c r="BJ309" s="7">
        <f t="shared" si="202"/>
        <v>0.434</v>
      </c>
      <c r="BK309" s="7">
        <f t="shared" si="203"/>
        <v>0.34899999999999998</v>
      </c>
      <c r="BM309" s="5">
        <f t="shared" si="204"/>
        <v>7.54</v>
      </c>
      <c r="BN309" s="5">
        <f t="shared" si="205"/>
        <v>3.94</v>
      </c>
      <c r="BO309" s="1">
        <f t="shared" si="206"/>
        <v>0.2</v>
      </c>
      <c r="BP309" s="1">
        <f t="shared" si="207"/>
        <v>3.5</v>
      </c>
      <c r="BQ309" s="1">
        <f t="shared" si="208"/>
        <v>-3.9</v>
      </c>
      <c r="BR309" s="1">
        <f t="shared" si="209"/>
        <v>75.8</v>
      </c>
      <c r="BS309" s="1">
        <f t="shared" si="210"/>
        <v>55.4</v>
      </c>
      <c r="BT309" s="1">
        <f t="shared" si="211"/>
        <v>2</v>
      </c>
      <c r="BU309" s="1">
        <f t="shared" si="212"/>
        <v>6.7</v>
      </c>
      <c r="BV309" s="33">
        <f t="shared" si="233"/>
        <v>0</v>
      </c>
      <c r="BW309" s="34">
        <f t="shared" si="229"/>
        <v>0.20699999999999985</v>
      </c>
      <c r="BX309" s="20" t="str">
        <f t="shared" si="214"/>
        <v>NAN</v>
      </c>
      <c r="BY309" s="1">
        <f t="shared" si="215"/>
        <v>-1.4</v>
      </c>
      <c r="BZ309" s="1">
        <f t="shared" si="216"/>
        <v>3.3</v>
      </c>
      <c r="CA309" s="1">
        <f t="shared" si="217"/>
        <v>-7.8</v>
      </c>
      <c r="CB309" s="1">
        <f t="shared" si="218"/>
        <v>0.5</v>
      </c>
      <c r="CC309" s="1">
        <f t="shared" si="219"/>
        <v>2.2999999999999998</v>
      </c>
      <c r="CD309" s="1">
        <f t="shared" si="220"/>
        <v>4.3</v>
      </c>
      <c r="CE309" s="1" t="str">
        <f t="shared" si="221"/>
        <v>NAN</v>
      </c>
      <c r="CF309" s="1">
        <f t="shared" si="222"/>
        <v>0.434</v>
      </c>
      <c r="CG309" s="1">
        <f t="shared" si="223"/>
        <v>0.34899999999999998</v>
      </c>
      <c r="CI309" s="1">
        <f t="shared" si="190"/>
        <v>2880</v>
      </c>
      <c r="CJ309" s="1">
        <f t="shared" si="191"/>
        <v>0.16600000000000001</v>
      </c>
      <c r="CK309" s="1">
        <f t="shared" si="192"/>
        <v>6.8000000000000005E-2</v>
      </c>
      <c r="CL309" s="1">
        <f t="shared" si="193"/>
        <v>2.1000000000000001E-2</v>
      </c>
      <c r="CM309" s="1">
        <f t="shared" si="194"/>
        <v>1.4999999999999999E-2</v>
      </c>
      <c r="CN309" s="1">
        <f t="shared" si="195"/>
        <v>7.1999999999999995E-2</v>
      </c>
      <c r="CO309" s="1">
        <f t="shared" si="196"/>
        <v>0.155</v>
      </c>
      <c r="CP309" s="1">
        <f t="shared" si="197"/>
        <v>0.255</v>
      </c>
      <c r="CQ309" s="1">
        <f t="shared" si="198"/>
        <v>0.249</v>
      </c>
      <c r="CS309" s="1">
        <f t="shared" si="226"/>
        <v>-0.20000000000000018</v>
      </c>
      <c r="CT309" s="1">
        <f t="shared" si="227"/>
        <v>-3.9</v>
      </c>
    </row>
    <row r="310" spans="1:98" x14ac:dyDescent="0.2">
      <c r="A310" s="8">
        <f t="shared" si="224"/>
        <v>44135</v>
      </c>
      <c r="B310" s="1">
        <v>305</v>
      </c>
      <c r="C310" s="1">
        <v>11</v>
      </c>
      <c r="D310" s="2">
        <v>12.96</v>
      </c>
      <c r="E310" s="2">
        <v>4.9880000000000004</v>
      </c>
      <c r="F310" s="2">
        <v>-9.23</v>
      </c>
      <c r="G310" s="2">
        <v>-1.284</v>
      </c>
      <c r="H310" s="2">
        <v>70.400000000000006</v>
      </c>
      <c r="I310" s="2">
        <v>0.03</v>
      </c>
      <c r="J310" s="2">
        <v>-4.6609999999999996</v>
      </c>
      <c r="K310" s="2">
        <v>0.45600000000000002</v>
      </c>
      <c r="L310" s="2">
        <v>2.2309999999999999</v>
      </c>
      <c r="M310" s="2">
        <v>4.2519999999999998</v>
      </c>
      <c r="N310" s="2">
        <v>5.3</v>
      </c>
      <c r="O310" s="2">
        <v>94.7</v>
      </c>
      <c r="P310" s="2">
        <v>0.20799999999999999</v>
      </c>
      <c r="Q310" s="2">
        <v>6.8710000000000004</v>
      </c>
      <c r="R310" s="2">
        <v>0.61</v>
      </c>
      <c r="S310" s="2">
        <v>2.3690000000000002</v>
      </c>
      <c r="T310" s="2">
        <v>4.4089999999999998</v>
      </c>
      <c r="U310" s="2">
        <v>-6.74</v>
      </c>
      <c r="V310" s="2">
        <v>42.79</v>
      </c>
      <c r="W310" s="2">
        <v>-0.13700000000000001</v>
      </c>
      <c r="X310" s="2">
        <v>-11.67</v>
      </c>
      <c r="Y310" s="2">
        <v>0.35299999999999998</v>
      </c>
      <c r="Z310" s="2">
        <v>2.141</v>
      </c>
      <c r="AA310" s="2">
        <v>4.1219999999999999</v>
      </c>
      <c r="AB310" s="2">
        <v>2.3439999999999999</v>
      </c>
      <c r="AC310" s="2">
        <v>0</v>
      </c>
      <c r="AD310" s="2">
        <v>7.3280000000000003</v>
      </c>
      <c r="AE310" s="2">
        <v>4.0960000000000001</v>
      </c>
      <c r="AF310" s="2">
        <v>0.66</v>
      </c>
      <c r="AG310" s="2">
        <v>2.4470000000000001</v>
      </c>
      <c r="AH310" s="2">
        <v>-5.234</v>
      </c>
      <c r="AI310" s="2">
        <v>3.96</v>
      </c>
      <c r="AJ310" s="2">
        <v>-11.28</v>
      </c>
      <c r="AK310" s="2">
        <v>8.85</v>
      </c>
      <c r="AL310" s="2">
        <v>-7.7770000000000001</v>
      </c>
      <c r="AM310" s="2">
        <v>2.3460000000000001</v>
      </c>
      <c r="AN310" s="2" t="s">
        <v>122</v>
      </c>
      <c r="AO310" s="2">
        <v>72</v>
      </c>
      <c r="AP310" s="2">
        <v>180</v>
      </c>
      <c r="AQ310" s="2">
        <v>956</v>
      </c>
      <c r="AR310" s="2">
        <v>304</v>
      </c>
      <c r="AS310" s="2">
        <v>320</v>
      </c>
      <c r="AT310" s="2">
        <v>455</v>
      </c>
      <c r="AU310" s="2">
        <v>411</v>
      </c>
      <c r="AV310" s="2">
        <v>182</v>
      </c>
      <c r="AW310" s="2"/>
      <c r="AX310" s="1">
        <f t="shared" si="231"/>
        <v>0.20599999999999996</v>
      </c>
      <c r="AY310" s="26"/>
      <c r="AZ310" s="5">
        <v>9.09</v>
      </c>
      <c r="BA310" s="1">
        <v>7.33</v>
      </c>
      <c r="BB310" s="1">
        <v>3.77</v>
      </c>
      <c r="BC310" s="6">
        <f t="shared" si="225"/>
        <v>0.514324693042292</v>
      </c>
      <c r="BE310" s="28">
        <f t="shared" si="232"/>
        <v>0</v>
      </c>
      <c r="BF310" s="6"/>
      <c r="BG310" s="1">
        <f t="shared" si="199"/>
        <v>94.7</v>
      </c>
      <c r="BH310" s="1">
        <f t="shared" si="200"/>
        <v>70.400000000000006</v>
      </c>
      <c r="BI310" s="1">
        <f t="shared" si="201"/>
        <v>42.8</v>
      </c>
      <c r="BJ310" s="7">
        <f t="shared" si="202"/>
        <v>0.38100000000000001</v>
      </c>
      <c r="BK310" s="7">
        <f t="shared" si="203"/>
        <v>0.50900000000000001</v>
      </c>
      <c r="BM310" s="5">
        <f t="shared" si="204"/>
        <v>7.33</v>
      </c>
      <c r="BN310" s="5">
        <f t="shared" si="205"/>
        <v>3.77</v>
      </c>
      <c r="BO310" s="1">
        <f t="shared" si="206"/>
        <v>-1.3</v>
      </c>
      <c r="BP310" s="1">
        <f t="shared" si="207"/>
        <v>5.3</v>
      </c>
      <c r="BQ310" s="1">
        <f t="shared" si="208"/>
        <v>-6.7</v>
      </c>
      <c r="BR310" s="1">
        <f t="shared" si="209"/>
        <v>70.400000000000006</v>
      </c>
      <c r="BS310" s="1">
        <f t="shared" si="210"/>
        <v>42.8</v>
      </c>
      <c r="BT310" s="1">
        <f t="shared" si="211"/>
        <v>0.7</v>
      </c>
      <c r="BU310" s="1">
        <f t="shared" si="212"/>
        <v>2.4</v>
      </c>
      <c r="BV310" s="33">
        <f t="shared" si="233"/>
        <v>0</v>
      </c>
      <c r="BW310" s="34">
        <f t="shared" si="229"/>
        <v>0.20599999999999996</v>
      </c>
      <c r="BX310" s="20" t="str">
        <f t="shared" si="214"/>
        <v>NAN</v>
      </c>
      <c r="BY310" s="1">
        <f t="shared" si="215"/>
        <v>-5.2</v>
      </c>
      <c r="BZ310" s="1">
        <f t="shared" si="216"/>
        <v>4</v>
      </c>
      <c r="CA310" s="1">
        <f t="shared" si="217"/>
        <v>-11.3</v>
      </c>
      <c r="CB310" s="1">
        <f t="shared" si="218"/>
        <v>0.5</v>
      </c>
      <c r="CC310" s="1">
        <f t="shared" si="219"/>
        <v>2.2000000000000002</v>
      </c>
      <c r="CD310" s="1">
        <f t="shared" si="220"/>
        <v>4.3</v>
      </c>
      <c r="CE310" s="1" t="str">
        <f t="shared" si="221"/>
        <v>NAN</v>
      </c>
      <c r="CF310" s="1">
        <f t="shared" si="222"/>
        <v>0.38100000000000001</v>
      </c>
      <c r="CG310" s="1">
        <f t="shared" si="223"/>
        <v>0.50900000000000001</v>
      </c>
      <c r="CI310" s="1">
        <f t="shared" si="190"/>
        <v>2880</v>
      </c>
      <c r="CJ310" s="1">
        <f t="shared" si="191"/>
        <v>2.5000000000000001E-2</v>
      </c>
      <c r="CK310" s="1">
        <f t="shared" si="192"/>
        <v>6.3E-2</v>
      </c>
      <c r="CL310" s="1">
        <f t="shared" si="193"/>
        <v>0.33200000000000002</v>
      </c>
      <c r="CM310" s="1">
        <f t="shared" si="194"/>
        <v>0.106</v>
      </c>
      <c r="CN310" s="1">
        <f t="shared" si="195"/>
        <v>0.111</v>
      </c>
      <c r="CO310" s="1">
        <f t="shared" si="196"/>
        <v>0.158</v>
      </c>
      <c r="CP310" s="1">
        <f t="shared" si="197"/>
        <v>0.14299999999999999</v>
      </c>
      <c r="CQ310" s="1">
        <f t="shared" si="198"/>
        <v>6.3E-2</v>
      </c>
      <c r="CS310" s="1">
        <f t="shared" si="226"/>
        <v>-1.2999999999999998</v>
      </c>
      <c r="CT310" s="1">
        <f t="shared" si="227"/>
        <v>-4.6000000000000005</v>
      </c>
    </row>
    <row r="311" spans="1:98" x14ac:dyDescent="0.2">
      <c r="A311" s="8">
        <f t="shared" si="224"/>
        <v>44136</v>
      </c>
      <c r="B311" s="1">
        <v>306</v>
      </c>
      <c r="C311" s="1">
        <v>11</v>
      </c>
      <c r="D311" s="2">
        <v>12.97</v>
      </c>
      <c r="E311" s="2">
        <v>12.3</v>
      </c>
      <c r="F311" s="2">
        <v>-4.1820000000000004</v>
      </c>
      <c r="G311" s="2">
        <v>3.9289999999999998</v>
      </c>
      <c r="H311" s="2">
        <v>50.41</v>
      </c>
      <c r="I311" s="2">
        <v>-0.33900000000000002</v>
      </c>
      <c r="J311" s="2">
        <v>0.59899999999999998</v>
      </c>
      <c r="K311" s="2">
        <v>0.501</v>
      </c>
      <c r="L311" s="2">
        <v>2.222</v>
      </c>
      <c r="M311" s="2">
        <v>4.2080000000000002</v>
      </c>
      <c r="N311" s="2">
        <v>12.74</v>
      </c>
      <c r="O311" s="2">
        <v>64.78</v>
      </c>
      <c r="P311" s="2">
        <v>0.107</v>
      </c>
      <c r="Q311" s="2">
        <v>12.71</v>
      </c>
      <c r="R311" s="2">
        <v>0.66300000000000003</v>
      </c>
      <c r="S311" s="2">
        <v>2.3540000000000001</v>
      </c>
      <c r="T311" s="2">
        <v>4.4059999999999997</v>
      </c>
      <c r="U311" s="2">
        <v>-0.60499999999999998</v>
      </c>
      <c r="V311" s="2">
        <v>35.130000000000003</v>
      </c>
      <c r="W311" s="2">
        <v>-1.141</v>
      </c>
      <c r="X311" s="2">
        <v>-6.4450000000000003</v>
      </c>
      <c r="Y311" s="2">
        <v>0.39100000000000001</v>
      </c>
      <c r="Z311" s="2">
        <v>2.129</v>
      </c>
      <c r="AA311" s="2">
        <v>4.0810000000000004</v>
      </c>
      <c r="AB311" s="2">
        <v>2.3370000000000002</v>
      </c>
      <c r="AC311" s="2">
        <v>0</v>
      </c>
      <c r="AD311" s="2">
        <v>8.4</v>
      </c>
      <c r="AE311" s="2">
        <v>4.3940000000000001</v>
      </c>
      <c r="AF311" s="2">
        <v>0.93500000000000005</v>
      </c>
      <c r="AG311" s="2">
        <v>2.9590000000000001</v>
      </c>
      <c r="AH311" s="2">
        <v>-0.57899999999999996</v>
      </c>
      <c r="AI311" s="2">
        <v>7.8339999999999996</v>
      </c>
      <c r="AJ311" s="2">
        <v>-5.7430000000000003</v>
      </c>
      <c r="AK311" s="2">
        <v>16.61</v>
      </c>
      <c r="AL311" s="2">
        <v>-0.81399999999999995</v>
      </c>
      <c r="AM311" s="2">
        <v>2.33</v>
      </c>
      <c r="AN311" s="2" t="s">
        <v>122</v>
      </c>
      <c r="AO311" s="2">
        <v>36</v>
      </c>
      <c r="AP311" s="2">
        <v>99</v>
      </c>
      <c r="AQ311" s="2">
        <v>711</v>
      </c>
      <c r="AR311" s="2">
        <v>1025</v>
      </c>
      <c r="AS311" s="2">
        <v>455</v>
      </c>
      <c r="AT311" s="2">
        <v>271</v>
      </c>
      <c r="AU311" s="2">
        <v>216</v>
      </c>
      <c r="AV311" s="2">
        <v>67</v>
      </c>
      <c r="AW311" s="2"/>
      <c r="AX311" s="1">
        <f t="shared" si="231"/>
        <v>0.21299999999999963</v>
      </c>
      <c r="AY311" s="26"/>
      <c r="AZ311" s="5">
        <v>8.92</v>
      </c>
      <c r="BA311" s="1">
        <v>8.4</v>
      </c>
      <c r="BB311" s="1">
        <v>4.04</v>
      </c>
      <c r="BC311" s="6">
        <f t="shared" si="225"/>
        <v>0.48095238095238091</v>
      </c>
      <c r="BE311" s="28">
        <f t="shared" si="232"/>
        <v>0.9</v>
      </c>
      <c r="BF311" s="6"/>
      <c r="BG311" s="1">
        <f t="shared" si="199"/>
        <v>64.8</v>
      </c>
      <c r="BH311" s="1">
        <f t="shared" si="200"/>
        <v>50.4</v>
      </c>
      <c r="BI311" s="1">
        <f t="shared" si="201"/>
        <v>35.1</v>
      </c>
      <c r="BJ311" s="7">
        <f t="shared" si="202"/>
        <v>0.51700000000000002</v>
      </c>
      <c r="BK311" s="7">
        <f t="shared" si="203"/>
        <v>0.95599999999999996</v>
      </c>
      <c r="BM311" s="5">
        <f t="shared" si="204"/>
        <v>8.4</v>
      </c>
      <c r="BN311" s="5">
        <f t="shared" si="205"/>
        <v>4.04</v>
      </c>
      <c r="BO311" s="1">
        <f t="shared" si="206"/>
        <v>3.9</v>
      </c>
      <c r="BP311" s="1">
        <f t="shared" si="207"/>
        <v>12.7</v>
      </c>
      <c r="BQ311" s="1">
        <f t="shared" si="208"/>
        <v>-0.6</v>
      </c>
      <c r="BR311" s="1">
        <f t="shared" si="209"/>
        <v>50.4</v>
      </c>
      <c r="BS311" s="1">
        <f t="shared" si="210"/>
        <v>35.1</v>
      </c>
      <c r="BT311" s="1">
        <f t="shared" si="211"/>
        <v>0.9</v>
      </c>
      <c r="BU311" s="1">
        <f t="shared" si="212"/>
        <v>3</v>
      </c>
      <c r="BV311" s="33">
        <f t="shared" si="233"/>
        <v>0.9</v>
      </c>
      <c r="BW311" s="34">
        <f t="shared" si="229"/>
        <v>0.21299999999999963</v>
      </c>
      <c r="BX311" s="20" t="str">
        <f t="shared" si="214"/>
        <v>NAN</v>
      </c>
      <c r="BY311" s="1">
        <f t="shared" si="215"/>
        <v>-0.6</v>
      </c>
      <c r="BZ311" s="1">
        <f t="shared" si="216"/>
        <v>7.8</v>
      </c>
      <c r="CA311" s="1">
        <f t="shared" si="217"/>
        <v>-5.7</v>
      </c>
      <c r="CB311" s="1">
        <f t="shared" si="218"/>
        <v>0.5</v>
      </c>
      <c r="CC311" s="1">
        <f t="shared" si="219"/>
        <v>2.2000000000000002</v>
      </c>
      <c r="CD311" s="1">
        <f t="shared" si="220"/>
        <v>4.2</v>
      </c>
      <c r="CE311" s="1" t="str">
        <f t="shared" si="221"/>
        <v>NAN</v>
      </c>
      <c r="CF311" s="1">
        <f t="shared" si="222"/>
        <v>0.51700000000000002</v>
      </c>
      <c r="CG311" s="1">
        <f t="shared" si="223"/>
        <v>0.95599999999999996</v>
      </c>
      <c r="CI311" s="1">
        <f t="shared" si="190"/>
        <v>2880</v>
      </c>
      <c r="CJ311" s="1">
        <f t="shared" si="191"/>
        <v>1.2999999999999999E-2</v>
      </c>
      <c r="CK311" s="1">
        <f t="shared" si="192"/>
        <v>3.4000000000000002E-2</v>
      </c>
      <c r="CL311" s="1">
        <f t="shared" si="193"/>
        <v>0.247</v>
      </c>
      <c r="CM311" s="1">
        <f t="shared" si="194"/>
        <v>0.35599999999999998</v>
      </c>
      <c r="CN311" s="1">
        <f t="shared" si="195"/>
        <v>0.158</v>
      </c>
      <c r="CO311" s="1">
        <f t="shared" si="196"/>
        <v>9.4E-2</v>
      </c>
      <c r="CP311" s="1">
        <f t="shared" si="197"/>
        <v>7.4999999999999997E-2</v>
      </c>
      <c r="CQ311" s="1">
        <f t="shared" si="198"/>
        <v>2.3E-2</v>
      </c>
      <c r="CS311" s="1">
        <f t="shared" si="226"/>
        <v>-4.8999999999999995</v>
      </c>
      <c r="CT311" s="1">
        <f t="shared" si="227"/>
        <v>-5.1000000000000005</v>
      </c>
    </row>
    <row r="312" spans="1:98" x14ac:dyDescent="0.2">
      <c r="A312" s="8">
        <f t="shared" si="224"/>
        <v>44137</v>
      </c>
      <c r="B312" s="1">
        <v>307</v>
      </c>
      <c r="C312" s="1">
        <v>11</v>
      </c>
      <c r="D312" s="2">
        <v>12.97</v>
      </c>
      <c r="E312" s="2">
        <v>10.4</v>
      </c>
      <c r="F312" s="2">
        <v>-1.351</v>
      </c>
      <c r="G312" s="2">
        <v>4.43</v>
      </c>
      <c r="H312" s="2">
        <v>48.29</v>
      </c>
      <c r="I312" s="2">
        <v>1.2999999999999999E-2</v>
      </c>
      <c r="J312" s="2">
        <v>2.581</v>
      </c>
      <c r="K312" s="2">
        <v>0.54100000000000004</v>
      </c>
      <c r="L312" s="2">
        <v>2.2080000000000002</v>
      </c>
      <c r="M312" s="2">
        <v>4.141</v>
      </c>
      <c r="N312" s="2">
        <v>12.92</v>
      </c>
      <c r="O312" s="2">
        <v>70.84</v>
      </c>
      <c r="P312" s="2">
        <v>0.17299999999999999</v>
      </c>
      <c r="Q312" s="2">
        <v>11.76</v>
      </c>
      <c r="R312" s="2">
        <v>0.72099999999999997</v>
      </c>
      <c r="S312" s="2">
        <v>2.3250000000000002</v>
      </c>
      <c r="T312" s="2">
        <v>4.306</v>
      </c>
      <c r="U312" s="2">
        <v>0.23200000000000001</v>
      </c>
      <c r="V312" s="2">
        <v>29.04</v>
      </c>
      <c r="W312" s="2">
        <v>-0.219</v>
      </c>
      <c r="X312" s="2">
        <v>-2.5920000000000001</v>
      </c>
      <c r="Y312" s="2">
        <v>0.434</v>
      </c>
      <c r="Z312" s="2">
        <v>2.1160000000000001</v>
      </c>
      <c r="AA312" s="2">
        <v>4.0270000000000001</v>
      </c>
      <c r="AB312" s="2">
        <v>2.335</v>
      </c>
      <c r="AC312" s="2">
        <v>0</v>
      </c>
      <c r="AD312" s="2">
        <v>7.7389999999999999</v>
      </c>
      <c r="AE312" s="2">
        <v>3.74</v>
      </c>
      <c r="AF312" s="2">
        <v>1.32</v>
      </c>
      <c r="AG312" s="2">
        <v>3.7170000000000001</v>
      </c>
      <c r="AH312" s="2">
        <v>0.28899999999999998</v>
      </c>
      <c r="AI312" s="2">
        <v>7.2320000000000002</v>
      </c>
      <c r="AJ312" s="2">
        <v>-3.5350000000000001</v>
      </c>
      <c r="AK312" s="2">
        <v>16.36</v>
      </c>
      <c r="AL312" s="2">
        <v>8.6999999999999994E-2</v>
      </c>
      <c r="AM312" s="2">
        <v>2.3250000000000002</v>
      </c>
      <c r="AN312" s="2" t="s">
        <v>122</v>
      </c>
      <c r="AO312" s="2">
        <v>21</v>
      </c>
      <c r="AP312" s="2">
        <v>82</v>
      </c>
      <c r="AQ312" s="2">
        <v>434</v>
      </c>
      <c r="AR312" s="2">
        <v>1080</v>
      </c>
      <c r="AS312" s="2">
        <v>864</v>
      </c>
      <c r="AT312" s="2">
        <v>326</v>
      </c>
      <c r="AU312" s="2">
        <v>58</v>
      </c>
      <c r="AV312" s="2">
        <v>15</v>
      </c>
      <c r="AW312" s="2"/>
      <c r="AX312" s="1">
        <f t="shared" si="231"/>
        <v>0.21499999999999986</v>
      </c>
      <c r="AY312" s="26"/>
      <c r="AZ312" s="5">
        <v>8.76</v>
      </c>
      <c r="BA312" s="1">
        <v>7.74</v>
      </c>
      <c r="BB312" s="1">
        <v>3.44</v>
      </c>
      <c r="BC312" s="6">
        <f t="shared" si="225"/>
        <v>0.44444444444444442</v>
      </c>
      <c r="BE312" s="28">
        <f t="shared" si="232"/>
        <v>0.3</v>
      </c>
      <c r="BF312" s="6"/>
      <c r="BG312" s="1">
        <f t="shared" si="199"/>
        <v>70.8</v>
      </c>
      <c r="BH312" s="1">
        <f t="shared" si="200"/>
        <v>48.3</v>
      </c>
      <c r="BI312" s="1">
        <f t="shared" si="201"/>
        <v>29</v>
      </c>
      <c r="BJ312" s="7">
        <f t="shared" si="202"/>
        <v>0.432</v>
      </c>
      <c r="BK312" s="7">
        <f t="shared" si="203"/>
        <v>1.0580000000000001</v>
      </c>
      <c r="BM312" s="5">
        <f t="shared" si="204"/>
        <v>7.74</v>
      </c>
      <c r="BN312" s="5">
        <f t="shared" si="205"/>
        <v>3.44</v>
      </c>
      <c r="BO312" s="1">
        <f t="shared" si="206"/>
        <v>4.4000000000000004</v>
      </c>
      <c r="BP312" s="1">
        <f t="shared" si="207"/>
        <v>12.9</v>
      </c>
      <c r="BQ312" s="1">
        <f t="shared" si="208"/>
        <v>0.2</v>
      </c>
      <c r="BR312" s="1">
        <f t="shared" si="209"/>
        <v>48.3</v>
      </c>
      <c r="BS312" s="1">
        <f t="shared" si="210"/>
        <v>29</v>
      </c>
      <c r="BT312" s="1">
        <f t="shared" si="211"/>
        <v>1.3</v>
      </c>
      <c r="BU312" s="1">
        <f t="shared" si="212"/>
        <v>3.7</v>
      </c>
      <c r="BV312" s="33">
        <f t="shared" si="233"/>
        <v>0.3</v>
      </c>
      <c r="BW312" s="34">
        <f t="shared" ref="BW312:BW343" si="234">AX312</f>
        <v>0.21499999999999986</v>
      </c>
      <c r="BX312" s="20" t="str">
        <f t="shared" si="214"/>
        <v>NAN</v>
      </c>
      <c r="BY312" s="1">
        <f t="shared" si="215"/>
        <v>0.3</v>
      </c>
      <c r="BZ312" s="1">
        <f t="shared" si="216"/>
        <v>7.2</v>
      </c>
      <c r="CA312" s="1">
        <f t="shared" si="217"/>
        <v>-3.5</v>
      </c>
      <c r="CB312" s="1">
        <f t="shared" si="218"/>
        <v>0.5</v>
      </c>
      <c r="CC312" s="1">
        <f t="shared" si="219"/>
        <v>2.2000000000000002</v>
      </c>
      <c r="CD312" s="1">
        <f t="shared" si="220"/>
        <v>4.0999999999999996</v>
      </c>
      <c r="CE312" s="1" t="str">
        <f t="shared" si="221"/>
        <v>NAN</v>
      </c>
      <c r="CF312" s="1">
        <f t="shared" si="222"/>
        <v>0.432</v>
      </c>
      <c r="CG312" s="1">
        <f t="shared" si="223"/>
        <v>1.0580000000000001</v>
      </c>
      <c r="CI312" s="1">
        <f t="shared" si="190"/>
        <v>2880</v>
      </c>
      <c r="CJ312" s="1">
        <f t="shared" si="191"/>
        <v>7.0000000000000001E-3</v>
      </c>
      <c r="CK312" s="1">
        <f t="shared" si="192"/>
        <v>2.8000000000000001E-2</v>
      </c>
      <c r="CL312" s="1">
        <f t="shared" si="193"/>
        <v>0.151</v>
      </c>
      <c r="CM312" s="1">
        <f t="shared" si="194"/>
        <v>0.375</v>
      </c>
      <c r="CN312" s="1">
        <f t="shared" si="195"/>
        <v>0.3</v>
      </c>
      <c r="CO312" s="1">
        <f t="shared" si="196"/>
        <v>0.113</v>
      </c>
      <c r="CP312" s="1">
        <f t="shared" si="197"/>
        <v>0.02</v>
      </c>
      <c r="CQ312" s="1">
        <f t="shared" si="198"/>
        <v>5.0000000000000001E-3</v>
      </c>
      <c r="CS312" s="1">
        <f t="shared" si="226"/>
        <v>-5.7</v>
      </c>
      <c r="CT312" s="1">
        <f t="shared" si="227"/>
        <v>-3.7</v>
      </c>
    </row>
    <row r="313" spans="1:98" x14ac:dyDescent="0.2">
      <c r="A313" s="8">
        <f t="shared" si="224"/>
        <v>44138</v>
      </c>
      <c r="B313" s="1">
        <v>308</v>
      </c>
      <c r="C313" s="1">
        <v>11</v>
      </c>
      <c r="D313" s="2">
        <v>12.83</v>
      </c>
      <c r="E313" s="2">
        <v>3.6120000000000001</v>
      </c>
      <c r="F313" s="2">
        <v>0.56499999999999995</v>
      </c>
      <c r="G313" s="2">
        <v>2.492</v>
      </c>
      <c r="H313" s="2">
        <v>72.72</v>
      </c>
      <c r="I313" s="2">
        <v>0.111</v>
      </c>
      <c r="J313" s="2">
        <v>1.349</v>
      </c>
      <c r="K313" s="2">
        <v>0.53500000000000003</v>
      </c>
      <c r="L313" s="2">
        <v>2.1669999999999998</v>
      </c>
      <c r="M313" s="2">
        <v>4.0490000000000004</v>
      </c>
      <c r="N313" s="2">
        <v>4.399</v>
      </c>
      <c r="O313" s="2">
        <v>95.2</v>
      </c>
      <c r="P313" s="2">
        <v>0.19700000000000001</v>
      </c>
      <c r="Q313" s="2">
        <v>3.6309999999999998</v>
      </c>
      <c r="R313" s="2">
        <v>0.61299999999999999</v>
      </c>
      <c r="S313" s="2">
        <v>2.2450000000000001</v>
      </c>
      <c r="T313" s="2">
        <v>4.141</v>
      </c>
      <c r="U313" s="2">
        <v>0.46200000000000002</v>
      </c>
      <c r="V313" s="2">
        <v>40.56</v>
      </c>
      <c r="W313" s="2">
        <v>2.4E-2</v>
      </c>
      <c r="X313" s="2">
        <v>2.4E-2</v>
      </c>
      <c r="Y313" s="2">
        <v>0.45500000000000002</v>
      </c>
      <c r="Z313" s="2">
        <v>2.081</v>
      </c>
      <c r="AA313" s="2">
        <v>3.95</v>
      </c>
      <c r="AB313" s="2">
        <v>2.3460000000000001</v>
      </c>
      <c r="AC313" s="2">
        <v>0.254</v>
      </c>
      <c r="AD313" s="2">
        <v>1.8839999999999999</v>
      </c>
      <c r="AE313" s="2">
        <v>1.1259999999999999</v>
      </c>
      <c r="AF313" s="2">
        <v>1.165</v>
      </c>
      <c r="AG313" s="2">
        <v>3.181</v>
      </c>
      <c r="AH313" s="2">
        <v>0.56200000000000006</v>
      </c>
      <c r="AI313" s="2">
        <v>2.5489999999999999</v>
      </c>
      <c r="AJ313" s="2">
        <v>-0.89100000000000001</v>
      </c>
      <c r="AK313" s="2">
        <v>5.0380000000000003</v>
      </c>
      <c r="AL313" s="2">
        <v>0.156</v>
      </c>
      <c r="AM313" s="2">
        <v>2.335</v>
      </c>
      <c r="AN313" s="2" t="s">
        <v>122</v>
      </c>
      <c r="AO313" s="2">
        <v>35</v>
      </c>
      <c r="AP313" s="2">
        <v>11</v>
      </c>
      <c r="AQ313" s="2">
        <v>55</v>
      </c>
      <c r="AR313" s="2">
        <v>400</v>
      </c>
      <c r="AS313" s="2">
        <v>1095</v>
      </c>
      <c r="AT313" s="2">
        <v>808</v>
      </c>
      <c r="AU313" s="2">
        <v>338</v>
      </c>
      <c r="AV313" s="2">
        <v>138</v>
      </c>
      <c r="AW313" s="2"/>
      <c r="AX313" s="1">
        <f t="shared" si="231"/>
        <v>0.20399999999999974</v>
      </c>
      <c r="AY313" s="26"/>
      <c r="AZ313" s="5">
        <v>8.59</v>
      </c>
      <c r="BA313" s="1">
        <v>1.88</v>
      </c>
      <c r="BB313" s="1">
        <v>1.04</v>
      </c>
      <c r="BC313" s="6">
        <f t="shared" si="225"/>
        <v>0.55319148936170215</v>
      </c>
      <c r="BE313" s="28">
        <f t="shared" si="232"/>
        <v>0</v>
      </c>
      <c r="BF313" s="6"/>
      <c r="BG313" s="1">
        <f t="shared" si="199"/>
        <v>95.2</v>
      </c>
      <c r="BH313" s="1">
        <f t="shared" si="200"/>
        <v>72.7</v>
      </c>
      <c r="BI313" s="1">
        <f t="shared" si="201"/>
        <v>40.6</v>
      </c>
      <c r="BJ313" s="7">
        <f t="shared" si="202"/>
        <v>0.33900000000000002</v>
      </c>
      <c r="BK313" s="7">
        <f t="shared" si="203"/>
        <v>0.496</v>
      </c>
      <c r="BM313" s="5">
        <f t="shared" si="204"/>
        <v>1.88</v>
      </c>
      <c r="BN313" s="5">
        <f t="shared" si="205"/>
        <v>1.04</v>
      </c>
      <c r="BO313" s="1">
        <f t="shared" si="206"/>
        <v>2.5</v>
      </c>
      <c r="BP313" s="1">
        <f t="shared" si="207"/>
        <v>4.4000000000000004</v>
      </c>
      <c r="BQ313" s="1">
        <f t="shared" si="208"/>
        <v>0.5</v>
      </c>
      <c r="BR313" s="1">
        <f t="shared" si="209"/>
        <v>72.7</v>
      </c>
      <c r="BS313" s="1">
        <f t="shared" si="210"/>
        <v>40.6</v>
      </c>
      <c r="BT313" s="1">
        <f t="shared" si="211"/>
        <v>1.2</v>
      </c>
      <c r="BU313" s="1">
        <f t="shared" si="212"/>
        <v>3.2</v>
      </c>
      <c r="BV313" s="33">
        <f t="shared" si="233"/>
        <v>0</v>
      </c>
      <c r="BW313" s="34">
        <f t="shared" si="234"/>
        <v>0.20399999999999974</v>
      </c>
      <c r="BX313" s="20" t="str">
        <f t="shared" si="214"/>
        <v>NAN</v>
      </c>
      <c r="BY313" s="1">
        <f t="shared" si="215"/>
        <v>0.6</v>
      </c>
      <c r="BZ313" s="1">
        <f t="shared" si="216"/>
        <v>2.5</v>
      </c>
      <c r="CA313" s="1">
        <f t="shared" si="217"/>
        <v>-0.9</v>
      </c>
      <c r="CB313" s="1">
        <f t="shared" si="218"/>
        <v>0.5</v>
      </c>
      <c r="CC313" s="1">
        <f t="shared" si="219"/>
        <v>2.2000000000000002</v>
      </c>
      <c r="CD313" s="1">
        <f t="shared" si="220"/>
        <v>4</v>
      </c>
      <c r="CE313" s="1" t="str">
        <f t="shared" si="221"/>
        <v>NAN</v>
      </c>
      <c r="CF313" s="1">
        <f t="shared" si="222"/>
        <v>0.33900000000000002</v>
      </c>
      <c r="CG313" s="1">
        <f t="shared" si="223"/>
        <v>0.496</v>
      </c>
      <c r="CI313" s="1">
        <f t="shared" si="190"/>
        <v>2880</v>
      </c>
      <c r="CJ313" s="1">
        <f t="shared" si="191"/>
        <v>1.2E-2</v>
      </c>
      <c r="CK313" s="1">
        <f t="shared" si="192"/>
        <v>4.0000000000000001E-3</v>
      </c>
      <c r="CL313" s="1">
        <f t="shared" si="193"/>
        <v>1.9E-2</v>
      </c>
      <c r="CM313" s="1">
        <f t="shared" si="194"/>
        <v>0.13900000000000001</v>
      </c>
      <c r="CN313" s="1">
        <f t="shared" si="195"/>
        <v>0.38</v>
      </c>
      <c r="CO313" s="1">
        <f t="shared" si="196"/>
        <v>0.28100000000000003</v>
      </c>
      <c r="CP313" s="1">
        <f t="shared" si="197"/>
        <v>0.11700000000000001</v>
      </c>
      <c r="CQ313" s="1">
        <f t="shared" si="198"/>
        <v>4.8000000000000001E-2</v>
      </c>
      <c r="CS313" s="1">
        <f t="shared" si="226"/>
        <v>-1.9000000000000004</v>
      </c>
      <c r="CT313" s="1">
        <f t="shared" si="227"/>
        <v>-1.4</v>
      </c>
    </row>
    <row r="314" spans="1:98" x14ac:dyDescent="0.2">
      <c r="A314" s="8">
        <f t="shared" si="224"/>
        <v>44139</v>
      </c>
      <c r="B314" s="1">
        <v>309</v>
      </c>
      <c r="C314" s="1">
        <v>11</v>
      </c>
      <c r="D314" s="2">
        <v>13</v>
      </c>
      <c r="E314" s="2">
        <v>4.6849999999999996</v>
      </c>
      <c r="F314" s="2">
        <v>0.77700000000000002</v>
      </c>
      <c r="G314" s="2">
        <v>3.141</v>
      </c>
      <c r="H314" s="2">
        <v>95.2</v>
      </c>
      <c r="I314" s="2">
        <v>0.16</v>
      </c>
      <c r="J314" s="2">
        <v>2.2069999999999999</v>
      </c>
      <c r="K314" s="2">
        <v>0.52500000000000002</v>
      </c>
      <c r="L314" s="2">
        <v>2.1280000000000001</v>
      </c>
      <c r="M314" s="2">
        <v>3.9860000000000002</v>
      </c>
      <c r="N314" s="2">
        <v>4.93</v>
      </c>
      <c r="O314" s="2">
        <v>96.8</v>
      </c>
      <c r="P314" s="2">
        <v>0.30199999999999999</v>
      </c>
      <c r="Q314" s="2">
        <v>4.5759999999999996</v>
      </c>
      <c r="R314" s="2">
        <v>0.60499999999999998</v>
      </c>
      <c r="S314" s="2">
        <v>2.2200000000000002</v>
      </c>
      <c r="T314" s="2">
        <v>4.0960000000000001</v>
      </c>
      <c r="U314" s="2">
        <v>0.86899999999999999</v>
      </c>
      <c r="V314" s="2">
        <v>87.6</v>
      </c>
      <c r="W314" s="2">
        <v>4.1000000000000002E-2</v>
      </c>
      <c r="X314" s="2">
        <v>2.4E-2</v>
      </c>
      <c r="Y314" s="2">
        <v>0.443</v>
      </c>
      <c r="Z314" s="2">
        <v>2.04</v>
      </c>
      <c r="AA314" s="2">
        <v>3.9</v>
      </c>
      <c r="AB314" s="2">
        <v>2.3759999999999999</v>
      </c>
      <c r="AC314" s="2">
        <v>0</v>
      </c>
      <c r="AD314" s="2">
        <v>3.31</v>
      </c>
      <c r="AE314" s="2">
        <v>1.8160000000000001</v>
      </c>
      <c r="AF314" s="2">
        <v>1.58</v>
      </c>
      <c r="AG314" s="2">
        <v>4.7210000000000001</v>
      </c>
      <c r="AH314" s="2">
        <v>1.6359999999999999</v>
      </c>
      <c r="AI314" s="2">
        <v>3.6739999999999999</v>
      </c>
      <c r="AJ314" s="2">
        <v>-0.14599999999999999</v>
      </c>
      <c r="AK314" s="2">
        <v>6.0209999999999999</v>
      </c>
      <c r="AL314" s="2">
        <v>0.69199999999999995</v>
      </c>
      <c r="AM314" s="2">
        <v>2.3610000000000002</v>
      </c>
      <c r="AN314" s="2" t="s">
        <v>122</v>
      </c>
      <c r="AO314" s="2">
        <v>38</v>
      </c>
      <c r="AP314" s="2">
        <v>29</v>
      </c>
      <c r="AQ314" s="2">
        <v>47</v>
      </c>
      <c r="AR314" s="2">
        <v>216</v>
      </c>
      <c r="AS314" s="2">
        <v>726</v>
      </c>
      <c r="AT314" s="2">
        <v>1170</v>
      </c>
      <c r="AU314" s="2">
        <v>537</v>
      </c>
      <c r="AV314" s="2">
        <v>117</v>
      </c>
      <c r="AW314" s="2"/>
      <c r="AX314" s="1">
        <f t="shared" si="231"/>
        <v>0.17399999999999993</v>
      </c>
      <c r="AY314" s="26"/>
      <c r="AZ314" s="5">
        <v>8.43</v>
      </c>
      <c r="BA314" s="1">
        <v>3.31</v>
      </c>
      <c r="BB314" s="1">
        <v>1.67</v>
      </c>
      <c r="BC314" s="6">
        <f t="shared" si="225"/>
        <v>0.50453172205438068</v>
      </c>
      <c r="BE314" s="28">
        <f t="shared" si="232"/>
        <v>0</v>
      </c>
      <c r="BF314" s="6"/>
      <c r="BG314" s="1">
        <f t="shared" si="199"/>
        <v>96.8</v>
      </c>
      <c r="BH314" s="1">
        <f t="shared" si="200"/>
        <v>95.2</v>
      </c>
      <c r="BI314" s="1">
        <f t="shared" si="201"/>
        <v>87.6</v>
      </c>
      <c r="BJ314" s="7">
        <f t="shared" si="202"/>
        <v>0.76</v>
      </c>
      <c r="BK314" s="7">
        <f t="shared" si="203"/>
        <v>0.108</v>
      </c>
      <c r="BM314" s="5">
        <f t="shared" si="204"/>
        <v>3.31</v>
      </c>
      <c r="BN314" s="5">
        <f t="shared" si="205"/>
        <v>1.67</v>
      </c>
      <c r="BO314" s="1">
        <f t="shared" si="206"/>
        <v>3.1</v>
      </c>
      <c r="BP314" s="1">
        <f t="shared" si="207"/>
        <v>4.9000000000000004</v>
      </c>
      <c r="BQ314" s="1">
        <f t="shared" si="208"/>
        <v>0.9</v>
      </c>
      <c r="BR314" s="1">
        <f t="shared" si="209"/>
        <v>95.2</v>
      </c>
      <c r="BS314" s="1">
        <f t="shared" si="210"/>
        <v>87.6</v>
      </c>
      <c r="BT314" s="1">
        <f t="shared" si="211"/>
        <v>1.6</v>
      </c>
      <c r="BU314" s="1">
        <f t="shared" si="212"/>
        <v>4.7</v>
      </c>
      <c r="BV314" s="33">
        <f t="shared" si="233"/>
        <v>0</v>
      </c>
      <c r="BW314" s="34">
        <f t="shared" si="234"/>
        <v>0.17399999999999993</v>
      </c>
      <c r="BX314" s="20" t="str">
        <f t="shared" si="214"/>
        <v>NAN</v>
      </c>
      <c r="BY314" s="1">
        <f t="shared" si="215"/>
        <v>1.6</v>
      </c>
      <c r="BZ314" s="1">
        <f t="shared" si="216"/>
        <v>3.7</v>
      </c>
      <c r="CA314" s="1">
        <f t="shared" si="217"/>
        <v>-0.1</v>
      </c>
      <c r="CB314" s="1">
        <f t="shared" si="218"/>
        <v>0.5</v>
      </c>
      <c r="CC314" s="1">
        <f t="shared" si="219"/>
        <v>2.1</v>
      </c>
      <c r="CD314" s="1">
        <f t="shared" si="220"/>
        <v>4</v>
      </c>
      <c r="CE314" s="1" t="str">
        <f t="shared" si="221"/>
        <v>NAN</v>
      </c>
      <c r="CF314" s="1">
        <f t="shared" si="222"/>
        <v>0.76</v>
      </c>
      <c r="CG314" s="1">
        <f t="shared" si="223"/>
        <v>0.108</v>
      </c>
      <c r="CI314" s="1">
        <f t="shared" si="190"/>
        <v>2880</v>
      </c>
      <c r="CJ314" s="1">
        <f t="shared" si="191"/>
        <v>1.2999999999999999E-2</v>
      </c>
      <c r="CK314" s="1">
        <f t="shared" si="192"/>
        <v>0.01</v>
      </c>
      <c r="CL314" s="1">
        <f t="shared" si="193"/>
        <v>1.6E-2</v>
      </c>
      <c r="CM314" s="1">
        <f t="shared" si="194"/>
        <v>7.4999999999999997E-2</v>
      </c>
      <c r="CN314" s="1">
        <f t="shared" si="195"/>
        <v>0.252</v>
      </c>
      <c r="CO314" s="1">
        <f t="shared" si="196"/>
        <v>0.40600000000000003</v>
      </c>
      <c r="CP314" s="1">
        <f t="shared" si="197"/>
        <v>0.186</v>
      </c>
      <c r="CQ314" s="1">
        <f t="shared" si="198"/>
        <v>4.1000000000000002E-2</v>
      </c>
      <c r="CS314" s="1">
        <f t="shared" si="226"/>
        <v>-1.2000000000000002</v>
      </c>
      <c r="CT314" s="1">
        <f t="shared" si="227"/>
        <v>-1</v>
      </c>
    </row>
    <row r="315" spans="1:98" x14ac:dyDescent="0.2">
      <c r="A315" s="8">
        <f t="shared" si="224"/>
        <v>44140</v>
      </c>
      <c r="B315" s="1">
        <v>310</v>
      </c>
      <c r="C315" s="1">
        <v>11</v>
      </c>
      <c r="D315" s="2">
        <v>12.9</v>
      </c>
      <c r="E315" s="2">
        <v>3.0139999999999998</v>
      </c>
      <c r="F315" s="2">
        <v>-8.19</v>
      </c>
      <c r="G315" s="2">
        <v>-1.4490000000000001</v>
      </c>
      <c r="H315" s="2">
        <v>89.8</v>
      </c>
      <c r="I315" s="2">
        <v>3.2000000000000001E-2</v>
      </c>
      <c r="J315" s="2">
        <v>-2.165</v>
      </c>
      <c r="K315" s="2">
        <v>0.46300000000000002</v>
      </c>
      <c r="L315" s="2">
        <v>2.0110000000000001</v>
      </c>
      <c r="M315" s="2">
        <v>3.8879999999999999</v>
      </c>
      <c r="N315" s="2">
        <v>3.9870000000000001</v>
      </c>
      <c r="O315" s="2">
        <v>96.5</v>
      </c>
      <c r="P315" s="2">
        <v>0.26</v>
      </c>
      <c r="Q315" s="2">
        <v>2.9020000000000001</v>
      </c>
      <c r="R315" s="2">
        <v>0.57099999999999995</v>
      </c>
      <c r="S315" s="2">
        <v>2.1659999999999999</v>
      </c>
      <c r="T315" s="2">
        <v>4.0110000000000001</v>
      </c>
      <c r="U315" s="2">
        <v>-6.468</v>
      </c>
      <c r="V315" s="2">
        <v>70.959999999999994</v>
      </c>
      <c r="W315" s="2">
        <v>-0.28699999999999998</v>
      </c>
      <c r="X315" s="2">
        <v>-9.39</v>
      </c>
      <c r="Y315" s="2">
        <v>0.35099999999999998</v>
      </c>
      <c r="Z315" s="2">
        <v>1.8819999999999999</v>
      </c>
      <c r="AA315" s="2">
        <v>3.7589999999999999</v>
      </c>
      <c r="AB315" s="2">
        <v>2.359</v>
      </c>
      <c r="AC315" s="2">
        <v>0</v>
      </c>
      <c r="AD315" s="2">
        <v>2.7570000000000001</v>
      </c>
      <c r="AE315" s="2">
        <v>1.968</v>
      </c>
      <c r="AF315" s="2">
        <v>1.9079999999999999</v>
      </c>
      <c r="AG315" s="2">
        <v>7.2160000000000002</v>
      </c>
      <c r="AH315" s="2">
        <v>-2.7290000000000001</v>
      </c>
      <c r="AI315" s="2">
        <v>2.0579999999999998</v>
      </c>
      <c r="AJ315" s="2">
        <v>-10.36</v>
      </c>
      <c r="AK315" s="2">
        <v>3.532</v>
      </c>
      <c r="AL315" s="2">
        <v>-7.335</v>
      </c>
      <c r="AM315" s="2">
        <v>2.387</v>
      </c>
      <c r="AN315" s="2" t="s">
        <v>122</v>
      </c>
      <c r="AO315" s="2">
        <v>420</v>
      </c>
      <c r="AP315" s="2">
        <v>382</v>
      </c>
      <c r="AQ315" s="2">
        <v>199</v>
      </c>
      <c r="AR315" s="2">
        <v>43</v>
      </c>
      <c r="AS315" s="2">
        <v>114</v>
      </c>
      <c r="AT315" s="2">
        <v>350</v>
      </c>
      <c r="AU315" s="2">
        <v>711</v>
      </c>
      <c r="AV315" s="2">
        <v>661</v>
      </c>
      <c r="AW315" s="2"/>
      <c r="AX315" s="1">
        <f t="shared" si="231"/>
        <v>0.19099999999999984</v>
      </c>
      <c r="AY315" s="26"/>
      <c r="AZ315" s="5">
        <v>8.2799999999999994</v>
      </c>
      <c r="BA315" s="1">
        <v>2.76</v>
      </c>
      <c r="BB315" s="1">
        <v>1.81</v>
      </c>
      <c r="BC315" s="6">
        <f t="shared" si="225"/>
        <v>0.65579710144927539</v>
      </c>
      <c r="BE315" s="28">
        <f t="shared" si="232"/>
        <v>2.2000000000000002</v>
      </c>
      <c r="BF315" s="6"/>
      <c r="BG315" s="1">
        <f t="shared" si="199"/>
        <v>96.5</v>
      </c>
      <c r="BH315" s="1">
        <f t="shared" si="200"/>
        <v>89.8</v>
      </c>
      <c r="BI315" s="1">
        <f t="shared" si="201"/>
        <v>71</v>
      </c>
      <c r="BJ315" s="7">
        <f t="shared" si="202"/>
        <v>0.57699999999999996</v>
      </c>
      <c r="BK315" s="7">
        <f t="shared" si="203"/>
        <v>0.23599999999999999</v>
      </c>
      <c r="BM315" s="5">
        <f t="shared" si="204"/>
        <v>2.76</v>
      </c>
      <c r="BN315" s="5">
        <f t="shared" si="205"/>
        <v>1.81</v>
      </c>
      <c r="BO315" s="1">
        <f t="shared" si="206"/>
        <v>-1.4</v>
      </c>
      <c r="BP315" s="1">
        <f t="shared" si="207"/>
        <v>4</v>
      </c>
      <c r="BQ315" s="1">
        <f t="shared" si="208"/>
        <v>-6.5</v>
      </c>
      <c r="BR315" s="1">
        <f t="shared" si="209"/>
        <v>89.8</v>
      </c>
      <c r="BS315" s="1">
        <f t="shared" si="210"/>
        <v>71</v>
      </c>
      <c r="BT315" s="1">
        <f t="shared" si="211"/>
        <v>1.9</v>
      </c>
      <c r="BU315" s="1">
        <f t="shared" si="212"/>
        <v>7.2</v>
      </c>
      <c r="BV315" s="33">
        <f t="shared" si="233"/>
        <v>2.2000000000000002</v>
      </c>
      <c r="BW315" s="34">
        <f t="shared" si="234"/>
        <v>0.19099999999999984</v>
      </c>
      <c r="BX315" s="20" t="str">
        <f t="shared" si="214"/>
        <v>NAN</v>
      </c>
      <c r="BY315" s="1">
        <f t="shared" si="215"/>
        <v>-2.7</v>
      </c>
      <c r="BZ315" s="1">
        <f t="shared" si="216"/>
        <v>2.1</v>
      </c>
      <c r="CA315" s="1">
        <f t="shared" si="217"/>
        <v>-10.4</v>
      </c>
      <c r="CB315" s="1">
        <f t="shared" si="218"/>
        <v>0.5</v>
      </c>
      <c r="CC315" s="1">
        <f t="shared" si="219"/>
        <v>2</v>
      </c>
      <c r="CD315" s="1">
        <f t="shared" si="220"/>
        <v>3.9</v>
      </c>
      <c r="CE315" s="1" t="str">
        <f t="shared" si="221"/>
        <v>NAN</v>
      </c>
      <c r="CF315" s="1">
        <f t="shared" si="222"/>
        <v>0.57699999999999996</v>
      </c>
      <c r="CG315" s="1">
        <f t="shared" si="223"/>
        <v>0.23599999999999999</v>
      </c>
      <c r="CI315" s="1">
        <f t="shared" si="190"/>
        <v>2880</v>
      </c>
      <c r="CJ315" s="1">
        <f t="shared" si="191"/>
        <v>0.14599999999999999</v>
      </c>
      <c r="CK315" s="1">
        <f t="shared" si="192"/>
        <v>0.13300000000000001</v>
      </c>
      <c r="CL315" s="1">
        <f t="shared" si="193"/>
        <v>6.9000000000000006E-2</v>
      </c>
      <c r="CM315" s="1">
        <f t="shared" si="194"/>
        <v>1.4999999999999999E-2</v>
      </c>
      <c r="CN315" s="1">
        <f t="shared" si="195"/>
        <v>0.04</v>
      </c>
      <c r="CO315" s="1">
        <f t="shared" si="196"/>
        <v>0.122</v>
      </c>
      <c r="CP315" s="1">
        <f t="shared" si="197"/>
        <v>0.247</v>
      </c>
      <c r="CQ315" s="1">
        <f t="shared" si="198"/>
        <v>0.23</v>
      </c>
      <c r="CS315" s="1">
        <f t="shared" si="226"/>
        <v>-1.9</v>
      </c>
      <c r="CT315" s="1">
        <f t="shared" si="227"/>
        <v>-3.9000000000000004</v>
      </c>
    </row>
    <row r="316" spans="1:98" x14ac:dyDescent="0.2">
      <c r="A316" s="8">
        <f t="shared" si="224"/>
        <v>44141</v>
      </c>
      <c r="B316" s="1">
        <v>311</v>
      </c>
      <c r="C316" s="1">
        <v>11</v>
      </c>
      <c r="D316" s="2">
        <v>12.99</v>
      </c>
      <c r="E316" s="2">
        <v>-1.331</v>
      </c>
      <c r="F316" s="2">
        <v>-8.73</v>
      </c>
      <c r="G316" s="2">
        <v>-5.0369999999999999</v>
      </c>
      <c r="H316" s="2">
        <v>83.4</v>
      </c>
      <c r="I316" s="2">
        <v>-1.284</v>
      </c>
      <c r="J316" s="2">
        <v>-5.694</v>
      </c>
      <c r="K316" s="2">
        <v>0.45300000000000001</v>
      </c>
      <c r="L316" s="2">
        <v>1.9710000000000001</v>
      </c>
      <c r="M316" s="2">
        <v>3.8039999999999998</v>
      </c>
      <c r="N316" s="2">
        <v>-1.772</v>
      </c>
      <c r="O316" s="2">
        <v>93.4</v>
      </c>
      <c r="P316" s="2">
        <v>-0.03</v>
      </c>
      <c r="Q316" s="2">
        <v>3.9E-2</v>
      </c>
      <c r="R316" s="2">
        <v>0.55400000000000005</v>
      </c>
      <c r="S316" s="2">
        <v>2.0510000000000002</v>
      </c>
      <c r="T316" s="2">
        <v>3.915</v>
      </c>
      <c r="U316" s="2">
        <v>-6.6719999999999997</v>
      </c>
      <c r="V316" s="2">
        <v>59.32</v>
      </c>
      <c r="W316" s="2">
        <v>-3.14</v>
      </c>
      <c r="X316" s="2">
        <v>-10.119999999999999</v>
      </c>
      <c r="Y316" s="2">
        <v>0.35699999999999998</v>
      </c>
      <c r="Z316" s="2">
        <v>1.8720000000000001</v>
      </c>
      <c r="AA316" s="2">
        <v>3.7080000000000002</v>
      </c>
      <c r="AB316" s="2">
        <v>2.367</v>
      </c>
      <c r="AC316" s="2">
        <v>0</v>
      </c>
      <c r="AD316" s="2">
        <v>6.59</v>
      </c>
      <c r="AE316" s="2">
        <v>3.8769999999999998</v>
      </c>
      <c r="AF316" s="2">
        <v>2.1709999999999998</v>
      </c>
      <c r="AG316" s="2">
        <v>4.6050000000000004</v>
      </c>
      <c r="AH316" s="2">
        <v>-6.9189999999999996</v>
      </c>
      <c r="AI316" s="2">
        <v>-2.8029999999999999</v>
      </c>
      <c r="AJ316" s="2">
        <v>-11.41</v>
      </c>
      <c r="AK316" s="2">
        <v>2.1000000000000001E-2</v>
      </c>
      <c r="AL316" s="2">
        <v>-7.0759999999999996</v>
      </c>
      <c r="AM316" s="2">
        <v>2.3959999999999999</v>
      </c>
      <c r="AN316" s="2" t="s">
        <v>122</v>
      </c>
      <c r="AO316" s="2">
        <v>357</v>
      </c>
      <c r="AP316" s="2">
        <v>1690</v>
      </c>
      <c r="AQ316" s="2">
        <v>705</v>
      </c>
      <c r="AR316" s="2">
        <v>70</v>
      </c>
      <c r="AS316" s="2">
        <v>11</v>
      </c>
      <c r="AT316" s="2">
        <v>9</v>
      </c>
      <c r="AU316" s="2">
        <v>6</v>
      </c>
      <c r="AV316" s="2">
        <v>32</v>
      </c>
      <c r="AW316" s="2"/>
      <c r="AX316" s="1">
        <f t="shared" si="231"/>
        <v>0.18299999999999983</v>
      </c>
      <c r="AY316" s="26"/>
      <c r="AZ316" s="5">
        <v>8.1199999999999992</v>
      </c>
      <c r="BA316" s="1">
        <v>6.59</v>
      </c>
      <c r="BB316" s="1">
        <v>3.57</v>
      </c>
      <c r="BC316" s="6">
        <f t="shared" si="225"/>
        <v>0.54172989377845215</v>
      </c>
      <c r="BE316" s="28">
        <f t="shared" si="232"/>
        <v>0</v>
      </c>
      <c r="BF316" s="6"/>
      <c r="BG316" s="1">
        <f t="shared" si="199"/>
        <v>93.4</v>
      </c>
      <c r="BH316" s="1">
        <f t="shared" si="200"/>
        <v>83.4</v>
      </c>
      <c r="BI316" s="1">
        <f t="shared" si="201"/>
        <v>59.3</v>
      </c>
      <c r="BJ316" s="7">
        <f t="shared" si="202"/>
        <v>0.318</v>
      </c>
      <c r="BK316" s="7">
        <f t="shared" si="203"/>
        <v>0.218</v>
      </c>
      <c r="BM316" s="5">
        <f t="shared" si="204"/>
        <v>6.59</v>
      </c>
      <c r="BN316" s="5">
        <f t="shared" si="205"/>
        <v>3.57</v>
      </c>
      <c r="BO316" s="1">
        <f t="shared" si="206"/>
        <v>-5</v>
      </c>
      <c r="BP316" s="1">
        <f t="shared" si="207"/>
        <v>-1.8</v>
      </c>
      <c r="BQ316" s="1">
        <f t="shared" si="208"/>
        <v>-6.7</v>
      </c>
      <c r="BR316" s="1">
        <f t="shared" si="209"/>
        <v>83.4</v>
      </c>
      <c r="BS316" s="1">
        <f t="shared" si="210"/>
        <v>59.3</v>
      </c>
      <c r="BT316" s="1">
        <f t="shared" si="211"/>
        <v>2.2000000000000002</v>
      </c>
      <c r="BU316" s="1">
        <f t="shared" si="212"/>
        <v>4.5999999999999996</v>
      </c>
      <c r="BV316" s="33">
        <f t="shared" si="233"/>
        <v>0</v>
      </c>
      <c r="BW316" s="34">
        <f t="shared" si="234"/>
        <v>0.18299999999999983</v>
      </c>
      <c r="BX316" s="20" t="str">
        <f t="shared" si="214"/>
        <v>NAN</v>
      </c>
      <c r="BY316" s="1">
        <f t="shared" si="215"/>
        <v>-6.9</v>
      </c>
      <c r="BZ316" s="1">
        <f t="shared" si="216"/>
        <v>-2.8</v>
      </c>
      <c r="CA316" s="1">
        <f t="shared" si="217"/>
        <v>-11.4</v>
      </c>
      <c r="CB316" s="1">
        <f t="shared" si="218"/>
        <v>0.5</v>
      </c>
      <c r="CC316" s="1">
        <f t="shared" si="219"/>
        <v>2</v>
      </c>
      <c r="CD316" s="1">
        <f t="shared" si="220"/>
        <v>3.8</v>
      </c>
      <c r="CE316" s="1" t="str">
        <f t="shared" si="221"/>
        <v>NAN</v>
      </c>
      <c r="CF316" s="1">
        <f t="shared" si="222"/>
        <v>0.318</v>
      </c>
      <c r="CG316" s="1">
        <f t="shared" si="223"/>
        <v>0.218</v>
      </c>
      <c r="CI316" s="1">
        <f t="shared" si="190"/>
        <v>2880</v>
      </c>
      <c r="CJ316" s="1">
        <f t="shared" si="191"/>
        <v>0.124</v>
      </c>
      <c r="CK316" s="1">
        <f t="shared" si="192"/>
        <v>0.58699999999999997</v>
      </c>
      <c r="CL316" s="1">
        <f t="shared" si="193"/>
        <v>0.245</v>
      </c>
      <c r="CM316" s="1">
        <f t="shared" si="194"/>
        <v>2.4E-2</v>
      </c>
      <c r="CN316" s="1">
        <f t="shared" si="195"/>
        <v>4.0000000000000001E-3</v>
      </c>
      <c r="CO316" s="1">
        <f t="shared" si="196"/>
        <v>3.0000000000000001E-3</v>
      </c>
      <c r="CP316" s="1">
        <f t="shared" si="197"/>
        <v>2E-3</v>
      </c>
      <c r="CQ316" s="1">
        <f t="shared" si="198"/>
        <v>1.0999999999999999E-2</v>
      </c>
      <c r="CS316" s="1">
        <f t="shared" si="226"/>
        <v>-0.99999999999999978</v>
      </c>
      <c r="CT316" s="1">
        <f t="shared" si="227"/>
        <v>-4.7</v>
      </c>
    </row>
    <row r="317" spans="1:98" x14ac:dyDescent="0.2">
      <c r="A317" s="8">
        <f t="shared" si="224"/>
        <v>44142</v>
      </c>
      <c r="B317" s="1">
        <v>312</v>
      </c>
      <c r="C317" s="1">
        <v>11</v>
      </c>
      <c r="D317" s="2">
        <v>12.97</v>
      </c>
      <c r="E317" s="2">
        <v>-7.0830000000000002</v>
      </c>
      <c r="F317" s="2">
        <v>-10.23</v>
      </c>
      <c r="G317" s="2">
        <v>-8.86</v>
      </c>
      <c r="H317" s="2">
        <v>85.7</v>
      </c>
      <c r="I317" s="2">
        <v>-2.7120000000000002</v>
      </c>
      <c r="J317" s="2">
        <v>-8.9</v>
      </c>
      <c r="K317" s="2">
        <v>0.159</v>
      </c>
      <c r="L317" s="2">
        <v>1.966</v>
      </c>
      <c r="M317" s="2">
        <v>3.706</v>
      </c>
      <c r="N317" s="2">
        <v>-5.7210000000000001</v>
      </c>
      <c r="O317" s="2">
        <v>92.5</v>
      </c>
      <c r="P317" s="2">
        <v>-1.548</v>
      </c>
      <c r="Q317" s="2">
        <v>-5.609</v>
      </c>
      <c r="R317" s="2">
        <v>0.498</v>
      </c>
      <c r="S317" s="2">
        <v>2.0659999999999998</v>
      </c>
      <c r="T317" s="2">
        <v>3.823</v>
      </c>
      <c r="U317" s="2">
        <v>-10.3</v>
      </c>
      <c r="V317" s="2">
        <v>63.56</v>
      </c>
      <c r="W317" s="2">
        <v>-3.97</v>
      </c>
      <c r="X317" s="2">
        <v>-10.38</v>
      </c>
      <c r="Y317" s="2">
        <v>-1.4999999999999999E-2</v>
      </c>
      <c r="Z317" s="2">
        <v>1.867</v>
      </c>
      <c r="AA317" s="2">
        <v>3.5830000000000002</v>
      </c>
      <c r="AB317" s="2">
        <v>2.3199999999999998</v>
      </c>
      <c r="AC317" s="2">
        <v>0</v>
      </c>
      <c r="AD317" s="2">
        <v>3.016</v>
      </c>
      <c r="AE317" s="2">
        <v>1.9990000000000001</v>
      </c>
      <c r="AF317" s="2">
        <v>1.944</v>
      </c>
      <c r="AG317" s="2">
        <v>5.3689999999999998</v>
      </c>
      <c r="AH317" s="2">
        <v>-9.6</v>
      </c>
      <c r="AI317" s="2">
        <v>-5.61</v>
      </c>
      <c r="AJ317" s="2">
        <v>-11.6</v>
      </c>
      <c r="AK317" s="2">
        <v>-6.1559999999999997</v>
      </c>
      <c r="AL317" s="2">
        <v>-10.46</v>
      </c>
      <c r="AM317" s="2">
        <v>2.3639999999999999</v>
      </c>
      <c r="AN317" s="2" t="s">
        <v>122</v>
      </c>
      <c r="AO317" s="2">
        <v>644</v>
      </c>
      <c r="AP317" s="2">
        <v>1339</v>
      </c>
      <c r="AQ317" s="2">
        <v>541</v>
      </c>
      <c r="AR317" s="2">
        <v>73</v>
      </c>
      <c r="AS317" s="2">
        <v>24</v>
      </c>
      <c r="AT317" s="2">
        <v>35</v>
      </c>
      <c r="AU317" s="2">
        <v>64</v>
      </c>
      <c r="AV317" s="2">
        <v>159</v>
      </c>
      <c r="AW317" s="2"/>
      <c r="AX317" s="1">
        <f t="shared" si="231"/>
        <v>0.22999999999999998</v>
      </c>
      <c r="AY317" s="23">
        <f t="shared" ref="AY309:AY319" si="235">ROUND(K317,1)</f>
        <v>0.2</v>
      </c>
      <c r="AZ317" s="5">
        <v>7.98</v>
      </c>
      <c r="BA317" s="1">
        <v>3.02</v>
      </c>
      <c r="BB317" s="1">
        <v>1.84</v>
      </c>
      <c r="BC317" s="6">
        <f t="shared" si="225"/>
        <v>0.60927152317880795</v>
      </c>
      <c r="BE317" s="28">
        <f t="shared" si="232"/>
        <v>6.1</v>
      </c>
      <c r="BF317" s="6"/>
      <c r="BG317" s="1">
        <f t="shared" si="199"/>
        <v>92.5</v>
      </c>
      <c r="BH317" s="1">
        <f t="shared" si="200"/>
        <v>85.7</v>
      </c>
      <c r="BI317" s="1">
        <f t="shared" si="201"/>
        <v>63.6</v>
      </c>
      <c r="BJ317" s="7">
        <f t="shared" si="202"/>
        <v>0.253</v>
      </c>
      <c r="BK317" s="7">
        <f t="shared" si="203"/>
        <v>0.14499999999999999</v>
      </c>
      <c r="BM317" s="5">
        <f t="shared" si="204"/>
        <v>3.02</v>
      </c>
      <c r="BN317" s="5">
        <f t="shared" si="205"/>
        <v>1.84</v>
      </c>
      <c r="BO317" s="1">
        <f t="shared" si="206"/>
        <v>-8.9</v>
      </c>
      <c r="BP317" s="1">
        <f t="shared" si="207"/>
        <v>-5.7</v>
      </c>
      <c r="BQ317" s="1">
        <f t="shared" si="208"/>
        <v>-10.3</v>
      </c>
      <c r="BR317" s="1">
        <f t="shared" si="209"/>
        <v>85.7</v>
      </c>
      <c r="BS317" s="1">
        <f t="shared" si="210"/>
        <v>63.6</v>
      </c>
      <c r="BT317" s="1">
        <f t="shared" si="211"/>
        <v>1.9</v>
      </c>
      <c r="BU317" s="1">
        <f t="shared" si="212"/>
        <v>5.4</v>
      </c>
      <c r="BV317" s="33">
        <f t="shared" si="233"/>
        <v>6.1</v>
      </c>
      <c r="BW317" s="34">
        <f t="shared" si="234"/>
        <v>0.22999999999999998</v>
      </c>
      <c r="BX317" s="20">
        <f t="shared" si="214"/>
        <v>0.2</v>
      </c>
      <c r="BY317" s="1">
        <f t="shared" si="215"/>
        <v>-9.6</v>
      </c>
      <c r="BZ317" s="1">
        <f t="shared" si="216"/>
        <v>-5.6</v>
      </c>
      <c r="CA317" s="1">
        <f t="shared" si="217"/>
        <v>-11.6</v>
      </c>
      <c r="CB317" s="1">
        <f t="shared" si="218"/>
        <v>0.2</v>
      </c>
      <c r="CC317" s="1">
        <f t="shared" si="219"/>
        <v>2</v>
      </c>
      <c r="CD317" s="1">
        <f t="shared" si="220"/>
        <v>3.7</v>
      </c>
      <c r="CE317" s="1" t="str">
        <f t="shared" si="221"/>
        <v>NAN</v>
      </c>
      <c r="CF317" s="1">
        <f t="shared" si="222"/>
        <v>0.253</v>
      </c>
      <c r="CG317" s="1">
        <f t="shared" si="223"/>
        <v>0.14499999999999999</v>
      </c>
      <c r="CI317" s="1">
        <f t="shared" si="190"/>
        <v>2879</v>
      </c>
      <c r="CJ317" s="1">
        <f t="shared" si="191"/>
        <v>0.224</v>
      </c>
      <c r="CK317" s="1">
        <f t="shared" si="192"/>
        <v>0.46500000000000002</v>
      </c>
      <c r="CL317" s="1">
        <f t="shared" si="193"/>
        <v>0.188</v>
      </c>
      <c r="CM317" s="1">
        <f t="shared" si="194"/>
        <v>2.5000000000000001E-2</v>
      </c>
      <c r="CN317" s="1">
        <f t="shared" si="195"/>
        <v>8.0000000000000002E-3</v>
      </c>
      <c r="CO317" s="1">
        <f t="shared" si="196"/>
        <v>1.2E-2</v>
      </c>
      <c r="CP317" s="1">
        <f t="shared" si="197"/>
        <v>2.1999999999999999E-2</v>
      </c>
      <c r="CQ317" s="1">
        <f t="shared" si="198"/>
        <v>5.5E-2</v>
      </c>
      <c r="CS317" s="1">
        <f t="shared" si="226"/>
        <v>0.10000000000000053</v>
      </c>
      <c r="CT317" s="1">
        <f t="shared" si="227"/>
        <v>-1.2999999999999989</v>
      </c>
    </row>
    <row r="318" spans="1:98" x14ac:dyDescent="0.2">
      <c r="A318" s="8">
        <f t="shared" si="224"/>
        <v>44143</v>
      </c>
      <c r="B318" s="1">
        <v>313</v>
      </c>
      <c r="C318" s="1">
        <v>11</v>
      </c>
      <c r="D318" s="2">
        <v>13</v>
      </c>
      <c r="E318" s="2">
        <v>-7.46</v>
      </c>
      <c r="F318" s="2">
        <v>-14.2</v>
      </c>
      <c r="G318" s="2">
        <v>-11</v>
      </c>
      <c r="H318" s="2">
        <v>86.9</v>
      </c>
      <c r="I318" s="2">
        <v>-1.0649999999999999</v>
      </c>
      <c r="J318" s="2">
        <v>-5.9870000000000001</v>
      </c>
      <c r="K318" s="2">
        <v>5.3999999999999999E-2</v>
      </c>
      <c r="L318" s="2">
        <v>1.923</v>
      </c>
      <c r="M318" s="2">
        <v>3.6080000000000001</v>
      </c>
      <c r="N318" s="2">
        <v>-8</v>
      </c>
      <c r="O318" s="2">
        <v>88.8</v>
      </c>
      <c r="P318" s="2">
        <v>-0.745</v>
      </c>
      <c r="Q318" s="2">
        <v>-0.77600000000000002</v>
      </c>
      <c r="R318" s="2">
        <v>0.13100000000000001</v>
      </c>
      <c r="S318" s="2">
        <v>1.9910000000000001</v>
      </c>
      <c r="T318" s="2">
        <v>3.7069999999999999</v>
      </c>
      <c r="U318" s="2">
        <v>-13.39</v>
      </c>
      <c r="V318" s="2">
        <v>85</v>
      </c>
      <c r="W318" s="2">
        <v>-1.6060000000000001</v>
      </c>
      <c r="X318" s="2">
        <v>-8.82</v>
      </c>
      <c r="Y318" s="2">
        <v>-3.6999999999999998E-2</v>
      </c>
      <c r="Z318" s="2">
        <v>1.821</v>
      </c>
      <c r="AA318" s="2">
        <v>3.488</v>
      </c>
      <c r="AB318" s="2">
        <v>2.3119999999999998</v>
      </c>
      <c r="AC318" s="2">
        <v>0</v>
      </c>
      <c r="AD318" s="2">
        <v>7.3780000000000001</v>
      </c>
      <c r="AE318" s="2">
        <v>4.5469999999999997</v>
      </c>
      <c r="AF318" s="2">
        <v>2.5470000000000002</v>
      </c>
      <c r="AG318" s="2">
        <v>6.298</v>
      </c>
      <c r="AH318" s="2">
        <v>-12.83</v>
      </c>
      <c r="AI318" s="2">
        <v>-9.7899999999999991</v>
      </c>
      <c r="AJ318" s="2">
        <v>-16.23</v>
      </c>
      <c r="AK318" s="2">
        <v>-5.4690000000000003</v>
      </c>
      <c r="AL318" s="2">
        <v>-14.1</v>
      </c>
      <c r="AM318" s="2">
        <v>2.363</v>
      </c>
      <c r="AN318" s="2" t="s">
        <v>122</v>
      </c>
      <c r="AO318" s="2">
        <v>393</v>
      </c>
      <c r="AP318" s="2">
        <v>1728</v>
      </c>
      <c r="AQ318" s="2">
        <v>668</v>
      </c>
      <c r="AR318" s="2">
        <v>42</v>
      </c>
      <c r="AS318" s="2">
        <v>6</v>
      </c>
      <c r="AT318" s="2">
        <v>0</v>
      </c>
      <c r="AU318" s="2">
        <v>5</v>
      </c>
      <c r="AV318" s="2">
        <v>38</v>
      </c>
      <c r="AW318" s="2"/>
      <c r="AX318" s="1">
        <f t="shared" si="231"/>
        <v>0.23799999999999999</v>
      </c>
      <c r="AY318" s="23">
        <f t="shared" si="235"/>
        <v>0.1</v>
      </c>
      <c r="AZ318" s="5">
        <v>7.83</v>
      </c>
      <c r="BA318" s="1">
        <v>7.38</v>
      </c>
      <c r="BB318" s="1">
        <v>4.18</v>
      </c>
      <c r="BC318" s="6">
        <f t="shared" si="225"/>
        <v>0.56639566395663954</v>
      </c>
      <c r="BE318" s="28">
        <f t="shared" si="232"/>
        <v>1</v>
      </c>
      <c r="BF318" s="6"/>
      <c r="BG318" s="1">
        <f t="shared" si="199"/>
        <v>88.8</v>
      </c>
      <c r="BH318" s="1">
        <f t="shared" si="200"/>
        <v>86.9</v>
      </c>
      <c r="BI318" s="1">
        <f t="shared" si="201"/>
        <v>85</v>
      </c>
      <c r="BJ318" s="7">
        <f t="shared" si="202"/>
        <v>0.28399999999999997</v>
      </c>
      <c r="BK318" s="7">
        <f t="shared" si="203"/>
        <v>0.05</v>
      </c>
      <c r="BM318" s="5">
        <f t="shared" si="204"/>
        <v>7.38</v>
      </c>
      <c r="BN318" s="5">
        <f t="shared" si="205"/>
        <v>4.18</v>
      </c>
      <c r="BO318" s="1">
        <f t="shared" si="206"/>
        <v>-11</v>
      </c>
      <c r="BP318" s="1">
        <f t="shared" si="207"/>
        <v>-8</v>
      </c>
      <c r="BQ318" s="1">
        <f t="shared" si="208"/>
        <v>-13.4</v>
      </c>
      <c r="BR318" s="1">
        <f t="shared" si="209"/>
        <v>86.9</v>
      </c>
      <c r="BS318" s="1">
        <f t="shared" si="210"/>
        <v>85</v>
      </c>
      <c r="BT318" s="1">
        <f t="shared" si="211"/>
        <v>2.5</v>
      </c>
      <c r="BU318" s="1">
        <f t="shared" si="212"/>
        <v>6.3</v>
      </c>
      <c r="BV318" s="33">
        <f t="shared" si="233"/>
        <v>1</v>
      </c>
      <c r="BW318" s="34">
        <f t="shared" si="234"/>
        <v>0.23799999999999999</v>
      </c>
      <c r="BX318" s="20">
        <f t="shared" si="214"/>
        <v>0.1</v>
      </c>
      <c r="BY318" s="1">
        <f t="shared" si="215"/>
        <v>-12.8</v>
      </c>
      <c r="BZ318" s="1">
        <f t="shared" si="216"/>
        <v>-9.8000000000000007</v>
      </c>
      <c r="CA318" s="1">
        <f t="shared" si="217"/>
        <v>-16.2</v>
      </c>
      <c r="CB318" s="1">
        <f t="shared" si="218"/>
        <v>0.1</v>
      </c>
      <c r="CC318" s="1">
        <f t="shared" si="219"/>
        <v>1.9</v>
      </c>
      <c r="CD318" s="1">
        <f t="shared" si="220"/>
        <v>3.6</v>
      </c>
      <c r="CE318" s="1" t="str">
        <f t="shared" si="221"/>
        <v>NAN</v>
      </c>
      <c r="CF318" s="1">
        <f t="shared" si="222"/>
        <v>0.28399999999999997</v>
      </c>
      <c r="CG318" s="1">
        <f t="shared" si="223"/>
        <v>0.05</v>
      </c>
      <c r="CI318" s="1">
        <f t="shared" si="190"/>
        <v>2880</v>
      </c>
      <c r="CJ318" s="1">
        <f t="shared" si="191"/>
        <v>0.13600000000000001</v>
      </c>
      <c r="CK318" s="1">
        <f t="shared" si="192"/>
        <v>0.6</v>
      </c>
      <c r="CL318" s="1">
        <f t="shared" si="193"/>
        <v>0.23200000000000001</v>
      </c>
      <c r="CM318" s="1">
        <f t="shared" si="194"/>
        <v>1.4999999999999999E-2</v>
      </c>
      <c r="CN318" s="1">
        <f t="shared" si="195"/>
        <v>2E-3</v>
      </c>
      <c r="CO318" s="1">
        <f t="shared" si="196"/>
        <v>0</v>
      </c>
      <c r="CP318" s="1">
        <f t="shared" si="197"/>
        <v>2E-3</v>
      </c>
      <c r="CQ318" s="1">
        <f t="shared" si="198"/>
        <v>1.2999999999999999E-2</v>
      </c>
      <c r="CS318" s="1">
        <f t="shared" si="226"/>
        <v>-1.8000000000000007</v>
      </c>
      <c r="CT318" s="1">
        <f t="shared" si="227"/>
        <v>-2.7999999999999989</v>
      </c>
    </row>
    <row r="319" spans="1:98" x14ac:dyDescent="0.2">
      <c r="A319" s="8">
        <f t="shared" si="224"/>
        <v>44144</v>
      </c>
      <c r="B319" s="1">
        <v>314</v>
      </c>
      <c r="C319" s="1">
        <v>11</v>
      </c>
      <c r="D319" s="2">
        <v>12.98</v>
      </c>
      <c r="E319" s="2">
        <v>-5.1130000000000004</v>
      </c>
      <c r="F319" s="2">
        <v>-15.47</v>
      </c>
      <c r="G319" s="2">
        <v>-9.06</v>
      </c>
      <c r="H319" s="2">
        <v>87.7</v>
      </c>
      <c r="I319" s="2">
        <v>-1.0680000000000001</v>
      </c>
      <c r="J319" s="2">
        <v>-6.86</v>
      </c>
      <c r="K319" s="2">
        <v>9.4E-2</v>
      </c>
      <c r="L319" s="2">
        <v>2.004</v>
      </c>
      <c r="M319" s="2">
        <v>3.5379999999999998</v>
      </c>
      <c r="N319" s="2">
        <v>-6.1340000000000003</v>
      </c>
      <c r="O319" s="2">
        <v>90.1</v>
      </c>
      <c r="P319" s="2">
        <v>-0.79400000000000004</v>
      </c>
      <c r="Q319" s="2">
        <v>-2.7629999999999999</v>
      </c>
      <c r="R319" s="2">
        <v>0.17199999999999999</v>
      </c>
      <c r="S319" s="2">
        <v>2.1</v>
      </c>
      <c r="T319" s="2">
        <v>3.633</v>
      </c>
      <c r="U319" s="2">
        <v>-12.67</v>
      </c>
      <c r="V319" s="2">
        <v>77.58</v>
      </c>
      <c r="W319" s="2">
        <v>-1.3520000000000001</v>
      </c>
      <c r="X319" s="2">
        <v>-10.93</v>
      </c>
      <c r="Y319" s="2">
        <v>0</v>
      </c>
      <c r="Z319" s="2">
        <v>1.8839999999999999</v>
      </c>
      <c r="AA319" s="2">
        <v>3.4590000000000001</v>
      </c>
      <c r="AB319" s="2">
        <v>2.2610000000000001</v>
      </c>
      <c r="AC319" s="2">
        <v>0</v>
      </c>
      <c r="AD319" s="2">
        <v>4.0270000000000001</v>
      </c>
      <c r="AE319" s="2">
        <v>2.2709999999999999</v>
      </c>
      <c r="AF319" s="2">
        <v>0.86599999999999999</v>
      </c>
      <c r="AG319" s="2">
        <v>2.7890000000000001</v>
      </c>
      <c r="AH319" s="2">
        <v>-11.21</v>
      </c>
      <c r="AI319" s="2">
        <v>-5.3540000000000001</v>
      </c>
      <c r="AJ319" s="2">
        <v>-18.75</v>
      </c>
      <c r="AK319" s="2">
        <v>-1.9259999999999999</v>
      </c>
      <c r="AL319" s="2">
        <v>-12.85</v>
      </c>
      <c r="AM319" s="2">
        <v>2.2959999999999998</v>
      </c>
      <c r="AN319" s="2" t="s">
        <v>122</v>
      </c>
      <c r="AO319" s="2">
        <v>100</v>
      </c>
      <c r="AP319" s="2">
        <v>269</v>
      </c>
      <c r="AQ319" s="2">
        <v>518</v>
      </c>
      <c r="AR319" s="2">
        <v>116</v>
      </c>
      <c r="AS319" s="2">
        <v>253</v>
      </c>
      <c r="AT319" s="2">
        <v>671</v>
      </c>
      <c r="AU319" s="2">
        <v>786</v>
      </c>
      <c r="AV319" s="2">
        <v>167</v>
      </c>
      <c r="AW319" s="2"/>
      <c r="AX319" s="1">
        <f t="shared" si="231"/>
        <v>0.2889999999999997</v>
      </c>
      <c r="AY319" s="23">
        <f t="shared" si="235"/>
        <v>0.1</v>
      </c>
      <c r="AZ319" s="5">
        <v>7.69</v>
      </c>
      <c r="BA319" s="1">
        <v>4.03</v>
      </c>
      <c r="BB319" s="1">
        <v>2.09</v>
      </c>
      <c r="BC319" s="6">
        <f t="shared" si="225"/>
        <v>0.51861042183622819</v>
      </c>
      <c r="BE319" s="28">
        <f t="shared" si="232"/>
        <v>6.6</v>
      </c>
      <c r="BF319" s="6"/>
      <c r="BG319" s="1">
        <f t="shared" si="199"/>
        <v>90.1</v>
      </c>
      <c r="BH319" s="1">
        <f t="shared" si="200"/>
        <v>87.7</v>
      </c>
      <c r="BI319" s="1">
        <f t="shared" si="201"/>
        <v>77.599999999999994</v>
      </c>
      <c r="BJ319" s="7">
        <f t="shared" si="202"/>
        <v>0.3</v>
      </c>
      <c r="BK319" s="7">
        <f t="shared" si="203"/>
        <v>8.6999999999999994E-2</v>
      </c>
      <c r="BM319" s="5">
        <f t="shared" si="204"/>
        <v>4.03</v>
      </c>
      <c r="BN319" s="5">
        <f t="shared" si="205"/>
        <v>2.09</v>
      </c>
      <c r="BO319" s="1">
        <f t="shared" si="206"/>
        <v>-9.1</v>
      </c>
      <c r="BP319" s="1">
        <f t="shared" si="207"/>
        <v>-6.1</v>
      </c>
      <c r="BQ319" s="1">
        <f t="shared" si="208"/>
        <v>-12.7</v>
      </c>
      <c r="BR319" s="1">
        <f t="shared" si="209"/>
        <v>87.7</v>
      </c>
      <c r="BS319" s="1">
        <f t="shared" si="210"/>
        <v>77.599999999999994</v>
      </c>
      <c r="BT319" s="1">
        <f t="shared" si="211"/>
        <v>0.9</v>
      </c>
      <c r="BU319" s="1">
        <f t="shared" si="212"/>
        <v>2.8</v>
      </c>
      <c r="BV319" s="33">
        <f t="shared" si="233"/>
        <v>6.6</v>
      </c>
      <c r="BW319" s="34">
        <f t="shared" si="234"/>
        <v>0.2889999999999997</v>
      </c>
      <c r="BX319" s="20">
        <f t="shared" si="214"/>
        <v>0.1</v>
      </c>
      <c r="BY319" s="1">
        <f t="shared" si="215"/>
        <v>-11.2</v>
      </c>
      <c r="BZ319" s="1">
        <f t="shared" si="216"/>
        <v>-5.4</v>
      </c>
      <c r="CA319" s="1">
        <f t="shared" si="217"/>
        <v>-18.8</v>
      </c>
      <c r="CB319" s="1">
        <f t="shared" si="218"/>
        <v>0.1</v>
      </c>
      <c r="CC319" s="1">
        <f t="shared" si="219"/>
        <v>2</v>
      </c>
      <c r="CD319" s="1">
        <f t="shared" si="220"/>
        <v>3.5</v>
      </c>
      <c r="CE319" s="1" t="str">
        <f t="shared" si="221"/>
        <v>NAN</v>
      </c>
      <c r="CF319" s="1">
        <f t="shared" si="222"/>
        <v>0.3</v>
      </c>
      <c r="CG319" s="1">
        <f t="shared" si="223"/>
        <v>8.6999999999999994E-2</v>
      </c>
      <c r="CI319" s="1">
        <f t="shared" si="190"/>
        <v>2880</v>
      </c>
      <c r="CJ319" s="1">
        <f t="shared" si="191"/>
        <v>3.5000000000000003E-2</v>
      </c>
      <c r="CK319" s="1">
        <f t="shared" si="192"/>
        <v>9.2999999999999999E-2</v>
      </c>
      <c r="CL319" s="1">
        <f t="shared" si="193"/>
        <v>0.18</v>
      </c>
      <c r="CM319" s="1">
        <f t="shared" si="194"/>
        <v>0.04</v>
      </c>
      <c r="CN319" s="1">
        <f t="shared" si="195"/>
        <v>8.7999999999999995E-2</v>
      </c>
      <c r="CO319" s="1">
        <f t="shared" si="196"/>
        <v>0.23300000000000001</v>
      </c>
      <c r="CP319" s="1">
        <f t="shared" si="197"/>
        <v>0.27300000000000002</v>
      </c>
      <c r="CQ319" s="1">
        <f t="shared" si="198"/>
        <v>5.8000000000000003E-2</v>
      </c>
      <c r="CS319" s="1">
        <f t="shared" si="226"/>
        <v>0.69999999999999929</v>
      </c>
      <c r="CT319" s="1">
        <f t="shared" si="227"/>
        <v>-6.1000000000000014</v>
      </c>
    </row>
    <row r="320" spans="1:98" x14ac:dyDescent="0.2">
      <c r="A320" s="8">
        <f t="shared" si="224"/>
        <v>44145</v>
      </c>
      <c r="B320" s="1">
        <v>315</v>
      </c>
      <c r="C320" s="1">
        <v>11</v>
      </c>
      <c r="D320" s="2">
        <v>12.87</v>
      </c>
      <c r="E320" s="2">
        <v>-6.5990000000000002</v>
      </c>
      <c r="F320" s="2">
        <v>-8.8699999999999992</v>
      </c>
      <c r="G320" s="2">
        <v>-7.9080000000000004</v>
      </c>
      <c r="H320" s="2">
        <v>89.8</v>
      </c>
      <c r="I320" s="2">
        <v>-0.69299999999999995</v>
      </c>
      <c r="J320" s="2">
        <v>-3.577</v>
      </c>
      <c r="K320" s="2">
        <v>0.14499999999999999</v>
      </c>
      <c r="L320" s="2">
        <v>2.0259999999999998</v>
      </c>
      <c r="M320" s="2">
        <v>3.4870000000000001</v>
      </c>
      <c r="N320" s="2">
        <v>-6.95</v>
      </c>
      <c r="O320" s="2">
        <v>90.4</v>
      </c>
      <c r="P320" s="2">
        <v>-0.50900000000000001</v>
      </c>
      <c r="Q320" s="2">
        <v>-2.8839999999999999</v>
      </c>
      <c r="R320" s="2">
        <v>0.22800000000000001</v>
      </c>
      <c r="S320" s="2">
        <v>2.101</v>
      </c>
      <c r="T320" s="2">
        <v>3.5739999999999998</v>
      </c>
      <c r="U320" s="2">
        <v>-8.91</v>
      </c>
      <c r="V320" s="2">
        <v>89.1</v>
      </c>
      <c r="W320" s="2">
        <v>-0.89700000000000002</v>
      </c>
      <c r="X320" s="2">
        <v>-4.8470000000000004</v>
      </c>
      <c r="Y320" s="2">
        <v>5.6000000000000001E-2</v>
      </c>
      <c r="Z320" s="2">
        <v>1.9330000000000001</v>
      </c>
      <c r="AA320" s="2">
        <v>3.383</v>
      </c>
      <c r="AB320" s="2">
        <v>2.1779999999999999</v>
      </c>
      <c r="AC320" s="2">
        <v>0</v>
      </c>
      <c r="AD320" s="2">
        <v>0.29199999999999998</v>
      </c>
      <c r="AE320" s="2">
        <v>1.371</v>
      </c>
      <c r="AF320" s="2">
        <v>0.82399999999999995</v>
      </c>
      <c r="AG320" s="2">
        <v>3.383</v>
      </c>
      <c r="AH320" s="2">
        <v>-8.19</v>
      </c>
      <c r="AI320" s="2">
        <v>-6.5579999999999998</v>
      </c>
      <c r="AJ320" s="2">
        <v>-9.17</v>
      </c>
      <c r="AK320" s="2">
        <v>-6.2510000000000003</v>
      </c>
      <c r="AL320" s="2">
        <v>-9.07</v>
      </c>
      <c r="AM320" s="2">
        <v>2.2130000000000001</v>
      </c>
      <c r="AN320" s="2" t="s">
        <v>122</v>
      </c>
      <c r="AO320" s="2">
        <v>673</v>
      </c>
      <c r="AP320" s="2">
        <v>373</v>
      </c>
      <c r="AQ320" s="2">
        <v>190</v>
      </c>
      <c r="AR320" s="2">
        <v>95</v>
      </c>
      <c r="AS320" s="2">
        <v>75</v>
      </c>
      <c r="AT320" s="2">
        <v>214</v>
      </c>
      <c r="AU320" s="2">
        <v>495</v>
      </c>
      <c r="AV320" s="2">
        <v>764</v>
      </c>
      <c r="AW320" s="2"/>
      <c r="AX320" s="1">
        <f t="shared" si="231"/>
        <v>0.37199999999999989</v>
      </c>
      <c r="AY320" s="22">
        <f t="shared" ref="AY320:AY346" si="236">ROUND(AVERAGE(J320:K320),1)</f>
        <v>-1.7</v>
      </c>
      <c r="AZ320" s="5">
        <v>7.55</v>
      </c>
      <c r="BA320" s="1">
        <v>1.33</v>
      </c>
      <c r="BB320" s="1">
        <v>1.26</v>
      </c>
      <c r="BC320" s="6">
        <f t="shared" si="225"/>
        <v>0.94736842105263153</v>
      </c>
      <c r="BE320" s="28">
        <f t="shared" si="232"/>
        <v>10.8</v>
      </c>
      <c r="BF320" s="6"/>
      <c r="BG320" s="1">
        <f t="shared" si="199"/>
        <v>90.4</v>
      </c>
      <c r="BH320" s="1">
        <f t="shared" si="200"/>
        <v>89.8</v>
      </c>
      <c r="BI320" s="1">
        <f t="shared" si="201"/>
        <v>89.1</v>
      </c>
      <c r="BJ320" s="7">
        <f t="shared" si="202"/>
        <v>0.32300000000000001</v>
      </c>
      <c r="BK320" s="7">
        <f t="shared" si="203"/>
        <v>0.04</v>
      </c>
      <c r="BM320" s="5">
        <f t="shared" si="204"/>
        <v>1.33</v>
      </c>
      <c r="BN320" s="5">
        <f t="shared" si="205"/>
        <v>1.26</v>
      </c>
      <c r="BO320" s="1">
        <f t="shared" si="206"/>
        <v>-7.9</v>
      </c>
      <c r="BP320" s="1">
        <f t="shared" si="207"/>
        <v>-7</v>
      </c>
      <c r="BQ320" s="1">
        <f t="shared" si="208"/>
        <v>-8.9</v>
      </c>
      <c r="BR320" s="1">
        <f t="shared" si="209"/>
        <v>89.8</v>
      </c>
      <c r="BS320" s="1">
        <f t="shared" si="210"/>
        <v>89.1</v>
      </c>
      <c r="BT320" s="1">
        <f t="shared" si="211"/>
        <v>0.8</v>
      </c>
      <c r="BU320" s="1">
        <f t="shared" si="212"/>
        <v>3.4</v>
      </c>
      <c r="BV320" s="33">
        <f t="shared" si="233"/>
        <v>10.8</v>
      </c>
      <c r="BW320" s="34">
        <f t="shared" si="234"/>
        <v>0.37199999999999989</v>
      </c>
      <c r="BX320" s="20">
        <f t="shared" si="214"/>
        <v>-1.7</v>
      </c>
      <c r="BY320" s="1">
        <f t="shared" si="215"/>
        <v>-8.1999999999999993</v>
      </c>
      <c r="BZ320" s="1">
        <f t="shared" si="216"/>
        <v>-6.6</v>
      </c>
      <c r="CA320" s="1">
        <f t="shared" si="217"/>
        <v>-9.1999999999999993</v>
      </c>
      <c r="CB320" s="1">
        <f t="shared" si="218"/>
        <v>0.1</v>
      </c>
      <c r="CC320" s="1">
        <f t="shared" si="219"/>
        <v>2</v>
      </c>
      <c r="CD320" s="1">
        <f t="shared" si="220"/>
        <v>3.5</v>
      </c>
      <c r="CE320" s="1" t="str">
        <f t="shared" si="221"/>
        <v>NAN</v>
      </c>
      <c r="CF320" s="1">
        <f t="shared" si="222"/>
        <v>0.32300000000000001</v>
      </c>
      <c r="CG320" s="1">
        <f t="shared" si="223"/>
        <v>0.04</v>
      </c>
      <c r="CI320" s="1">
        <f t="shared" ref="CI320:CI371" si="237">SUM(AO320:AV320)</f>
        <v>2879</v>
      </c>
      <c r="CJ320" s="1">
        <f t="shared" ref="CJ320:CJ371" si="238">ROUND(AO320/$CI320,3)</f>
        <v>0.23400000000000001</v>
      </c>
      <c r="CK320" s="1">
        <f t="shared" ref="CK320:CK371" si="239">ROUND(AP320/$CI320,3)</f>
        <v>0.13</v>
      </c>
      <c r="CL320" s="1">
        <f t="shared" ref="CL320:CL371" si="240">ROUND(AQ320/$CI320,3)</f>
        <v>6.6000000000000003E-2</v>
      </c>
      <c r="CM320" s="1">
        <f t="shared" ref="CM320:CM371" si="241">ROUND(AR320/$CI320,3)</f>
        <v>3.3000000000000002E-2</v>
      </c>
      <c r="CN320" s="1">
        <f t="shared" ref="CN320:CN371" si="242">ROUND(AS320/$CI320,3)</f>
        <v>2.5999999999999999E-2</v>
      </c>
      <c r="CO320" s="1">
        <f t="shared" ref="CO320:CO371" si="243">ROUND(AT320/$CI320,3)</f>
        <v>7.3999999999999996E-2</v>
      </c>
      <c r="CP320" s="1">
        <f t="shared" ref="CP320:CP371" si="244">ROUND(AU320/$CI320,3)</f>
        <v>0.17199999999999999</v>
      </c>
      <c r="CQ320" s="1">
        <f t="shared" ref="CQ320:CQ371" si="245">ROUND(AV320/$CI320,3)</f>
        <v>0.26500000000000001</v>
      </c>
      <c r="CS320" s="1">
        <f t="shared" si="226"/>
        <v>0.40000000000000036</v>
      </c>
      <c r="CT320" s="1">
        <f t="shared" si="227"/>
        <v>-0.29999999999999893</v>
      </c>
    </row>
    <row r="321" spans="1:98" x14ac:dyDescent="0.2">
      <c r="A321" s="8">
        <f t="shared" si="224"/>
        <v>44146</v>
      </c>
      <c r="B321" s="1">
        <v>316</v>
      </c>
      <c r="C321" s="1">
        <v>11</v>
      </c>
      <c r="D321" s="2">
        <v>13</v>
      </c>
      <c r="E321" s="2">
        <v>-3.879</v>
      </c>
      <c r="F321" s="2">
        <v>-9.34</v>
      </c>
      <c r="G321" s="2">
        <v>-8.7899999999999991</v>
      </c>
      <c r="H321" s="2">
        <v>88.7</v>
      </c>
      <c r="I321" s="2">
        <v>-0.498</v>
      </c>
      <c r="J321" s="2">
        <v>-2.6720000000000002</v>
      </c>
      <c r="K321" s="2">
        <v>0.22</v>
      </c>
      <c r="L321" s="2">
        <v>2.0009999999999999</v>
      </c>
      <c r="M321" s="2">
        <v>3.4209999999999998</v>
      </c>
      <c r="N321" s="2">
        <v>-6.0039999999999996</v>
      </c>
      <c r="O321" s="2">
        <v>89.7</v>
      </c>
      <c r="P321" s="2">
        <v>-0.36099999999999999</v>
      </c>
      <c r="Q321" s="2">
        <v>-1.123</v>
      </c>
      <c r="R321" s="2">
        <v>0.32700000000000001</v>
      </c>
      <c r="S321" s="2">
        <v>2.0750000000000002</v>
      </c>
      <c r="T321" s="2">
        <v>3.5009999999999999</v>
      </c>
      <c r="U321" s="2">
        <v>-9.42</v>
      </c>
      <c r="V321" s="2">
        <v>85.9</v>
      </c>
      <c r="W321" s="2">
        <v>-0.61599999999999999</v>
      </c>
      <c r="X321" s="2">
        <v>-3.4620000000000002</v>
      </c>
      <c r="Y321" s="2">
        <v>0.11899999999999999</v>
      </c>
      <c r="Z321" s="2">
        <v>1.919</v>
      </c>
      <c r="AA321" s="2">
        <v>3.33</v>
      </c>
      <c r="AB321" s="2">
        <v>2.1989999999999998</v>
      </c>
      <c r="AC321" s="2">
        <v>0</v>
      </c>
      <c r="AD321" s="2">
        <v>1.04</v>
      </c>
      <c r="AE321" s="2">
        <v>3.6349999999999998</v>
      </c>
      <c r="AF321" s="2">
        <v>0.82399999999999995</v>
      </c>
      <c r="AG321" s="2">
        <v>3.3079999999999998</v>
      </c>
      <c r="AH321" s="2">
        <v>-9.07</v>
      </c>
      <c r="AI321" s="2">
        <v>-4.0270000000000001</v>
      </c>
      <c r="AJ321" s="2">
        <v>-11.59</v>
      </c>
      <c r="AK321" s="2">
        <v>-2.4430000000000001</v>
      </c>
      <c r="AL321" s="2">
        <v>-9.57</v>
      </c>
      <c r="AM321" s="2">
        <v>2.2360000000000002</v>
      </c>
      <c r="AN321" s="2" t="s">
        <v>122</v>
      </c>
      <c r="AO321" s="2">
        <v>759</v>
      </c>
      <c r="AP321" s="2">
        <v>317</v>
      </c>
      <c r="AQ321" s="2">
        <v>145</v>
      </c>
      <c r="AR321" s="2">
        <v>65</v>
      </c>
      <c r="AS321" s="2">
        <v>84</v>
      </c>
      <c r="AT321" s="2">
        <v>262</v>
      </c>
      <c r="AU321" s="2">
        <v>466</v>
      </c>
      <c r="AV321" s="2">
        <v>782</v>
      </c>
      <c r="AW321" s="2"/>
      <c r="AX321" s="1">
        <f t="shared" si="231"/>
        <v>0.35099999999999998</v>
      </c>
      <c r="AY321" s="22">
        <f t="shared" si="236"/>
        <v>-1.2</v>
      </c>
      <c r="AZ321" s="5">
        <v>7.41</v>
      </c>
      <c r="BA321" s="1">
        <v>3.52</v>
      </c>
      <c r="BB321" s="1">
        <v>3.34</v>
      </c>
      <c r="BC321" s="6">
        <f t="shared" si="225"/>
        <v>0.94886363636363635</v>
      </c>
      <c r="BE321" s="28">
        <f t="shared" si="232"/>
        <v>0</v>
      </c>
      <c r="BF321" s="6"/>
      <c r="BG321" s="1">
        <f t="shared" si="199"/>
        <v>89.7</v>
      </c>
      <c r="BH321" s="1">
        <f t="shared" si="200"/>
        <v>88.7</v>
      </c>
      <c r="BI321" s="1">
        <f t="shared" si="201"/>
        <v>85.9</v>
      </c>
      <c r="BJ321" s="7">
        <f t="shared" si="202"/>
        <v>0.33500000000000002</v>
      </c>
      <c r="BK321" s="7">
        <f t="shared" si="203"/>
        <v>5.5E-2</v>
      </c>
      <c r="BM321" s="5">
        <f t="shared" si="204"/>
        <v>3.52</v>
      </c>
      <c r="BN321" s="5">
        <f t="shared" si="205"/>
        <v>3.34</v>
      </c>
      <c r="BO321" s="1">
        <f t="shared" si="206"/>
        <v>-8.8000000000000007</v>
      </c>
      <c r="BP321" s="1">
        <f t="shared" si="207"/>
        <v>-6</v>
      </c>
      <c r="BQ321" s="1">
        <f t="shared" si="208"/>
        <v>-9.4</v>
      </c>
      <c r="BR321" s="1">
        <f t="shared" si="209"/>
        <v>88.7</v>
      </c>
      <c r="BS321" s="1">
        <f t="shared" si="210"/>
        <v>85.9</v>
      </c>
      <c r="BT321" s="1">
        <f t="shared" si="211"/>
        <v>0.8</v>
      </c>
      <c r="BU321" s="1">
        <f t="shared" si="212"/>
        <v>3.3</v>
      </c>
      <c r="BV321" s="33">
        <f t="shared" si="233"/>
        <v>0</v>
      </c>
      <c r="BW321" s="34">
        <f t="shared" si="234"/>
        <v>0.35099999999999998</v>
      </c>
      <c r="BX321" s="20">
        <f t="shared" si="214"/>
        <v>-1.2</v>
      </c>
      <c r="BY321" s="1">
        <f t="shared" si="215"/>
        <v>-9.1</v>
      </c>
      <c r="BZ321" s="1">
        <f t="shared" si="216"/>
        <v>-4</v>
      </c>
      <c r="CA321" s="1">
        <f t="shared" si="217"/>
        <v>-11.6</v>
      </c>
      <c r="CB321" s="1">
        <f t="shared" si="218"/>
        <v>0.2</v>
      </c>
      <c r="CC321" s="1">
        <f t="shared" si="219"/>
        <v>2</v>
      </c>
      <c r="CD321" s="1">
        <f t="shared" si="220"/>
        <v>3.4</v>
      </c>
      <c r="CE321" s="1" t="str">
        <f t="shared" si="221"/>
        <v>NAN</v>
      </c>
      <c r="CF321" s="1">
        <f t="shared" si="222"/>
        <v>0.33500000000000002</v>
      </c>
      <c r="CG321" s="1">
        <f t="shared" si="223"/>
        <v>5.5E-2</v>
      </c>
      <c r="CI321" s="1">
        <f t="shared" si="237"/>
        <v>2880</v>
      </c>
      <c r="CJ321" s="1">
        <f t="shared" si="238"/>
        <v>0.26400000000000001</v>
      </c>
      <c r="CK321" s="1">
        <f t="shared" si="239"/>
        <v>0.11</v>
      </c>
      <c r="CL321" s="1">
        <f t="shared" si="240"/>
        <v>0.05</v>
      </c>
      <c r="CM321" s="1">
        <f t="shared" si="241"/>
        <v>2.3E-2</v>
      </c>
      <c r="CN321" s="1">
        <f t="shared" si="242"/>
        <v>2.9000000000000001E-2</v>
      </c>
      <c r="CO321" s="1">
        <f t="shared" si="243"/>
        <v>9.0999999999999998E-2</v>
      </c>
      <c r="CP321" s="1">
        <f t="shared" si="244"/>
        <v>0.16200000000000001</v>
      </c>
      <c r="CQ321" s="1">
        <f t="shared" si="245"/>
        <v>0.27200000000000002</v>
      </c>
      <c r="CS321" s="1">
        <f t="shared" si="226"/>
        <v>2</v>
      </c>
      <c r="CT321" s="1">
        <f t="shared" si="227"/>
        <v>-2.1999999999999993</v>
      </c>
    </row>
    <row r="322" spans="1:98" x14ac:dyDescent="0.2">
      <c r="A322" s="8">
        <f t="shared" si="224"/>
        <v>44147</v>
      </c>
      <c r="B322" s="1">
        <v>317</v>
      </c>
      <c r="C322" s="1">
        <v>11</v>
      </c>
      <c r="D322" s="2">
        <v>12.97</v>
      </c>
      <c r="E322" s="2">
        <v>-6.2919999999999998</v>
      </c>
      <c r="F322" s="2">
        <v>-9.32</v>
      </c>
      <c r="G322" s="2">
        <v>-8.43</v>
      </c>
      <c r="H322" s="2">
        <v>89.2</v>
      </c>
      <c r="I322" s="2">
        <v>-0.433</v>
      </c>
      <c r="J322" s="2">
        <v>-2.637</v>
      </c>
      <c r="K322" s="2">
        <v>0.33700000000000002</v>
      </c>
      <c r="L322" s="2">
        <v>2.0150000000000001</v>
      </c>
      <c r="M322" s="2">
        <v>3.379</v>
      </c>
      <c r="N322" s="2">
        <v>-6.3380000000000001</v>
      </c>
      <c r="O322" s="2">
        <v>90.2</v>
      </c>
      <c r="P322" s="2">
        <v>-0.33500000000000002</v>
      </c>
      <c r="Q322" s="2">
        <v>-1.839</v>
      </c>
      <c r="R322" s="2">
        <v>0.434</v>
      </c>
      <c r="S322" s="2">
        <v>2.0859999999999999</v>
      </c>
      <c r="T322" s="2">
        <v>3.4540000000000002</v>
      </c>
      <c r="U322" s="2">
        <v>-9.36</v>
      </c>
      <c r="V322" s="2">
        <v>88</v>
      </c>
      <c r="W322" s="2">
        <v>-0.52</v>
      </c>
      <c r="X322" s="2">
        <v>-3.1629999999999998</v>
      </c>
      <c r="Y322" s="2">
        <v>0.23300000000000001</v>
      </c>
      <c r="Z322" s="2">
        <v>1.9359999999999999</v>
      </c>
      <c r="AA322" s="2">
        <v>3.294</v>
      </c>
      <c r="AB322" s="2">
        <v>2.153</v>
      </c>
      <c r="AC322" s="2">
        <v>0</v>
      </c>
      <c r="AD322" s="2">
        <v>0.42699999999999999</v>
      </c>
      <c r="AE322" s="2">
        <v>1.7150000000000001</v>
      </c>
      <c r="AF322" s="2">
        <v>1.494</v>
      </c>
      <c r="AG322" s="2">
        <v>4.25</v>
      </c>
      <c r="AH322" s="2">
        <v>-8.67</v>
      </c>
      <c r="AI322" s="2">
        <v>-6.08</v>
      </c>
      <c r="AJ322" s="2">
        <v>-9.8699999999999992</v>
      </c>
      <c r="AK322" s="2">
        <v>-5.4269999999999996</v>
      </c>
      <c r="AL322" s="2">
        <v>-9.5399999999999991</v>
      </c>
      <c r="AM322" s="2">
        <v>2.1859999999999999</v>
      </c>
      <c r="AN322" s="2" t="s">
        <v>122</v>
      </c>
      <c r="AO322" s="2">
        <v>12</v>
      </c>
      <c r="AP322" s="2">
        <v>9</v>
      </c>
      <c r="AQ322" s="2">
        <v>26</v>
      </c>
      <c r="AR322" s="2">
        <v>178</v>
      </c>
      <c r="AS322" s="2">
        <v>902</v>
      </c>
      <c r="AT322" s="2">
        <v>1306</v>
      </c>
      <c r="AU322" s="2">
        <v>404</v>
      </c>
      <c r="AV322" s="2">
        <v>43</v>
      </c>
      <c r="AW322" s="2"/>
      <c r="AX322" s="1">
        <f t="shared" ref="AX322:AX353" si="246">AX$1-AB322</f>
        <v>0.3969999999999998</v>
      </c>
      <c r="AY322" s="22">
        <f t="shared" si="236"/>
        <v>-1.2</v>
      </c>
      <c r="AZ322" s="5">
        <v>7.28</v>
      </c>
      <c r="BA322" s="1">
        <v>1.66</v>
      </c>
      <c r="BB322" s="1">
        <v>1.58</v>
      </c>
      <c r="BC322" s="6">
        <f t="shared" si="225"/>
        <v>0.95180722891566272</v>
      </c>
      <c r="BE322" s="28">
        <f t="shared" si="232"/>
        <v>6</v>
      </c>
      <c r="BF322" s="6"/>
      <c r="BG322" s="1">
        <f t="shared" si="199"/>
        <v>90.2</v>
      </c>
      <c r="BH322" s="1">
        <f t="shared" si="200"/>
        <v>89.2</v>
      </c>
      <c r="BI322" s="1">
        <f t="shared" si="201"/>
        <v>88</v>
      </c>
      <c r="BJ322" s="7">
        <f t="shared" si="202"/>
        <v>0.33400000000000002</v>
      </c>
      <c r="BK322" s="7">
        <f t="shared" si="203"/>
        <v>4.5999999999999999E-2</v>
      </c>
      <c r="BM322" s="5">
        <f t="shared" si="204"/>
        <v>1.66</v>
      </c>
      <c r="BN322" s="5">
        <f t="shared" si="205"/>
        <v>1.58</v>
      </c>
      <c r="BO322" s="1">
        <f t="shared" si="206"/>
        <v>-8.4</v>
      </c>
      <c r="BP322" s="1">
        <f t="shared" si="207"/>
        <v>-6.3</v>
      </c>
      <c r="BQ322" s="1">
        <f t="shared" si="208"/>
        <v>-9.4</v>
      </c>
      <c r="BR322" s="1">
        <f t="shared" si="209"/>
        <v>89.2</v>
      </c>
      <c r="BS322" s="1">
        <f t="shared" si="210"/>
        <v>88</v>
      </c>
      <c r="BT322" s="1">
        <f t="shared" si="211"/>
        <v>1.5</v>
      </c>
      <c r="BU322" s="1">
        <f t="shared" si="212"/>
        <v>4.3</v>
      </c>
      <c r="BV322" s="33">
        <f t="shared" ref="BV322:BV353" si="247">BE322</f>
        <v>6</v>
      </c>
      <c r="BW322" s="34">
        <f t="shared" si="234"/>
        <v>0.3969999999999998</v>
      </c>
      <c r="BX322" s="20">
        <f t="shared" si="214"/>
        <v>-1.2</v>
      </c>
      <c r="BY322" s="1">
        <f t="shared" si="215"/>
        <v>-8.6999999999999993</v>
      </c>
      <c r="BZ322" s="1">
        <f t="shared" si="216"/>
        <v>-6.1</v>
      </c>
      <c r="CA322" s="1">
        <f t="shared" si="217"/>
        <v>-9.9</v>
      </c>
      <c r="CB322" s="1">
        <f t="shared" si="218"/>
        <v>0.3</v>
      </c>
      <c r="CC322" s="1">
        <f t="shared" si="219"/>
        <v>2</v>
      </c>
      <c r="CD322" s="1">
        <f t="shared" si="220"/>
        <v>3.4</v>
      </c>
      <c r="CE322" s="1" t="str">
        <f t="shared" si="221"/>
        <v>NAN</v>
      </c>
      <c r="CF322" s="1">
        <f t="shared" si="222"/>
        <v>0.33400000000000002</v>
      </c>
      <c r="CG322" s="1">
        <f t="shared" si="223"/>
        <v>4.5999999999999999E-2</v>
      </c>
      <c r="CI322" s="1">
        <f t="shared" si="237"/>
        <v>2880</v>
      </c>
      <c r="CJ322" s="1">
        <f t="shared" si="238"/>
        <v>4.0000000000000001E-3</v>
      </c>
      <c r="CK322" s="1">
        <f t="shared" si="239"/>
        <v>3.0000000000000001E-3</v>
      </c>
      <c r="CL322" s="1">
        <f t="shared" si="240"/>
        <v>8.9999999999999993E-3</v>
      </c>
      <c r="CM322" s="1">
        <f t="shared" si="241"/>
        <v>6.2E-2</v>
      </c>
      <c r="CN322" s="1">
        <f t="shared" si="242"/>
        <v>0.313</v>
      </c>
      <c r="CO322" s="1">
        <f t="shared" si="243"/>
        <v>0.45300000000000001</v>
      </c>
      <c r="CP322" s="1">
        <f t="shared" si="244"/>
        <v>0.14000000000000001</v>
      </c>
      <c r="CQ322" s="1">
        <f t="shared" si="245"/>
        <v>1.4999999999999999E-2</v>
      </c>
      <c r="CS322" s="1">
        <f t="shared" si="226"/>
        <v>0.20000000000000018</v>
      </c>
      <c r="CT322" s="1">
        <f t="shared" si="227"/>
        <v>-0.5</v>
      </c>
    </row>
    <row r="323" spans="1:98" x14ac:dyDescent="0.2">
      <c r="A323" s="8">
        <f t="shared" si="224"/>
        <v>44148</v>
      </c>
      <c r="B323" s="1">
        <v>318</v>
      </c>
      <c r="C323" s="1">
        <v>11</v>
      </c>
      <c r="D323" s="2">
        <v>12.81</v>
      </c>
      <c r="E323" s="2">
        <v>-3.988</v>
      </c>
      <c r="F323" s="2">
        <v>-8.4</v>
      </c>
      <c r="G323" s="2">
        <v>-6.3780000000000001</v>
      </c>
      <c r="H323" s="2">
        <v>90.5</v>
      </c>
      <c r="I323" s="2">
        <v>-0.38400000000000001</v>
      </c>
      <c r="J323" s="2">
        <v>-2.3839999999999999</v>
      </c>
      <c r="K323" s="2">
        <v>0.41399999999999998</v>
      </c>
      <c r="L323" s="2">
        <v>2.0430000000000001</v>
      </c>
      <c r="M323" s="2">
        <v>3.3570000000000002</v>
      </c>
      <c r="N323" s="2">
        <v>-3.39</v>
      </c>
      <c r="O323" s="2">
        <v>93.2</v>
      </c>
      <c r="P323" s="2">
        <v>-0.29499999999999998</v>
      </c>
      <c r="Q323" s="2">
        <v>-2.0499999999999998</v>
      </c>
      <c r="R323" s="2">
        <v>0.49299999999999999</v>
      </c>
      <c r="S323" s="2">
        <v>2.1179999999999999</v>
      </c>
      <c r="T323" s="2">
        <v>3.43</v>
      </c>
      <c r="U323" s="2">
        <v>-8.34</v>
      </c>
      <c r="V323" s="2">
        <v>85.2</v>
      </c>
      <c r="W323" s="2">
        <v>-0.47099999999999997</v>
      </c>
      <c r="X323" s="2">
        <v>-2.7010000000000001</v>
      </c>
      <c r="Y323" s="2">
        <v>0.32900000000000001</v>
      </c>
      <c r="Z323" s="2">
        <v>1.9670000000000001</v>
      </c>
      <c r="AA323" s="2">
        <v>3.286</v>
      </c>
      <c r="AB323" s="2">
        <v>2.016</v>
      </c>
      <c r="AC323" s="2">
        <v>0</v>
      </c>
      <c r="AD323" s="2">
        <v>0.31900000000000001</v>
      </c>
      <c r="AE323" s="2">
        <v>0.7</v>
      </c>
      <c r="AF323" s="2">
        <v>2.15</v>
      </c>
      <c r="AG323" s="2">
        <v>6.1609999999999996</v>
      </c>
      <c r="AH323" s="2">
        <v>-6.73</v>
      </c>
      <c r="AI323" s="2">
        <v>-3.8010000000000002</v>
      </c>
      <c r="AJ323" s="2">
        <v>-8.59</v>
      </c>
      <c r="AK323" s="2">
        <v>-3.6019999999999999</v>
      </c>
      <c r="AL323" s="2">
        <v>-8.5299999999999994</v>
      </c>
      <c r="AM323" s="2">
        <v>2.0419999999999998</v>
      </c>
      <c r="AN323" s="2" t="s">
        <v>122</v>
      </c>
      <c r="AO323" s="2">
        <v>274</v>
      </c>
      <c r="AP323" s="2">
        <v>53</v>
      </c>
      <c r="AQ323" s="2">
        <v>25</v>
      </c>
      <c r="AR323" s="2">
        <v>110</v>
      </c>
      <c r="AS323" s="2">
        <v>553</v>
      </c>
      <c r="AT323" s="2">
        <v>824</v>
      </c>
      <c r="AU323" s="2">
        <v>540</v>
      </c>
      <c r="AV323" s="2">
        <v>500</v>
      </c>
      <c r="AW323" s="2"/>
      <c r="AX323" s="1">
        <f t="shared" si="246"/>
        <v>0.53399999999999981</v>
      </c>
      <c r="AY323" s="22">
        <f t="shared" si="236"/>
        <v>-1</v>
      </c>
      <c r="AZ323" s="5">
        <v>7.16</v>
      </c>
      <c r="BA323" s="1">
        <v>0.68</v>
      </c>
      <c r="BB323" s="1">
        <v>0.64</v>
      </c>
      <c r="BC323" s="6">
        <f t="shared" si="225"/>
        <v>0.94117647058823528</v>
      </c>
      <c r="BE323" s="28">
        <f t="shared" si="232"/>
        <v>17.8</v>
      </c>
      <c r="BF323" s="6"/>
      <c r="BG323" s="1">
        <f t="shared" si="199"/>
        <v>93.2</v>
      </c>
      <c r="BH323" s="1">
        <f t="shared" si="200"/>
        <v>90.5</v>
      </c>
      <c r="BI323" s="1">
        <f t="shared" si="201"/>
        <v>85.2</v>
      </c>
      <c r="BJ323" s="7">
        <f t="shared" si="202"/>
        <v>0.40500000000000003</v>
      </c>
      <c r="BK323" s="7">
        <f t="shared" si="203"/>
        <v>7.0000000000000007E-2</v>
      </c>
      <c r="BM323" s="5">
        <f t="shared" si="204"/>
        <v>0.68</v>
      </c>
      <c r="BN323" s="5">
        <f t="shared" si="205"/>
        <v>0.64</v>
      </c>
      <c r="BO323" s="1">
        <f t="shared" si="206"/>
        <v>-6.4</v>
      </c>
      <c r="BP323" s="1">
        <f t="shared" si="207"/>
        <v>-3.4</v>
      </c>
      <c r="BQ323" s="1">
        <f t="shared" si="208"/>
        <v>-8.3000000000000007</v>
      </c>
      <c r="BR323" s="1">
        <f t="shared" si="209"/>
        <v>90.5</v>
      </c>
      <c r="BS323" s="1">
        <f t="shared" si="210"/>
        <v>85.2</v>
      </c>
      <c r="BT323" s="1">
        <f t="shared" si="211"/>
        <v>2.2000000000000002</v>
      </c>
      <c r="BU323" s="1">
        <f t="shared" si="212"/>
        <v>6.2</v>
      </c>
      <c r="BV323" s="33">
        <f t="shared" si="247"/>
        <v>17.8</v>
      </c>
      <c r="BW323" s="34">
        <f t="shared" si="234"/>
        <v>0.53399999999999981</v>
      </c>
      <c r="BX323" s="20">
        <f t="shared" si="214"/>
        <v>-1</v>
      </c>
      <c r="BY323" s="1">
        <f t="shared" si="215"/>
        <v>-6.7</v>
      </c>
      <c r="BZ323" s="1">
        <f t="shared" si="216"/>
        <v>-3.8</v>
      </c>
      <c r="CA323" s="1">
        <f t="shared" si="217"/>
        <v>-8.6</v>
      </c>
      <c r="CB323" s="1">
        <f t="shared" si="218"/>
        <v>0.4</v>
      </c>
      <c r="CC323" s="1">
        <f t="shared" si="219"/>
        <v>2</v>
      </c>
      <c r="CD323" s="1">
        <f t="shared" si="220"/>
        <v>3.4</v>
      </c>
      <c r="CE323" s="1" t="str">
        <f t="shared" si="221"/>
        <v>NAN</v>
      </c>
      <c r="CF323" s="1">
        <f t="shared" si="222"/>
        <v>0.40500000000000003</v>
      </c>
      <c r="CG323" s="1">
        <f t="shared" si="223"/>
        <v>7.0000000000000007E-2</v>
      </c>
      <c r="CI323" s="1">
        <f t="shared" si="237"/>
        <v>2879</v>
      </c>
      <c r="CJ323" s="1">
        <f t="shared" si="238"/>
        <v>9.5000000000000001E-2</v>
      </c>
      <c r="CK323" s="1">
        <f t="shared" si="239"/>
        <v>1.7999999999999999E-2</v>
      </c>
      <c r="CL323" s="1">
        <f t="shared" si="240"/>
        <v>8.9999999999999993E-3</v>
      </c>
      <c r="CM323" s="1">
        <f t="shared" si="241"/>
        <v>3.7999999999999999E-2</v>
      </c>
      <c r="CN323" s="1">
        <f t="shared" si="242"/>
        <v>0.192</v>
      </c>
      <c r="CO323" s="1">
        <f t="shared" si="243"/>
        <v>0.28599999999999998</v>
      </c>
      <c r="CP323" s="1">
        <f t="shared" si="244"/>
        <v>0.188</v>
      </c>
      <c r="CQ323" s="1">
        <f t="shared" si="245"/>
        <v>0.17399999999999999</v>
      </c>
      <c r="CS323" s="1">
        <f t="shared" si="226"/>
        <v>-0.39999999999999991</v>
      </c>
      <c r="CT323" s="1">
        <f t="shared" si="227"/>
        <v>-0.29999999999999893</v>
      </c>
    </row>
    <row r="324" spans="1:98" x14ac:dyDescent="0.2">
      <c r="A324" s="8">
        <f t="shared" si="224"/>
        <v>44149</v>
      </c>
      <c r="B324" s="1">
        <v>319</v>
      </c>
      <c r="C324" s="1">
        <v>11</v>
      </c>
      <c r="D324" s="2">
        <v>13.03</v>
      </c>
      <c r="E324" s="2">
        <v>-2.9780000000000002</v>
      </c>
      <c r="F324" s="2">
        <v>-9.57</v>
      </c>
      <c r="G324" s="2">
        <v>-6.9080000000000004</v>
      </c>
      <c r="H324" s="2">
        <v>86.3</v>
      </c>
      <c r="I324" s="2">
        <v>-0.34300000000000003</v>
      </c>
      <c r="J324" s="2">
        <v>-2.133</v>
      </c>
      <c r="K324" s="2">
        <v>0.44</v>
      </c>
      <c r="L324" s="2">
        <v>2.032</v>
      </c>
      <c r="M324" s="2">
        <v>3.3130000000000002</v>
      </c>
      <c r="N324" s="2">
        <v>-3.3220000000000001</v>
      </c>
      <c r="O324" s="2">
        <v>93.6</v>
      </c>
      <c r="P324" s="2">
        <v>-0.26100000000000001</v>
      </c>
      <c r="Q324" s="2">
        <v>-1.9379999999999999</v>
      </c>
      <c r="R324" s="2">
        <v>0.52500000000000002</v>
      </c>
      <c r="S324" s="2">
        <v>2.1150000000000002</v>
      </c>
      <c r="T324" s="2">
        <v>3.395</v>
      </c>
      <c r="U324" s="2">
        <v>-8.51</v>
      </c>
      <c r="V324" s="2">
        <v>72.27</v>
      </c>
      <c r="W324" s="2">
        <v>-0.41699999999999998</v>
      </c>
      <c r="X324" s="2">
        <v>-2.2709999999999999</v>
      </c>
      <c r="Y324" s="2">
        <v>0.35399999999999998</v>
      </c>
      <c r="Z324" s="2">
        <v>1.9339999999999999</v>
      </c>
      <c r="AA324" s="2">
        <v>3.2229999999999999</v>
      </c>
      <c r="AB324" s="2">
        <v>2.0489999999999999</v>
      </c>
      <c r="AC324" s="2">
        <v>0</v>
      </c>
      <c r="AD324" s="2">
        <v>3.9569999999999999</v>
      </c>
      <c r="AE324" s="2">
        <v>3.2519999999999998</v>
      </c>
      <c r="AF324" s="2">
        <v>1.833</v>
      </c>
      <c r="AG324" s="2">
        <v>4.8440000000000003</v>
      </c>
      <c r="AH324" s="2">
        <v>-8.41</v>
      </c>
      <c r="AI324" s="2">
        <v>-2.395</v>
      </c>
      <c r="AJ324" s="2">
        <v>-12.26</v>
      </c>
      <c r="AK324" s="2">
        <v>-0.66200000000000003</v>
      </c>
      <c r="AL324" s="2">
        <v>-8.7100000000000009</v>
      </c>
      <c r="AM324" s="2">
        <v>2.073</v>
      </c>
      <c r="AN324" s="2" t="s">
        <v>122</v>
      </c>
      <c r="AO324" s="2">
        <v>327</v>
      </c>
      <c r="AP324" s="2">
        <v>33</v>
      </c>
      <c r="AQ324" s="2">
        <v>10</v>
      </c>
      <c r="AR324" s="2">
        <v>54</v>
      </c>
      <c r="AS324" s="2">
        <v>394</v>
      </c>
      <c r="AT324" s="2">
        <v>693</v>
      </c>
      <c r="AU324" s="2">
        <v>642</v>
      </c>
      <c r="AV324" s="2">
        <v>726</v>
      </c>
      <c r="AW324" s="2"/>
      <c r="AX324" s="1">
        <f t="shared" si="246"/>
        <v>0.50099999999999989</v>
      </c>
      <c r="AY324" s="22">
        <f t="shared" si="236"/>
        <v>-0.8</v>
      </c>
      <c r="AZ324" s="5">
        <v>7.03</v>
      </c>
      <c r="BA324" s="1">
        <v>3.96</v>
      </c>
      <c r="BB324" s="1">
        <v>2.99</v>
      </c>
      <c r="BC324" s="6">
        <f t="shared" si="225"/>
        <v>0.75505050505050508</v>
      </c>
      <c r="BE324" s="28">
        <f t="shared" si="232"/>
        <v>0</v>
      </c>
      <c r="BF324" s="6"/>
      <c r="BG324" s="1">
        <f t="shared" si="199"/>
        <v>93.6</v>
      </c>
      <c r="BH324" s="1">
        <f t="shared" si="200"/>
        <v>86.3</v>
      </c>
      <c r="BI324" s="1">
        <f t="shared" si="201"/>
        <v>72.3</v>
      </c>
      <c r="BJ324" s="7">
        <f t="shared" si="202"/>
        <v>0.34499999999999997</v>
      </c>
      <c r="BK324" s="7">
        <f t="shared" si="203"/>
        <v>0.13200000000000001</v>
      </c>
      <c r="BM324" s="5">
        <f t="shared" si="204"/>
        <v>3.96</v>
      </c>
      <c r="BN324" s="5">
        <f t="shared" si="205"/>
        <v>2.99</v>
      </c>
      <c r="BO324" s="1">
        <f t="shared" si="206"/>
        <v>-6.9</v>
      </c>
      <c r="BP324" s="1">
        <f t="shared" si="207"/>
        <v>-3.3</v>
      </c>
      <c r="BQ324" s="1">
        <f t="shared" si="208"/>
        <v>-8.5</v>
      </c>
      <c r="BR324" s="1">
        <f t="shared" si="209"/>
        <v>86.3</v>
      </c>
      <c r="BS324" s="1">
        <f t="shared" si="210"/>
        <v>72.3</v>
      </c>
      <c r="BT324" s="1">
        <f t="shared" si="211"/>
        <v>1.8</v>
      </c>
      <c r="BU324" s="1">
        <f t="shared" si="212"/>
        <v>4.8</v>
      </c>
      <c r="BV324" s="33">
        <f t="shared" si="247"/>
        <v>0</v>
      </c>
      <c r="BW324" s="34">
        <f t="shared" si="234"/>
        <v>0.50099999999999989</v>
      </c>
      <c r="BX324" s="20">
        <f t="shared" si="214"/>
        <v>-0.8</v>
      </c>
      <c r="BY324" s="1">
        <f t="shared" si="215"/>
        <v>-8.4</v>
      </c>
      <c r="BZ324" s="1">
        <f t="shared" si="216"/>
        <v>-2.4</v>
      </c>
      <c r="CA324" s="1">
        <f t="shared" si="217"/>
        <v>-12.3</v>
      </c>
      <c r="CB324" s="1">
        <f t="shared" si="218"/>
        <v>0.4</v>
      </c>
      <c r="CC324" s="1">
        <f t="shared" si="219"/>
        <v>2</v>
      </c>
      <c r="CD324" s="1">
        <f t="shared" si="220"/>
        <v>3.3</v>
      </c>
      <c r="CE324" s="1" t="str">
        <f t="shared" si="221"/>
        <v>NAN</v>
      </c>
      <c r="CF324" s="1">
        <f t="shared" si="222"/>
        <v>0.34499999999999997</v>
      </c>
      <c r="CG324" s="1">
        <f t="shared" si="223"/>
        <v>0.13200000000000001</v>
      </c>
      <c r="CI324" s="1">
        <f t="shared" si="237"/>
        <v>2879</v>
      </c>
      <c r="CJ324" s="1">
        <f t="shared" si="238"/>
        <v>0.114</v>
      </c>
      <c r="CK324" s="1">
        <f t="shared" si="239"/>
        <v>1.0999999999999999E-2</v>
      </c>
      <c r="CL324" s="1">
        <f t="shared" si="240"/>
        <v>3.0000000000000001E-3</v>
      </c>
      <c r="CM324" s="1">
        <f t="shared" si="241"/>
        <v>1.9E-2</v>
      </c>
      <c r="CN324" s="1">
        <f t="shared" si="242"/>
        <v>0.13700000000000001</v>
      </c>
      <c r="CO324" s="1">
        <f t="shared" si="243"/>
        <v>0.24099999999999999</v>
      </c>
      <c r="CP324" s="1">
        <f t="shared" si="244"/>
        <v>0.223</v>
      </c>
      <c r="CQ324" s="1">
        <f t="shared" si="245"/>
        <v>0.252</v>
      </c>
      <c r="CS324" s="1">
        <f t="shared" si="226"/>
        <v>0.89999999999999991</v>
      </c>
      <c r="CT324" s="1">
        <f t="shared" si="227"/>
        <v>-3.8000000000000007</v>
      </c>
    </row>
    <row r="325" spans="1:98" x14ac:dyDescent="0.2">
      <c r="A325" s="8">
        <f t="shared" si="224"/>
        <v>44150</v>
      </c>
      <c r="B325" s="1">
        <v>320</v>
      </c>
      <c r="C325" s="1">
        <v>11</v>
      </c>
      <c r="D325" s="2">
        <v>13.01</v>
      </c>
      <c r="E325" s="2">
        <v>-1.6519999999999999</v>
      </c>
      <c r="F325" s="2">
        <v>-8.67</v>
      </c>
      <c r="G325" s="2">
        <v>-5.2329999999999997</v>
      </c>
      <c r="H325" s="2">
        <v>88.6</v>
      </c>
      <c r="I325" s="2">
        <v>-0.28499999999999998</v>
      </c>
      <c r="J325" s="2">
        <v>-1.742</v>
      </c>
      <c r="K325" s="2">
        <v>0.47799999999999998</v>
      </c>
      <c r="L325" s="2">
        <v>2.0419999999999998</v>
      </c>
      <c r="M325" s="2">
        <v>3.2909999999999999</v>
      </c>
      <c r="N325" s="2">
        <v>-2.9260000000000002</v>
      </c>
      <c r="O325" s="2">
        <v>93.1</v>
      </c>
      <c r="P325" s="2">
        <v>-0.184</v>
      </c>
      <c r="Q325" s="2">
        <v>-1.3460000000000001</v>
      </c>
      <c r="R325" s="2">
        <v>0.56000000000000005</v>
      </c>
      <c r="S325" s="2">
        <v>2.1379999999999999</v>
      </c>
      <c r="T325" s="2">
        <v>3.375</v>
      </c>
      <c r="U325" s="2">
        <v>-6.774</v>
      </c>
      <c r="V325" s="2">
        <v>78.06</v>
      </c>
      <c r="W325" s="2">
        <v>-0.373</v>
      </c>
      <c r="X325" s="2">
        <v>-2.1190000000000002</v>
      </c>
      <c r="Y325" s="2">
        <v>0.36199999999999999</v>
      </c>
      <c r="Z325" s="2">
        <v>1.944</v>
      </c>
      <c r="AA325" s="2">
        <v>3.21</v>
      </c>
      <c r="AB325" s="2">
        <v>2.0329999999999999</v>
      </c>
      <c r="AC325" s="2">
        <v>0</v>
      </c>
      <c r="AD325" s="2">
        <v>4.8600000000000003</v>
      </c>
      <c r="AE325" s="2">
        <v>4.2720000000000002</v>
      </c>
      <c r="AF325" s="2">
        <v>1.5549999999999999</v>
      </c>
      <c r="AG325" s="2">
        <v>5.7069999999999999</v>
      </c>
      <c r="AH325" s="2">
        <v>-6.9370000000000003</v>
      </c>
      <c r="AI325" s="2">
        <v>-1.9910000000000001</v>
      </c>
      <c r="AJ325" s="2">
        <v>-12.35</v>
      </c>
      <c r="AK325" s="2">
        <v>-0.30399999999999999</v>
      </c>
      <c r="AL325" s="2">
        <v>-6.9180000000000001</v>
      </c>
      <c r="AM325" s="2">
        <v>2.052</v>
      </c>
      <c r="AN325" s="2" t="s">
        <v>122</v>
      </c>
      <c r="AO325" s="2">
        <v>186</v>
      </c>
      <c r="AP325" s="2">
        <v>26</v>
      </c>
      <c r="AQ325" s="2">
        <v>35</v>
      </c>
      <c r="AR325" s="2">
        <v>78</v>
      </c>
      <c r="AS325" s="2">
        <v>331</v>
      </c>
      <c r="AT325" s="2">
        <v>684</v>
      </c>
      <c r="AU325" s="2">
        <v>955</v>
      </c>
      <c r="AV325" s="2">
        <v>584</v>
      </c>
      <c r="AW325" s="2"/>
      <c r="AX325" s="1">
        <f t="shared" si="246"/>
        <v>0.5169999999999999</v>
      </c>
      <c r="AY325" s="22">
        <f t="shared" si="236"/>
        <v>-0.6</v>
      </c>
      <c r="AZ325" s="5">
        <v>6.91</v>
      </c>
      <c r="BA325" s="1">
        <v>5.0599999999999996</v>
      </c>
      <c r="BB325" s="1">
        <v>3.93</v>
      </c>
      <c r="BC325" s="6">
        <f t="shared" si="225"/>
        <v>0.77667984189723327</v>
      </c>
      <c r="BE325" s="28">
        <f t="shared" si="232"/>
        <v>2.1</v>
      </c>
      <c r="BF325" s="6"/>
      <c r="BG325" s="1">
        <f t="shared" si="199"/>
        <v>93.1</v>
      </c>
      <c r="BH325" s="1">
        <f t="shared" si="200"/>
        <v>88.6</v>
      </c>
      <c r="BI325" s="1">
        <f t="shared" si="201"/>
        <v>78.099999999999994</v>
      </c>
      <c r="BJ325" s="7">
        <f t="shared" si="202"/>
        <v>0.38400000000000001</v>
      </c>
      <c r="BK325" s="7">
        <f t="shared" si="203"/>
        <v>0.108</v>
      </c>
      <c r="BM325" s="5">
        <f t="shared" si="204"/>
        <v>5.0599999999999996</v>
      </c>
      <c r="BN325" s="5">
        <f t="shared" si="205"/>
        <v>3.93</v>
      </c>
      <c r="BO325" s="1">
        <f t="shared" si="206"/>
        <v>-5.2</v>
      </c>
      <c r="BP325" s="1">
        <f t="shared" si="207"/>
        <v>-2.9</v>
      </c>
      <c r="BQ325" s="1">
        <f t="shared" si="208"/>
        <v>-6.8</v>
      </c>
      <c r="BR325" s="1">
        <f t="shared" si="209"/>
        <v>88.6</v>
      </c>
      <c r="BS325" s="1">
        <f t="shared" si="210"/>
        <v>78.099999999999994</v>
      </c>
      <c r="BT325" s="1">
        <f t="shared" si="211"/>
        <v>1.6</v>
      </c>
      <c r="BU325" s="1">
        <f t="shared" si="212"/>
        <v>5.7</v>
      </c>
      <c r="BV325" s="33">
        <f t="shared" si="247"/>
        <v>2.1</v>
      </c>
      <c r="BW325" s="34">
        <f t="shared" si="234"/>
        <v>0.5169999999999999</v>
      </c>
      <c r="BX325" s="20">
        <f t="shared" si="214"/>
        <v>-0.6</v>
      </c>
      <c r="BY325" s="1">
        <f t="shared" si="215"/>
        <v>-6.9</v>
      </c>
      <c r="BZ325" s="1">
        <f t="shared" si="216"/>
        <v>-2</v>
      </c>
      <c r="CA325" s="1">
        <f t="shared" si="217"/>
        <v>-12.4</v>
      </c>
      <c r="CB325" s="1">
        <f t="shared" si="218"/>
        <v>0.5</v>
      </c>
      <c r="CC325" s="1">
        <f t="shared" si="219"/>
        <v>2</v>
      </c>
      <c r="CD325" s="1">
        <f t="shared" si="220"/>
        <v>3.3</v>
      </c>
      <c r="CE325" s="1" t="str">
        <f t="shared" si="221"/>
        <v>NAN</v>
      </c>
      <c r="CF325" s="1">
        <f t="shared" si="222"/>
        <v>0.38400000000000001</v>
      </c>
      <c r="CG325" s="1">
        <f t="shared" si="223"/>
        <v>0.108</v>
      </c>
      <c r="CI325" s="1">
        <f t="shared" si="237"/>
        <v>2879</v>
      </c>
      <c r="CJ325" s="1">
        <f t="shared" si="238"/>
        <v>6.5000000000000002E-2</v>
      </c>
      <c r="CK325" s="1">
        <f t="shared" si="239"/>
        <v>8.9999999999999993E-3</v>
      </c>
      <c r="CL325" s="1">
        <f t="shared" si="240"/>
        <v>1.2E-2</v>
      </c>
      <c r="CM325" s="1">
        <f t="shared" si="241"/>
        <v>2.7E-2</v>
      </c>
      <c r="CN325" s="1">
        <f t="shared" si="242"/>
        <v>0.115</v>
      </c>
      <c r="CO325" s="1">
        <f t="shared" si="243"/>
        <v>0.23799999999999999</v>
      </c>
      <c r="CP325" s="1">
        <f t="shared" si="244"/>
        <v>0.33200000000000002</v>
      </c>
      <c r="CQ325" s="1">
        <f t="shared" si="245"/>
        <v>0.20300000000000001</v>
      </c>
      <c r="CS325" s="1">
        <f t="shared" si="226"/>
        <v>0.89999999999999991</v>
      </c>
      <c r="CT325" s="1">
        <f t="shared" si="227"/>
        <v>-5.6000000000000005</v>
      </c>
    </row>
    <row r="326" spans="1:98" x14ac:dyDescent="0.2">
      <c r="A326" s="8">
        <f t="shared" si="224"/>
        <v>44151</v>
      </c>
      <c r="B326" s="1">
        <v>321</v>
      </c>
      <c r="C326" s="1">
        <v>11</v>
      </c>
      <c r="D326" s="2">
        <v>12.9</v>
      </c>
      <c r="E326" s="2">
        <v>-2.2050000000000001</v>
      </c>
      <c r="F326" s="2">
        <v>-8.08</v>
      </c>
      <c r="G326" s="2">
        <v>-4.3559999999999999</v>
      </c>
      <c r="H326" s="2">
        <v>89.6</v>
      </c>
      <c r="I326" s="2">
        <v>-0.22700000000000001</v>
      </c>
      <c r="J326" s="2">
        <v>-1.891</v>
      </c>
      <c r="K326" s="2">
        <v>0.52100000000000002</v>
      </c>
      <c r="L326" s="2">
        <v>2.0579999999999998</v>
      </c>
      <c r="M326" s="2">
        <v>3.2709999999999999</v>
      </c>
      <c r="N326" s="2">
        <v>-1.262</v>
      </c>
      <c r="O326" s="2">
        <v>95.1</v>
      </c>
      <c r="P326" s="2">
        <v>-0.13200000000000001</v>
      </c>
      <c r="Q326" s="2">
        <v>-1.5489999999999999</v>
      </c>
      <c r="R326" s="2">
        <v>0.61199999999999999</v>
      </c>
      <c r="S326" s="2">
        <v>2.1339999999999999</v>
      </c>
      <c r="T326" s="2">
        <v>3.3330000000000002</v>
      </c>
      <c r="U326" s="2">
        <v>-6.7069999999999999</v>
      </c>
      <c r="V326" s="2">
        <v>78.66</v>
      </c>
      <c r="W326" s="2">
        <v>-0.30299999999999999</v>
      </c>
      <c r="X326" s="2">
        <v>-2.16</v>
      </c>
      <c r="Y326" s="2">
        <v>0.41599999999999998</v>
      </c>
      <c r="Z326" s="2">
        <v>1.972</v>
      </c>
      <c r="AA326" s="2">
        <v>3.194</v>
      </c>
      <c r="AB326" s="2">
        <v>1.9510000000000001</v>
      </c>
      <c r="AC326" s="2">
        <v>0</v>
      </c>
      <c r="AD326" s="2">
        <v>1.544</v>
      </c>
      <c r="AE326" s="2">
        <v>1.1879999999999999</v>
      </c>
      <c r="AF326" s="2">
        <v>1.476</v>
      </c>
      <c r="AG326" s="2">
        <v>4.97</v>
      </c>
      <c r="AH326" s="2">
        <v>-5.532</v>
      </c>
      <c r="AI326" s="2">
        <v>-1.607</v>
      </c>
      <c r="AJ326" s="2">
        <v>-11.19</v>
      </c>
      <c r="AK326" s="2">
        <v>-1.5620000000000001</v>
      </c>
      <c r="AL326" s="2">
        <v>-6.8959999999999999</v>
      </c>
      <c r="AM326" s="2">
        <v>1.9570000000000001</v>
      </c>
      <c r="AN326" s="2" t="s">
        <v>122</v>
      </c>
      <c r="AO326" s="2">
        <v>48</v>
      </c>
      <c r="AP326" s="2">
        <v>29</v>
      </c>
      <c r="AQ326" s="2">
        <v>149</v>
      </c>
      <c r="AR326" s="2">
        <v>475</v>
      </c>
      <c r="AS326" s="2">
        <v>929</v>
      </c>
      <c r="AT326" s="2">
        <v>834</v>
      </c>
      <c r="AU326" s="2">
        <v>298</v>
      </c>
      <c r="AV326" s="2">
        <v>118</v>
      </c>
      <c r="AW326" s="2"/>
      <c r="AX326" s="1">
        <f t="shared" si="246"/>
        <v>0.59899999999999975</v>
      </c>
      <c r="AY326" s="22">
        <f t="shared" si="236"/>
        <v>-0.7</v>
      </c>
      <c r="AZ326" s="5">
        <v>6.8</v>
      </c>
      <c r="BA326" s="1">
        <v>1.54</v>
      </c>
      <c r="BB326" s="1">
        <v>1.0900000000000001</v>
      </c>
      <c r="BC326" s="6">
        <f t="shared" si="225"/>
        <v>0.70779220779220786</v>
      </c>
      <c r="BE326" s="28">
        <f t="shared" si="232"/>
        <v>10.7</v>
      </c>
      <c r="BF326" s="6"/>
      <c r="BG326" s="1">
        <f t="shared" ref="BG326:BG371" si="248">ROUND(BH$1*O326+BH$2,1)</f>
        <v>95.1</v>
      </c>
      <c r="BH326" s="1">
        <f t="shared" ref="BH326:BH371" si="249">ROUND(H326*BH$1+BH$2,1)</f>
        <v>89.6</v>
      </c>
      <c r="BI326" s="1">
        <f t="shared" ref="BI326:BI371" si="250">ROUND(V326*BH$1+BH$2,1)</f>
        <v>78.7</v>
      </c>
      <c r="BJ326" s="7">
        <f t="shared" ref="BJ326:BJ371" si="251">ROUND((0.6105*(EXP((17.273*N326)/(N326+237.3))))*BI326/100,3)</f>
        <v>0.438</v>
      </c>
      <c r="BK326" s="7">
        <f t="shared" ref="BK326:BK371" si="252">ROUND(BJ326/BI326*(100-BI326),3)</f>
        <v>0.11899999999999999</v>
      </c>
      <c r="BM326" s="5">
        <f t="shared" ref="BM326:BM371" si="253">BA326</f>
        <v>1.54</v>
      </c>
      <c r="BN326" s="5">
        <f t="shared" ref="BN326:BN371" si="254">BB326</f>
        <v>1.0900000000000001</v>
      </c>
      <c r="BO326" s="1">
        <f t="shared" ref="BO326:BO371" si="255">ROUND(G326,1)</f>
        <v>-4.4000000000000004</v>
      </c>
      <c r="BP326" s="1">
        <f t="shared" ref="BP326:BP371" si="256">ROUND(N326,1)</f>
        <v>-1.3</v>
      </c>
      <c r="BQ326" s="1">
        <f t="shared" ref="BQ326:BQ371" si="257">ROUND(U326,1)</f>
        <v>-6.7</v>
      </c>
      <c r="BR326" s="1">
        <f t="shared" ref="BR326:BR371" si="258">BH326</f>
        <v>89.6</v>
      </c>
      <c r="BS326" s="1">
        <f t="shared" ref="BS326:BS371" si="259">BI326</f>
        <v>78.7</v>
      </c>
      <c r="BT326" s="1">
        <f t="shared" ref="BT326:BT371" si="260">ROUND(AF326,1)</f>
        <v>1.5</v>
      </c>
      <c r="BU326" s="1">
        <f t="shared" ref="BU326:BU371" si="261">ROUND(AG326,1)</f>
        <v>5</v>
      </c>
      <c r="BV326" s="33">
        <f t="shared" si="247"/>
        <v>10.7</v>
      </c>
      <c r="BW326" s="34">
        <f t="shared" si="234"/>
        <v>0.59899999999999975</v>
      </c>
      <c r="BX326" s="20">
        <f t="shared" ref="BX326:BX371" si="262">IF(AY326="","NAN",AY326)</f>
        <v>-0.7</v>
      </c>
      <c r="BY326" s="1">
        <f t="shared" ref="BY326:BY371" si="263">IF(AH326="NAN", "NAN", ROUND(AH326,1))</f>
        <v>-5.5</v>
      </c>
      <c r="BZ326" s="1">
        <f t="shared" ref="BZ326:BZ371" si="264">IF(AI326="NAN", "NAN", ROUND(AI326,1))</f>
        <v>-1.6</v>
      </c>
      <c r="CA326" s="1">
        <f t="shared" ref="CA326:CA371" si="265">IF(AJ326="NAN", "NAN", ROUND(AJ326,1))</f>
        <v>-11.2</v>
      </c>
      <c r="CB326" s="1">
        <f t="shared" ref="CB326:CB371" si="266">ROUND(K326,1)</f>
        <v>0.5</v>
      </c>
      <c r="CC326" s="1">
        <f t="shared" ref="CC326:CC371" si="267">ROUND(L326,1)</f>
        <v>2.1</v>
      </c>
      <c r="CD326" s="1">
        <f t="shared" ref="CD326:CD371" si="268">ROUND(M326,1)</f>
        <v>3.3</v>
      </c>
      <c r="CE326" s="1" t="str">
        <f t="shared" ref="CE326:CE371" si="269">AN326</f>
        <v>NAN</v>
      </c>
      <c r="CF326" s="1">
        <f t="shared" si="222"/>
        <v>0.438</v>
      </c>
      <c r="CG326" s="1">
        <f t="shared" si="223"/>
        <v>0.11899999999999999</v>
      </c>
      <c r="CI326" s="1">
        <f t="shared" si="237"/>
        <v>2880</v>
      </c>
      <c r="CJ326" s="1">
        <f t="shared" si="238"/>
        <v>1.7000000000000001E-2</v>
      </c>
      <c r="CK326" s="1">
        <f t="shared" si="239"/>
        <v>0.01</v>
      </c>
      <c r="CL326" s="1">
        <f t="shared" si="240"/>
        <v>5.1999999999999998E-2</v>
      </c>
      <c r="CM326" s="1">
        <f t="shared" si="241"/>
        <v>0.16500000000000001</v>
      </c>
      <c r="CN326" s="1">
        <f t="shared" si="242"/>
        <v>0.32300000000000001</v>
      </c>
      <c r="CO326" s="1">
        <f t="shared" si="243"/>
        <v>0.28999999999999998</v>
      </c>
      <c r="CP326" s="1">
        <f t="shared" si="244"/>
        <v>0.10299999999999999</v>
      </c>
      <c r="CQ326" s="1">
        <f t="shared" si="245"/>
        <v>4.1000000000000002E-2</v>
      </c>
      <c r="CS326" s="1">
        <f t="shared" si="226"/>
        <v>-0.30000000000000004</v>
      </c>
      <c r="CT326" s="1">
        <f t="shared" si="227"/>
        <v>-4.4999999999999991</v>
      </c>
    </row>
    <row r="327" spans="1:98" x14ac:dyDescent="0.2">
      <c r="A327" s="8">
        <f t="shared" si="224"/>
        <v>44152</v>
      </c>
      <c r="B327" s="1">
        <v>322</v>
      </c>
      <c r="C327" s="1">
        <v>11</v>
      </c>
      <c r="D327" s="2">
        <v>13.03</v>
      </c>
      <c r="E327" s="2">
        <v>0.94599999999999995</v>
      </c>
      <c r="F327" s="2">
        <v>-2.2909999999999999</v>
      </c>
      <c r="G327" s="2">
        <v>-8.5000000000000006E-2</v>
      </c>
      <c r="H327" s="2">
        <v>93.7</v>
      </c>
      <c r="I327" s="2">
        <v>-0.128</v>
      </c>
      <c r="J327" s="2">
        <v>-1.117</v>
      </c>
      <c r="K327" s="2">
        <v>0.56699999999999995</v>
      </c>
      <c r="L327" s="2">
        <v>2.0830000000000002</v>
      </c>
      <c r="M327" s="2">
        <v>3.2709999999999999</v>
      </c>
      <c r="N327" s="2">
        <v>1.4119999999999999</v>
      </c>
      <c r="O327" s="2">
        <v>96.5</v>
      </c>
      <c r="P327" s="2">
        <v>-2.5999999999999999E-2</v>
      </c>
      <c r="Q327" s="2">
        <v>-0.67</v>
      </c>
      <c r="R327" s="2">
        <v>0.63700000000000001</v>
      </c>
      <c r="S327" s="2">
        <v>2.1640000000000001</v>
      </c>
      <c r="T327" s="2">
        <v>3.3460000000000001</v>
      </c>
      <c r="U327" s="2">
        <v>-2.0099999999999998</v>
      </c>
      <c r="V327" s="2">
        <v>81.099999999999994</v>
      </c>
      <c r="W327" s="2">
        <v>-0.26</v>
      </c>
      <c r="X327" s="2">
        <v>-1.679</v>
      </c>
      <c r="Y327" s="2">
        <v>0.47499999999999998</v>
      </c>
      <c r="Z327" s="2">
        <v>2.0019999999999998</v>
      </c>
      <c r="AA327" s="2">
        <v>3.1779999999999999</v>
      </c>
      <c r="AB327" s="2">
        <v>1.9910000000000001</v>
      </c>
      <c r="AC327" s="2">
        <v>0</v>
      </c>
      <c r="AD327" s="2">
        <v>2.633</v>
      </c>
      <c r="AE327" s="2">
        <v>2.0529999999999999</v>
      </c>
      <c r="AF327" s="2">
        <v>2.7320000000000002</v>
      </c>
      <c r="AG327" s="2">
        <v>7.39</v>
      </c>
      <c r="AH327" s="2">
        <v>-1.07</v>
      </c>
      <c r="AI327" s="2">
        <v>0.71199999999999997</v>
      </c>
      <c r="AJ327" s="2">
        <v>-3.7360000000000002</v>
      </c>
      <c r="AK327" s="2">
        <v>2.4870000000000001</v>
      </c>
      <c r="AL327" s="2">
        <v>-2.411</v>
      </c>
      <c r="AM327" s="2">
        <v>1.9970000000000001</v>
      </c>
      <c r="AN327" s="2" t="s">
        <v>122</v>
      </c>
      <c r="AO327" s="2">
        <v>9</v>
      </c>
      <c r="AP327" s="2">
        <v>5</v>
      </c>
      <c r="AQ327" s="2">
        <v>19</v>
      </c>
      <c r="AR327" s="2">
        <v>134</v>
      </c>
      <c r="AS327" s="2">
        <v>898</v>
      </c>
      <c r="AT327" s="2">
        <v>1374</v>
      </c>
      <c r="AU327" s="2">
        <v>398</v>
      </c>
      <c r="AV327" s="2">
        <v>43</v>
      </c>
      <c r="AW327" s="2"/>
      <c r="AX327" s="1">
        <f t="shared" si="246"/>
        <v>0.55899999999999972</v>
      </c>
      <c r="AY327" s="22">
        <f t="shared" si="236"/>
        <v>-0.3</v>
      </c>
      <c r="AZ327" s="5">
        <v>6.68</v>
      </c>
      <c r="BA327" s="1">
        <v>2.63</v>
      </c>
      <c r="BB327" s="1">
        <v>1.89</v>
      </c>
      <c r="BC327" s="6">
        <f t="shared" si="225"/>
        <v>0.71863117870722437</v>
      </c>
      <c r="BE327" s="28">
        <f t="shared" si="232"/>
        <v>0</v>
      </c>
      <c r="BF327" s="6"/>
      <c r="BG327" s="1">
        <f t="shared" si="248"/>
        <v>96.5</v>
      </c>
      <c r="BH327" s="1">
        <f t="shared" si="249"/>
        <v>93.7</v>
      </c>
      <c r="BI327" s="1">
        <f t="shared" si="250"/>
        <v>81.099999999999994</v>
      </c>
      <c r="BJ327" s="7">
        <f t="shared" si="251"/>
        <v>0.54800000000000004</v>
      </c>
      <c r="BK327" s="7">
        <f t="shared" si="252"/>
        <v>0.128</v>
      </c>
      <c r="BM327" s="5">
        <f t="shared" si="253"/>
        <v>2.63</v>
      </c>
      <c r="BN327" s="5">
        <f t="shared" si="254"/>
        <v>1.89</v>
      </c>
      <c r="BO327" s="1">
        <f t="shared" si="255"/>
        <v>-0.1</v>
      </c>
      <c r="BP327" s="1">
        <f t="shared" si="256"/>
        <v>1.4</v>
      </c>
      <c r="BQ327" s="1">
        <f t="shared" si="257"/>
        <v>-2</v>
      </c>
      <c r="BR327" s="1">
        <f t="shared" si="258"/>
        <v>93.7</v>
      </c>
      <c r="BS327" s="1">
        <f t="shared" si="259"/>
        <v>81.099999999999994</v>
      </c>
      <c r="BT327" s="1">
        <f t="shared" si="260"/>
        <v>2.7</v>
      </c>
      <c r="BU327" s="1">
        <f t="shared" si="261"/>
        <v>7.4</v>
      </c>
      <c r="BV327" s="33">
        <f t="shared" si="247"/>
        <v>0</v>
      </c>
      <c r="BW327" s="34">
        <f t="shared" si="234"/>
        <v>0.55899999999999972</v>
      </c>
      <c r="BX327" s="20">
        <f t="shared" si="262"/>
        <v>-0.3</v>
      </c>
      <c r="BY327" s="1">
        <f t="shared" si="263"/>
        <v>-1.1000000000000001</v>
      </c>
      <c r="BZ327" s="1">
        <f t="shared" si="264"/>
        <v>0.7</v>
      </c>
      <c r="CA327" s="1">
        <f t="shared" si="265"/>
        <v>-3.7</v>
      </c>
      <c r="CB327" s="1">
        <f t="shared" si="266"/>
        <v>0.6</v>
      </c>
      <c r="CC327" s="1">
        <f t="shared" si="267"/>
        <v>2.1</v>
      </c>
      <c r="CD327" s="1">
        <f t="shared" si="268"/>
        <v>3.3</v>
      </c>
      <c r="CE327" s="1" t="str">
        <f t="shared" si="269"/>
        <v>NAN</v>
      </c>
      <c r="CF327" s="1">
        <f t="shared" ref="CF327:CF371" si="270">BJ327</f>
        <v>0.54800000000000004</v>
      </c>
      <c r="CG327" s="1">
        <f t="shared" ref="CG327:CG371" si="271">BK327</f>
        <v>0.128</v>
      </c>
      <c r="CI327" s="1">
        <f t="shared" si="237"/>
        <v>2880</v>
      </c>
      <c r="CJ327" s="1">
        <f t="shared" si="238"/>
        <v>3.0000000000000001E-3</v>
      </c>
      <c r="CK327" s="1">
        <f t="shared" si="239"/>
        <v>2E-3</v>
      </c>
      <c r="CL327" s="1">
        <f t="shared" si="240"/>
        <v>7.0000000000000001E-3</v>
      </c>
      <c r="CM327" s="1">
        <f t="shared" si="241"/>
        <v>4.7E-2</v>
      </c>
      <c r="CN327" s="1">
        <f t="shared" si="242"/>
        <v>0.312</v>
      </c>
      <c r="CO327" s="1">
        <f t="shared" si="243"/>
        <v>0.47699999999999998</v>
      </c>
      <c r="CP327" s="1">
        <f t="shared" si="244"/>
        <v>0.13800000000000001</v>
      </c>
      <c r="CQ327" s="1">
        <f t="shared" si="245"/>
        <v>1.4999999999999999E-2</v>
      </c>
      <c r="CS327" s="1">
        <f t="shared" si="226"/>
        <v>-0.7</v>
      </c>
      <c r="CT327" s="1">
        <f t="shared" si="227"/>
        <v>-1.7000000000000002</v>
      </c>
    </row>
    <row r="328" spans="1:98" x14ac:dyDescent="0.2">
      <c r="A328" s="8">
        <f t="shared" ref="A328:A371" si="272">A327+1</f>
        <v>44153</v>
      </c>
      <c r="B328" s="1">
        <v>323</v>
      </c>
      <c r="C328" s="1">
        <v>11</v>
      </c>
      <c r="D328" s="2">
        <v>12.84</v>
      </c>
      <c r="E328" s="2">
        <v>-1.6519999999999999</v>
      </c>
      <c r="F328" s="2">
        <v>-4.4189999999999996</v>
      </c>
      <c r="G328" s="2">
        <v>-3.1920000000000002</v>
      </c>
      <c r="H328" s="2">
        <v>93.9</v>
      </c>
      <c r="I328" s="2">
        <v>-5.0999999999999997E-2</v>
      </c>
      <c r="J328" s="2">
        <v>-0.78</v>
      </c>
      <c r="K328" s="2">
        <v>0.56899999999999995</v>
      </c>
      <c r="L328" s="2">
        <v>2.0539999999999998</v>
      </c>
      <c r="M328" s="2">
        <v>3.218</v>
      </c>
      <c r="N328" s="2">
        <v>-1.6359999999999999</v>
      </c>
      <c r="O328" s="2">
        <v>96</v>
      </c>
      <c r="P328" s="2">
        <v>2.5999999999999999E-2</v>
      </c>
      <c r="Q328" s="2">
        <v>-0.628</v>
      </c>
      <c r="R328" s="2">
        <v>0.64100000000000001</v>
      </c>
      <c r="S328" s="2">
        <v>2.121</v>
      </c>
      <c r="T328" s="2">
        <v>3.2869999999999999</v>
      </c>
      <c r="U328" s="2">
        <v>-3.9710000000000001</v>
      </c>
      <c r="V328" s="2">
        <v>91</v>
      </c>
      <c r="W328" s="2">
        <v>-0.13700000000000001</v>
      </c>
      <c r="X328" s="2">
        <v>-0.93300000000000005</v>
      </c>
      <c r="Y328" s="2">
        <v>0.46500000000000002</v>
      </c>
      <c r="Z328" s="2">
        <v>1.964</v>
      </c>
      <c r="AA328" s="2">
        <v>3.1459999999999999</v>
      </c>
      <c r="AB328" s="2">
        <v>1.952</v>
      </c>
      <c r="AC328" s="2">
        <v>0</v>
      </c>
      <c r="AD328" s="2">
        <v>1.089</v>
      </c>
      <c r="AE328" s="2">
        <v>0.91200000000000003</v>
      </c>
      <c r="AF328" s="2">
        <v>1.298</v>
      </c>
      <c r="AG328" s="2">
        <v>3.8090000000000002</v>
      </c>
      <c r="AH328" s="2">
        <v>-3.9119999999999999</v>
      </c>
      <c r="AI328" s="2">
        <v>-2.319</v>
      </c>
      <c r="AJ328" s="2">
        <v>-8.18</v>
      </c>
      <c r="AK328" s="2">
        <v>-1.9750000000000001</v>
      </c>
      <c r="AL328" s="2">
        <v>-4.22</v>
      </c>
      <c r="AM328" s="2">
        <v>1.966</v>
      </c>
      <c r="AN328" s="2" t="s">
        <v>122</v>
      </c>
      <c r="AO328" s="2">
        <v>6</v>
      </c>
      <c r="AP328" s="2">
        <v>1</v>
      </c>
      <c r="AQ328" s="2">
        <v>14</v>
      </c>
      <c r="AR328" s="2">
        <v>85</v>
      </c>
      <c r="AS328" s="2">
        <v>570</v>
      </c>
      <c r="AT328" s="2">
        <v>1289</v>
      </c>
      <c r="AU328" s="2">
        <v>795</v>
      </c>
      <c r="AV328" s="2">
        <v>120</v>
      </c>
      <c r="AW328" s="2"/>
      <c r="AX328" s="1">
        <f t="shared" si="246"/>
        <v>0.59799999999999986</v>
      </c>
      <c r="AY328" s="22">
        <f t="shared" si="236"/>
        <v>-0.1</v>
      </c>
      <c r="AZ328" s="5">
        <v>6.57</v>
      </c>
      <c r="BA328" s="1">
        <v>1.1200000000000001</v>
      </c>
      <c r="BB328" s="1">
        <v>0.84</v>
      </c>
      <c r="BC328" s="6">
        <f t="shared" ref="BC328:BC371" si="273">BB328/BA328</f>
        <v>0.74999999999999989</v>
      </c>
      <c r="BE328" s="28">
        <f t="shared" si="232"/>
        <v>5.0999999999999996</v>
      </c>
      <c r="BF328" s="6"/>
      <c r="BG328" s="1">
        <f t="shared" si="248"/>
        <v>96</v>
      </c>
      <c r="BH328" s="1">
        <f t="shared" si="249"/>
        <v>93.9</v>
      </c>
      <c r="BI328" s="1">
        <f t="shared" si="250"/>
        <v>91</v>
      </c>
      <c r="BJ328" s="7">
        <f t="shared" si="251"/>
        <v>0.49299999999999999</v>
      </c>
      <c r="BK328" s="7">
        <f t="shared" si="252"/>
        <v>4.9000000000000002E-2</v>
      </c>
      <c r="BM328" s="5">
        <f t="shared" si="253"/>
        <v>1.1200000000000001</v>
      </c>
      <c r="BN328" s="5">
        <f t="shared" si="254"/>
        <v>0.84</v>
      </c>
      <c r="BO328" s="1">
        <f t="shared" si="255"/>
        <v>-3.2</v>
      </c>
      <c r="BP328" s="1">
        <f t="shared" si="256"/>
        <v>-1.6</v>
      </c>
      <c r="BQ328" s="1">
        <f t="shared" si="257"/>
        <v>-4</v>
      </c>
      <c r="BR328" s="1">
        <f t="shared" si="258"/>
        <v>93.9</v>
      </c>
      <c r="BS328" s="1">
        <f t="shared" si="259"/>
        <v>91</v>
      </c>
      <c r="BT328" s="1">
        <f t="shared" si="260"/>
        <v>1.3</v>
      </c>
      <c r="BU328" s="1">
        <f t="shared" si="261"/>
        <v>3.8</v>
      </c>
      <c r="BV328" s="33">
        <f t="shared" si="247"/>
        <v>5.0999999999999996</v>
      </c>
      <c r="BW328" s="34">
        <f t="shared" si="234"/>
        <v>0.59799999999999986</v>
      </c>
      <c r="BX328" s="20">
        <f t="shared" si="262"/>
        <v>-0.1</v>
      </c>
      <c r="BY328" s="1">
        <f t="shared" si="263"/>
        <v>-3.9</v>
      </c>
      <c r="BZ328" s="1">
        <f t="shared" si="264"/>
        <v>-2.2999999999999998</v>
      </c>
      <c r="CA328" s="1">
        <f t="shared" si="265"/>
        <v>-8.1999999999999993</v>
      </c>
      <c r="CB328" s="1">
        <f t="shared" si="266"/>
        <v>0.6</v>
      </c>
      <c r="CC328" s="1">
        <f t="shared" si="267"/>
        <v>2.1</v>
      </c>
      <c r="CD328" s="1">
        <f t="shared" si="268"/>
        <v>3.2</v>
      </c>
      <c r="CE328" s="1" t="str">
        <f t="shared" si="269"/>
        <v>NAN</v>
      </c>
      <c r="CF328" s="1">
        <f t="shared" si="270"/>
        <v>0.49299999999999999</v>
      </c>
      <c r="CG328" s="1">
        <f t="shared" si="271"/>
        <v>4.9000000000000002E-2</v>
      </c>
      <c r="CI328" s="1">
        <f t="shared" si="237"/>
        <v>2880</v>
      </c>
      <c r="CJ328" s="1">
        <f t="shared" si="238"/>
        <v>2E-3</v>
      </c>
      <c r="CK328" s="1">
        <f t="shared" si="239"/>
        <v>0</v>
      </c>
      <c r="CL328" s="1">
        <f t="shared" si="240"/>
        <v>5.0000000000000001E-3</v>
      </c>
      <c r="CM328" s="1">
        <f t="shared" si="241"/>
        <v>0.03</v>
      </c>
      <c r="CN328" s="1">
        <f t="shared" si="242"/>
        <v>0.19800000000000001</v>
      </c>
      <c r="CO328" s="1">
        <f t="shared" si="243"/>
        <v>0.44800000000000001</v>
      </c>
      <c r="CP328" s="1">
        <f t="shared" si="244"/>
        <v>0.27600000000000002</v>
      </c>
      <c r="CQ328" s="1">
        <f t="shared" si="245"/>
        <v>4.2000000000000003E-2</v>
      </c>
      <c r="CS328" s="1">
        <f t="shared" ref="CS328:CS371" si="274">IF(BZ328="NAN","NAN",BZ328-BP328)</f>
        <v>-0.69999999999999973</v>
      </c>
      <c r="CT328" s="1">
        <f t="shared" ref="CT328:CT371" si="275">IF(CA328="NAN","NAN",CA328-BQ328)</f>
        <v>-4.1999999999999993</v>
      </c>
    </row>
    <row r="329" spans="1:98" x14ac:dyDescent="0.2">
      <c r="A329" s="8">
        <f t="shared" si="272"/>
        <v>44154</v>
      </c>
      <c r="B329" s="1">
        <v>324</v>
      </c>
      <c r="C329" s="1">
        <v>11</v>
      </c>
      <c r="D329" s="2">
        <v>13.04</v>
      </c>
      <c r="E329" s="2">
        <v>-2.6549999999999998</v>
      </c>
      <c r="F329" s="2">
        <v>-10.79</v>
      </c>
      <c r="G329" s="2">
        <v>-6.0220000000000002</v>
      </c>
      <c r="H329" s="2">
        <v>86.2</v>
      </c>
      <c r="I329" s="2">
        <v>-4.5999999999999999E-2</v>
      </c>
      <c r="J329" s="2">
        <v>-0.95399999999999996</v>
      </c>
      <c r="K329" s="2">
        <v>0.56100000000000005</v>
      </c>
      <c r="L329" s="2">
        <v>2.024</v>
      </c>
      <c r="M329" s="2">
        <v>3.177</v>
      </c>
      <c r="N329" s="2">
        <v>-2.41</v>
      </c>
      <c r="O329" s="2">
        <v>93.3</v>
      </c>
      <c r="P329" s="2">
        <v>3.3000000000000002E-2</v>
      </c>
      <c r="Q329" s="2">
        <v>-0.79600000000000004</v>
      </c>
      <c r="R329" s="2">
        <v>0.64700000000000002</v>
      </c>
      <c r="S329" s="2">
        <v>2.1160000000000001</v>
      </c>
      <c r="T329" s="2">
        <v>3.2759999999999998</v>
      </c>
      <c r="U329" s="2">
        <v>-8.7799999999999994</v>
      </c>
      <c r="V329" s="2">
        <v>69.92</v>
      </c>
      <c r="W329" s="2">
        <v>-0.13</v>
      </c>
      <c r="X329" s="2">
        <v>-1.25</v>
      </c>
      <c r="Y329" s="2">
        <v>0.441</v>
      </c>
      <c r="Z329" s="2">
        <v>1.8979999999999999</v>
      </c>
      <c r="AA329" s="2">
        <v>3.0760000000000001</v>
      </c>
      <c r="AB329" s="2">
        <v>1.972</v>
      </c>
      <c r="AC329" s="2">
        <v>0</v>
      </c>
      <c r="AD329" s="2">
        <v>1.4390000000000001</v>
      </c>
      <c r="AE329" s="2">
        <v>3.6960000000000002</v>
      </c>
      <c r="AF329" s="2">
        <v>1.113</v>
      </c>
      <c r="AG329" s="2">
        <v>4.5289999999999999</v>
      </c>
      <c r="AH329" s="2">
        <v>-8.86</v>
      </c>
      <c r="AI329" s="2">
        <v>-3.718</v>
      </c>
      <c r="AJ329" s="2">
        <v>-14.71</v>
      </c>
      <c r="AK329" s="2">
        <v>0.309</v>
      </c>
      <c r="AL329" s="2">
        <v>-8.94</v>
      </c>
      <c r="AM329" s="2">
        <v>1.9990000000000001</v>
      </c>
      <c r="AN329" s="2" t="s">
        <v>122</v>
      </c>
      <c r="AO329" s="2">
        <v>262</v>
      </c>
      <c r="AP329" s="2">
        <v>26</v>
      </c>
      <c r="AQ329" s="2">
        <v>34</v>
      </c>
      <c r="AR329" s="2">
        <v>97</v>
      </c>
      <c r="AS329" s="2">
        <v>144</v>
      </c>
      <c r="AT329" s="2">
        <v>406</v>
      </c>
      <c r="AU329" s="2">
        <v>1038</v>
      </c>
      <c r="AV329" s="2">
        <v>873</v>
      </c>
      <c r="AW329" s="2"/>
      <c r="AX329" s="1">
        <f t="shared" si="246"/>
        <v>0.57799999999999985</v>
      </c>
      <c r="AY329" s="22">
        <f t="shared" si="236"/>
        <v>-0.2</v>
      </c>
      <c r="AZ329" s="5">
        <v>6.47</v>
      </c>
      <c r="BA329" s="1">
        <v>3.58</v>
      </c>
      <c r="BB329" s="1">
        <v>3.4</v>
      </c>
      <c r="BC329" s="6">
        <f t="shared" si="273"/>
        <v>0.94972067039106145</v>
      </c>
      <c r="BE329" s="28">
        <f t="shared" si="232"/>
        <v>0</v>
      </c>
      <c r="BF329" s="6"/>
      <c r="BG329" s="1">
        <f t="shared" si="248"/>
        <v>93.3</v>
      </c>
      <c r="BH329" s="1">
        <f t="shared" si="249"/>
        <v>86.2</v>
      </c>
      <c r="BI329" s="1">
        <f t="shared" si="250"/>
        <v>69.900000000000006</v>
      </c>
      <c r="BJ329" s="7">
        <f t="shared" si="251"/>
        <v>0.35699999999999998</v>
      </c>
      <c r="BK329" s="7">
        <f t="shared" si="252"/>
        <v>0.154</v>
      </c>
      <c r="BM329" s="5">
        <f t="shared" si="253"/>
        <v>3.58</v>
      </c>
      <c r="BN329" s="5">
        <f t="shared" si="254"/>
        <v>3.4</v>
      </c>
      <c r="BO329" s="1">
        <f t="shared" si="255"/>
        <v>-6</v>
      </c>
      <c r="BP329" s="1">
        <f t="shared" si="256"/>
        <v>-2.4</v>
      </c>
      <c r="BQ329" s="1">
        <f t="shared" si="257"/>
        <v>-8.8000000000000007</v>
      </c>
      <c r="BR329" s="1">
        <f t="shared" si="258"/>
        <v>86.2</v>
      </c>
      <c r="BS329" s="1">
        <f t="shared" si="259"/>
        <v>69.900000000000006</v>
      </c>
      <c r="BT329" s="1">
        <f t="shared" si="260"/>
        <v>1.1000000000000001</v>
      </c>
      <c r="BU329" s="1">
        <f t="shared" si="261"/>
        <v>4.5</v>
      </c>
      <c r="BV329" s="33">
        <f t="shared" si="247"/>
        <v>0</v>
      </c>
      <c r="BW329" s="34">
        <f t="shared" si="234"/>
        <v>0.57799999999999985</v>
      </c>
      <c r="BX329" s="20">
        <f t="shared" si="262"/>
        <v>-0.2</v>
      </c>
      <c r="BY329" s="1">
        <f t="shared" si="263"/>
        <v>-8.9</v>
      </c>
      <c r="BZ329" s="1">
        <f t="shared" si="264"/>
        <v>-3.7</v>
      </c>
      <c r="CA329" s="1">
        <f t="shared" si="265"/>
        <v>-14.7</v>
      </c>
      <c r="CB329" s="1">
        <f t="shared" si="266"/>
        <v>0.6</v>
      </c>
      <c r="CC329" s="1">
        <f t="shared" si="267"/>
        <v>2</v>
      </c>
      <c r="CD329" s="1">
        <f t="shared" si="268"/>
        <v>3.2</v>
      </c>
      <c r="CE329" s="1" t="str">
        <f t="shared" si="269"/>
        <v>NAN</v>
      </c>
      <c r="CF329" s="1">
        <f t="shared" si="270"/>
        <v>0.35699999999999998</v>
      </c>
      <c r="CG329" s="1">
        <f t="shared" si="271"/>
        <v>0.154</v>
      </c>
      <c r="CI329" s="1">
        <f t="shared" si="237"/>
        <v>2880</v>
      </c>
      <c r="CJ329" s="1">
        <f t="shared" si="238"/>
        <v>9.0999999999999998E-2</v>
      </c>
      <c r="CK329" s="1">
        <f t="shared" si="239"/>
        <v>8.9999999999999993E-3</v>
      </c>
      <c r="CL329" s="1">
        <f t="shared" si="240"/>
        <v>1.2E-2</v>
      </c>
      <c r="CM329" s="1">
        <f t="shared" si="241"/>
        <v>3.4000000000000002E-2</v>
      </c>
      <c r="CN329" s="1">
        <f t="shared" si="242"/>
        <v>0.05</v>
      </c>
      <c r="CO329" s="1">
        <f t="shared" si="243"/>
        <v>0.14099999999999999</v>
      </c>
      <c r="CP329" s="1">
        <f t="shared" si="244"/>
        <v>0.36</v>
      </c>
      <c r="CQ329" s="1">
        <f t="shared" si="245"/>
        <v>0.30299999999999999</v>
      </c>
      <c r="CS329" s="1">
        <f t="shared" si="274"/>
        <v>-1.3000000000000003</v>
      </c>
      <c r="CT329" s="1">
        <f t="shared" si="275"/>
        <v>-5.8999999999999986</v>
      </c>
    </row>
    <row r="330" spans="1:98" x14ac:dyDescent="0.2">
      <c r="A330" s="8">
        <f t="shared" si="272"/>
        <v>44155</v>
      </c>
      <c r="B330" s="1">
        <v>325</v>
      </c>
      <c r="C330" s="1">
        <v>11</v>
      </c>
      <c r="D330" s="2">
        <v>13</v>
      </c>
      <c r="E330" s="2">
        <v>-4.1390000000000002</v>
      </c>
      <c r="F330" s="2">
        <v>-10.42</v>
      </c>
      <c r="G330" s="2">
        <v>-5.1660000000000004</v>
      </c>
      <c r="H330" s="2">
        <v>85</v>
      </c>
      <c r="I330" s="2">
        <v>-6.0000000000000001E-3</v>
      </c>
      <c r="J330" s="2">
        <v>-1.651</v>
      </c>
      <c r="K330" s="2">
        <v>0.58899999999999997</v>
      </c>
      <c r="L330" s="2">
        <v>2.0310000000000001</v>
      </c>
      <c r="M330" s="2">
        <v>3.1539999999999999</v>
      </c>
      <c r="N330" s="2">
        <v>-3.22</v>
      </c>
      <c r="O330" s="2">
        <v>93.7</v>
      </c>
      <c r="P330" s="2">
        <v>7.2999999999999995E-2</v>
      </c>
      <c r="Q330" s="2">
        <v>-1.1679999999999999</v>
      </c>
      <c r="R330" s="2">
        <v>0.66700000000000004</v>
      </c>
      <c r="S330" s="2">
        <v>2.1160000000000001</v>
      </c>
      <c r="T330" s="2">
        <v>3.214</v>
      </c>
      <c r="U330" s="2">
        <v>-7.6909999999999998</v>
      </c>
      <c r="V330" s="2">
        <v>74.86</v>
      </c>
      <c r="W330" s="2">
        <v>-9.5000000000000001E-2</v>
      </c>
      <c r="X330" s="2">
        <v>-1.879</v>
      </c>
      <c r="Y330" s="2">
        <v>0.48499999999999999</v>
      </c>
      <c r="Z330" s="2">
        <v>1.94</v>
      </c>
      <c r="AA330" s="2">
        <v>3.0720000000000001</v>
      </c>
      <c r="AB330" s="2">
        <v>1.9930000000000001</v>
      </c>
      <c r="AC330" s="2">
        <v>0</v>
      </c>
      <c r="AD330" s="2">
        <v>1.0960000000000001</v>
      </c>
      <c r="AE330" s="2">
        <v>1.722</v>
      </c>
      <c r="AF330" s="2">
        <v>0.99299999999999999</v>
      </c>
      <c r="AG330" s="2">
        <v>3.9220000000000002</v>
      </c>
      <c r="AH330" s="2">
        <v>-7.2169999999999996</v>
      </c>
      <c r="AI330" s="2">
        <v>-4.4880000000000004</v>
      </c>
      <c r="AJ330" s="2">
        <v>-12.53</v>
      </c>
      <c r="AK330" s="2">
        <v>-2.27</v>
      </c>
      <c r="AL330" s="2">
        <v>-7.8840000000000003</v>
      </c>
      <c r="AM330" s="2">
        <v>2.008</v>
      </c>
      <c r="AN330" s="2" t="s">
        <v>122</v>
      </c>
      <c r="AO330" s="2">
        <v>91</v>
      </c>
      <c r="AP330" s="2">
        <v>5</v>
      </c>
      <c r="AQ330" s="2">
        <v>10</v>
      </c>
      <c r="AR330" s="2">
        <v>25</v>
      </c>
      <c r="AS330" s="2">
        <v>173</v>
      </c>
      <c r="AT330" s="2">
        <v>832</v>
      </c>
      <c r="AU330" s="2">
        <v>1218</v>
      </c>
      <c r="AV330" s="2">
        <v>526</v>
      </c>
      <c r="AW330" s="2"/>
      <c r="AX330" s="1">
        <f t="shared" si="246"/>
        <v>0.55699999999999972</v>
      </c>
      <c r="AY330" s="22">
        <f t="shared" si="236"/>
        <v>-0.5</v>
      </c>
      <c r="AZ330" s="5">
        <v>6.37</v>
      </c>
      <c r="BA330" s="1">
        <v>1.67</v>
      </c>
      <c r="BB330" s="1">
        <v>1.58</v>
      </c>
      <c r="BC330" s="6">
        <f t="shared" si="273"/>
        <v>0.94610778443113785</v>
      </c>
      <c r="BE330" s="28">
        <f t="shared" si="232"/>
        <v>0</v>
      </c>
      <c r="BF330" s="6"/>
      <c r="BG330" s="1">
        <f t="shared" si="248"/>
        <v>93.7</v>
      </c>
      <c r="BH330" s="1">
        <f t="shared" si="249"/>
        <v>85</v>
      </c>
      <c r="BI330" s="1">
        <f t="shared" si="250"/>
        <v>74.900000000000006</v>
      </c>
      <c r="BJ330" s="7">
        <f t="shared" si="251"/>
        <v>0.36099999999999999</v>
      </c>
      <c r="BK330" s="7">
        <f t="shared" si="252"/>
        <v>0.121</v>
      </c>
      <c r="BM330" s="5">
        <f t="shared" si="253"/>
        <v>1.67</v>
      </c>
      <c r="BN330" s="5">
        <f t="shared" si="254"/>
        <v>1.58</v>
      </c>
      <c r="BO330" s="1">
        <f t="shared" si="255"/>
        <v>-5.2</v>
      </c>
      <c r="BP330" s="1">
        <f t="shared" si="256"/>
        <v>-3.2</v>
      </c>
      <c r="BQ330" s="1">
        <f t="shared" si="257"/>
        <v>-7.7</v>
      </c>
      <c r="BR330" s="1">
        <f t="shared" si="258"/>
        <v>85</v>
      </c>
      <c r="BS330" s="1">
        <f t="shared" si="259"/>
        <v>74.900000000000006</v>
      </c>
      <c r="BT330" s="1">
        <f t="shared" si="260"/>
        <v>1</v>
      </c>
      <c r="BU330" s="1">
        <f t="shared" si="261"/>
        <v>3.9</v>
      </c>
      <c r="BV330" s="33">
        <f t="shared" si="247"/>
        <v>0</v>
      </c>
      <c r="BW330" s="34">
        <f t="shared" si="234"/>
        <v>0.55699999999999972</v>
      </c>
      <c r="BX330" s="20">
        <f t="shared" si="262"/>
        <v>-0.5</v>
      </c>
      <c r="BY330" s="1">
        <f t="shared" si="263"/>
        <v>-7.2</v>
      </c>
      <c r="BZ330" s="1">
        <f t="shared" si="264"/>
        <v>-4.5</v>
      </c>
      <c r="CA330" s="1">
        <f t="shared" si="265"/>
        <v>-12.5</v>
      </c>
      <c r="CB330" s="1">
        <f t="shared" si="266"/>
        <v>0.6</v>
      </c>
      <c r="CC330" s="1">
        <f t="shared" si="267"/>
        <v>2</v>
      </c>
      <c r="CD330" s="1">
        <f t="shared" si="268"/>
        <v>3.2</v>
      </c>
      <c r="CE330" s="1" t="str">
        <f t="shared" si="269"/>
        <v>NAN</v>
      </c>
      <c r="CF330" s="1">
        <f t="shared" si="270"/>
        <v>0.36099999999999999</v>
      </c>
      <c r="CG330" s="1">
        <f t="shared" si="271"/>
        <v>0.121</v>
      </c>
      <c r="CI330" s="1">
        <f t="shared" si="237"/>
        <v>2880</v>
      </c>
      <c r="CJ330" s="1">
        <f t="shared" si="238"/>
        <v>3.2000000000000001E-2</v>
      </c>
      <c r="CK330" s="1">
        <f t="shared" si="239"/>
        <v>2E-3</v>
      </c>
      <c r="CL330" s="1">
        <f t="shared" si="240"/>
        <v>3.0000000000000001E-3</v>
      </c>
      <c r="CM330" s="1">
        <f t="shared" si="241"/>
        <v>8.9999999999999993E-3</v>
      </c>
      <c r="CN330" s="1">
        <f t="shared" si="242"/>
        <v>0.06</v>
      </c>
      <c r="CO330" s="1">
        <f t="shared" si="243"/>
        <v>0.28899999999999998</v>
      </c>
      <c r="CP330" s="1">
        <f t="shared" si="244"/>
        <v>0.42299999999999999</v>
      </c>
      <c r="CQ330" s="1">
        <f t="shared" si="245"/>
        <v>0.183</v>
      </c>
      <c r="CS330" s="1">
        <f t="shared" si="274"/>
        <v>-1.2999999999999998</v>
      </c>
      <c r="CT330" s="1">
        <f t="shared" si="275"/>
        <v>-4.8</v>
      </c>
    </row>
    <row r="331" spans="1:98" x14ac:dyDescent="0.2">
      <c r="A331" s="8">
        <f t="shared" si="272"/>
        <v>44156</v>
      </c>
      <c r="B331" s="1">
        <v>326</v>
      </c>
      <c r="C331" s="1">
        <v>11</v>
      </c>
      <c r="D331" s="2">
        <v>13.02</v>
      </c>
      <c r="E331" s="2">
        <v>0.77700000000000002</v>
      </c>
      <c r="F331" s="2">
        <v>-9.8699999999999992</v>
      </c>
      <c r="G331" s="2">
        <v>-4.0410000000000004</v>
      </c>
      <c r="H331" s="2">
        <v>81.099999999999994</v>
      </c>
      <c r="I331" s="2">
        <v>-2.8000000000000001E-2</v>
      </c>
      <c r="J331" s="2">
        <v>-1.772</v>
      </c>
      <c r="K331" s="2">
        <v>0.58499999999999996</v>
      </c>
      <c r="L331" s="2">
        <v>2.0049999999999999</v>
      </c>
      <c r="M331" s="2">
        <v>3.1339999999999999</v>
      </c>
      <c r="N331" s="2">
        <v>1.31</v>
      </c>
      <c r="O331" s="2">
        <v>94.9</v>
      </c>
      <c r="P331" s="2">
        <v>7.9000000000000001E-2</v>
      </c>
      <c r="Q331" s="2">
        <v>-1.5840000000000001</v>
      </c>
      <c r="R331" s="2">
        <v>0.68700000000000006</v>
      </c>
      <c r="S331" s="2">
        <v>2.093</v>
      </c>
      <c r="T331" s="2">
        <v>3.27</v>
      </c>
      <c r="U331" s="2">
        <v>-7.9989999999999997</v>
      </c>
      <c r="V331" s="2">
        <v>60.87</v>
      </c>
      <c r="W331" s="2">
        <v>-0.121</v>
      </c>
      <c r="X331" s="2">
        <v>-1.948</v>
      </c>
      <c r="Y331" s="2">
        <v>0.46500000000000002</v>
      </c>
      <c r="Z331" s="2">
        <v>1.8839999999999999</v>
      </c>
      <c r="AA331" s="2">
        <v>3.0219999999999998</v>
      </c>
      <c r="AB331" s="2">
        <v>2.0099999999999998</v>
      </c>
      <c r="AC331" s="2">
        <v>0</v>
      </c>
      <c r="AD331" s="2">
        <v>3.8370000000000002</v>
      </c>
      <c r="AE331" s="2">
        <v>3.5790000000000002</v>
      </c>
      <c r="AF331" s="2">
        <v>1.1279999999999999</v>
      </c>
      <c r="AG331" s="2">
        <v>5.4240000000000004</v>
      </c>
      <c r="AH331" s="2">
        <v>-7.8769999999999998</v>
      </c>
      <c r="AI331" s="2">
        <v>-3.1640000000000001</v>
      </c>
      <c r="AJ331" s="2">
        <v>-13.26</v>
      </c>
      <c r="AK331" s="2">
        <v>4.2080000000000002</v>
      </c>
      <c r="AL331" s="2">
        <v>-8.23</v>
      </c>
      <c r="AM331" s="2">
        <v>2.0390000000000001</v>
      </c>
      <c r="AN331" s="2" t="s">
        <v>122</v>
      </c>
      <c r="AO331" s="2">
        <v>340</v>
      </c>
      <c r="AP331" s="2">
        <v>137</v>
      </c>
      <c r="AQ331" s="2">
        <v>131</v>
      </c>
      <c r="AR331" s="2">
        <v>468</v>
      </c>
      <c r="AS331" s="2">
        <v>507</v>
      </c>
      <c r="AT331" s="2">
        <v>555</v>
      </c>
      <c r="AU331" s="2">
        <v>392</v>
      </c>
      <c r="AV331" s="2">
        <v>350</v>
      </c>
      <c r="AW331" s="2"/>
      <c r="AX331" s="1">
        <f t="shared" si="246"/>
        <v>0.54</v>
      </c>
      <c r="AY331" s="22">
        <f t="shared" si="236"/>
        <v>-0.6</v>
      </c>
      <c r="AZ331" s="5">
        <v>6.26</v>
      </c>
      <c r="BA331" s="1">
        <v>4.0599999999999996</v>
      </c>
      <c r="BB331" s="1">
        <v>3.29</v>
      </c>
      <c r="BC331" s="6">
        <f t="shared" si="273"/>
        <v>0.81034482758620696</v>
      </c>
      <c r="BE331" s="28">
        <f t="shared" si="232"/>
        <v>0</v>
      </c>
      <c r="BF331" s="6"/>
      <c r="BG331" s="1">
        <f t="shared" si="248"/>
        <v>94.9</v>
      </c>
      <c r="BH331" s="1">
        <f t="shared" si="249"/>
        <v>81.099999999999994</v>
      </c>
      <c r="BI331" s="1">
        <f t="shared" si="250"/>
        <v>60.9</v>
      </c>
      <c r="BJ331" s="7">
        <f t="shared" si="251"/>
        <v>0.40899999999999997</v>
      </c>
      <c r="BK331" s="7">
        <f t="shared" si="252"/>
        <v>0.26300000000000001</v>
      </c>
      <c r="BM331" s="5">
        <f t="shared" si="253"/>
        <v>4.0599999999999996</v>
      </c>
      <c r="BN331" s="5">
        <f t="shared" si="254"/>
        <v>3.29</v>
      </c>
      <c r="BO331" s="1">
        <f t="shared" si="255"/>
        <v>-4</v>
      </c>
      <c r="BP331" s="1">
        <f t="shared" si="256"/>
        <v>1.3</v>
      </c>
      <c r="BQ331" s="1">
        <f t="shared" si="257"/>
        <v>-8</v>
      </c>
      <c r="BR331" s="1">
        <f t="shared" si="258"/>
        <v>81.099999999999994</v>
      </c>
      <c r="BS331" s="1">
        <f t="shared" si="259"/>
        <v>60.9</v>
      </c>
      <c r="BT331" s="1">
        <f t="shared" si="260"/>
        <v>1.1000000000000001</v>
      </c>
      <c r="BU331" s="1">
        <f t="shared" si="261"/>
        <v>5.4</v>
      </c>
      <c r="BV331" s="33">
        <f t="shared" si="247"/>
        <v>0</v>
      </c>
      <c r="BW331" s="34">
        <f t="shared" si="234"/>
        <v>0.54</v>
      </c>
      <c r="BX331" s="20">
        <f t="shared" si="262"/>
        <v>-0.6</v>
      </c>
      <c r="BY331" s="1">
        <f t="shared" si="263"/>
        <v>-7.9</v>
      </c>
      <c r="BZ331" s="1">
        <f t="shared" si="264"/>
        <v>-3.2</v>
      </c>
      <c r="CA331" s="1">
        <f t="shared" si="265"/>
        <v>-13.3</v>
      </c>
      <c r="CB331" s="1">
        <f t="shared" si="266"/>
        <v>0.6</v>
      </c>
      <c r="CC331" s="1">
        <f t="shared" si="267"/>
        <v>2</v>
      </c>
      <c r="CD331" s="1">
        <f t="shared" si="268"/>
        <v>3.1</v>
      </c>
      <c r="CE331" s="1" t="str">
        <f t="shared" si="269"/>
        <v>NAN</v>
      </c>
      <c r="CF331" s="1">
        <f t="shared" si="270"/>
        <v>0.40899999999999997</v>
      </c>
      <c r="CG331" s="1">
        <f t="shared" si="271"/>
        <v>0.26300000000000001</v>
      </c>
      <c r="CI331" s="1">
        <f t="shared" si="237"/>
        <v>2880</v>
      </c>
      <c r="CJ331" s="1">
        <f t="shared" si="238"/>
        <v>0.11799999999999999</v>
      </c>
      <c r="CK331" s="1">
        <f t="shared" si="239"/>
        <v>4.8000000000000001E-2</v>
      </c>
      <c r="CL331" s="1">
        <f t="shared" si="240"/>
        <v>4.4999999999999998E-2</v>
      </c>
      <c r="CM331" s="1">
        <f t="shared" si="241"/>
        <v>0.16300000000000001</v>
      </c>
      <c r="CN331" s="1">
        <f t="shared" si="242"/>
        <v>0.17599999999999999</v>
      </c>
      <c r="CO331" s="1">
        <f t="shared" si="243"/>
        <v>0.193</v>
      </c>
      <c r="CP331" s="1">
        <f t="shared" si="244"/>
        <v>0.13600000000000001</v>
      </c>
      <c r="CQ331" s="1">
        <f t="shared" si="245"/>
        <v>0.122</v>
      </c>
      <c r="CS331" s="1">
        <f t="shared" si="274"/>
        <v>-4.5</v>
      </c>
      <c r="CT331" s="1">
        <f t="shared" si="275"/>
        <v>-5.3000000000000007</v>
      </c>
    </row>
    <row r="332" spans="1:98" x14ac:dyDescent="0.2">
      <c r="A332" s="8">
        <f t="shared" si="272"/>
        <v>44157</v>
      </c>
      <c r="B332" s="1">
        <v>327</v>
      </c>
      <c r="C332" s="1">
        <v>11</v>
      </c>
      <c r="D332" s="2">
        <v>13</v>
      </c>
      <c r="E332" s="2">
        <v>-4.5049999999999999</v>
      </c>
      <c r="F332" s="2">
        <v>-8.26</v>
      </c>
      <c r="G332" s="2">
        <v>-6.6130000000000004</v>
      </c>
      <c r="H332" s="2">
        <v>90.9</v>
      </c>
      <c r="I332" s="2">
        <v>-3.6999999999999998E-2</v>
      </c>
      <c r="J332" s="2">
        <v>-1.9179999999999999</v>
      </c>
      <c r="K332" s="2">
        <v>0.59499999999999997</v>
      </c>
      <c r="L332" s="2">
        <v>1.9950000000000001</v>
      </c>
      <c r="M332" s="2">
        <v>3.093</v>
      </c>
      <c r="N332" s="2">
        <v>-5.0190000000000001</v>
      </c>
      <c r="O332" s="2">
        <v>94.4</v>
      </c>
      <c r="P332" s="2">
        <v>0.05</v>
      </c>
      <c r="Q332" s="2">
        <v>-1.806</v>
      </c>
      <c r="R332" s="2">
        <v>0.66600000000000004</v>
      </c>
      <c r="S332" s="2">
        <v>2.0870000000000002</v>
      </c>
      <c r="T332" s="2">
        <v>3.1869999999999998</v>
      </c>
      <c r="U332" s="2">
        <v>-7.6920000000000002</v>
      </c>
      <c r="V332" s="2">
        <v>88.5</v>
      </c>
      <c r="W332" s="2">
        <v>-0.10199999999999999</v>
      </c>
      <c r="X332" s="2">
        <v>-2.0569999999999999</v>
      </c>
      <c r="Y332" s="2">
        <v>0.51800000000000002</v>
      </c>
      <c r="Z332" s="2">
        <v>1.923</v>
      </c>
      <c r="AA332" s="2">
        <v>3.0110000000000001</v>
      </c>
      <c r="AB332" s="2">
        <v>2.0110000000000001</v>
      </c>
      <c r="AC332" s="2">
        <v>0</v>
      </c>
      <c r="AD332" s="2">
        <v>2.9790000000000001</v>
      </c>
      <c r="AE332" s="2">
        <v>2.1269999999999998</v>
      </c>
      <c r="AF332" s="2">
        <v>1.079</v>
      </c>
      <c r="AG332" s="2">
        <v>3.2490000000000001</v>
      </c>
      <c r="AH332" s="2">
        <v>-7.2919999999999998</v>
      </c>
      <c r="AI332" s="2">
        <v>-4.9939999999999998</v>
      </c>
      <c r="AJ332" s="2">
        <v>-9.27</v>
      </c>
      <c r="AK332" s="2">
        <v>-3.5760000000000001</v>
      </c>
      <c r="AL332" s="2">
        <v>-7.7770000000000001</v>
      </c>
      <c r="AM332" s="2">
        <v>2.0339999999999998</v>
      </c>
      <c r="AN332" s="2" t="s">
        <v>122</v>
      </c>
      <c r="AO332" s="2">
        <v>25</v>
      </c>
      <c r="AP332" s="2">
        <v>84</v>
      </c>
      <c r="AQ332" s="2">
        <v>457</v>
      </c>
      <c r="AR332" s="2">
        <v>912</v>
      </c>
      <c r="AS332" s="2">
        <v>839</v>
      </c>
      <c r="AT332" s="2">
        <v>432</v>
      </c>
      <c r="AU332" s="2">
        <v>107</v>
      </c>
      <c r="AV332" s="2">
        <v>24</v>
      </c>
      <c r="AW332" s="2"/>
      <c r="AX332" s="1">
        <f t="shared" si="246"/>
        <v>0.5389999999999997</v>
      </c>
      <c r="AY332" s="22">
        <f t="shared" si="236"/>
        <v>-0.7</v>
      </c>
      <c r="AZ332" s="5">
        <v>6.17</v>
      </c>
      <c r="BA332" s="1">
        <v>2.98</v>
      </c>
      <c r="BB332" s="1">
        <v>1.96</v>
      </c>
      <c r="BC332" s="6">
        <f t="shared" si="273"/>
        <v>0.65771812080536907</v>
      </c>
      <c r="BE332" s="28">
        <f t="shared" si="232"/>
        <v>0</v>
      </c>
      <c r="BF332" s="6"/>
      <c r="BG332" s="1">
        <f t="shared" si="248"/>
        <v>94.4</v>
      </c>
      <c r="BH332" s="1">
        <f t="shared" si="249"/>
        <v>90.9</v>
      </c>
      <c r="BI332" s="1">
        <f t="shared" si="250"/>
        <v>88.5</v>
      </c>
      <c r="BJ332" s="7">
        <f t="shared" si="251"/>
        <v>0.372</v>
      </c>
      <c r="BK332" s="7">
        <f t="shared" si="252"/>
        <v>4.8000000000000001E-2</v>
      </c>
      <c r="BM332" s="5">
        <f t="shared" si="253"/>
        <v>2.98</v>
      </c>
      <c r="BN332" s="5">
        <f t="shared" si="254"/>
        <v>1.96</v>
      </c>
      <c r="BO332" s="1">
        <f t="shared" si="255"/>
        <v>-6.6</v>
      </c>
      <c r="BP332" s="1">
        <f t="shared" si="256"/>
        <v>-5</v>
      </c>
      <c r="BQ332" s="1">
        <f t="shared" si="257"/>
        <v>-7.7</v>
      </c>
      <c r="BR332" s="1">
        <f t="shared" si="258"/>
        <v>90.9</v>
      </c>
      <c r="BS332" s="1">
        <f t="shared" si="259"/>
        <v>88.5</v>
      </c>
      <c r="BT332" s="1">
        <f t="shared" si="260"/>
        <v>1.1000000000000001</v>
      </c>
      <c r="BU332" s="1">
        <f t="shared" si="261"/>
        <v>3.2</v>
      </c>
      <c r="BV332" s="33">
        <f t="shared" si="247"/>
        <v>0</v>
      </c>
      <c r="BW332" s="34">
        <f t="shared" si="234"/>
        <v>0.5389999999999997</v>
      </c>
      <c r="BX332" s="20">
        <f t="shared" si="262"/>
        <v>-0.7</v>
      </c>
      <c r="BY332" s="1">
        <f t="shared" si="263"/>
        <v>-7.3</v>
      </c>
      <c r="BZ332" s="1">
        <f t="shared" si="264"/>
        <v>-5</v>
      </c>
      <c r="CA332" s="1">
        <f t="shared" si="265"/>
        <v>-9.3000000000000007</v>
      </c>
      <c r="CB332" s="1">
        <f t="shared" si="266"/>
        <v>0.6</v>
      </c>
      <c r="CC332" s="1">
        <f t="shared" si="267"/>
        <v>2</v>
      </c>
      <c r="CD332" s="1">
        <f t="shared" si="268"/>
        <v>3.1</v>
      </c>
      <c r="CE332" s="1" t="str">
        <f t="shared" si="269"/>
        <v>NAN</v>
      </c>
      <c r="CF332" s="1">
        <f t="shared" si="270"/>
        <v>0.372</v>
      </c>
      <c r="CG332" s="1">
        <f t="shared" si="271"/>
        <v>4.8000000000000001E-2</v>
      </c>
      <c r="CI332" s="1">
        <f t="shared" si="237"/>
        <v>2880</v>
      </c>
      <c r="CJ332" s="1">
        <f t="shared" si="238"/>
        <v>8.9999999999999993E-3</v>
      </c>
      <c r="CK332" s="1">
        <f t="shared" si="239"/>
        <v>2.9000000000000001E-2</v>
      </c>
      <c r="CL332" s="1">
        <f t="shared" si="240"/>
        <v>0.159</v>
      </c>
      <c r="CM332" s="1">
        <f t="shared" si="241"/>
        <v>0.317</v>
      </c>
      <c r="CN332" s="1">
        <f t="shared" si="242"/>
        <v>0.29099999999999998</v>
      </c>
      <c r="CO332" s="1">
        <f t="shared" si="243"/>
        <v>0.15</v>
      </c>
      <c r="CP332" s="1">
        <f t="shared" si="244"/>
        <v>3.6999999999999998E-2</v>
      </c>
      <c r="CQ332" s="1">
        <f t="shared" si="245"/>
        <v>8.0000000000000002E-3</v>
      </c>
      <c r="CS332" s="1">
        <f t="shared" si="274"/>
        <v>0</v>
      </c>
      <c r="CT332" s="1">
        <f t="shared" si="275"/>
        <v>-1.6000000000000005</v>
      </c>
    </row>
    <row r="333" spans="1:98" x14ac:dyDescent="0.2">
      <c r="A333" s="8">
        <f t="shared" si="272"/>
        <v>44158</v>
      </c>
      <c r="B333" s="1">
        <v>328</v>
      </c>
      <c r="C333" s="1">
        <v>11</v>
      </c>
      <c r="D333" s="2">
        <v>12.92</v>
      </c>
      <c r="E333" s="2">
        <v>-3.8159999999999998</v>
      </c>
      <c r="F333" s="2">
        <v>-8.24</v>
      </c>
      <c r="G333" s="2">
        <v>-5.5670000000000002</v>
      </c>
      <c r="H333" s="2">
        <v>90.3</v>
      </c>
      <c r="I333" s="2">
        <v>-2.8000000000000001E-2</v>
      </c>
      <c r="J333" s="2">
        <v>-1.9039999999999999</v>
      </c>
      <c r="K333" s="2">
        <v>0.60699999999999998</v>
      </c>
      <c r="L333" s="2">
        <v>1.9850000000000001</v>
      </c>
      <c r="M333" s="2">
        <v>3.07</v>
      </c>
      <c r="N333" s="2">
        <v>-3.6949999999999998</v>
      </c>
      <c r="O333" s="2">
        <v>92.8</v>
      </c>
      <c r="P333" s="2">
        <v>4.8000000000000001E-2</v>
      </c>
      <c r="Q333" s="2">
        <v>-1.7849999999999999</v>
      </c>
      <c r="R333" s="2">
        <v>0.71799999999999997</v>
      </c>
      <c r="S333" s="2">
        <v>2.06</v>
      </c>
      <c r="T333" s="2">
        <v>3.145</v>
      </c>
      <c r="U333" s="2">
        <v>-7.625</v>
      </c>
      <c r="V333" s="2">
        <v>84.7</v>
      </c>
      <c r="W333" s="2">
        <v>-0.12</v>
      </c>
      <c r="X333" s="2">
        <v>-2.0470000000000002</v>
      </c>
      <c r="Y333" s="2">
        <v>0.50800000000000001</v>
      </c>
      <c r="Z333" s="2">
        <v>1.901</v>
      </c>
      <c r="AA333" s="2">
        <v>2.9870000000000001</v>
      </c>
      <c r="AB333" s="2">
        <v>2.0190000000000001</v>
      </c>
      <c r="AC333" s="2">
        <v>0</v>
      </c>
      <c r="AD333" s="2">
        <v>1.5589999999999999</v>
      </c>
      <c r="AE333" s="2">
        <v>1.4550000000000001</v>
      </c>
      <c r="AF333" s="2">
        <v>0.4</v>
      </c>
      <c r="AG333" s="2">
        <v>2.0920000000000001</v>
      </c>
      <c r="AH333" s="2">
        <v>-6.8419999999999996</v>
      </c>
      <c r="AI333" s="2">
        <v>-3.7280000000000002</v>
      </c>
      <c r="AJ333" s="2">
        <v>-11.35</v>
      </c>
      <c r="AK333" s="2">
        <v>-2.2810000000000001</v>
      </c>
      <c r="AL333" s="2">
        <v>-7.8789999999999996</v>
      </c>
      <c r="AM333" s="2">
        <v>2.0409999999999999</v>
      </c>
      <c r="AN333" s="2" t="s">
        <v>122</v>
      </c>
      <c r="AO333" s="2">
        <v>192</v>
      </c>
      <c r="AP333" s="2">
        <v>101</v>
      </c>
      <c r="AQ333" s="2">
        <v>676</v>
      </c>
      <c r="AR333" s="2">
        <v>310</v>
      </c>
      <c r="AS333" s="2">
        <v>89</v>
      </c>
      <c r="AT333" s="2">
        <v>329</v>
      </c>
      <c r="AU333" s="2">
        <v>654</v>
      </c>
      <c r="AV333" s="2">
        <v>529</v>
      </c>
      <c r="AW333" s="2"/>
      <c r="AX333" s="1">
        <f t="shared" si="246"/>
        <v>0.53099999999999969</v>
      </c>
      <c r="AY333" s="22">
        <f t="shared" si="236"/>
        <v>-0.6</v>
      </c>
      <c r="AZ333" s="5">
        <v>6.07</v>
      </c>
      <c r="BA333" s="1">
        <v>1.56</v>
      </c>
      <c r="BB333" s="1">
        <v>1.34</v>
      </c>
      <c r="BC333" s="6">
        <f t="shared" si="273"/>
        <v>0.85897435897435903</v>
      </c>
      <c r="BE333" s="28">
        <f t="shared" si="232"/>
        <v>0</v>
      </c>
      <c r="BF333" s="6"/>
      <c r="BG333" s="1">
        <f t="shared" si="248"/>
        <v>92.8</v>
      </c>
      <c r="BH333" s="1">
        <f t="shared" si="249"/>
        <v>90.3</v>
      </c>
      <c r="BI333" s="1">
        <f t="shared" si="250"/>
        <v>84.7</v>
      </c>
      <c r="BJ333" s="7">
        <f t="shared" si="251"/>
        <v>0.39300000000000002</v>
      </c>
      <c r="BK333" s="7">
        <f t="shared" si="252"/>
        <v>7.0999999999999994E-2</v>
      </c>
      <c r="BM333" s="5">
        <f t="shared" si="253"/>
        <v>1.56</v>
      </c>
      <c r="BN333" s="5">
        <f t="shared" si="254"/>
        <v>1.34</v>
      </c>
      <c r="BO333" s="1">
        <f t="shared" si="255"/>
        <v>-5.6</v>
      </c>
      <c r="BP333" s="1">
        <f t="shared" si="256"/>
        <v>-3.7</v>
      </c>
      <c r="BQ333" s="1">
        <f t="shared" si="257"/>
        <v>-7.6</v>
      </c>
      <c r="BR333" s="1">
        <f t="shared" si="258"/>
        <v>90.3</v>
      </c>
      <c r="BS333" s="1">
        <f t="shared" si="259"/>
        <v>84.7</v>
      </c>
      <c r="BT333" s="1">
        <f t="shared" si="260"/>
        <v>0.4</v>
      </c>
      <c r="BU333" s="1">
        <f t="shared" si="261"/>
        <v>2.1</v>
      </c>
      <c r="BV333" s="33">
        <f t="shared" si="247"/>
        <v>0</v>
      </c>
      <c r="BW333" s="34">
        <f t="shared" si="234"/>
        <v>0.53099999999999969</v>
      </c>
      <c r="BX333" s="20">
        <f t="shared" si="262"/>
        <v>-0.6</v>
      </c>
      <c r="BY333" s="1">
        <f t="shared" si="263"/>
        <v>-6.8</v>
      </c>
      <c r="BZ333" s="1">
        <f t="shared" si="264"/>
        <v>-3.7</v>
      </c>
      <c r="CA333" s="1">
        <f t="shared" si="265"/>
        <v>-11.4</v>
      </c>
      <c r="CB333" s="1">
        <f t="shared" si="266"/>
        <v>0.6</v>
      </c>
      <c r="CC333" s="1">
        <f t="shared" si="267"/>
        <v>2</v>
      </c>
      <c r="CD333" s="1">
        <f t="shared" si="268"/>
        <v>3.1</v>
      </c>
      <c r="CE333" s="1" t="str">
        <f t="shared" si="269"/>
        <v>NAN</v>
      </c>
      <c r="CF333" s="1">
        <f t="shared" si="270"/>
        <v>0.39300000000000002</v>
      </c>
      <c r="CG333" s="1">
        <f t="shared" si="271"/>
        <v>7.0999999999999994E-2</v>
      </c>
      <c r="CI333" s="1">
        <f t="shared" si="237"/>
        <v>2880</v>
      </c>
      <c r="CJ333" s="1">
        <f t="shared" si="238"/>
        <v>6.7000000000000004E-2</v>
      </c>
      <c r="CK333" s="1">
        <f t="shared" si="239"/>
        <v>3.5000000000000003E-2</v>
      </c>
      <c r="CL333" s="1">
        <f t="shared" si="240"/>
        <v>0.23499999999999999</v>
      </c>
      <c r="CM333" s="1">
        <f t="shared" si="241"/>
        <v>0.108</v>
      </c>
      <c r="CN333" s="1">
        <f t="shared" si="242"/>
        <v>3.1E-2</v>
      </c>
      <c r="CO333" s="1">
        <f t="shared" si="243"/>
        <v>0.114</v>
      </c>
      <c r="CP333" s="1">
        <f t="shared" si="244"/>
        <v>0.22700000000000001</v>
      </c>
      <c r="CQ333" s="1">
        <f t="shared" si="245"/>
        <v>0.184</v>
      </c>
      <c r="CS333" s="1">
        <f t="shared" si="274"/>
        <v>0</v>
      </c>
      <c r="CT333" s="1">
        <f t="shared" si="275"/>
        <v>-3.8000000000000007</v>
      </c>
    </row>
    <row r="334" spans="1:98" x14ac:dyDescent="0.2">
      <c r="A334" s="8">
        <f t="shared" si="272"/>
        <v>44159</v>
      </c>
      <c r="B334" s="1">
        <v>329</v>
      </c>
      <c r="C334" s="1">
        <v>11</v>
      </c>
      <c r="D334" s="2">
        <v>12.94</v>
      </c>
      <c r="E334" s="2">
        <v>-4.7450000000000001</v>
      </c>
      <c r="F334" s="2">
        <v>-7.6159999999999997</v>
      </c>
      <c r="G334" s="2">
        <v>-5.8079999999999998</v>
      </c>
      <c r="H334" s="2">
        <v>91.5</v>
      </c>
      <c r="I334" s="2">
        <v>-1.4E-2</v>
      </c>
      <c r="J334" s="2">
        <v>-1.68</v>
      </c>
      <c r="K334" s="2">
        <v>0.60599999999999998</v>
      </c>
      <c r="L334" s="2">
        <v>1.9710000000000001</v>
      </c>
      <c r="M334" s="2">
        <v>3.0430000000000001</v>
      </c>
      <c r="N334" s="2">
        <v>-4.1020000000000003</v>
      </c>
      <c r="O334" s="2">
        <v>93.5</v>
      </c>
      <c r="P334" s="2">
        <v>7.0000000000000007E-2</v>
      </c>
      <c r="Q334" s="2">
        <v>-1.486</v>
      </c>
      <c r="R334" s="2">
        <v>0.67900000000000005</v>
      </c>
      <c r="S334" s="2">
        <v>2.04</v>
      </c>
      <c r="T334" s="2">
        <v>3.1339999999999999</v>
      </c>
      <c r="U334" s="2">
        <v>-7.1879999999999997</v>
      </c>
      <c r="V334" s="2">
        <v>89.4</v>
      </c>
      <c r="W334" s="2">
        <v>-0.09</v>
      </c>
      <c r="X334" s="2">
        <v>-1.9219999999999999</v>
      </c>
      <c r="Y334" s="2">
        <v>0.52300000000000002</v>
      </c>
      <c r="Z334" s="2">
        <v>1.88</v>
      </c>
      <c r="AA334" s="2">
        <v>2.9529999999999998</v>
      </c>
      <c r="AB334" s="2">
        <v>2.0289999999999999</v>
      </c>
      <c r="AC334" s="2">
        <v>0</v>
      </c>
      <c r="AD334" s="2">
        <v>1.504</v>
      </c>
      <c r="AE334" s="2">
        <v>1.524</v>
      </c>
      <c r="AF334" s="2">
        <v>1.1639999999999999</v>
      </c>
      <c r="AG334" s="2">
        <v>3.492</v>
      </c>
      <c r="AH334" s="2">
        <v>-6.2050000000000001</v>
      </c>
      <c r="AI334" s="2">
        <v>-4.3470000000000004</v>
      </c>
      <c r="AJ334" s="2">
        <v>-10.67</v>
      </c>
      <c r="AK334" s="2">
        <v>-4.4370000000000003</v>
      </c>
      <c r="AL334" s="2">
        <v>-7.6210000000000004</v>
      </c>
      <c r="AM334" s="2">
        <v>2.0539999999999998</v>
      </c>
      <c r="AN334" s="2" t="s">
        <v>122</v>
      </c>
      <c r="AO334" s="2">
        <v>66</v>
      </c>
      <c r="AP334" s="2">
        <v>36</v>
      </c>
      <c r="AQ334" s="2">
        <v>90</v>
      </c>
      <c r="AR334" s="2">
        <v>309</v>
      </c>
      <c r="AS334" s="2">
        <v>785</v>
      </c>
      <c r="AT334" s="2">
        <v>822</v>
      </c>
      <c r="AU334" s="2">
        <v>495</v>
      </c>
      <c r="AV334" s="2">
        <v>277</v>
      </c>
      <c r="AW334" s="2"/>
      <c r="AX334" s="1">
        <f t="shared" si="246"/>
        <v>0.52099999999999991</v>
      </c>
      <c r="AY334" s="22">
        <f t="shared" si="236"/>
        <v>-0.5</v>
      </c>
      <c r="AZ334" s="5">
        <v>5.99</v>
      </c>
      <c r="BA334" s="1">
        <v>1.5</v>
      </c>
      <c r="BB334" s="1">
        <v>1.4</v>
      </c>
      <c r="BC334" s="6">
        <f t="shared" si="273"/>
        <v>0.93333333333333324</v>
      </c>
      <c r="BE334" s="28">
        <f t="shared" si="232"/>
        <v>0</v>
      </c>
      <c r="BF334" s="6"/>
      <c r="BG334" s="1">
        <f t="shared" si="248"/>
        <v>93.5</v>
      </c>
      <c r="BH334" s="1">
        <f t="shared" si="249"/>
        <v>91.5</v>
      </c>
      <c r="BI334" s="1">
        <f t="shared" si="250"/>
        <v>89.4</v>
      </c>
      <c r="BJ334" s="7">
        <f t="shared" si="251"/>
        <v>0.40300000000000002</v>
      </c>
      <c r="BK334" s="7">
        <f t="shared" si="252"/>
        <v>4.8000000000000001E-2</v>
      </c>
      <c r="BM334" s="5">
        <f t="shared" si="253"/>
        <v>1.5</v>
      </c>
      <c r="BN334" s="5">
        <f t="shared" si="254"/>
        <v>1.4</v>
      </c>
      <c r="BO334" s="1">
        <f t="shared" si="255"/>
        <v>-5.8</v>
      </c>
      <c r="BP334" s="1">
        <f t="shared" si="256"/>
        <v>-4.0999999999999996</v>
      </c>
      <c r="BQ334" s="1">
        <f t="shared" si="257"/>
        <v>-7.2</v>
      </c>
      <c r="BR334" s="1">
        <f t="shared" si="258"/>
        <v>91.5</v>
      </c>
      <c r="BS334" s="1">
        <f t="shared" si="259"/>
        <v>89.4</v>
      </c>
      <c r="BT334" s="1">
        <f t="shared" si="260"/>
        <v>1.2</v>
      </c>
      <c r="BU334" s="1">
        <f t="shared" si="261"/>
        <v>3.5</v>
      </c>
      <c r="BV334" s="33">
        <f t="shared" si="247"/>
        <v>0</v>
      </c>
      <c r="BW334" s="34">
        <f t="shared" si="234"/>
        <v>0.52099999999999991</v>
      </c>
      <c r="BX334" s="20">
        <f t="shared" si="262"/>
        <v>-0.5</v>
      </c>
      <c r="BY334" s="1">
        <f t="shared" si="263"/>
        <v>-6.2</v>
      </c>
      <c r="BZ334" s="1">
        <f t="shared" si="264"/>
        <v>-4.3</v>
      </c>
      <c r="CA334" s="1">
        <f t="shared" si="265"/>
        <v>-10.7</v>
      </c>
      <c r="CB334" s="1">
        <f t="shared" si="266"/>
        <v>0.6</v>
      </c>
      <c r="CC334" s="1">
        <f t="shared" si="267"/>
        <v>2</v>
      </c>
      <c r="CD334" s="1">
        <f t="shared" si="268"/>
        <v>3</v>
      </c>
      <c r="CE334" s="1" t="str">
        <f t="shared" si="269"/>
        <v>NAN</v>
      </c>
      <c r="CF334" s="1">
        <f t="shared" si="270"/>
        <v>0.40300000000000002</v>
      </c>
      <c r="CG334" s="1">
        <f t="shared" si="271"/>
        <v>4.8000000000000001E-2</v>
      </c>
      <c r="CI334" s="1">
        <f t="shared" si="237"/>
        <v>2880</v>
      </c>
      <c r="CJ334" s="1">
        <f t="shared" si="238"/>
        <v>2.3E-2</v>
      </c>
      <c r="CK334" s="1">
        <f t="shared" si="239"/>
        <v>1.2999999999999999E-2</v>
      </c>
      <c r="CL334" s="1">
        <f t="shared" si="240"/>
        <v>3.1E-2</v>
      </c>
      <c r="CM334" s="1">
        <f t="shared" si="241"/>
        <v>0.107</v>
      </c>
      <c r="CN334" s="1">
        <f t="shared" si="242"/>
        <v>0.27300000000000002</v>
      </c>
      <c r="CO334" s="1">
        <f t="shared" si="243"/>
        <v>0.28499999999999998</v>
      </c>
      <c r="CP334" s="1">
        <f t="shared" si="244"/>
        <v>0.17199999999999999</v>
      </c>
      <c r="CQ334" s="1">
        <f t="shared" si="245"/>
        <v>9.6000000000000002E-2</v>
      </c>
      <c r="CS334" s="1">
        <f t="shared" si="274"/>
        <v>-0.20000000000000018</v>
      </c>
      <c r="CT334" s="1">
        <f t="shared" si="275"/>
        <v>-3.4999999999999991</v>
      </c>
    </row>
    <row r="335" spans="1:98" x14ac:dyDescent="0.2">
      <c r="A335" s="8">
        <f t="shared" si="272"/>
        <v>44160</v>
      </c>
      <c r="B335" s="1">
        <v>330</v>
      </c>
      <c r="C335" s="1">
        <v>11</v>
      </c>
      <c r="D335" s="2">
        <v>13.03</v>
      </c>
      <c r="E335" s="2">
        <v>-2.4630000000000001</v>
      </c>
      <c r="F335" s="2">
        <v>-8.02</v>
      </c>
      <c r="G335" s="2">
        <v>-6.4160000000000004</v>
      </c>
      <c r="H335" s="2">
        <v>90.4</v>
      </c>
      <c r="I335" s="2">
        <v>0</v>
      </c>
      <c r="J335" s="2">
        <v>-1.6870000000000001</v>
      </c>
      <c r="K335" s="2">
        <v>0.60099999999999998</v>
      </c>
      <c r="L335" s="2">
        <v>1.9490000000000001</v>
      </c>
      <c r="M335" s="2">
        <v>3.0110000000000001</v>
      </c>
      <c r="N335" s="2">
        <v>-2.9809999999999999</v>
      </c>
      <c r="O335" s="2">
        <v>91.3</v>
      </c>
      <c r="P335" s="2">
        <v>7.9000000000000001E-2</v>
      </c>
      <c r="Q335" s="2">
        <v>-1.484</v>
      </c>
      <c r="R335" s="2">
        <v>0.68300000000000005</v>
      </c>
      <c r="S335" s="2">
        <v>2.032</v>
      </c>
      <c r="T335" s="2">
        <v>3.08</v>
      </c>
      <c r="U335" s="2">
        <v>-7.6920000000000002</v>
      </c>
      <c r="V335" s="2">
        <v>86.5</v>
      </c>
      <c r="W335" s="2">
        <v>-8.3000000000000004E-2</v>
      </c>
      <c r="X335" s="2">
        <v>-1.8089999999999999</v>
      </c>
      <c r="Y335" s="2">
        <v>0.51300000000000001</v>
      </c>
      <c r="Z335" s="2">
        <v>1.8620000000000001</v>
      </c>
      <c r="AA335" s="2">
        <v>2.9140000000000001</v>
      </c>
      <c r="AB335" s="2">
        <v>2.02</v>
      </c>
      <c r="AC335" s="2">
        <v>0</v>
      </c>
      <c r="AD335" s="2">
        <v>1.6639999999999999</v>
      </c>
      <c r="AE335" s="2">
        <v>2.4180000000000001</v>
      </c>
      <c r="AF335" s="2">
        <v>1.0549999999999999</v>
      </c>
      <c r="AG335" s="2">
        <v>3.5670000000000002</v>
      </c>
      <c r="AH335" s="2">
        <v>-7.1779999999999999</v>
      </c>
      <c r="AI335" s="2">
        <v>-2.206</v>
      </c>
      <c r="AJ335" s="2">
        <v>-10.97</v>
      </c>
      <c r="AK335" s="2">
        <v>0.14099999999999999</v>
      </c>
      <c r="AL335" s="2">
        <v>-8.31</v>
      </c>
      <c r="AM335" s="2">
        <v>2.0459999999999998</v>
      </c>
      <c r="AN335" s="2" t="s">
        <v>122</v>
      </c>
      <c r="AO335" s="2">
        <v>653</v>
      </c>
      <c r="AP335" s="2">
        <v>133</v>
      </c>
      <c r="AQ335" s="2">
        <v>30</v>
      </c>
      <c r="AR335" s="2">
        <v>12</v>
      </c>
      <c r="AS335" s="2">
        <v>20</v>
      </c>
      <c r="AT335" s="2">
        <v>80</v>
      </c>
      <c r="AU335" s="2">
        <v>622</v>
      </c>
      <c r="AV335" s="2">
        <v>1330</v>
      </c>
      <c r="AW335" s="2"/>
      <c r="AX335" s="1">
        <f t="shared" si="246"/>
        <v>0.5299999999999998</v>
      </c>
      <c r="AY335" s="22">
        <f t="shared" si="236"/>
        <v>-0.5</v>
      </c>
      <c r="AZ335" s="5">
        <v>5.9</v>
      </c>
      <c r="BA335" s="1">
        <v>2.34</v>
      </c>
      <c r="BB335" s="1">
        <v>2.2200000000000002</v>
      </c>
      <c r="BC335" s="6">
        <f t="shared" si="273"/>
        <v>0.9487179487179489</v>
      </c>
      <c r="BE335" s="28">
        <f t="shared" si="232"/>
        <v>1.2</v>
      </c>
      <c r="BF335" s="6"/>
      <c r="BG335" s="1">
        <f t="shared" si="248"/>
        <v>91.3</v>
      </c>
      <c r="BH335" s="1">
        <f t="shared" si="249"/>
        <v>90.4</v>
      </c>
      <c r="BI335" s="1">
        <f t="shared" si="250"/>
        <v>86.5</v>
      </c>
      <c r="BJ335" s="7">
        <f t="shared" si="251"/>
        <v>0.42399999999999999</v>
      </c>
      <c r="BK335" s="7">
        <f t="shared" si="252"/>
        <v>6.6000000000000003E-2</v>
      </c>
      <c r="BM335" s="5">
        <f t="shared" si="253"/>
        <v>2.34</v>
      </c>
      <c r="BN335" s="5">
        <f t="shared" si="254"/>
        <v>2.2200000000000002</v>
      </c>
      <c r="BO335" s="1">
        <f t="shared" si="255"/>
        <v>-6.4</v>
      </c>
      <c r="BP335" s="1">
        <f t="shared" si="256"/>
        <v>-3</v>
      </c>
      <c r="BQ335" s="1">
        <f t="shared" si="257"/>
        <v>-7.7</v>
      </c>
      <c r="BR335" s="1">
        <f t="shared" si="258"/>
        <v>90.4</v>
      </c>
      <c r="BS335" s="1">
        <f t="shared" si="259"/>
        <v>86.5</v>
      </c>
      <c r="BT335" s="1">
        <f t="shared" si="260"/>
        <v>1.1000000000000001</v>
      </c>
      <c r="BU335" s="1">
        <f t="shared" si="261"/>
        <v>3.6</v>
      </c>
      <c r="BV335" s="33">
        <f t="shared" si="247"/>
        <v>1.2</v>
      </c>
      <c r="BW335" s="34">
        <f t="shared" si="234"/>
        <v>0.5299999999999998</v>
      </c>
      <c r="BX335" s="20">
        <f t="shared" si="262"/>
        <v>-0.5</v>
      </c>
      <c r="BY335" s="1">
        <f t="shared" si="263"/>
        <v>-7.2</v>
      </c>
      <c r="BZ335" s="1">
        <f t="shared" si="264"/>
        <v>-2.2000000000000002</v>
      </c>
      <c r="CA335" s="1">
        <f t="shared" si="265"/>
        <v>-11</v>
      </c>
      <c r="CB335" s="1">
        <f t="shared" si="266"/>
        <v>0.6</v>
      </c>
      <c r="CC335" s="1">
        <f t="shared" si="267"/>
        <v>1.9</v>
      </c>
      <c r="CD335" s="1">
        <f t="shared" si="268"/>
        <v>3</v>
      </c>
      <c r="CE335" s="1" t="str">
        <f t="shared" si="269"/>
        <v>NAN</v>
      </c>
      <c r="CF335" s="1">
        <f t="shared" si="270"/>
        <v>0.42399999999999999</v>
      </c>
      <c r="CG335" s="1">
        <f t="shared" si="271"/>
        <v>6.6000000000000003E-2</v>
      </c>
      <c r="CI335" s="1">
        <f t="shared" si="237"/>
        <v>2880</v>
      </c>
      <c r="CJ335" s="1">
        <f t="shared" si="238"/>
        <v>0.22700000000000001</v>
      </c>
      <c r="CK335" s="1">
        <f t="shared" si="239"/>
        <v>4.5999999999999999E-2</v>
      </c>
      <c r="CL335" s="1">
        <f t="shared" si="240"/>
        <v>0.01</v>
      </c>
      <c r="CM335" s="1">
        <f t="shared" si="241"/>
        <v>4.0000000000000001E-3</v>
      </c>
      <c r="CN335" s="1">
        <f t="shared" si="242"/>
        <v>7.0000000000000001E-3</v>
      </c>
      <c r="CO335" s="1">
        <f t="shared" si="243"/>
        <v>2.8000000000000001E-2</v>
      </c>
      <c r="CP335" s="1">
        <f t="shared" si="244"/>
        <v>0.216</v>
      </c>
      <c r="CQ335" s="1">
        <f t="shared" si="245"/>
        <v>0.46200000000000002</v>
      </c>
      <c r="CS335" s="1">
        <f t="shared" si="274"/>
        <v>0.79999999999999982</v>
      </c>
      <c r="CT335" s="1">
        <f t="shared" si="275"/>
        <v>-3.3</v>
      </c>
    </row>
    <row r="336" spans="1:98" x14ac:dyDescent="0.2">
      <c r="A336" s="8">
        <f t="shared" si="272"/>
        <v>44161</v>
      </c>
      <c r="B336" s="1">
        <v>331</v>
      </c>
      <c r="C336" s="1">
        <v>11</v>
      </c>
      <c r="D336" s="2">
        <v>13.03</v>
      </c>
      <c r="E336" s="2">
        <v>-0.69199999999999995</v>
      </c>
      <c r="F336" s="2">
        <v>-8.7799999999999994</v>
      </c>
      <c r="G336" s="2">
        <v>-4.7119999999999997</v>
      </c>
      <c r="H336" s="2">
        <v>84.1</v>
      </c>
      <c r="I336" s="2">
        <v>1.6E-2</v>
      </c>
      <c r="J336" s="2">
        <v>-1.8380000000000001</v>
      </c>
      <c r="K336" s="2">
        <v>0.60099999999999998</v>
      </c>
      <c r="L336" s="2">
        <v>1.9339999999999999</v>
      </c>
      <c r="M336" s="2">
        <v>2.99</v>
      </c>
      <c r="N336" s="2">
        <v>2.8000000000000001E-2</v>
      </c>
      <c r="O336" s="2">
        <v>90.8</v>
      </c>
      <c r="P336" s="2">
        <v>9.5000000000000001E-2</v>
      </c>
      <c r="Q336" s="2">
        <v>-1.6479999999999999</v>
      </c>
      <c r="R336" s="2">
        <v>0.69099999999999995</v>
      </c>
      <c r="S336" s="2">
        <v>2.016</v>
      </c>
      <c r="T336" s="2">
        <v>3.0720000000000001</v>
      </c>
      <c r="U336" s="2">
        <v>-7.5220000000000002</v>
      </c>
      <c r="V336" s="2">
        <v>63.73</v>
      </c>
      <c r="W336" s="2">
        <v>-0.08</v>
      </c>
      <c r="X336" s="2">
        <v>-2.032</v>
      </c>
      <c r="Y336" s="2">
        <v>0.51900000000000002</v>
      </c>
      <c r="Z336" s="2">
        <v>1.8480000000000001</v>
      </c>
      <c r="AA336" s="2">
        <v>2.923</v>
      </c>
      <c r="AB336" s="2">
        <v>2.0489999999999999</v>
      </c>
      <c r="AC336" s="2">
        <v>0</v>
      </c>
      <c r="AD336" s="2">
        <v>3.0219999999999998</v>
      </c>
      <c r="AE336" s="2">
        <v>2.903</v>
      </c>
      <c r="AF336" s="2">
        <v>1.1140000000000001</v>
      </c>
      <c r="AG336" s="2">
        <v>4.202</v>
      </c>
      <c r="AH336" s="2">
        <v>-6.867</v>
      </c>
      <c r="AI336" s="2">
        <v>-1.9350000000000001</v>
      </c>
      <c r="AJ336" s="2">
        <v>-12.6</v>
      </c>
      <c r="AK336" s="2">
        <v>1.018</v>
      </c>
      <c r="AL336" s="2">
        <v>-7.9809999999999999</v>
      </c>
      <c r="AM336" s="2">
        <v>2.0630000000000002</v>
      </c>
      <c r="AN336" s="2" t="s">
        <v>122</v>
      </c>
      <c r="AO336" s="2">
        <v>366</v>
      </c>
      <c r="AP336" s="2">
        <v>25</v>
      </c>
      <c r="AQ336" s="2">
        <v>7</v>
      </c>
      <c r="AR336" s="2">
        <v>3</v>
      </c>
      <c r="AS336" s="2">
        <v>42</v>
      </c>
      <c r="AT336" s="2">
        <v>257</v>
      </c>
      <c r="AU336" s="2">
        <v>1043</v>
      </c>
      <c r="AV336" s="2">
        <v>1136</v>
      </c>
      <c r="AW336" s="2"/>
      <c r="AX336" s="1">
        <f t="shared" si="246"/>
        <v>0.50099999999999989</v>
      </c>
      <c r="AY336" s="22">
        <f t="shared" si="236"/>
        <v>-0.6</v>
      </c>
      <c r="AZ336" s="5">
        <v>5.82</v>
      </c>
      <c r="BA336" s="1">
        <v>3.13</v>
      </c>
      <c r="BB336" s="1">
        <v>2.67</v>
      </c>
      <c r="BC336" s="6">
        <f t="shared" si="273"/>
        <v>0.85303514376996803</v>
      </c>
      <c r="BE336" s="28">
        <f t="shared" si="232"/>
        <v>0</v>
      </c>
      <c r="BF336" s="6"/>
      <c r="BG336" s="1">
        <f t="shared" si="248"/>
        <v>90.8</v>
      </c>
      <c r="BH336" s="1">
        <f t="shared" si="249"/>
        <v>84.1</v>
      </c>
      <c r="BI336" s="1">
        <f t="shared" si="250"/>
        <v>63.7</v>
      </c>
      <c r="BJ336" s="7">
        <f t="shared" si="251"/>
        <v>0.39</v>
      </c>
      <c r="BK336" s="7">
        <f t="shared" si="252"/>
        <v>0.222</v>
      </c>
      <c r="BM336" s="5">
        <f t="shared" si="253"/>
        <v>3.13</v>
      </c>
      <c r="BN336" s="5">
        <f t="shared" si="254"/>
        <v>2.67</v>
      </c>
      <c r="BO336" s="1">
        <f t="shared" si="255"/>
        <v>-4.7</v>
      </c>
      <c r="BP336" s="1">
        <f t="shared" si="256"/>
        <v>0</v>
      </c>
      <c r="BQ336" s="1">
        <f t="shared" si="257"/>
        <v>-7.5</v>
      </c>
      <c r="BR336" s="1">
        <f t="shared" si="258"/>
        <v>84.1</v>
      </c>
      <c r="BS336" s="1">
        <f t="shared" si="259"/>
        <v>63.7</v>
      </c>
      <c r="BT336" s="1">
        <f t="shared" si="260"/>
        <v>1.1000000000000001</v>
      </c>
      <c r="BU336" s="1">
        <f t="shared" si="261"/>
        <v>4.2</v>
      </c>
      <c r="BV336" s="33">
        <f t="shared" si="247"/>
        <v>0</v>
      </c>
      <c r="BW336" s="34">
        <f t="shared" si="234"/>
        <v>0.50099999999999989</v>
      </c>
      <c r="BX336" s="20">
        <f t="shared" si="262"/>
        <v>-0.6</v>
      </c>
      <c r="BY336" s="1">
        <f t="shared" si="263"/>
        <v>-6.9</v>
      </c>
      <c r="BZ336" s="1">
        <f t="shared" si="264"/>
        <v>-1.9</v>
      </c>
      <c r="CA336" s="1">
        <f t="shared" si="265"/>
        <v>-12.6</v>
      </c>
      <c r="CB336" s="1">
        <f t="shared" si="266"/>
        <v>0.6</v>
      </c>
      <c r="CC336" s="1">
        <f t="shared" si="267"/>
        <v>1.9</v>
      </c>
      <c r="CD336" s="1">
        <f t="shared" si="268"/>
        <v>3</v>
      </c>
      <c r="CE336" s="1" t="str">
        <f t="shared" si="269"/>
        <v>NAN</v>
      </c>
      <c r="CF336" s="1">
        <f t="shared" si="270"/>
        <v>0.39</v>
      </c>
      <c r="CG336" s="1">
        <f t="shared" si="271"/>
        <v>0.222</v>
      </c>
      <c r="CI336" s="1">
        <f t="shared" si="237"/>
        <v>2879</v>
      </c>
      <c r="CJ336" s="1">
        <f t="shared" si="238"/>
        <v>0.127</v>
      </c>
      <c r="CK336" s="1">
        <f t="shared" si="239"/>
        <v>8.9999999999999993E-3</v>
      </c>
      <c r="CL336" s="1">
        <f t="shared" si="240"/>
        <v>2E-3</v>
      </c>
      <c r="CM336" s="1">
        <f t="shared" si="241"/>
        <v>1E-3</v>
      </c>
      <c r="CN336" s="1">
        <f t="shared" si="242"/>
        <v>1.4999999999999999E-2</v>
      </c>
      <c r="CO336" s="1">
        <f t="shared" si="243"/>
        <v>8.8999999999999996E-2</v>
      </c>
      <c r="CP336" s="1">
        <f t="shared" si="244"/>
        <v>0.36199999999999999</v>
      </c>
      <c r="CQ336" s="1">
        <f t="shared" si="245"/>
        <v>0.39500000000000002</v>
      </c>
      <c r="CS336" s="1">
        <f t="shared" si="274"/>
        <v>-1.9</v>
      </c>
      <c r="CT336" s="1">
        <f t="shared" si="275"/>
        <v>-5.0999999999999996</v>
      </c>
    </row>
    <row r="337" spans="1:98" x14ac:dyDescent="0.2">
      <c r="A337" s="8">
        <f t="shared" si="272"/>
        <v>44162</v>
      </c>
      <c r="B337" s="1">
        <v>332</v>
      </c>
      <c r="C337" s="1">
        <v>11</v>
      </c>
      <c r="D337" s="2">
        <v>13.02</v>
      </c>
      <c r="E337" s="2">
        <v>-1.159</v>
      </c>
      <c r="F337" s="2">
        <v>-6.5540000000000003</v>
      </c>
      <c r="G337" s="2">
        <v>-4.2510000000000003</v>
      </c>
      <c r="H337" s="2">
        <v>85.7</v>
      </c>
      <c r="I337" s="2">
        <v>3.5000000000000003E-2</v>
      </c>
      <c r="J337" s="2">
        <v>-1.4830000000000001</v>
      </c>
      <c r="K337" s="2">
        <v>0.60199999999999998</v>
      </c>
      <c r="L337" s="2">
        <v>1.925</v>
      </c>
      <c r="M337" s="2">
        <v>2.9729999999999999</v>
      </c>
      <c r="N337" s="2">
        <v>-0.751</v>
      </c>
      <c r="O337" s="2">
        <v>94.1</v>
      </c>
      <c r="P337" s="2">
        <v>0.114</v>
      </c>
      <c r="Q337" s="2">
        <v>-1.1659999999999999</v>
      </c>
      <c r="R337" s="2">
        <v>0.68400000000000005</v>
      </c>
      <c r="S337" s="2">
        <v>2.0150000000000001</v>
      </c>
      <c r="T337" s="2">
        <v>3.06</v>
      </c>
      <c r="U337" s="2">
        <v>-6.3719999999999999</v>
      </c>
      <c r="V337" s="2">
        <v>69.13</v>
      </c>
      <c r="W337" s="2">
        <v>-4.2000000000000003E-2</v>
      </c>
      <c r="X337" s="2">
        <v>-1.8029999999999999</v>
      </c>
      <c r="Y337" s="2">
        <v>0.51</v>
      </c>
      <c r="Z337" s="2">
        <v>1.835</v>
      </c>
      <c r="AA337" s="2">
        <v>2.88</v>
      </c>
      <c r="AB337" s="2">
        <v>2.0409999999999999</v>
      </c>
      <c r="AC337" s="2">
        <v>0</v>
      </c>
      <c r="AD337" s="2">
        <v>4.6440000000000001</v>
      </c>
      <c r="AE337" s="2">
        <v>3.17</v>
      </c>
      <c r="AF337" s="2">
        <v>1.3560000000000001</v>
      </c>
      <c r="AG337" s="2">
        <v>3.956</v>
      </c>
      <c r="AH337" s="2">
        <v>-5.2919999999999998</v>
      </c>
      <c r="AI337" s="2">
        <v>-2.4569999999999999</v>
      </c>
      <c r="AJ337" s="2">
        <v>-8.44</v>
      </c>
      <c r="AK337" s="2">
        <v>1.129</v>
      </c>
      <c r="AL337" s="2">
        <v>-6.62</v>
      </c>
      <c r="AM337" s="2">
        <v>2.0609999999999999</v>
      </c>
      <c r="AN337" s="2" t="s">
        <v>122</v>
      </c>
      <c r="AO337" s="2">
        <v>18</v>
      </c>
      <c r="AP337" s="2">
        <v>10</v>
      </c>
      <c r="AQ337" s="2">
        <v>51</v>
      </c>
      <c r="AR337" s="2">
        <v>282</v>
      </c>
      <c r="AS337" s="2">
        <v>840</v>
      </c>
      <c r="AT337" s="2">
        <v>1119</v>
      </c>
      <c r="AU337" s="2">
        <v>498</v>
      </c>
      <c r="AV337" s="2">
        <v>62</v>
      </c>
      <c r="AW337" s="2"/>
      <c r="AX337" s="1">
        <f t="shared" si="246"/>
        <v>0.5089999999999999</v>
      </c>
      <c r="AY337" s="22">
        <f t="shared" si="236"/>
        <v>-0.4</v>
      </c>
      <c r="AZ337" s="5">
        <v>5.74</v>
      </c>
      <c r="BA337" s="1">
        <v>4.6399999999999997</v>
      </c>
      <c r="BB337" s="1">
        <v>2.92</v>
      </c>
      <c r="BC337" s="6">
        <f t="shared" si="273"/>
        <v>0.62931034482758619</v>
      </c>
      <c r="BE337" s="28">
        <f t="shared" si="232"/>
        <v>1</v>
      </c>
      <c r="BF337" s="6"/>
      <c r="BG337" s="1">
        <f t="shared" si="248"/>
        <v>94.1</v>
      </c>
      <c r="BH337" s="1">
        <f t="shared" si="249"/>
        <v>85.7</v>
      </c>
      <c r="BI337" s="1">
        <f t="shared" si="250"/>
        <v>69.099999999999994</v>
      </c>
      <c r="BJ337" s="7">
        <f t="shared" si="251"/>
        <v>0.39900000000000002</v>
      </c>
      <c r="BK337" s="7">
        <f t="shared" si="252"/>
        <v>0.17799999999999999</v>
      </c>
      <c r="BM337" s="5">
        <f t="shared" si="253"/>
        <v>4.6399999999999997</v>
      </c>
      <c r="BN337" s="5">
        <f t="shared" si="254"/>
        <v>2.92</v>
      </c>
      <c r="BO337" s="1">
        <f t="shared" si="255"/>
        <v>-4.3</v>
      </c>
      <c r="BP337" s="1">
        <f t="shared" si="256"/>
        <v>-0.8</v>
      </c>
      <c r="BQ337" s="1">
        <f t="shared" si="257"/>
        <v>-6.4</v>
      </c>
      <c r="BR337" s="1">
        <f t="shared" si="258"/>
        <v>85.7</v>
      </c>
      <c r="BS337" s="1">
        <f t="shared" si="259"/>
        <v>69.099999999999994</v>
      </c>
      <c r="BT337" s="1">
        <f t="shared" si="260"/>
        <v>1.4</v>
      </c>
      <c r="BU337" s="1">
        <f t="shared" si="261"/>
        <v>4</v>
      </c>
      <c r="BV337" s="33">
        <f t="shared" si="247"/>
        <v>1</v>
      </c>
      <c r="BW337" s="34">
        <f t="shared" si="234"/>
        <v>0.5089999999999999</v>
      </c>
      <c r="BX337" s="20">
        <f t="shared" si="262"/>
        <v>-0.4</v>
      </c>
      <c r="BY337" s="1">
        <f t="shared" si="263"/>
        <v>-5.3</v>
      </c>
      <c r="BZ337" s="1">
        <f t="shared" si="264"/>
        <v>-2.5</v>
      </c>
      <c r="CA337" s="1">
        <f t="shared" si="265"/>
        <v>-8.4</v>
      </c>
      <c r="CB337" s="1">
        <f t="shared" si="266"/>
        <v>0.6</v>
      </c>
      <c r="CC337" s="1">
        <f t="shared" si="267"/>
        <v>1.9</v>
      </c>
      <c r="CD337" s="1">
        <f t="shared" si="268"/>
        <v>3</v>
      </c>
      <c r="CE337" s="1" t="str">
        <f t="shared" si="269"/>
        <v>NAN</v>
      </c>
      <c r="CF337" s="1">
        <f t="shared" si="270"/>
        <v>0.39900000000000002</v>
      </c>
      <c r="CG337" s="1">
        <f t="shared" si="271"/>
        <v>0.17799999999999999</v>
      </c>
      <c r="CI337" s="1">
        <f t="shared" si="237"/>
        <v>2880</v>
      </c>
      <c r="CJ337" s="1">
        <f t="shared" si="238"/>
        <v>6.0000000000000001E-3</v>
      </c>
      <c r="CK337" s="1">
        <f t="shared" si="239"/>
        <v>3.0000000000000001E-3</v>
      </c>
      <c r="CL337" s="1">
        <f t="shared" si="240"/>
        <v>1.7999999999999999E-2</v>
      </c>
      <c r="CM337" s="1">
        <f t="shared" si="241"/>
        <v>9.8000000000000004E-2</v>
      </c>
      <c r="CN337" s="1">
        <f t="shared" si="242"/>
        <v>0.29199999999999998</v>
      </c>
      <c r="CO337" s="1">
        <f t="shared" si="243"/>
        <v>0.38900000000000001</v>
      </c>
      <c r="CP337" s="1">
        <f t="shared" si="244"/>
        <v>0.17299999999999999</v>
      </c>
      <c r="CQ337" s="1">
        <f t="shared" si="245"/>
        <v>2.1999999999999999E-2</v>
      </c>
      <c r="CS337" s="1">
        <f t="shared" si="274"/>
        <v>-1.7</v>
      </c>
      <c r="CT337" s="1">
        <f t="shared" si="275"/>
        <v>-2</v>
      </c>
    </row>
    <row r="338" spans="1:98" x14ac:dyDescent="0.2">
      <c r="A338" s="8">
        <f t="shared" si="272"/>
        <v>44163</v>
      </c>
      <c r="B338" s="1">
        <v>333</v>
      </c>
      <c r="C338" s="1">
        <v>11</v>
      </c>
      <c r="D338" s="2">
        <v>13.01</v>
      </c>
      <c r="E338" s="2">
        <v>-2.4</v>
      </c>
      <c r="F338" s="2">
        <v>-9.25</v>
      </c>
      <c r="G338" s="2">
        <v>-4.8310000000000004</v>
      </c>
      <c r="H338" s="2">
        <v>87.8</v>
      </c>
      <c r="I338" s="2">
        <v>4.2000000000000003E-2</v>
      </c>
      <c r="J338" s="2">
        <v>-1.504</v>
      </c>
      <c r="K338" s="2">
        <v>0.58499999999999996</v>
      </c>
      <c r="L338" s="2">
        <v>1.8959999999999999</v>
      </c>
      <c r="M338" s="2">
        <v>2.9380000000000002</v>
      </c>
      <c r="N338" s="2">
        <v>-0.71299999999999997</v>
      </c>
      <c r="O338" s="2">
        <v>92.9</v>
      </c>
      <c r="P338" s="2">
        <v>0.11799999999999999</v>
      </c>
      <c r="Q338" s="2">
        <v>-1.236</v>
      </c>
      <c r="R338" s="2">
        <v>0.69699999999999995</v>
      </c>
      <c r="S338" s="2">
        <v>1.99</v>
      </c>
      <c r="T338" s="2">
        <v>3.0209999999999999</v>
      </c>
      <c r="U338" s="2">
        <v>-7.2839999999999998</v>
      </c>
      <c r="V338" s="2">
        <v>64.790000000000006</v>
      </c>
      <c r="W338" s="2">
        <v>-7.2999999999999995E-2</v>
      </c>
      <c r="X338" s="2">
        <v>-2.0369999999999999</v>
      </c>
      <c r="Y338" s="2">
        <v>0.443</v>
      </c>
      <c r="Z338" s="2">
        <v>1.766</v>
      </c>
      <c r="AA338" s="2">
        <v>2.8490000000000002</v>
      </c>
      <c r="AB338" s="2">
        <v>2.0499999999999998</v>
      </c>
      <c r="AC338" s="2">
        <v>0</v>
      </c>
      <c r="AD338" s="2">
        <v>2.56</v>
      </c>
      <c r="AE338" s="2">
        <v>1.976</v>
      </c>
      <c r="AF338" s="2">
        <v>1.1419999999999999</v>
      </c>
      <c r="AG338" s="2">
        <v>4.4340000000000002</v>
      </c>
      <c r="AH338" s="2">
        <v>-7.1829999999999998</v>
      </c>
      <c r="AI338" s="2">
        <v>-0.36599999999999999</v>
      </c>
      <c r="AJ338" s="2">
        <v>-12.8</v>
      </c>
      <c r="AK338" s="2">
        <v>2.5430000000000001</v>
      </c>
      <c r="AL338" s="2">
        <v>-7.4139999999999997</v>
      </c>
      <c r="AM338" s="2">
        <v>2.073</v>
      </c>
      <c r="AN338" s="2" t="s">
        <v>122</v>
      </c>
      <c r="AO338" s="2">
        <v>492</v>
      </c>
      <c r="AP338" s="2">
        <v>206</v>
      </c>
      <c r="AQ338" s="2">
        <v>187</v>
      </c>
      <c r="AR338" s="2">
        <v>267</v>
      </c>
      <c r="AS338" s="2">
        <v>376</v>
      </c>
      <c r="AT338" s="2">
        <v>310</v>
      </c>
      <c r="AU338" s="2">
        <v>389</v>
      </c>
      <c r="AV338" s="2">
        <v>652</v>
      </c>
      <c r="AW338" s="2"/>
      <c r="AX338" s="1">
        <f t="shared" si="246"/>
        <v>0.5</v>
      </c>
      <c r="AY338" s="22">
        <f t="shared" si="236"/>
        <v>-0.5</v>
      </c>
      <c r="AZ338" s="5">
        <v>5.67</v>
      </c>
      <c r="BA338" s="1">
        <v>2.56</v>
      </c>
      <c r="BB338" s="1">
        <v>1.82</v>
      </c>
      <c r="BC338" s="6">
        <f t="shared" si="273"/>
        <v>0.7109375</v>
      </c>
      <c r="BE338" s="28">
        <f t="shared" si="232"/>
        <v>0</v>
      </c>
      <c r="BF338" s="6"/>
      <c r="BG338" s="1">
        <f t="shared" si="248"/>
        <v>92.9</v>
      </c>
      <c r="BH338" s="1">
        <f t="shared" si="249"/>
        <v>87.8</v>
      </c>
      <c r="BI338" s="1">
        <f t="shared" si="250"/>
        <v>64.8</v>
      </c>
      <c r="BJ338" s="7">
        <f t="shared" si="251"/>
        <v>0.376</v>
      </c>
      <c r="BK338" s="7">
        <f t="shared" si="252"/>
        <v>0.20399999999999999</v>
      </c>
      <c r="BM338" s="5">
        <f t="shared" si="253"/>
        <v>2.56</v>
      </c>
      <c r="BN338" s="5">
        <f t="shared" si="254"/>
        <v>1.82</v>
      </c>
      <c r="BO338" s="1">
        <f t="shared" si="255"/>
        <v>-4.8</v>
      </c>
      <c r="BP338" s="1">
        <f t="shared" si="256"/>
        <v>-0.7</v>
      </c>
      <c r="BQ338" s="1">
        <f t="shared" si="257"/>
        <v>-7.3</v>
      </c>
      <c r="BR338" s="1">
        <f t="shared" si="258"/>
        <v>87.8</v>
      </c>
      <c r="BS338" s="1">
        <f t="shared" si="259"/>
        <v>64.8</v>
      </c>
      <c r="BT338" s="1">
        <f t="shared" si="260"/>
        <v>1.1000000000000001</v>
      </c>
      <c r="BU338" s="1">
        <f t="shared" si="261"/>
        <v>4.4000000000000004</v>
      </c>
      <c r="BV338" s="33">
        <f t="shared" si="247"/>
        <v>0</v>
      </c>
      <c r="BW338" s="34">
        <f t="shared" si="234"/>
        <v>0.5</v>
      </c>
      <c r="BX338" s="20">
        <f t="shared" si="262"/>
        <v>-0.5</v>
      </c>
      <c r="BY338" s="1">
        <f t="shared" si="263"/>
        <v>-7.2</v>
      </c>
      <c r="BZ338" s="1">
        <f t="shared" si="264"/>
        <v>-0.4</v>
      </c>
      <c r="CA338" s="1">
        <f t="shared" si="265"/>
        <v>-12.8</v>
      </c>
      <c r="CB338" s="1">
        <f t="shared" si="266"/>
        <v>0.6</v>
      </c>
      <c r="CC338" s="1">
        <f t="shared" si="267"/>
        <v>1.9</v>
      </c>
      <c r="CD338" s="1">
        <f t="shared" si="268"/>
        <v>2.9</v>
      </c>
      <c r="CE338" s="1" t="str">
        <f t="shared" si="269"/>
        <v>NAN</v>
      </c>
      <c r="CF338" s="1">
        <f t="shared" si="270"/>
        <v>0.376</v>
      </c>
      <c r="CG338" s="1">
        <f t="shared" si="271"/>
        <v>0.20399999999999999</v>
      </c>
      <c r="CI338" s="1">
        <f t="shared" si="237"/>
        <v>2879</v>
      </c>
      <c r="CJ338" s="1">
        <f t="shared" si="238"/>
        <v>0.17100000000000001</v>
      </c>
      <c r="CK338" s="1">
        <f t="shared" si="239"/>
        <v>7.1999999999999995E-2</v>
      </c>
      <c r="CL338" s="1">
        <f t="shared" si="240"/>
        <v>6.5000000000000002E-2</v>
      </c>
      <c r="CM338" s="1">
        <f t="shared" si="241"/>
        <v>9.2999999999999999E-2</v>
      </c>
      <c r="CN338" s="1">
        <f t="shared" si="242"/>
        <v>0.13100000000000001</v>
      </c>
      <c r="CO338" s="1">
        <f t="shared" si="243"/>
        <v>0.108</v>
      </c>
      <c r="CP338" s="1">
        <f t="shared" si="244"/>
        <v>0.13500000000000001</v>
      </c>
      <c r="CQ338" s="1">
        <f t="shared" si="245"/>
        <v>0.22600000000000001</v>
      </c>
      <c r="CS338" s="1">
        <f t="shared" si="274"/>
        <v>0.29999999999999993</v>
      </c>
      <c r="CT338" s="1">
        <f t="shared" si="275"/>
        <v>-5.5000000000000009</v>
      </c>
    </row>
    <row r="339" spans="1:98" x14ac:dyDescent="0.2">
      <c r="A339" s="8">
        <f t="shared" si="272"/>
        <v>44164</v>
      </c>
      <c r="B339" s="1">
        <v>334</v>
      </c>
      <c r="C339" s="1">
        <v>11</v>
      </c>
      <c r="D339" s="2">
        <v>13.01</v>
      </c>
      <c r="E339" s="2">
        <v>-3.5129999999999999</v>
      </c>
      <c r="F339" s="2">
        <v>-8.1300000000000008</v>
      </c>
      <c r="G339" s="2">
        <v>-5.8259999999999996</v>
      </c>
      <c r="H339" s="2">
        <v>89.3</v>
      </c>
      <c r="I339" s="2">
        <v>4.8000000000000001E-2</v>
      </c>
      <c r="J339" s="2">
        <v>-2.1819999999999999</v>
      </c>
      <c r="K339" s="2">
        <v>0.57899999999999996</v>
      </c>
      <c r="L339" s="2">
        <v>1.88</v>
      </c>
      <c r="M339" s="2">
        <v>2.9079999999999999</v>
      </c>
      <c r="N339" s="2">
        <v>-4.1360000000000001</v>
      </c>
      <c r="O339" s="2">
        <v>93.5</v>
      </c>
      <c r="P339" s="2">
        <v>0.11899999999999999</v>
      </c>
      <c r="Q339" s="2">
        <v>-1.7290000000000001</v>
      </c>
      <c r="R339" s="2">
        <v>0.64900000000000002</v>
      </c>
      <c r="S339" s="2">
        <v>1.9630000000000001</v>
      </c>
      <c r="T339" s="2">
        <v>2.9849999999999999</v>
      </c>
      <c r="U339" s="2">
        <v>-7.2839999999999998</v>
      </c>
      <c r="V339" s="2">
        <v>77.52</v>
      </c>
      <c r="W339" s="2">
        <v>-2.7E-2</v>
      </c>
      <c r="X339" s="2">
        <v>-2.5720000000000001</v>
      </c>
      <c r="Y339" s="2">
        <v>0.5</v>
      </c>
      <c r="Z339" s="2">
        <v>1.8069999999999999</v>
      </c>
      <c r="AA339" s="2">
        <v>2.8340000000000001</v>
      </c>
      <c r="AB339" s="2">
        <v>2.0590000000000002</v>
      </c>
      <c r="AC339" s="2">
        <v>0</v>
      </c>
      <c r="AD339" s="2">
        <v>4.6269999999999998</v>
      </c>
      <c r="AE339" s="2">
        <v>3.351</v>
      </c>
      <c r="AF339" s="2">
        <v>1.4810000000000001</v>
      </c>
      <c r="AG339" s="2">
        <v>3.3519999999999999</v>
      </c>
      <c r="AH339" s="2">
        <v>-6.87</v>
      </c>
      <c r="AI339" s="2">
        <v>-2.7810000000000001</v>
      </c>
      <c r="AJ339" s="2">
        <v>-11.06</v>
      </c>
      <c r="AK339" s="2">
        <v>-2.0310000000000001</v>
      </c>
      <c r="AL339" s="2">
        <v>-7.4370000000000003</v>
      </c>
      <c r="AM339" s="2">
        <v>2.08</v>
      </c>
      <c r="AN339" s="2" t="s">
        <v>122</v>
      </c>
      <c r="AO339" s="2">
        <v>40</v>
      </c>
      <c r="AP339" s="2">
        <v>59</v>
      </c>
      <c r="AQ339" s="2">
        <v>240</v>
      </c>
      <c r="AR339" s="2">
        <v>627</v>
      </c>
      <c r="AS339" s="2">
        <v>992</v>
      </c>
      <c r="AT339" s="2">
        <v>696</v>
      </c>
      <c r="AU339" s="2">
        <v>182</v>
      </c>
      <c r="AV339" s="2">
        <v>44</v>
      </c>
      <c r="AW339" s="2"/>
      <c r="AX339" s="1">
        <f t="shared" si="246"/>
        <v>0.49099999999999966</v>
      </c>
      <c r="AY339" s="22">
        <f t="shared" si="236"/>
        <v>-0.8</v>
      </c>
      <c r="AZ339" s="5">
        <v>5.6</v>
      </c>
      <c r="BA339" s="1">
        <v>4.63</v>
      </c>
      <c r="BB339" s="1">
        <v>3.08</v>
      </c>
      <c r="BC339" s="6">
        <f t="shared" si="273"/>
        <v>0.66522678185745143</v>
      </c>
      <c r="BE339" s="28">
        <f t="shared" si="232"/>
        <v>0</v>
      </c>
      <c r="BF339" s="6"/>
      <c r="BG339" s="1">
        <f t="shared" si="248"/>
        <v>93.5</v>
      </c>
      <c r="BH339" s="1">
        <f t="shared" si="249"/>
        <v>89.3</v>
      </c>
      <c r="BI339" s="1">
        <f t="shared" si="250"/>
        <v>77.5</v>
      </c>
      <c r="BJ339" s="7">
        <f t="shared" si="251"/>
        <v>0.34799999999999998</v>
      </c>
      <c r="BK339" s="7">
        <f t="shared" si="252"/>
        <v>0.10100000000000001</v>
      </c>
      <c r="BM339" s="5">
        <f t="shared" si="253"/>
        <v>4.63</v>
      </c>
      <c r="BN339" s="5">
        <f t="shared" si="254"/>
        <v>3.08</v>
      </c>
      <c r="BO339" s="1">
        <f t="shared" si="255"/>
        <v>-5.8</v>
      </c>
      <c r="BP339" s="1">
        <f t="shared" si="256"/>
        <v>-4.0999999999999996</v>
      </c>
      <c r="BQ339" s="1">
        <f t="shared" si="257"/>
        <v>-7.3</v>
      </c>
      <c r="BR339" s="1">
        <f t="shared" si="258"/>
        <v>89.3</v>
      </c>
      <c r="BS339" s="1">
        <f t="shared" si="259"/>
        <v>77.5</v>
      </c>
      <c r="BT339" s="1">
        <f t="shared" si="260"/>
        <v>1.5</v>
      </c>
      <c r="BU339" s="1">
        <f t="shared" si="261"/>
        <v>3.4</v>
      </c>
      <c r="BV339" s="33">
        <f t="shared" si="247"/>
        <v>0</v>
      </c>
      <c r="BW339" s="34">
        <f t="shared" si="234"/>
        <v>0.49099999999999966</v>
      </c>
      <c r="BX339" s="20">
        <f t="shared" si="262"/>
        <v>-0.8</v>
      </c>
      <c r="BY339" s="1">
        <f t="shared" si="263"/>
        <v>-6.9</v>
      </c>
      <c r="BZ339" s="1">
        <f t="shared" si="264"/>
        <v>-2.8</v>
      </c>
      <c r="CA339" s="1">
        <f t="shared" si="265"/>
        <v>-11.1</v>
      </c>
      <c r="CB339" s="1">
        <f t="shared" si="266"/>
        <v>0.6</v>
      </c>
      <c r="CC339" s="1">
        <f t="shared" si="267"/>
        <v>1.9</v>
      </c>
      <c r="CD339" s="1">
        <f t="shared" si="268"/>
        <v>2.9</v>
      </c>
      <c r="CE339" s="1" t="str">
        <f t="shared" si="269"/>
        <v>NAN</v>
      </c>
      <c r="CF339" s="1">
        <f t="shared" si="270"/>
        <v>0.34799999999999998</v>
      </c>
      <c r="CG339" s="1">
        <f t="shared" si="271"/>
        <v>0.10100000000000001</v>
      </c>
      <c r="CI339" s="1">
        <f t="shared" si="237"/>
        <v>2880</v>
      </c>
      <c r="CJ339" s="1">
        <f t="shared" si="238"/>
        <v>1.4E-2</v>
      </c>
      <c r="CK339" s="1">
        <f t="shared" si="239"/>
        <v>0.02</v>
      </c>
      <c r="CL339" s="1">
        <f t="shared" si="240"/>
        <v>8.3000000000000004E-2</v>
      </c>
      <c r="CM339" s="1">
        <f t="shared" si="241"/>
        <v>0.218</v>
      </c>
      <c r="CN339" s="1">
        <f t="shared" si="242"/>
        <v>0.34399999999999997</v>
      </c>
      <c r="CO339" s="1">
        <f t="shared" si="243"/>
        <v>0.24199999999999999</v>
      </c>
      <c r="CP339" s="1">
        <f t="shared" si="244"/>
        <v>6.3E-2</v>
      </c>
      <c r="CQ339" s="1">
        <f t="shared" si="245"/>
        <v>1.4999999999999999E-2</v>
      </c>
      <c r="CS339" s="1">
        <f t="shared" si="274"/>
        <v>1.2999999999999998</v>
      </c>
      <c r="CT339" s="1">
        <f t="shared" si="275"/>
        <v>-3.8</v>
      </c>
    </row>
    <row r="340" spans="1:98" x14ac:dyDescent="0.2">
      <c r="A340" s="8">
        <f t="shared" si="272"/>
        <v>44165</v>
      </c>
      <c r="B340" s="1">
        <v>335</v>
      </c>
      <c r="C340" s="1">
        <v>11</v>
      </c>
      <c r="D340" s="2">
        <v>12.87</v>
      </c>
      <c r="E340" s="2">
        <v>-3.665</v>
      </c>
      <c r="F340" s="2">
        <v>-9.48</v>
      </c>
      <c r="G340" s="2">
        <v>-5.4729999999999999</v>
      </c>
      <c r="H340" s="2">
        <v>91.5</v>
      </c>
      <c r="I340" s="2">
        <v>5.5E-2</v>
      </c>
      <c r="J340" s="2">
        <v>-1.653</v>
      </c>
      <c r="K340" s="2">
        <v>0.57799999999999996</v>
      </c>
      <c r="L340" s="2">
        <v>1.8680000000000001</v>
      </c>
      <c r="M340" s="2">
        <v>2.89</v>
      </c>
      <c r="N340" s="2">
        <v>-3.6659999999999999</v>
      </c>
      <c r="O340" s="2">
        <v>93</v>
      </c>
      <c r="P340" s="2">
        <v>0.127</v>
      </c>
      <c r="Q340" s="2">
        <v>-1.5269999999999999</v>
      </c>
      <c r="R340" s="2">
        <v>0.65400000000000003</v>
      </c>
      <c r="S340" s="2">
        <v>1.9450000000000001</v>
      </c>
      <c r="T340" s="2">
        <v>2.9580000000000002</v>
      </c>
      <c r="U340" s="2">
        <v>-8.64</v>
      </c>
      <c r="V340" s="2">
        <v>83.7</v>
      </c>
      <c r="W340" s="2">
        <v>-3.6999999999999998E-2</v>
      </c>
      <c r="X340" s="2">
        <v>-1.8220000000000001</v>
      </c>
      <c r="Y340" s="2">
        <v>0.47499999999999998</v>
      </c>
      <c r="Z340" s="2">
        <v>1.768</v>
      </c>
      <c r="AA340" s="2">
        <v>2.7989999999999999</v>
      </c>
      <c r="AB340" s="2">
        <v>2.0409999999999999</v>
      </c>
      <c r="AC340" s="2">
        <v>0</v>
      </c>
      <c r="AD340" s="2">
        <v>1.034</v>
      </c>
      <c r="AE340" s="2">
        <v>1.1319999999999999</v>
      </c>
      <c r="AF340" s="2">
        <v>1.528</v>
      </c>
      <c r="AG340" s="2">
        <v>5.1680000000000001</v>
      </c>
      <c r="AH340" s="2">
        <v>-6.0419999999999998</v>
      </c>
      <c r="AI340" s="2">
        <v>-3.6909999999999998</v>
      </c>
      <c r="AJ340" s="2">
        <v>-12.85</v>
      </c>
      <c r="AK340" s="2">
        <v>-3.4860000000000002</v>
      </c>
      <c r="AL340" s="2">
        <v>-8.8699999999999992</v>
      </c>
      <c r="AM340" s="2">
        <v>2.073</v>
      </c>
      <c r="AN340" s="2" t="s">
        <v>122</v>
      </c>
      <c r="AO340" s="2">
        <v>327</v>
      </c>
      <c r="AP340" s="2">
        <v>113</v>
      </c>
      <c r="AQ340" s="2">
        <v>76</v>
      </c>
      <c r="AR340" s="2">
        <v>158</v>
      </c>
      <c r="AS340" s="2">
        <v>401</v>
      </c>
      <c r="AT340" s="2">
        <v>624</v>
      </c>
      <c r="AU340" s="2">
        <v>619</v>
      </c>
      <c r="AV340" s="2">
        <v>561</v>
      </c>
      <c r="AW340" s="2"/>
      <c r="AX340" s="1">
        <f t="shared" si="246"/>
        <v>0.5089999999999999</v>
      </c>
      <c r="AY340" s="22">
        <f t="shared" si="236"/>
        <v>-0.5</v>
      </c>
      <c r="AZ340" s="5">
        <v>5.53</v>
      </c>
      <c r="BA340" s="1">
        <v>1.1299999999999999</v>
      </c>
      <c r="BB340" s="1">
        <v>1.04</v>
      </c>
      <c r="BC340" s="6">
        <f t="shared" si="273"/>
        <v>0.92035398230088505</v>
      </c>
      <c r="BE340" s="28">
        <f t="shared" si="232"/>
        <v>2.2999999999999998</v>
      </c>
      <c r="BF340" s="6"/>
      <c r="BG340" s="1">
        <f t="shared" si="248"/>
        <v>93</v>
      </c>
      <c r="BH340" s="1">
        <f t="shared" si="249"/>
        <v>91.5</v>
      </c>
      <c r="BI340" s="1">
        <f t="shared" si="250"/>
        <v>83.7</v>
      </c>
      <c r="BJ340" s="7">
        <f t="shared" si="251"/>
        <v>0.39</v>
      </c>
      <c r="BK340" s="7">
        <f t="shared" si="252"/>
        <v>7.5999999999999998E-2</v>
      </c>
      <c r="BM340" s="5">
        <f t="shared" si="253"/>
        <v>1.1299999999999999</v>
      </c>
      <c r="BN340" s="5">
        <f t="shared" si="254"/>
        <v>1.04</v>
      </c>
      <c r="BO340" s="1">
        <f t="shared" si="255"/>
        <v>-5.5</v>
      </c>
      <c r="BP340" s="1">
        <f t="shared" si="256"/>
        <v>-3.7</v>
      </c>
      <c r="BQ340" s="1">
        <f t="shared" si="257"/>
        <v>-8.6</v>
      </c>
      <c r="BR340" s="1">
        <f t="shared" si="258"/>
        <v>91.5</v>
      </c>
      <c r="BS340" s="1">
        <f t="shared" si="259"/>
        <v>83.7</v>
      </c>
      <c r="BT340" s="1">
        <f t="shared" si="260"/>
        <v>1.5</v>
      </c>
      <c r="BU340" s="1">
        <f t="shared" si="261"/>
        <v>5.2</v>
      </c>
      <c r="BV340" s="33">
        <f t="shared" si="247"/>
        <v>2.2999999999999998</v>
      </c>
      <c r="BW340" s="34">
        <f t="shared" si="234"/>
        <v>0.5089999999999999</v>
      </c>
      <c r="BX340" s="20">
        <f t="shared" si="262"/>
        <v>-0.5</v>
      </c>
      <c r="BY340" s="1">
        <f t="shared" si="263"/>
        <v>-6</v>
      </c>
      <c r="BZ340" s="1">
        <f t="shared" si="264"/>
        <v>-3.7</v>
      </c>
      <c r="CA340" s="1">
        <f t="shared" si="265"/>
        <v>-12.9</v>
      </c>
      <c r="CB340" s="1">
        <f t="shared" si="266"/>
        <v>0.6</v>
      </c>
      <c r="CC340" s="1">
        <f t="shared" si="267"/>
        <v>1.9</v>
      </c>
      <c r="CD340" s="1">
        <f t="shared" si="268"/>
        <v>2.9</v>
      </c>
      <c r="CE340" s="1" t="str">
        <f t="shared" si="269"/>
        <v>NAN</v>
      </c>
      <c r="CF340" s="1">
        <f t="shared" si="270"/>
        <v>0.39</v>
      </c>
      <c r="CG340" s="1">
        <f t="shared" si="271"/>
        <v>7.5999999999999998E-2</v>
      </c>
      <c r="CI340" s="1">
        <f t="shared" si="237"/>
        <v>2879</v>
      </c>
      <c r="CJ340" s="1">
        <f t="shared" si="238"/>
        <v>0.114</v>
      </c>
      <c r="CK340" s="1">
        <f t="shared" si="239"/>
        <v>3.9E-2</v>
      </c>
      <c r="CL340" s="1">
        <f t="shared" si="240"/>
        <v>2.5999999999999999E-2</v>
      </c>
      <c r="CM340" s="1">
        <f t="shared" si="241"/>
        <v>5.5E-2</v>
      </c>
      <c r="CN340" s="1">
        <f t="shared" si="242"/>
        <v>0.13900000000000001</v>
      </c>
      <c r="CO340" s="1">
        <f t="shared" si="243"/>
        <v>0.217</v>
      </c>
      <c r="CP340" s="1">
        <f t="shared" si="244"/>
        <v>0.215</v>
      </c>
      <c r="CQ340" s="1">
        <f t="shared" si="245"/>
        <v>0.19500000000000001</v>
      </c>
      <c r="CS340" s="1">
        <f t="shared" si="274"/>
        <v>0</v>
      </c>
      <c r="CT340" s="1">
        <f t="shared" si="275"/>
        <v>-4.3000000000000007</v>
      </c>
    </row>
    <row r="341" spans="1:98" x14ac:dyDescent="0.2">
      <c r="A341" s="8">
        <f t="shared" si="272"/>
        <v>44166</v>
      </c>
      <c r="B341" s="1">
        <v>336</v>
      </c>
      <c r="C341" s="1">
        <v>11</v>
      </c>
      <c r="D341" s="2">
        <v>13.02</v>
      </c>
      <c r="E341" s="2">
        <v>-1.5229999999999999</v>
      </c>
      <c r="F341" s="2">
        <v>-12.17</v>
      </c>
      <c r="G341" s="2">
        <v>-6.8550000000000004</v>
      </c>
      <c r="H341" s="2">
        <v>73.290000000000006</v>
      </c>
      <c r="I341" s="2">
        <v>8.0000000000000002E-3</v>
      </c>
      <c r="J341" s="2">
        <v>-2.3860000000000001</v>
      </c>
      <c r="K341" s="2">
        <v>0.53700000000000003</v>
      </c>
      <c r="L341" s="2">
        <v>1.8149999999999999</v>
      </c>
      <c r="M341" s="2">
        <v>2.8450000000000002</v>
      </c>
      <c r="N341" s="2">
        <v>-1.399</v>
      </c>
      <c r="O341" s="2">
        <v>89.1</v>
      </c>
      <c r="P341" s="2">
        <v>0.13500000000000001</v>
      </c>
      <c r="Q341" s="2">
        <v>-1.6160000000000001</v>
      </c>
      <c r="R341" s="2">
        <v>0.623</v>
      </c>
      <c r="S341" s="2">
        <v>1.915</v>
      </c>
      <c r="T341" s="2">
        <v>2.968</v>
      </c>
      <c r="U341" s="2">
        <v>-10.06</v>
      </c>
      <c r="V341" s="2">
        <v>46.82</v>
      </c>
      <c r="W341" s="2">
        <v>-8.1000000000000003E-2</v>
      </c>
      <c r="X341" s="2">
        <v>-2.883</v>
      </c>
      <c r="Y341" s="2">
        <v>0.436</v>
      </c>
      <c r="Z341" s="2">
        <v>1.7150000000000001</v>
      </c>
      <c r="AA341" s="2">
        <v>2.762</v>
      </c>
      <c r="AB341" s="2">
        <v>2.052</v>
      </c>
      <c r="AC341" s="2">
        <v>0</v>
      </c>
      <c r="AD341" s="2">
        <v>5.0510000000000002</v>
      </c>
      <c r="AE341" s="2">
        <v>3.17</v>
      </c>
      <c r="AF341" s="2">
        <v>0.85599999999999998</v>
      </c>
      <c r="AG341" s="2">
        <v>2.83</v>
      </c>
      <c r="AH341" s="2">
        <v>-10.91</v>
      </c>
      <c r="AI341" s="2">
        <v>-4.5819999999999999</v>
      </c>
      <c r="AJ341" s="2">
        <v>-15.11</v>
      </c>
      <c r="AK341" s="2">
        <v>1.75</v>
      </c>
      <c r="AL341" s="2">
        <v>-10.42</v>
      </c>
      <c r="AM341" s="2">
        <v>2.077</v>
      </c>
      <c r="AN341" s="2" t="s">
        <v>122</v>
      </c>
      <c r="AO341" s="2">
        <v>594</v>
      </c>
      <c r="AP341" s="2">
        <v>529</v>
      </c>
      <c r="AQ341" s="2">
        <v>870</v>
      </c>
      <c r="AR341" s="2">
        <v>133</v>
      </c>
      <c r="AS341" s="2">
        <v>38</v>
      </c>
      <c r="AT341" s="2">
        <v>58</v>
      </c>
      <c r="AU341" s="2">
        <v>174</v>
      </c>
      <c r="AV341" s="2">
        <v>484</v>
      </c>
      <c r="AW341" s="2"/>
      <c r="AX341" s="1">
        <f t="shared" si="246"/>
        <v>0.49799999999999978</v>
      </c>
      <c r="AY341" s="22">
        <f t="shared" si="236"/>
        <v>-0.9</v>
      </c>
      <c r="AZ341" s="5">
        <v>5.47</v>
      </c>
      <c r="BA341" s="1">
        <v>5.07</v>
      </c>
      <c r="BB341" s="1">
        <v>2.92</v>
      </c>
      <c r="BC341" s="6">
        <f t="shared" si="273"/>
        <v>0.57593688362919127</v>
      </c>
      <c r="BE341" s="28">
        <f t="shared" si="232"/>
        <v>0</v>
      </c>
      <c r="BF341" s="6"/>
      <c r="BG341" s="1">
        <f t="shared" si="248"/>
        <v>89.1</v>
      </c>
      <c r="BH341" s="1">
        <f t="shared" si="249"/>
        <v>73.3</v>
      </c>
      <c r="BI341" s="1">
        <f t="shared" si="250"/>
        <v>46.8</v>
      </c>
      <c r="BJ341" s="7">
        <f t="shared" si="251"/>
        <v>0.25800000000000001</v>
      </c>
      <c r="BK341" s="7">
        <f t="shared" si="252"/>
        <v>0.29299999999999998</v>
      </c>
      <c r="BM341" s="5">
        <f t="shared" si="253"/>
        <v>5.07</v>
      </c>
      <c r="BN341" s="5">
        <f t="shared" si="254"/>
        <v>2.92</v>
      </c>
      <c r="BO341" s="1">
        <f t="shared" si="255"/>
        <v>-6.9</v>
      </c>
      <c r="BP341" s="1">
        <f t="shared" si="256"/>
        <v>-1.4</v>
      </c>
      <c r="BQ341" s="1">
        <f t="shared" si="257"/>
        <v>-10.1</v>
      </c>
      <c r="BR341" s="1">
        <f t="shared" si="258"/>
        <v>73.3</v>
      </c>
      <c r="BS341" s="1">
        <f t="shared" si="259"/>
        <v>46.8</v>
      </c>
      <c r="BT341" s="1">
        <f t="shared" si="260"/>
        <v>0.9</v>
      </c>
      <c r="BU341" s="1">
        <f t="shared" si="261"/>
        <v>2.8</v>
      </c>
      <c r="BV341" s="33">
        <f t="shared" si="247"/>
        <v>0</v>
      </c>
      <c r="BW341" s="34">
        <f t="shared" si="234"/>
        <v>0.49799999999999978</v>
      </c>
      <c r="BX341" s="20">
        <f t="shared" si="262"/>
        <v>-0.9</v>
      </c>
      <c r="BY341" s="1">
        <f t="shared" si="263"/>
        <v>-10.9</v>
      </c>
      <c r="BZ341" s="1">
        <f t="shared" si="264"/>
        <v>-4.5999999999999996</v>
      </c>
      <c r="CA341" s="1">
        <f t="shared" si="265"/>
        <v>-15.1</v>
      </c>
      <c r="CB341" s="1">
        <f t="shared" si="266"/>
        <v>0.5</v>
      </c>
      <c r="CC341" s="1">
        <f t="shared" si="267"/>
        <v>1.8</v>
      </c>
      <c r="CD341" s="1">
        <f t="shared" si="268"/>
        <v>2.8</v>
      </c>
      <c r="CE341" s="1" t="str">
        <f t="shared" si="269"/>
        <v>NAN</v>
      </c>
      <c r="CF341" s="1">
        <f t="shared" si="270"/>
        <v>0.25800000000000001</v>
      </c>
      <c r="CG341" s="1">
        <f t="shared" si="271"/>
        <v>0.29299999999999998</v>
      </c>
      <c r="CI341" s="1">
        <f t="shared" si="237"/>
        <v>2880</v>
      </c>
      <c r="CJ341" s="1">
        <f t="shared" si="238"/>
        <v>0.20599999999999999</v>
      </c>
      <c r="CK341" s="1">
        <f t="shared" si="239"/>
        <v>0.184</v>
      </c>
      <c r="CL341" s="1">
        <f t="shared" si="240"/>
        <v>0.30199999999999999</v>
      </c>
      <c r="CM341" s="1">
        <f t="shared" si="241"/>
        <v>4.5999999999999999E-2</v>
      </c>
      <c r="CN341" s="1">
        <f t="shared" si="242"/>
        <v>1.2999999999999999E-2</v>
      </c>
      <c r="CO341" s="1">
        <f t="shared" si="243"/>
        <v>0.02</v>
      </c>
      <c r="CP341" s="1">
        <f t="shared" si="244"/>
        <v>0.06</v>
      </c>
      <c r="CQ341" s="1">
        <f t="shared" si="245"/>
        <v>0.16800000000000001</v>
      </c>
      <c r="CS341" s="1">
        <f t="shared" si="274"/>
        <v>-3.1999999999999997</v>
      </c>
      <c r="CT341" s="1">
        <f t="shared" si="275"/>
        <v>-5</v>
      </c>
    </row>
    <row r="342" spans="1:98" x14ac:dyDescent="0.2">
      <c r="A342" s="8">
        <f t="shared" si="272"/>
        <v>44167</v>
      </c>
      <c r="B342" s="1">
        <v>337</v>
      </c>
      <c r="C342" s="1">
        <v>11</v>
      </c>
      <c r="D342" s="2">
        <v>13</v>
      </c>
      <c r="E342" s="2">
        <v>4.3220000000000001</v>
      </c>
      <c r="F342" s="2">
        <v>-9.4600000000000009</v>
      </c>
      <c r="G342" s="2">
        <v>-6.5000000000000002E-2</v>
      </c>
      <c r="H342" s="2">
        <v>54.77</v>
      </c>
      <c r="I342" s="2">
        <v>1.0999999999999999E-2</v>
      </c>
      <c r="J342" s="2">
        <v>-2.7290000000000001</v>
      </c>
      <c r="K342" s="2">
        <v>0.58199999999999996</v>
      </c>
      <c r="L342" s="2">
        <v>1.8560000000000001</v>
      </c>
      <c r="M342" s="2">
        <v>2.871</v>
      </c>
      <c r="N342" s="2">
        <v>5.0970000000000004</v>
      </c>
      <c r="O342" s="2">
        <v>84.7</v>
      </c>
      <c r="P342" s="2">
        <v>0.13</v>
      </c>
      <c r="Q342" s="2">
        <v>-2.12</v>
      </c>
      <c r="R342" s="2">
        <v>0.71</v>
      </c>
      <c r="S342" s="2">
        <v>1.9870000000000001</v>
      </c>
      <c r="T342" s="2">
        <v>3.052</v>
      </c>
      <c r="U342" s="2">
        <v>-7.2160000000000002</v>
      </c>
      <c r="V342" s="2">
        <v>36.89</v>
      </c>
      <c r="W342" s="2">
        <v>-9.5000000000000001E-2</v>
      </c>
      <c r="X342" s="2">
        <v>-3.2109999999999999</v>
      </c>
      <c r="Y342" s="2">
        <v>0.47699999999999998</v>
      </c>
      <c r="Z342" s="2">
        <v>1.74</v>
      </c>
      <c r="AA342" s="2">
        <v>2.7650000000000001</v>
      </c>
      <c r="AB342" s="2">
        <v>2.0449999999999999</v>
      </c>
      <c r="AC342" s="2">
        <v>0</v>
      </c>
      <c r="AD342" s="2">
        <v>4.9720000000000004</v>
      </c>
      <c r="AE342" s="2">
        <v>3.0680000000000001</v>
      </c>
      <c r="AF342" s="2">
        <v>1.54</v>
      </c>
      <c r="AG342" s="2">
        <v>4.7039999999999997</v>
      </c>
      <c r="AH342" s="2">
        <v>-5.1239999999999997</v>
      </c>
      <c r="AI342" s="2">
        <v>0.47199999999999998</v>
      </c>
      <c r="AJ342" s="2">
        <v>-12.22</v>
      </c>
      <c r="AK342" s="2">
        <v>7.3719999999999999</v>
      </c>
      <c r="AL342" s="2">
        <v>-7.1429999999999998</v>
      </c>
      <c r="AM342" s="2">
        <v>2.0430000000000001</v>
      </c>
      <c r="AN342" s="2" t="s">
        <v>122</v>
      </c>
      <c r="AO342" s="2">
        <v>33</v>
      </c>
      <c r="AP342" s="2">
        <v>110</v>
      </c>
      <c r="AQ342" s="2">
        <v>538</v>
      </c>
      <c r="AR342" s="2">
        <v>426</v>
      </c>
      <c r="AS342" s="2">
        <v>951</v>
      </c>
      <c r="AT342" s="2">
        <v>700</v>
      </c>
      <c r="AU342" s="2">
        <v>99</v>
      </c>
      <c r="AV342" s="2">
        <v>23</v>
      </c>
      <c r="AW342" s="2"/>
      <c r="AX342" s="1">
        <f t="shared" si="246"/>
        <v>0.50499999999999989</v>
      </c>
      <c r="AY342" s="22">
        <f t="shared" si="236"/>
        <v>-1.1000000000000001</v>
      </c>
      <c r="AZ342" s="5">
        <v>5.41</v>
      </c>
      <c r="BA342" s="1">
        <v>5</v>
      </c>
      <c r="BB342" s="1">
        <v>2.82</v>
      </c>
      <c r="BC342" s="6">
        <f t="shared" si="273"/>
        <v>0.56399999999999995</v>
      </c>
      <c r="BE342" s="28">
        <f t="shared" si="232"/>
        <v>0.9</v>
      </c>
      <c r="BF342" s="6"/>
      <c r="BG342" s="1">
        <f t="shared" si="248"/>
        <v>84.7</v>
      </c>
      <c r="BH342" s="1">
        <f t="shared" si="249"/>
        <v>54.8</v>
      </c>
      <c r="BI342" s="1">
        <f t="shared" si="250"/>
        <v>36.9</v>
      </c>
      <c r="BJ342" s="7">
        <f t="shared" si="251"/>
        <v>0.32400000000000001</v>
      </c>
      <c r="BK342" s="7">
        <f t="shared" si="252"/>
        <v>0.55400000000000005</v>
      </c>
      <c r="BM342" s="5">
        <f t="shared" si="253"/>
        <v>5</v>
      </c>
      <c r="BN342" s="5">
        <f t="shared" si="254"/>
        <v>2.82</v>
      </c>
      <c r="BO342" s="1">
        <f t="shared" si="255"/>
        <v>-0.1</v>
      </c>
      <c r="BP342" s="1">
        <f t="shared" si="256"/>
        <v>5.0999999999999996</v>
      </c>
      <c r="BQ342" s="1">
        <f t="shared" si="257"/>
        <v>-7.2</v>
      </c>
      <c r="BR342" s="1">
        <f t="shared" si="258"/>
        <v>54.8</v>
      </c>
      <c r="BS342" s="1">
        <f t="shared" si="259"/>
        <v>36.9</v>
      </c>
      <c r="BT342" s="1">
        <f t="shared" si="260"/>
        <v>1.5</v>
      </c>
      <c r="BU342" s="1">
        <f t="shared" si="261"/>
        <v>4.7</v>
      </c>
      <c r="BV342" s="33">
        <f t="shared" si="247"/>
        <v>0.9</v>
      </c>
      <c r="BW342" s="34">
        <f t="shared" si="234"/>
        <v>0.50499999999999989</v>
      </c>
      <c r="BX342" s="20">
        <f t="shared" si="262"/>
        <v>-1.1000000000000001</v>
      </c>
      <c r="BY342" s="1">
        <f t="shared" si="263"/>
        <v>-5.0999999999999996</v>
      </c>
      <c r="BZ342" s="1">
        <f t="shared" si="264"/>
        <v>0.5</v>
      </c>
      <c r="CA342" s="1">
        <f t="shared" si="265"/>
        <v>-12.2</v>
      </c>
      <c r="CB342" s="1">
        <f t="shared" si="266"/>
        <v>0.6</v>
      </c>
      <c r="CC342" s="1">
        <f t="shared" si="267"/>
        <v>1.9</v>
      </c>
      <c r="CD342" s="1">
        <f t="shared" si="268"/>
        <v>2.9</v>
      </c>
      <c r="CE342" s="1" t="str">
        <f t="shared" si="269"/>
        <v>NAN</v>
      </c>
      <c r="CF342" s="1">
        <f t="shared" si="270"/>
        <v>0.32400000000000001</v>
      </c>
      <c r="CG342" s="1">
        <f t="shared" si="271"/>
        <v>0.55400000000000005</v>
      </c>
      <c r="CI342" s="1">
        <f t="shared" si="237"/>
        <v>2880</v>
      </c>
      <c r="CJ342" s="1">
        <f t="shared" si="238"/>
        <v>1.0999999999999999E-2</v>
      </c>
      <c r="CK342" s="1">
        <f t="shared" si="239"/>
        <v>3.7999999999999999E-2</v>
      </c>
      <c r="CL342" s="1">
        <f t="shared" si="240"/>
        <v>0.187</v>
      </c>
      <c r="CM342" s="1">
        <f t="shared" si="241"/>
        <v>0.14799999999999999</v>
      </c>
      <c r="CN342" s="1">
        <f t="shared" si="242"/>
        <v>0.33</v>
      </c>
      <c r="CO342" s="1">
        <f t="shared" si="243"/>
        <v>0.24299999999999999</v>
      </c>
      <c r="CP342" s="1">
        <f t="shared" si="244"/>
        <v>3.4000000000000002E-2</v>
      </c>
      <c r="CQ342" s="1">
        <f t="shared" si="245"/>
        <v>8.0000000000000002E-3</v>
      </c>
      <c r="CS342" s="1">
        <f t="shared" si="274"/>
        <v>-4.5999999999999996</v>
      </c>
      <c r="CT342" s="1">
        <f t="shared" si="275"/>
        <v>-4.9999999999999991</v>
      </c>
    </row>
    <row r="343" spans="1:98" x14ac:dyDescent="0.2">
      <c r="A343" s="8">
        <f t="shared" si="272"/>
        <v>44168</v>
      </c>
      <c r="B343" s="1">
        <v>338</v>
      </c>
      <c r="C343" s="1">
        <v>11</v>
      </c>
      <c r="D343" s="2">
        <v>13</v>
      </c>
      <c r="E343" s="2">
        <v>2.7149999999999999</v>
      </c>
      <c r="F343" s="2">
        <v>-4.8529999999999998</v>
      </c>
      <c r="G343" s="2">
        <v>-0.93899999999999995</v>
      </c>
      <c r="H343" s="2">
        <v>62.89</v>
      </c>
      <c r="I343" s="2">
        <v>-7.0000000000000001E-3</v>
      </c>
      <c r="J343" s="2">
        <v>-2.149</v>
      </c>
      <c r="K343" s="2">
        <v>0.56100000000000005</v>
      </c>
      <c r="L343" s="2">
        <v>1.8340000000000001</v>
      </c>
      <c r="M343" s="2">
        <v>2.843</v>
      </c>
      <c r="N343" s="2">
        <v>2.2629999999999999</v>
      </c>
      <c r="O343" s="2">
        <v>91.6</v>
      </c>
      <c r="P343" s="2">
        <v>0.10199999999999999</v>
      </c>
      <c r="Q343" s="2">
        <v>-1.8080000000000001</v>
      </c>
      <c r="R343" s="2">
        <v>0.68799999999999994</v>
      </c>
      <c r="S343" s="2">
        <v>1.9470000000000001</v>
      </c>
      <c r="T343" s="2">
        <v>2.9809999999999999</v>
      </c>
      <c r="U343" s="2">
        <v>-3.254</v>
      </c>
      <c r="V343" s="2">
        <v>37.82</v>
      </c>
      <c r="W343" s="2">
        <v>-9.0999999999999998E-2</v>
      </c>
      <c r="X343" s="2">
        <v>-2.3940000000000001</v>
      </c>
      <c r="Y343" s="2">
        <v>0.47599999999999998</v>
      </c>
      <c r="Z343" s="2">
        <v>1.744</v>
      </c>
      <c r="AA343" s="2">
        <v>2.7559999999999998</v>
      </c>
      <c r="AB343" s="2">
        <v>2.0390000000000001</v>
      </c>
      <c r="AC343" s="2">
        <v>0</v>
      </c>
      <c r="AD343" s="2">
        <v>3.8010000000000002</v>
      </c>
      <c r="AE343" s="2">
        <v>2.1800000000000002</v>
      </c>
      <c r="AF343" s="2">
        <v>1.1499999999999999</v>
      </c>
      <c r="AG343" s="2">
        <v>4.6390000000000002</v>
      </c>
      <c r="AH343" s="2">
        <v>-4.6310000000000002</v>
      </c>
      <c r="AI343" s="2">
        <v>-0.14499999999999999</v>
      </c>
      <c r="AJ343" s="2">
        <v>-7.8220000000000001</v>
      </c>
      <c r="AK343" s="2">
        <v>5.35</v>
      </c>
      <c r="AL343" s="2">
        <v>-3.4049999999999998</v>
      </c>
      <c r="AM343" s="2">
        <v>2.0470000000000002</v>
      </c>
      <c r="AN343" s="2" t="s">
        <v>122</v>
      </c>
      <c r="AO343" s="2">
        <v>86</v>
      </c>
      <c r="AP343" s="2">
        <v>171</v>
      </c>
      <c r="AQ343" s="2">
        <v>696</v>
      </c>
      <c r="AR343" s="2">
        <v>808</v>
      </c>
      <c r="AS343" s="2">
        <v>676</v>
      </c>
      <c r="AT343" s="2">
        <v>304</v>
      </c>
      <c r="AU343" s="2">
        <v>77</v>
      </c>
      <c r="AV343" s="2">
        <v>62</v>
      </c>
      <c r="AW343" s="2"/>
      <c r="AX343" s="1">
        <f t="shared" si="246"/>
        <v>0.51099999999999968</v>
      </c>
      <c r="AY343" s="22">
        <f t="shared" si="236"/>
        <v>-0.8</v>
      </c>
      <c r="AZ343" s="5">
        <v>5.35</v>
      </c>
      <c r="BA343" s="1">
        <v>3.8</v>
      </c>
      <c r="BB343" s="1">
        <v>2.0099999999999998</v>
      </c>
      <c r="BC343" s="6">
        <f t="shared" si="273"/>
        <v>0.52894736842105261</v>
      </c>
      <c r="BE343" s="28">
        <f t="shared" si="232"/>
        <v>0.8</v>
      </c>
      <c r="BF343" s="6"/>
      <c r="BG343" s="1">
        <f t="shared" si="248"/>
        <v>91.6</v>
      </c>
      <c r="BH343" s="1">
        <f t="shared" si="249"/>
        <v>62.9</v>
      </c>
      <c r="BI343" s="1">
        <f t="shared" si="250"/>
        <v>37.799999999999997</v>
      </c>
      <c r="BJ343" s="7">
        <f t="shared" si="251"/>
        <v>0.27200000000000002</v>
      </c>
      <c r="BK343" s="7">
        <f t="shared" si="252"/>
        <v>0.44800000000000001</v>
      </c>
      <c r="BM343" s="5">
        <f t="shared" si="253"/>
        <v>3.8</v>
      </c>
      <c r="BN343" s="5">
        <f t="shared" si="254"/>
        <v>2.0099999999999998</v>
      </c>
      <c r="BO343" s="1">
        <f t="shared" si="255"/>
        <v>-0.9</v>
      </c>
      <c r="BP343" s="1">
        <f t="shared" si="256"/>
        <v>2.2999999999999998</v>
      </c>
      <c r="BQ343" s="1">
        <f t="shared" si="257"/>
        <v>-3.3</v>
      </c>
      <c r="BR343" s="1">
        <f t="shared" si="258"/>
        <v>62.9</v>
      </c>
      <c r="BS343" s="1">
        <f t="shared" si="259"/>
        <v>37.799999999999997</v>
      </c>
      <c r="BT343" s="1">
        <f t="shared" si="260"/>
        <v>1.2</v>
      </c>
      <c r="BU343" s="1">
        <f t="shared" si="261"/>
        <v>4.5999999999999996</v>
      </c>
      <c r="BV343" s="33">
        <f t="shared" si="247"/>
        <v>0.8</v>
      </c>
      <c r="BW343" s="34">
        <f t="shared" si="234"/>
        <v>0.51099999999999968</v>
      </c>
      <c r="BX343" s="20">
        <f t="shared" si="262"/>
        <v>-0.8</v>
      </c>
      <c r="BY343" s="1">
        <f t="shared" si="263"/>
        <v>-4.5999999999999996</v>
      </c>
      <c r="BZ343" s="1">
        <f t="shared" si="264"/>
        <v>-0.1</v>
      </c>
      <c r="CA343" s="1">
        <f t="shared" si="265"/>
        <v>-7.8</v>
      </c>
      <c r="CB343" s="1">
        <f t="shared" si="266"/>
        <v>0.6</v>
      </c>
      <c r="CC343" s="1">
        <f t="shared" si="267"/>
        <v>1.8</v>
      </c>
      <c r="CD343" s="1">
        <f t="shared" si="268"/>
        <v>2.8</v>
      </c>
      <c r="CE343" s="1" t="str">
        <f t="shared" si="269"/>
        <v>NAN</v>
      </c>
      <c r="CF343" s="1">
        <f t="shared" si="270"/>
        <v>0.27200000000000002</v>
      </c>
      <c r="CG343" s="1">
        <f t="shared" si="271"/>
        <v>0.44800000000000001</v>
      </c>
      <c r="CI343" s="1">
        <f t="shared" si="237"/>
        <v>2880</v>
      </c>
      <c r="CJ343" s="1">
        <f t="shared" si="238"/>
        <v>0.03</v>
      </c>
      <c r="CK343" s="1">
        <f t="shared" si="239"/>
        <v>5.8999999999999997E-2</v>
      </c>
      <c r="CL343" s="1">
        <f t="shared" si="240"/>
        <v>0.24199999999999999</v>
      </c>
      <c r="CM343" s="1">
        <f t="shared" si="241"/>
        <v>0.28100000000000003</v>
      </c>
      <c r="CN343" s="1">
        <f t="shared" si="242"/>
        <v>0.23499999999999999</v>
      </c>
      <c r="CO343" s="1">
        <f t="shared" si="243"/>
        <v>0.106</v>
      </c>
      <c r="CP343" s="1">
        <f t="shared" si="244"/>
        <v>2.7E-2</v>
      </c>
      <c r="CQ343" s="1">
        <f t="shared" si="245"/>
        <v>2.1999999999999999E-2</v>
      </c>
      <c r="CS343" s="1">
        <f t="shared" si="274"/>
        <v>-2.4</v>
      </c>
      <c r="CT343" s="1">
        <f t="shared" si="275"/>
        <v>-4.5</v>
      </c>
    </row>
    <row r="344" spans="1:98" x14ac:dyDescent="0.2">
      <c r="A344" s="8">
        <f t="shared" si="272"/>
        <v>44169</v>
      </c>
      <c r="B344" s="1">
        <v>339</v>
      </c>
      <c r="C344" s="1">
        <v>11</v>
      </c>
      <c r="D344" s="2">
        <v>13</v>
      </c>
      <c r="E344" s="2">
        <v>5.5709999999999997</v>
      </c>
      <c r="F344" s="2">
        <v>-6.0049999999999999</v>
      </c>
      <c r="G344" s="2">
        <v>1.4630000000000001</v>
      </c>
      <c r="H344" s="2">
        <v>51.56</v>
      </c>
      <c r="I344" s="2">
        <v>1.4999999999999999E-2</v>
      </c>
      <c r="J344" s="2">
        <v>-2.0950000000000002</v>
      </c>
      <c r="K344" s="2">
        <v>0.55100000000000005</v>
      </c>
      <c r="L344" s="2">
        <v>1.8089999999999999</v>
      </c>
      <c r="M344" s="2">
        <v>2.82</v>
      </c>
      <c r="N344" s="2">
        <v>8.83</v>
      </c>
      <c r="O344" s="2">
        <v>82.7</v>
      </c>
      <c r="P344" s="2">
        <v>0.20399999999999999</v>
      </c>
      <c r="Q344" s="2">
        <v>-1.7829999999999999</v>
      </c>
      <c r="R344" s="2">
        <v>0.72099999999999997</v>
      </c>
      <c r="S344" s="2">
        <v>1.9750000000000001</v>
      </c>
      <c r="T344" s="2">
        <v>3.028</v>
      </c>
      <c r="U344" s="2">
        <v>-3.044</v>
      </c>
      <c r="V344" s="2">
        <v>20.6</v>
      </c>
      <c r="W344" s="2">
        <v>-9.0999999999999998E-2</v>
      </c>
      <c r="X344" s="2">
        <v>-2.3410000000000002</v>
      </c>
      <c r="Y344" s="2">
        <v>0.442</v>
      </c>
      <c r="Z344" s="2">
        <v>1.6879999999999999</v>
      </c>
      <c r="AA344" s="2">
        <v>2.7109999999999999</v>
      </c>
      <c r="AB344" s="2">
        <v>2.048</v>
      </c>
      <c r="AC344" s="2">
        <v>0</v>
      </c>
      <c r="AD344" s="2">
        <v>4.9800000000000004</v>
      </c>
      <c r="AE344" s="2">
        <v>3.0139999999999998</v>
      </c>
      <c r="AF344" s="2">
        <v>0.751</v>
      </c>
      <c r="AG344" s="2">
        <v>2.8330000000000002</v>
      </c>
      <c r="AH344" s="2">
        <v>-5.5010000000000003</v>
      </c>
      <c r="AI344" s="2">
        <v>1.1639999999999999</v>
      </c>
      <c r="AJ344" s="2">
        <v>-9.51</v>
      </c>
      <c r="AK344" s="2">
        <v>12.43</v>
      </c>
      <c r="AL344" s="2">
        <v>-2.8969999999999998</v>
      </c>
      <c r="AM344" s="2">
        <v>2.044</v>
      </c>
      <c r="AN344" s="2" t="s">
        <v>122</v>
      </c>
      <c r="AO344" s="2">
        <v>256</v>
      </c>
      <c r="AP344" s="2">
        <v>320</v>
      </c>
      <c r="AQ344" s="2">
        <v>694</v>
      </c>
      <c r="AR344" s="2">
        <v>677</v>
      </c>
      <c r="AS344" s="2">
        <v>211</v>
      </c>
      <c r="AT344" s="2">
        <v>243</v>
      </c>
      <c r="AU344" s="2">
        <v>270</v>
      </c>
      <c r="AV344" s="2">
        <v>209</v>
      </c>
      <c r="AW344" s="2"/>
      <c r="AX344" s="1">
        <f t="shared" si="246"/>
        <v>0.50199999999999978</v>
      </c>
      <c r="AY344" s="22">
        <f t="shared" si="236"/>
        <v>-0.8</v>
      </c>
      <c r="AZ344" s="5">
        <v>5.3</v>
      </c>
      <c r="BA344" s="1">
        <v>5</v>
      </c>
      <c r="BB344" s="1">
        <v>2.77</v>
      </c>
      <c r="BC344" s="6">
        <f t="shared" si="273"/>
        <v>0.55400000000000005</v>
      </c>
      <c r="BE344" s="28">
        <f t="shared" ref="BE344:BE370" si="276">IF(AX344&gt;AX343,ROUND((AX344-AX343)*130,1),0)</f>
        <v>0</v>
      </c>
      <c r="BF344" s="6"/>
      <c r="BG344" s="1">
        <f t="shared" si="248"/>
        <v>82.7</v>
      </c>
      <c r="BH344" s="1">
        <f t="shared" si="249"/>
        <v>51.6</v>
      </c>
      <c r="BI344" s="1">
        <f t="shared" si="250"/>
        <v>20.6</v>
      </c>
      <c r="BJ344" s="7">
        <f t="shared" si="251"/>
        <v>0.23400000000000001</v>
      </c>
      <c r="BK344" s="7">
        <f t="shared" si="252"/>
        <v>0.90200000000000002</v>
      </c>
      <c r="BM344" s="5">
        <f t="shared" si="253"/>
        <v>5</v>
      </c>
      <c r="BN344" s="5">
        <f t="shared" si="254"/>
        <v>2.77</v>
      </c>
      <c r="BO344" s="1">
        <f t="shared" si="255"/>
        <v>1.5</v>
      </c>
      <c r="BP344" s="1">
        <f t="shared" si="256"/>
        <v>8.8000000000000007</v>
      </c>
      <c r="BQ344" s="1">
        <f t="shared" si="257"/>
        <v>-3</v>
      </c>
      <c r="BR344" s="1">
        <f t="shared" si="258"/>
        <v>51.6</v>
      </c>
      <c r="BS344" s="1">
        <f t="shared" si="259"/>
        <v>20.6</v>
      </c>
      <c r="BT344" s="1">
        <f t="shared" si="260"/>
        <v>0.8</v>
      </c>
      <c r="BU344" s="1">
        <f t="shared" si="261"/>
        <v>2.8</v>
      </c>
      <c r="BV344" s="33">
        <f t="shared" si="247"/>
        <v>0</v>
      </c>
      <c r="BW344" s="34">
        <f t="shared" ref="BW344:BW371" si="277">AX344</f>
        <v>0.50199999999999978</v>
      </c>
      <c r="BX344" s="20">
        <f t="shared" si="262"/>
        <v>-0.8</v>
      </c>
      <c r="BY344" s="1">
        <f t="shared" si="263"/>
        <v>-5.5</v>
      </c>
      <c r="BZ344" s="1">
        <f t="shared" si="264"/>
        <v>1.2</v>
      </c>
      <c r="CA344" s="1">
        <f t="shared" si="265"/>
        <v>-9.5</v>
      </c>
      <c r="CB344" s="1">
        <f t="shared" si="266"/>
        <v>0.6</v>
      </c>
      <c r="CC344" s="1">
        <f t="shared" si="267"/>
        <v>1.8</v>
      </c>
      <c r="CD344" s="1">
        <f t="shared" si="268"/>
        <v>2.8</v>
      </c>
      <c r="CE344" s="1" t="str">
        <f t="shared" si="269"/>
        <v>NAN</v>
      </c>
      <c r="CF344" s="1">
        <f t="shared" si="270"/>
        <v>0.23400000000000001</v>
      </c>
      <c r="CG344" s="1">
        <f t="shared" si="271"/>
        <v>0.90200000000000002</v>
      </c>
      <c r="CI344" s="1">
        <f t="shared" si="237"/>
        <v>2880</v>
      </c>
      <c r="CJ344" s="1">
        <f t="shared" si="238"/>
        <v>8.8999999999999996E-2</v>
      </c>
      <c r="CK344" s="1">
        <f t="shared" si="239"/>
        <v>0.111</v>
      </c>
      <c r="CL344" s="1">
        <f t="shared" si="240"/>
        <v>0.24099999999999999</v>
      </c>
      <c r="CM344" s="1">
        <f t="shared" si="241"/>
        <v>0.23499999999999999</v>
      </c>
      <c r="CN344" s="1">
        <f t="shared" si="242"/>
        <v>7.2999999999999995E-2</v>
      </c>
      <c r="CO344" s="1">
        <f t="shared" si="243"/>
        <v>8.4000000000000005E-2</v>
      </c>
      <c r="CP344" s="1">
        <f t="shared" si="244"/>
        <v>9.4E-2</v>
      </c>
      <c r="CQ344" s="1">
        <f t="shared" si="245"/>
        <v>7.2999999999999995E-2</v>
      </c>
      <c r="CS344" s="1">
        <f t="shared" si="274"/>
        <v>-7.6000000000000005</v>
      </c>
      <c r="CT344" s="1">
        <f t="shared" si="275"/>
        <v>-6.5</v>
      </c>
    </row>
    <row r="345" spans="1:98" x14ac:dyDescent="0.2">
      <c r="A345" s="8">
        <f t="shared" si="272"/>
        <v>44170</v>
      </c>
      <c r="B345" s="1">
        <v>340</v>
      </c>
      <c r="C345" s="1">
        <v>11</v>
      </c>
      <c r="D345" s="2">
        <v>12.99</v>
      </c>
      <c r="E345" s="2">
        <v>4.2130000000000001</v>
      </c>
      <c r="F345" s="2">
        <v>-5.8739999999999997</v>
      </c>
      <c r="G345" s="2">
        <v>0.18099999999999999</v>
      </c>
      <c r="H345" s="2">
        <v>48.34</v>
      </c>
      <c r="I345" s="2">
        <v>3.0000000000000001E-3</v>
      </c>
      <c r="J345" s="2">
        <v>-2.2170000000000001</v>
      </c>
      <c r="K345" s="2">
        <v>0.55800000000000005</v>
      </c>
      <c r="L345" s="2">
        <v>1.8149999999999999</v>
      </c>
      <c r="M345" s="2">
        <v>2.8130000000000002</v>
      </c>
      <c r="N345" s="2">
        <v>5.1120000000000001</v>
      </c>
      <c r="O345" s="2">
        <v>69.319999999999993</v>
      </c>
      <c r="P345" s="2">
        <v>0.10199999999999999</v>
      </c>
      <c r="Q345" s="2">
        <v>-1.8</v>
      </c>
      <c r="R345" s="2">
        <v>0.67</v>
      </c>
      <c r="S345" s="2">
        <v>1.9350000000000001</v>
      </c>
      <c r="T345" s="2">
        <v>2.9750000000000001</v>
      </c>
      <c r="U345" s="2">
        <v>-4.266</v>
      </c>
      <c r="V345" s="2">
        <v>29.3</v>
      </c>
      <c r="W345" s="2">
        <v>-0.105</v>
      </c>
      <c r="X345" s="2">
        <v>-2.66</v>
      </c>
      <c r="Y345" s="2">
        <v>0.41299999999999998</v>
      </c>
      <c r="Z345" s="2">
        <v>1.6819999999999999</v>
      </c>
      <c r="AA345" s="2">
        <v>2.698</v>
      </c>
      <c r="AB345" s="2">
        <v>2.044</v>
      </c>
      <c r="AC345" s="2">
        <v>0</v>
      </c>
      <c r="AD345" s="2">
        <v>4.7009999999999996</v>
      </c>
      <c r="AE345" s="2">
        <v>2.9580000000000002</v>
      </c>
      <c r="AF345" s="2">
        <v>1.5940000000000001</v>
      </c>
      <c r="AG345" s="2">
        <v>4.4580000000000002</v>
      </c>
      <c r="AH345" s="2">
        <v>-4.9969999999999999</v>
      </c>
      <c r="AI345" s="2">
        <v>-0.44</v>
      </c>
      <c r="AJ345" s="2">
        <v>-8.8699999999999992</v>
      </c>
      <c r="AK345" s="2">
        <v>7.4089999999999998</v>
      </c>
      <c r="AL345" s="2">
        <v>-4.4539999999999997</v>
      </c>
      <c r="AM345" s="2">
        <v>2.06</v>
      </c>
      <c r="AN345" s="2" t="s">
        <v>122</v>
      </c>
      <c r="AO345" s="2">
        <v>16</v>
      </c>
      <c r="AP345" s="2">
        <v>44</v>
      </c>
      <c r="AQ345" s="2">
        <v>206</v>
      </c>
      <c r="AR345" s="2">
        <v>750</v>
      </c>
      <c r="AS345" s="2">
        <v>1087</v>
      </c>
      <c r="AT345" s="2">
        <v>600</v>
      </c>
      <c r="AU345" s="2">
        <v>158</v>
      </c>
      <c r="AV345" s="2">
        <v>19</v>
      </c>
      <c r="AW345" s="2"/>
      <c r="AX345" s="1">
        <f t="shared" si="246"/>
        <v>0.50599999999999978</v>
      </c>
      <c r="AY345" s="22">
        <f t="shared" si="236"/>
        <v>-0.8</v>
      </c>
      <c r="AZ345" s="5">
        <v>5.24</v>
      </c>
      <c r="BA345" s="1">
        <v>4.72</v>
      </c>
      <c r="BB345" s="1">
        <v>2.72</v>
      </c>
      <c r="BC345" s="6">
        <f t="shared" si="273"/>
        <v>0.57627118644067798</v>
      </c>
      <c r="BE345" s="28">
        <f t="shared" si="276"/>
        <v>0.5</v>
      </c>
      <c r="BF345" s="6"/>
      <c r="BG345" s="1">
        <f t="shared" si="248"/>
        <v>69.3</v>
      </c>
      <c r="BH345" s="1">
        <f t="shared" si="249"/>
        <v>48.3</v>
      </c>
      <c r="BI345" s="1">
        <f t="shared" si="250"/>
        <v>29.3</v>
      </c>
      <c r="BJ345" s="7">
        <f t="shared" si="251"/>
        <v>0.25700000000000001</v>
      </c>
      <c r="BK345" s="7">
        <f t="shared" si="252"/>
        <v>0.62</v>
      </c>
      <c r="BM345" s="5">
        <f t="shared" si="253"/>
        <v>4.72</v>
      </c>
      <c r="BN345" s="5">
        <f t="shared" si="254"/>
        <v>2.72</v>
      </c>
      <c r="BO345" s="1">
        <f t="shared" si="255"/>
        <v>0.2</v>
      </c>
      <c r="BP345" s="1">
        <f t="shared" si="256"/>
        <v>5.0999999999999996</v>
      </c>
      <c r="BQ345" s="1">
        <f t="shared" si="257"/>
        <v>-4.3</v>
      </c>
      <c r="BR345" s="1">
        <f t="shared" si="258"/>
        <v>48.3</v>
      </c>
      <c r="BS345" s="1">
        <f t="shared" si="259"/>
        <v>29.3</v>
      </c>
      <c r="BT345" s="1">
        <f t="shared" si="260"/>
        <v>1.6</v>
      </c>
      <c r="BU345" s="1">
        <f t="shared" si="261"/>
        <v>4.5</v>
      </c>
      <c r="BV345" s="33">
        <f t="shared" si="247"/>
        <v>0.5</v>
      </c>
      <c r="BW345" s="34">
        <f t="shared" si="277"/>
        <v>0.50599999999999978</v>
      </c>
      <c r="BX345" s="20">
        <f t="shared" si="262"/>
        <v>-0.8</v>
      </c>
      <c r="BY345" s="1">
        <f t="shared" si="263"/>
        <v>-5</v>
      </c>
      <c r="BZ345" s="1">
        <f t="shared" si="264"/>
        <v>-0.4</v>
      </c>
      <c r="CA345" s="1">
        <f t="shared" si="265"/>
        <v>-8.9</v>
      </c>
      <c r="CB345" s="1">
        <f t="shared" si="266"/>
        <v>0.6</v>
      </c>
      <c r="CC345" s="1">
        <f t="shared" si="267"/>
        <v>1.8</v>
      </c>
      <c r="CD345" s="1">
        <f t="shared" si="268"/>
        <v>2.8</v>
      </c>
      <c r="CE345" s="1" t="str">
        <f t="shared" si="269"/>
        <v>NAN</v>
      </c>
      <c r="CF345" s="1">
        <f t="shared" si="270"/>
        <v>0.25700000000000001</v>
      </c>
      <c r="CG345" s="1">
        <f t="shared" si="271"/>
        <v>0.62</v>
      </c>
      <c r="CI345" s="1">
        <f t="shared" si="237"/>
        <v>2880</v>
      </c>
      <c r="CJ345" s="1">
        <f t="shared" si="238"/>
        <v>6.0000000000000001E-3</v>
      </c>
      <c r="CK345" s="1">
        <f t="shared" si="239"/>
        <v>1.4999999999999999E-2</v>
      </c>
      <c r="CL345" s="1">
        <f t="shared" si="240"/>
        <v>7.1999999999999995E-2</v>
      </c>
      <c r="CM345" s="1">
        <f t="shared" si="241"/>
        <v>0.26</v>
      </c>
      <c r="CN345" s="1">
        <f t="shared" si="242"/>
        <v>0.377</v>
      </c>
      <c r="CO345" s="1">
        <f t="shared" si="243"/>
        <v>0.20799999999999999</v>
      </c>
      <c r="CP345" s="1">
        <f t="shared" si="244"/>
        <v>5.5E-2</v>
      </c>
      <c r="CQ345" s="1">
        <f t="shared" si="245"/>
        <v>7.0000000000000001E-3</v>
      </c>
      <c r="CS345" s="1">
        <f t="shared" si="274"/>
        <v>-5.5</v>
      </c>
      <c r="CT345" s="1">
        <f t="shared" si="275"/>
        <v>-4.6000000000000005</v>
      </c>
    </row>
    <row r="346" spans="1:98" x14ac:dyDescent="0.2">
      <c r="A346" s="8">
        <f t="shared" si="272"/>
        <v>44171</v>
      </c>
      <c r="B346" s="1">
        <v>341</v>
      </c>
      <c r="C346" s="1">
        <v>11</v>
      </c>
      <c r="D346" s="2">
        <v>12.98</v>
      </c>
      <c r="E346" s="2">
        <v>4.3419999999999996</v>
      </c>
      <c r="F346" s="2">
        <v>-7.0830000000000002</v>
      </c>
      <c r="G346" s="2">
        <v>-0.53800000000000003</v>
      </c>
      <c r="H346" s="2">
        <v>61.9</v>
      </c>
      <c r="I346" s="2">
        <v>-1.6E-2</v>
      </c>
      <c r="J346" s="2">
        <v>-2.2749999999999999</v>
      </c>
      <c r="K346" s="2">
        <v>0.53800000000000003</v>
      </c>
      <c r="L346" s="2">
        <v>1.7889999999999999</v>
      </c>
      <c r="M346" s="2">
        <v>2.7759999999999998</v>
      </c>
      <c r="N346" s="2">
        <v>4.9989999999999997</v>
      </c>
      <c r="O346" s="2">
        <v>84.5</v>
      </c>
      <c r="P346" s="2">
        <v>0.115</v>
      </c>
      <c r="Q346" s="2">
        <v>-1.9119999999999999</v>
      </c>
      <c r="R346" s="2">
        <v>0.66700000000000004</v>
      </c>
      <c r="S346" s="2">
        <v>1.927</v>
      </c>
      <c r="T346" s="2">
        <v>2.9409999999999998</v>
      </c>
      <c r="U346" s="2">
        <v>-4.5039999999999996</v>
      </c>
      <c r="V346" s="2">
        <v>43.86</v>
      </c>
      <c r="W346" s="2">
        <v>-0.13700000000000001</v>
      </c>
      <c r="X346" s="2">
        <v>-2.74</v>
      </c>
      <c r="Y346" s="2">
        <v>0.38600000000000001</v>
      </c>
      <c r="Z346" s="2">
        <v>1.6379999999999999</v>
      </c>
      <c r="AA346" s="2">
        <v>2.669</v>
      </c>
      <c r="AB346" s="2">
        <v>2.048</v>
      </c>
      <c r="AC346" s="2">
        <v>0</v>
      </c>
      <c r="AD346" s="2">
        <v>3.76</v>
      </c>
      <c r="AE346" s="2">
        <v>2.5550000000000002</v>
      </c>
      <c r="AF346" s="2">
        <v>0.93300000000000005</v>
      </c>
      <c r="AG346" s="2">
        <v>2.8159999999999998</v>
      </c>
      <c r="AH346" s="2">
        <v>-4.8760000000000003</v>
      </c>
      <c r="AI346" s="2">
        <v>1.76</v>
      </c>
      <c r="AJ346" s="2">
        <v>-9.93</v>
      </c>
      <c r="AK346" s="2">
        <v>7.633</v>
      </c>
      <c r="AL346" s="2">
        <v>-4.6749999999999998</v>
      </c>
      <c r="AM346" s="2">
        <v>2.0550000000000002</v>
      </c>
      <c r="AN346" s="2" t="s">
        <v>122</v>
      </c>
      <c r="AO346" s="2">
        <v>56</v>
      </c>
      <c r="AP346" s="2">
        <v>227</v>
      </c>
      <c r="AQ346" s="2">
        <v>609</v>
      </c>
      <c r="AR346" s="2">
        <v>457</v>
      </c>
      <c r="AS346" s="2">
        <v>522</v>
      </c>
      <c r="AT346" s="2">
        <v>552</v>
      </c>
      <c r="AU346" s="2">
        <v>335</v>
      </c>
      <c r="AV346" s="2">
        <v>122</v>
      </c>
      <c r="AW346" s="2"/>
      <c r="AX346" s="1">
        <f t="shared" si="246"/>
        <v>0.50199999999999978</v>
      </c>
      <c r="AY346" s="22">
        <f t="shared" si="236"/>
        <v>-0.9</v>
      </c>
      <c r="AZ346" s="5">
        <v>5.2</v>
      </c>
      <c r="BA346" s="1">
        <v>3.76</v>
      </c>
      <c r="BB346" s="1">
        <v>2.35</v>
      </c>
      <c r="BC346" s="6">
        <f t="shared" si="273"/>
        <v>0.62500000000000011</v>
      </c>
      <c r="BE346" s="28">
        <f t="shared" si="276"/>
        <v>0</v>
      </c>
      <c r="BF346" s="6"/>
      <c r="BG346" s="1">
        <f t="shared" si="248"/>
        <v>84.5</v>
      </c>
      <c r="BH346" s="1">
        <f t="shared" si="249"/>
        <v>61.9</v>
      </c>
      <c r="BI346" s="1">
        <f t="shared" si="250"/>
        <v>43.9</v>
      </c>
      <c r="BJ346" s="7">
        <f t="shared" si="251"/>
        <v>0.38300000000000001</v>
      </c>
      <c r="BK346" s="7">
        <f t="shared" si="252"/>
        <v>0.48899999999999999</v>
      </c>
      <c r="BM346" s="5">
        <f t="shared" si="253"/>
        <v>3.76</v>
      </c>
      <c r="BN346" s="5">
        <f t="shared" si="254"/>
        <v>2.35</v>
      </c>
      <c r="BO346" s="1">
        <f t="shared" si="255"/>
        <v>-0.5</v>
      </c>
      <c r="BP346" s="1">
        <f t="shared" si="256"/>
        <v>5</v>
      </c>
      <c r="BQ346" s="1">
        <f t="shared" si="257"/>
        <v>-4.5</v>
      </c>
      <c r="BR346" s="1">
        <f t="shared" si="258"/>
        <v>61.9</v>
      </c>
      <c r="BS346" s="1">
        <f t="shared" si="259"/>
        <v>43.9</v>
      </c>
      <c r="BT346" s="1">
        <f t="shared" si="260"/>
        <v>0.9</v>
      </c>
      <c r="BU346" s="1">
        <f t="shared" si="261"/>
        <v>2.8</v>
      </c>
      <c r="BV346" s="33">
        <f t="shared" si="247"/>
        <v>0</v>
      </c>
      <c r="BW346" s="34">
        <f t="shared" si="277"/>
        <v>0.50199999999999978</v>
      </c>
      <c r="BX346" s="20">
        <f t="shared" si="262"/>
        <v>-0.9</v>
      </c>
      <c r="BY346" s="1">
        <f t="shared" si="263"/>
        <v>-4.9000000000000004</v>
      </c>
      <c r="BZ346" s="1">
        <f t="shared" si="264"/>
        <v>1.8</v>
      </c>
      <c r="CA346" s="1">
        <f t="shared" si="265"/>
        <v>-9.9</v>
      </c>
      <c r="CB346" s="1">
        <f t="shared" si="266"/>
        <v>0.5</v>
      </c>
      <c r="CC346" s="1">
        <f t="shared" si="267"/>
        <v>1.8</v>
      </c>
      <c r="CD346" s="1">
        <f t="shared" si="268"/>
        <v>2.8</v>
      </c>
      <c r="CE346" s="1" t="str">
        <f t="shared" si="269"/>
        <v>NAN</v>
      </c>
      <c r="CF346" s="1">
        <f t="shared" si="270"/>
        <v>0.38300000000000001</v>
      </c>
      <c r="CG346" s="1">
        <f t="shared" si="271"/>
        <v>0.48899999999999999</v>
      </c>
      <c r="CI346" s="1">
        <f t="shared" si="237"/>
        <v>2880</v>
      </c>
      <c r="CJ346" s="1">
        <f t="shared" si="238"/>
        <v>1.9E-2</v>
      </c>
      <c r="CK346" s="1">
        <f t="shared" si="239"/>
        <v>7.9000000000000001E-2</v>
      </c>
      <c r="CL346" s="1">
        <f t="shared" si="240"/>
        <v>0.21099999999999999</v>
      </c>
      <c r="CM346" s="1">
        <f t="shared" si="241"/>
        <v>0.159</v>
      </c>
      <c r="CN346" s="1">
        <f t="shared" si="242"/>
        <v>0.18099999999999999</v>
      </c>
      <c r="CO346" s="1">
        <f t="shared" si="243"/>
        <v>0.192</v>
      </c>
      <c r="CP346" s="1">
        <f t="shared" si="244"/>
        <v>0.11600000000000001</v>
      </c>
      <c r="CQ346" s="1">
        <f t="shared" si="245"/>
        <v>4.2000000000000003E-2</v>
      </c>
      <c r="CS346" s="1">
        <f t="shared" si="274"/>
        <v>-3.2</v>
      </c>
      <c r="CT346" s="1">
        <f t="shared" si="275"/>
        <v>-5.4</v>
      </c>
    </row>
    <row r="347" spans="1:98" x14ac:dyDescent="0.2">
      <c r="A347" s="8">
        <f t="shared" si="272"/>
        <v>44172</v>
      </c>
      <c r="B347" s="1">
        <v>342</v>
      </c>
      <c r="C347" s="1">
        <v>11</v>
      </c>
      <c r="D347" s="2">
        <v>12.85</v>
      </c>
      <c r="E347" s="2">
        <v>-0.18099999999999999</v>
      </c>
      <c r="F347" s="2">
        <v>-5.7229999999999999</v>
      </c>
      <c r="G347" s="2">
        <v>-3.8079999999999998</v>
      </c>
      <c r="H347" s="2">
        <v>88.2</v>
      </c>
      <c r="I347" s="2">
        <v>-1.2999999999999999E-2</v>
      </c>
      <c r="J347" s="2">
        <v>-1.8879999999999999</v>
      </c>
      <c r="K347" s="2">
        <v>0.52100000000000002</v>
      </c>
      <c r="L347" s="2">
        <v>1.7669999999999999</v>
      </c>
      <c r="M347" s="2">
        <v>2.7370000000000001</v>
      </c>
      <c r="N347" s="2">
        <v>0.23100000000000001</v>
      </c>
      <c r="O347" s="2">
        <v>94.9</v>
      </c>
      <c r="P347" s="2">
        <v>7.4999999999999997E-2</v>
      </c>
      <c r="Q347" s="2">
        <v>-1.361</v>
      </c>
      <c r="R347" s="2">
        <v>0.60699999999999998</v>
      </c>
      <c r="S347" s="2">
        <v>1.8480000000000001</v>
      </c>
      <c r="T347" s="2">
        <v>2.8170000000000002</v>
      </c>
      <c r="U347" s="2">
        <v>-6.2080000000000002</v>
      </c>
      <c r="V347" s="2">
        <v>71.650000000000006</v>
      </c>
      <c r="W347" s="2">
        <v>-8.5000000000000006E-2</v>
      </c>
      <c r="X347" s="2">
        <v>-2.3119999999999998</v>
      </c>
      <c r="Y347" s="2">
        <v>0.434</v>
      </c>
      <c r="Z347" s="2">
        <v>1.6839999999999999</v>
      </c>
      <c r="AA347" s="2">
        <v>2.6429999999999998</v>
      </c>
      <c r="AB347" s="2">
        <v>2.0470000000000002</v>
      </c>
      <c r="AC347" s="2">
        <v>0</v>
      </c>
      <c r="AD347" s="2">
        <v>1.63</v>
      </c>
      <c r="AE347" s="2">
        <v>1.1879999999999999</v>
      </c>
      <c r="AF347" s="2">
        <v>1.7170000000000001</v>
      </c>
      <c r="AG347" s="2">
        <v>4.0819999999999999</v>
      </c>
      <c r="AH347" s="2">
        <v>-4.1440000000000001</v>
      </c>
      <c r="AI347" s="2">
        <v>0.14199999999999999</v>
      </c>
      <c r="AJ347" s="2">
        <v>-7.0860000000000003</v>
      </c>
      <c r="AK347" s="2">
        <v>0.65</v>
      </c>
      <c r="AL347" s="2">
        <v>-6.3</v>
      </c>
      <c r="AM347" s="2">
        <v>2.0649999999999999</v>
      </c>
      <c r="AN347" s="2" t="s">
        <v>122</v>
      </c>
      <c r="AO347" s="2">
        <v>13</v>
      </c>
      <c r="AP347" s="2">
        <v>48</v>
      </c>
      <c r="AQ347" s="2">
        <v>304</v>
      </c>
      <c r="AR347" s="2">
        <v>1032</v>
      </c>
      <c r="AS347" s="2">
        <v>1059</v>
      </c>
      <c r="AT347" s="2">
        <v>341</v>
      </c>
      <c r="AU347" s="2">
        <v>68</v>
      </c>
      <c r="AV347" s="2">
        <v>15</v>
      </c>
      <c r="AW347" s="2"/>
      <c r="AX347" s="1">
        <f t="shared" si="246"/>
        <v>0.50299999999999967</v>
      </c>
      <c r="AY347" s="21">
        <f t="shared" ref="AY347:AY371" si="278">ROUND(AVERAGE(I347:K347),1)</f>
        <v>-0.5</v>
      </c>
      <c r="AZ347" s="5">
        <v>5.15</v>
      </c>
      <c r="BA347" s="1">
        <v>1.63</v>
      </c>
      <c r="BB347" s="1">
        <v>1.0900000000000001</v>
      </c>
      <c r="BC347" s="6">
        <f t="shared" si="273"/>
        <v>0.66871165644171793</v>
      </c>
      <c r="BE347" s="28">
        <f t="shared" si="276"/>
        <v>0.1</v>
      </c>
      <c r="BF347" s="6"/>
      <c r="BG347" s="1">
        <f t="shared" si="248"/>
        <v>94.9</v>
      </c>
      <c r="BH347" s="1">
        <f t="shared" si="249"/>
        <v>88.2</v>
      </c>
      <c r="BI347" s="1">
        <f t="shared" si="250"/>
        <v>71.7</v>
      </c>
      <c r="BJ347" s="7">
        <f t="shared" si="251"/>
        <v>0.44500000000000001</v>
      </c>
      <c r="BK347" s="7">
        <f t="shared" si="252"/>
        <v>0.17599999999999999</v>
      </c>
      <c r="BM347" s="5">
        <f t="shared" si="253"/>
        <v>1.63</v>
      </c>
      <c r="BN347" s="5">
        <f t="shared" si="254"/>
        <v>1.0900000000000001</v>
      </c>
      <c r="BO347" s="1">
        <f t="shared" si="255"/>
        <v>-3.8</v>
      </c>
      <c r="BP347" s="1">
        <f t="shared" si="256"/>
        <v>0.2</v>
      </c>
      <c r="BQ347" s="1">
        <f t="shared" si="257"/>
        <v>-6.2</v>
      </c>
      <c r="BR347" s="1">
        <f t="shared" si="258"/>
        <v>88.2</v>
      </c>
      <c r="BS347" s="1">
        <f t="shared" si="259"/>
        <v>71.7</v>
      </c>
      <c r="BT347" s="1">
        <f t="shared" si="260"/>
        <v>1.7</v>
      </c>
      <c r="BU347" s="1">
        <f t="shared" si="261"/>
        <v>4.0999999999999996</v>
      </c>
      <c r="BV347" s="33">
        <f t="shared" si="247"/>
        <v>0.1</v>
      </c>
      <c r="BW347" s="34">
        <f t="shared" si="277"/>
        <v>0.50299999999999967</v>
      </c>
      <c r="BX347" s="20">
        <f t="shared" si="262"/>
        <v>-0.5</v>
      </c>
      <c r="BY347" s="1">
        <f t="shared" si="263"/>
        <v>-4.0999999999999996</v>
      </c>
      <c r="BZ347" s="1">
        <f t="shared" si="264"/>
        <v>0.1</v>
      </c>
      <c r="CA347" s="1">
        <f t="shared" si="265"/>
        <v>-7.1</v>
      </c>
      <c r="CB347" s="1">
        <f t="shared" si="266"/>
        <v>0.5</v>
      </c>
      <c r="CC347" s="1">
        <f t="shared" si="267"/>
        <v>1.8</v>
      </c>
      <c r="CD347" s="1">
        <f t="shared" si="268"/>
        <v>2.7</v>
      </c>
      <c r="CE347" s="1" t="str">
        <f t="shared" si="269"/>
        <v>NAN</v>
      </c>
      <c r="CF347" s="1">
        <f t="shared" si="270"/>
        <v>0.44500000000000001</v>
      </c>
      <c r="CG347" s="1">
        <f t="shared" si="271"/>
        <v>0.17599999999999999</v>
      </c>
      <c r="CI347" s="1">
        <f t="shared" si="237"/>
        <v>2880</v>
      </c>
      <c r="CJ347" s="1">
        <f t="shared" si="238"/>
        <v>5.0000000000000001E-3</v>
      </c>
      <c r="CK347" s="1">
        <f t="shared" si="239"/>
        <v>1.7000000000000001E-2</v>
      </c>
      <c r="CL347" s="1">
        <f t="shared" si="240"/>
        <v>0.106</v>
      </c>
      <c r="CM347" s="1">
        <f t="shared" si="241"/>
        <v>0.35799999999999998</v>
      </c>
      <c r="CN347" s="1">
        <f t="shared" si="242"/>
        <v>0.36799999999999999</v>
      </c>
      <c r="CO347" s="1">
        <f t="shared" si="243"/>
        <v>0.11799999999999999</v>
      </c>
      <c r="CP347" s="1">
        <f t="shared" si="244"/>
        <v>2.4E-2</v>
      </c>
      <c r="CQ347" s="1">
        <f t="shared" si="245"/>
        <v>5.0000000000000001E-3</v>
      </c>
      <c r="CS347" s="1">
        <f t="shared" si="274"/>
        <v>-0.1</v>
      </c>
      <c r="CT347" s="1">
        <f t="shared" si="275"/>
        <v>-0.89999999999999947</v>
      </c>
    </row>
    <row r="348" spans="1:98" x14ac:dyDescent="0.2">
      <c r="A348" s="8">
        <f t="shared" si="272"/>
        <v>44173</v>
      </c>
      <c r="B348" s="1">
        <v>343</v>
      </c>
      <c r="C348" s="1">
        <v>11</v>
      </c>
      <c r="D348" s="2">
        <v>12.83</v>
      </c>
      <c r="E348" s="2">
        <v>1.3080000000000001</v>
      </c>
      <c r="F348" s="2">
        <v>-5.0039999999999996</v>
      </c>
      <c r="G348" s="2">
        <v>-0.02</v>
      </c>
      <c r="H348" s="2">
        <v>95.4</v>
      </c>
      <c r="I348" s="2">
        <v>9.5000000000000001E-2</v>
      </c>
      <c r="J348" s="2">
        <v>-0.28299999999999997</v>
      </c>
      <c r="K348" s="2">
        <v>0.55400000000000005</v>
      </c>
      <c r="L348" s="2">
        <v>1.7829999999999999</v>
      </c>
      <c r="M348" s="2">
        <v>2.7440000000000002</v>
      </c>
      <c r="N348" s="2">
        <v>2.4300000000000002</v>
      </c>
      <c r="O348" s="2">
        <v>96.7</v>
      </c>
      <c r="P348" s="2">
        <v>0.19400000000000001</v>
      </c>
      <c r="Q348" s="2">
        <v>0.10199999999999999</v>
      </c>
      <c r="R348" s="2">
        <v>0.64700000000000002</v>
      </c>
      <c r="S348" s="2">
        <v>1.863</v>
      </c>
      <c r="T348" s="2">
        <v>2.831</v>
      </c>
      <c r="U348" s="2">
        <v>-4.8819999999999997</v>
      </c>
      <c r="V348" s="2">
        <v>91.9</v>
      </c>
      <c r="W348" s="2">
        <v>-4.3999999999999997E-2</v>
      </c>
      <c r="X348" s="2">
        <v>-1.5029999999999999</v>
      </c>
      <c r="Y348" s="2">
        <v>0.46899999999999997</v>
      </c>
      <c r="Z348" s="2">
        <v>1.696</v>
      </c>
      <c r="AA348" s="2">
        <v>2.6579999999999999</v>
      </c>
      <c r="AB348" s="2">
        <v>1.948</v>
      </c>
      <c r="AC348" s="2">
        <v>0</v>
      </c>
      <c r="AD348" s="2">
        <v>0.63400000000000001</v>
      </c>
      <c r="AE348" s="2">
        <v>0.47499999999999998</v>
      </c>
      <c r="AF348" s="2">
        <v>0.51800000000000002</v>
      </c>
      <c r="AG348" s="2">
        <v>4.4820000000000002</v>
      </c>
      <c r="AH348" s="2">
        <v>-0.39400000000000002</v>
      </c>
      <c r="AI348" s="2">
        <v>1.349</v>
      </c>
      <c r="AJ348" s="2">
        <v>-4.5149999999999997</v>
      </c>
      <c r="AK348" s="2">
        <v>2.0750000000000002</v>
      </c>
      <c r="AL348" s="2">
        <v>-4.7460000000000004</v>
      </c>
      <c r="AM348" s="2">
        <v>1.954</v>
      </c>
      <c r="AN348" s="2" t="s">
        <v>122</v>
      </c>
      <c r="AO348" s="2">
        <v>425</v>
      </c>
      <c r="AP348" s="2">
        <v>192</v>
      </c>
      <c r="AQ348" s="2">
        <v>145</v>
      </c>
      <c r="AR348" s="2">
        <v>200</v>
      </c>
      <c r="AS348" s="2">
        <v>284</v>
      </c>
      <c r="AT348" s="2">
        <v>295</v>
      </c>
      <c r="AU348" s="2">
        <v>718</v>
      </c>
      <c r="AV348" s="2">
        <v>621</v>
      </c>
      <c r="AW348" s="2"/>
      <c r="AX348" s="1">
        <f t="shared" si="246"/>
        <v>0.60199999999999987</v>
      </c>
      <c r="AY348" s="21">
        <f t="shared" si="278"/>
        <v>0.1</v>
      </c>
      <c r="AZ348" s="5">
        <v>5.1100000000000003</v>
      </c>
      <c r="BA348" s="1">
        <v>0.66</v>
      </c>
      <c r="BB348" s="1">
        <v>0.44</v>
      </c>
      <c r="BC348" s="6">
        <f t="shared" si="273"/>
        <v>0.66666666666666663</v>
      </c>
      <c r="BE348" s="28">
        <f t="shared" si="276"/>
        <v>12.9</v>
      </c>
      <c r="BF348" s="6"/>
      <c r="BG348" s="1">
        <f t="shared" si="248"/>
        <v>96.7</v>
      </c>
      <c r="BH348" s="1">
        <f t="shared" si="249"/>
        <v>95.4</v>
      </c>
      <c r="BI348" s="1">
        <f t="shared" si="250"/>
        <v>91.9</v>
      </c>
      <c r="BJ348" s="7">
        <f t="shared" si="251"/>
        <v>0.66800000000000004</v>
      </c>
      <c r="BK348" s="7">
        <f t="shared" si="252"/>
        <v>5.8999999999999997E-2</v>
      </c>
      <c r="BM348" s="5">
        <f t="shared" si="253"/>
        <v>0.66</v>
      </c>
      <c r="BN348" s="5">
        <f t="shared" si="254"/>
        <v>0.44</v>
      </c>
      <c r="BO348" s="1">
        <f t="shared" si="255"/>
        <v>0</v>
      </c>
      <c r="BP348" s="1">
        <f t="shared" si="256"/>
        <v>2.4</v>
      </c>
      <c r="BQ348" s="1">
        <f t="shared" si="257"/>
        <v>-4.9000000000000004</v>
      </c>
      <c r="BR348" s="1">
        <f t="shared" si="258"/>
        <v>95.4</v>
      </c>
      <c r="BS348" s="1">
        <f t="shared" si="259"/>
        <v>91.9</v>
      </c>
      <c r="BT348" s="1">
        <f t="shared" si="260"/>
        <v>0.5</v>
      </c>
      <c r="BU348" s="1">
        <f t="shared" si="261"/>
        <v>4.5</v>
      </c>
      <c r="BV348" s="33">
        <f t="shared" si="247"/>
        <v>12.9</v>
      </c>
      <c r="BW348" s="34">
        <f t="shared" si="277"/>
        <v>0.60199999999999987</v>
      </c>
      <c r="BX348" s="20">
        <f t="shared" si="262"/>
        <v>0.1</v>
      </c>
      <c r="BY348" s="1">
        <f t="shared" si="263"/>
        <v>-0.4</v>
      </c>
      <c r="BZ348" s="1">
        <f t="shared" si="264"/>
        <v>1.3</v>
      </c>
      <c r="CA348" s="1">
        <f t="shared" si="265"/>
        <v>-4.5</v>
      </c>
      <c r="CB348" s="1">
        <f t="shared" si="266"/>
        <v>0.6</v>
      </c>
      <c r="CC348" s="1">
        <f t="shared" si="267"/>
        <v>1.8</v>
      </c>
      <c r="CD348" s="1">
        <f t="shared" si="268"/>
        <v>2.7</v>
      </c>
      <c r="CE348" s="1" t="str">
        <f t="shared" si="269"/>
        <v>NAN</v>
      </c>
      <c r="CF348" s="1">
        <f t="shared" si="270"/>
        <v>0.66800000000000004</v>
      </c>
      <c r="CG348" s="1">
        <f t="shared" si="271"/>
        <v>5.8999999999999997E-2</v>
      </c>
      <c r="CI348" s="1">
        <f t="shared" si="237"/>
        <v>2880</v>
      </c>
      <c r="CJ348" s="1">
        <f t="shared" si="238"/>
        <v>0.14799999999999999</v>
      </c>
      <c r="CK348" s="1">
        <f t="shared" si="239"/>
        <v>6.7000000000000004E-2</v>
      </c>
      <c r="CL348" s="1">
        <f t="shared" si="240"/>
        <v>0.05</v>
      </c>
      <c r="CM348" s="1">
        <f t="shared" si="241"/>
        <v>6.9000000000000006E-2</v>
      </c>
      <c r="CN348" s="1">
        <f t="shared" si="242"/>
        <v>9.9000000000000005E-2</v>
      </c>
      <c r="CO348" s="1">
        <f t="shared" si="243"/>
        <v>0.10199999999999999</v>
      </c>
      <c r="CP348" s="1">
        <f t="shared" si="244"/>
        <v>0.249</v>
      </c>
      <c r="CQ348" s="1">
        <f t="shared" si="245"/>
        <v>0.216</v>
      </c>
      <c r="CS348" s="1">
        <f t="shared" si="274"/>
        <v>-1.0999999999999999</v>
      </c>
      <c r="CT348" s="1">
        <f t="shared" si="275"/>
        <v>0.40000000000000036</v>
      </c>
    </row>
    <row r="349" spans="1:98" x14ac:dyDescent="0.2">
      <c r="A349" s="8">
        <f t="shared" si="272"/>
        <v>44174</v>
      </c>
      <c r="B349" s="1">
        <v>344</v>
      </c>
      <c r="C349" s="1">
        <v>11</v>
      </c>
      <c r="D349" s="2">
        <v>13.06</v>
      </c>
      <c r="E349" s="2">
        <v>-0.24399999999999999</v>
      </c>
      <c r="F349" s="2">
        <v>-5.9189999999999996</v>
      </c>
      <c r="G349" s="2">
        <v>-3.4279999999999999</v>
      </c>
      <c r="H349" s="2">
        <v>91.9</v>
      </c>
      <c r="I349" s="2">
        <v>0.08</v>
      </c>
      <c r="J349" s="2">
        <v>-3.5999999999999997E-2</v>
      </c>
      <c r="K349" s="2">
        <v>0.499</v>
      </c>
      <c r="L349" s="2">
        <v>1.728</v>
      </c>
      <c r="M349" s="2">
        <v>2.6920000000000002</v>
      </c>
      <c r="N349" s="2">
        <v>-1.0249999999999999</v>
      </c>
      <c r="O349" s="2">
        <v>94.4</v>
      </c>
      <c r="P349" s="2">
        <v>0.161</v>
      </c>
      <c r="Q349" s="2">
        <v>3.9E-2</v>
      </c>
      <c r="R349" s="2">
        <v>0.58399999999999996</v>
      </c>
      <c r="S349" s="2">
        <v>1.8180000000000001</v>
      </c>
      <c r="T349" s="2">
        <v>2.7709999999999999</v>
      </c>
      <c r="U349" s="2">
        <v>-5.4889999999999999</v>
      </c>
      <c r="V349" s="2">
        <v>84</v>
      </c>
      <c r="W349" s="2">
        <v>1E-3</v>
      </c>
      <c r="X349" s="2">
        <v>-0.114</v>
      </c>
      <c r="Y349" s="2">
        <v>0.41899999999999998</v>
      </c>
      <c r="Z349" s="2">
        <v>1.6419999999999999</v>
      </c>
      <c r="AA349" s="2">
        <v>2.6160000000000001</v>
      </c>
      <c r="AB349" s="2">
        <v>1.9</v>
      </c>
      <c r="AC349" s="2">
        <v>0</v>
      </c>
      <c r="AD349" s="2">
        <v>0.63900000000000001</v>
      </c>
      <c r="AE349" s="2">
        <v>2.7690000000000001</v>
      </c>
      <c r="AF349" s="2">
        <v>0.36499999999999999</v>
      </c>
      <c r="AG349" s="2">
        <v>3.2869999999999999</v>
      </c>
      <c r="AH349" s="2">
        <v>-4.4800000000000004</v>
      </c>
      <c r="AI349" s="2">
        <v>-0.12</v>
      </c>
      <c r="AJ349" s="2">
        <v>-9.5</v>
      </c>
      <c r="AK349" s="2">
        <v>0.108</v>
      </c>
      <c r="AL349" s="2">
        <v>-6.0780000000000003</v>
      </c>
      <c r="AM349" s="2">
        <v>1.919</v>
      </c>
      <c r="AN349" s="2" t="s">
        <v>122</v>
      </c>
      <c r="AO349" s="2">
        <v>936</v>
      </c>
      <c r="AP349" s="2">
        <v>290</v>
      </c>
      <c r="AQ349" s="2">
        <v>64</v>
      </c>
      <c r="AR349" s="2">
        <v>17</v>
      </c>
      <c r="AS349" s="2">
        <v>7</v>
      </c>
      <c r="AT349" s="2">
        <v>42</v>
      </c>
      <c r="AU349" s="2">
        <v>363</v>
      </c>
      <c r="AV349" s="2">
        <v>1161</v>
      </c>
      <c r="AW349" s="2"/>
      <c r="AX349" s="1">
        <f t="shared" si="246"/>
        <v>0.64999999999999991</v>
      </c>
      <c r="AY349" s="21">
        <f t="shared" si="278"/>
        <v>0.2</v>
      </c>
      <c r="AZ349" s="5">
        <v>5.08</v>
      </c>
      <c r="BA349" s="1">
        <v>2.68</v>
      </c>
      <c r="BB349" s="1">
        <v>2.5499999999999998</v>
      </c>
      <c r="BC349" s="6">
        <f t="shared" si="273"/>
        <v>0.95149253731343275</v>
      </c>
      <c r="BE349" s="28">
        <f t="shared" si="276"/>
        <v>6.2</v>
      </c>
      <c r="BF349" s="6"/>
      <c r="BG349" s="1">
        <f t="shared" si="248"/>
        <v>94.4</v>
      </c>
      <c r="BH349" s="1">
        <f t="shared" si="249"/>
        <v>91.9</v>
      </c>
      <c r="BI349" s="1">
        <f t="shared" si="250"/>
        <v>84</v>
      </c>
      <c r="BJ349" s="7">
        <f t="shared" si="251"/>
        <v>0.47599999999999998</v>
      </c>
      <c r="BK349" s="7">
        <f t="shared" si="252"/>
        <v>9.0999999999999998E-2</v>
      </c>
      <c r="BM349" s="5">
        <f t="shared" si="253"/>
        <v>2.68</v>
      </c>
      <c r="BN349" s="5">
        <f t="shared" si="254"/>
        <v>2.5499999999999998</v>
      </c>
      <c r="BO349" s="1">
        <f t="shared" si="255"/>
        <v>-3.4</v>
      </c>
      <c r="BP349" s="1">
        <f t="shared" si="256"/>
        <v>-1</v>
      </c>
      <c r="BQ349" s="1">
        <f t="shared" si="257"/>
        <v>-5.5</v>
      </c>
      <c r="BR349" s="1">
        <f t="shared" si="258"/>
        <v>91.9</v>
      </c>
      <c r="BS349" s="1">
        <f t="shared" si="259"/>
        <v>84</v>
      </c>
      <c r="BT349" s="1">
        <f t="shared" si="260"/>
        <v>0.4</v>
      </c>
      <c r="BU349" s="1">
        <f t="shared" si="261"/>
        <v>3.3</v>
      </c>
      <c r="BV349" s="33">
        <f t="shared" si="247"/>
        <v>6.2</v>
      </c>
      <c r="BW349" s="34">
        <f t="shared" si="277"/>
        <v>0.64999999999999991</v>
      </c>
      <c r="BX349" s="20">
        <f t="shared" si="262"/>
        <v>0.2</v>
      </c>
      <c r="BY349" s="1">
        <f t="shared" si="263"/>
        <v>-4.5</v>
      </c>
      <c r="BZ349" s="1">
        <f t="shared" si="264"/>
        <v>-0.1</v>
      </c>
      <c r="CA349" s="1">
        <f t="shared" si="265"/>
        <v>-9.5</v>
      </c>
      <c r="CB349" s="1">
        <f t="shared" si="266"/>
        <v>0.5</v>
      </c>
      <c r="CC349" s="1">
        <f t="shared" si="267"/>
        <v>1.7</v>
      </c>
      <c r="CD349" s="1">
        <f t="shared" si="268"/>
        <v>2.7</v>
      </c>
      <c r="CE349" s="1" t="str">
        <f t="shared" si="269"/>
        <v>NAN</v>
      </c>
      <c r="CF349" s="1">
        <f t="shared" si="270"/>
        <v>0.47599999999999998</v>
      </c>
      <c r="CG349" s="1">
        <f t="shared" si="271"/>
        <v>9.0999999999999998E-2</v>
      </c>
      <c r="CI349" s="1">
        <f t="shared" si="237"/>
        <v>2880</v>
      </c>
      <c r="CJ349" s="1">
        <f t="shared" si="238"/>
        <v>0.32500000000000001</v>
      </c>
      <c r="CK349" s="1">
        <f t="shared" si="239"/>
        <v>0.10100000000000001</v>
      </c>
      <c r="CL349" s="1">
        <f t="shared" si="240"/>
        <v>2.1999999999999999E-2</v>
      </c>
      <c r="CM349" s="1">
        <f t="shared" si="241"/>
        <v>6.0000000000000001E-3</v>
      </c>
      <c r="CN349" s="1">
        <f t="shared" si="242"/>
        <v>2E-3</v>
      </c>
      <c r="CO349" s="1">
        <f t="shared" si="243"/>
        <v>1.4999999999999999E-2</v>
      </c>
      <c r="CP349" s="1">
        <f t="shared" si="244"/>
        <v>0.126</v>
      </c>
      <c r="CQ349" s="1">
        <f t="shared" si="245"/>
        <v>0.40300000000000002</v>
      </c>
      <c r="CS349" s="1">
        <f t="shared" si="274"/>
        <v>0.9</v>
      </c>
      <c r="CT349" s="1">
        <f t="shared" si="275"/>
        <v>-4</v>
      </c>
    </row>
    <row r="350" spans="1:98" x14ac:dyDescent="0.2">
      <c r="A350" s="8">
        <f t="shared" si="272"/>
        <v>44175</v>
      </c>
      <c r="B350" s="1">
        <v>345</v>
      </c>
      <c r="C350" s="1">
        <v>11</v>
      </c>
      <c r="D350" s="2">
        <v>12.97</v>
      </c>
      <c r="E350" s="2">
        <v>-4.8310000000000004</v>
      </c>
      <c r="F350" s="2">
        <v>-10.58</v>
      </c>
      <c r="G350" s="2">
        <v>-6.6070000000000002</v>
      </c>
      <c r="H350" s="2">
        <v>90.9</v>
      </c>
      <c r="I350" s="2">
        <v>6.8000000000000005E-2</v>
      </c>
      <c r="J350" s="2">
        <v>-0.27600000000000002</v>
      </c>
      <c r="K350" s="2">
        <v>0.45900000000000002</v>
      </c>
      <c r="L350" s="2">
        <v>1.69</v>
      </c>
      <c r="M350" s="2">
        <v>2.65</v>
      </c>
      <c r="N350" s="2">
        <v>-4.8449999999999998</v>
      </c>
      <c r="O350" s="2">
        <v>92.4</v>
      </c>
      <c r="P350" s="2">
        <v>0.14000000000000001</v>
      </c>
      <c r="Q350" s="2">
        <v>1E-3</v>
      </c>
      <c r="R350" s="2">
        <v>0.54300000000000004</v>
      </c>
      <c r="S350" s="2">
        <v>1.788</v>
      </c>
      <c r="T350" s="2">
        <v>2.722</v>
      </c>
      <c r="U350" s="2">
        <v>-8.4</v>
      </c>
      <c r="V350" s="2">
        <v>89</v>
      </c>
      <c r="W350" s="2">
        <v>-4.2000000000000003E-2</v>
      </c>
      <c r="X350" s="2">
        <v>-0.745</v>
      </c>
      <c r="Y350" s="2">
        <v>0.36399999999999999</v>
      </c>
      <c r="Z350" s="2">
        <v>1.5860000000000001</v>
      </c>
      <c r="AA350" s="2">
        <v>2.5649999999999999</v>
      </c>
      <c r="AB350" s="2">
        <v>1.9219999999999999</v>
      </c>
      <c r="AC350" s="2">
        <v>0</v>
      </c>
      <c r="AD350" s="2">
        <v>0.20599999999999999</v>
      </c>
      <c r="AE350" s="2">
        <v>1.5329999999999999</v>
      </c>
      <c r="AF350" s="2">
        <v>0.86799999999999999</v>
      </c>
      <c r="AG350" s="2">
        <v>3.226</v>
      </c>
      <c r="AH350" s="2">
        <v>-8.33</v>
      </c>
      <c r="AI350" s="2">
        <v>-4.859</v>
      </c>
      <c r="AJ350" s="2">
        <v>-14.7</v>
      </c>
      <c r="AK350" s="2">
        <v>-4.6479999999999997</v>
      </c>
      <c r="AL350" s="2">
        <v>-9.39</v>
      </c>
      <c r="AM350" s="2">
        <v>1.9470000000000001</v>
      </c>
      <c r="AN350" s="2" t="s">
        <v>122</v>
      </c>
      <c r="AO350" s="2">
        <v>139</v>
      </c>
      <c r="AP350" s="2">
        <v>52</v>
      </c>
      <c r="AQ350" s="2">
        <v>56</v>
      </c>
      <c r="AR350" s="2">
        <v>166</v>
      </c>
      <c r="AS350" s="2">
        <v>604</v>
      </c>
      <c r="AT350" s="2">
        <v>1062</v>
      </c>
      <c r="AU350" s="2">
        <v>585</v>
      </c>
      <c r="AV350" s="2">
        <v>216</v>
      </c>
      <c r="AW350" s="2"/>
      <c r="AX350" s="1">
        <f t="shared" si="246"/>
        <v>0.62799999999999989</v>
      </c>
      <c r="AY350" s="21">
        <f t="shared" si="278"/>
        <v>0.1</v>
      </c>
      <c r="AZ350" s="5">
        <v>5.04</v>
      </c>
      <c r="BA350" s="1">
        <v>1.49</v>
      </c>
      <c r="BB350" s="1">
        <v>1.41</v>
      </c>
      <c r="BC350" s="6">
        <f t="shared" si="273"/>
        <v>0.94630872483221473</v>
      </c>
      <c r="BE350" s="28">
        <f t="shared" si="276"/>
        <v>0</v>
      </c>
      <c r="BF350" s="6"/>
      <c r="BG350" s="1">
        <f t="shared" si="248"/>
        <v>92.4</v>
      </c>
      <c r="BH350" s="1">
        <f t="shared" si="249"/>
        <v>90.9</v>
      </c>
      <c r="BI350" s="1">
        <f t="shared" si="250"/>
        <v>89</v>
      </c>
      <c r="BJ350" s="7">
        <f t="shared" si="251"/>
        <v>0.379</v>
      </c>
      <c r="BK350" s="7">
        <f t="shared" si="252"/>
        <v>4.7E-2</v>
      </c>
      <c r="BM350" s="5">
        <f t="shared" si="253"/>
        <v>1.49</v>
      </c>
      <c r="BN350" s="5">
        <f t="shared" si="254"/>
        <v>1.41</v>
      </c>
      <c r="BO350" s="1">
        <f t="shared" si="255"/>
        <v>-6.6</v>
      </c>
      <c r="BP350" s="1">
        <f t="shared" si="256"/>
        <v>-4.8</v>
      </c>
      <c r="BQ350" s="1">
        <f t="shared" si="257"/>
        <v>-8.4</v>
      </c>
      <c r="BR350" s="1">
        <f t="shared" si="258"/>
        <v>90.9</v>
      </c>
      <c r="BS350" s="1">
        <f t="shared" si="259"/>
        <v>89</v>
      </c>
      <c r="BT350" s="1">
        <f t="shared" si="260"/>
        <v>0.9</v>
      </c>
      <c r="BU350" s="1">
        <f t="shared" si="261"/>
        <v>3.2</v>
      </c>
      <c r="BV350" s="33">
        <f t="shared" si="247"/>
        <v>0</v>
      </c>
      <c r="BW350" s="34">
        <f t="shared" si="277"/>
        <v>0.62799999999999989</v>
      </c>
      <c r="BX350" s="20">
        <f t="shared" si="262"/>
        <v>0.1</v>
      </c>
      <c r="BY350" s="1">
        <f t="shared" si="263"/>
        <v>-8.3000000000000007</v>
      </c>
      <c r="BZ350" s="1">
        <f t="shared" si="264"/>
        <v>-4.9000000000000004</v>
      </c>
      <c r="CA350" s="1">
        <f t="shared" si="265"/>
        <v>-14.7</v>
      </c>
      <c r="CB350" s="1">
        <f t="shared" si="266"/>
        <v>0.5</v>
      </c>
      <c r="CC350" s="1">
        <f t="shared" si="267"/>
        <v>1.7</v>
      </c>
      <c r="CD350" s="1">
        <f t="shared" si="268"/>
        <v>2.7</v>
      </c>
      <c r="CE350" s="1" t="str">
        <f t="shared" si="269"/>
        <v>NAN</v>
      </c>
      <c r="CF350" s="1">
        <f t="shared" si="270"/>
        <v>0.379</v>
      </c>
      <c r="CG350" s="1">
        <f t="shared" si="271"/>
        <v>4.7E-2</v>
      </c>
      <c r="CI350" s="1">
        <f t="shared" si="237"/>
        <v>2880</v>
      </c>
      <c r="CJ350" s="1">
        <f t="shared" si="238"/>
        <v>4.8000000000000001E-2</v>
      </c>
      <c r="CK350" s="1">
        <f t="shared" si="239"/>
        <v>1.7999999999999999E-2</v>
      </c>
      <c r="CL350" s="1">
        <f t="shared" si="240"/>
        <v>1.9E-2</v>
      </c>
      <c r="CM350" s="1">
        <f t="shared" si="241"/>
        <v>5.8000000000000003E-2</v>
      </c>
      <c r="CN350" s="1">
        <f t="shared" si="242"/>
        <v>0.21</v>
      </c>
      <c r="CO350" s="1">
        <f t="shared" si="243"/>
        <v>0.36899999999999999</v>
      </c>
      <c r="CP350" s="1">
        <f t="shared" si="244"/>
        <v>0.20300000000000001</v>
      </c>
      <c r="CQ350" s="1">
        <f t="shared" si="245"/>
        <v>7.4999999999999997E-2</v>
      </c>
      <c r="CS350" s="1">
        <f t="shared" si="274"/>
        <v>-0.10000000000000053</v>
      </c>
      <c r="CT350" s="1">
        <f t="shared" si="275"/>
        <v>-6.2999999999999989</v>
      </c>
    </row>
    <row r="351" spans="1:98" x14ac:dyDescent="0.2">
      <c r="A351" s="8">
        <f t="shared" si="272"/>
        <v>44176</v>
      </c>
      <c r="B351" s="1">
        <v>346</v>
      </c>
      <c r="C351" s="1">
        <v>11</v>
      </c>
      <c r="D351" s="2">
        <v>13.02</v>
      </c>
      <c r="E351" s="2">
        <v>-4.6989999999999998</v>
      </c>
      <c r="F351" s="2">
        <v>-8.35</v>
      </c>
      <c r="G351" s="2">
        <v>-6.8029999999999999</v>
      </c>
      <c r="H351" s="2">
        <v>90.4</v>
      </c>
      <c r="I351" s="2">
        <v>6.7000000000000004E-2</v>
      </c>
      <c r="J351" s="2">
        <v>-1</v>
      </c>
      <c r="K351" s="2">
        <v>0.438</v>
      </c>
      <c r="L351" s="2">
        <v>1.6659999999999999</v>
      </c>
      <c r="M351" s="2">
        <v>2.6230000000000002</v>
      </c>
      <c r="N351" s="2">
        <v>-4.165</v>
      </c>
      <c r="O351" s="2">
        <v>91.7</v>
      </c>
      <c r="P351" s="2">
        <v>0.14499999999999999</v>
      </c>
      <c r="Q351" s="2">
        <v>-0.64200000000000002</v>
      </c>
      <c r="R351" s="2">
        <v>0.51800000000000002</v>
      </c>
      <c r="S351" s="2">
        <v>1.748</v>
      </c>
      <c r="T351" s="2">
        <v>2.7050000000000001</v>
      </c>
      <c r="U351" s="2">
        <v>-7.7270000000000003</v>
      </c>
      <c r="V351" s="2">
        <v>88.8</v>
      </c>
      <c r="W351" s="2">
        <v>-3.0000000000000001E-3</v>
      </c>
      <c r="X351" s="2">
        <v>-1.25</v>
      </c>
      <c r="Y351" s="2">
        <v>0.34799999999999998</v>
      </c>
      <c r="Z351" s="2">
        <v>1.579</v>
      </c>
      <c r="AA351" s="2">
        <v>2.544</v>
      </c>
      <c r="AB351" s="2">
        <v>1.911</v>
      </c>
      <c r="AC351" s="2">
        <v>0</v>
      </c>
      <c r="AD351" s="2">
        <v>0.24399999999999999</v>
      </c>
      <c r="AE351" s="2">
        <v>1.883</v>
      </c>
      <c r="AF351" s="2">
        <v>9.1999999999999998E-2</v>
      </c>
      <c r="AG351" s="2">
        <v>0.99</v>
      </c>
      <c r="AH351" s="2">
        <v>-7.4560000000000004</v>
      </c>
      <c r="AI351" s="2">
        <v>-5.0069999999999997</v>
      </c>
      <c r="AJ351" s="2">
        <v>-10.220000000000001</v>
      </c>
      <c r="AK351" s="2">
        <v>-3.5619999999999998</v>
      </c>
      <c r="AL351" s="2">
        <v>-8.32</v>
      </c>
      <c r="AM351" s="2">
        <v>1.9379999999999999</v>
      </c>
      <c r="AN351" s="2" t="s">
        <v>122</v>
      </c>
      <c r="AO351" s="2">
        <v>103</v>
      </c>
      <c r="AP351" s="2">
        <v>31</v>
      </c>
      <c r="AQ351" s="2">
        <v>33</v>
      </c>
      <c r="AR351" s="2">
        <v>45</v>
      </c>
      <c r="AS351" s="2">
        <v>100</v>
      </c>
      <c r="AT351" s="2">
        <v>237</v>
      </c>
      <c r="AU351" s="2">
        <v>1804</v>
      </c>
      <c r="AV351" s="2">
        <v>527</v>
      </c>
      <c r="AW351" s="2"/>
      <c r="AX351" s="1">
        <f t="shared" si="246"/>
        <v>0.63899999999999979</v>
      </c>
      <c r="AY351" s="21">
        <f t="shared" si="278"/>
        <v>-0.2</v>
      </c>
      <c r="AZ351" s="5">
        <v>5.01</v>
      </c>
      <c r="BA351" s="1">
        <v>1.82</v>
      </c>
      <c r="BB351" s="1">
        <v>1.73</v>
      </c>
      <c r="BC351" s="6">
        <f t="shared" si="273"/>
        <v>0.9505494505494505</v>
      </c>
      <c r="BE351" s="28">
        <f t="shared" si="276"/>
        <v>1.4</v>
      </c>
      <c r="BF351" s="6"/>
      <c r="BG351" s="1">
        <f t="shared" si="248"/>
        <v>91.7</v>
      </c>
      <c r="BH351" s="1">
        <f t="shared" si="249"/>
        <v>90.4</v>
      </c>
      <c r="BI351" s="1">
        <f t="shared" si="250"/>
        <v>88.8</v>
      </c>
      <c r="BJ351" s="7">
        <f t="shared" si="251"/>
        <v>0.39800000000000002</v>
      </c>
      <c r="BK351" s="7">
        <f t="shared" si="252"/>
        <v>0.05</v>
      </c>
      <c r="BM351" s="5">
        <f t="shared" si="253"/>
        <v>1.82</v>
      </c>
      <c r="BN351" s="5">
        <f t="shared" si="254"/>
        <v>1.73</v>
      </c>
      <c r="BO351" s="1">
        <f t="shared" si="255"/>
        <v>-6.8</v>
      </c>
      <c r="BP351" s="1">
        <f t="shared" si="256"/>
        <v>-4.2</v>
      </c>
      <c r="BQ351" s="1">
        <f t="shared" si="257"/>
        <v>-7.7</v>
      </c>
      <c r="BR351" s="1">
        <f t="shared" si="258"/>
        <v>90.4</v>
      </c>
      <c r="BS351" s="1">
        <f t="shared" si="259"/>
        <v>88.8</v>
      </c>
      <c r="BT351" s="1">
        <f t="shared" si="260"/>
        <v>0.1</v>
      </c>
      <c r="BU351" s="1">
        <f t="shared" si="261"/>
        <v>1</v>
      </c>
      <c r="BV351" s="33">
        <f t="shared" si="247"/>
        <v>1.4</v>
      </c>
      <c r="BW351" s="34">
        <f t="shared" si="277"/>
        <v>0.63899999999999979</v>
      </c>
      <c r="BX351" s="20">
        <f t="shared" si="262"/>
        <v>-0.2</v>
      </c>
      <c r="BY351" s="1">
        <f t="shared" si="263"/>
        <v>-7.5</v>
      </c>
      <c r="BZ351" s="1">
        <f t="shared" si="264"/>
        <v>-5</v>
      </c>
      <c r="CA351" s="1">
        <f t="shared" si="265"/>
        <v>-10.199999999999999</v>
      </c>
      <c r="CB351" s="1">
        <f t="shared" si="266"/>
        <v>0.4</v>
      </c>
      <c r="CC351" s="1">
        <f t="shared" si="267"/>
        <v>1.7</v>
      </c>
      <c r="CD351" s="1">
        <f t="shared" si="268"/>
        <v>2.6</v>
      </c>
      <c r="CE351" s="1" t="str">
        <f t="shared" si="269"/>
        <v>NAN</v>
      </c>
      <c r="CF351" s="1">
        <f t="shared" si="270"/>
        <v>0.39800000000000002</v>
      </c>
      <c r="CG351" s="1">
        <f t="shared" si="271"/>
        <v>0.05</v>
      </c>
      <c r="CI351" s="1">
        <f t="shared" si="237"/>
        <v>2880</v>
      </c>
      <c r="CJ351" s="1">
        <f t="shared" si="238"/>
        <v>3.5999999999999997E-2</v>
      </c>
      <c r="CK351" s="1">
        <f t="shared" si="239"/>
        <v>1.0999999999999999E-2</v>
      </c>
      <c r="CL351" s="1">
        <f t="shared" si="240"/>
        <v>1.0999999999999999E-2</v>
      </c>
      <c r="CM351" s="1">
        <f t="shared" si="241"/>
        <v>1.6E-2</v>
      </c>
      <c r="CN351" s="1">
        <f t="shared" si="242"/>
        <v>3.5000000000000003E-2</v>
      </c>
      <c r="CO351" s="1">
        <f t="shared" si="243"/>
        <v>8.2000000000000003E-2</v>
      </c>
      <c r="CP351" s="1">
        <f t="shared" si="244"/>
        <v>0.626</v>
      </c>
      <c r="CQ351" s="1">
        <f t="shared" si="245"/>
        <v>0.183</v>
      </c>
      <c r="CS351" s="1">
        <f t="shared" si="274"/>
        <v>-0.79999999999999982</v>
      </c>
      <c r="CT351" s="1">
        <f t="shared" si="275"/>
        <v>-2.4999999999999991</v>
      </c>
    </row>
    <row r="352" spans="1:98" x14ac:dyDescent="0.2">
      <c r="A352" s="8">
        <f t="shared" si="272"/>
        <v>44177</v>
      </c>
      <c r="B352" s="1">
        <v>347</v>
      </c>
      <c r="C352" s="1">
        <v>11</v>
      </c>
      <c r="D352" s="2">
        <v>13.04</v>
      </c>
      <c r="E352" s="2">
        <v>-5.4829999999999997</v>
      </c>
      <c r="F352" s="2">
        <v>-9.75</v>
      </c>
      <c r="G352" s="2">
        <v>-8.16</v>
      </c>
      <c r="H352" s="2">
        <v>89.3</v>
      </c>
      <c r="I352" s="2">
        <v>7.0000000000000007E-2</v>
      </c>
      <c r="J352" s="2">
        <v>-1.278</v>
      </c>
      <c r="K352" s="2">
        <v>0.41599999999999998</v>
      </c>
      <c r="L352" s="2">
        <v>1.641</v>
      </c>
      <c r="M352" s="2">
        <v>2.5939999999999999</v>
      </c>
      <c r="N352" s="2">
        <v>-4.6740000000000004</v>
      </c>
      <c r="O352" s="2">
        <v>91.2</v>
      </c>
      <c r="P352" s="2">
        <v>0.13200000000000001</v>
      </c>
      <c r="Q352" s="2">
        <v>-1.1519999999999999</v>
      </c>
      <c r="R352" s="2">
        <v>0.48799999999999999</v>
      </c>
      <c r="S352" s="2">
        <v>1.7130000000000001</v>
      </c>
      <c r="T352" s="2">
        <v>2.6880000000000002</v>
      </c>
      <c r="U352" s="2">
        <v>-9.9</v>
      </c>
      <c r="V352" s="2">
        <v>87.6</v>
      </c>
      <c r="W352" s="2">
        <v>-1E-3</v>
      </c>
      <c r="X352" s="2">
        <v>-1.395</v>
      </c>
      <c r="Y352" s="2">
        <v>0.33200000000000002</v>
      </c>
      <c r="Z352" s="2">
        <v>1.554</v>
      </c>
      <c r="AA352" s="2">
        <v>2.5129999999999999</v>
      </c>
      <c r="AB352" s="2">
        <v>1.913</v>
      </c>
      <c r="AC352" s="2">
        <v>0</v>
      </c>
      <c r="AD352" s="2">
        <v>0.28199999999999997</v>
      </c>
      <c r="AE352" s="2">
        <v>1.9490000000000001</v>
      </c>
      <c r="AF352" s="2">
        <v>0.223</v>
      </c>
      <c r="AG352" s="2">
        <v>2.0579999999999998</v>
      </c>
      <c r="AH352" s="2">
        <v>-8.57</v>
      </c>
      <c r="AI352" s="2">
        <v>-5.4459999999999997</v>
      </c>
      <c r="AJ352" s="2">
        <v>-10.15</v>
      </c>
      <c r="AK352" s="2">
        <v>-3.093</v>
      </c>
      <c r="AL352" s="2">
        <v>-10.050000000000001</v>
      </c>
      <c r="AM352" s="2">
        <v>1.948</v>
      </c>
      <c r="AN352" s="2" t="s">
        <v>122</v>
      </c>
      <c r="AO352" s="2">
        <v>223</v>
      </c>
      <c r="AP352" s="2">
        <v>120</v>
      </c>
      <c r="AQ352" s="2">
        <v>55</v>
      </c>
      <c r="AR352" s="2">
        <v>30</v>
      </c>
      <c r="AS352" s="2">
        <v>97</v>
      </c>
      <c r="AT352" s="2">
        <v>336</v>
      </c>
      <c r="AU352" s="2">
        <v>1307</v>
      </c>
      <c r="AV352" s="2">
        <v>712</v>
      </c>
      <c r="AW352" s="2"/>
      <c r="AX352" s="1">
        <f t="shared" si="246"/>
        <v>0.63699999999999979</v>
      </c>
      <c r="AY352" s="21">
        <f t="shared" si="278"/>
        <v>-0.3</v>
      </c>
      <c r="AZ352" s="5">
        <v>4.99</v>
      </c>
      <c r="BA352" s="1">
        <v>1.89</v>
      </c>
      <c r="BB352" s="1">
        <v>1.79</v>
      </c>
      <c r="BC352" s="6">
        <f t="shared" si="273"/>
        <v>0.9470899470899472</v>
      </c>
      <c r="BE352" s="28">
        <f t="shared" si="276"/>
        <v>0</v>
      </c>
      <c r="BF352" s="6"/>
      <c r="BG352" s="1">
        <f t="shared" si="248"/>
        <v>91.2</v>
      </c>
      <c r="BH352" s="1">
        <f t="shared" si="249"/>
        <v>89.3</v>
      </c>
      <c r="BI352" s="1">
        <f t="shared" si="250"/>
        <v>87.6</v>
      </c>
      <c r="BJ352" s="7">
        <f t="shared" si="251"/>
        <v>0.378</v>
      </c>
      <c r="BK352" s="7">
        <f t="shared" si="252"/>
        <v>5.3999999999999999E-2</v>
      </c>
      <c r="BM352" s="5">
        <f t="shared" si="253"/>
        <v>1.89</v>
      </c>
      <c r="BN352" s="5">
        <f t="shared" si="254"/>
        <v>1.79</v>
      </c>
      <c r="BO352" s="1">
        <f t="shared" si="255"/>
        <v>-8.1999999999999993</v>
      </c>
      <c r="BP352" s="1">
        <f t="shared" si="256"/>
        <v>-4.7</v>
      </c>
      <c r="BQ352" s="1">
        <f t="shared" si="257"/>
        <v>-9.9</v>
      </c>
      <c r="BR352" s="1">
        <f t="shared" si="258"/>
        <v>89.3</v>
      </c>
      <c r="BS352" s="1">
        <f t="shared" si="259"/>
        <v>87.6</v>
      </c>
      <c r="BT352" s="1">
        <f t="shared" si="260"/>
        <v>0.2</v>
      </c>
      <c r="BU352" s="1">
        <f t="shared" si="261"/>
        <v>2.1</v>
      </c>
      <c r="BV352" s="33">
        <f t="shared" si="247"/>
        <v>0</v>
      </c>
      <c r="BW352" s="34">
        <f t="shared" si="277"/>
        <v>0.63699999999999979</v>
      </c>
      <c r="BX352" s="20">
        <f t="shared" si="262"/>
        <v>-0.3</v>
      </c>
      <c r="BY352" s="1">
        <f t="shared" si="263"/>
        <v>-8.6</v>
      </c>
      <c r="BZ352" s="1">
        <f t="shared" si="264"/>
        <v>-5.4</v>
      </c>
      <c r="CA352" s="1">
        <f t="shared" si="265"/>
        <v>-10.199999999999999</v>
      </c>
      <c r="CB352" s="1">
        <f t="shared" si="266"/>
        <v>0.4</v>
      </c>
      <c r="CC352" s="1">
        <f t="shared" si="267"/>
        <v>1.6</v>
      </c>
      <c r="CD352" s="1">
        <f t="shared" si="268"/>
        <v>2.6</v>
      </c>
      <c r="CE352" s="1" t="str">
        <f t="shared" si="269"/>
        <v>NAN</v>
      </c>
      <c r="CF352" s="1">
        <f t="shared" si="270"/>
        <v>0.378</v>
      </c>
      <c r="CG352" s="1">
        <f t="shared" si="271"/>
        <v>5.3999999999999999E-2</v>
      </c>
      <c r="CI352" s="1">
        <f t="shared" si="237"/>
        <v>2880</v>
      </c>
      <c r="CJ352" s="1">
        <f t="shared" si="238"/>
        <v>7.6999999999999999E-2</v>
      </c>
      <c r="CK352" s="1">
        <f t="shared" si="239"/>
        <v>4.2000000000000003E-2</v>
      </c>
      <c r="CL352" s="1">
        <f t="shared" si="240"/>
        <v>1.9E-2</v>
      </c>
      <c r="CM352" s="1">
        <f t="shared" si="241"/>
        <v>0.01</v>
      </c>
      <c r="CN352" s="1">
        <f t="shared" si="242"/>
        <v>3.4000000000000002E-2</v>
      </c>
      <c r="CO352" s="1">
        <f t="shared" si="243"/>
        <v>0.11700000000000001</v>
      </c>
      <c r="CP352" s="1">
        <f t="shared" si="244"/>
        <v>0.45400000000000001</v>
      </c>
      <c r="CQ352" s="1">
        <f t="shared" si="245"/>
        <v>0.247</v>
      </c>
      <c r="CS352" s="1">
        <f t="shared" si="274"/>
        <v>-0.70000000000000018</v>
      </c>
      <c r="CT352" s="1">
        <f t="shared" si="275"/>
        <v>-0.29999999999999893</v>
      </c>
    </row>
    <row r="353" spans="1:98" x14ac:dyDescent="0.2">
      <c r="A353" s="8">
        <f t="shared" si="272"/>
        <v>44178</v>
      </c>
      <c r="B353" s="1">
        <v>348</v>
      </c>
      <c r="C353" s="1">
        <v>11</v>
      </c>
      <c r="D353" s="2">
        <v>12.88</v>
      </c>
      <c r="E353" s="2">
        <v>-7.1059999999999999</v>
      </c>
      <c r="F353" s="2">
        <v>-10.77</v>
      </c>
      <c r="G353" s="2">
        <v>-9.18</v>
      </c>
      <c r="H353" s="2">
        <v>88.7</v>
      </c>
      <c r="I353" s="2">
        <v>8.1000000000000003E-2</v>
      </c>
      <c r="J353" s="2">
        <v>-1.429</v>
      </c>
      <c r="K353" s="2">
        <v>0.40699999999999997</v>
      </c>
      <c r="L353" s="2">
        <v>1.6220000000000001</v>
      </c>
      <c r="M353" s="2">
        <v>2.5659999999999998</v>
      </c>
      <c r="N353" s="2">
        <v>-6.2350000000000003</v>
      </c>
      <c r="O353" s="2">
        <v>91.3</v>
      </c>
      <c r="P353" s="2">
        <v>0.16300000000000001</v>
      </c>
      <c r="Q353" s="2">
        <v>-1.2410000000000001</v>
      </c>
      <c r="R353" s="2">
        <v>0.50700000000000001</v>
      </c>
      <c r="S353" s="2">
        <v>1.7010000000000001</v>
      </c>
      <c r="T353" s="2">
        <v>2.6360000000000001</v>
      </c>
      <c r="U353" s="2">
        <v>-10.74</v>
      </c>
      <c r="V353" s="2">
        <v>87.5</v>
      </c>
      <c r="W353" s="2">
        <v>8.0000000000000002E-3</v>
      </c>
      <c r="X353" s="2">
        <v>-1.6259999999999999</v>
      </c>
      <c r="Y353" s="2">
        <v>0.33100000000000002</v>
      </c>
      <c r="Z353" s="2">
        <v>1.5429999999999999</v>
      </c>
      <c r="AA353" s="2">
        <v>2.4910000000000001</v>
      </c>
      <c r="AB353" s="2">
        <v>1.8759999999999999</v>
      </c>
      <c r="AC353" s="2">
        <v>0</v>
      </c>
      <c r="AD353" s="2">
        <v>0.15</v>
      </c>
      <c r="AE353" s="2">
        <v>1.1619999999999999</v>
      </c>
      <c r="AF353" s="2">
        <v>0.47499999999999998</v>
      </c>
      <c r="AG353" s="2">
        <v>2.5190000000000001</v>
      </c>
      <c r="AH353" s="2">
        <v>-9.43</v>
      </c>
      <c r="AI353" s="2">
        <v>-6.59</v>
      </c>
      <c r="AJ353" s="2">
        <v>-10.95</v>
      </c>
      <c r="AK353" s="2">
        <v>-6.6520000000000001</v>
      </c>
      <c r="AL353" s="2">
        <v>-10.92</v>
      </c>
      <c r="AM353" s="2">
        <v>1.8979999999999999</v>
      </c>
      <c r="AN353" s="2" t="s">
        <v>122</v>
      </c>
      <c r="AO353" s="2">
        <v>68</v>
      </c>
      <c r="AP353" s="2">
        <v>46</v>
      </c>
      <c r="AQ353" s="2">
        <v>87</v>
      </c>
      <c r="AR353" s="2">
        <v>165</v>
      </c>
      <c r="AS353" s="2">
        <v>438</v>
      </c>
      <c r="AT353" s="2">
        <v>764</v>
      </c>
      <c r="AU353" s="2">
        <v>1064</v>
      </c>
      <c r="AV353" s="2">
        <v>247</v>
      </c>
      <c r="AW353" s="2"/>
      <c r="AX353" s="1">
        <f t="shared" si="246"/>
        <v>0.67399999999999993</v>
      </c>
      <c r="AY353" s="21">
        <f t="shared" si="278"/>
        <v>-0.3</v>
      </c>
      <c r="AZ353" s="5">
        <v>4.97</v>
      </c>
      <c r="BA353" s="1">
        <v>1.1299999999999999</v>
      </c>
      <c r="BB353" s="1">
        <v>1.07</v>
      </c>
      <c r="BC353" s="6">
        <f t="shared" si="273"/>
        <v>0.94690265486725678</v>
      </c>
      <c r="BE353" s="28">
        <f t="shared" si="276"/>
        <v>4.8</v>
      </c>
      <c r="BF353" s="6"/>
      <c r="BG353" s="1">
        <f t="shared" si="248"/>
        <v>91.3</v>
      </c>
      <c r="BH353" s="1">
        <f t="shared" si="249"/>
        <v>88.7</v>
      </c>
      <c r="BI353" s="1">
        <f t="shared" si="250"/>
        <v>87.5</v>
      </c>
      <c r="BJ353" s="7">
        <f t="shared" si="251"/>
        <v>0.33500000000000002</v>
      </c>
      <c r="BK353" s="7">
        <f t="shared" si="252"/>
        <v>4.8000000000000001E-2</v>
      </c>
      <c r="BM353" s="5">
        <f t="shared" si="253"/>
        <v>1.1299999999999999</v>
      </c>
      <c r="BN353" s="5">
        <f t="shared" si="254"/>
        <v>1.07</v>
      </c>
      <c r="BO353" s="1">
        <f t="shared" si="255"/>
        <v>-9.1999999999999993</v>
      </c>
      <c r="BP353" s="1">
        <f t="shared" si="256"/>
        <v>-6.2</v>
      </c>
      <c r="BQ353" s="1">
        <f t="shared" si="257"/>
        <v>-10.7</v>
      </c>
      <c r="BR353" s="1">
        <f t="shared" si="258"/>
        <v>88.7</v>
      </c>
      <c r="BS353" s="1">
        <f t="shared" si="259"/>
        <v>87.5</v>
      </c>
      <c r="BT353" s="1">
        <f t="shared" si="260"/>
        <v>0.5</v>
      </c>
      <c r="BU353" s="1">
        <f t="shared" si="261"/>
        <v>2.5</v>
      </c>
      <c r="BV353" s="33">
        <f t="shared" si="247"/>
        <v>4.8</v>
      </c>
      <c r="BW353" s="34">
        <f t="shared" si="277"/>
        <v>0.67399999999999993</v>
      </c>
      <c r="BX353" s="20">
        <f t="shared" si="262"/>
        <v>-0.3</v>
      </c>
      <c r="BY353" s="1">
        <f t="shared" si="263"/>
        <v>-9.4</v>
      </c>
      <c r="BZ353" s="1">
        <f t="shared" si="264"/>
        <v>-6.6</v>
      </c>
      <c r="CA353" s="1">
        <f t="shared" si="265"/>
        <v>-11</v>
      </c>
      <c r="CB353" s="1">
        <f t="shared" si="266"/>
        <v>0.4</v>
      </c>
      <c r="CC353" s="1">
        <f t="shared" si="267"/>
        <v>1.6</v>
      </c>
      <c r="CD353" s="1">
        <f t="shared" si="268"/>
        <v>2.6</v>
      </c>
      <c r="CE353" s="1" t="str">
        <f t="shared" si="269"/>
        <v>NAN</v>
      </c>
      <c r="CF353" s="1">
        <f t="shared" si="270"/>
        <v>0.33500000000000002</v>
      </c>
      <c r="CG353" s="1">
        <f t="shared" si="271"/>
        <v>4.8000000000000001E-2</v>
      </c>
      <c r="CI353" s="1">
        <f t="shared" si="237"/>
        <v>2879</v>
      </c>
      <c r="CJ353" s="1">
        <f t="shared" si="238"/>
        <v>2.4E-2</v>
      </c>
      <c r="CK353" s="1">
        <f t="shared" si="239"/>
        <v>1.6E-2</v>
      </c>
      <c r="CL353" s="1">
        <f t="shared" si="240"/>
        <v>0.03</v>
      </c>
      <c r="CM353" s="1">
        <f t="shared" si="241"/>
        <v>5.7000000000000002E-2</v>
      </c>
      <c r="CN353" s="1">
        <f t="shared" si="242"/>
        <v>0.152</v>
      </c>
      <c r="CO353" s="1">
        <f t="shared" si="243"/>
        <v>0.26500000000000001</v>
      </c>
      <c r="CP353" s="1">
        <f t="shared" si="244"/>
        <v>0.37</v>
      </c>
      <c r="CQ353" s="1">
        <f t="shared" si="245"/>
        <v>8.5999999999999993E-2</v>
      </c>
      <c r="CS353" s="1">
        <f t="shared" si="274"/>
        <v>-0.39999999999999947</v>
      </c>
      <c r="CT353" s="1">
        <f t="shared" si="275"/>
        <v>-0.30000000000000071</v>
      </c>
    </row>
    <row r="354" spans="1:98" x14ac:dyDescent="0.2">
      <c r="A354" s="8">
        <f t="shared" si="272"/>
        <v>44179</v>
      </c>
      <c r="B354" s="1">
        <v>349</v>
      </c>
      <c r="C354" s="1">
        <v>11</v>
      </c>
      <c r="D354" s="2">
        <v>12.94</v>
      </c>
      <c r="E354" s="2">
        <v>-3.47</v>
      </c>
      <c r="F354" s="2">
        <v>-7.8150000000000004</v>
      </c>
      <c r="G354" s="2">
        <v>-5.2709999999999999</v>
      </c>
      <c r="H354" s="2">
        <v>91.5</v>
      </c>
      <c r="I354" s="2">
        <v>0.11700000000000001</v>
      </c>
      <c r="J354" s="2">
        <v>-1.5249999999999999</v>
      </c>
      <c r="K354" s="2">
        <v>0.42499999999999999</v>
      </c>
      <c r="L354" s="2">
        <v>1.6279999999999999</v>
      </c>
      <c r="M354" s="2">
        <v>2.5680000000000001</v>
      </c>
      <c r="N354" s="2">
        <v>-3.2229999999999999</v>
      </c>
      <c r="O354" s="2">
        <v>92.4</v>
      </c>
      <c r="P354" s="2">
        <v>0.192</v>
      </c>
      <c r="Q354" s="2">
        <v>-1.391</v>
      </c>
      <c r="R354" s="2">
        <v>0.505</v>
      </c>
      <c r="S354" s="2">
        <v>1.72</v>
      </c>
      <c r="T354" s="2">
        <v>2.6549999999999998</v>
      </c>
      <c r="U354" s="2">
        <v>-7.5579999999999998</v>
      </c>
      <c r="V354" s="2">
        <v>89.7</v>
      </c>
      <c r="W354" s="2">
        <v>3.4000000000000002E-2</v>
      </c>
      <c r="X354" s="2">
        <v>-1.6379999999999999</v>
      </c>
      <c r="Y354" s="2">
        <v>0.33800000000000002</v>
      </c>
      <c r="Z354" s="2">
        <v>1.536</v>
      </c>
      <c r="AA354" s="2">
        <v>2.4729999999999999</v>
      </c>
      <c r="AB354" s="2">
        <v>1.89</v>
      </c>
      <c r="AC354" s="2">
        <v>0</v>
      </c>
      <c r="AD354" s="2">
        <v>0.193</v>
      </c>
      <c r="AE354" s="2">
        <v>1.5860000000000001</v>
      </c>
      <c r="AF354" s="2">
        <v>0.32600000000000001</v>
      </c>
      <c r="AG354" s="2">
        <v>2.1269999999999998</v>
      </c>
      <c r="AH354" s="2">
        <v>-5.9240000000000004</v>
      </c>
      <c r="AI354" s="2">
        <v>-2.9039999999999999</v>
      </c>
      <c r="AJ354" s="2">
        <v>-9.67</v>
      </c>
      <c r="AK354" s="2">
        <v>-2.6219999999999999</v>
      </c>
      <c r="AL354" s="2">
        <v>-7.8460000000000001</v>
      </c>
      <c r="AM354" s="2">
        <v>1.9159999999999999</v>
      </c>
      <c r="AN354" s="2" t="s">
        <v>122</v>
      </c>
      <c r="AO354" s="2">
        <v>68</v>
      </c>
      <c r="AP354" s="2">
        <v>6</v>
      </c>
      <c r="AQ354" s="2">
        <v>3</v>
      </c>
      <c r="AR354" s="2">
        <v>2</v>
      </c>
      <c r="AS354" s="2">
        <v>2</v>
      </c>
      <c r="AT354" s="2">
        <v>66</v>
      </c>
      <c r="AU354" s="2">
        <v>1873</v>
      </c>
      <c r="AV354" s="2">
        <v>860</v>
      </c>
      <c r="AW354" s="2"/>
      <c r="AX354" s="1">
        <f t="shared" ref="AX354:AX371" si="279">AX$1-AB354</f>
        <v>0.65999999999999992</v>
      </c>
      <c r="AY354" s="21">
        <f t="shared" si="278"/>
        <v>-0.3</v>
      </c>
      <c r="AZ354" s="5">
        <v>4.9400000000000004</v>
      </c>
      <c r="BA354" s="1">
        <v>1.54</v>
      </c>
      <c r="BB354" s="1">
        <v>1.46</v>
      </c>
      <c r="BC354" s="6">
        <f t="shared" si="273"/>
        <v>0.94805194805194803</v>
      </c>
      <c r="BE354" s="28">
        <f t="shared" si="276"/>
        <v>0</v>
      </c>
      <c r="BF354" s="6"/>
      <c r="BG354" s="1">
        <f t="shared" si="248"/>
        <v>92.4</v>
      </c>
      <c r="BH354" s="1">
        <f t="shared" si="249"/>
        <v>91.5</v>
      </c>
      <c r="BI354" s="1">
        <f t="shared" si="250"/>
        <v>89.7</v>
      </c>
      <c r="BJ354" s="7">
        <f t="shared" si="251"/>
        <v>0.432</v>
      </c>
      <c r="BK354" s="7">
        <f t="shared" si="252"/>
        <v>0.05</v>
      </c>
      <c r="BM354" s="5">
        <f t="shared" si="253"/>
        <v>1.54</v>
      </c>
      <c r="BN354" s="5">
        <f t="shared" si="254"/>
        <v>1.46</v>
      </c>
      <c r="BO354" s="1">
        <f t="shared" si="255"/>
        <v>-5.3</v>
      </c>
      <c r="BP354" s="1">
        <f t="shared" si="256"/>
        <v>-3.2</v>
      </c>
      <c r="BQ354" s="1">
        <f t="shared" si="257"/>
        <v>-7.6</v>
      </c>
      <c r="BR354" s="1">
        <f t="shared" si="258"/>
        <v>91.5</v>
      </c>
      <c r="BS354" s="1">
        <f t="shared" si="259"/>
        <v>89.7</v>
      </c>
      <c r="BT354" s="1">
        <f t="shared" si="260"/>
        <v>0.3</v>
      </c>
      <c r="BU354" s="1">
        <f t="shared" si="261"/>
        <v>2.1</v>
      </c>
      <c r="BV354" s="33">
        <f t="shared" ref="BV354:BV371" si="280">BE354</f>
        <v>0</v>
      </c>
      <c r="BW354" s="34">
        <f t="shared" si="277"/>
        <v>0.65999999999999992</v>
      </c>
      <c r="BX354" s="20">
        <f t="shared" si="262"/>
        <v>-0.3</v>
      </c>
      <c r="BY354" s="1">
        <f t="shared" si="263"/>
        <v>-5.9</v>
      </c>
      <c r="BZ354" s="1">
        <f t="shared" si="264"/>
        <v>-2.9</v>
      </c>
      <c r="CA354" s="1">
        <f t="shared" si="265"/>
        <v>-9.6999999999999993</v>
      </c>
      <c r="CB354" s="1">
        <f t="shared" si="266"/>
        <v>0.4</v>
      </c>
      <c r="CC354" s="1">
        <f t="shared" si="267"/>
        <v>1.6</v>
      </c>
      <c r="CD354" s="1">
        <f t="shared" si="268"/>
        <v>2.6</v>
      </c>
      <c r="CE354" s="1" t="str">
        <f t="shared" si="269"/>
        <v>NAN</v>
      </c>
      <c r="CF354" s="1">
        <f t="shared" si="270"/>
        <v>0.432</v>
      </c>
      <c r="CG354" s="1">
        <f t="shared" si="271"/>
        <v>0.05</v>
      </c>
      <c r="CI354" s="1">
        <f t="shared" si="237"/>
        <v>2880</v>
      </c>
      <c r="CJ354" s="1">
        <f t="shared" si="238"/>
        <v>2.4E-2</v>
      </c>
      <c r="CK354" s="1">
        <f t="shared" si="239"/>
        <v>2E-3</v>
      </c>
      <c r="CL354" s="1">
        <f t="shared" si="240"/>
        <v>1E-3</v>
      </c>
      <c r="CM354" s="1">
        <f t="shared" si="241"/>
        <v>1E-3</v>
      </c>
      <c r="CN354" s="1">
        <f t="shared" si="242"/>
        <v>1E-3</v>
      </c>
      <c r="CO354" s="1">
        <f t="shared" si="243"/>
        <v>2.3E-2</v>
      </c>
      <c r="CP354" s="1">
        <f t="shared" si="244"/>
        <v>0.65</v>
      </c>
      <c r="CQ354" s="1">
        <f t="shared" si="245"/>
        <v>0.29899999999999999</v>
      </c>
      <c r="CS354" s="1">
        <f t="shared" si="274"/>
        <v>0.30000000000000027</v>
      </c>
      <c r="CT354" s="1">
        <f t="shared" si="275"/>
        <v>-2.0999999999999996</v>
      </c>
    </row>
    <row r="355" spans="1:98" x14ac:dyDescent="0.2">
      <c r="A355" s="8">
        <f t="shared" si="272"/>
        <v>44180</v>
      </c>
      <c r="B355" s="1">
        <v>350</v>
      </c>
      <c r="C355" s="1">
        <v>11</v>
      </c>
      <c r="D355" s="2">
        <v>12.9</v>
      </c>
      <c r="E355" s="2">
        <v>-5.09</v>
      </c>
      <c r="F355" s="2">
        <v>-9.43</v>
      </c>
      <c r="G355" s="2">
        <v>-6.7510000000000003</v>
      </c>
      <c r="H355" s="2">
        <v>90.4</v>
      </c>
      <c r="I355" s="2">
        <v>0.11799999999999999</v>
      </c>
      <c r="J355" s="2">
        <v>-1.3959999999999999</v>
      </c>
      <c r="K355" s="2">
        <v>0.41699999999999998</v>
      </c>
      <c r="L355" s="2">
        <v>1.611</v>
      </c>
      <c r="M355" s="2">
        <v>2.5390000000000001</v>
      </c>
      <c r="N355" s="2">
        <v>-4.133</v>
      </c>
      <c r="O355" s="2">
        <v>92.4</v>
      </c>
      <c r="P355" s="2">
        <v>0.20899999999999999</v>
      </c>
      <c r="Q355" s="2">
        <v>-1.3149999999999999</v>
      </c>
      <c r="R355" s="2">
        <v>0.48699999999999999</v>
      </c>
      <c r="S355" s="2">
        <v>1.6739999999999999</v>
      </c>
      <c r="T355" s="2">
        <v>2.605</v>
      </c>
      <c r="U355" s="2">
        <v>-9.4600000000000009</v>
      </c>
      <c r="V355" s="2">
        <v>88.4</v>
      </c>
      <c r="W355" s="2">
        <v>3.5999999999999997E-2</v>
      </c>
      <c r="X355" s="2">
        <v>-1.4870000000000001</v>
      </c>
      <c r="Y355" s="2">
        <v>0.33900000000000002</v>
      </c>
      <c r="Z355" s="2">
        <v>1.526</v>
      </c>
      <c r="AA355" s="2">
        <v>2.4609999999999999</v>
      </c>
      <c r="AB355" s="2">
        <v>1.8260000000000001</v>
      </c>
      <c r="AC355" s="2">
        <v>0</v>
      </c>
      <c r="AD355" s="2">
        <v>0.16300000000000001</v>
      </c>
      <c r="AE355" s="2">
        <v>1.4570000000000001</v>
      </c>
      <c r="AF355" s="2">
        <v>0.40100000000000002</v>
      </c>
      <c r="AG355" s="2">
        <v>2.5219999999999998</v>
      </c>
      <c r="AH355" s="2">
        <v>-7.2839999999999998</v>
      </c>
      <c r="AI355" s="2">
        <v>-5.0010000000000003</v>
      </c>
      <c r="AJ355" s="2">
        <v>-9.74</v>
      </c>
      <c r="AK355" s="2">
        <v>-3.9729999999999999</v>
      </c>
      <c r="AL355" s="2">
        <v>-9.67</v>
      </c>
      <c r="AM355" s="2">
        <v>1.843</v>
      </c>
      <c r="AN355" s="2" t="s">
        <v>122</v>
      </c>
      <c r="AO355" s="2">
        <v>21</v>
      </c>
      <c r="AP355" s="2">
        <v>8</v>
      </c>
      <c r="AQ355" s="2">
        <v>17</v>
      </c>
      <c r="AR355" s="2">
        <v>76</v>
      </c>
      <c r="AS355" s="2">
        <v>238</v>
      </c>
      <c r="AT355" s="2">
        <v>588</v>
      </c>
      <c r="AU355" s="2">
        <v>1501</v>
      </c>
      <c r="AV355" s="2">
        <v>431</v>
      </c>
      <c r="AW355" s="2"/>
      <c r="AX355" s="1">
        <f t="shared" si="279"/>
        <v>0.72399999999999975</v>
      </c>
      <c r="AY355" s="21">
        <f t="shared" si="278"/>
        <v>-0.3</v>
      </c>
      <c r="AZ355" s="5">
        <v>4.93</v>
      </c>
      <c r="BA355" s="1">
        <v>1.41</v>
      </c>
      <c r="BB355" s="1">
        <v>1.34</v>
      </c>
      <c r="BC355" s="6">
        <f t="shared" si="273"/>
        <v>0.95035460992907816</v>
      </c>
      <c r="BE355" s="28">
        <f t="shared" si="276"/>
        <v>8.3000000000000007</v>
      </c>
      <c r="BF355" s="6"/>
      <c r="BG355" s="1">
        <f t="shared" si="248"/>
        <v>92.4</v>
      </c>
      <c r="BH355" s="1">
        <f t="shared" si="249"/>
        <v>90.4</v>
      </c>
      <c r="BI355" s="1">
        <f t="shared" si="250"/>
        <v>88.4</v>
      </c>
      <c r="BJ355" s="7">
        <f t="shared" si="251"/>
        <v>0.39700000000000002</v>
      </c>
      <c r="BK355" s="7">
        <f t="shared" si="252"/>
        <v>5.1999999999999998E-2</v>
      </c>
      <c r="BM355" s="5">
        <f t="shared" si="253"/>
        <v>1.41</v>
      </c>
      <c r="BN355" s="5">
        <f t="shared" si="254"/>
        <v>1.34</v>
      </c>
      <c r="BO355" s="1">
        <f t="shared" si="255"/>
        <v>-6.8</v>
      </c>
      <c r="BP355" s="1">
        <f t="shared" si="256"/>
        <v>-4.0999999999999996</v>
      </c>
      <c r="BQ355" s="1">
        <f t="shared" si="257"/>
        <v>-9.5</v>
      </c>
      <c r="BR355" s="1">
        <f t="shared" si="258"/>
        <v>90.4</v>
      </c>
      <c r="BS355" s="1">
        <f t="shared" si="259"/>
        <v>88.4</v>
      </c>
      <c r="BT355" s="1">
        <f t="shared" si="260"/>
        <v>0.4</v>
      </c>
      <c r="BU355" s="1">
        <f t="shared" si="261"/>
        <v>2.5</v>
      </c>
      <c r="BV355" s="33">
        <f t="shared" si="280"/>
        <v>8.3000000000000007</v>
      </c>
      <c r="BW355" s="34">
        <f t="shared" si="277"/>
        <v>0.72399999999999975</v>
      </c>
      <c r="BX355" s="20">
        <f t="shared" si="262"/>
        <v>-0.3</v>
      </c>
      <c r="BY355" s="1">
        <f t="shared" si="263"/>
        <v>-7.3</v>
      </c>
      <c r="BZ355" s="1">
        <f t="shared" si="264"/>
        <v>-5</v>
      </c>
      <c r="CA355" s="1">
        <f t="shared" si="265"/>
        <v>-9.6999999999999993</v>
      </c>
      <c r="CB355" s="1">
        <f t="shared" si="266"/>
        <v>0.4</v>
      </c>
      <c r="CC355" s="1">
        <f t="shared" si="267"/>
        <v>1.6</v>
      </c>
      <c r="CD355" s="1">
        <f t="shared" si="268"/>
        <v>2.5</v>
      </c>
      <c r="CE355" s="1" t="str">
        <f t="shared" si="269"/>
        <v>NAN</v>
      </c>
      <c r="CF355" s="1">
        <f t="shared" si="270"/>
        <v>0.39700000000000002</v>
      </c>
      <c r="CG355" s="1">
        <f t="shared" si="271"/>
        <v>5.1999999999999998E-2</v>
      </c>
      <c r="CI355" s="1">
        <f t="shared" si="237"/>
        <v>2880</v>
      </c>
      <c r="CJ355" s="1">
        <f t="shared" si="238"/>
        <v>7.0000000000000001E-3</v>
      </c>
      <c r="CK355" s="1">
        <f t="shared" si="239"/>
        <v>3.0000000000000001E-3</v>
      </c>
      <c r="CL355" s="1">
        <f t="shared" si="240"/>
        <v>6.0000000000000001E-3</v>
      </c>
      <c r="CM355" s="1">
        <f t="shared" si="241"/>
        <v>2.5999999999999999E-2</v>
      </c>
      <c r="CN355" s="1">
        <f t="shared" si="242"/>
        <v>8.3000000000000004E-2</v>
      </c>
      <c r="CO355" s="1">
        <f t="shared" si="243"/>
        <v>0.20399999999999999</v>
      </c>
      <c r="CP355" s="1">
        <f t="shared" si="244"/>
        <v>0.52100000000000002</v>
      </c>
      <c r="CQ355" s="1">
        <f t="shared" si="245"/>
        <v>0.15</v>
      </c>
      <c r="CS355" s="1">
        <f t="shared" si="274"/>
        <v>-0.90000000000000036</v>
      </c>
      <c r="CT355" s="1">
        <f t="shared" si="275"/>
        <v>-0.19999999999999929</v>
      </c>
    </row>
    <row r="356" spans="1:98" x14ac:dyDescent="0.2">
      <c r="A356" s="8">
        <f t="shared" si="272"/>
        <v>44181</v>
      </c>
      <c r="B356" s="1">
        <v>351</v>
      </c>
      <c r="C356" s="1">
        <v>11</v>
      </c>
      <c r="D356" s="2">
        <v>12.84</v>
      </c>
      <c r="E356" s="2">
        <v>-4.0739999999999998</v>
      </c>
      <c r="F356" s="2">
        <v>-5.8310000000000004</v>
      </c>
      <c r="G356" s="2">
        <v>-4.7489999999999997</v>
      </c>
      <c r="H356" s="2">
        <v>91.8</v>
      </c>
      <c r="I356" s="2">
        <v>0.13900000000000001</v>
      </c>
      <c r="J356" s="2">
        <v>-1.2330000000000001</v>
      </c>
      <c r="K356" s="2">
        <v>0.42399999999999999</v>
      </c>
      <c r="L356" s="2">
        <v>1.611</v>
      </c>
      <c r="M356" s="2">
        <v>2.532</v>
      </c>
      <c r="N356" s="2">
        <v>-3.5590000000000002</v>
      </c>
      <c r="O356" s="2">
        <v>93</v>
      </c>
      <c r="P356" s="2">
        <v>0.218</v>
      </c>
      <c r="Q356" s="2">
        <v>-1.0169999999999999</v>
      </c>
      <c r="R356" s="2">
        <v>0.48899999999999999</v>
      </c>
      <c r="S356" s="2">
        <v>1.69</v>
      </c>
      <c r="T356" s="2">
        <v>2.605</v>
      </c>
      <c r="U356" s="2">
        <v>-5.8970000000000002</v>
      </c>
      <c r="V356" s="2">
        <v>90.5</v>
      </c>
      <c r="W356" s="2">
        <v>6.3E-2</v>
      </c>
      <c r="X356" s="2">
        <v>-1.41</v>
      </c>
      <c r="Y356" s="2">
        <v>0.34200000000000003</v>
      </c>
      <c r="Z356" s="2">
        <v>1.528</v>
      </c>
      <c r="AA356" s="2">
        <v>2.4609999999999999</v>
      </c>
      <c r="AB356" s="2">
        <v>1.7749999999999999</v>
      </c>
      <c r="AC356" s="2">
        <v>0</v>
      </c>
      <c r="AD356" s="2">
        <v>0.13</v>
      </c>
      <c r="AE356" s="2">
        <v>1.2010000000000001</v>
      </c>
      <c r="AF356" s="2">
        <v>1.2589999999999999</v>
      </c>
      <c r="AG356" s="2">
        <v>4.226</v>
      </c>
      <c r="AH356" s="2">
        <v>-5.3319999999999999</v>
      </c>
      <c r="AI356" s="2">
        <v>-4.0640000000000001</v>
      </c>
      <c r="AJ356" s="2">
        <v>-6.3739999999999997</v>
      </c>
      <c r="AK356" s="2">
        <v>-3.613</v>
      </c>
      <c r="AL356" s="2">
        <v>-6.0270000000000001</v>
      </c>
      <c r="AM356" s="2">
        <v>1.788</v>
      </c>
      <c r="AN356" s="2" t="s">
        <v>122</v>
      </c>
      <c r="AO356" s="2">
        <v>49</v>
      </c>
      <c r="AP356" s="2">
        <v>3</v>
      </c>
      <c r="AQ356" s="2">
        <v>2</v>
      </c>
      <c r="AR356" s="2">
        <v>33</v>
      </c>
      <c r="AS356" s="2">
        <v>246</v>
      </c>
      <c r="AT356" s="2">
        <v>794</v>
      </c>
      <c r="AU356" s="2">
        <v>1241</v>
      </c>
      <c r="AV356" s="2">
        <v>512</v>
      </c>
      <c r="AW356" s="2"/>
      <c r="AX356" s="1">
        <f t="shared" si="279"/>
        <v>0.77499999999999991</v>
      </c>
      <c r="AY356" s="21">
        <f t="shared" si="278"/>
        <v>-0.2</v>
      </c>
      <c r="AZ356" s="5">
        <v>4.92</v>
      </c>
      <c r="BA356" s="1">
        <v>1.1599999999999999</v>
      </c>
      <c r="BB356" s="1">
        <v>1.1000000000000001</v>
      </c>
      <c r="BC356" s="6">
        <f t="shared" si="273"/>
        <v>0.94827586206896564</v>
      </c>
      <c r="BE356" s="28">
        <f t="shared" si="276"/>
        <v>6.6</v>
      </c>
      <c r="BF356" s="6"/>
      <c r="BG356" s="1">
        <f t="shared" si="248"/>
        <v>93</v>
      </c>
      <c r="BH356" s="1">
        <f t="shared" si="249"/>
        <v>91.8</v>
      </c>
      <c r="BI356" s="1">
        <f t="shared" si="250"/>
        <v>90.5</v>
      </c>
      <c r="BJ356" s="7">
        <f t="shared" si="251"/>
        <v>0.42499999999999999</v>
      </c>
      <c r="BK356" s="7">
        <f t="shared" si="252"/>
        <v>4.4999999999999998E-2</v>
      </c>
      <c r="BM356" s="5">
        <f t="shared" si="253"/>
        <v>1.1599999999999999</v>
      </c>
      <c r="BN356" s="5">
        <f t="shared" si="254"/>
        <v>1.1000000000000001</v>
      </c>
      <c r="BO356" s="1">
        <f t="shared" si="255"/>
        <v>-4.7</v>
      </c>
      <c r="BP356" s="1">
        <f t="shared" si="256"/>
        <v>-3.6</v>
      </c>
      <c r="BQ356" s="1">
        <f t="shared" si="257"/>
        <v>-5.9</v>
      </c>
      <c r="BR356" s="1">
        <f t="shared" si="258"/>
        <v>91.8</v>
      </c>
      <c r="BS356" s="1">
        <f t="shared" si="259"/>
        <v>90.5</v>
      </c>
      <c r="BT356" s="1">
        <f t="shared" si="260"/>
        <v>1.3</v>
      </c>
      <c r="BU356" s="1">
        <f t="shared" si="261"/>
        <v>4.2</v>
      </c>
      <c r="BV356" s="33">
        <f t="shared" si="280"/>
        <v>6.6</v>
      </c>
      <c r="BW356" s="34">
        <f t="shared" si="277"/>
        <v>0.77499999999999991</v>
      </c>
      <c r="BX356" s="20">
        <f t="shared" si="262"/>
        <v>-0.2</v>
      </c>
      <c r="BY356" s="1">
        <f t="shared" si="263"/>
        <v>-5.3</v>
      </c>
      <c r="BZ356" s="1">
        <f t="shared" si="264"/>
        <v>-4.0999999999999996</v>
      </c>
      <c r="CA356" s="1">
        <f t="shared" si="265"/>
        <v>-6.4</v>
      </c>
      <c r="CB356" s="1">
        <f t="shared" si="266"/>
        <v>0.4</v>
      </c>
      <c r="CC356" s="1">
        <f t="shared" si="267"/>
        <v>1.6</v>
      </c>
      <c r="CD356" s="1">
        <f t="shared" si="268"/>
        <v>2.5</v>
      </c>
      <c r="CE356" s="1" t="str">
        <f t="shared" si="269"/>
        <v>NAN</v>
      </c>
      <c r="CF356" s="1">
        <f t="shared" si="270"/>
        <v>0.42499999999999999</v>
      </c>
      <c r="CG356" s="1">
        <f t="shared" si="271"/>
        <v>4.4999999999999998E-2</v>
      </c>
      <c r="CI356" s="1">
        <f t="shared" si="237"/>
        <v>2880</v>
      </c>
      <c r="CJ356" s="1">
        <f t="shared" si="238"/>
        <v>1.7000000000000001E-2</v>
      </c>
      <c r="CK356" s="1">
        <f t="shared" si="239"/>
        <v>1E-3</v>
      </c>
      <c r="CL356" s="1">
        <f t="shared" si="240"/>
        <v>1E-3</v>
      </c>
      <c r="CM356" s="1">
        <f t="shared" si="241"/>
        <v>1.0999999999999999E-2</v>
      </c>
      <c r="CN356" s="1">
        <f t="shared" si="242"/>
        <v>8.5000000000000006E-2</v>
      </c>
      <c r="CO356" s="1">
        <f t="shared" si="243"/>
        <v>0.27600000000000002</v>
      </c>
      <c r="CP356" s="1">
        <f t="shared" si="244"/>
        <v>0.43099999999999999</v>
      </c>
      <c r="CQ356" s="1">
        <f t="shared" si="245"/>
        <v>0.17799999999999999</v>
      </c>
      <c r="CS356" s="1">
        <f t="shared" si="274"/>
        <v>-0.49999999999999956</v>
      </c>
      <c r="CT356" s="1">
        <f t="shared" si="275"/>
        <v>-0.5</v>
      </c>
    </row>
    <row r="357" spans="1:98" x14ac:dyDescent="0.2">
      <c r="A357" s="8">
        <f t="shared" si="272"/>
        <v>44182</v>
      </c>
      <c r="B357" s="1">
        <v>352</v>
      </c>
      <c r="C357" s="1">
        <v>11</v>
      </c>
      <c r="D357" s="2">
        <v>13.01</v>
      </c>
      <c r="E357" s="2">
        <v>-3.3420000000000001</v>
      </c>
      <c r="F357" s="2">
        <v>-7.9050000000000002</v>
      </c>
      <c r="G357" s="2">
        <v>-4.9219999999999997</v>
      </c>
      <c r="H357" s="2">
        <v>91.8</v>
      </c>
      <c r="I357" s="2">
        <v>0.13700000000000001</v>
      </c>
      <c r="J357" s="2">
        <v>-1.0720000000000001</v>
      </c>
      <c r="K357" s="2">
        <v>0.41199999999999998</v>
      </c>
      <c r="L357" s="2">
        <v>1.59</v>
      </c>
      <c r="M357" s="2">
        <v>2.508</v>
      </c>
      <c r="N357" s="2">
        <v>-3.395</v>
      </c>
      <c r="O357" s="2">
        <v>93</v>
      </c>
      <c r="P357" s="2">
        <v>0.21099999999999999</v>
      </c>
      <c r="Q357" s="2">
        <v>-0.96699999999999997</v>
      </c>
      <c r="R357" s="2">
        <v>0.48699999999999999</v>
      </c>
      <c r="S357" s="2">
        <v>1.671</v>
      </c>
      <c r="T357" s="2">
        <v>2.597</v>
      </c>
      <c r="U357" s="2">
        <v>-6.9119999999999999</v>
      </c>
      <c r="V357" s="2">
        <v>89.3</v>
      </c>
      <c r="W357" s="2">
        <v>4.8000000000000001E-2</v>
      </c>
      <c r="X357" s="2">
        <v>-1.1870000000000001</v>
      </c>
      <c r="Y357" s="2">
        <v>0.308</v>
      </c>
      <c r="Z357" s="2">
        <v>1.5009999999999999</v>
      </c>
      <c r="AA357" s="2">
        <v>2.431</v>
      </c>
      <c r="AB357" s="2">
        <v>1.7889999999999999</v>
      </c>
      <c r="AC357" s="2">
        <v>0</v>
      </c>
      <c r="AD357" s="2">
        <v>0.23599999999999999</v>
      </c>
      <c r="AE357" s="2">
        <v>1.9790000000000001</v>
      </c>
      <c r="AF357" s="2">
        <v>1.028</v>
      </c>
      <c r="AG357" s="2">
        <v>3.5529999999999999</v>
      </c>
      <c r="AH357" s="2">
        <v>-5.5220000000000002</v>
      </c>
      <c r="AI357" s="2">
        <v>-2.996</v>
      </c>
      <c r="AJ357" s="2">
        <v>-8.69</v>
      </c>
      <c r="AK357" s="2">
        <v>-2.7759999999999998</v>
      </c>
      <c r="AL357" s="2">
        <v>-7.3780000000000001</v>
      </c>
      <c r="AM357" s="2">
        <v>1.8080000000000001</v>
      </c>
      <c r="AN357" s="2" t="s">
        <v>122</v>
      </c>
      <c r="AO357" s="2">
        <v>148</v>
      </c>
      <c r="AP357" s="2">
        <v>16</v>
      </c>
      <c r="AQ357" s="2">
        <v>3</v>
      </c>
      <c r="AR357" s="2">
        <v>1</v>
      </c>
      <c r="AS357" s="2">
        <v>12</v>
      </c>
      <c r="AT357" s="2">
        <v>153</v>
      </c>
      <c r="AU357" s="2">
        <v>1498</v>
      </c>
      <c r="AV357" s="2">
        <v>1049</v>
      </c>
      <c r="AW357" s="2"/>
      <c r="AX357" s="1">
        <f t="shared" si="279"/>
        <v>0.7609999999999999</v>
      </c>
      <c r="AY357" s="21">
        <f t="shared" si="278"/>
        <v>-0.2</v>
      </c>
      <c r="AZ357" s="5">
        <v>4.91</v>
      </c>
      <c r="BA357" s="1">
        <v>1.92</v>
      </c>
      <c r="BB357" s="1">
        <v>1.82</v>
      </c>
      <c r="BC357" s="6">
        <f t="shared" si="273"/>
        <v>0.94791666666666674</v>
      </c>
      <c r="BE357" s="28">
        <f t="shared" si="276"/>
        <v>0</v>
      </c>
      <c r="BF357" s="6"/>
      <c r="BG357" s="1">
        <f t="shared" si="248"/>
        <v>93</v>
      </c>
      <c r="BH357" s="1">
        <f t="shared" si="249"/>
        <v>91.8</v>
      </c>
      <c r="BI357" s="1">
        <f t="shared" si="250"/>
        <v>89.3</v>
      </c>
      <c r="BJ357" s="7">
        <f t="shared" si="251"/>
        <v>0.42399999999999999</v>
      </c>
      <c r="BK357" s="7">
        <f t="shared" si="252"/>
        <v>5.0999999999999997E-2</v>
      </c>
      <c r="BM357" s="5">
        <f t="shared" si="253"/>
        <v>1.92</v>
      </c>
      <c r="BN357" s="5">
        <f t="shared" si="254"/>
        <v>1.82</v>
      </c>
      <c r="BO357" s="1">
        <f t="shared" si="255"/>
        <v>-4.9000000000000004</v>
      </c>
      <c r="BP357" s="1">
        <f t="shared" si="256"/>
        <v>-3.4</v>
      </c>
      <c r="BQ357" s="1">
        <f t="shared" si="257"/>
        <v>-6.9</v>
      </c>
      <c r="BR357" s="1">
        <f t="shared" si="258"/>
        <v>91.8</v>
      </c>
      <c r="BS357" s="1">
        <f t="shared" si="259"/>
        <v>89.3</v>
      </c>
      <c r="BT357" s="1">
        <f t="shared" si="260"/>
        <v>1</v>
      </c>
      <c r="BU357" s="1">
        <f t="shared" si="261"/>
        <v>3.6</v>
      </c>
      <c r="BV357" s="33">
        <f t="shared" si="280"/>
        <v>0</v>
      </c>
      <c r="BW357" s="34">
        <f t="shared" si="277"/>
        <v>0.7609999999999999</v>
      </c>
      <c r="BX357" s="20">
        <f t="shared" si="262"/>
        <v>-0.2</v>
      </c>
      <c r="BY357" s="1">
        <f t="shared" si="263"/>
        <v>-5.5</v>
      </c>
      <c r="BZ357" s="1">
        <f t="shared" si="264"/>
        <v>-3</v>
      </c>
      <c r="CA357" s="1">
        <f t="shared" si="265"/>
        <v>-8.6999999999999993</v>
      </c>
      <c r="CB357" s="1">
        <f t="shared" si="266"/>
        <v>0.4</v>
      </c>
      <c r="CC357" s="1">
        <f t="shared" si="267"/>
        <v>1.6</v>
      </c>
      <c r="CD357" s="1">
        <f t="shared" si="268"/>
        <v>2.5</v>
      </c>
      <c r="CE357" s="1" t="str">
        <f t="shared" si="269"/>
        <v>NAN</v>
      </c>
      <c r="CF357" s="1">
        <f t="shared" si="270"/>
        <v>0.42399999999999999</v>
      </c>
      <c r="CG357" s="1">
        <f t="shared" si="271"/>
        <v>5.0999999999999997E-2</v>
      </c>
      <c r="CI357" s="1">
        <f t="shared" si="237"/>
        <v>2880</v>
      </c>
      <c r="CJ357" s="1">
        <f t="shared" si="238"/>
        <v>5.0999999999999997E-2</v>
      </c>
      <c r="CK357" s="1">
        <f t="shared" si="239"/>
        <v>6.0000000000000001E-3</v>
      </c>
      <c r="CL357" s="1">
        <f t="shared" si="240"/>
        <v>1E-3</v>
      </c>
      <c r="CM357" s="1">
        <f t="shared" si="241"/>
        <v>0</v>
      </c>
      <c r="CN357" s="1">
        <f t="shared" si="242"/>
        <v>4.0000000000000001E-3</v>
      </c>
      <c r="CO357" s="1">
        <f t="shared" si="243"/>
        <v>5.2999999999999999E-2</v>
      </c>
      <c r="CP357" s="1">
        <f t="shared" si="244"/>
        <v>0.52</v>
      </c>
      <c r="CQ357" s="1">
        <f t="shared" si="245"/>
        <v>0.36399999999999999</v>
      </c>
      <c r="CS357" s="1">
        <f t="shared" si="274"/>
        <v>0.39999999999999991</v>
      </c>
      <c r="CT357" s="1">
        <f t="shared" si="275"/>
        <v>-1.7999999999999989</v>
      </c>
    </row>
    <row r="358" spans="1:98" x14ac:dyDescent="0.2">
      <c r="A358" s="8">
        <f t="shared" si="272"/>
        <v>44183</v>
      </c>
      <c r="B358" s="1">
        <v>353</v>
      </c>
      <c r="C358" s="1">
        <v>11</v>
      </c>
      <c r="D358" s="2">
        <v>12.86</v>
      </c>
      <c r="E358" s="2">
        <v>-3.47</v>
      </c>
      <c r="F358" s="2">
        <v>-6.2240000000000002</v>
      </c>
      <c r="G358" s="2">
        <v>-4.5949999999999998</v>
      </c>
      <c r="H358" s="2">
        <v>92.2</v>
      </c>
      <c r="I358" s="2">
        <v>0.156</v>
      </c>
      <c r="J358" s="2">
        <v>-1.0109999999999999</v>
      </c>
      <c r="K358" s="2">
        <v>0.41599999999999998</v>
      </c>
      <c r="L358" s="2">
        <v>1.59</v>
      </c>
      <c r="M358" s="2">
        <v>2.4950000000000001</v>
      </c>
      <c r="N358" s="2">
        <v>-2.8180000000000001</v>
      </c>
      <c r="O358" s="2">
        <v>93.1</v>
      </c>
      <c r="P358" s="2">
        <v>0.22900000000000001</v>
      </c>
      <c r="Q358" s="2">
        <v>-0.91800000000000004</v>
      </c>
      <c r="R358" s="2">
        <v>0.49199999999999999</v>
      </c>
      <c r="S358" s="2">
        <v>1.657</v>
      </c>
      <c r="T358" s="2">
        <v>2.5659999999999998</v>
      </c>
      <c r="U358" s="2">
        <v>-5.9989999999999997</v>
      </c>
      <c r="V358" s="2">
        <v>90.3</v>
      </c>
      <c r="W358" s="2">
        <v>7.6999999999999999E-2</v>
      </c>
      <c r="X358" s="2">
        <v>-1.119</v>
      </c>
      <c r="Y358" s="2">
        <v>0.34200000000000003</v>
      </c>
      <c r="Z358" s="2">
        <v>1.498</v>
      </c>
      <c r="AA358" s="2">
        <v>2.419</v>
      </c>
      <c r="AB358" s="2">
        <v>1.766</v>
      </c>
      <c r="AC358" s="2">
        <v>0</v>
      </c>
      <c r="AD358" s="2">
        <v>0.124</v>
      </c>
      <c r="AE358" s="2">
        <v>1.232</v>
      </c>
      <c r="AF358" s="2">
        <v>1.0189999999999999</v>
      </c>
      <c r="AG358" s="2">
        <v>3.3620000000000001</v>
      </c>
      <c r="AH358" s="2">
        <v>-5.1550000000000002</v>
      </c>
      <c r="AI358" s="2">
        <v>-3.7440000000000002</v>
      </c>
      <c r="AJ358" s="2">
        <v>-6.9569999999999999</v>
      </c>
      <c r="AK358" s="2">
        <v>-2.7759999999999998</v>
      </c>
      <c r="AL358" s="2">
        <v>-6.2060000000000004</v>
      </c>
      <c r="AM358" s="2">
        <v>1.778</v>
      </c>
      <c r="AN358" s="2" t="s">
        <v>122</v>
      </c>
      <c r="AO358" s="2">
        <v>13</v>
      </c>
      <c r="AP358" s="2">
        <v>1</v>
      </c>
      <c r="AQ358" s="2">
        <v>7</v>
      </c>
      <c r="AR358" s="2">
        <v>36</v>
      </c>
      <c r="AS358" s="2">
        <v>170</v>
      </c>
      <c r="AT358" s="2">
        <v>662</v>
      </c>
      <c r="AU358" s="2">
        <v>1697</v>
      </c>
      <c r="AV358" s="2">
        <v>294</v>
      </c>
      <c r="AW358" s="2"/>
      <c r="AX358" s="1">
        <f t="shared" si="279"/>
        <v>0.78399999999999981</v>
      </c>
      <c r="AY358" s="21">
        <f t="shared" si="278"/>
        <v>-0.1</v>
      </c>
      <c r="AZ358" s="5">
        <v>4.9000000000000004</v>
      </c>
      <c r="BA358" s="1">
        <v>1.19</v>
      </c>
      <c r="BB358" s="1">
        <v>1.1299999999999999</v>
      </c>
      <c r="BC358" s="6">
        <f t="shared" si="273"/>
        <v>0.94957983193277307</v>
      </c>
      <c r="BE358" s="28">
        <f t="shared" si="276"/>
        <v>3</v>
      </c>
      <c r="BF358" s="6"/>
      <c r="BG358" s="1">
        <f t="shared" si="248"/>
        <v>93.1</v>
      </c>
      <c r="BH358" s="1">
        <f t="shared" si="249"/>
        <v>92.2</v>
      </c>
      <c r="BI358" s="1">
        <f t="shared" si="250"/>
        <v>90.3</v>
      </c>
      <c r="BJ358" s="7">
        <f t="shared" si="251"/>
        <v>0.44800000000000001</v>
      </c>
      <c r="BK358" s="7">
        <f t="shared" si="252"/>
        <v>4.8000000000000001E-2</v>
      </c>
      <c r="BM358" s="5">
        <f t="shared" si="253"/>
        <v>1.19</v>
      </c>
      <c r="BN358" s="5">
        <f t="shared" si="254"/>
        <v>1.1299999999999999</v>
      </c>
      <c r="BO358" s="1">
        <f t="shared" si="255"/>
        <v>-4.5999999999999996</v>
      </c>
      <c r="BP358" s="1">
        <f t="shared" si="256"/>
        <v>-2.8</v>
      </c>
      <c r="BQ358" s="1">
        <f t="shared" si="257"/>
        <v>-6</v>
      </c>
      <c r="BR358" s="1">
        <f t="shared" si="258"/>
        <v>92.2</v>
      </c>
      <c r="BS358" s="1">
        <f t="shared" si="259"/>
        <v>90.3</v>
      </c>
      <c r="BT358" s="1">
        <f t="shared" si="260"/>
        <v>1</v>
      </c>
      <c r="BU358" s="1">
        <f t="shared" si="261"/>
        <v>3.4</v>
      </c>
      <c r="BV358" s="33">
        <f t="shared" si="280"/>
        <v>3</v>
      </c>
      <c r="BW358" s="34">
        <f t="shared" si="277"/>
        <v>0.78399999999999981</v>
      </c>
      <c r="BX358" s="20">
        <f t="shared" si="262"/>
        <v>-0.1</v>
      </c>
      <c r="BY358" s="1">
        <f t="shared" si="263"/>
        <v>-5.2</v>
      </c>
      <c r="BZ358" s="1">
        <f t="shared" si="264"/>
        <v>-3.7</v>
      </c>
      <c r="CA358" s="1">
        <f t="shared" si="265"/>
        <v>-7</v>
      </c>
      <c r="CB358" s="1">
        <f t="shared" si="266"/>
        <v>0.4</v>
      </c>
      <c r="CC358" s="1">
        <f t="shared" si="267"/>
        <v>1.6</v>
      </c>
      <c r="CD358" s="1">
        <f t="shared" si="268"/>
        <v>2.5</v>
      </c>
      <c r="CE358" s="1" t="str">
        <f t="shared" si="269"/>
        <v>NAN</v>
      </c>
      <c r="CF358" s="1">
        <f t="shared" si="270"/>
        <v>0.44800000000000001</v>
      </c>
      <c r="CG358" s="1">
        <f t="shared" si="271"/>
        <v>4.8000000000000001E-2</v>
      </c>
      <c r="CI358" s="1">
        <f t="shared" si="237"/>
        <v>2880</v>
      </c>
      <c r="CJ358" s="1">
        <f t="shared" si="238"/>
        <v>5.0000000000000001E-3</v>
      </c>
      <c r="CK358" s="1">
        <f t="shared" si="239"/>
        <v>0</v>
      </c>
      <c r="CL358" s="1">
        <f t="shared" si="240"/>
        <v>2E-3</v>
      </c>
      <c r="CM358" s="1">
        <f t="shared" si="241"/>
        <v>1.2999999999999999E-2</v>
      </c>
      <c r="CN358" s="1">
        <f t="shared" si="242"/>
        <v>5.8999999999999997E-2</v>
      </c>
      <c r="CO358" s="1">
        <f t="shared" si="243"/>
        <v>0.23</v>
      </c>
      <c r="CP358" s="1">
        <f t="shared" si="244"/>
        <v>0.58899999999999997</v>
      </c>
      <c r="CQ358" s="1">
        <f t="shared" si="245"/>
        <v>0.10199999999999999</v>
      </c>
      <c r="CS358" s="1">
        <f t="shared" si="274"/>
        <v>-0.90000000000000036</v>
      </c>
      <c r="CT358" s="1">
        <f t="shared" si="275"/>
        <v>-1</v>
      </c>
    </row>
    <row r="359" spans="1:98" x14ac:dyDescent="0.2">
      <c r="A359" s="8">
        <f t="shared" si="272"/>
        <v>44184</v>
      </c>
      <c r="B359" s="1">
        <v>354</v>
      </c>
      <c r="C359" s="1">
        <v>11</v>
      </c>
      <c r="D359" s="2">
        <v>12.98</v>
      </c>
      <c r="E359" s="2">
        <v>-3.15</v>
      </c>
      <c r="F359" s="2">
        <v>-6.27</v>
      </c>
      <c r="G359" s="2">
        <v>-4.3049999999999997</v>
      </c>
      <c r="H359" s="2">
        <v>91.4</v>
      </c>
      <c r="I359" s="2">
        <v>0.159</v>
      </c>
      <c r="J359" s="2">
        <v>-0.90600000000000003</v>
      </c>
      <c r="K359" s="2">
        <v>0.40600000000000003</v>
      </c>
      <c r="L359" s="2">
        <v>1.5740000000000001</v>
      </c>
      <c r="M359" s="2">
        <v>2.4769999999999999</v>
      </c>
      <c r="N359" s="2">
        <v>-2.7160000000000002</v>
      </c>
      <c r="O359" s="2">
        <v>94.4</v>
      </c>
      <c r="P359" s="2">
        <v>0.23499999999999999</v>
      </c>
      <c r="Q359" s="2">
        <v>-0.80600000000000005</v>
      </c>
      <c r="R359" s="2">
        <v>0.48699999999999999</v>
      </c>
      <c r="S359" s="2">
        <v>1.651</v>
      </c>
      <c r="T359" s="2">
        <v>2.548</v>
      </c>
      <c r="U359" s="2">
        <v>-5.7270000000000003</v>
      </c>
      <c r="V359" s="2">
        <v>86.5</v>
      </c>
      <c r="W359" s="2">
        <v>8.4000000000000005E-2</v>
      </c>
      <c r="X359" s="2">
        <v>-1.024</v>
      </c>
      <c r="Y359" s="2">
        <v>0.32600000000000001</v>
      </c>
      <c r="Z359" s="2">
        <v>1.4970000000000001</v>
      </c>
      <c r="AA359" s="2">
        <v>2.395</v>
      </c>
      <c r="AB359" s="2">
        <v>1.7929999999999999</v>
      </c>
      <c r="AC359" s="2">
        <v>0</v>
      </c>
      <c r="AD359" s="2">
        <v>0.255</v>
      </c>
      <c r="AE359" s="2">
        <v>1.671</v>
      </c>
      <c r="AF359" s="2">
        <v>1.6</v>
      </c>
      <c r="AG359" s="2">
        <v>4.6079999999999997</v>
      </c>
      <c r="AH359" s="2">
        <v>-5.4180000000000001</v>
      </c>
      <c r="AI359" s="2">
        <v>-3.1840000000000002</v>
      </c>
      <c r="AJ359" s="2">
        <v>-8.85</v>
      </c>
      <c r="AK359" s="2">
        <v>-2.258</v>
      </c>
      <c r="AL359" s="2">
        <v>-6.0720000000000001</v>
      </c>
      <c r="AM359" s="2">
        <v>1.802</v>
      </c>
      <c r="AN359" s="2" t="s">
        <v>122</v>
      </c>
      <c r="AO359" s="2">
        <v>110</v>
      </c>
      <c r="AP359" s="2">
        <v>8</v>
      </c>
      <c r="AQ359" s="2">
        <v>4</v>
      </c>
      <c r="AR359" s="2">
        <v>14</v>
      </c>
      <c r="AS359" s="2">
        <v>151</v>
      </c>
      <c r="AT359" s="2">
        <v>505</v>
      </c>
      <c r="AU359" s="2">
        <v>1411</v>
      </c>
      <c r="AV359" s="2">
        <v>677</v>
      </c>
      <c r="AW359" s="2"/>
      <c r="AX359" s="1">
        <f t="shared" si="279"/>
        <v>0.7569999999999999</v>
      </c>
      <c r="AY359" s="21">
        <f t="shared" si="278"/>
        <v>-0.1</v>
      </c>
      <c r="AZ359" s="5">
        <v>4.9000000000000004</v>
      </c>
      <c r="BA359" s="1">
        <v>1.62</v>
      </c>
      <c r="BB359" s="1">
        <v>1.54</v>
      </c>
      <c r="BC359" s="6">
        <f t="shared" si="273"/>
        <v>0.95061728395061729</v>
      </c>
      <c r="BE359" s="28">
        <f t="shared" si="276"/>
        <v>0</v>
      </c>
      <c r="BF359" s="6"/>
      <c r="BG359" s="1">
        <f t="shared" si="248"/>
        <v>94.4</v>
      </c>
      <c r="BH359" s="1">
        <f t="shared" si="249"/>
        <v>91.4</v>
      </c>
      <c r="BI359" s="1">
        <f t="shared" si="250"/>
        <v>86.5</v>
      </c>
      <c r="BJ359" s="7">
        <f t="shared" si="251"/>
        <v>0.432</v>
      </c>
      <c r="BK359" s="7">
        <f t="shared" si="252"/>
        <v>6.7000000000000004E-2</v>
      </c>
      <c r="BM359" s="5">
        <f t="shared" si="253"/>
        <v>1.62</v>
      </c>
      <c r="BN359" s="5">
        <f t="shared" si="254"/>
        <v>1.54</v>
      </c>
      <c r="BO359" s="1">
        <f t="shared" si="255"/>
        <v>-4.3</v>
      </c>
      <c r="BP359" s="1">
        <f t="shared" si="256"/>
        <v>-2.7</v>
      </c>
      <c r="BQ359" s="1">
        <f t="shared" si="257"/>
        <v>-5.7</v>
      </c>
      <c r="BR359" s="1">
        <f t="shared" si="258"/>
        <v>91.4</v>
      </c>
      <c r="BS359" s="1">
        <f t="shared" si="259"/>
        <v>86.5</v>
      </c>
      <c r="BT359" s="1">
        <f t="shared" si="260"/>
        <v>1.6</v>
      </c>
      <c r="BU359" s="1">
        <f t="shared" si="261"/>
        <v>4.5999999999999996</v>
      </c>
      <c r="BV359" s="33">
        <f t="shared" si="280"/>
        <v>0</v>
      </c>
      <c r="BW359" s="34">
        <f t="shared" si="277"/>
        <v>0.7569999999999999</v>
      </c>
      <c r="BX359" s="20">
        <f t="shared" si="262"/>
        <v>-0.1</v>
      </c>
      <c r="BY359" s="1">
        <f t="shared" si="263"/>
        <v>-5.4</v>
      </c>
      <c r="BZ359" s="1">
        <f t="shared" si="264"/>
        <v>-3.2</v>
      </c>
      <c r="CA359" s="1">
        <f t="shared" si="265"/>
        <v>-8.9</v>
      </c>
      <c r="CB359" s="1">
        <f t="shared" si="266"/>
        <v>0.4</v>
      </c>
      <c r="CC359" s="1">
        <f t="shared" si="267"/>
        <v>1.6</v>
      </c>
      <c r="CD359" s="1">
        <f t="shared" si="268"/>
        <v>2.5</v>
      </c>
      <c r="CE359" s="1" t="str">
        <f t="shared" si="269"/>
        <v>NAN</v>
      </c>
      <c r="CF359" s="1">
        <f t="shared" si="270"/>
        <v>0.432</v>
      </c>
      <c r="CG359" s="1">
        <f t="shared" si="271"/>
        <v>6.7000000000000004E-2</v>
      </c>
      <c r="CI359" s="1">
        <f t="shared" si="237"/>
        <v>2880</v>
      </c>
      <c r="CJ359" s="1">
        <f t="shared" si="238"/>
        <v>3.7999999999999999E-2</v>
      </c>
      <c r="CK359" s="1">
        <f t="shared" si="239"/>
        <v>3.0000000000000001E-3</v>
      </c>
      <c r="CL359" s="1">
        <f t="shared" si="240"/>
        <v>1E-3</v>
      </c>
      <c r="CM359" s="1">
        <f t="shared" si="241"/>
        <v>5.0000000000000001E-3</v>
      </c>
      <c r="CN359" s="1">
        <f t="shared" si="242"/>
        <v>5.1999999999999998E-2</v>
      </c>
      <c r="CO359" s="1">
        <f t="shared" si="243"/>
        <v>0.17499999999999999</v>
      </c>
      <c r="CP359" s="1">
        <f t="shared" si="244"/>
        <v>0.49</v>
      </c>
      <c r="CQ359" s="1">
        <f t="shared" si="245"/>
        <v>0.23499999999999999</v>
      </c>
      <c r="CS359" s="1">
        <f t="shared" si="274"/>
        <v>-0.5</v>
      </c>
      <c r="CT359" s="1">
        <f t="shared" si="275"/>
        <v>-3.2</v>
      </c>
    </row>
    <row r="360" spans="1:98" x14ac:dyDescent="0.2">
      <c r="A360" s="8">
        <f t="shared" si="272"/>
        <v>44185</v>
      </c>
      <c r="B360" s="1">
        <v>355</v>
      </c>
      <c r="C360" s="1">
        <v>11</v>
      </c>
      <c r="D360" s="2">
        <v>13.06</v>
      </c>
      <c r="E360" s="2">
        <v>-2.3140000000000001</v>
      </c>
      <c r="F360" s="2">
        <v>-6.423</v>
      </c>
      <c r="G360" s="2">
        <v>-3.302</v>
      </c>
      <c r="H360" s="2">
        <v>83</v>
      </c>
      <c r="I360" s="2">
        <v>0.17299999999999999</v>
      </c>
      <c r="J360" s="2">
        <v>-0.81599999999999995</v>
      </c>
      <c r="K360" s="2">
        <v>0.4</v>
      </c>
      <c r="L360" s="2">
        <v>1.5640000000000001</v>
      </c>
      <c r="M360" s="2">
        <v>2.4649999999999999</v>
      </c>
      <c r="N360" s="2">
        <v>-1.494</v>
      </c>
      <c r="O360" s="2">
        <v>94.4</v>
      </c>
      <c r="P360" s="2">
        <v>0.249</v>
      </c>
      <c r="Q360" s="2">
        <v>-0.71799999999999997</v>
      </c>
      <c r="R360" s="2">
        <v>0.47599999999999998</v>
      </c>
      <c r="S360" s="2">
        <v>1.64</v>
      </c>
      <c r="T360" s="2">
        <v>2.5430000000000001</v>
      </c>
      <c r="U360" s="2">
        <v>-6.1349999999999998</v>
      </c>
      <c r="V360" s="2">
        <v>68.44</v>
      </c>
      <c r="W360" s="2">
        <v>9.1999999999999998E-2</v>
      </c>
      <c r="X360" s="2">
        <v>-0.91600000000000004</v>
      </c>
      <c r="Y360" s="2">
        <v>0.311</v>
      </c>
      <c r="Z360" s="2">
        <v>1.4710000000000001</v>
      </c>
      <c r="AA360" s="2">
        <v>2.39</v>
      </c>
      <c r="AB360" s="2">
        <v>1.8089999999999999</v>
      </c>
      <c r="AC360" s="2">
        <v>0</v>
      </c>
      <c r="AD360" s="2">
        <v>0.254</v>
      </c>
      <c r="AE360" s="2">
        <v>1.9179999999999999</v>
      </c>
      <c r="AF360" s="2">
        <v>2.4239999999999999</v>
      </c>
      <c r="AG360" s="2">
        <v>6.577</v>
      </c>
      <c r="AH360" s="2">
        <v>-4.9610000000000003</v>
      </c>
      <c r="AI360" s="2">
        <v>-1.5640000000000001</v>
      </c>
      <c r="AJ360" s="2">
        <v>-8.81</v>
      </c>
      <c r="AK360" s="2">
        <v>2.7E-2</v>
      </c>
      <c r="AL360" s="2">
        <v>-6.4409999999999998</v>
      </c>
      <c r="AM360" s="2">
        <v>1.83</v>
      </c>
      <c r="AN360" s="2" t="s">
        <v>122</v>
      </c>
      <c r="AO360" s="2">
        <v>377</v>
      </c>
      <c r="AP360" s="2">
        <v>38</v>
      </c>
      <c r="AQ360" s="2">
        <v>4</v>
      </c>
      <c r="AR360" s="2">
        <v>4</v>
      </c>
      <c r="AS360" s="2">
        <v>8</v>
      </c>
      <c r="AT360" s="2">
        <v>109</v>
      </c>
      <c r="AU360" s="2">
        <v>923</v>
      </c>
      <c r="AV360" s="2">
        <v>1416</v>
      </c>
      <c r="AW360" s="2"/>
      <c r="AX360" s="1">
        <f t="shared" si="279"/>
        <v>0.74099999999999988</v>
      </c>
      <c r="AY360" s="21">
        <f t="shared" si="278"/>
        <v>-0.1</v>
      </c>
      <c r="AZ360" s="5">
        <v>4.9000000000000004</v>
      </c>
      <c r="BA360" s="1">
        <v>1.86</v>
      </c>
      <c r="BB360" s="1">
        <v>1.76</v>
      </c>
      <c r="BC360" s="6">
        <f t="shared" si="273"/>
        <v>0.94623655913978488</v>
      </c>
      <c r="BE360" s="28">
        <f t="shared" si="276"/>
        <v>0</v>
      </c>
      <c r="BF360" s="6"/>
      <c r="BG360" s="1">
        <f t="shared" si="248"/>
        <v>94.4</v>
      </c>
      <c r="BH360" s="1">
        <f t="shared" si="249"/>
        <v>83</v>
      </c>
      <c r="BI360" s="1">
        <f t="shared" si="250"/>
        <v>68.400000000000006</v>
      </c>
      <c r="BJ360" s="7">
        <f t="shared" si="251"/>
        <v>0.374</v>
      </c>
      <c r="BK360" s="7">
        <f t="shared" si="252"/>
        <v>0.17299999999999999</v>
      </c>
      <c r="BM360" s="5">
        <f t="shared" si="253"/>
        <v>1.86</v>
      </c>
      <c r="BN360" s="5">
        <f t="shared" si="254"/>
        <v>1.76</v>
      </c>
      <c r="BO360" s="1">
        <f t="shared" si="255"/>
        <v>-3.3</v>
      </c>
      <c r="BP360" s="1">
        <f t="shared" si="256"/>
        <v>-1.5</v>
      </c>
      <c r="BQ360" s="1">
        <f t="shared" si="257"/>
        <v>-6.1</v>
      </c>
      <c r="BR360" s="1">
        <f t="shared" si="258"/>
        <v>83</v>
      </c>
      <c r="BS360" s="1">
        <f t="shared" si="259"/>
        <v>68.400000000000006</v>
      </c>
      <c r="BT360" s="1">
        <f t="shared" si="260"/>
        <v>2.4</v>
      </c>
      <c r="BU360" s="1">
        <f t="shared" si="261"/>
        <v>6.6</v>
      </c>
      <c r="BV360" s="33">
        <f t="shared" si="280"/>
        <v>0</v>
      </c>
      <c r="BW360" s="34">
        <f t="shared" si="277"/>
        <v>0.74099999999999988</v>
      </c>
      <c r="BX360" s="20">
        <f t="shared" si="262"/>
        <v>-0.1</v>
      </c>
      <c r="BY360" s="1">
        <f t="shared" si="263"/>
        <v>-5</v>
      </c>
      <c r="BZ360" s="1">
        <f t="shared" si="264"/>
        <v>-1.6</v>
      </c>
      <c r="CA360" s="1">
        <f t="shared" si="265"/>
        <v>-8.8000000000000007</v>
      </c>
      <c r="CB360" s="1">
        <f t="shared" si="266"/>
        <v>0.4</v>
      </c>
      <c r="CC360" s="1">
        <f t="shared" si="267"/>
        <v>1.6</v>
      </c>
      <c r="CD360" s="1">
        <f t="shared" si="268"/>
        <v>2.5</v>
      </c>
      <c r="CE360" s="1" t="str">
        <f t="shared" si="269"/>
        <v>NAN</v>
      </c>
      <c r="CF360" s="1">
        <f t="shared" si="270"/>
        <v>0.374</v>
      </c>
      <c r="CG360" s="1">
        <f t="shared" si="271"/>
        <v>0.17299999999999999</v>
      </c>
      <c r="CI360" s="1">
        <f t="shared" si="237"/>
        <v>2879</v>
      </c>
      <c r="CJ360" s="1">
        <f t="shared" si="238"/>
        <v>0.13100000000000001</v>
      </c>
      <c r="CK360" s="1">
        <f t="shared" si="239"/>
        <v>1.2999999999999999E-2</v>
      </c>
      <c r="CL360" s="1">
        <f t="shared" si="240"/>
        <v>1E-3</v>
      </c>
      <c r="CM360" s="1">
        <f t="shared" si="241"/>
        <v>1E-3</v>
      </c>
      <c r="CN360" s="1">
        <f t="shared" si="242"/>
        <v>3.0000000000000001E-3</v>
      </c>
      <c r="CO360" s="1">
        <f t="shared" si="243"/>
        <v>3.7999999999999999E-2</v>
      </c>
      <c r="CP360" s="1">
        <f t="shared" si="244"/>
        <v>0.32100000000000001</v>
      </c>
      <c r="CQ360" s="1">
        <f t="shared" si="245"/>
        <v>0.49199999999999999</v>
      </c>
      <c r="CS360" s="1">
        <f t="shared" si="274"/>
        <v>-0.10000000000000009</v>
      </c>
      <c r="CT360" s="1">
        <f t="shared" si="275"/>
        <v>-2.7000000000000011</v>
      </c>
    </row>
    <row r="361" spans="1:98" x14ac:dyDescent="0.2">
      <c r="A361" s="8">
        <f t="shared" si="272"/>
        <v>44186</v>
      </c>
      <c r="B361" s="1">
        <v>356</v>
      </c>
      <c r="C361" s="1">
        <v>11</v>
      </c>
      <c r="D361" s="2">
        <v>12.83</v>
      </c>
      <c r="E361" s="2">
        <v>-3.988</v>
      </c>
      <c r="F361" s="2">
        <v>-8.8000000000000007</v>
      </c>
      <c r="G361" s="2">
        <v>-6.2530000000000001</v>
      </c>
      <c r="H361" s="2">
        <v>89.4</v>
      </c>
      <c r="I361" s="2">
        <v>0.16700000000000001</v>
      </c>
      <c r="J361" s="2">
        <v>-0.94799999999999995</v>
      </c>
      <c r="K361" s="2">
        <v>0.38200000000000001</v>
      </c>
      <c r="L361" s="2">
        <v>1.5449999999999999</v>
      </c>
      <c r="M361" s="2">
        <v>2.4380000000000002</v>
      </c>
      <c r="N361" s="2">
        <v>-3.5270000000000001</v>
      </c>
      <c r="O361" s="2">
        <v>93.4</v>
      </c>
      <c r="P361" s="2">
        <v>0.248</v>
      </c>
      <c r="Q361" s="2">
        <v>-0.82</v>
      </c>
      <c r="R361" s="2">
        <v>0.45800000000000002</v>
      </c>
      <c r="S361" s="2">
        <v>1.625</v>
      </c>
      <c r="T361" s="2">
        <v>2.5230000000000001</v>
      </c>
      <c r="U361" s="2">
        <v>-8.9499999999999993</v>
      </c>
      <c r="V361" s="2">
        <v>78.7</v>
      </c>
      <c r="W361" s="2">
        <v>8.4000000000000005E-2</v>
      </c>
      <c r="X361" s="2">
        <v>-1.1259999999999999</v>
      </c>
      <c r="Y361" s="2">
        <v>0.28899999999999998</v>
      </c>
      <c r="Z361" s="2">
        <v>1.4570000000000001</v>
      </c>
      <c r="AA361" s="2">
        <v>2.3439999999999999</v>
      </c>
      <c r="AB361" s="2">
        <v>1.5740000000000001</v>
      </c>
      <c r="AC361" s="2">
        <v>0</v>
      </c>
      <c r="AD361" s="2">
        <v>9.2999999999999999E-2</v>
      </c>
      <c r="AE361" s="2">
        <v>0.80800000000000005</v>
      </c>
      <c r="AF361" s="2">
        <v>1.232</v>
      </c>
      <c r="AG361" s="2">
        <v>4.6660000000000004</v>
      </c>
      <c r="AH361" s="2">
        <v>-7.0060000000000002</v>
      </c>
      <c r="AI361" s="2">
        <v>-3.9449999999999998</v>
      </c>
      <c r="AJ361" s="2">
        <v>-10.11</v>
      </c>
      <c r="AK361" s="2">
        <v>-3.8660000000000001</v>
      </c>
      <c r="AL361" s="2">
        <v>-9.23</v>
      </c>
      <c r="AM361" s="2">
        <v>1.6</v>
      </c>
      <c r="AN361" s="2" t="s">
        <v>122</v>
      </c>
      <c r="AO361" s="2">
        <v>242</v>
      </c>
      <c r="AP361" s="2">
        <v>255</v>
      </c>
      <c r="AQ361" s="2">
        <v>84</v>
      </c>
      <c r="AR361" s="2">
        <v>44</v>
      </c>
      <c r="AS361" s="2">
        <v>246</v>
      </c>
      <c r="AT361" s="2">
        <v>688</v>
      </c>
      <c r="AU361" s="2">
        <v>926</v>
      </c>
      <c r="AV361" s="2">
        <v>395</v>
      </c>
      <c r="AW361" s="2"/>
      <c r="AX361" s="1">
        <f t="shared" si="279"/>
        <v>0.97599999999999976</v>
      </c>
      <c r="AY361" s="21">
        <f t="shared" si="278"/>
        <v>-0.1</v>
      </c>
      <c r="AZ361" s="5">
        <v>4.9000000000000004</v>
      </c>
      <c r="BA361" s="1">
        <v>0.78</v>
      </c>
      <c r="BB361" s="1">
        <v>0.74</v>
      </c>
      <c r="BC361" s="6">
        <f t="shared" si="273"/>
        <v>0.94871794871794868</v>
      </c>
      <c r="BE361" s="28">
        <f t="shared" si="276"/>
        <v>30.6</v>
      </c>
      <c r="BF361" s="6"/>
      <c r="BG361" s="1">
        <f t="shared" si="248"/>
        <v>93.4</v>
      </c>
      <c r="BH361" s="1">
        <f t="shared" si="249"/>
        <v>89.4</v>
      </c>
      <c r="BI361" s="1">
        <f t="shared" si="250"/>
        <v>78.7</v>
      </c>
      <c r="BJ361" s="7">
        <f t="shared" si="251"/>
        <v>0.37</v>
      </c>
      <c r="BK361" s="7">
        <f t="shared" si="252"/>
        <v>0.1</v>
      </c>
      <c r="BM361" s="5">
        <f t="shared" si="253"/>
        <v>0.78</v>
      </c>
      <c r="BN361" s="5">
        <f t="shared" si="254"/>
        <v>0.74</v>
      </c>
      <c r="BO361" s="1">
        <f t="shared" si="255"/>
        <v>-6.3</v>
      </c>
      <c r="BP361" s="1">
        <f t="shared" si="256"/>
        <v>-3.5</v>
      </c>
      <c r="BQ361" s="1">
        <f t="shared" si="257"/>
        <v>-9</v>
      </c>
      <c r="BR361" s="1">
        <f t="shared" si="258"/>
        <v>89.4</v>
      </c>
      <c r="BS361" s="1">
        <f t="shared" si="259"/>
        <v>78.7</v>
      </c>
      <c r="BT361" s="1">
        <f t="shared" si="260"/>
        <v>1.2</v>
      </c>
      <c r="BU361" s="1">
        <f t="shared" si="261"/>
        <v>4.7</v>
      </c>
      <c r="BV361" s="33">
        <f t="shared" si="280"/>
        <v>30.6</v>
      </c>
      <c r="BW361" s="34">
        <f t="shared" si="277"/>
        <v>0.97599999999999976</v>
      </c>
      <c r="BX361" s="20">
        <f t="shared" si="262"/>
        <v>-0.1</v>
      </c>
      <c r="BY361" s="1">
        <f t="shared" si="263"/>
        <v>-7</v>
      </c>
      <c r="BZ361" s="1">
        <f t="shared" si="264"/>
        <v>-3.9</v>
      </c>
      <c r="CA361" s="1">
        <f t="shared" si="265"/>
        <v>-10.1</v>
      </c>
      <c r="CB361" s="1">
        <f t="shared" si="266"/>
        <v>0.4</v>
      </c>
      <c r="CC361" s="1">
        <f t="shared" si="267"/>
        <v>1.5</v>
      </c>
      <c r="CD361" s="1">
        <f t="shared" si="268"/>
        <v>2.4</v>
      </c>
      <c r="CE361" s="1" t="str">
        <f t="shared" si="269"/>
        <v>NAN</v>
      </c>
      <c r="CF361" s="1">
        <f t="shared" si="270"/>
        <v>0.37</v>
      </c>
      <c r="CG361" s="1">
        <f t="shared" si="271"/>
        <v>0.1</v>
      </c>
      <c r="CI361" s="1">
        <f t="shared" si="237"/>
        <v>2880</v>
      </c>
      <c r="CJ361" s="1">
        <f t="shared" si="238"/>
        <v>8.4000000000000005E-2</v>
      </c>
      <c r="CK361" s="1">
        <f t="shared" si="239"/>
        <v>8.8999999999999996E-2</v>
      </c>
      <c r="CL361" s="1">
        <f t="shared" si="240"/>
        <v>2.9000000000000001E-2</v>
      </c>
      <c r="CM361" s="1">
        <f t="shared" si="241"/>
        <v>1.4999999999999999E-2</v>
      </c>
      <c r="CN361" s="1">
        <f t="shared" si="242"/>
        <v>8.5000000000000006E-2</v>
      </c>
      <c r="CO361" s="1">
        <f t="shared" si="243"/>
        <v>0.23899999999999999</v>
      </c>
      <c r="CP361" s="1">
        <f t="shared" si="244"/>
        <v>0.32200000000000001</v>
      </c>
      <c r="CQ361" s="1">
        <f t="shared" si="245"/>
        <v>0.13700000000000001</v>
      </c>
      <c r="CS361" s="1">
        <f t="shared" si="274"/>
        <v>-0.39999999999999991</v>
      </c>
      <c r="CT361" s="1">
        <f t="shared" si="275"/>
        <v>-1.0999999999999996</v>
      </c>
    </row>
    <row r="362" spans="1:98" x14ac:dyDescent="0.2">
      <c r="A362" s="8">
        <f t="shared" si="272"/>
        <v>44187</v>
      </c>
      <c r="B362" s="1">
        <v>357</v>
      </c>
      <c r="C362" s="1">
        <v>11</v>
      </c>
      <c r="D362" s="2">
        <v>12.82</v>
      </c>
      <c r="E362" s="2">
        <v>-8.8000000000000007</v>
      </c>
      <c r="F362" s="2">
        <v>-14.1</v>
      </c>
      <c r="G362" s="2">
        <v>-10.65</v>
      </c>
      <c r="H362" s="2">
        <v>87.7</v>
      </c>
      <c r="I362" s="2">
        <v>0.13300000000000001</v>
      </c>
      <c r="J362" s="2">
        <v>-1.1040000000000001</v>
      </c>
      <c r="K362" s="2">
        <v>0.33200000000000002</v>
      </c>
      <c r="L362" s="2">
        <v>1.4910000000000001</v>
      </c>
      <c r="M362" s="2">
        <v>2.38</v>
      </c>
      <c r="N362" s="2">
        <v>-8.8800000000000008</v>
      </c>
      <c r="O362" s="2">
        <v>89.1</v>
      </c>
      <c r="P362" s="2">
        <v>0.19600000000000001</v>
      </c>
      <c r="Q362" s="2">
        <v>-1.0169999999999999</v>
      </c>
      <c r="R362" s="2">
        <v>0.40600000000000003</v>
      </c>
      <c r="S362" s="2">
        <v>1.569</v>
      </c>
      <c r="T362" s="2">
        <v>2.4609999999999999</v>
      </c>
      <c r="U362" s="2">
        <v>-12.43</v>
      </c>
      <c r="V362" s="2">
        <v>86.2</v>
      </c>
      <c r="W362" s="2">
        <v>5.2999999999999999E-2</v>
      </c>
      <c r="X362" s="2">
        <v>-1.1890000000000001</v>
      </c>
      <c r="Y362" s="2">
        <v>0.23599999999999999</v>
      </c>
      <c r="Z362" s="2">
        <v>1.395</v>
      </c>
      <c r="AA362" s="2">
        <v>2.2890000000000001</v>
      </c>
      <c r="AB362" s="2">
        <v>1.623</v>
      </c>
      <c r="AC362" s="2">
        <v>0</v>
      </c>
      <c r="AD362" s="2">
        <v>0.10299999999999999</v>
      </c>
      <c r="AE362" s="2">
        <v>0.92500000000000004</v>
      </c>
      <c r="AF362" s="2">
        <v>1.264</v>
      </c>
      <c r="AG362" s="2">
        <v>5.2290000000000001</v>
      </c>
      <c r="AH362" s="2">
        <v>-11.78</v>
      </c>
      <c r="AI362" s="2">
        <v>-9.32</v>
      </c>
      <c r="AJ362" s="2">
        <v>-17.559999999999999</v>
      </c>
      <c r="AK362" s="2">
        <v>-9.24</v>
      </c>
      <c r="AL362" s="2">
        <v>-14.1</v>
      </c>
      <c r="AM362" s="2">
        <v>1.66</v>
      </c>
      <c r="AN362" s="2" t="s">
        <v>122</v>
      </c>
      <c r="AO362" s="2">
        <v>672</v>
      </c>
      <c r="AP362" s="2">
        <v>238</v>
      </c>
      <c r="AQ362" s="2">
        <v>76</v>
      </c>
      <c r="AR362" s="2">
        <v>32</v>
      </c>
      <c r="AS362" s="2">
        <v>59</v>
      </c>
      <c r="AT362" s="2">
        <v>141</v>
      </c>
      <c r="AU362" s="2">
        <v>673</v>
      </c>
      <c r="AV362" s="2">
        <v>989</v>
      </c>
      <c r="AW362" s="2"/>
      <c r="AX362" s="1">
        <f t="shared" si="279"/>
        <v>0.92699999999999982</v>
      </c>
      <c r="AY362" s="21">
        <f t="shared" si="278"/>
        <v>-0.2</v>
      </c>
      <c r="AZ362" s="5">
        <v>4.9000000000000004</v>
      </c>
      <c r="BA362" s="1">
        <v>0.9</v>
      </c>
      <c r="BB362" s="1">
        <v>0.85</v>
      </c>
      <c r="BC362" s="6">
        <f t="shared" si="273"/>
        <v>0.94444444444444442</v>
      </c>
      <c r="BE362" s="28">
        <f t="shared" si="276"/>
        <v>0</v>
      </c>
      <c r="BF362" s="6"/>
      <c r="BG362" s="1">
        <f t="shared" si="248"/>
        <v>89.1</v>
      </c>
      <c r="BH362" s="1">
        <f t="shared" si="249"/>
        <v>87.7</v>
      </c>
      <c r="BI362" s="1">
        <f t="shared" si="250"/>
        <v>86.2</v>
      </c>
      <c r="BJ362" s="7">
        <f t="shared" si="251"/>
        <v>0.26900000000000002</v>
      </c>
      <c r="BK362" s="7">
        <f t="shared" si="252"/>
        <v>4.2999999999999997E-2</v>
      </c>
      <c r="BM362" s="5">
        <f t="shared" si="253"/>
        <v>0.9</v>
      </c>
      <c r="BN362" s="5">
        <f t="shared" si="254"/>
        <v>0.85</v>
      </c>
      <c r="BO362" s="1">
        <f t="shared" si="255"/>
        <v>-10.7</v>
      </c>
      <c r="BP362" s="1">
        <f t="shared" si="256"/>
        <v>-8.9</v>
      </c>
      <c r="BQ362" s="1">
        <f t="shared" si="257"/>
        <v>-12.4</v>
      </c>
      <c r="BR362" s="1">
        <f t="shared" si="258"/>
        <v>87.7</v>
      </c>
      <c r="BS362" s="1">
        <f t="shared" si="259"/>
        <v>86.2</v>
      </c>
      <c r="BT362" s="1">
        <f t="shared" si="260"/>
        <v>1.3</v>
      </c>
      <c r="BU362" s="1">
        <f t="shared" si="261"/>
        <v>5.2</v>
      </c>
      <c r="BV362" s="33">
        <f t="shared" si="280"/>
        <v>0</v>
      </c>
      <c r="BW362" s="34">
        <f t="shared" si="277"/>
        <v>0.92699999999999982</v>
      </c>
      <c r="BX362" s="20">
        <f t="shared" si="262"/>
        <v>-0.2</v>
      </c>
      <c r="BY362" s="1">
        <f t="shared" si="263"/>
        <v>-11.8</v>
      </c>
      <c r="BZ362" s="1">
        <f t="shared" si="264"/>
        <v>-9.3000000000000007</v>
      </c>
      <c r="CA362" s="1">
        <f t="shared" si="265"/>
        <v>-17.600000000000001</v>
      </c>
      <c r="CB362" s="1">
        <f t="shared" si="266"/>
        <v>0.3</v>
      </c>
      <c r="CC362" s="1">
        <f t="shared" si="267"/>
        <v>1.5</v>
      </c>
      <c r="CD362" s="1">
        <f t="shared" si="268"/>
        <v>2.4</v>
      </c>
      <c r="CE362" s="1" t="str">
        <f t="shared" si="269"/>
        <v>NAN</v>
      </c>
      <c r="CF362" s="1">
        <f t="shared" si="270"/>
        <v>0.26900000000000002</v>
      </c>
      <c r="CG362" s="1">
        <f t="shared" si="271"/>
        <v>4.2999999999999997E-2</v>
      </c>
      <c r="CI362" s="1">
        <f t="shared" si="237"/>
        <v>2880</v>
      </c>
      <c r="CJ362" s="1">
        <f t="shared" si="238"/>
        <v>0.23300000000000001</v>
      </c>
      <c r="CK362" s="1">
        <f t="shared" si="239"/>
        <v>8.3000000000000004E-2</v>
      </c>
      <c r="CL362" s="1">
        <f t="shared" si="240"/>
        <v>2.5999999999999999E-2</v>
      </c>
      <c r="CM362" s="1">
        <f t="shared" si="241"/>
        <v>1.0999999999999999E-2</v>
      </c>
      <c r="CN362" s="1">
        <f t="shared" si="242"/>
        <v>0.02</v>
      </c>
      <c r="CO362" s="1">
        <f t="shared" si="243"/>
        <v>4.9000000000000002E-2</v>
      </c>
      <c r="CP362" s="1">
        <f t="shared" si="244"/>
        <v>0.23400000000000001</v>
      </c>
      <c r="CQ362" s="1">
        <f t="shared" si="245"/>
        <v>0.34300000000000003</v>
      </c>
      <c r="CS362" s="1">
        <f t="shared" si="274"/>
        <v>-0.40000000000000036</v>
      </c>
      <c r="CT362" s="1">
        <f t="shared" si="275"/>
        <v>-5.2000000000000011</v>
      </c>
    </row>
    <row r="363" spans="1:98" x14ac:dyDescent="0.2">
      <c r="A363" s="8">
        <f t="shared" si="272"/>
        <v>44188</v>
      </c>
      <c r="B363" s="1">
        <v>358</v>
      </c>
      <c r="C363" s="1">
        <v>11</v>
      </c>
      <c r="D363" s="2">
        <v>13.12</v>
      </c>
      <c r="E363" s="2">
        <v>-1.8640000000000001</v>
      </c>
      <c r="F363" s="2">
        <v>-15.29</v>
      </c>
      <c r="G363" s="2">
        <v>-8.2799999999999994</v>
      </c>
      <c r="H363" s="2">
        <v>89.1</v>
      </c>
      <c r="I363" s="2">
        <v>0.14499999999999999</v>
      </c>
      <c r="J363" s="2">
        <v>-1.117</v>
      </c>
      <c r="K363" s="2">
        <v>0.33</v>
      </c>
      <c r="L363" s="2">
        <v>1.482</v>
      </c>
      <c r="M363" s="2">
        <v>2.3769999999999998</v>
      </c>
      <c r="N363" s="2">
        <v>-1.2290000000000001</v>
      </c>
      <c r="O363" s="2">
        <v>93.6</v>
      </c>
      <c r="P363" s="2">
        <v>0.246</v>
      </c>
      <c r="Q363" s="2">
        <v>-1.0049999999999999</v>
      </c>
      <c r="R363" s="2">
        <v>0.438</v>
      </c>
      <c r="S363" s="2">
        <v>1.589</v>
      </c>
      <c r="T363" s="2">
        <v>2.4889999999999999</v>
      </c>
      <c r="U363" s="2">
        <v>-13.07</v>
      </c>
      <c r="V363" s="2">
        <v>85.4</v>
      </c>
      <c r="W363" s="2">
        <v>2.5999999999999999E-2</v>
      </c>
      <c r="X363" s="2">
        <v>-1.2310000000000001</v>
      </c>
      <c r="Y363" s="2">
        <v>0.221</v>
      </c>
      <c r="Z363" s="2">
        <v>1.37</v>
      </c>
      <c r="AA363" s="2">
        <v>2.2730000000000001</v>
      </c>
      <c r="AB363" s="2">
        <v>1.6579999999999999</v>
      </c>
      <c r="AC363" s="2">
        <v>0</v>
      </c>
      <c r="AD363" s="2">
        <v>0.78</v>
      </c>
      <c r="AE363" s="2">
        <v>3.3039999999999998</v>
      </c>
      <c r="AF363" s="2">
        <v>0.70099999999999996</v>
      </c>
      <c r="AG363" s="2">
        <v>3.0920000000000001</v>
      </c>
      <c r="AH363" s="2">
        <v>-11.65</v>
      </c>
      <c r="AI363" s="2">
        <v>-3.93</v>
      </c>
      <c r="AJ363" s="2">
        <v>-17.809999999999999</v>
      </c>
      <c r="AK363" s="2">
        <v>3.2330000000000001</v>
      </c>
      <c r="AL363" s="2">
        <v>-14.49</v>
      </c>
      <c r="AM363" s="2">
        <v>1.6839999999999999</v>
      </c>
      <c r="AN363" s="2" t="s">
        <v>122</v>
      </c>
      <c r="AO363" s="2">
        <v>445</v>
      </c>
      <c r="AP363" s="2">
        <v>638</v>
      </c>
      <c r="AQ363" s="2">
        <v>355</v>
      </c>
      <c r="AR363" s="2">
        <v>269</v>
      </c>
      <c r="AS363" s="2">
        <v>99</v>
      </c>
      <c r="AT363" s="2">
        <v>98</v>
      </c>
      <c r="AU363" s="2">
        <v>567</v>
      </c>
      <c r="AV363" s="2">
        <v>409</v>
      </c>
      <c r="AW363" s="2"/>
      <c r="AX363" s="1">
        <f t="shared" si="279"/>
        <v>0.8919999999999999</v>
      </c>
      <c r="AY363" s="21">
        <f t="shared" si="278"/>
        <v>-0.2</v>
      </c>
      <c r="AZ363" s="5">
        <v>4.92</v>
      </c>
      <c r="BA363" s="1">
        <v>3.2</v>
      </c>
      <c r="BB363" s="1">
        <v>3.04</v>
      </c>
      <c r="BC363" s="6">
        <f t="shared" si="273"/>
        <v>0.95</v>
      </c>
      <c r="BE363" s="28">
        <f t="shared" si="276"/>
        <v>0</v>
      </c>
      <c r="BF363" s="6"/>
      <c r="BG363" s="1">
        <f t="shared" si="248"/>
        <v>93.6</v>
      </c>
      <c r="BH363" s="1">
        <f t="shared" si="249"/>
        <v>89.1</v>
      </c>
      <c r="BI363" s="1">
        <f t="shared" si="250"/>
        <v>85.4</v>
      </c>
      <c r="BJ363" s="7">
        <f t="shared" si="251"/>
        <v>0.47699999999999998</v>
      </c>
      <c r="BK363" s="7">
        <f t="shared" si="252"/>
        <v>8.2000000000000003E-2</v>
      </c>
      <c r="BM363" s="5">
        <f t="shared" si="253"/>
        <v>3.2</v>
      </c>
      <c r="BN363" s="5">
        <f t="shared" si="254"/>
        <v>3.04</v>
      </c>
      <c r="BO363" s="1">
        <f t="shared" si="255"/>
        <v>-8.3000000000000007</v>
      </c>
      <c r="BP363" s="1">
        <f t="shared" si="256"/>
        <v>-1.2</v>
      </c>
      <c r="BQ363" s="1">
        <f t="shared" si="257"/>
        <v>-13.1</v>
      </c>
      <c r="BR363" s="1">
        <f t="shared" si="258"/>
        <v>89.1</v>
      </c>
      <c r="BS363" s="1">
        <f t="shared" si="259"/>
        <v>85.4</v>
      </c>
      <c r="BT363" s="1">
        <f t="shared" si="260"/>
        <v>0.7</v>
      </c>
      <c r="BU363" s="1">
        <f t="shared" si="261"/>
        <v>3.1</v>
      </c>
      <c r="BV363" s="33">
        <f t="shared" si="280"/>
        <v>0</v>
      </c>
      <c r="BW363" s="34">
        <f t="shared" si="277"/>
        <v>0.8919999999999999</v>
      </c>
      <c r="BX363" s="20">
        <f t="shared" si="262"/>
        <v>-0.2</v>
      </c>
      <c r="BY363" s="1">
        <f t="shared" si="263"/>
        <v>-11.7</v>
      </c>
      <c r="BZ363" s="1">
        <f t="shared" si="264"/>
        <v>-3.9</v>
      </c>
      <c r="CA363" s="1">
        <f t="shared" si="265"/>
        <v>-17.8</v>
      </c>
      <c r="CB363" s="1">
        <f t="shared" si="266"/>
        <v>0.3</v>
      </c>
      <c r="CC363" s="1">
        <f t="shared" si="267"/>
        <v>1.5</v>
      </c>
      <c r="CD363" s="1">
        <f t="shared" si="268"/>
        <v>2.4</v>
      </c>
      <c r="CE363" s="1" t="str">
        <f t="shared" si="269"/>
        <v>NAN</v>
      </c>
      <c r="CF363" s="1">
        <f t="shared" si="270"/>
        <v>0.47699999999999998</v>
      </c>
      <c r="CG363" s="1">
        <f t="shared" si="271"/>
        <v>8.2000000000000003E-2</v>
      </c>
      <c r="CI363" s="1">
        <f t="shared" si="237"/>
        <v>2880</v>
      </c>
      <c r="CJ363" s="1">
        <f t="shared" si="238"/>
        <v>0.155</v>
      </c>
      <c r="CK363" s="1">
        <f t="shared" si="239"/>
        <v>0.222</v>
      </c>
      <c r="CL363" s="1">
        <f t="shared" si="240"/>
        <v>0.123</v>
      </c>
      <c r="CM363" s="1">
        <f t="shared" si="241"/>
        <v>9.2999999999999999E-2</v>
      </c>
      <c r="CN363" s="1">
        <f t="shared" si="242"/>
        <v>3.4000000000000002E-2</v>
      </c>
      <c r="CO363" s="1">
        <f t="shared" si="243"/>
        <v>3.4000000000000002E-2</v>
      </c>
      <c r="CP363" s="1">
        <f t="shared" si="244"/>
        <v>0.19700000000000001</v>
      </c>
      <c r="CQ363" s="1">
        <f t="shared" si="245"/>
        <v>0.14199999999999999</v>
      </c>
      <c r="CS363" s="1">
        <f t="shared" si="274"/>
        <v>-2.7</v>
      </c>
      <c r="CT363" s="1">
        <f t="shared" si="275"/>
        <v>-4.7000000000000011</v>
      </c>
    </row>
    <row r="364" spans="1:98" x14ac:dyDescent="0.2">
      <c r="A364" s="8">
        <f t="shared" si="272"/>
        <v>44189</v>
      </c>
      <c r="B364" s="1">
        <v>359</v>
      </c>
      <c r="C364" s="1">
        <v>11</v>
      </c>
      <c r="D364" s="2">
        <v>13.08</v>
      </c>
      <c r="E364" s="2">
        <v>-6.3780000000000001</v>
      </c>
      <c r="F364" s="2">
        <v>-12.1</v>
      </c>
      <c r="G364" s="2">
        <v>-8.82</v>
      </c>
      <c r="H364" s="2">
        <v>76.930000000000007</v>
      </c>
      <c r="I364" s="2">
        <v>0.14899999999999999</v>
      </c>
      <c r="J364" s="2">
        <v>-1.2709999999999999</v>
      </c>
      <c r="K364" s="2">
        <v>0.32300000000000001</v>
      </c>
      <c r="L364" s="2">
        <v>1.472</v>
      </c>
      <c r="M364" s="2">
        <v>2.3580000000000001</v>
      </c>
      <c r="N364" s="2">
        <v>-5.6589999999999998</v>
      </c>
      <c r="O364" s="2">
        <v>88.3</v>
      </c>
      <c r="P364" s="2">
        <v>0.22600000000000001</v>
      </c>
      <c r="Q364" s="2">
        <v>-1.1259999999999999</v>
      </c>
      <c r="R364" s="2">
        <v>0.39400000000000002</v>
      </c>
      <c r="S364" s="2">
        <v>1.5489999999999999</v>
      </c>
      <c r="T364" s="2">
        <v>2.4470000000000001</v>
      </c>
      <c r="U364" s="2">
        <v>-11.76</v>
      </c>
      <c r="V364" s="2">
        <v>55.85</v>
      </c>
      <c r="W364" s="2">
        <v>6.7000000000000004E-2</v>
      </c>
      <c r="X364" s="2">
        <v>-1.4079999999999999</v>
      </c>
      <c r="Y364" s="2">
        <v>0.25</v>
      </c>
      <c r="Z364" s="2">
        <v>1.3759999999999999</v>
      </c>
      <c r="AA364" s="2">
        <v>2.2930000000000001</v>
      </c>
      <c r="AB364" s="2">
        <v>1.68</v>
      </c>
      <c r="AC364" s="2">
        <v>0</v>
      </c>
      <c r="AD364" s="2">
        <v>0.59599999999999997</v>
      </c>
      <c r="AE364" s="2">
        <v>2.609</v>
      </c>
      <c r="AF364" s="2">
        <v>1.6419999999999999</v>
      </c>
      <c r="AG364" s="2">
        <v>4.3040000000000003</v>
      </c>
      <c r="AH364" s="2">
        <v>-11.22</v>
      </c>
      <c r="AI364" s="2">
        <v>-7.7709999999999999</v>
      </c>
      <c r="AJ364" s="2">
        <v>-14.77</v>
      </c>
      <c r="AK364" s="2">
        <v>-3.9039999999999999</v>
      </c>
      <c r="AL364" s="2">
        <v>-11.94</v>
      </c>
      <c r="AM364" s="2">
        <v>1.71</v>
      </c>
      <c r="AN364" s="2" t="s">
        <v>122</v>
      </c>
      <c r="AO364" s="2">
        <v>28</v>
      </c>
      <c r="AP364" s="2">
        <v>97</v>
      </c>
      <c r="AQ364" s="2">
        <v>622</v>
      </c>
      <c r="AR364" s="2">
        <v>1283</v>
      </c>
      <c r="AS364" s="2">
        <v>601</v>
      </c>
      <c r="AT364" s="2">
        <v>169</v>
      </c>
      <c r="AU364" s="2">
        <v>65</v>
      </c>
      <c r="AV364" s="2">
        <v>15</v>
      </c>
      <c r="AW364" s="2"/>
      <c r="AX364" s="1">
        <f t="shared" si="279"/>
        <v>0.86999999999999988</v>
      </c>
      <c r="AY364" s="21">
        <f t="shared" si="278"/>
        <v>-0.3</v>
      </c>
      <c r="AZ364" s="5">
        <v>4.93</v>
      </c>
      <c r="BA364" s="1">
        <v>2.5299999999999998</v>
      </c>
      <c r="BB364" s="1">
        <v>2.4</v>
      </c>
      <c r="BC364" s="6">
        <f t="shared" si="273"/>
        <v>0.94861660079051391</v>
      </c>
      <c r="BE364" s="28">
        <f t="shared" si="276"/>
        <v>0</v>
      </c>
      <c r="BF364" s="6"/>
      <c r="BG364" s="1">
        <f t="shared" si="248"/>
        <v>88.3</v>
      </c>
      <c r="BH364" s="1">
        <f t="shared" si="249"/>
        <v>76.900000000000006</v>
      </c>
      <c r="BI364" s="1">
        <f t="shared" si="250"/>
        <v>55.9</v>
      </c>
      <c r="BJ364" s="7">
        <f t="shared" si="251"/>
        <v>0.224</v>
      </c>
      <c r="BK364" s="7">
        <f t="shared" si="252"/>
        <v>0.17699999999999999</v>
      </c>
      <c r="BM364" s="5">
        <f t="shared" si="253"/>
        <v>2.5299999999999998</v>
      </c>
      <c r="BN364" s="5">
        <f t="shared" si="254"/>
        <v>2.4</v>
      </c>
      <c r="BO364" s="1">
        <f t="shared" si="255"/>
        <v>-8.8000000000000007</v>
      </c>
      <c r="BP364" s="1">
        <f t="shared" si="256"/>
        <v>-5.7</v>
      </c>
      <c r="BQ364" s="1">
        <f t="shared" si="257"/>
        <v>-11.8</v>
      </c>
      <c r="BR364" s="1">
        <f t="shared" si="258"/>
        <v>76.900000000000006</v>
      </c>
      <c r="BS364" s="1">
        <f t="shared" si="259"/>
        <v>55.9</v>
      </c>
      <c r="BT364" s="1">
        <f t="shared" si="260"/>
        <v>1.6</v>
      </c>
      <c r="BU364" s="1">
        <f t="shared" si="261"/>
        <v>4.3</v>
      </c>
      <c r="BV364" s="33">
        <f t="shared" si="280"/>
        <v>0</v>
      </c>
      <c r="BW364" s="34">
        <f t="shared" si="277"/>
        <v>0.86999999999999988</v>
      </c>
      <c r="BX364" s="20">
        <f t="shared" si="262"/>
        <v>-0.3</v>
      </c>
      <c r="BY364" s="1">
        <f t="shared" si="263"/>
        <v>-11.2</v>
      </c>
      <c r="BZ364" s="1">
        <f t="shared" si="264"/>
        <v>-7.8</v>
      </c>
      <c r="CA364" s="1">
        <f t="shared" si="265"/>
        <v>-14.8</v>
      </c>
      <c r="CB364" s="1">
        <f t="shared" si="266"/>
        <v>0.3</v>
      </c>
      <c r="CC364" s="1">
        <f t="shared" si="267"/>
        <v>1.5</v>
      </c>
      <c r="CD364" s="1">
        <f t="shared" si="268"/>
        <v>2.4</v>
      </c>
      <c r="CE364" s="1" t="str">
        <f t="shared" si="269"/>
        <v>NAN</v>
      </c>
      <c r="CF364" s="1">
        <f t="shared" si="270"/>
        <v>0.224</v>
      </c>
      <c r="CG364" s="1">
        <f t="shared" si="271"/>
        <v>0.17699999999999999</v>
      </c>
      <c r="CI364" s="1">
        <f t="shared" si="237"/>
        <v>2880</v>
      </c>
      <c r="CJ364" s="1">
        <f t="shared" si="238"/>
        <v>0.01</v>
      </c>
      <c r="CK364" s="1">
        <f t="shared" si="239"/>
        <v>3.4000000000000002E-2</v>
      </c>
      <c r="CL364" s="1">
        <f t="shared" si="240"/>
        <v>0.216</v>
      </c>
      <c r="CM364" s="1">
        <f t="shared" si="241"/>
        <v>0.44500000000000001</v>
      </c>
      <c r="CN364" s="1">
        <f t="shared" si="242"/>
        <v>0.20899999999999999</v>
      </c>
      <c r="CO364" s="1">
        <f t="shared" si="243"/>
        <v>5.8999999999999997E-2</v>
      </c>
      <c r="CP364" s="1">
        <f t="shared" si="244"/>
        <v>2.3E-2</v>
      </c>
      <c r="CQ364" s="1">
        <f t="shared" si="245"/>
        <v>5.0000000000000001E-3</v>
      </c>
      <c r="CS364" s="1">
        <f t="shared" si="274"/>
        <v>-2.0999999999999996</v>
      </c>
      <c r="CT364" s="1">
        <f t="shared" si="275"/>
        <v>-3</v>
      </c>
    </row>
    <row r="365" spans="1:98" x14ac:dyDescent="0.2">
      <c r="A365" s="8">
        <f t="shared" si="272"/>
        <v>44190</v>
      </c>
      <c r="B365" s="1">
        <v>360</v>
      </c>
      <c r="C365" s="1">
        <v>11</v>
      </c>
      <c r="D365" s="2">
        <v>13</v>
      </c>
      <c r="E365" s="2">
        <v>-5.1779999999999999</v>
      </c>
      <c r="F365" s="2">
        <v>-10.67</v>
      </c>
      <c r="G365" s="2">
        <v>-8</v>
      </c>
      <c r="H365" s="2">
        <v>78.83</v>
      </c>
      <c r="I365" s="2">
        <v>0.16700000000000001</v>
      </c>
      <c r="J365" s="2">
        <v>-1.3740000000000001</v>
      </c>
      <c r="K365" s="2">
        <v>0.33300000000000002</v>
      </c>
      <c r="L365" s="2">
        <v>1.476</v>
      </c>
      <c r="M365" s="2">
        <v>2.3490000000000002</v>
      </c>
      <c r="N365" s="2">
        <v>-4.7080000000000002</v>
      </c>
      <c r="O365" s="2">
        <v>90.5</v>
      </c>
      <c r="P365" s="2">
        <v>0.248</v>
      </c>
      <c r="Q365" s="2">
        <v>-1.2949999999999999</v>
      </c>
      <c r="R365" s="2">
        <v>0.41</v>
      </c>
      <c r="S365" s="2">
        <v>1.556</v>
      </c>
      <c r="T365" s="2">
        <v>2.4220000000000002</v>
      </c>
      <c r="U365" s="2">
        <v>-10.17</v>
      </c>
      <c r="V365" s="2">
        <v>63.61</v>
      </c>
      <c r="W365" s="2">
        <v>8.8999999999999996E-2</v>
      </c>
      <c r="X365" s="2">
        <v>-1.454</v>
      </c>
      <c r="Y365" s="2">
        <v>0.247</v>
      </c>
      <c r="Z365" s="2">
        <v>1.3879999999999999</v>
      </c>
      <c r="AA365" s="2">
        <v>2.2709999999999999</v>
      </c>
      <c r="AB365" s="2">
        <v>1.669</v>
      </c>
      <c r="AC365" s="2">
        <v>0</v>
      </c>
      <c r="AD365" s="2">
        <v>0.29799999999999999</v>
      </c>
      <c r="AE365" s="2">
        <v>1.611</v>
      </c>
      <c r="AF365" s="2">
        <v>1.754</v>
      </c>
      <c r="AG365" s="2">
        <v>4.093</v>
      </c>
      <c r="AH365" s="2">
        <v>-8.8699999999999992</v>
      </c>
      <c r="AI365" s="2">
        <v>-5.2009999999999996</v>
      </c>
      <c r="AJ365" s="2">
        <v>-13.29</v>
      </c>
      <c r="AK365" s="2">
        <v>-3.6190000000000002</v>
      </c>
      <c r="AL365" s="2">
        <v>-10.3</v>
      </c>
      <c r="AM365" s="2">
        <v>1.694</v>
      </c>
      <c r="AN365" s="2" t="s">
        <v>122</v>
      </c>
      <c r="AO365" s="2">
        <v>40</v>
      </c>
      <c r="AP365" s="2">
        <v>84</v>
      </c>
      <c r="AQ365" s="2">
        <v>343</v>
      </c>
      <c r="AR365" s="2">
        <v>779</v>
      </c>
      <c r="AS365" s="2">
        <v>946</v>
      </c>
      <c r="AT365" s="2">
        <v>539</v>
      </c>
      <c r="AU365" s="2">
        <v>125</v>
      </c>
      <c r="AV365" s="2">
        <v>24</v>
      </c>
      <c r="AW365" s="2"/>
      <c r="AX365" s="1">
        <f t="shared" si="279"/>
        <v>0.88099999999999978</v>
      </c>
      <c r="AY365" s="21">
        <f t="shared" si="278"/>
        <v>-0.3</v>
      </c>
      <c r="AZ365" s="5">
        <v>4.95</v>
      </c>
      <c r="BA365" s="1">
        <v>1.56</v>
      </c>
      <c r="BB365" s="1">
        <v>1.48</v>
      </c>
      <c r="BC365" s="6">
        <f t="shared" si="273"/>
        <v>0.94871794871794868</v>
      </c>
      <c r="BE365" s="28">
        <f t="shared" si="276"/>
        <v>1.4</v>
      </c>
      <c r="BF365" s="6"/>
      <c r="BG365" s="1">
        <f t="shared" si="248"/>
        <v>90.5</v>
      </c>
      <c r="BH365" s="1">
        <f t="shared" si="249"/>
        <v>78.8</v>
      </c>
      <c r="BI365" s="1">
        <f t="shared" si="250"/>
        <v>63.6</v>
      </c>
      <c r="BJ365" s="7">
        <f t="shared" si="251"/>
        <v>0.27400000000000002</v>
      </c>
      <c r="BK365" s="7">
        <f t="shared" si="252"/>
        <v>0.157</v>
      </c>
      <c r="BM365" s="5">
        <f t="shared" si="253"/>
        <v>1.56</v>
      </c>
      <c r="BN365" s="5">
        <f t="shared" si="254"/>
        <v>1.48</v>
      </c>
      <c r="BO365" s="1">
        <f t="shared" si="255"/>
        <v>-8</v>
      </c>
      <c r="BP365" s="1">
        <f t="shared" si="256"/>
        <v>-4.7</v>
      </c>
      <c r="BQ365" s="1">
        <f t="shared" si="257"/>
        <v>-10.199999999999999</v>
      </c>
      <c r="BR365" s="1">
        <f t="shared" si="258"/>
        <v>78.8</v>
      </c>
      <c r="BS365" s="1">
        <f t="shared" si="259"/>
        <v>63.6</v>
      </c>
      <c r="BT365" s="1">
        <f t="shared" si="260"/>
        <v>1.8</v>
      </c>
      <c r="BU365" s="1">
        <f t="shared" si="261"/>
        <v>4.0999999999999996</v>
      </c>
      <c r="BV365" s="33">
        <f t="shared" si="280"/>
        <v>1.4</v>
      </c>
      <c r="BW365" s="34">
        <f t="shared" si="277"/>
        <v>0.88099999999999978</v>
      </c>
      <c r="BX365" s="20">
        <f t="shared" si="262"/>
        <v>-0.3</v>
      </c>
      <c r="BY365" s="1">
        <f t="shared" si="263"/>
        <v>-8.9</v>
      </c>
      <c r="BZ365" s="1">
        <f t="shared" si="264"/>
        <v>-5.2</v>
      </c>
      <c r="CA365" s="1">
        <f t="shared" si="265"/>
        <v>-13.3</v>
      </c>
      <c r="CB365" s="1">
        <f t="shared" si="266"/>
        <v>0.3</v>
      </c>
      <c r="CC365" s="1">
        <f t="shared" si="267"/>
        <v>1.5</v>
      </c>
      <c r="CD365" s="1">
        <f t="shared" si="268"/>
        <v>2.2999999999999998</v>
      </c>
      <c r="CE365" s="1" t="str">
        <f t="shared" si="269"/>
        <v>NAN</v>
      </c>
      <c r="CF365" s="1">
        <f t="shared" si="270"/>
        <v>0.27400000000000002</v>
      </c>
      <c r="CG365" s="1">
        <f t="shared" si="271"/>
        <v>0.157</v>
      </c>
      <c r="CI365" s="1">
        <f t="shared" si="237"/>
        <v>2880</v>
      </c>
      <c r="CJ365" s="1">
        <f t="shared" si="238"/>
        <v>1.4E-2</v>
      </c>
      <c r="CK365" s="1">
        <f t="shared" si="239"/>
        <v>2.9000000000000001E-2</v>
      </c>
      <c r="CL365" s="1">
        <f t="shared" si="240"/>
        <v>0.11899999999999999</v>
      </c>
      <c r="CM365" s="1">
        <f t="shared" si="241"/>
        <v>0.27</v>
      </c>
      <c r="CN365" s="1">
        <f t="shared" si="242"/>
        <v>0.32800000000000001</v>
      </c>
      <c r="CO365" s="1">
        <f t="shared" si="243"/>
        <v>0.187</v>
      </c>
      <c r="CP365" s="1">
        <f t="shared" si="244"/>
        <v>4.2999999999999997E-2</v>
      </c>
      <c r="CQ365" s="1">
        <f t="shared" si="245"/>
        <v>8.0000000000000002E-3</v>
      </c>
      <c r="CS365" s="1">
        <f t="shared" si="274"/>
        <v>-0.5</v>
      </c>
      <c r="CT365" s="1">
        <f t="shared" si="275"/>
        <v>-3.1000000000000014</v>
      </c>
    </row>
    <row r="366" spans="1:98" x14ac:dyDescent="0.2">
      <c r="A366" s="8">
        <f t="shared" si="272"/>
        <v>44191</v>
      </c>
      <c r="B366" s="1">
        <v>361</v>
      </c>
      <c r="C366" s="1">
        <v>11</v>
      </c>
      <c r="D366" s="2">
        <v>13.06</v>
      </c>
      <c r="E366" s="2">
        <v>-2.2709999999999999</v>
      </c>
      <c r="F366" s="2">
        <v>-8.89</v>
      </c>
      <c r="G366" s="2">
        <v>-6.2270000000000003</v>
      </c>
      <c r="H366" s="2">
        <v>90.8</v>
      </c>
      <c r="I366" s="2">
        <v>0.17699999999999999</v>
      </c>
      <c r="J366" s="2">
        <v>-1.3879999999999999</v>
      </c>
      <c r="K366" s="2">
        <v>0.33100000000000002</v>
      </c>
      <c r="L366" s="2">
        <v>1.4670000000000001</v>
      </c>
      <c r="M366" s="2">
        <v>2.339</v>
      </c>
      <c r="N366" s="2">
        <v>-2.3769999999999998</v>
      </c>
      <c r="O366" s="2">
        <v>93.1</v>
      </c>
      <c r="P366" s="2">
        <v>0.27800000000000002</v>
      </c>
      <c r="Q366" s="2">
        <v>-1.296</v>
      </c>
      <c r="R366" s="2">
        <v>0.41199999999999998</v>
      </c>
      <c r="S366" s="2">
        <v>1.5449999999999999</v>
      </c>
      <c r="T366" s="2">
        <v>2.4249999999999998</v>
      </c>
      <c r="U366" s="2">
        <v>-8.07</v>
      </c>
      <c r="V366" s="2">
        <v>89.6</v>
      </c>
      <c r="W366" s="2">
        <v>0.11</v>
      </c>
      <c r="X366" s="2">
        <v>-1.4650000000000001</v>
      </c>
      <c r="Y366" s="2">
        <v>0.251</v>
      </c>
      <c r="Z366" s="2">
        <v>1.371</v>
      </c>
      <c r="AA366" s="2">
        <v>2.2509999999999999</v>
      </c>
      <c r="AB366" s="2">
        <v>1.6719999999999999</v>
      </c>
      <c r="AC366" s="2">
        <v>0</v>
      </c>
      <c r="AD366" s="2">
        <v>0.72699999999999998</v>
      </c>
      <c r="AE366" s="2">
        <v>2.5099999999999998</v>
      </c>
      <c r="AF366" s="2">
        <v>1.0549999999999999</v>
      </c>
      <c r="AG366" s="2">
        <v>3.8740000000000001</v>
      </c>
      <c r="AH366" s="2">
        <v>-7.8680000000000003</v>
      </c>
      <c r="AI366" s="2">
        <v>-3.536</v>
      </c>
      <c r="AJ366" s="2">
        <v>-12.31</v>
      </c>
      <c r="AK366" s="2">
        <v>-0.23499999999999999</v>
      </c>
      <c r="AL366" s="2">
        <v>-8.6300000000000008</v>
      </c>
      <c r="AM366" s="2">
        <v>1.6970000000000001</v>
      </c>
      <c r="AN366" s="2" t="s">
        <v>122</v>
      </c>
      <c r="AO366" s="2">
        <v>47</v>
      </c>
      <c r="AP366" s="2">
        <v>16</v>
      </c>
      <c r="AQ366" s="2">
        <v>63</v>
      </c>
      <c r="AR366" s="2">
        <v>257</v>
      </c>
      <c r="AS366" s="2">
        <v>571</v>
      </c>
      <c r="AT366" s="2">
        <v>708</v>
      </c>
      <c r="AU366" s="2">
        <v>865</v>
      </c>
      <c r="AV366" s="2">
        <v>353</v>
      </c>
      <c r="AW366" s="2"/>
      <c r="AX366" s="1">
        <f t="shared" si="279"/>
        <v>0.87799999999999989</v>
      </c>
      <c r="AY366" s="21">
        <f t="shared" si="278"/>
        <v>-0.3</v>
      </c>
      <c r="AZ366" s="5">
        <v>4.97</v>
      </c>
      <c r="BA366" s="1">
        <v>2.4300000000000002</v>
      </c>
      <c r="BB366" s="1">
        <v>2.31</v>
      </c>
      <c r="BC366" s="6">
        <f t="shared" si="273"/>
        <v>0.95061728395061729</v>
      </c>
      <c r="BE366" s="28">
        <f t="shared" si="276"/>
        <v>0</v>
      </c>
      <c r="BF366" s="6"/>
      <c r="BG366" s="1">
        <f t="shared" si="248"/>
        <v>93.1</v>
      </c>
      <c r="BH366" s="1">
        <f t="shared" si="249"/>
        <v>90.8</v>
      </c>
      <c r="BI366" s="1">
        <f t="shared" si="250"/>
        <v>89.6</v>
      </c>
      <c r="BJ366" s="7">
        <f t="shared" si="251"/>
        <v>0.45900000000000002</v>
      </c>
      <c r="BK366" s="7">
        <f t="shared" si="252"/>
        <v>5.2999999999999999E-2</v>
      </c>
      <c r="BM366" s="5">
        <f t="shared" si="253"/>
        <v>2.4300000000000002</v>
      </c>
      <c r="BN366" s="5">
        <f t="shared" si="254"/>
        <v>2.31</v>
      </c>
      <c r="BO366" s="1">
        <f t="shared" si="255"/>
        <v>-6.2</v>
      </c>
      <c r="BP366" s="1">
        <f t="shared" si="256"/>
        <v>-2.4</v>
      </c>
      <c r="BQ366" s="1">
        <f t="shared" si="257"/>
        <v>-8.1</v>
      </c>
      <c r="BR366" s="1">
        <f t="shared" si="258"/>
        <v>90.8</v>
      </c>
      <c r="BS366" s="1">
        <f t="shared" si="259"/>
        <v>89.6</v>
      </c>
      <c r="BT366" s="1">
        <f t="shared" si="260"/>
        <v>1.1000000000000001</v>
      </c>
      <c r="BU366" s="1">
        <f t="shared" si="261"/>
        <v>3.9</v>
      </c>
      <c r="BV366" s="33">
        <f t="shared" si="280"/>
        <v>0</v>
      </c>
      <c r="BW366" s="34">
        <f t="shared" si="277"/>
        <v>0.87799999999999989</v>
      </c>
      <c r="BX366" s="20">
        <f t="shared" si="262"/>
        <v>-0.3</v>
      </c>
      <c r="BY366" s="1">
        <f t="shared" si="263"/>
        <v>-7.9</v>
      </c>
      <c r="BZ366" s="1">
        <f t="shared" si="264"/>
        <v>-3.5</v>
      </c>
      <c r="CA366" s="1">
        <f t="shared" si="265"/>
        <v>-12.3</v>
      </c>
      <c r="CB366" s="1">
        <f t="shared" si="266"/>
        <v>0.3</v>
      </c>
      <c r="CC366" s="1">
        <f t="shared" si="267"/>
        <v>1.5</v>
      </c>
      <c r="CD366" s="1">
        <f t="shared" si="268"/>
        <v>2.2999999999999998</v>
      </c>
      <c r="CE366" s="1" t="str">
        <f t="shared" si="269"/>
        <v>NAN</v>
      </c>
      <c r="CF366" s="1">
        <f t="shared" si="270"/>
        <v>0.45900000000000002</v>
      </c>
      <c r="CG366" s="1">
        <f t="shared" si="271"/>
        <v>5.2999999999999999E-2</v>
      </c>
      <c r="CI366" s="1">
        <f t="shared" si="237"/>
        <v>2880</v>
      </c>
      <c r="CJ366" s="1">
        <f t="shared" si="238"/>
        <v>1.6E-2</v>
      </c>
      <c r="CK366" s="1">
        <f t="shared" si="239"/>
        <v>6.0000000000000001E-3</v>
      </c>
      <c r="CL366" s="1">
        <f t="shared" si="240"/>
        <v>2.1999999999999999E-2</v>
      </c>
      <c r="CM366" s="1">
        <f t="shared" si="241"/>
        <v>8.8999999999999996E-2</v>
      </c>
      <c r="CN366" s="1">
        <f t="shared" si="242"/>
        <v>0.19800000000000001</v>
      </c>
      <c r="CO366" s="1">
        <f t="shared" si="243"/>
        <v>0.246</v>
      </c>
      <c r="CP366" s="1">
        <f t="shared" si="244"/>
        <v>0.3</v>
      </c>
      <c r="CQ366" s="1">
        <f t="shared" si="245"/>
        <v>0.123</v>
      </c>
      <c r="CS366" s="1">
        <f t="shared" si="274"/>
        <v>-1.1000000000000001</v>
      </c>
      <c r="CT366" s="1">
        <f t="shared" si="275"/>
        <v>-4.2000000000000011</v>
      </c>
    </row>
    <row r="367" spans="1:98" x14ac:dyDescent="0.2">
      <c r="A367" s="8">
        <f t="shared" si="272"/>
        <v>44192</v>
      </c>
      <c r="B367" s="1">
        <v>362</v>
      </c>
      <c r="C367" s="1">
        <v>11</v>
      </c>
      <c r="D367" s="2">
        <v>13.04</v>
      </c>
      <c r="E367" s="2">
        <v>-2.1419999999999999</v>
      </c>
      <c r="F367" s="2">
        <v>-9.94</v>
      </c>
      <c r="G367" s="2">
        <v>-5.8230000000000004</v>
      </c>
      <c r="H367" s="2">
        <v>89.5</v>
      </c>
      <c r="I367" s="2">
        <v>0.183</v>
      </c>
      <c r="J367" s="2">
        <v>-1.333</v>
      </c>
      <c r="K367" s="2">
        <v>0.33300000000000002</v>
      </c>
      <c r="L367" s="2">
        <v>1.4610000000000001</v>
      </c>
      <c r="M367" s="2">
        <v>2.3250000000000002</v>
      </c>
      <c r="N367" s="2">
        <v>-1.1950000000000001</v>
      </c>
      <c r="O367" s="2">
        <v>92.3</v>
      </c>
      <c r="P367" s="2">
        <v>0.27</v>
      </c>
      <c r="Q367" s="2">
        <v>-1.248</v>
      </c>
      <c r="R367" s="2">
        <v>0.434</v>
      </c>
      <c r="S367" s="2">
        <v>1.548</v>
      </c>
      <c r="T367" s="2">
        <v>2.4209999999999998</v>
      </c>
      <c r="U367" s="2">
        <v>-8.3000000000000007</v>
      </c>
      <c r="V367" s="2">
        <v>78.97</v>
      </c>
      <c r="W367" s="2">
        <v>9.9000000000000005E-2</v>
      </c>
      <c r="X367" s="2">
        <v>-1.4430000000000001</v>
      </c>
      <c r="Y367" s="2">
        <v>0.22600000000000001</v>
      </c>
      <c r="Z367" s="2">
        <v>1.3560000000000001</v>
      </c>
      <c r="AA367" s="2">
        <v>2.2480000000000002</v>
      </c>
      <c r="AB367" s="2">
        <v>1.6919999999999999</v>
      </c>
      <c r="AC367" s="2">
        <v>0</v>
      </c>
      <c r="AD367" s="2">
        <v>0.626</v>
      </c>
      <c r="AE367" s="2">
        <v>2.4860000000000002</v>
      </c>
      <c r="AF367" s="2">
        <v>0.69899999999999995</v>
      </c>
      <c r="AG367" s="2">
        <v>2.7650000000000001</v>
      </c>
      <c r="AH367" s="2">
        <v>-7.8449999999999998</v>
      </c>
      <c r="AI367" s="2">
        <v>-3.2850000000000001</v>
      </c>
      <c r="AJ367" s="2">
        <v>-12.98</v>
      </c>
      <c r="AK367" s="2">
        <v>0.84499999999999997</v>
      </c>
      <c r="AL367" s="2">
        <v>-8.9</v>
      </c>
      <c r="AM367" s="2">
        <v>1.712</v>
      </c>
      <c r="AN367" s="2" t="s">
        <v>122</v>
      </c>
      <c r="AO367" s="2">
        <v>27</v>
      </c>
      <c r="AP367" s="2">
        <v>34</v>
      </c>
      <c r="AQ367" s="2">
        <v>281</v>
      </c>
      <c r="AR367" s="2">
        <v>334</v>
      </c>
      <c r="AS367" s="2">
        <v>482</v>
      </c>
      <c r="AT367" s="2">
        <v>909</v>
      </c>
      <c r="AU367" s="2">
        <v>652</v>
      </c>
      <c r="AV367" s="2">
        <v>161</v>
      </c>
      <c r="AW367" s="2"/>
      <c r="AX367" s="1">
        <f t="shared" si="279"/>
        <v>0.85799999999999987</v>
      </c>
      <c r="AY367" s="21">
        <f t="shared" si="278"/>
        <v>-0.3</v>
      </c>
      <c r="AZ367" s="5">
        <v>5</v>
      </c>
      <c r="BA367" s="1">
        <v>2.41</v>
      </c>
      <c r="BB367" s="1">
        <v>2.29</v>
      </c>
      <c r="BC367" s="6">
        <f t="shared" si="273"/>
        <v>0.950207468879668</v>
      </c>
      <c r="BE367" s="28">
        <f t="shared" si="276"/>
        <v>0</v>
      </c>
      <c r="BF367" s="6"/>
      <c r="BG367" s="1">
        <f t="shared" si="248"/>
        <v>92.3</v>
      </c>
      <c r="BH367" s="1">
        <f t="shared" si="249"/>
        <v>89.5</v>
      </c>
      <c r="BI367" s="1">
        <f t="shared" si="250"/>
        <v>79</v>
      </c>
      <c r="BJ367" s="7">
        <f t="shared" si="251"/>
        <v>0.442</v>
      </c>
      <c r="BK367" s="7">
        <f t="shared" si="252"/>
        <v>0.11700000000000001</v>
      </c>
      <c r="BM367" s="5">
        <f t="shared" si="253"/>
        <v>2.41</v>
      </c>
      <c r="BN367" s="5">
        <f t="shared" si="254"/>
        <v>2.29</v>
      </c>
      <c r="BO367" s="1">
        <f t="shared" si="255"/>
        <v>-5.8</v>
      </c>
      <c r="BP367" s="1">
        <f t="shared" si="256"/>
        <v>-1.2</v>
      </c>
      <c r="BQ367" s="1">
        <f t="shared" si="257"/>
        <v>-8.3000000000000007</v>
      </c>
      <c r="BR367" s="1">
        <f t="shared" si="258"/>
        <v>89.5</v>
      </c>
      <c r="BS367" s="1">
        <f t="shared" si="259"/>
        <v>79</v>
      </c>
      <c r="BT367" s="1">
        <f t="shared" si="260"/>
        <v>0.7</v>
      </c>
      <c r="BU367" s="1">
        <f t="shared" si="261"/>
        <v>2.8</v>
      </c>
      <c r="BV367" s="33">
        <f t="shared" si="280"/>
        <v>0</v>
      </c>
      <c r="BW367" s="34">
        <f t="shared" si="277"/>
        <v>0.85799999999999987</v>
      </c>
      <c r="BX367" s="20">
        <f t="shared" si="262"/>
        <v>-0.3</v>
      </c>
      <c r="BY367" s="1">
        <f t="shared" si="263"/>
        <v>-7.8</v>
      </c>
      <c r="BZ367" s="1">
        <f t="shared" si="264"/>
        <v>-3.3</v>
      </c>
      <c r="CA367" s="1">
        <f t="shared" si="265"/>
        <v>-13</v>
      </c>
      <c r="CB367" s="1">
        <f t="shared" si="266"/>
        <v>0.3</v>
      </c>
      <c r="CC367" s="1">
        <f t="shared" si="267"/>
        <v>1.5</v>
      </c>
      <c r="CD367" s="1">
        <f t="shared" si="268"/>
        <v>2.2999999999999998</v>
      </c>
      <c r="CE367" s="1" t="str">
        <f t="shared" si="269"/>
        <v>NAN</v>
      </c>
      <c r="CF367" s="1">
        <f t="shared" si="270"/>
        <v>0.442</v>
      </c>
      <c r="CG367" s="1">
        <f t="shared" si="271"/>
        <v>0.11700000000000001</v>
      </c>
      <c r="CI367" s="1">
        <f t="shared" si="237"/>
        <v>2880</v>
      </c>
      <c r="CJ367" s="1">
        <f t="shared" si="238"/>
        <v>8.9999999999999993E-3</v>
      </c>
      <c r="CK367" s="1">
        <f t="shared" si="239"/>
        <v>1.2E-2</v>
      </c>
      <c r="CL367" s="1">
        <f t="shared" si="240"/>
        <v>9.8000000000000004E-2</v>
      </c>
      <c r="CM367" s="1">
        <f t="shared" si="241"/>
        <v>0.11600000000000001</v>
      </c>
      <c r="CN367" s="1">
        <f t="shared" si="242"/>
        <v>0.16700000000000001</v>
      </c>
      <c r="CO367" s="1">
        <f t="shared" si="243"/>
        <v>0.316</v>
      </c>
      <c r="CP367" s="1">
        <f t="shared" si="244"/>
        <v>0.22600000000000001</v>
      </c>
      <c r="CQ367" s="1">
        <f t="shared" si="245"/>
        <v>5.6000000000000001E-2</v>
      </c>
      <c r="CS367" s="1">
        <f t="shared" si="274"/>
        <v>-2.0999999999999996</v>
      </c>
      <c r="CT367" s="1">
        <f t="shared" si="275"/>
        <v>-4.6999999999999993</v>
      </c>
    </row>
    <row r="368" spans="1:98" x14ac:dyDescent="0.2">
      <c r="A368" s="8">
        <f t="shared" si="272"/>
        <v>44193</v>
      </c>
      <c r="B368" s="1">
        <v>363</v>
      </c>
      <c r="C368" s="1">
        <v>11</v>
      </c>
      <c r="D368" s="2">
        <v>13.05</v>
      </c>
      <c r="E368" s="2">
        <v>-4.8730000000000002</v>
      </c>
      <c r="F368" s="2">
        <v>-13.03</v>
      </c>
      <c r="G368" s="2">
        <v>-7.36</v>
      </c>
      <c r="H368" s="2">
        <v>89.8</v>
      </c>
      <c r="I368" s="2">
        <v>0.17199999999999999</v>
      </c>
      <c r="J368" s="2">
        <v>-1.345</v>
      </c>
      <c r="K368" s="2">
        <v>0.317</v>
      </c>
      <c r="L368" s="2">
        <v>1.4379999999999999</v>
      </c>
      <c r="M368" s="2">
        <v>2.298</v>
      </c>
      <c r="N368" s="2">
        <v>-4.13</v>
      </c>
      <c r="O368" s="2">
        <v>92.1</v>
      </c>
      <c r="P368" s="2">
        <v>0.26</v>
      </c>
      <c r="Q368" s="2">
        <v>-1.262</v>
      </c>
      <c r="R368" s="2">
        <v>0.40300000000000002</v>
      </c>
      <c r="S368" s="2">
        <v>1.5349999999999999</v>
      </c>
      <c r="T368" s="2">
        <v>2.3839999999999999</v>
      </c>
      <c r="U368" s="2">
        <v>-10.84</v>
      </c>
      <c r="V368" s="2">
        <v>86.5</v>
      </c>
      <c r="W368" s="2">
        <v>7.6999999999999999E-2</v>
      </c>
      <c r="X368" s="2">
        <v>-1.4650000000000001</v>
      </c>
      <c r="Y368" s="2">
        <v>0.20399999999999999</v>
      </c>
      <c r="Z368" s="2">
        <v>1.329</v>
      </c>
      <c r="AA368" s="2">
        <v>2.1949999999999998</v>
      </c>
      <c r="AB368" s="2">
        <v>1.6990000000000001</v>
      </c>
      <c r="AC368" s="2">
        <v>0</v>
      </c>
      <c r="AD368" s="2">
        <v>0.49299999999999999</v>
      </c>
      <c r="AE368" s="2">
        <v>2.0750000000000002</v>
      </c>
      <c r="AF368" s="2">
        <v>0.78</v>
      </c>
      <c r="AG368" s="2">
        <v>3.0990000000000002</v>
      </c>
      <c r="AH368" s="2">
        <v>-9.2799999999999994</v>
      </c>
      <c r="AI368" s="2">
        <v>-4.3780000000000001</v>
      </c>
      <c r="AJ368" s="2">
        <v>-16.62</v>
      </c>
      <c r="AK368" s="2">
        <v>-2.177</v>
      </c>
      <c r="AL368" s="2">
        <v>-11.84</v>
      </c>
      <c r="AM368" s="2">
        <v>1.7310000000000001</v>
      </c>
      <c r="AN368" s="2" t="s">
        <v>122</v>
      </c>
      <c r="AO368" s="2">
        <v>302</v>
      </c>
      <c r="AP368" s="2">
        <v>794</v>
      </c>
      <c r="AQ368" s="2">
        <v>450</v>
      </c>
      <c r="AR368" s="2">
        <v>176</v>
      </c>
      <c r="AS368" s="2">
        <v>109</v>
      </c>
      <c r="AT368" s="2">
        <v>240</v>
      </c>
      <c r="AU368" s="2">
        <v>469</v>
      </c>
      <c r="AV368" s="2">
        <v>340</v>
      </c>
      <c r="AW368" s="2"/>
      <c r="AX368" s="1">
        <f t="shared" si="279"/>
        <v>0.85099999999999976</v>
      </c>
      <c r="AY368" s="21">
        <f t="shared" si="278"/>
        <v>-0.3</v>
      </c>
      <c r="AZ368" s="5">
        <v>5.0199999999999996</v>
      </c>
      <c r="BA368" s="1">
        <v>2.0099999999999998</v>
      </c>
      <c r="BB368" s="1">
        <v>1.91</v>
      </c>
      <c r="BC368" s="6">
        <f t="shared" si="273"/>
        <v>0.95024875621890559</v>
      </c>
      <c r="BE368" s="28">
        <f t="shared" si="276"/>
        <v>0</v>
      </c>
      <c r="BF368" s="6"/>
      <c r="BG368" s="1">
        <f t="shared" si="248"/>
        <v>92.1</v>
      </c>
      <c r="BH368" s="1">
        <f t="shared" si="249"/>
        <v>89.8</v>
      </c>
      <c r="BI368" s="1">
        <f t="shared" si="250"/>
        <v>86.5</v>
      </c>
      <c r="BJ368" s="7">
        <f t="shared" si="251"/>
        <v>0.38900000000000001</v>
      </c>
      <c r="BK368" s="7">
        <f t="shared" si="252"/>
        <v>6.0999999999999999E-2</v>
      </c>
      <c r="BM368" s="5">
        <f t="shared" si="253"/>
        <v>2.0099999999999998</v>
      </c>
      <c r="BN368" s="5">
        <f t="shared" si="254"/>
        <v>1.91</v>
      </c>
      <c r="BO368" s="1">
        <f t="shared" si="255"/>
        <v>-7.4</v>
      </c>
      <c r="BP368" s="1">
        <f t="shared" si="256"/>
        <v>-4.0999999999999996</v>
      </c>
      <c r="BQ368" s="1">
        <f t="shared" si="257"/>
        <v>-10.8</v>
      </c>
      <c r="BR368" s="1">
        <f t="shared" si="258"/>
        <v>89.8</v>
      </c>
      <c r="BS368" s="1">
        <f t="shared" si="259"/>
        <v>86.5</v>
      </c>
      <c r="BT368" s="1">
        <f t="shared" si="260"/>
        <v>0.8</v>
      </c>
      <c r="BU368" s="1">
        <f t="shared" si="261"/>
        <v>3.1</v>
      </c>
      <c r="BV368" s="33">
        <f t="shared" si="280"/>
        <v>0</v>
      </c>
      <c r="BW368" s="34">
        <f t="shared" si="277"/>
        <v>0.85099999999999976</v>
      </c>
      <c r="BX368" s="20">
        <f t="shared" si="262"/>
        <v>-0.3</v>
      </c>
      <c r="BY368" s="1">
        <f t="shared" si="263"/>
        <v>-9.3000000000000007</v>
      </c>
      <c r="BZ368" s="1">
        <f t="shared" si="264"/>
        <v>-4.4000000000000004</v>
      </c>
      <c r="CA368" s="1">
        <f t="shared" si="265"/>
        <v>-16.600000000000001</v>
      </c>
      <c r="CB368" s="1">
        <f t="shared" si="266"/>
        <v>0.3</v>
      </c>
      <c r="CC368" s="1">
        <f t="shared" si="267"/>
        <v>1.4</v>
      </c>
      <c r="CD368" s="1">
        <f t="shared" si="268"/>
        <v>2.2999999999999998</v>
      </c>
      <c r="CE368" s="1" t="str">
        <f t="shared" si="269"/>
        <v>NAN</v>
      </c>
      <c r="CF368" s="1">
        <f t="shared" si="270"/>
        <v>0.38900000000000001</v>
      </c>
      <c r="CG368" s="1">
        <f t="shared" si="271"/>
        <v>6.0999999999999999E-2</v>
      </c>
      <c r="CI368" s="1">
        <f t="shared" si="237"/>
        <v>2880</v>
      </c>
      <c r="CJ368" s="1">
        <f t="shared" si="238"/>
        <v>0.105</v>
      </c>
      <c r="CK368" s="1">
        <f t="shared" si="239"/>
        <v>0.27600000000000002</v>
      </c>
      <c r="CL368" s="1">
        <f t="shared" si="240"/>
        <v>0.156</v>
      </c>
      <c r="CM368" s="1">
        <f t="shared" si="241"/>
        <v>6.0999999999999999E-2</v>
      </c>
      <c r="CN368" s="1">
        <f t="shared" si="242"/>
        <v>3.7999999999999999E-2</v>
      </c>
      <c r="CO368" s="1">
        <f t="shared" si="243"/>
        <v>8.3000000000000004E-2</v>
      </c>
      <c r="CP368" s="1">
        <f t="shared" si="244"/>
        <v>0.16300000000000001</v>
      </c>
      <c r="CQ368" s="1">
        <f t="shared" si="245"/>
        <v>0.11799999999999999</v>
      </c>
      <c r="CS368" s="1">
        <f t="shared" si="274"/>
        <v>-0.30000000000000071</v>
      </c>
      <c r="CT368" s="1">
        <f t="shared" si="275"/>
        <v>-5.8000000000000007</v>
      </c>
    </row>
    <row r="369" spans="1:98" x14ac:dyDescent="0.2">
      <c r="A369" s="8">
        <f t="shared" si="272"/>
        <v>44194</v>
      </c>
      <c r="B369" s="1">
        <v>364</v>
      </c>
      <c r="C369" s="1">
        <v>11</v>
      </c>
      <c r="D369" s="2">
        <v>12.97</v>
      </c>
      <c r="E369" s="2">
        <v>-6.2039999999999997</v>
      </c>
      <c r="F369" s="2">
        <v>-13.03</v>
      </c>
      <c r="G369" s="2">
        <v>-7.6909999999999998</v>
      </c>
      <c r="H369" s="2">
        <v>79.09</v>
      </c>
      <c r="I369" s="2">
        <v>0.17199999999999999</v>
      </c>
      <c r="J369" s="2">
        <v>-1.3620000000000001</v>
      </c>
      <c r="K369" s="2">
        <v>0.316</v>
      </c>
      <c r="L369" s="2">
        <v>1.4319999999999999</v>
      </c>
      <c r="M369" s="2">
        <v>2.2799999999999998</v>
      </c>
      <c r="N369" s="2">
        <v>-4.843</v>
      </c>
      <c r="O369" s="2">
        <v>89.9</v>
      </c>
      <c r="P369" s="2">
        <v>0.249</v>
      </c>
      <c r="Q369" s="2">
        <v>-1.2529999999999999</v>
      </c>
      <c r="R369" s="2">
        <v>0.40400000000000003</v>
      </c>
      <c r="S369" s="2">
        <v>1.5289999999999999</v>
      </c>
      <c r="T369" s="2">
        <v>2.3570000000000002</v>
      </c>
      <c r="U369" s="2">
        <v>-9.99</v>
      </c>
      <c r="V369" s="2">
        <v>53.53</v>
      </c>
      <c r="W369" s="2">
        <v>8.6999999999999994E-2</v>
      </c>
      <c r="X369" s="2">
        <v>-1.4870000000000001</v>
      </c>
      <c r="Y369" s="2">
        <v>0.21299999999999999</v>
      </c>
      <c r="Z369" s="2">
        <v>1.329</v>
      </c>
      <c r="AA369" s="2">
        <v>2.198</v>
      </c>
      <c r="AB369" s="2">
        <v>1.6970000000000001</v>
      </c>
      <c r="AC369" s="2">
        <v>0</v>
      </c>
      <c r="AD369" s="2">
        <v>0.29499999999999998</v>
      </c>
      <c r="AE369" s="2">
        <v>1.631</v>
      </c>
      <c r="AF369" s="2">
        <v>0.64700000000000002</v>
      </c>
      <c r="AG369" s="2">
        <v>2.089</v>
      </c>
      <c r="AH369" s="2">
        <v>-10.24</v>
      </c>
      <c r="AI369" s="2">
        <v>-6.29</v>
      </c>
      <c r="AJ369" s="2">
        <v>-15.62</v>
      </c>
      <c r="AK369" s="2">
        <v>-2.8290000000000002</v>
      </c>
      <c r="AL369" s="2">
        <v>-11.08</v>
      </c>
      <c r="AM369" s="2">
        <v>1.72</v>
      </c>
      <c r="AN369" s="2" t="s">
        <v>122</v>
      </c>
      <c r="AO369" s="2">
        <v>199</v>
      </c>
      <c r="AP369" s="2">
        <v>890</v>
      </c>
      <c r="AQ369" s="2">
        <v>402</v>
      </c>
      <c r="AR369" s="2">
        <v>88</v>
      </c>
      <c r="AS369" s="2">
        <v>98</v>
      </c>
      <c r="AT369" s="2">
        <v>327</v>
      </c>
      <c r="AU369" s="2">
        <v>498</v>
      </c>
      <c r="AV369" s="2">
        <v>378</v>
      </c>
      <c r="AW369" s="2"/>
      <c r="AX369" s="1">
        <f t="shared" si="279"/>
        <v>0.85299999999999976</v>
      </c>
      <c r="AY369" s="21">
        <f t="shared" si="278"/>
        <v>-0.3</v>
      </c>
      <c r="AZ369" s="5">
        <v>5.05</v>
      </c>
      <c r="BA369" s="1">
        <v>1.58</v>
      </c>
      <c r="BB369" s="1">
        <v>1.5</v>
      </c>
      <c r="BC369" s="6">
        <f t="shared" si="273"/>
        <v>0.94936708860759489</v>
      </c>
      <c r="BE369" s="28">
        <f t="shared" si="276"/>
        <v>0.3</v>
      </c>
      <c r="BF369" s="6"/>
      <c r="BG369" s="1">
        <f t="shared" si="248"/>
        <v>89.9</v>
      </c>
      <c r="BH369" s="1">
        <f t="shared" si="249"/>
        <v>79.099999999999994</v>
      </c>
      <c r="BI369" s="1">
        <f t="shared" si="250"/>
        <v>53.5</v>
      </c>
      <c r="BJ369" s="7">
        <f t="shared" si="251"/>
        <v>0.22800000000000001</v>
      </c>
      <c r="BK369" s="7">
        <f t="shared" si="252"/>
        <v>0.19800000000000001</v>
      </c>
      <c r="BM369" s="5">
        <f t="shared" si="253"/>
        <v>1.58</v>
      </c>
      <c r="BN369" s="5">
        <f t="shared" si="254"/>
        <v>1.5</v>
      </c>
      <c r="BO369" s="1">
        <f t="shared" si="255"/>
        <v>-7.7</v>
      </c>
      <c r="BP369" s="1">
        <f t="shared" si="256"/>
        <v>-4.8</v>
      </c>
      <c r="BQ369" s="1">
        <f t="shared" si="257"/>
        <v>-10</v>
      </c>
      <c r="BR369" s="1">
        <f t="shared" si="258"/>
        <v>79.099999999999994</v>
      </c>
      <c r="BS369" s="1">
        <f t="shared" si="259"/>
        <v>53.5</v>
      </c>
      <c r="BT369" s="1">
        <f t="shared" si="260"/>
        <v>0.6</v>
      </c>
      <c r="BU369" s="1">
        <f t="shared" si="261"/>
        <v>2.1</v>
      </c>
      <c r="BV369" s="33">
        <f t="shared" si="280"/>
        <v>0.3</v>
      </c>
      <c r="BW369" s="34">
        <f t="shared" si="277"/>
        <v>0.85299999999999976</v>
      </c>
      <c r="BX369" s="20">
        <f t="shared" si="262"/>
        <v>-0.3</v>
      </c>
      <c r="BY369" s="1">
        <f t="shared" si="263"/>
        <v>-10.199999999999999</v>
      </c>
      <c r="BZ369" s="1">
        <f t="shared" si="264"/>
        <v>-6.3</v>
      </c>
      <c r="CA369" s="1">
        <f t="shared" si="265"/>
        <v>-15.6</v>
      </c>
      <c r="CB369" s="1">
        <f t="shared" si="266"/>
        <v>0.3</v>
      </c>
      <c r="CC369" s="1">
        <f t="shared" si="267"/>
        <v>1.4</v>
      </c>
      <c r="CD369" s="1">
        <f t="shared" si="268"/>
        <v>2.2999999999999998</v>
      </c>
      <c r="CE369" s="1" t="str">
        <f t="shared" si="269"/>
        <v>NAN</v>
      </c>
      <c r="CF369" s="1">
        <f t="shared" si="270"/>
        <v>0.22800000000000001</v>
      </c>
      <c r="CG369" s="1">
        <f t="shared" si="271"/>
        <v>0.19800000000000001</v>
      </c>
      <c r="CI369" s="1">
        <f t="shared" si="237"/>
        <v>2880</v>
      </c>
      <c r="CJ369" s="1">
        <f t="shared" si="238"/>
        <v>6.9000000000000006E-2</v>
      </c>
      <c r="CK369" s="1">
        <f t="shared" si="239"/>
        <v>0.309</v>
      </c>
      <c r="CL369" s="1">
        <f t="shared" si="240"/>
        <v>0.14000000000000001</v>
      </c>
      <c r="CM369" s="1">
        <f t="shared" si="241"/>
        <v>3.1E-2</v>
      </c>
      <c r="CN369" s="1">
        <f t="shared" si="242"/>
        <v>3.4000000000000002E-2</v>
      </c>
      <c r="CO369" s="1">
        <f t="shared" si="243"/>
        <v>0.114</v>
      </c>
      <c r="CP369" s="1">
        <f t="shared" si="244"/>
        <v>0.17299999999999999</v>
      </c>
      <c r="CQ369" s="1">
        <f t="shared" si="245"/>
        <v>0.13100000000000001</v>
      </c>
      <c r="CS369" s="1">
        <f t="shared" si="274"/>
        <v>-1.5</v>
      </c>
      <c r="CT369" s="1">
        <f t="shared" si="275"/>
        <v>-5.6</v>
      </c>
    </row>
    <row r="370" spans="1:98" x14ac:dyDescent="0.2">
      <c r="A370" s="8">
        <f t="shared" si="272"/>
        <v>44195</v>
      </c>
      <c r="B370" s="1">
        <v>365</v>
      </c>
      <c r="C370" s="1">
        <v>11</v>
      </c>
      <c r="D370" s="2">
        <v>12.91</v>
      </c>
      <c r="E370" s="2">
        <v>-7.35</v>
      </c>
      <c r="F370" s="2">
        <v>-10.35</v>
      </c>
      <c r="G370" s="2">
        <v>-8.91</v>
      </c>
      <c r="H370" s="2">
        <v>88.8</v>
      </c>
      <c r="I370" s="2">
        <v>0.17100000000000001</v>
      </c>
      <c r="J370" s="2">
        <v>-1.534</v>
      </c>
      <c r="K370" s="2">
        <v>0.313</v>
      </c>
      <c r="L370" s="2">
        <v>1.423</v>
      </c>
      <c r="M370" s="2">
        <v>2.2629999999999999</v>
      </c>
      <c r="N370" s="2">
        <v>-6.7060000000000004</v>
      </c>
      <c r="O370" s="2">
        <v>91.1</v>
      </c>
      <c r="P370" s="2">
        <v>0.255</v>
      </c>
      <c r="Q370" s="2">
        <v>-1.3839999999999999</v>
      </c>
      <c r="R370" s="2">
        <v>0.41</v>
      </c>
      <c r="S370" s="2">
        <v>1.5</v>
      </c>
      <c r="T370" s="2">
        <v>2.3490000000000002</v>
      </c>
      <c r="U370" s="2">
        <v>-10.78</v>
      </c>
      <c r="V370" s="2">
        <v>85.3</v>
      </c>
      <c r="W370" s="2">
        <v>7.6999999999999999E-2</v>
      </c>
      <c r="X370" s="2">
        <v>-1.637</v>
      </c>
      <c r="Y370" s="2">
        <v>0.22700000000000001</v>
      </c>
      <c r="Z370" s="2">
        <v>1.34</v>
      </c>
      <c r="AA370" s="2">
        <v>2.1789999999999998</v>
      </c>
      <c r="AB370" s="2">
        <v>1.6319999999999999</v>
      </c>
      <c r="AC370" s="2">
        <v>0</v>
      </c>
      <c r="AD370" s="2">
        <v>0.22800000000000001</v>
      </c>
      <c r="AE370" s="2">
        <v>1.2290000000000001</v>
      </c>
      <c r="AF370" s="2">
        <v>1.321</v>
      </c>
      <c r="AG370" s="2">
        <v>4.2389999999999999</v>
      </c>
      <c r="AH370" s="2">
        <v>-9.0500000000000007</v>
      </c>
      <c r="AI370" s="2">
        <v>-6.0490000000000004</v>
      </c>
      <c r="AJ370" s="2">
        <v>-10.94</v>
      </c>
      <c r="AK370" s="2">
        <v>-6.7610000000000001</v>
      </c>
      <c r="AL370" s="2">
        <v>-10.9</v>
      </c>
      <c r="AM370" s="2">
        <v>1.6539999999999999</v>
      </c>
      <c r="AN370" s="2" t="s">
        <v>122</v>
      </c>
      <c r="AO370" s="2">
        <v>21</v>
      </c>
      <c r="AP370" s="2">
        <v>61</v>
      </c>
      <c r="AQ370" s="2">
        <v>329</v>
      </c>
      <c r="AR370" s="2">
        <v>825</v>
      </c>
      <c r="AS370" s="2">
        <v>955</v>
      </c>
      <c r="AT370" s="2">
        <v>516</v>
      </c>
      <c r="AU370" s="2">
        <v>145</v>
      </c>
      <c r="AV370" s="2">
        <v>28</v>
      </c>
      <c r="AW370" s="2"/>
      <c r="AX370" s="1">
        <f t="shared" si="279"/>
        <v>0.91799999999999993</v>
      </c>
      <c r="AY370" s="21">
        <f t="shared" si="278"/>
        <v>-0.4</v>
      </c>
      <c r="AZ370" s="5">
        <v>5.09</v>
      </c>
      <c r="BA370" s="1">
        <v>1.19</v>
      </c>
      <c r="BB370" s="1">
        <v>1.1299999999999999</v>
      </c>
      <c r="BC370" s="6">
        <f t="shared" si="273"/>
        <v>0.94957983193277307</v>
      </c>
      <c r="BE370" s="28">
        <f t="shared" si="276"/>
        <v>8.5</v>
      </c>
      <c r="BF370" s="6"/>
      <c r="BG370" s="1">
        <f t="shared" si="248"/>
        <v>91.1</v>
      </c>
      <c r="BH370" s="1">
        <f t="shared" si="249"/>
        <v>88.8</v>
      </c>
      <c r="BI370" s="1">
        <f t="shared" si="250"/>
        <v>85.3</v>
      </c>
      <c r="BJ370" s="7">
        <f t="shared" si="251"/>
        <v>0.315</v>
      </c>
      <c r="BK370" s="7">
        <f t="shared" si="252"/>
        <v>5.3999999999999999E-2</v>
      </c>
      <c r="BM370" s="5">
        <f t="shared" si="253"/>
        <v>1.19</v>
      </c>
      <c r="BN370" s="5">
        <f t="shared" si="254"/>
        <v>1.1299999999999999</v>
      </c>
      <c r="BO370" s="1">
        <f t="shared" si="255"/>
        <v>-8.9</v>
      </c>
      <c r="BP370" s="1">
        <f t="shared" si="256"/>
        <v>-6.7</v>
      </c>
      <c r="BQ370" s="1">
        <f t="shared" si="257"/>
        <v>-10.8</v>
      </c>
      <c r="BR370" s="1">
        <f t="shared" si="258"/>
        <v>88.8</v>
      </c>
      <c r="BS370" s="1">
        <f t="shared" si="259"/>
        <v>85.3</v>
      </c>
      <c r="BT370" s="1">
        <f t="shared" si="260"/>
        <v>1.3</v>
      </c>
      <c r="BU370" s="1">
        <f t="shared" si="261"/>
        <v>4.2</v>
      </c>
      <c r="BV370" s="33">
        <f t="shared" si="280"/>
        <v>8.5</v>
      </c>
      <c r="BW370" s="34">
        <f t="shared" si="277"/>
        <v>0.91799999999999993</v>
      </c>
      <c r="BX370" s="20">
        <f t="shared" si="262"/>
        <v>-0.4</v>
      </c>
      <c r="BY370" s="1">
        <f t="shared" si="263"/>
        <v>-9.1</v>
      </c>
      <c r="BZ370" s="1">
        <f t="shared" si="264"/>
        <v>-6</v>
      </c>
      <c r="CA370" s="1">
        <f t="shared" si="265"/>
        <v>-10.9</v>
      </c>
      <c r="CB370" s="1">
        <f t="shared" si="266"/>
        <v>0.3</v>
      </c>
      <c r="CC370" s="1">
        <f t="shared" si="267"/>
        <v>1.4</v>
      </c>
      <c r="CD370" s="1">
        <f t="shared" si="268"/>
        <v>2.2999999999999998</v>
      </c>
      <c r="CE370" s="1" t="str">
        <f t="shared" si="269"/>
        <v>NAN</v>
      </c>
      <c r="CF370" s="1">
        <f t="shared" si="270"/>
        <v>0.315</v>
      </c>
      <c r="CG370" s="1">
        <f t="shared" si="271"/>
        <v>5.3999999999999999E-2</v>
      </c>
      <c r="CI370" s="1">
        <f t="shared" si="237"/>
        <v>2880</v>
      </c>
      <c r="CJ370" s="1">
        <f t="shared" si="238"/>
        <v>7.0000000000000001E-3</v>
      </c>
      <c r="CK370" s="1">
        <f t="shared" si="239"/>
        <v>2.1000000000000001E-2</v>
      </c>
      <c r="CL370" s="1">
        <f t="shared" si="240"/>
        <v>0.114</v>
      </c>
      <c r="CM370" s="1">
        <f t="shared" si="241"/>
        <v>0.28599999999999998</v>
      </c>
      <c r="CN370" s="1">
        <f t="shared" si="242"/>
        <v>0.33200000000000002</v>
      </c>
      <c r="CO370" s="1">
        <f t="shared" si="243"/>
        <v>0.17899999999999999</v>
      </c>
      <c r="CP370" s="1">
        <f t="shared" si="244"/>
        <v>0.05</v>
      </c>
      <c r="CQ370" s="1">
        <f t="shared" si="245"/>
        <v>0.01</v>
      </c>
      <c r="CS370" s="1">
        <f t="shared" si="274"/>
        <v>0.70000000000000018</v>
      </c>
      <c r="CT370" s="1">
        <f t="shared" si="275"/>
        <v>-9.9999999999999645E-2</v>
      </c>
    </row>
    <row r="371" spans="1:98" x14ac:dyDescent="0.2">
      <c r="A371" s="8">
        <f t="shared" si="272"/>
        <v>44196</v>
      </c>
      <c r="B371" s="1">
        <v>366</v>
      </c>
      <c r="C371" s="1">
        <v>11</v>
      </c>
      <c r="D371" s="2">
        <v>13.04</v>
      </c>
      <c r="E371" s="2">
        <v>-1.9930000000000001</v>
      </c>
      <c r="F371" s="2">
        <v>-7.8380000000000001</v>
      </c>
      <c r="G371" s="2">
        <v>-4.5289999999999999</v>
      </c>
      <c r="H371" s="2">
        <v>92.5</v>
      </c>
      <c r="I371" s="2">
        <v>0.19500000000000001</v>
      </c>
      <c r="J371" s="2">
        <v>-1.506</v>
      </c>
      <c r="K371" s="2">
        <v>0.33500000000000002</v>
      </c>
      <c r="L371" s="2">
        <v>1.4350000000000001</v>
      </c>
      <c r="M371" s="2">
        <v>2.274</v>
      </c>
      <c r="N371" s="2">
        <v>-1.704</v>
      </c>
      <c r="O371" s="2">
        <v>94</v>
      </c>
      <c r="P371" s="2">
        <v>0.27</v>
      </c>
      <c r="Q371" s="2">
        <v>-1.417</v>
      </c>
      <c r="R371" s="2">
        <v>0.42199999999999999</v>
      </c>
      <c r="S371" s="2">
        <v>1.526</v>
      </c>
      <c r="T371" s="2">
        <v>2.351</v>
      </c>
      <c r="U371" s="2">
        <v>-7.4880000000000004</v>
      </c>
      <c r="V371" s="2">
        <v>90</v>
      </c>
      <c r="W371" s="2">
        <v>0.12</v>
      </c>
      <c r="X371" s="2">
        <v>-1.615</v>
      </c>
      <c r="Y371" s="2">
        <v>0.251</v>
      </c>
      <c r="Z371" s="2">
        <v>1.357</v>
      </c>
      <c r="AA371" s="2">
        <v>2.1859999999999999</v>
      </c>
      <c r="AB371" s="2">
        <v>1.631</v>
      </c>
      <c r="AC371" s="2">
        <v>0</v>
      </c>
      <c r="AD371" s="2">
        <v>0.46300000000000002</v>
      </c>
      <c r="AE371" s="2">
        <v>2.1150000000000002</v>
      </c>
      <c r="AF371" s="2">
        <v>0.60799999999999998</v>
      </c>
      <c r="AG371" s="2">
        <v>3.2490000000000001</v>
      </c>
      <c r="AH371" s="2">
        <v>-5.54</v>
      </c>
      <c r="AI371" s="2">
        <v>-2.2189999999999999</v>
      </c>
      <c r="AJ371" s="2">
        <v>-9.48</v>
      </c>
      <c r="AK371" s="2">
        <v>-0.35799999999999998</v>
      </c>
      <c r="AL371" s="2">
        <v>-7.742</v>
      </c>
      <c r="AM371" s="2">
        <v>1.6459999999999999</v>
      </c>
      <c r="AN371" s="2" t="s">
        <v>122</v>
      </c>
      <c r="AO371" s="2">
        <v>171</v>
      </c>
      <c r="AP371" s="2">
        <v>36</v>
      </c>
      <c r="AQ371" s="2">
        <v>17</v>
      </c>
      <c r="AR371" s="2">
        <v>50</v>
      </c>
      <c r="AS371" s="2">
        <v>248</v>
      </c>
      <c r="AT371" s="2">
        <v>581</v>
      </c>
      <c r="AU371" s="2">
        <v>1216</v>
      </c>
      <c r="AV371" s="2">
        <v>561</v>
      </c>
      <c r="AW371" s="2"/>
      <c r="AX371" s="1">
        <f t="shared" si="279"/>
        <v>0.91899999999999982</v>
      </c>
      <c r="AY371" s="21">
        <f t="shared" si="278"/>
        <v>-0.3</v>
      </c>
      <c r="AZ371" s="5">
        <v>5.12</v>
      </c>
      <c r="BA371" s="1">
        <v>2.0499999999999998</v>
      </c>
      <c r="BB371" s="1">
        <v>1.95</v>
      </c>
      <c r="BC371" s="6">
        <f t="shared" si="273"/>
        <v>0.95121951219512202</v>
      </c>
      <c r="BE371" s="28">
        <f>IF(AX371&gt;AX370,ROUND((AX371-AX370)*130,1),0)</f>
        <v>0.1</v>
      </c>
      <c r="BF371" s="6"/>
      <c r="BG371" s="1">
        <f t="shared" si="248"/>
        <v>94</v>
      </c>
      <c r="BH371" s="1">
        <f t="shared" si="249"/>
        <v>92.5</v>
      </c>
      <c r="BI371" s="1">
        <f t="shared" si="250"/>
        <v>90</v>
      </c>
      <c r="BJ371" s="7">
        <f t="shared" si="251"/>
        <v>0.48499999999999999</v>
      </c>
      <c r="BK371" s="7">
        <f t="shared" si="252"/>
        <v>5.3999999999999999E-2</v>
      </c>
      <c r="BM371" s="5">
        <f t="shared" si="253"/>
        <v>2.0499999999999998</v>
      </c>
      <c r="BN371" s="5">
        <f t="shared" si="254"/>
        <v>1.95</v>
      </c>
      <c r="BO371" s="1">
        <f t="shared" si="255"/>
        <v>-4.5</v>
      </c>
      <c r="BP371" s="1">
        <f t="shared" si="256"/>
        <v>-1.7</v>
      </c>
      <c r="BQ371" s="1">
        <f t="shared" si="257"/>
        <v>-7.5</v>
      </c>
      <c r="BR371" s="1">
        <f t="shared" si="258"/>
        <v>92.5</v>
      </c>
      <c r="BS371" s="1">
        <f t="shared" si="259"/>
        <v>90</v>
      </c>
      <c r="BT371" s="1">
        <f t="shared" si="260"/>
        <v>0.6</v>
      </c>
      <c r="BU371" s="1">
        <f t="shared" si="261"/>
        <v>3.2</v>
      </c>
      <c r="BV371" s="33">
        <f t="shared" si="280"/>
        <v>0.1</v>
      </c>
      <c r="BW371" s="34">
        <f t="shared" si="277"/>
        <v>0.91899999999999982</v>
      </c>
      <c r="BX371" s="20">
        <f t="shared" si="262"/>
        <v>-0.3</v>
      </c>
      <c r="BY371" s="1">
        <f t="shared" si="263"/>
        <v>-5.5</v>
      </c>
      <c r="BZ371" s="1">
        <f t="shared" si="264"/>
        <v>-2.2000000000000002</v>
      </c>
      <c r="CA371" s="1">
        <f t="shared" si="265"/>
        <v>-9.5</v>
      </c>
      <c r="CB371" s="1">
        <f t="shared" si="266"/>
        <v>0.3</v>
      </c>
      <c r="CC371" s="1">
        <f t="shared" si="267"/>
        <v>1.4</v>
      </c>
      <c r="CD371" s="1">
        <f t="shared" si="268"/>
        <v>2.2999999999999998</v>
      </c>
      <c r="CE371" s="1" t="str">
        <f t="shared" si="269"/>
        <v>NAN</v>
      </c>
      <c r="CF371" s="1">
        <f t="shared" si="270"/>
        <v>0.48499999999999999</v>
      </c>
      <c r="CG371" s="1">
        <f t="shared" si="271"/>
        <v>5.3999999999999999E-2</v>
      </c>
      <c r="CI371" s="1">
        <f t="shared" si="237"/>
        <v>2880</v>
      </c>
      <c r="CJ371" s="1">
        <f t="shared" si="238"/>
        <v>5.8999999999999997E-2</v>
      </c>
      <c r="CK371" s="1">
        <f t="shared" si="239"/>
        <v>1.2999999999999999E-2</v>
      </c>
      <c r="CL371" s="1">
        <f t="shared" si="240"/>
        <v>6.0000000000000001E-3</v>
      </c>
      <c r="CM371" s="1">
        <f t="shared" si="241"/>
        <v>1.7000000000000001E-2</v>
      </c>
      <c r="CN371" s="1">
        <f t="shared" si="242"/>
        <v>8.5999999999999993E-2</v>
      </c>
      <c r="CO371" s="1">
        <f t="shared" si="243"/>
        <v>0.20200000000000001</v>
      </c>
      <c r="CP371" s="1">
        <f t="shared" si="244"/>
        <v>0.42199999999999999</v>
      </c>
      <c r="CQ371" s="1">
        <f t="shared" si="245"/>
        <v>0.19500000000000001</v>
      </c>
      <c r="CS371" s="1">
        <f t="shared" si="274"/>
        <v>-0.50000000000000022</v>
      </c>
      <c r="CT371" s="1">
        <f t="shared" si="275"/>
        <v>-2</v>
      </c>
    </row>
    <row r="372" spans="1:98" x14ac:dyDescent="0.2">
      <c r="A372" s="8"/>
      <c r="AG372" s="1"/>
      <c r="AH372" s="1"/>
      <c r="AK372" s="2"/>
      <c r="AL372" s="2"/>
      <c r="AZ372" s="5"/>
      <c r="BA372" s="5"/>
      <c r="BB372" s="5"/>
      <c r="BC372" s="6"/>
    </row>
    <row r="373" spans="1:98" x14ac:dyDescent="0.2">
      <c r="O373" s="1">
        <f>MAX(O6:O371)</f>
        <v>97.3</v>
      </c>
      <c r="AO373" s="1">
        <f>ROUND(AVERAGE(AO6:AO371),1)</f>
        <v>361</v>
      </c>
      <c r="AP373" s="1">
        <f t="shared" ref="AP373:AV373" si="281">ROUND(AVERAGE(AP6:AP371),1)</f>
        <v>384.8</v>
      </c>
      <c r="AQ373" s="1">
        <f t="shared" si="281"/>
        <v>349.3</v>
      </c>
      <c r="AR373" s="1">
        <f t="shared" si="281"/>
        <v>182.8</v>
      </c>
      <c r="AS373" s="1">
        <f t="shared" si="281"/>
        <v>267.89999999999998</v>
      </c>
      <c r="AT373" s="1">
        <f t="shared" si="281"/>
        <v>419.6</v>
      </c>
      <c r="AU373" s="1">
        <f t="shared" si="281"/>
        <v>478.4</v>
      </c>
      <c r="AV373" s="1">
        <f t="shared" si="281"/>
        <v>436.1</v>
      </c>
      <c r="AW373" s="1">
        <f>SUM(AO373:AV373)</f>
        <v>2879.8999999999996</v>
      </c>
      <c r="BG373" s="1">
        <f>MAX(BG6:BG371)</f>
        <v>97.3</v>
      </c>
    </row>
    <row r="374" spans="1:98" x14ac:dyDescent="0.2">
      <c r="AO374" s="1">
        <f t="shared" ref="AO374:AV374" si="282">ROUND(AO373/$AW373*100,1)</f>
        <v>12.5</v>
      </c>
      <c r="AP374" s="1">
        <f t="shared" si="282"/>
        <v>13.4</v>
      </c>
      <c r="AQ374" s="1">
        <f t="shared" si="282"/>
        <v>12.1</v>
      </c>
      <c r="AR374" s="1">
        <f t="shared" si="282"/>
        <v>6.3</v>
      </c>
      <c r="AS374" s="1">
        <f t="shared" si="282"/>
        <v>9.3000000000000007</v>
      </c>
      <c r="AT374" s="1">
        <f t="shared" si="282"/>
        <v>14.6</v>
      </c>
      <c r="AU374" s="1">
        <f t="shared" si="282"/>
        <v>16.600000000000001</v>
      </c>
      <c r="AV374" s="1">
        <f t="shared" si="282"/>
        <v>15.1</v>
      </c>
      <c r="CJ374" s="1">
        <f t="shared" ref="CJ374:CQ374" si="283">ROUND(AVERAGE(CJ265:CJ371)*100,1)</f>
        <v>9.9</v>
      </c>
      <c r="CK374" s="1">
        <f t="shared" si="283"/>
        <v>9.1999999999999993</v>
      </c>
      <c r="CL374" s="1">
        <f t="shared" si="283"/>
        <v>10.8</v>
      </c>
      <c r="CM374" s="1">
        <f t="shared" si="283"/>
        <v>7.6</v>
      </c>
      <c r="CN374" s="1">
        <f t="shared" si="283"/>
        <v>11.4</v>
      </c>
      <c r="CO374" s="1">
        <f t="shared" si="283"/>
        <v>16</v>
      </c>
      <c r="CP374" s="1">
        <f t="shared" si="283"/>
        <v>19.8</v>
      </c>
      <c r="CQ374" s="1">
        <f t="shared" si="283"/>
        <v>15.3</v>
      </c>
    </row>
    <row r="375" spans="1:98" x14ac:dyDescent="0.2">
      <c r="G375" s="9" t="s">
        <v>46</v>
      </c>
      <c r="I375" s="9"/>
      <c r="M375" s="9" t="s">
        <v>71</v>
      </c>
      <c r="N375" s="9" t="s">
        <v>47</v>
      </c>
      <c r="O375" s="9" t="s">
        <v>48</v>
      </c>
      <c r="P375" s="9"/>
      <c r="Q375" s="9"/>
      <c r="U375" s="9" t="s">
        <v>49</v>
      </c>
      <c r="V375" s="9" t="s">
        <v>50</v>
      </c>
      <c r="W375" s="9" t="s">
        <v>51</v>
      </c>
      <c r="X375" s="9" t="s">
        <v>52</v>
      </c>
      <c r="Y375" s="9"/>
      <c r="Z375" s="9"/>
      <c r="AC375" s="1" t="s">
        <v>53</v>
      </c>
      <c r="AF375" s="1" t="s">
        <v>54</v>
      </c>
      <c r="AG375" s="9" t="s">
        <v>55</v>
      </c>
      <c r="AH375" s="1" t="s">
        <v>56</v>
      </c>
      <c r="AI375" s="9"/>
      <c r="AJ375" s="1"/>
      <c r="AK375" s="2"/>
      <c r="AL375" s="2"/>
      <c r="AO375" s="1" t="s">
        <v>155</v>
      </c>
      <c r="AP375" s="1" t="s">
        <v>156</v>
      </c>
      <c r="AQ375" s="1" t="s">
        <v>157</v>
      </c>
      <c r="AR375" s="1" t="s">
        <v>162</v>
      </c>
      <c r="AS375" s="1" t="s">
        <v>158</v>
      </c>
      <c r="AT375" s="1" t="s">
        <v>159</v>
      </c>
      <c r="AU375" s="1" t="s">
        <v>160</v>
      </c>
      <c r="AV375" s="1" t="s">
        <v>161</v>
      </c>
      <c r="AX375" s="10" t="s">
        <v>58</v>
      </c>
      <c r="AY375" s="1" t="s">
        <v>104</v>
      </c>
      <c r="BA375" s="1" t="s">
        <v>57</v>
      </c>
      <c r="BB375" s="1" t="s">
        <v>44</v>
      </c>
      <c r="BE375" s="1" t="s">
        <v>53</v>
      </c>
      <c r="BF375" s="10" t="s">
        <v>58</v>
      </c>
      <c r="BG375" s="9" t="s">
        <v>86</v>
      </c>
      <c r="BI375" s="9" t="s">
        <v>51</v>
      </c>
      <c r="BJ375" s="9" t="s">
        <v>52</v>
      </c>
      <c r="BK375" s="1" t="s">
        <v>73</v>
      </c>
      <c r="BL375" s="1" t="s">
        <v>94</v>
      </c>
      <c r="CJ375" s="1" t="s">
        <v>124</v>
      </c>
      <c r="CK375" s="1" t="s">
        <v>125</v>
      </c>
      <c r="CL375" s="1" t="s">
        <v>126</v>
      </c>
      <c r="CM375" s="1" t="s">
        <v>127</v>
      </c>
      <c r="CN375" s="1" t="s">
        <v>128</v>
      </c>
      <c r="CO375" s="1" t="s">
        <v>130</v>
      </c>
      <c r="CP375" s="1" t="s">
        <v>129</v>
      </c>
      <c r="CQ375" s="1" t="s">
        <v>131</v>
      </c>
    </row>
    <row r="376" spans="1:98" x14ac:dyDescent="0.2">
      <c r="A376" s="1" t="s">
        <v>59</v>
      </c>
      <c r="G376" s="11">
        <f>ROUND(AVERAGE(G6:G36),1)</f>
        <v>-7.3</v>
      </c>
      <c r="I376" s="11"/>
      <c r="M376" s="11">
        <f>ROUND(AVERAGE(M6:M36),1)</f>
        <v>1.6</v>
      </c>
      <c r="N376" s="11">
        <f>ROUND(AVERAGE(N6:N36),1)</f>
        <v>-3.6</v>
      </c>
      <c r="O376" s="11">
        <f>ROUND(MAX(N6:N36),1)</f>
        <v>2.7</v>
      </c>
      <c r="P376" s="11"/>
      <c r="Q376" s="11"/>
      <c r="U376" s="11">
        <f>ROUND(AVERAGE(U6:U36),1)</f>
        <v>-10.5</v>
      </c>
      <c r="V376" s="11">
        <f>ROUND(MIN(U6:U36),1)</f>
        <v>-29.4</v>
      </c>
      <c r="W376" s="11">
        <f>ROUND(AVERAGE(V6:V36),1)</f>
        <v>82.2</v>
      </c>
      <c r="X376" s="11">
        <f>ROUND(MIN(V6:V36),1)</f>
        <v>56.1</v>
      </c>
      <c r="Y376" s="11"/>
      <c r="Z376" s="11"/>
      <c r="AC376" s="11">
        <f>ROUND(SUM(AC6:AC36),1)</f>
        <v>0</v>
      </c>
      <c r="AE376" s="11"/>
      <c r="AF376" s="11">
        <f>ROUND(AVERAGE(AF6:AF36),1)</f>
        <v>1.3</v>
      </c>
      <c r="AG376" s="11">
        <f>ROUND(AVERAGE(AG6:AG36),1)</f>
        <v>4.3</v>
      </c>
      <c r="AH376" s="11">
        <f>ROUND(MAX(AG6:AG36),1)</f>
        <v>7.4</v>
      </c>
      <c r="AI376" s="11"/>
      <c r="AJ376" s="11"/>
      <c r="AK376" s="2"/>
      <c r="AL376" s="2"/>
      <c r="AX376" s="13">
        <f>AX36*1000</f>
        <v>1148</v>
      </c>
      <c r="AY376" s="11">
        <f>ROUND(AVERAGE(AY6:AY36),1)</f>
        <v>-0.9</v>
      </c>
      <c r="BA376" s="12">
        <f>ROUND(AVERAGE(BA6:BA36),2)</f>
        <v>2.4500000000000002</v>
      </c>
      <c r="BB376" s="12">
        <f>ROUND(AVERAGE(BB6:BB36),2)</f>
        <v>2.2799999999999998</v>
      </c>
      <c r="BC376" s="12"/>
      <c r="BE376" s="11">
        <f>ROUND(SUM(BE6:BE36),1)</f>
        <v>128.80000000000001</v>
      </c>
      <c r="BF376" s="13">
        <f>BF36</f>
        <v>1188</v>
      </c>
      <c r="BG376" s="11">
        <f>ROUND(AVERAGE(BH6:BH36),1)</f>
        <v>89.2</v>
      </c>
      <c r="BI376" s="11">
        <f>ROUND(AVERAGE(BH6:BH36),1)</f>
        <v>89.2</v>
      </c>
      <c r="BJ376" s="11">
        <f>ROUND(MIN(BH6:BH36),1)</f>
        <v>73.599999999999994</v>
      </c>
      <c r="BK376" s="12">
        <f>ROUND(AVERAGE(BJ6:BJ36),2)</f>
        <v>0.41</v>
      </c>
      <c r="BL376" s="12">
        <f>ROUND(MAX(BK5:BK35),2)</f>
        <v>0.23</v>
      </c>
      <c r="BM376" s="12"/>
      <c r="BN376" s="12"/>
      <c r="BO376" s="12"/>
      <c r="BP376" s="12"/>
      <c r="BQ376" s="12"/>
      <c r="BR376" s="12"/>
      <c r="BS376" s="12"/>
      <c r="BT376" s="12"/>
      <c r="BU376" s="12"/>
      <c r="BV376" s="18"/>
      <c r="BW376" s="18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</row>
    <row r="377" spans="1:98" x14ac:dyDescent="0.2">
      <c r="A377" s="1" t="s">
        <v>60</v>
      </c>
      <c r="G377" s="11">
        <f>ROUND(AVERAGE(G37:G65),1)</f>
        <v>-6.6</v>
      </c>
      <c r="I377" s="11"/>
      <c r="M377" s="11">
        <f>ROUND(AVERAGE(M37:M65),1)</f>
        <v>1.5</v>
      </c>
      <c r="N377" s="11">
        <f>ROUND(AVERAGE(N37:N65),1)</f>
        <v>-2.6</v>
      </c>
      <c r="O377" s="11">
        <f>ROUND(MAX(N37:N65),1)</f>
        <v>4.5999999999999996</v>
      </c>
      <c r="P377" s="11"/>
      <c r="Q377" s="11"/>
      <c r="U377" s="11">
        <f>ROUND(AVERAGE(U37:U65),1)</f>
        <v>-9.9</v>
      </c>
      <c r="V377" s="11">
        <f>ROUND(MIN(U37:U65),1)</f>
        <v>-17.8</v>
      </c>
      <c r="W377" s="11">
        <f>ROUND(AVERAGE(V37:V65),1)</f>
        <v>69.5</v>
      </c>
      <c r="X377" s="11">
        <f>ROUND(MIN(V37:V65),1)</f>
        <v>38.4</v>
      </c>
      <c r="Y377" s="11"/>
      <c r="Z377" s="11"/>
      <c r="AC377" s="11">
        <f>ROUND(SUM(AC37:AC65),1)</f>
        <v>0</v>
      </c>
      <c r="AE377" s="11"/>
      <c r="AF377" s="11">
        <f>ROUND(AVERAGE(AF37:AF65),1)</f>
        <v>1.4</v>
      </c>
      <c r="AG377" s="11">
        <f>ROUND(AVERAGE(AG37:AG65),1)</f>
        <v>4.7</v>
      </c>
      <c r="AH377" s="11">
        <f>ROUND(MAX(AG37:AG65),1)</f>
        <v>8.9</v>
      </c>
      <c r="AI377" s="11"/>
      <c r="AJ377" s="11"/>
      <c r="AK377" s="2"/>
      <c r="AL377" s="2"/>
      <c r="AX377" s="13">
        <f>AX65*1000</f>
        <v>1535.9999999999998</v>
      </c>
      <c r="AY377" s="11">
        <f>ROUND(AVERAGE(AY37:AY65),1)</f>
        <v>-0.6</v>
      </c>
      <c r="BA377" s="12">
        <f>ROUND(AVERAGE(BA37:BA65),2)</f>
        <v>5.5</v>
      </c>
      <c r="BB377" s="12">
        <f>ROUND(AVERAGE(BB37:BB65),2)</f>
        <v>4.9800000000000004</v>
      </c>
      <c r="BC377" s="12"/>
      <c r="BE377" s="11">
        <f>ROUND(SUM(BE37:BE65),1)</f>
        <v>126.5</v>
      </c>
      <c r="BF377" s="13">
        <f>BF65</f>
        <v>1575.9999999999998</v>
      </c>
      <c r="BG377" s="11">
        <f>ROUND(AVERAGE(BH37:BH65),1)</f>
        <v>84.3</v>
      </c>
      <c r="BI377" s="11">
        <f>ROUND(AVERAGE(BH37:BH65),1)</f>
        <v>84.3</v>
      </c>
      <c r="BJ377" s="11">
        <f>ROUND(MIN(BH37:BH65),1)</f>
        <v>65.5</v>
      </c>
      <c r="BK377" s="12">
        <f>ROUND(AVERAGE(BJ37:BJ65),2)</f>
        <v>0.35</v>
      </c>
      <c r="BL377" s="12">
        <f>ROUND(MAX(BK36:BK62),2)</f>
        <v>0.44</v>
      </c>
      <c r="BM377" s="12"/>
      <c r="BN377" s="12"/>
      <c r="BO377" s="12"/>
      <c r="BP377" s="12"/>
      <c r="BQ377" s="12"/>
      <c r="BR377" s="12"/>
      <c r="BS377" s="12"/>
      <c r="BT377" s="12"/>
      <c r="BU377" s="12"/>
      <c r="BV377" s="18"/>
      <c r="BW377" s="18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</row>
    <row r="378" spans="1:98" x14ac:dyDescent="0.2">
      <c r="A378" s="1" t="s">
        <v>61</v>
      </c>
      <c r="G378" s="11">
        <f>ROUND(AVERAGE(G66:G96),1)</f>
        <v>-5.5</v>
      </c>
      <c r="I378" s="11"/>
      <c r="M378" s="11">
        <f>ROUND(AVERAGE(M66:M96),1)</f>
        <v>1.3</v>
      </c>
      <c r="N378" s="11">
        <f>ROUND(AVERAGE(N66:N96),1)</f>
        <v>-0.2</v>
      </c>
      <c r="O378" s="11">
        <f>ROUND(MAX(N66:N96),1)</f>
        <v>7.2</v>
      </c>
      <c r="P378" s="11"/>
      <c r="Q378" s="11"/>
      <c r="U378" s="11">
        <f>ROUND(AVERAGE(U66:U96),1)</f>
        <v>-9.8000000000000007</v>
      </c>
      <c r="V378" s="11">
        <f>ROUND(MIN(U66:U96),1)</f>
        <v>-19.2</v>
      </c>
      <c r="W378" s="11">
        <f>ROUND(AVERAGE(V66:V96),1)</f>
        <v>47.5</v>
      </c>
      <c r="X378" s="11">
        <f>ROUND(MIN(V66:V96),1)</f>
        <v>21.5</v>
      </c>
      <c r="Y378" s="11"/>
      <c r="Z378" s="11"/>
      <c r="AC378" s="11">
        <f>ROUND(SUM(AC66:AC96),1)</f>
        <v>0</v>
      </c>
      <c r="AE378" s="11"/>
      <c r="AF378" s="11">
        <f>ROUND(AVERAGE(AF66:AF96),1)</f>
        <v>1.7</v>
      </c>
      <c r="AG378" s="11">
        <f>ROUND(AVERAGE(AG66:AG96),1)</f>
        <v>4.9000000000000004</v>
      </c>
      <c r="AH378" s="11">
        <f>ROUND(MAX(AG66:AG96),1)</f>
        <v>9</v>
      </c>
      <c r="AI378" s="11"/>
      <c r="AJ378" s="11"/>
      <c r="AK378" s="2"/>
      <c r="AL378" s="2"/>
      <c r="AX378" s="14">
        <f>AX96*1000</f>
        <v>1363.9999999999998</v>
      </c>
      <c r="AY378" s="11">
        <f>ROUND(AVERAGE(AY66:AY96),1)</f>
        <v>-0.4</v>
      </c>
      <c r="BA378" s="12">
        <f>ROUND(AVERAGE(BA66:BA96),2)</f>
        <v>10.68</v>
      </c>
      <c r="BB378" s="12">
        <f>ROUND(AVERAGE(BB66:BB96),2)</f>
        <v>9.5299999999999994</v>
      </c>
      <c r="BC378" s="12"/>
      <c r="BE378" s="11">
        <f>ROUND(SUM(BE66:BE96),1)</f>
        <v>100</v>
      </c>
      <c r="BF378" s="14">
        <f>BF96</f>
        <v>1404</v>
      </c>
      <c r="BG378" s="11">
        <f>ROUND(AVERAGE(BH66:BH96),1)</f>
        <v>70.3</v>
      </c>
      <c r="BI378" s="11">
        <f>ROUND(AVERAGE(BH66:BH96),1)</f>
        <v>70.3</v>
      </c>
      <c r="BJ378" s="11">
        <f>ROUND(MIN(BH66:BH96),1)</f>
        <v>46.2</v>
      </c>
      <c r="BK378" s="12">
        <f>ROUND(AVERAGE(BJ66:BJ96),2)</f>
        <v>0.27</v>
      </c>
      <c r="BL378" s="12">
        <f>ROUND(MAX(BK65:BK95),2)</f>
        <v>0.8</v>
      </c>
      <c r="BM378" s="12"/>
      <c r="BN378" s="12"/>
      <c r="BO378" s="12"/>
      <c r="BP378" s="12"/>
      <c r="BQ378" s="12"/>
      <c r="BR378" s="12"/>
      <c r="BS378" s="12"/>
      <c r="BT378" s="12"/>
      <c r="BU378" s="12"/>
      <c r="BV378" s="18"/>
      <c r="BW378" s="18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</row>
    <row r="379" spans="1:98" x14ac:dyDescent="0.2">
      <c r="A379" s="1" t="s">
        <v>62</v>
      </c>
      <c r="G379" s="11">
        <f>ROUND(AVERAGE(G97:G126),1)</f>
        <v>-0.9</v>
      </c>
      <c r="I379" s="11"/>
      <c r="M379" s="11">
        <f>ROUND(AVERAGE(M97:M126),1)</f>
        <v>1.2</v>
      </c>
      <c r="N379" s="11">
        <f>ROUND(AVERAGE(N97:N126),1)</f>
        <v>5</v>
      </c>
      <c r="O379" s="11">
        <f>ROUND(MAX(N97:N126),1)</f>
        <v>13.8</v>
      </c>
      <c r="P379" s="11"/>
      <c r="Q379" s="11"/>
      <c r="U379" s="11">
        <f>ROUND(AVERAGE(U97:U126),1)</f>
        <v>-6</v>
      </c>
      <c r="V379" s="11">
        <f>ROUND(MIN(U97:U126),1)</f>
        <v>-17.2</v>
      </c>
      <c r="W379" s="11">
        <f>ROUND(AVERAGE(V97:V126),1)</f>
        <v>37.700000000000003</v>
      </c>
      <c r="X379" s="11">
        <f>ROUND(MIN(V97:V126),1)</f>
        <v>16.2</v>
      </c>
      <c r="Y379" s="11"/>
      <c r="Z379" s="11"/>
      <c r="AC379" s="11">
        <f>ROUND(SUM(AC97:AC126),1)</f>
        <v>0</v>
      </c>
      <c r="AE379" s="11"/>
      <c r="AF379" s="11">
        <f>ROUND(AVERAGE(AF97:AF126),1)</f>
        <v>1.3</v>
      </c>
      <c r="AG379" s="11">
        <f>ROUND(AVERAGE(AG97:AG126),1)</f>
        <v>4.4000000000000004</v>
      </c>
      <c r="AH379" s="11">
        <f>ROUND(MAX(AG97:AG126),1)</f>
        <v>6.5</v>
      </c>
      <c r="AI379" s="11"/>
      <c r="AJ379" s="11"/>
      <c r="AK379" s="2"/>
      <c r="AL379" s="2"/>
      <c r="AX379" s="14">
        <f>AX126*1000</f>
        <v>959.99999999999977</v>
      </c>
      <c r="AY379" s="11">
        <f>ROUND(AVERAGE(AY97:AY126),1)</f>
        <v>-0.2</v>
      </c>
      <c r="BA379" s="12">
        <f>ROUND(AVERAGE(BA97:BA126),2)</f>
        <v>15.69</v>
      </c>
      <c r="BB379" s="12">
        <f>ROUND(AVERAGE(BB97:BB126),2)</f>
        <v>11.96</v>
      </c>
      <c r="BC379" s="12"/>
      <c r="BE379" s="11">
        <f>ROUND(SUM(BE97:BE126),1)</f>
        <v>47.3</v>
      </c>
      <c r="BF379" s="14">
        <f>BF126</f>
        <v>999.99999999999977</v>
      </c>
      <c r="BG379" s="11">
        <f>ROUND(AVERAGE(BH97:BH126),1)</f>
        <v>64.8</v>
      </c>
      <c r="BI379" s="11">
        <f>ROUND(AVERAGE(BH97:BH126),1)</f>
        <v>64.8</v>
      </c>
      <c r="BJ379" s="11">
        <f>ROUND(MIN(BH97:BH126),1)</f>
        <v>35.200000000000003</v>
      </c>
      <c r="BK379" s="12">
        <f>ROUND(AVERAGE(BJ97:BJ126),2)</f>
        <v>0.33</v>
      </c>
      <c r="BL379" s="12">
        <f>ROUND(MAX(BK96:BK125),2)</f>
        <v>1.22</v>
      </c>
      <c r="BM379" s="12"/>
      <c r="BN379" s="12"/>
      <c r="BO379" s="12"/>
      <c r="BP379" s="12"/>
      <c r="BQ379" s="12"/>
      <c r="BR379" s="12"/>
      <c r="BS379" s="12"/>
      <c r="BT379" s="12"/>
      <c r="BU379" s="12"/>
      <c r="BV379" s="18"/>
      <c r="BW379" s="18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</row>
    <row r="380" spans="1:98" x14ac:dyDescent="0.2">
      <c r="A380" s="1" t="s">
        <v>63</v>
      </c>
      <c r="G380" s="11">
        <f>ROUND(AVERAGE(G127:G157),1)</f>
        <v>4.5999999999999996</v>
      </c>
      <c r="I380" s="11"/>
      <c r="M380" s="11">
        <f>ROUND(AVERAGE(M127:M157),1)</f>
        <v>1</v>
      </c>
      <c r="N380" s="11">
        <f>ROUND(AVERAGE(N127:N157),1)</f>
        <v>10.8</v>
      </c>
      <c r="O380" s="11">
        <f>ROUND(MAX(N127:N157),1)</f>
        <v>22.1</v>
      </c>
      <c r="P380" s="11"/>
      <c r="Q380" s="11"/>
      <c r="U380" s="11">
        <f>ROUND(AVERAGE(U127:U157),1)</f>
        <v>0.3</v>
      </c>
      <c r="V380" s="11">
        <f>ROUND(MIN(U127:U157),1)</f>
        <v>-7.4</v>
      </c>
      <c r="W380" s="11">
        <f>ROUND(AVERAGE(V127:V157),1)</f>
        <v>46.6</v>
      </c>
      <c r="X380" s="11">
        <f>ROUND(MIN(V127:V157),1)</f>
        <v>23.3</v>
      </c>
      <c r="Y380" s="11"/>
      <c r="Z380" s="11"/>
      <c r="AC380" s="11">
        <f>ROUND(SUM(AC127:AC157),1)</f>
        <v>0.3</v>
      </c>
      <c r="AE380" s="11"/>
      <c r="AF380" s="11">
        <f>ROUND(AVERAGE(AF127:AF157),1)</f>
        <v>1.2</v>
      </c>
      <c r="AG380" s="11">
        <f>ROUND(AVERAGE(AG127:AG157),1)</f>
        <v>4.0999999999999996</v>
      </c>
      <c r="AH380" s="11">
        <f>ROUND(MAX(AG127:AG157),1)</f>
        <v>6.5</v>
      </c>
      <c r="AI380" s="11"/>
      <c r="AJ380" s="11"/>
      <c r="AK380" s="2"/>
      <c r="AL380" s="2"/>
      <c r="AX380" s="14">
        <f>AX157*1000</f>
        <v>104.99999999999999</v>
      </c>
      <c r="AY380" s="11">
        <f>ROUND(AVERAGE(AY127:AY157),1)</f>
        <v>0</v>
      </c>
      <c r="BA380" s="12">
        <f>ROUND(AVERAGE(BA127:BA157),2)</f>
        <v>16.170000000000002</v>
      </c>
      <c r="BB380" s="12">
        <f>ROUND(AVERAGE(BB127:BB157),2)</f>
        <v>9.74</v>
      </c>
      <c r="BC380" s="12"/>
      <c r="BE380" s="11">
        <f>ROUND(SUM(BE127:BE157),1)</f>
        <v>175.8</v>
      </c>
      <c r="BF380" s="14">
        <f>BF157</f>
        <v>145.00000000000003</v>
      </c>
      <c r="BG380" s="11">
        <f>ROUND(AVERAGE(BH127:BH157),1)</f>
        <v>72.7</v>
      </c>
      <c r="BI380" s="11">
        <f>ROUND(AVERAGE(BH127:BH157),1)</f>
        <v>72.7</v>
      </c>
      <c r="BJ380" s="11">
        <f>ROUND(MIN(BH127:BH157),1)</f>
        <v>45.4</v>
      </c>
      <c r="BK380" s="12">
        <f>ROUND(AVERAGE(BJ127:BJ157),2)</f>
        <v>0.57999999999999996</v>
      </c>
      <c r="BL380" s="12">
        <f>ROUND(MAX(BK126:BK156),2)</f>
        <v>1.99</v>
      </c>
      <c r="BM380" s="12"/>
      <c r="BN380" s="12"/>
      <c r="BO380" s="12"/>
      <c r="BP380" s="12"/>
      <c r="BQ380" s="12"/>
      <c r="BR380" s="12"/>
      <c r="BS380" s="12"/>
      <c r="BT380" s="12"/>
      <c r="BU380" s="12"/>
      <c r="BV380" s="18"/>
      <c r="BW380" s="18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</row>
    <row r="381" spans="1:98" x14ac:dyDescent="0.2">
      <c r="A381" s="1" t="s">
        <v>64</v>
      </c>
      <c r="G381" s="11">
        <f>ROUND(AVERAGE(G158:G187),1)</f>
        <v>7</v>
      </c>
      <c r="I381" s="11"/>
      <c r="M381" s="11">
        <f>ROUND(AVERAGE(M158:M187),1)</f>
        <v>5</v>
      </c>
      <c r="N381" s="11">
        <f>ROUND(AVERAGE(N158:N187),1)</f>
        <v>12.7</v>
      </c>
      <c r="O381" s="11">
        <f>ROUND(MAX(N158:N187),1)</f>
        <v>21.1</v>
      </c>
      <c r="P381" s="11"/>
      <c r="Q381" s="11"/>
      <c r="U381" s="11">
        <f>ROUND(AVERAGE(U158:U187),1)</f>
        <v>2.7</v>
      </c>
      <c r="V381" s="11">
        <f>ROUND(MIN(U158:U187),1)</f>
        <v>-2.4</v>
      </c>
      <c r="W381" s="11">
        <f>ROUND(AVERAGE(V158:V187),1)</f>
        <v>48.7</v>
      </c>
      <c r="X381" s="11">
        <f>ROUND(MIN(V158:V187),1)</f>
        <v>28.2</v>
      </c>
      <c r="Y381" s="11"/>
      <c r="Z381" s="11"/>
      <c r="AC381" s="11">
        <f>ROUND(SUM(AC158:AC187),1)</f>
        <v>107.4</v>
      </c>
      <c r="AE381" s="11"/>
      <c r="AF381" s="11">
        <f>ROUND(AVERAGE(AF158:AF187),1)</f>
        <v>1.3</v>
      </c>
      <c r="AG381" s="11">
        <f>ROUND(AVERAGE(AG158:AG187),1)</f>
        <v>4.3</v>
      </c>
      <c r="AH381" s="11">
        <f>ROUND(MAX(AG158:AG187),1)</f>
        <v>6.4</v>
      </c>
      <c r="AI381" s="11"/>
      <c r="AJ381" s="11"/>
      <c r="AK381" s="2"/>
      <c r="AL381" s="2"/>
      <c r="AX381" s="14">
        <f>AX187*1000</f>
        <v>0</v>
      </c>
      <c r="AY381" s="11" t="e">
        <f>ROUND(AVERAGE(AY158:AY187),1)</f>
        <v>#DIV/0!</v>
      </c>
      <c r="BA381" s="12">
        <f>ROUND(AVERAGE(BA158:BA187),2)</f>
        <v>17.23</v>
      </c>
      <c r="BB381" s="12">
        <f>ROUND(AVERAGE(BB158:BB187),2)</f>
        <v>3.07</v>
      </c>
      <c r="BC381" s="12"/>
      <c r="BE381" s="11">
        <f>ROUND(SUM(BE158:BE187),1)</f>
        <v>107.4</v>
      </c>
      <c r="BF381" s="14">
        <f>BF187</f>
        <v>0</v>
      </c>
      <c r="BG381" s="11">
        <f>ROUND(AVERAGE(BH158:BH187),1)</f>
        <v>76</v>
      </c>
      <c r="BI381" s="11">
        <f>ROUND(AVERAGE(BH158:BH187),1)</f>
        <v>76</v>
      </c>
      <c r="BJ381" s="11">
        <f>ROUND(MIN(BH158:BH187),1)</f>
        <v>50.9</v>
      </c>
      <c r="BK381" s="12">
        <f>ROUND(AVERAGE(BJ158:BJ187),2)</f>
        <v>0.7</v>
      </c>
      <c r="BL381" s="12">
        <f>ROUND(MAX(BK157:BK186),2)</f>
        <v>1.67</v>
      </c>
      <c r="BM381" s="12"/>
      <c r="BN381" s="12"/>
      <c r="BO381" s="12"/>
      <c r="BP381" s="12"/>
      <c r="BQ381" s="12"/>
      <c r="BR381" s="12"/>
      <c r="BS381" s="12"/>
      <c r="BT381" s="12"/>
      <c r="BU381" s="12"/>
      <c r="BV381" s="18"/>
      <c r="BW381" s="18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</row>
    <row r="382" spans="1:98" x14ac:dyDescent="0.2">
      <c r="A382" s="1" t="s">
        <v>65</v>
      </c>
      <c r="G382" s="11">
        <f>ROUND(AVERAGE(G188:G218),1)</f>
        <v>11.6</v>
      </c>
      <c r="I382" s="11"/>
      <c r="M382" s="11">
        <f>ROUND(AVERAGE(M188:M218),1)</f>
        <v>8.8000000000000007</v>
      </c>
      <c r="N382" s="11">
        <f>ROUND(AVERAGE(N188:N218),1)</f>
        <v>17.8</v>
      </c>
      <c r="O382" s="11">
        <f>ROUND(MAX(N188:N218),1)</f>
        <v>28.8</v>
      </c>
      <c r="P382" s="11"/>
      <c r="Q382" s="11"/>
      <c r="U382" s="11">
        <f>ROUND(AVERAGE(U188:U218),1)</f>
        <v>6.4</v>
      </c>
      <c r="V382" s="11">
        <f>ROUND(MIN(U188:U218),1)</f>
        <v>0.5</v>
      </c>
      <c r="W382" s="11">
        <f>ROUND(AVERAGE(V188:V218),1)</f>
        <v>39.6</v>
      </c>
      <c r="X382" s="11">
        <f>ROUND(MIN(V188:V218),1)</f>
        <v>19.100000000000001</v>
      </c>
      <c r="Y382" s="11"/>
      <c r="Z382" s="11"/>
      <c r="AC382" s="11">
        <f>ROUND(SUM(AC188:AC218),1)</f>
        <v>37.799999999999997</v>
      </c>
      <c r="AE382" s="11"/>
      <c r="AF382" s="11">
        <f>ROUND(AVERAGE(AF188:AF218),1)</f>
        <v>1.2</v>
      </c>
      <c r="AG382" s="11">
        <f>ROUND(AVERAGE(AG188:AG218),1)</f>
        <v>4</v>
      </c>
      <c r="AH382" s="11">
        <f>ROUND(MAX(AG188:AG218),1)</f>
        <v>5.8</v>
      </c>
      <c r="AI382" s="11"/>
      <c r="AJ382" s="11"/>
      <c r="AK382" s="2"/>
      <c r="AL382" s="2"/>
      <c r="AX382" s="14">
        <f>AX218*1000</f>
        <v>0</v>
      </c>
      <c r="AY382" s="11" t="e">
        <f>ROUND(AVERAGE(AY188:AY218),1)</f>
        <v>#DIV/0!</v>
      </c>
      <c r="BA382" s="12">
        <f>ROUND(AVERAGE(BA188:BA218),2)</f>
        <v>20.440000000000001</v>
      </c>
      <c r="BB382" s="12">
        <f>ROUND(AVERAGE(BB188:BB218),2)</f>
        <v>4.0599999999999996</v>
      </c>
      <c r="BC382" s="12"/>
      <c r="BE382" s="11">
        <f>ROUND(SUM(BE188:BE218),1)</f>
        <v>37.799999999999997</v>
      </c>
      <c r="BF382" s="14">
        <f>BF218</f>
        <v>0</v>
      </c>
      <c r="BG382" s="11">
        <f>ROUND(AVERAGE(BH188:BH218),1)</f>
        <v>62.5</v>
      </c>
      <c r="BI382" s="11">
        <f>ROUND(AVERAGE(BH188:BH218),1)</f>
        <v>62.5</v>
      </c>
      <c r="BJ382" s="11">
        <f>ROUND(MIN(BH188:BH218),1)</f>
        <v>32.6</v>
      </c>
      <c r="BK382" s="12">
        <f>ROUND(AVERAGE(BJ188:BJ218),2)</f>
        <v>0.76</v>
      </c>
      <c r="BL382" s="12">
        <f>ROUND(MAX(BK187:BK217),2)</f>
        <v>3.19</v>
      </c>
      <c r="BM382" s="12"/>
      <c r="BN382" s="12"/>
      <c r="BO382" s="12"/>
      <c r="BP382" s="12"/>
      <c r="BQ382" s="12"/>
      <c r="BR382" s="12"/>
      <c r="BS382" s="12"/>
      <c r="BT382" s="12"/>
      <c r="BU382" s="12"/>
      <c r="BV382" s="18"/>
      <c r="BW382" s="18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</row>
    <row r="383" spans="1:98" x14ac:dyDescent="0.2">
      <c r="A383" s="1" t="s">
        <v>66</v>
      </c>
      <c r="G383" s="11">
        <f>ROUND(AVERAGE(G219:G249),1)</f>
        <v>12.3</v>
      </c>
      <c r="I383" s="11"/>
      <c r="M383" s="11">
        <f>ROUND(AVERAGE(M219:M249),1)</f>
        <v>10.199999999999999</v>
      </c>
      <c r="N383" s="11">
        <f>ROUND(AVERAGE(N219:N249),1)</f>
        <v>19.8</v>
      </c>
      <c r="O383" s="11">
        <f>ROUND(MAX(N219:N249),1)</f>
        <v>29.5</v>
      </c>
      <c r="P383" s="11"/>
      <c r="Q383" s="11"/>
      <c r="U383" s="11">
        <f>ROUND(AVERAGE(U219:U249),1)</f>
        <v>6.6</v>
      </c>
      <c r="V383" s="11">
        <f>ROUND(MIN(U219:U249),1)</f>
        <v>0.4</v>
      </c>
      <c r="W383" s="11">
        <f>ROUND(AVERAGE(V219:V249),1)</f>
        <v>31</v>
      </c>
      <c r="X383" s="11">
        <f>ROUND(MIN(V219:V249),1)</f>
        <v>12.5</v>
      </c>
      <c r="Y383" s="11"/>
      <c r="Z383" s="11"/>
      <c r="AC383" s="11">
        <f>ROUND(SUM(AC219:AC249),1)</f>
        <v>13.5</v>
      </c>
      <c r="AE383" s="11"/>
      <c r="AF383" s="11">
        <f>ROUND(AVERAGE(AF219:AF249),1)</f>
        <v>1.2</v>
      </c>
      <c r="AG383" s="11">
        <f>ROUND(AVERAGE(AG219:AG249),1)</f>
        <v>3.9</v>
      </c>
      <c r="AH383" s="11">
        <f>ROUND(MAX(AG219:AG249),1)</f>
        <v>6.6</v>
      </c>
      <c r="AI383" s="11"/>
      <c r="AJ383" s="11"/>
      <c r="AK383" s="2"/>
      <c r="AL383" s="2"/>
      <c r="AX383" s="14">
        <f>AX249*1000</f>
        <v>0</v>
      </c>
      <c r="AY383" s="11" t="e">
        <f>ROUND(AVERAGE(AY219:AY249),1)</f>
        <v>#DIV/0!</v>
      </c>
      <c r="BA383" s="12">
        <f>ROUND(AVERAGE(BA219:BA249),2)</f>
        <v>19.38</v>
      </c>
      <c r="BB383" s="12">
        <f>ROUND(AVERAGE(BB219:BB249),2)</f>
        <v>3.91</v>
      </c>
      <c r="BC383" s="12"/>
      <c r="BE383" s="11">
        <f>ROUND(SUM(BE219:BE249),1)</f>
        <v>13.5</v>
      </c>
      <c r="BF383" s="14">
        <f>BF249</f>
        <v>0</v>
      </c>
      <c r="BG383" s="11">
        <f>ROUND(AVERAGE(BH219:BH249),1)</f>
        <v>55.8</v>
      </c>
      <c r="BI383" s="11">
        <f>ROUND(AVERAGE(BH219:BH249),1)</f>
        <v>55.8</v>
      </c>
      <c r="BJ383" s="11">
        <f>ROUND(MIN(BH219:BH249),1)</f>
        <v>29.8</v>
      </c>
      <c r="BK383" s="12">
        <f>ROUND(AVERAGE(BJ219:BJ249),2)</f>
        <v>0.68</v>
      </c>
      <c r="BL383" s="12">
        <f>ROUND(MAX(BK218:BK248),2)</f>
        <v>3.38</v>
      </c>
      <c r="BM383" s="12"/>
      <c r="BN383" s="12"/>
      <c r="BO383" s="12"/>
      <c r="BP383" s="12"/>
      <c r="BQ383" s="12"/>
      <c r="BR383" s="12"/>
      <c r="BS383" s="12"/>
      <c r="BT383" s="12"/>
      <c r="BU383" s="12"/>
      <c r="BV383" s="18"/>
      <c r="BW383" s="18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</row>
    <row r="384" spans="1:98" x14ac:dyDescent="0.2">
      <c r="A384" s="1" t="s">
        <v>67</v>
      </c>
      <c r="G384" s="11">
        <f>ROUND(AVERAGE(G250:G279),1)</f>
        <v>11.3</v>
      </c>
      <c r="I384" s="11"/>
      <c r="M384" s="11">
        <f>ROUND(AVERAGE(M250:M279),1)</f>
        <v>9.3000000000000007</v>
      </c>
      <c r="N384" s="11">
        <f>ROUND(AVERAGE(N250:N279),1)</f>
        <v>17.899999999999999</v>
      </c>
      <c r="O384" s="11">
        <f>ROUND(MAX(N250:N279),1)</f>
        <v>27.2</v>
      </c>
      <c r="P384" s="11"/>
      <c r="Q384" s="11"/>
      <c r="U384" s="11">
        <f>ROUND(AVERAGE(U250:U279),1)</f>
        <v>6.3</v>
      </c>
      <c r="V384" s="11">
        <f>ROUND(MIN(U250:U279),1)</f>
        <v>-0.9</v>
      </c>
      <c r="W384" s="11">
        <f>ROUND(AVERAGE(V250:V279),1)</f>
        <v>34.1</v>
      </c>
      <c r="X384" s="11">
        <f>ROUND(MIN(V250:V279),1)</f>
        <v>13.2</v>
      </c>
      <c r="Y384" s="11"/>
      <c r="Z384" s="11"/>
      <c r="AC384" s="11">
        <f>ROUND(SUM(AC250:AC279),1)</f>
        <v>19.3</v>
      </c>
      <c r="AE384" s="11"/>
      <c r="AF384" s="11">
        <f>ROUND(AVERAGE(AF250:AF279),1)</f>
        <v>1.1000000000000001</v>
      </c>
      <c r="AG384" s="11">
        <f>ROUND(AVERAGE(AG250:AG279),1)</f>
        <v>3.8</v>
      </c>
      <c r="AH384" s="11">
        <f>ROUND(MAX(AG250:AG279),1)</f>
        <v>6.5</v>
      </c>
      <c r="AI384" s="11"/>
      <c r="AJ384" s="11"/>
      <c r="AK384" s="2"/>
      <c r="AL384" s="2"/>
      <c r="AX384" s="14">
        <f>AX279*1000</f>
        <v>0</v>
      </c>
      <c r="AY384" s="11" t="e">
        <f>ROUND(AVERAGE(AY250:AY279),1)</f>
        <v>#DIV/0!</v>
      </c>
      <c r="BA384" s="12">
        <f>ROUND(AVERAGE(BA250:BA279),2)</f>
        <v>13.68</v>
      </c>
      <c r="BB384" s="12">
        <f>ROUND(AVERAGE(BB250:BB279),2)</f>
        <v>2.5099999999999998</v>
      </c>
      <c r="BC384" s="12"/>
      <c r="BE384" s="11">
        <f>ROUND(SUM(BE250:BE279),1)</f>
        <v>19.3</v>
      </c>
      <c r="BF384" s="14">
        <f>BF279</f>
        <v>0</v>
      </c>
      <c r="BG384" s="11">
        <f>ROUND(AVERAGE(BH250:BH279),1)</f>
        <v>56.5</v>
      </c>
      <c r="BI384" s="11">
        <f>ROUND(AVERAGE(BH250:BH279),1)</f>
        <v>56.5</v>
      </c>
      <c r="BJ384" s="11">
        <f>ROUND(MIN(BH250:BH279),1)</f>
        <v>32.1</v>
      </c>
      <c r="BK384" s="12">
        <f>ROUND(AVERAGE(BJ250:BJ279),2)</f>
        <v>0.65</v>
      </c>
      <c r="BL384" s="12">
        <f>ROUND(MAX(BK249:BK278),2)</f>
        <v>3.14</v>
      </c>
      <c r="BM384" s="12"/>
      <c r="BN384" s="12"/>
      <c r="BO384" s="12"/>
      <c r="BP384" s="12"/>
      <c r="BQ384" s="12"/>
      <c r="BR384" s="12"/>
      <c r="BS384" s="12"/>
      <c r="BT384" s="12"/>
      <c r="BU384" s="12"/>
      <c r="BV384" s="18"/>
      <c r="BW384" s="18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</row>
    <row r="385" spans="1:86" x14ac:dyDescent="0.2">
      <c r="A385" s="1" t="s">
        <v>68</v>
      </c>
      <c r="G385" s="11">
        <f>ROUND(AVERAGE(G280:G310),1)</f>
        <v>1.6</v>
      </c>
      <c r="I385" s="11"/>
      <c r="M385" s="11">
        <f>ROUND(AVERAGE(M280:M310),1)</f>
        <v>6.3</v>
      </c>
      <c r="N385" s="11">
        <f>ROUND(AVERAGE(N280:N310),1)</f>
        <v>5.8</v>
      </c>
      <c r="O385" s="15">
        <f>ROUND(MAX(N280:N310),1)</f>
        <v>21.7</v>
      </c>
      <c r="P385" s="11"/>
      <c r="Q385" s="15"/>
      <c r="U385" s="11">
        <f>ROUND(AVERAGE(U280:U310),1)</f>
        <v>-1.8</v>
      </c>
      <c r="V385" s="15">
        <f>ROUND(MIN(U280:U310),1)</f>
        <v>-16.100000000000001</v>
      </c>
      <c r="W385" s="11">
        <f>ROUND(AVERAGE(V280:V310),1)</f>
        <v>64.7</v>
      </c>
      <c r="X385" s="15">
        <f>ROUND(MIN(V280:V310),1)</f>
        <v>26.9</v>
      </c>
      <c r="Y385" s="11"/>
      <c r="Z385" s="15"/>
      <c r="AC385" s="11">
        <f>ROUND(SUM(AC280:AC310),1)</f>
        <v>18.8</v>
      </c>
      <c r="AE385" s="11"/>
      <c r="AF385" s="11">
        <f>ROUND(AVERAGE(AF280:AF310),1)</f>
        <v>1.3</v>
      </c>
      <c r="AG385" s="11">
        <f>ROUND(AVERAGE(AG280:AG310),1)</f>
        <v>4.4000000000000004</v>
      </c>
      <c r="AH385" s="15">
        <f>ROUND(MAX(AG280:AG310),1)</f>
        <v>7.8</v>
      </c>
      <c r="AI385" s="11"/>
      <c r="AJ385" s="15"/>
      <c r="AK385" s="2"/>
      <c r="AL385" s="2"/>
      <c r="AX385" s="14">
        <f>AX310*1000</f>
        <v>205.99999999999997</v>
      </c>
      <c r="AY385" s="11" t="e">
        <f>ROUND(AVERAGE(AY280:AY310),1)</f>
        <v>#DIV/0!</v>
      </c>
      <c r="BA385" s="12">
        <f>ROUND(AVERAGE(BA280:BA310),2)</f>
        <v>6.31</v>
      </c>
      <c r="BB385" s="12">
        <f>ROUND(AVERAGE(BB280:BB310),2)</f>
        <v>2.66</v>
      </c>
      <c r="BC385" s="12"/>
      <c r="BE385" s="11">
        <f>ROUND(SUM(BE280:BE310),1)</f>
        <v>103.7</v>
      </c>
      <c r="BF385" s="14">
        <f>BF310</f>
        <v>0</v>
      </c>
      <c r="BG385" s="11">
        <f>ROUND(AVERAGE(BH280:BH310),1)</f>
        <v>80.099999999999994</v>
      </c>
      <c r="BI385" s="11">
        <f>ROUND(AVERAGE(BH280:BH310),1)</f>
        <v>80.099999999999994</v>
      </c>
      <c r="BJ385" s="15">
        <f>ROUND(MIN(BH280:BH310),1)</f>
        <v>41.8</v>
      </c>
      <c r="BK385" s="12">
        <f>ROUND(AVERAGE(BJ280:BJ310),2)</f>
        <v>0.57999999999999996</v>
      </c>
      <c r="BL385" s="18">
        <f>ROUND(MAX(BK279:BK309),2)</f>
        <v>1.83</v>
      </c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</row>
    <row r="386" spans="1:86" x14ac:dyDescent="0.2">
      <c r="A386" s="1" t="s">
        <v>69</v>
      </c>
      <c r="G386" s="16">
        <f>ROUND(AVERAGE(G311:G340),1)</f>
        <v>-4.5999999999999996</v>
      </c>
      <c r="I386" s="16"/>
      <c r="M386" s="16">
        <f>ROUND(AVERAGE(M311:M340),1)</f>
        <v>3.4</v>
      </c>
      <c r="N386" s="16">
        <f>ROUND(AVERAGE(N311:N340),1)</f>
        <v>-1.4</v>
      </c>
      <c r="O386" s="11">
        <f>ROUND(MAX(N311:N340),1)</f>
        <v>12.9</v>
      </c>
      <c r="P386" s="16"/>
      <c r="Q386" s="11"/>
      <c r="U386" s="16">
        <f>ROUND(AVERAGE(U311:U340),1)</f>
        <v>-6.8</v>
      </c>
      <c r="V386" s="11">
        <f>ROUND(MIN(U311:U340),1)</f>
        <v>-13.4</v>
      </c>
      <c r="W386" s="16">
        <f>ROUND(AVERAGE(V311:V340),1)</f>
        <v>73.7</v>
      </c>
      <c r="X386" s="11">
        <f>ROUND(MIN(V311:V340),1)</f>
        <v>29</v>
      </c>
      <c r="Y386" s="16"/>
      <c r="Z386" s="11"/>
      <c r="AC386" s="11">
        <f>ROUND(SUM(AC311:AC340),1)</f>
        <v>0.3</v>
      </c>
      <c r="AE386" s="11"/>
      <c r="AF386" s="16">
        <f>ROUND(AVERAGE(AF311:AF340),1)</f>
        <v>1.4</v>
      </c>
      <c r="AG386" s="16">
        <f>ROUND(AVERAGE(AG311:AG340),1)</f>
        <v>4.4000000000000004</v>
      </c>
      <c r="AH386" s="11">
        <f>ROUND(MAX(AG311:AG340),1)</f>
        <v>7.4</v>
      </c>
      <c r="AI386" s="16"/>
      <c r="AJ386" s="11"/>
      <c r="AK386" s="2"/>
      <c r="AL386" s="2"/>
      <c r="AX386" s="14">
        <f>AX340*1000</f>
        <v>508.99999999999989</v>
      </c>
      <c r="AY386" s="16">
        <f>ROUND(AVERAGE(AY311:AY340),1)</f>
        <v>-0.6</v>
      </c>
      <c r="BA386" s="17">
        <f>ROUND(AVERAGE(BA311:BA340),2)</f>
        <v>3.35</v>
      </c>
      <c r="BB386" s="17">
        <f>ROUND(AVERAGE(BB311:BB340),2)</f>
        <v>2.27</v>
      </c>
      <c r="BC386" s="17"/>
      <c r="BE386" s="11">
        <f>ROUND(SUM(BE311:BE340),1)</f>
        <v>74.099999999999994</v>
      </c>
      <c r="BF386" s="14">
        <f>BF340</f>
        <v>0</v>
      </c>
      <c r="BG386" s="16">
        <f>ROUND(AVERAGE(BH311:BH340),1)</f>
        <v>85.5</v>
      </c>
      <c r="BI386" s="16">
        <f>ROUND(AVERAGE(BH311:BH340),1)</f>
        <v>85.5</v>
      </c>
      <c r="BJ386" s="11">
        <f>ROUND(MIN(BH311:BH340),1)</f>
        <v>48.3</v>
      </c>
      <c r="BK386" s="17">
        <f>ROUND(AVERAGE(BJ311:BJ340),2)</f>
        <v>0.4</v>
      </c>
      <c r="BL386" s="12">
        <f>ROUND(MAX(BK310:BK339),2)</f>
        <v>1.06</v>
      </c>
      <c r="BM386" s="12"/>
      <c r="BN386" s="12"/>
      <c r="BO386" s="12"/>
      <c r="BP386" s="12"/>
      <c r="BQ386" s="12"/>
      <c r="BR386" s="12"/>
      <c r="BS386" s="12"/>
      <c r="BT386" s="12"/>
      <c r="BU386" s="12"/>
      <c r="BV386" s="18"/>
      <c r="BW386" s="18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</row>
    <row r="387" spans="1:86" x14ac:dyDescent="0.2">
      <c r="A387" s="1" t="s">
        <v>70</v>
      </c>
      <c r="G387" s="11">
        <f>ROUND(AVERAGE(G341:G371),1)</f>
        <v>-5.2</v>
      </c>
      <c r="I387" s="11"/>
      <c r="M387" s="11">
        <f>ROUND(AVERAGE(M341:M371),1)</f>
        <v>2.5</v>
      </c>
      <c r="N387" s="11">
        <f>ROUND(AVERAGE(N341:N371),1)</f>
        <v>-1.9</v>
      </c>
      <c r="O387" s="11">
        <f>ROUND(MAX(N341:N371),1)</f>
        <v>8.8000000000000007</v>
      </c>
      <c r="P387" s="11"/>
      <c r="Q387" s="11"/>
      <c r="U387" s="11">
        <f>ROUND(AVERAGE(U341:U371),1)</f>
        <v>-7.9</v>
      </c>
      <c r="V387" s="11">
        <f>ROUND(MIN(U341:U371),1)</f>
        <v>-13.1</v>
      </c>
      <c r="W387" s="11">
        <f>ROUND(AVERAGE(V341:V371),1)</f>
        <v>73.3</v>
      </c>
      <c r="X387" s="11">
        <f>ROUND(MIN(V341:V371),1)</f>
        <v>20.6</v>
      </c>
      <c r="Y387" s="11"/>
      <c r="Z387" s="11"/>
      <c r="AC387" s="11">
        <f>ROUND(SUM(AC341:AC371),1)</f>
        <v>0</v>
      </c>
      <c r="AE387" s="11"/>
      <c r="AF387" s="11">
        <f>ROUND(AVERAGE(AF341:AF371),1)</f>
        <v>1</v>
      </c>
      <c r="AG387" s="11">
        <f>ROUND(AVERAGE(AG341:AG371),1)</f>
        <v>3.6</v>
      </c>
      <c r="AH387" s="11">
        <f>ROUND(MAX(AG341:AG371),1)</f>
        <v>6.6</v>
      </c>
      <c r="AI387" s="11"/>
      <c r="AJ387" s="11"/>
      <c r="AK387" s="2"/>
      <c r="AL387" s="2"/>
      <c r="AX387" s="14">
        <f>AX371*1000</f>
        <v>918.99999999999977</v>
      </c>
      <c r="AY387" s="11">
        <f>ROUND(AVERAGE(AY341:AY371),1)</f>
        <v>-0.3</v>
      </c>
      <c r="BA387" s="12">
        <f>ROUND(AVERAGE(BA341:BA371),2)</f>
        <v>2.2599999999999998</v>
      </c>
      <c r="BB387" s="12">
        <f>ROUND(AVERAGE(BB341:BB371),2)</f>
        <v>1.79</v>
      </c>
      <c r="BC387" s="12"/>
      <c r="BE387" s="11">
        <f>ROUND(SUM(BE341:BE371),1)</f>
        <v>86.4</v>
      </c>
      <c r="BF387" s="14">
        <f>BF371</f>
        <v>0</v>
      </c>
      <c r="BG387" s="11">
        <f>ROUND(AVERAGE(BH341:BH371),1)</f>
        <v>83</v>
      </c>
      <c r="BI387" s="11">
        <f>ROUND(AVERAGE(BH341:BH371),1)</f>
        <v>83</v>
      </c>
      <c r="BJ387" s="11">
        <f>ROUND(MIN(BH341:BH371),1)</f>
        <v>48.3</v>
      </c>
      <c r="BK387" s="12">
        <f>ROUND(AVERAGE(BJ341:BJ371),2)</f>
        <v>0.38</v>
      </c>
      <c r="BL387" s="12">
        <f>ROUND(MAX(BK340:BK370),2)</f>
        <v>0.9</v>
      </c>
      <c r="BM387" s="12"/>
      <c r="BN387" s="12"/>
      <c r="BO387" s="12"/>
      <c r="BP387" s="12"/>
      <c r="BQ387" s="12"/>
      <c r="BR387" s="12"/>
      <c r="BS387" s="12"/>
      <c r="BT387" s="12"/>
      <c r="BU387" s="12"/>
      <c r="BV387" s="18"/>
      <c r="BW387" s="18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</row>
    <row r="389" spans="1:86" x14ac:dyDescent="0.2">
      <c r="B389" s="1" t="s">
        <v>105</v>
      </c>
      <c r="G389" s="11">
        <f>AVERAGE(G376:G387)</f>
        <v>1.5250000000000006</v>
      </c>
      <c r="I389" s="11"/>
      <c r="M389" s="11">
        <f t="shared" ref="M389:N389" si="284">AVERAGE(M376:M387)</f>
        <v>4.3416666666666668</v>
      </c>
      <c r="N389" s="11">
        <f t="shared" si="284"/>
        <v>6.674999999999998</v>
      </c>
      <c r="O389" s="11"/>
      <c r="Q389" s="11"/>
      <c r="AG389" s="11"/>
      <c r="AH389" s="1"/>
      <c r="AI389" s="1"/>
      <c r="AJ389" s="1"/>
      <c r="AR389" s="11"/>
      <c r="AU389" s="11"/>
      <c r="BA389" s="11"/>
      <c r="BE389" s="11">
        <f>SUM(BE376:BE387)</f>
        <v>1020.6</v>
      </c>
    </row>
    <row r="390" spans="1:86" x14ac:dyDescent="0.2">
      <c r="AG390" s="1"/>
      <c r="AH390" s="1"/>
      <c r="AI390" s="1"/>
      <c r="AJ390" s="1"/>
      <c r="BE390" s="1"/>
    </row>
    <row r="391" spans="1:86" x14ac:dyDescent="0.2">
      <c r="B391" s="1" t="s">
        <v>59</v>
      </c>
      <c r="C391" s="14"/>
      <c r="D391" s="14"/>
      <c r="F391" s="14"/>
      <c r="G391" s="14">
        <f>COUNT(G6:G36)</f>
        <v>31</v>
      </c>
      <c r="H391" s="14"/>
      <c r="I391" s="14"/>
      <c r="M391" s="14">
        <f>COUNT(M6:M36)</f>
        <v>31</v>
      </c>
      <c r="N391" s="14">
        <f>COUNT(N6:N36)</f>
        <v>31</v>
      </c>
      <c r="O391" s="14"/>
      <c r="P391" s="14"/>
      <c r="Q391" s="14"/>
      <c r="R391" s="14"/>
      <c r="S391" s="14"/>
      <c r="U391" s="14">
        <f>COUNT(U6:U36)</f>
        <v>31</v>
      </c>
      <c r="W391" s="14"/>
      <c r="X391" s="14"/>
      <c r="AA391" s="14"/>
      <c r="AB391" s="14"/>
      <c r="AD391" s="14"/>
      <c r="AE391" s="14"/>
      <c r="AF391" s="14">
        <f>COUNT(AF6:AF36)</f>
        <v>31</v>
      </c>
      <c r="AG391" s="14"/>
      <c r="AH391" s="14"/>
      <c r="AI391" s="14"/>
      <c r="AJ391" s="14"/>
      <c r="AP391" s="14"/>
      <c r="AR391" s="14"/>
      <c r="AS391" s="14"/>
      <c r="AT391" s="14"/>
      <c r="AU391" s="14"/>
      <c r="AV391" s="14"/>
      <c r="AW391" s="14"/>
      <c r="AX391" s="14">
        <f>COUNT(AX6:AX36)</f>
        <v>31</v>
      </c>
      <c r="AY391" s="14">
        <f>COUNT(AY6:AY36)</f>
        <v>31</v>
      </c>
      <c r="BA391" s="14">
        <f t="shared" ref="BA391:BC391" si="285">COUNT(BA6:BA36)</f>
        <v>31</v>
      </c>
      <c r="BB391" s="14">
        <f t="shared" si="285"/>
        <v>31</v>
      </c>
      <c r="BC391" s="14">
        <f t="shared" si="285"/>
        <v>31</v>
      </c>
      <c r="BE391" s="14">
        <f>COUNT(BE6:BE36)</f>
        <v>31</v>
      </c>
      <c r="BF391" s="14">
        <f>COUNT(BF6:BF36)</f>
        <v>31</v>
      </c>
      <c r="BG391" s="14">
        <f>COUNT(BG6:BG36)</f>
        <v>31</v>
      </c>
      <c r="BI391" s="14">
        <f>COUNT(BI6:BI36)</f>
        <v>31</v>
      </c>
    </row>
    <row r="392" spans="1:86" x14ac:dyDescent="0.2">
      <c r="B392" s="1" t="s">
        <v>60</v>
      </c>
      <c r="C392" s="14"/>
      <c r="D392" s="14"/>
      <c r="F392" s="14"/>
      <c r="G392" s="14">
        <f>COUNT(G37:G65)</f>
        <v>29</v>
      </c>
      <c r="H392" s="14"/>
      <c r="I392" s="14"/>
      <c r="M392" s="14">
        <f>COUNT(M37:M65)</f>
        <v>29</v>
      </c>
      <c r="N392" s="14">
        <f>COUNT(N37:N65)</f>
        <v>29</v>
      </c>
      <c r="O392" s="14"/>
      <c r="P392" s="14"/>
      <c r="Q392" s="14"/>
      <c r="R392" s="14"/>
      <c r="S392" s="14"/>
      <c r="U392" s="14">
        <f>COUNT(U37:U65)</f>
        <v>29</v>
      </c>
      <c r="W392" s="14"/>
      <c r="X392" s="14"/>
      <c r="AA392" s="14"/>
      <c r="AB392" s="14"/>
      <c r="AD392" s="14"/>
      <c r="AE392" s="14"/>
      <c r="AF392" s="14">
        <f>COUNT(AF37:AF65)</f>
        <v>29</v>
      </c>
      <c r="AG392" s="14"/>
      <c r="AH392" s="14"/>
      <c r="AI392" s="14"/>
      <c r="AJ392" s="14"/>
      <c r="AP392" s="14"/>
      <c r="AR392" s="14"/>
      <c r="AS392" s="14"/>
      <c r="AT392" s="14"/>
      <c r="AU392" s="14"/>
      <c r="AV392" s="14"/>
      <c r="AW392" s="14"/>
      <c r="AX392" s="14">
        <f>COUNT(AX37:AX65)</f>
        <v>29</v>
      </c>
      <c r="AY392" s="14">
        <f>COUNT(AY37:AY65)</f>
        <v>29</v>
      </c>
      <c r="BA392" s="14">
        <f t="shared" ref="BA392:BC392" si="286">COUNT(BA37:BA65)</f>
        <v>29</v>
      </c>
      <c r="BB392" s="14">
        <f t="shared" si="286"/>
        <v>29</v>
      </c>
      <c r="BC392" s="14">
        <f t="shared" si="286"/>
        <v>29</v>
      </c>
      <c r="BE392" s="14">
        <f>COUNT(BE37:BE65)</f>
        <v>29</v>
      </c>
      <c r="BF392" s="14">
        <f>COUNT(BF37:BF65)</f>
        <v>29</v>
      </c>
      <c r="BG392" s="14">
        <f>COUNT(BG37:BG65)</f>
        <v>29</v>
      </c>
      <c r="BI392" s="14">
        <f>COUNT(BI37:BI65)</f>
        <v>29</v>
      </c>
    </row>
    <row r="393" spans="1:86" x14ac:dyDescent="0.2">
      <c r="B393" s="1" t="s">
        <v>61</v>
      </c>
      <c r="C393" s="14"/>
      <c r="D393" s="14"/>
      <c r="F393" s="14"/>
      <c r="G393" s="14">
        <f t="shared" ref="G393" si="287">COUNT(G66:G96)</f>
        <v>31</v>
      </c>
      <c r="H393" s="14"/>
      <c r="I393" s="14"/>
      <c r="M393" s="14">
        <f t="shared" ref="M393:N393" si="288">COUNT(M66:M96)</f>
        <v>31</v>
      </c>
      <c r="N393" s="14">
        <f t="shared" si="288"/>
        <v>31</v>
      </c>
      <c r="O393" s="14"/>
      <c r="P393" s="14"/>
      <c r="Q393" s="14"/>
      <c r="R393" s="14"/>
      <c r="S393" s="14"/>
      <c r="U393" s="14">
        <f t="shared" ref="U393" si="289">COUNT(U66:U96)</f>
        <v>31</v>
      </c>
      <c r="W393" s="14"/>
      <c r="X393" s="14"/>
      <c r="AA393" s="14"/>
      <c r="AB393" s="14"/>
      <c r="AD393" s="14"/>
      <c r="AE393" s="14"/>
      <c r="AF393" s="14">
        <f t="shared" ref="AF393" si="290">COUNT(AF66:AF96)</f>
        <v>31</v>
      </c>
      <c r="AG393" s="14"/>
      <c r="AH393" s="14"/>
      <c r="AI393" s="14"/>
      <c r="AJ393" s="14"/>
      <c r="AP393" s="14"/>
      <c r="AR393" s="14"/>
      <c r="AS393" s="14"/>
      <c r="AT393" s="14"/>
      <c r="AU393" s="14"/>
      <c r="AV393" s="14"/>
      <c r="AW393" s="14"/>
      <c r="AX393" s="14">
        <f t="shared" ref="AX393" si="291">COUNT(AX66:AX96)</f>
        <v>31</v>
      </c>
      <c r="AY393" s="14">
        <f>COUNT(AY66:AY96)</f>
        <v>31</v>
      </c>
      <c r="BA393" s="14">
        <f t="shared" ref="BA393:BC393" si="292">COUNT(BA66:BA96)</f>
        <v>31</v>
      </c>
      <c r="BB393" s="14">
        <f t="shared" si="292"/>
        <v>31</v>
      </c>
      <c r="BC393" s="14">
        <f t="shared" si="292"/>
        <v>31</v>
      </c>
      <c r="BE393" s="14">
        <f>COUNT(BE66:BE96)</f>
        <v>31</v>
      </c>
      <c r="BF393" s="14">
        <f>COUNT(BF66:BF96)</f>
        <v>31</v>
      </c>
      <c r="BG393" s="14">
        <f t="shared" ref="BG393:BI393" si="293">COUNT(BG66:BG96)</f>
        <v>31</v>
      </c>
      <c r="BI393" s="14">
        <f t="shared" si="293"/>
        <v>31</v>
      </c>
    </row>
    <row r="394" spans="1:86" x14ac:dyDescent="0.2">
      <c r="B394" s="1" t="s">
        <v>62</v>
      </c>
      <c r="C394" s="14"/>
      <c r="D394" s="14"/>
      <c r="F394" s="14"/>
      <c r="G394" s="14">
        <f t="shared" ref="G394" si="294">COUNT(G97:G126)</f>
        <v>30</v>
      </c>
      <c r="H394" s="14"/>
      <c r="I394" s="14"/>
      <c r="M394" s="14">
        <f t="shared" ref="M394:N394" si="295">COUNT(M97:M126)</f>
        <v>30</v>
      </c>
      <c r="N394" s="14">
        <f t="shared" si="295"/>
        <v>30</v>
      </c>
      <c r="O394" s="14"/>
      <c r="P394" s="14"/>
      <c r="Q394" s="14"/>
      <c r="R394" s="14"/>
      <c r="S394" s="14"/>
      <c r="U394" s="14">
        <f t="shared" ref="U394" si="296">COUNT(U97:U126)</f>
        <v>30</v>
      </c>
      <c r="W394" s="14"/>
      <c r="X394" s="14"/>
      <c r="AA394" s="14"/>
      <c r="AB394" s="14"/>
      <c r="AD394" s="14"/>
      <c r="AE394" s="14"/>
      <c r="AF394" s="14">
        <f t="shared" ref="AF394" si="297">COUNT(AF97:AF126)</f>
        <v>30</v>
      </c>
      <c r="AG394" s="14"/>
      <c r="AH394" s="14"/>
      <c r="AI394" s="14"/>
      <c r="AJ394" s="14"/>
      <c r="AP394" s="14"/>
      <c r="AR394" s="14"/>
      <c r="AS394" s="14"/>
      <c r="AT394" s="14"/>
      <c r="AU394" s="14"/>
      <c r="AV394" s="14"/>
      <c r="AW394" s="14"/>
      <c r="AX394" s="14">
        <f t="shared" ref="AX394" si="298">COUNT(AX97:AX126)</f>
        <v>30</v>
      </c>
      <c r="AY394" s="14">
        <f>COUNT(AY97:AY126)</f>
        <v>30</v>
      </c>
      <c r="BA394" s="14">
        <f t="shared" ref="BA394:BC394" si="299">COUNT(BA97:BA126)</f>
        <v>30</v>
      </c>
      <c r="BB394" s="14">
        <f t="shared" si="299"/>
        <v>30</v>
      </c>
      <c r="BC394" s="14">
        <f t="shared" si="299"/>
        <v>30</v>
      </c>
      <c r="BE394" s="14">
        <f>COUNT(BE97:BE126)</f>
        <v>30</v>
      </c>
      <c r="BF394" s="14">
        <f>COUNT(BF97:BF126)</f>
        <v>30</v>
      </c>
      <c r="BG394" s="14">
        <f t="shared" ref="BG394:BI394" si="300">COUNT(BG97:BG126)</f>
        <v>30</v>
      </c>
      <c r="BI394" s="14">
        <f t="shared" si="300"/>
        <v>30</v>
      </c>
    </row>
    <row r="395" spans="1:86" x14ac:dyDescent="0.2">
      <c r="B395" s="1" t="s">
        <v>63</v>
      </c>
      <c r="C395" s="14"/>
      <c r="D395" s="14"/>
      <c r="F395" s="14"/>
      <c r="G395" s="14">
        <f t="shared" ref="G395" si="301">COUNT(G127:G157)</f>
        <v>31</v>
      </c>
      <c r="H395" s="14"/>
      <c r="I395" s="14"/>
      <c r="M395" s="14">
        <f t="shared" ref="M395:N395" si="302">COUNT(M127:M157)</f>
        <v>31</v>
      </c>
      <c r="N395" s="14">
        <f t="shared" si="302"/>
        <v>31</v>
      </c>
      <c r="O395" s="14"/>
      <c r="P395" s="14"/>
      <c r="Q395" s="14"/>
      <c r="R395" s="14"/>
      <c r="S395" s="14"/>
      <c r="U395" s="14">
        <f t="shared" ref="U395" si="303">COUNT(U127:U157)</f>
        <v>31</v>
      </c>
      <c r="W395" s="14"/>
      <c r="X395" s="14"/>
      <c r="AA395" s="14"/>
      <c r="AB395" s="14"/>
      <c r="AD395" s="14"/>
      <c r="AE395" s="14"/>
      <c r="AF395" s="14">
        <f t="shared" ref="AF395" si="304">COUNT(AF127:AF157)</f>
        <v>31</v>
      </c>
      <c r="AG395" s="14"/>
      <c r="AH395" s="14"/>
      <c r="AI395" s="14"/>
      <c r="AJ395" s="14"/>
      <c r="AP395" s="14"/>
      <c r="AR395" s="14"/>
      <c r="AS395" s="14"/>
      <c r="AT395" s="14"/>
      <c r="AU395" s="14"/>
      <c r="AV395" s="14"/>
      <c r="AW395" s="14"/>
      <c r="AX395" s="14">
        <f t="shared" ref="AX395" si="305">COUNT(AX127:AX157)</f>
        <v>31</v>
      </c>
      <c r="AY395" s="14">
        <f>COUNT(AY127:AY157)</f>
        <v>31</v>
      </c>
      <c r="BA395" s="14">
        <f t="shared" ref="BA395:BC395" si="306">COUNT(BA127:BA157)</f>
        <v>31</v>
      </c>
      <c r="BB395" s="14">
        <f t="shared" si="306"/>
        <v>31</v>
      </c>
      <c r="BC395" s="14">
        <f t="shared" si="306"/>
        <v>31</v>
      </c>
      <c r="BE395" s="14">
        <f>COUNT(BE127:BE157)</f>
        <v>31</v>
      </c>
      <c r="BF395" s="14">
        <f>COUNT(BF127:BF157)</f>
        <v>31</v>
      </c>
      <c r="BG395" s="14">
        <f t="shared" ref="BG395:BI395" si="307">COUNT(BG127:BG157)</f>
        <v>31</v>
      </c>
      <c r="BI395" s="14">
        <f t="shared" si="307"/>
        <v>31</v>
      </c>
    </row>
    <row r="396" spans="1:86" x14ac:dyDescent="0.2">
      <c r="B396" s="1" t="s">
        <v>64</v>
      </c>
      <c r="C396" s="14"/>
      <c r="D396" s="14"/>
      <c r="F396" s="14"/>
      <c r="G396" s="14">
        <f t="shared" ref="G396" si="308">COUNT(G158:G187)</f>
        <v>30</v>
      </c>
      <c r="H396" s="14"/>
      <c r="I396" s="14"/>
      <c r="M396" s="14">
        <f t="shared" ref="M396:N396" si="309">COUNT(M158:M187)</f>
        <v>30</v>
      </c>
      <c r="N396" s="14">
        <f t="shared" si="309"/>
        <v>30</v>
      </c>
      <c r="O396" s="14"/>
      <c r="P396" s="14"/>
      <c r="Q396" s="14"/>
      <c r="R396" s="14"/>
      <c r="S396" s="14"/>
      <c r="U396" s="14">
        <f t="shared" ref="U396" si="310">COUNT(U158:U187)</f>
        <v>30</v>
      </c>
      <c r="W396" s="14"/>
      <c r="X396" s="14"/>
      <c r="AA396" s="14"/>
      <c r="AB396" s="14"/>
      <c r="AD396" s="14"/>
      <c r="AE396" s="14"/>
      <c r="AF396" s="14">
        <f t="shared" ref="AF396" si="311">COUNT(AF158:AF187)</f>
        <v>30</v>
      </c>
      <c r="AG396" s="14"/>
      <c r="AH396" s="14"/>
      <c r="AI396" s="14"/>
      <c r="AJ396" s="14"/>
      <c r="AP396" s="14"/>
      <c r="AR396" s="14"/>
      <c r="AS396" s="14"/>
      <c r="AT396" s="14"/>
      <c r="AU396" s="14"/>
      <c r="AV396" s="14"/>
      <c r="AW396" s="14"/>
      <c r="AX396" s="14">
        <f t="shared" ref="AX396" si="312">COUNT(AX158:AX187)</f>
        <v>30</v>
      </c>
      <c r="AY396" s="14">
        <f>COUNT(AY158:AY187)</f>
        <v>0</v>
      </c>
      <c r="BA396" s="14">
        <f t="shared" ref="BA396:BC396" si="313">COUNT(BA158:BA187)</f>
        <v>30</v>
      </c>
      <c r="BB396" s="14">
        <f t="shared" si="313"/>
        <v>30</v>
      </c>
      <c r="BC396" s="14">
        <f t="shared" si="313"/>
        <v>30</v>
      </c>
      <c r="BE396" s="14">
        <f>COUNT(BE158:BE187)</f>
        <v>30</v>
      </c>
      <c r="BF396" s="14">
        <f>COUNT(BF158:BF187)</f>
        <v>30</v>
      </c>
      <c r="BG396" s="14">
        <f t="shared" ref="BG396:BI396" si="314">COUNT(BG158:BG187)</f>
        <v>30</v>
      </c>
      <c r="BI396" s="14">
        <f t="shared" si="314"/>
        <v>30</v>
      </c>
    </row>
    <row r="397" spans="1:86" x14ac:dyDescent="0.2">
      <c r="B397" s="1" t="s">
        <v>65</v>
      </c>
      <c r="C397" s="14"/>
      <c r="D397" s="14"/>
      <c r="F397" s="14"/>
      <c r="G397" s="14">
        <f t="shared" ref="G397" si="315">COUNT(G188:G218)</f>
        <v>31</v>
      </c>
      <c r="H397" s="14"/>
      <c r="I397" s="14"/>
      <c r="M397" s="14">
        <f t="shared" ref="M397:N397" si="316">COUNT(M188:M218)</f>
        <v>31</v>
      </c>
      <c r="N397" s="14">
        <f t="shared" si="316"/>
        <v>31</v>
      </c>
      <c r="O397" s="14"/>
      <c r="P397" s="14"/>
      <c r="Q397" s="14"/>
      <c r="R397" s="14"/>
      <c r="S397" s="14"/>
      <c r="U397" s="14">
        <f t="shared" ref="U397" si="317">COUNT(U188:U218)</f>
        <v>31</v>
      </c>
      <c r="W397" s="14"/>
      <c r="X397" s="14"/>
      <c r="AA397" s="14"/>
      <c r="AB397" s="14"/>
      <c r="AD397" s="14"/>
      <c r="AE397" s="14"/>
      <c r="AF397" s="14">
        <f t="shared" ref="AF397" si="318">COUNT(AF188:AF218)</f>
        <v>31</v>
      </c>
      <c r="AG397" s="14"/>
      <c r="AH397" s="14"/>
      <c r="AI397" s="14"/>
      <c r="AJ397" s="14"/>
      <c r="AP397" s="14"/>
      <c r="AR397" s="14"/>
      <c r="AS397" s="14"/>
      <c r="AT397" s="14"/>
      <c r="AU397" s="14"/>
      <c r="AV397" s="14"/>
      <c r="AW397" s="14"/>
      <c r="AX397" s="14">
        <f t="shared" ref="AX397" si="319">COUNT(AX188:AX218)</f>
        <v>31</v>
      </c>
      <c r="AY397" s="14">
        <f>COUNT(AY188:AY218)</f>
        <v>0</v>
      </c>
      <c r="BA397" s="14">
        <f t="shared" ref="BA397:BC397" si="320">COUNT(BA188:BA218)</f>
        <v>31</v>
      </c>
      <c r="BB397" s="14">
        <f t="shared" si="320"/>
        <v>31</v>
      </c>
      <c r="BC397" s="14">
        <f t="shared" si="320"/>
        <v>31</v>
      </c>
      <c r="BE397" s="14">
        <f>COUNT(BE188:BE218)</f>
        <v>31</v>
      </c>
      <c r="BF397" s="14">
        <f>COUNT(BF188:BF218)</f>
        <v>31</v>
      </c>
      <c r="BG397" s="14">
        <f t="shared" ref="BG397:BI397" si="321">COUNT(BG188:BG218)</f>
        <v>31</v>
      </c>
      <c r="BI397" s="14">
        <f t="shared" si="321"/>
        <v>31</v>
      </c>
    </row>
    <row r="398" spans="1:86" x14ac:dyDescent="0.2">
      <c r="B398" s="1" t="s">
        <v>66</v>
      </c>
      <c r="C398" s="14"/>
      <c r="D398" s="14"/>
      <c r="F398" s="14"/>
      <c r="G398" s="14">
        <f t="shared" ref="G398" si="322">COUNT(G219:G249)</f>
        <v>31</v>
      </c>
      <c r="H398" s="14"/>
      <c r="I398" s="14"/>
      <c r="M398" s="14">
        <f t="shared" ref="M398:N398" si="323">COUNT(M219:M249)</f>
        <v>31</v>
      </c>
      <c r="N398" s="14">
        <f t="shared" si="323"/>
        <v>31</v>
      </c>
      <c r="O398" s="14"/>
      <c r="P398" s="14"/>
      <c r="Q398" s="14"/>
      <c r="R398" s="14"/>
      <c r="S398" s="14"/>
      <c r="U398" s="14">
        <f t="shared" ref="U398" si="324">COUNT(U219:U249)</f>
        <v>31</v>
      </c>
      <c r="W398" s="14"/>
      <c r="X398" s="14"/>
      <c r="AA398" s="14"/>
      <c r="AB398" s="14"/>
      <c r="AD398" s="14"/>
      <c r="AE398" s="14"/>
      <c r="AF398" s="14">
        <f t="shared" ref="AF398" si="325">COUNT(AF219:AF249)</f>
        <v>31</v>
      </c>
      <c r="AG398" s="14"/>
      <c r="AH398" s="14"/>
      <c r="AI398" s="14"/>
      <c r="AJ398" s="14"/>
      <c r="AP398" s="14"/>
      <c r="AR398" s="14"/>
      <c r="AS398" s="14"/>
      <c r="AT398" s="14"/>
      <c r="AU398" s="14"/>
      <c r="AV398" s="14"/>
      <c r="AW398" s="14"/>
      <c r="AX398" s="14">
        <f t="shared" ref="AX398" si="326">COUNT(AX219:AX249)</f>
        <v>31</v>
      </c>
      <c r="AY398" s="14">
        <f>COUNT(AY219:AY249)</f>
        <v>0</v>
      </c>
      <c r="BA398" s="14">
        <f t="shared" ref="BA398:BC398" si="327">COUNT(BA219:BA249)</f>
        <v>31</v>
      </c>
      <c r="BB398" s="14">
        <f t="shared" si="327"/>
        <v>31</v>
      </c>
      <c r="BC398" s="14">
        <f t="shared" si="327"/>
        <v>31</v>
      </c>
      <c r="BE398" s="14">
        <f>COUNT(BE219:BE249)</f>
        <v>31</v>
      </c>
      <c r="BF398" s="14">
        <f>COUNT(BF219:BF249)</f>
        <v>31</v>
      </c>
      <c r="BG398" s="14">
        <f t="shared" ref="BG398:BI398" si="328">COUNT(BG219:BG249)</f>
        <v>31</v>
      </c>
      <c r="BI398" s="14">
        <f t="shared" si="328"/>
        <v>31</v>
      </c>
    </row>
    <row r="399" spans="1:86" x14ac:dyDescent="0.2">
      <c r="B399" s="1" t="s">
        <v>67</v>
      </c>
      <c r="C399" s="14"/>
      <c r="D399" s="14"/>
      <c r="F399" s="14"/>
      <c r="G399" s="14">
        <f t="shared" ref="G399" si="329">COUNT(G250:G279)</f>
        <v>30</v>
      </c>
      <c r="H399" s="14"/>
      <c r="I399" s="14"/>
      <c r="M399" s="14">
        <f t="shared" ref="M399:N399" si="330">COUNT(M250:M279)</f>
        <v>30</v>
      </c>
      <c r="N399" s="14">
        <f t="shared" si="330"/>
        <v>30</v>
      </c>
      <c r="O399" s="14"/>
      <c r="P399" s="14"/>
      <c r="Q399" s="14"/>
      <c r="R399" s="14"/>
      <c r="S399" s="14"/>
      <c r="U399" s="14">
        <f t="shared" ref="U399" si="331">COUNT(U250:U279)</f>
        <v>30</v>
      </c>
      <c r="W399" s="14"/>
      <c r="X399" s="14"/>
      <c r="AA399" s="14"/>
      <c r="AB399" s="14"/>
      <c r="AD399" s="14"/>
      <c r="AE399" s="14"/>
      <c r="AF399" s="14">
        <f t="shared" ref="AF399" si="332">COUNT(AF250:AF279)</f>
        <v>30</v>
      </c>
      <c r="AG399" s="14"/>
      <c r="AH399" s="14"/>
      <c r="AI399" s="14"/>
      <c r="AJ399" s="14"/>
      <c r="AP399" s="14"/>
      <c r="AR399" s="14"/>
      <c r="AS399" s="14"/>
      <c r="AT399" s="14"/>
      <c r="AU399" s="14"/>
      <c r="AV399" s="14"/>
      <c r="AW399" s="14"/>
      <c r="AX399" s="14">
        <f t="shared" ref="AX399" si="333">COUNT(AX250:AX279)</f>
        <v>30</v>
      </c>
      <c r="AY399" s="14">
        <f>COUNT(AY250:AY279)</f>
        <v>0</v>
      </c>
      <c r="BA399" s="14">
        <f t="shared" ref="BA399:BC399" si="334">COUNT(BA250:BA279)</f>
        <v>30</v>
      </c>
      <c r="BB399" s="14">
        <f t="shared" si="334"/>
        <v>30</v>
      </c>
      <c r="BC399" s="14">
        <f t="shared" si="334"/>
        <v>30</v>
      </c>
      <c r="BE399" s="14">
        <f>COUNT(BE250:BE279)</f>
        <v>30</v>
      </c>
      <c r="BF399" s="14">
        <f>COUNT(BF250:BF279)</f>
        <v>30</v>
      </c>
      <c r="BG399" s="14">
        <f t="shared" ref="BG399:BI399" si="335">COUNT(BG250:BG279)</f>
        <v>30</v>
      </c>
      <c r="BI399" s="14">
        <f t="shared" si="335"/>
        <v>30</v>
      </c>
    </row>
    <row r="400" spans="1:86" x14ac:dyDescent="0.2">
      <c r="B400" s="1" t="s">
        <v>68</v>
      </c>
      <c r="C400" s="14"/>
      <c r="D400" s="14"/>
      <c r="F400" s="14"/>
      <c r="G400" s="14">
        <f t="shared" ref="G400" si="336">COUNT(G280:G310)</f>
        <v>31</v>
      </c>
      <c r="H400" s="14"/>
      <c r="I400" s="14"/>
      <c r="M400" s="14">
        <f t="shared" ref="M400:N400" si="337">COUNT(M280:M310)</f>
        <v>31</v>
      </c>
      <c r="N400" s="14">
        <f t="shared" si="337"/>
        <v>31</v>
      </c>
      <c r="O400" s="14"/>
      <c r="P400" s="14"/>
      <c r="Q400" s="14"/>
      <c r="R400" s="14"/>
      <c r="S400" s="14"/>
      <c r="U400" s="14">
        <f t="shared" ref="U400" si="338">COUNT(U280:U310)</f>
        <v>31</v>
      </c>
      <c r="W400" s="14"/>
      <c r="X400" s="14"/>
      <c r="AA400" s="14"/>
      <c r="AB400" s="14"/>
      <c r="AD400" s="14"/>
      <c r="AE400" s="14"/>
      <c r="AF400" s="14">
        <f t="shared" ref="AF400" si="339">COUNT(AF280:AF310)</f>
        <v>31</v>
      </c>
      <c r="AG400" s="14"/>
      <c r="AH400" s="14"/>
      <c r="AI400" s="14"/>
      <c r="AJ400" s="14"/>
      <c r="AP400" s="14"/>
      <c r="AR400" s="14"/>
      <c r="AS400" s="14"/>
      <c r="AT400" s="14"/>
      <c r="AU400" s="14"/>
      <c r="AV400" s="14"/>
      <c r="AW400" s="14"/>
      <c r="AX400" s="14">
        <f t="shared" ref="AX400" si="340">COUNT(AX280:AX310)</f>
        <v>31</v>
      </c>
      <c r="AY400" s="14">
        <f>COUNT(AY280:AY310)</f>
        <v>0</v>
      </c>
      <c r="BA400" s="14">
        <f t="shared" ref="BA400:BC400" si="341">COUNT(BA280:BA310)</f>
        <v>31</v>
      </c>
      <c r="BB400" s="14">
        <f t="shared" si="341"/>
        <v>31</v>
      </c>
      <c r="BC400" s="14">
        <f t="shared" si="341"/>
        <v>31</v>
      </c>
      <c r="BE400" s="14">
        <f>COUNT(BE280:BE310)</f>
        <v>31</v>
      </c>
      <c r="BF400" s="14">
        <f>COUNT(BF280:BF310)</f>
        <v>0</v>
      </c>
      <c r="BG400" s="14">
        <f t="shared" ref="BG400:BI400" si="342">COUNT(BG280:BG310)</f>
        <v>31</v>
      </c>
      <c r="BI400" s="14">
        <f t="shared" si="342"/>
        <v>31</v>
      </c>
    </row>
    <row r="401" spans="2:61" x14ac:dyDescent="0.2">
      <c r="B401" s="1" t="s">
        <v>69</v>
      </c>
      <c r="C401" s="14"/>
      <c r="D401" s="14"/>
      <c r="F401" s="14"/>
      <c r="G401" s="14">
        <f t="shared" ref="G401" si="343">COUNT(G311:G340)</f>
        <v>30</v>
      </c>
      <c r="H401" s="14"/>
      <c r="I401" s="14"/>
      <c r="M401" s="14">
        <f t="shared" ref="M401:N401" si="344">COUNT(M311:M340)</f>
        <v>30</v>
      </c>
      <c r="N401" s="14">
        <f t="shared" si="344"/>
        <v>30</v>
      </c>
      <c r="O401" s="14"/>
      <c r="P401" s="14"/>
      <c r="Q401" s="14"/>
      <c r="R401" s="14"/>
      <c r="S401" s="14"/>
      <c r="U401" s="14">
        <f t="shared" ref="U401" si="345">COUNT(U311:U340)</f>
        <v>30</v>
      </c>
      <c r="W401" s="14"/>
      <c r="X401" s="14"/>
      <c r="AA401" s="14"/>
      <c r="AB401" s="14"/>
      <c r="AD401" s="14"/>
      <c r="AE401" s="14"/>
      <c r="AF401" s="14">
        <f t="shared" ref="AF401" si="346">COUNT(AF311:AF340)</f>
        <v>30</v>
      </c>
      <c r="AG401" s="14"/>
      <c r="AH401" s="14"/>
      <c r="AI401" s="14"/>
      <c r="AJ401" s="14"/>
      <c r="AP401" s="14"/>
      <c r="AR401" s="14"/>
      <c r="AS401" s="14"/>
      <c r="AT401" s="14"/>
      <c r="AU401" s="14"/>
      <c r="AV401" s="14"/>
      <c r="AW401" s="14"/>
      <c r="AX401" s="14">
        <f t="shared" ref="AX401" si="347">COUNT(AX311:AX340)</f>
        <v>30</v>
      </c>
      <c r="AY401" s="14">
        <f>COUNT(AY311:AY340)</f>
        <v>24</v>
      </c>
      <c r="BA401" s="14">
        <f t="shared" ref="BA401:BC401" si="348">COUNT(BA311:BA340)</f>
        <v>30</v>
      </c>
      <c r="BB401" s="14">
        <f t="shared" si="348"/>
        <v>30</v>
      </c>
      <c r="BC401" s="14">
        <f t="shared" si="348"/>
        <v>30</v>
      </c>
      <c r="BE401" s="14">
        <f>COUNT(BE311:BE340)</f>
        <v>30</v>
      </c>
      <c r="BF401" s="14">
        <f>COUNT(BF311:BF340)</f>
        <v>0</v>
      </c>
      <c r="BG401" s="14">
        <f t="shared" ref="BG401:BI401" si="349">COUNT(BG311:BG340)</f>
        <v>30</v>
      </c>
      <c r="BI401" s="14">
        <f t="shared" si="349"/>
        <v>30</v>
      </c>
    </row>
    <row r="402" spans="2:61" x14ac:dyDescent="0.2">
      <c r="B402" s="1" t="s">
        <v>70</v>
      </c>
      <c r="C402" s="14"/>
      <c r="D402" s="14"/>
      <c r="F402" s="14"/>
      <c r="G402" s="14">
        <f t="shared" ref="G402" si="350">COUNT(G341:G371)</f>
        <v>31</v>
      </c>
      <c r="H402" s="14"/>
      <c r="I402" s="14"/>
      <c r="M402" s="14">
        <f t="shared" ref="M402:N402" si="351">COUNT(M341:M371)</f>
        <v>31</v>
      </c>
      <c r="N402" s="14">
        <f t="shared" si="351"/>
        <v>31</v>
      </c>
      <c r="O402" s="14"/>
      <c r="P402" s="14"/>
      <c r="Q402" s="14"/>
      <c r="R402" s="14"/>
      <c r="S402" s="14"/>
      <c r="U402" s="14">
        <f t="shared" ref="U402" si="352">COUNT(U341:U371)</f>
        <v>31</v>
      </c>
      <c r="W402" s="14"/>
      <c r="X402" s="14"/>
      <c r="AA402" s="14"/>
      <c r="AB402" s="14"/>
      <c r="AE402" s="14"/>
      <c r="AF402" s="14">
        <f t="shared" ref="AF402" si="353">COUNT(AF341:AF371)</f>
        <v>31</v>
      </c>
      <c r="AG402" s="14"/>
      <c r="AH402" s="14"/>
      <c r="AI402" s="14"/>
      <c r="AJ402" s="14"/>
      <c r="AP402" s="14"/>
      <c r="AR402" s="14"/>
      <c r="AS402" s="14"/>
      <c r="AT402" s="14"/>
      <c r="AU402" s="14"/>
      <c r="AV402" s="14"/>
      <c r="AW402" s="14"/>
      <c r="AX402" s="14">
        <f t="shared" ref="AX402" si="354">COUNT(AX341:AX371)</f>
        <v>31</v>
      </c>
      <c r="AY402" s="14">
        <f>COUNT(AY341:AY371)</f>
        <v>31</v>
      </c>
      <c r="BA402" s="14">
        <f t="shared" ref="BA402:BC402" si="355">COUNT(BA341:BA371)</f>
        <v>31</v>
      </c>
      <c r="BB402" s="14">
        <f t="shared" si="355"/>
        <v>31</v>
      </c>
      <c r="BC402" s="14">
        <f t="shared" si="355"/>
        <v>31</v>
      </c>
      <c r="BE402" s="14">
        <f>COUNT(BE341:BE371)</f>
        <v>31</v>
      </c>
      <c r="BF402" s="14">
        <f>COUNT(BF341:BF371)</f>
        <v>0</v>
      </c>
      <c r="BG402" s="14">
        <f t="shared" ref="BG402:BI402" si="356">COUNT(BG341:BG371)</f>
        <v>31</v>
      </c>
      <c r="BI402" s="14">
        <f t="shared" si="356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E33" sqref="E33"/>
    </sheetView>
  </sheetViews>
  <sheetFormatPr defaultRowHeight="12.75" x14ac:dyDescent="0.2"/>
  <sheetData>
    <row r="1" spans="1:6" x14ac:dyDescent="0.2">
      <c r="A1" s="1" t="s">
        <v>141</v>
      </c>
      <c r="B1" s="1"/>
      <c r="C1" s="1"/>
      <c r="D1" s="1"/>
    </row>
    <row r="2" spans="1:6" x14ac:dyDescent="0.2">
      <c r="A2" s="1" t="s">
        <v>149</v>
      </c>
      <c r="B2" s="1"/>
      <c r="C2" s="1"/>
      <c r="D2" s="1"/>
    </row>
    <row r="3" spans="1:6" x14ac:dyDescent="0.2">
      <c r="A3" s="1"/>
      <c r="B3" s="1" t="s">
        <v>123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108</v>
      </c>
      <c r="B5" s="1"/>
      <c r="C5" s="1"/>
      <c r="E5" s="1"/>
    </row>
    <row r="6" spans="1:6" x14ac:dyDescent="0.2">
      <c r="A6" s="1"/>
      <c r="B6" s="1" t="s">
        <v>88</v>
      </c>
      <c r="C6" s="1"/>
      <c r="E6" s="1"/>
    </row>
    <row r="7" spans="1:6" x14ac:dyDescent="0.2">
      <c r="A7" s="1"/>
      <c r="B7" s="1" t="s">
        <v>132</v>
      </c>
      <c r="C7" s="1"/>
      <c r="E7" s="1"/>
    </row>
    <row r="8" spans="1:6" x14ac:dyDescent="0.2">
      <c r="A8" s="1"/>
      <c r="B8" s="1" t="s">
        <v>106</v>
      </c>
      <c r="C8" s="1"/>
      <c r="E8" s="1"/>
    </row>
    <row r="9" spans="1:6" x14ac:dyDescent="0.2">
      <c r="A9" s="1"/>
      <c r="B9" s="1" t="s">
        <v>133</v>
      </c>
      <c r="C9" s="1"/>
      <c r="E9" s="1"/>
    </row>
    <row r="10" spans="1:6" x14ac:dyDescent="0.2">
      <c r="A10" s="1"/>
      <c r="B10" s="1" t="s">
        <v>134</v>
      </c>
      <c r="C10" s="1"/>
      <c r="E10" s="1"/>
      <c r="F10" s="1"/>
    </row>
    <row r="11" spans="1:6" x14ac:dyDescent="0.2">
      <c r="A11" s="1"/>
      <c r="B11" s="1"/>
      <c r="C11" s="1"/>
      <c r="E11" s="1"/>
    </row>
    <row r="12" spans="1:6" x14ac:dyDescent="0.2">
      <c r="A12" s="1" t="s">
        <v>145</v>
      </c>
      <c r="B12" s="1"/>
      <c r="C12" s="1"/>
      <c r="E12" s="1"/>
    </row>
    <row r="13" spans="1:6" x14ac:dyDescent="0.2">
      <c r="A13" s="1"/>
      <c r="B13" s="1" t="s">
        <v>135</v>
      </c>
      <c r="C13" s="1"/>
      <c r="E13" s="1"/>
    </row>
    <row r="14" spans="1:6" x14ac:dyDescent="0.2">
      <c r="A14" s="1"/>
      <c r="B14" s="1"/>
      <c r="C14" s="1"/>
      <c r="E14" s="1"/>
      <c r="F14" s="1"/>
    </row>
    <row r="15" spans="1:6" x14ac:dyDescent="0.2">
      <c r="A15" s="1" t="s">
        <v>109</v>
      </c>
      <c r="B15" s="1"/>
      <c r="C15" s="1"/>
      <c r="E15" s="1"/>
    </row>
    <row r="16" spans="1:6" x14ac:dyDescent="0.2">
      <c r="A16" s="1"/>
      <c r="B16" s="1" t="s">
        <v>142</v>
      </c>
      <c r="C16" s="1"/>
      <c r="E16" s="1"/>
    </row>
    <row r="17" spans="1:5" x14ac:dyDescent="0.2">
      <c r="A17" s="1"/>
      <c r="B17" s="1"/>
      <c r="C17" s="1"/>
      <c r="E17" s="1"/>
    </row>
    <row r="18" spans="1:5" x14ac:dyDescent="0.2">
      <c r="A18" s="1" t="s">
        <v>110</v>
      </c>
      <c r="B18" s="1"/>
      <c r="C18" s="1"/>
      <c r="E18" s="1"/>
    </row>
    <row r="19" spans="1:5" x14ac:dyDescent="0.2">
      <c r="A19" s="1"/>
      <c r="B19" s="1" t="s">
        <v>142</v>
      </c>
      <c r="C19" s="1"/>
      <c r="E19" s="1"/>
    </row>
    <row r="20" spans="1:5" x14ac:dyDescent="0.2">
      <c r="A20" s="1"/>
      <c r="B20" s="1"/>
      <c r="C20" s="1"/>
      <c r="E20" s="1"/>
    </row>
    <row r="21" spans="1:5" x14ac:dyDescent="0.2">
      <c r="A21" s="1" t="s">
        <v>136</v>
      </c>
      <c r="B21" s="1"/>
      <c r="C21" s="1"/>
      <c r="E21" s="1"/>
    </row>
    <row r="22" spans="1:5" x14ac:dyDescent="0.2">
      <c r="A22" s="1"/>
      <c r="B22" s="1" t="s">
        <v>137</v>
      </c>
      <c r="C22" s="1"/>
      <c r="E22" s="1"/>
    </row>
    <row r="23" spans="1:5" x14ac:dyDescent="0.2">
      <c r="A23" s="1"/>
      <c r="B23" s="1" t="s">
        <v>150</v>
      </c>
      <c r="C23" s="1"/>
      <c r="E23" s="1"/>
    </row>
    <row r="24" spans="1:5" x14ac:dyDescent="0.2">
      <c r="A24" s="1" t="s">
        <v>138</v>
      </c>
      <c r="B24" s="1"/>
      <c r="C24" s="1"/>
      <c r="E24" s="1"/>
    </row>
    <row r="25" spans="1:5" x14ac:dyDescent="0.2">
      <c r="A25" s="1"/>
      <c r="B25" s="1" t="s">
        <v>91</v>
      </c>
      <c r="C25" s="1"/>
      <c r="D25" s="2"/>
      <c r="E25" s="1"/>
    </row>
    <row r="26" spans="1:5" x14ac:dyDescent="0.2">
      <c r="B26" s="1" t="s">
        <v>148</v>
      </c>
      <c r="C26" s="1"/>
      <c r="E26" s="1"/>
    </row>
    <row r="27" spans="1:5" x14ac:dyDescent="0.2">
      <c r="A27" s="1" t="s">
        <v>111</v>
      </c>
      <c r="B27" s="1"/>
      <c r="C27" s="1"/>
      <c r="E27" s="1"/>
    </row>
    <row r="28" spans="1:5" x14ac:dyDescent="0.2">
      <c r="A28" s="1"/>
      <c r="B28" s="1" t="s">
        <v>139</v>
      </c>
      <c r="C28" s="1"/>
      <c r="E28" s="1"/>
    </row>
    <row r="29" spans="1:5" x14ac:dyDescent="0.2">
      <c r="A29" s="1" t="s">
        <v>112</v>
      </c>
      <c r="B29" s="1"/>
      <c r="C29" s="1"/>
      <c r="E29" s="1"/>
    </row>
    <row r="30" spans="1:5" x14ac:dyDescent="0.2">
      <c r="A30" s="1"/>
      <c r="B30" s="1" t="s">
        <v>151</v>
      </c>
      <c r="C30" s="1"/>
      <c r="E30" s="1"/>
    </row>
    <row r="31" spans="1:5" x14ac:dyDescent="0.2">
      <c r="A31" s="1"/>
      <c r="B31" s="1" t="s">
        <v>140</v>
      </c>
      <c r="C31" s="1"/>
      <c r="E31" s="1"/>
    </row>
    <row r="32" spans="1:5" x14ac:dyDescent="0.2">
      <c r="A32" s="1"/>
      <c r="C32" s="1"/>
      <c r="E32" s="1"/>
    </row>
    <row r="33" spans="1:5" x14ac:dyDescent="0.2">
      <c r="A33" s="1" t="s">
        <v>113</v>
      </c>
      <c r="B33" s="1"/>
      <c r="C33" s="1"/>
      <c r="E33" s="1"/>
    </row>
    <row r="34" spans="1:5" x14ac:dyDescent="0.2">
      <c r="A34" s="1"/>
      <c r="B34" s="1" t="s">
        <v>152</v>
      </c>
      <c r="C34" s="1"/>
      <c r="E34" s="1"/>
    </row>
    <row r="35" spans="1:5" x14ac:dyDescent="0.2">
      <c r="A35" s="1"/>
      <c r="B35" s="1"/>
      <c r="C35" s="1"/>
      <c r="E35" s="1"/>
    </row>
    <row r="36" spans="1:5" x14ac:dyDescent="0.2">
      <c r="A36" s="1" t="s">
        <v>153</v>
      </c>
      <c r="B36" s="1"/>
      <c r="C36" s="1"/>
      <c r="E36" s="1"/>
    </row>
    <row r="37" spans="1:5" x14ac:dyDescent="0.2">
      <c r="A37" s="1"/>
      <c r="B37" s="1" t="s">
        <v>92</v>
      </c>
      <c r="C37" s="1"/>
    </row>
    <row r="38" spans="1:5" x14ac:dyDescent="0.2">
      <c r="A38" s="1"/>
    </row>
    <row r="39" spans="1:5" x14ac:dyDescent="0.2">
      <c r="A39" s="1" t="s">
        <v>154</v>
      </c>
      <c r="B39" s="1"/>
    </row>
    <row r="40" spans="1:5" x14ac:dyDescent="0.2">
      <c r="A40" s="1"/>
      <c r="B40" s="1" t="s">
        <v>92</v>
      </c>
    </row>
    <row r="42" spans="1:5" x14ac:dyDescent="0.2">
      <c r="A42" s="1" t="s">
        <v>146</v>
      </c>
      <c r="B42" s="1"/>
    </row>
    <row r="43" spans="1:5" x14ac:dyDescent="0.2">
      <c r="A43" s="1"/>
      <c r="B43" s="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24" sqref="J12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2026-01-02T01:15:58Z</dcterms:modified>
</cp:coreProperties>
</file>