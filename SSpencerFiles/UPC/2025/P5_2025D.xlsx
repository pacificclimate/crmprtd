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AL153" i="1" l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K98" i="1"/>
  <c r="BA98" i="1" s="1"/>
  <c r="AL97" i="1"/>
  <c r="AK97" i="1"/>
  <c r="BA97" i="1" s="1"/>
  <c r="AL96" i="1"/>
  <c r="AK96" i="1"/>
  <c r="BA96" i="1" s="1"/>
  <c r="AL95" i="1"/>
  <c r="AK95" i="1"/>
  <c r="BA95" i="1" s="1"/>
  <c r="AL94" i="1"/>
  <c r="AK94" i="1"/>
  <c r="BA94" i="1" s="1"/>
  <c r="AL93" i="1"/>
  <c r="AK93" i="1"/>
  <c r="BA93" i="1" s="1"/>
  <c r="AL92" i="1"/>
  <c r="AK92" i="1"/>
  <c r="BA92" i="1" s="1"/>
  <c r="AL91" i="1"/>
  <c r="AK91" i="1"/>
  <c r="BA91" i="1" s="1"/>
  <c r="AL90" i="1"/>
  <c r="AK90" i="1"/>
  <c r="BA90" i="1" s="1"/>
  <c r="AL89" i="1"/>
  <c r="AK89" i="1"/>
  <c r="BA89" i="1" s="1"/>
  <c r="AL88" i="1"/>
  <c r="AK88" i="1"/>
  <c r="BA88" i="1" s="1"/>
  <c r="AL87" i="1"/>
  <c r="AK87" i="1"/>
  <c r="BA87" i="1" s="1"/>
  <c r="AL86" i="1"/>
  <c r="AK86" i="1"/>
  <c r="BA86" i="1" s="1"/>
  <c r="AL85" i="1"/>
  <c r="AK85" i="1"/>
  <c r="BA85" i="1" s="1"/>
  <c r="AL84" i="1"/>
  <c r="AK84" i="1"/>
  <c r="BA84" i="1" s="1"/>
  <c r="AL83" i="1"/>
  <c r="AK83" i="1"/>
  <c r="BA83" i="1" s="1"/>
  <c r="AL82" i="1"/>
  <c r="AK82" i="1"/>
  <c r="BA82" i="1" s="1"/>
  <c r="AL81" i="1"/>
  <c r="AK81" i="1"/>
  <c r="BA81" i="1" s="1"/>
  <c r="AL80" i="1"/>
  <c r="AK80" i="1"/>
  <c r="BA80" i="1" s="1"/>
  <c r="AL79" i="1"/>
  <c r="AK79" i="1"/>
  <c r="BA79" i="1" s="1"/>
  <c r="AL78" i="1"/>
  <c r="AK78" i="1"/>
  <c r="BA78" i="1" s="1"/>
  <c r="AL77" i="1"/>
  <c r="AK77" i="1"/>
  <c r="BA77" i="1" s="1"/>
  <c r="AL76" i="1"/>
  <c r="AK76" i="1"/>
  <c r="BA76" i="1" s="1"/>
  <c r="AL75" i="1"/>
  <c r="AK75" i="1"/>
  <c r="BA75" i="1" s="1"/>
  <c r="AL74" i="1"/>
  <c r="AK74" i="1"/>
  <c r="BA74" i="1" s="1"/>
  <c r="AL73" i="1"/>
  <c r="AK73" i="1"/>
  <c r="BA73" i="1" s="1"/>
  <c r="AL72" i="1"/>
  <c r="AK72" i="1"/>
  <c r="BA72" i="1" s="1"/>
  <c r="AL71" i="1"/>
  <c r="AK71" i="1"/>
  <c r="BA71" i="1" s="1"/>
  <c r="AL70" i="1"/>
  <c r="AK70" i="1"/>
  <c r="BA70" i="1" s="1"/>
  <c r="AL69" i="1"/>
  <c r="AK69" i="1"/>
  <c r="BA69" i="1" s="1"/>
  <c r="AL68" i="1"/>
  <c r="AK68" i="1"/>
  <c r="BA68" i="1" s="1"/>
  <c r="AL67" i="1"/>
  <c r="AK67" i="1"/>
  <c r="BA67" i="1" s="1"/>
  <c r="AL66" i="1"/>
  <c r="AK66" i="1"/>
  <c r="BA66" i="1" s="1"/>
  <c r="AL65" i="1"/>
  <c r="AK65" i="1"/>
  <c r="BA65" i="1" s="1"/>
  <c r="AL64" i="1"/>
  <c r="AK64" i="1"/>
  <c r="BA64" i="1" s="1"/>
  <c r="AL63" i="1"/>
  <c r="AK63" i="1"/>
  <c r="BA63" i="1" s="1"/>
  <c r="AL62" i="1"/>
  <c r="AK62" i="1"/>
  <c r="BA62" i="1" s="1"/>
  <c r="AL61" i="1"/>
  <c r="AK61" i="1"/>
  <c r="BA61" i="1" s="1"/>
  <c r="AL60" i="1"/>
  <c r="AK60" i="1"/>
  <c r="BA60" i="1" s="1"/>
  <c r="AL59" i="1"/>
  <c r="AK59" i="1"/>
  <c r="BA59" i="1" s="1"/>
  <c r="AL58" i="1"/>
  <c r="AK58" i="1"/>
  <c r="BA58" i="1" s="1"/>
  <c r="AL57" i="1"/>
  <c r="AK57" i="1"/>
  <c r="BA57" i="1" s="1"/>
  <c r="AL56" i="1"/>
  <c r="AK56" i="1"/>
  <c r="BA56" i="1" s="1"/>
  <c r="AL55" i="1"/>
  <c r="AK55" i="1"/>
  <c r="BA55" i="1" s="1"/>
  <c r="AL54" i="1"/>
  <c r="AK54" i="1"/>
  <c r="BA54" i="1" s="1"/>
  <c r="AL53" i="1"/>
  <c r="AK53" i="1"/>
  <c r="BA53" i="1" s="1"/>
  <c r="AL52" i="1"/>
  <c r="AK52" i="1"/>
  <c r="BA52" i="1" s="1"/>
  <c r="AL51" i="1"/>
  <c r="AK51" i="1"/>
  <c r="BA51" i="1" s="1"/>
  <c r="AL50" i="1"/>
  <c r="AK50" i="1"/>
  <c r="BA50" i="1" s="1"/>
  <c r="AL49" i="1"/>
  <c r="AK49" i="1"/>
  <c r="BA49" i="1" s="1"/>
  <c r="AL48" i="1"/>
  <c r="AK48" i="1"/>
  <c r="BA48" i="1" s="1"/>
  <c r="AL47" i="1"/>
  <c r="AK47" i="1"/>
  <c r="BA47" i="1" s="1"/>
  <c r="AL46" i="1"/>
  <c r="AK46" i="1"/>
  <c r="BA46" i="1" s="1"/>
  <c r="AL45" i="1"/>
  <c r="AK45" i="1"/>
  <c r="BA45" i="1" s="1"/>
  <c r="AL44" i="1"/>
  <c r="AK44" i="1"/>
  <c r="BA44" i="1" s="1"/>
  <c r="AL43" i="1"/>
  <c r="AK43" i="1"/>
  <c r="BA43" i="1" s="1"/>
  <c r="AL42" i="1"/>
  <c r="AK42" i="1"/>
  <c r="BA42" i="1" s="1"/>
  <c r="AL41" i="1"/>
  <c r="AK41" i="1"/>
  <c r="BA41" i="1" s="1"/>
  <c r="AL40" i="1"/>
  <c r="AK40" i="1"/>
  <c r="BA40" i="1" s="1"/>
  <c r="AL39" i="1"/>
  <c r="AK39" i="1"/>
  <c r="BA39" i="1" s="1"/>
  <c r="AL38" i="1"/>
  <c r="AK38" i="1"/>
  <c r="BA38" i="1" s="1"/>
  <c r="AL37" i="1"/>
  <c r="AK37" i="1"/>
  <c r="BA37" i="1" s="1"/>
  <c r="AL36" i="1"/>
  <c r="AK36" i="1"/>
  <c r="BA36" i="1" s="1"/>
  <c r="AL35" i="1"/>
  <c r="AK35" i="1"/>
  <c r="BA35" i="1" s="1"/>
  <c r="AL34" i="1"/>
  <c r="AK34" i="1"/>
  <c r="BA34" i="1" s="1"/>
  <c r="AL33" i="1"/>
  <c r="AK33" i="1"/>
  <c r="BA33" i="1" s="1"/>
  <c r="AL32" i="1"/>
  <c r="AK32" i="1"/>
  <c r="BA32" i="1" s="1"/>
  <c r="AL31" i="1"/>
  <c r="AK31" i="1"/>
  <c r="BA31" i="1" s="1"/>
  <c r="AL30" i="1"/>
  <c r="AK30" i="1"/>
  <c r="BA30" i="1" s="1"/>
  <c r="AL29" i="1"/>
  <c r="AK29" i="1"/>
  <c r="BA29" i="1" s="1"/>
  <c r="AL28" i="1"/>
  <c r="AK28" i="1"/>
  <c r="BA28" i="1" s="1"/>
  <c r="AL27" i="1"/>
  <c r="AK27" i="1"/>
  <c r="BA27" i="1" s="1"/>
  <c r="AL26" i="1"/>
  <c r="AK26" i="1"/>
  <c r="BA26" i="1" s="1"/>
  <c r="AL25" i="1"/>
  <c r="AK25" i="1"/>
  <c r="BA25" i="1" s="1"/>
  <c r="AL24" i="1"/>
  <c r="AK24" i="1"/>
  <c r="BA24" i="1" s="1"/>
  <c r="AL23" i="1"/>
  <c r="AK23" i="1"/>
  <c r="BA23" i="1" s="1"/>
  <c r="AL22" i="1"/>
  <c r="AK22" i="1"/>
  <c r="BA22" i="1" s="1"/>
  <c r="AL21" i="1"/>
  <c r="AK21" i="1"/>
  <c r="BA21" i="1" s="1"/>
  <c r="AL20" i="1"/>
  <c r="AK20" i="1"/>
  <c r="BA20" i="1" s="1"/>
  <c r="AL19" i="1"/>
  <c r="AK19" i="1"/>
  <c r="BA19" i="1" s="1"/>
  <c r="AL18" i="1"/>
  <c r="AK18" i="1"/>
  <c r="BA18" i="1" s="1"/>
  <c r="AL17" i="1"/>
  <c r="AK17" i="1"/>
  <c r="BA17" i="1" s="1"/>
  <c r="AL16" i="1"/>
  <c r="AK16" i="1"/>
  <c r="BA16" i="1" s="1"/>
  <c r="AL15" i="1"/>
  <c r="AK15" i="1"/>
  <c r="BA15" i="1" s="1"/>
  <c r="AL14" i="1"/>
  <c r="AK14" i="1"/>
  <c r="BA14" i="1" s="1"/>
  <c r="AL13" i="1"/>
  <c r="AK13" i="1"/>
  <c r="BA13" i="1" s="1"/>
  <c r="AL12" i="1"/>
  <c r="AK12" i="1"/>
  <c r="BA12" i="1" s="1"/>
  <c r="AL11" i="1"/>
  <c r="AK11" i="1"/>
  <c r="BA11" i="1" s="1"/>
  <c r="AL10" i="1"/>
  <c r="AK10" i="1"/>
  <c r="BA10" i="1" s="1"/>
  <c r="AL9" i="1"/>
  <c r="AK9" i="1"/>
  <c r="BA9" i="1" s="1"/>
  <c r="AL8" i="1"/>
  <c r="AK8" i="1"/>
  <c r="BA8" i="1" s="1"/>
  <c r="AL7" i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L6" i="1"/>
  <c r="AK6" i="1"/>
  <c r="BA6" i="1" s="1"/>
  <c r="AP370" i="1" l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2" i="1"/>
  <c r="AO62" i="1"/>
  <c r="AN62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P6" i="1"/>
  <c r="AO6" i="1"/>
  <c r="AN6" i="1"/>
  <c r="O1" i="1"/>
  <c r="AN1" i="1" l="1"/>
  <c r="BN40" i="1"/>
  <c r="BM40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BB62" i="1"/>
  <c r="AQ62" i="1" l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Q182" i="1"/>
  <c r="AU182" i="1"/>
  <c r="AV182" i="1"/>
  <c r="AW18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AR291" i="1"/>
  <c r="BK291" i="1" s="1"/>
  <c r="BJ291" i="1"/>
  <c r="BJ290" i="1"/>
  <c r="AR290" i="1"/>
  <c r="BK290" i="1" s="1"/>
  <c r="BJ289" i="1"/>
  <c r="AR289" i="1"/>
  <c r="BK289" i="1" s="1"/>
  <c r="BJ288" i="1"/>
  <c r="AR288" i="1"/>
  <c r="BK288" i="1" s="1"/>
  <c r="AR287" i="1"/>
  <c r="BK287" i="1" s="1"/>
  <c r="BJ287" i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383" i="1"/>
  <c r="AR249" i="1"/>
  <c r="BK249" i="1" s="1"/>
  <c r="BJ248" i="1"/>
  <c r="AR248" i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382" i="1"/>
  <c r="AR218" i="1"/>
  <c r="BK218" i="1" s="1"/>
  <c r="BJ217" i="1"/>
  <c r="AR217" i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381" i="1"/>
  <c r="AR187" i="1"/>
  <c r="BK187" i="1" s="1"/>
  <c r="BJ186" i="1"/>
  <c r="AR186" i="1"/>
  <c r="BJ185" i="1"/>
  <c r="AR185" i="1"/>
  <c r="BK185" i="1" s="1"/>
  <c r="BJ184" i="1"/>
  <c r="AR184" i="1"/>
  <c r="BK184" i="1" s="1"/>
  <c r="BJ183" i="1"/>
  <c r="AR183" i="1"/>
  <c r="BK183" i="1" s="1"/>
  <c r="BJ182" i="1"/>
  <c r="AR182" i="1"/>
  <c r="BK182" i="1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BJ180" i="1" l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379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AR378" i="1"/>
  <c r="BJ94" i="1"/>
  <c r="AR94" i="1"/>
  <c r="BK94" i="1" s="1"/>
  <c r="BJ92" i="1"/>
  <c r="AR92" i="1"/>
  <c r="BK92" i="1" s="1"/>
  <c r="AR90" i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6" i="1"/>
  <c r="AR37" i="1"/>
  <c r="BK37" i="1" s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AS381" i="1"/>
  <c r="BK186" i="1"/>
  <c r="AS383" i="1"/>
  <c r="BK248" i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380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AR89" i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377" i="1"/>
  <c r="AR65" i="1"/>
  <c r="BK65" i="1" s="1"/>
  <c r="BJ63" i="1"/>
  <c r="AR63" i="1"/>
  <c r="BK63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375" i="1"/>
  <c r="AR6" i="1"/>
  <c r="AS382" i="1"/>
  <c r="BK217" i="1"/>
  <c r="AS384" i="1"/>
  <c r="BK278" i="1"/>
  <c r="BH338" i="1"/>
  <c r="BG338" i="1"/>
  <c r="BF338" i="1"/>
  <c r="AX338" i="1"/>
  <c r="AW338" i="1"/>
  <c r="AV338" i="1"/>
  <c r="BH337" i="1"/>
  <c r="BG337" i="1"/>
  <c r="BF337" i="1"/>
  <c r="BB337" i="1"/>
  <c r="AX337" i="1"/>
  <c r="AW337" i="1"/>
  <c r="AV337" i="1"/>
  <c r="BH336" i="1"/>
  <c r="BG336" i="1"/>
  <c r="BF336" i="1"/>
  <c r="BB336" i="1"/>
  <c r="AX336" i="1"/>
  <c r="AW336" i="1"/>
  <c r="AV336" i="1"/>
  <c r="BH335" i="1"/>
  <c r="BG335" i="1"/>
  <c r="BF335" i="1"/>
  <c r="BB335" i="1"/>
  <c r="AX335" i="1"/>
  <c r="AW335" i="1"/>
  <c r="AV335" i="1"/>
  <c r="BH334" i="1"/>
  <c r="BG334" i="1"/>
  <c r="BF334" i="1"/>
  <c r="BB334" i="1"/>
  <c r="AX334" i="1"/>
  <c r="AW334" i="1"/>
  <c r="AV334" i="1"/>
  <c r="BH333" i="1"/>
  <c r="BG333" i="1"/>
  <c r="BF333" i="1"/>
  <c r="BB333" i="1"/>
  <c r="AX333" i="1"/>
  <c r="AW333" i="1"/>
  <c r="AV333" i="1"/>
  <c r="BH332" i="1"/>
  <c r="BG332" i="1"/>
  <c r="BF332" i="1"/>
  <c r="BB332" i="1"/>
  <c r="AX332" i="1"/>
  <c r="AW332" i="1"/>
  <c r="AV332" i="1"/>
  <c r="BH331" i="1"/>
  <c r="BG331" i="1"/>
  <c r="BF331" i="1"/>
  <c r="BB331" i="1"/>
  <c r="AX331" i="1"/>
  <c r="AW331" i="1"/>
  <c r="AV331" i="1"/>
  <c r="BH330" i="1"/>
  <c r="BG330" i="1"/>
  <c r="BF330" i="1"/>
  <c r="BB330" i="1"/>
  <c r="AX330" i="1"/>
  <c r="AW330" i="1"/>
  <c r="AV330" i="1"/>
  <c r="BH329" i="1"/>
  <c r="BG329" i="1"/>
  <c r="BF329" i="1"/>
  <c r="BB329" i="1"/>
  <c r="AX329" i="1"/>
  <c r="AW329" i="1"/>
  <c r="AV329" i="1"/>
  <c r="BH328" i="1"/>
  <c r="BG328" i="1"/>
  <c r="BF328" i="1"/>
  <c r="BB328" i="1"/>
  <c r="AX328" i="1"/>
  <c r="AW328" i="1"/>
  <c r="AV328" i="1"/>
  <c r="BH327" i="1"/>
  <c r="BG327" i="1"/>
  <c r="BF327" i="1"/>
  <c r="BB327" i="1"/>
  <c r="AX327" i="1"/>
  <c r="AW327" i="1"/>
  <c r="AV327" i="1"/>
  <c r="BH326" i="1"/>
  <c r="BG326" i="1"/>
  <c r="BF326" i="1"/>
  <c r="BB326" i="1"/>
  <c r="AX326" i="1"/>
  <c r="AW326" i="1"/>
  <c r="AV326" i="1"/>
  <c r="BH325" i="1"/>
  <c r="BG325" i="1"/>
  <c r="BF325" i="1"/>
  <c r="BB325" i="1"/>
  <c r="AX325" i="1"/>
  <c r="AW325" i="1"/>
  <c r="AV325" i="1"/>
  <c r="BH324" i="1"/>
  <c r="BG324" i="1"/>
  <c r="BF324" i="1"/>
  <c r="BB324" i="1"/>
  <c r="AX324" i="1"/>
  <c r="AW324" i="1"/>
  <c r="AV324" i="1"/>
  <c r="BH323" i="1"/>
  <c r="BG323" i="1"/>
  <c r="BF323" i="1"/>
  <c r="BB323" i="1"/>
  <c r="AX323" i="1"/>
  <c r="AW323" i="1"/>
  <c r="AV323" i="1"/>
  <c r="BH322" i="1"/>
  <c r="BG322" i="1"/>
  <c r="BF322" i="1"/>
  <c r="BB322" i="1"/>
  <c r="AX322" i="1"/>
  <c r="AW322" i="1"/>
  <c r="AV322" i="1"/>
  <c r="BH321" i="1"/>
  <c r="BG321" i="1"/>
  <c r="BF321" i="1"/>
  <c r="BB321" i="1"/>
  <c r="AX321" i="1"/>
  <c r="AW321" i="1"/>
  <c r="AV321" i="1"/>
  <c r="BH320" i="1"/>
  <c r="BG320" i="1"/>
  <c r="BF320" i="1"/>
  <c r="BB320" i="1"/>
  <c r="AX320" i="1"/>
  <c r="AW320" i="1"/>
  <c r="AV320" i="1"/>
  <c r="BH319" i="1"/>
  <c r="BG319" i="1"/>
  <c r="BF319" i="1"/>
  <c r="BB319" i="1"/>
  <c r="AX319" i="1"/>
  <c r="AW319" i="1"/>
  <c r="AV319" i="1"/>
  <c r="BH318" i="1"/>
  <c r="BG318" i="1"/>
  <c r="BF318" i="1"/>
  <c r="BB318" i="1"/>
  <c r="AX318" i="1"/>
  <c r="AW318" i="1"/>
  <c r="AV318" i="1"/>
  <c r="BH317" i="1"/>
  <c r="BG317" i="1"/>
  <c r="BF317" i="1"/>
  <c r="BB317" i="1"/>
  <c r="AX317" i="1"/>
  <c r="AW317" i="1"/>
  <c r="AV317" i="1"/>
  <c r="BH316" i="1"/>
  <c r="BG316" i="1"/>
  <c r="BF316" i="1"/>
  <c r="BB316" i="1"/>
  <c r="AX316" i="1"/>
  <c r="AW316" i="1"/>
  <c r="AV316" i="1"/>
  <c r="BH315" i="1"/>
  <c r="BG315" i="1"/>
  <c r="BF315" i="1"/>
  <c r="BB315" i="1"/>
  <c r="AX315" i="1"/>
  <c r="AW315" i="1"/>
  <c r="AV315" i="1"/>
  <c r="BH314" i="1"/>
  <c r="BG314" i="1"/>
  <c r="BF314" i="1"/>
  <c r="BB314" i="1"/>
  <c r="AX314" i="1"/>
  <c r="AW314" i="1"/>
  <c r="AV314" i="1"/>
  <c r="BH313" i="1"/>
  <c r="BG313" i="1"/>
  <c r="BF313" i="1"/>
  <c r="BB313" i="1"/>
  <c r="AX313" i="1"/>
  <c r="AW313" i="1"/>
  <c r="AV313" i="1"/>
  <c r="BH312" i="1"/>
  <c r="BG312" i="1"/>
  <c r="BF312" i="1"/>
  <c r="BB312" i="1"/>
  <c r="AX312" i="1"/>
  <c r="AW312" i="1"/>
  <c r="AV312" i="1"/>
  <c r="BH311" i="1"/>
  <c r="BG311" i="1"/>
  <c r="BF311" i="1"/>
  <c r="BB311" i="1"/>
  <c r="AX311" i="1"/>
  <c r="AW311" i="1"/>
  <c r="AV311" i="1"/>
  <c r="BH310" i="1"/>
  <c r="BG310" i="1"/>
  <c r="BF310" i="1"/>
  <c r="BB310" i="1"/>
  <c r="AX310" i="1"/>
  <c r="AW310" i="1"/>
  <c r="AV310" i="1"/>
  <c r="BH309" i="1"/>
  <c r="BG309" i="1"/>
  <c r="BF309" i="1"/>
  <c r="BB309" i="1"/>
  <c r="AX309" i="1"/>
  <c r="AW309" i="1"/>
  <c r="AV309" i="1"/>
  <c r="BH308" i="1"/>
  <c r="BG308" i="1"/>
  <c r="BF308" i="1"/>
  <c r="BB308" i="1"/>
  <c r="AX308" i="1"/>
  <c r="AW308" i="1"/>
  <c r="AV308" i="1"/>
  <c r="BH307" i="1"/>
  <c r="BG307" i="1"/>
  <c r="BF307" i="1"/>
  <c r="BB307" i="1"/>
  <c r="AX307" i="1"/>
  <c r="AW307" i="1"/>
  <c r="AV307" i="1"/>
  <c r="BH306" i="1"/>
  <c r="BG306" i="1"/>
  <c r="BF306" i="1"/>
  <c r="BB306" i="1"/>
  <c r="AX306" i="1"/>
  <c r="AW306" i="1"/>
  <c r="AV306" i="1"/>
  <c r="BH305" i="1"/>
  <c r="BG305" i="1"/>
  <c r="BF305" i="1"/>
  <c r="BB305" i="1"/>
  <c r="AX305" i="1"/>
  <c r="AW305" i="1"/>
  <c r="AV305" i="1"/>
  <c r="BH304" i="1"/>
  <c r="BG304" i="1"/>
  <c r="BF304" i="1"/>
  <c r="BB304" i="1"/>
  <c r="AX304" i="1"/>
  <c r="AW304" i="1"/>
  <c r="AV304" i="1"/>
  <c r="BH303" i="1"/>
  <c r="BG303" i="1"/>
  <c r="BF303" i="1"/>
  <c r="BB303" i="1"/>
  <c r="AX303" i="1"/>
  <c r="AW303" i="1"/>
  <c r="AV303" i="1"/>
  <c r="BH302" i="1"/>
  <c r="BG302" i="1"/>
  <c r="BF302" i="1"/>
  <c r="BB302" i="1"/>
  <c r="AX302" i="1"/>
  <c r="AW302" i="1"/>
  <c r="AV302" i="1"/>
  <c r="BH301" i="1"/>
  <c r="BG301" i="1"/>
  <c r="BF301" i="1"/>
  <c r="BB301" i="1"/>
  <c r="AX301" i="1"/>
  <c r="AW301" i="1"/>
  <c r="AV301" i="1"/>
  <c r="BH300" i="1"/>
  <c r="BG300" i="1"/>
  <c r="BF300" i="1"/>
  <c r="BB300" i="1"/>
  <c r="AX300" i="1"/>
  <c r="AW300" i="1"/>
  <c r="AV300" i="1"/>
  <c r="BH299" i="1"/>
  <c r="BG299" i="1"/>
  <c r="BF299" i="1"/>
  <c r="BB299" i="1"/>
  <c r="AX299" i="1"/>
  <c r="AW299" i="1"/>
  <c r="AV299" i="1"/>
  <c r="BH298" i="1"/>
  <c r="BG298" i="1"/>
  <c r="BF298" i="1"/>
  <c r="BB298" i="1"/>
  <c r="AX298" i="1"/>
  <c r="AW298" i="1"/>
  <c r="AV298" i="1"/>
  <c r="BH297" i="1"/>
  <c r="BG297" i="1"/>
  <c r="BF297" i="1"/>
  <c r="BB297" i="1"/>
  <c r="AX297" i="1"/>
  <c r="AW297" i="1"/>
  <c r="AV297" i="1"/>
  <c r="BH296" i="1"/>
  <c r="BG296" i="1"/>
  <c r="BF296" i="1"/>
  <c r="BB296" i="1"/>
  <c r="AX296" i="1"/>
  <c r="AW296" i="1"/>
  <c r="AV296" i="1"/>
  <c r="BH295" i="1"/>
  <c r="BG295" i="1"/>
  <c r="BF295" i="1"/>
  <c r="BB295" i="1"/>
  <c r="AX295" i="1"/>
  <c r="AW295" i="1"/>
  <c r="AV295" i="1"/>
  <c r="BH294" i="1"/>
  <c r="BG294" i="1"/>
  <c r="BF294" i="1"/>
  <c r="BB294" i="1"/>
  <c r="AX294" i="1"/>
  <c r="AW294" i="1"/>
  <c r="AV294" i="1"/>
  <c r="AS375" i="1" l="1"/>
  <c r="BK6" i="1"/>
  <c r="AS378" i="1"/>
  <c r="BK95" i="1"/>
  <c r="AS379" i="1"/>
  <c r="BK125" i="1"/>
  <c r="AS377" i="1"/>
  <c r="BK64" i="1"/>
  <c r="AS380" i="1"/>
  <c r="BK156" i="1"/>
  <c r="AS376" i="1"/>
  <c r="BK36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BB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BB293" i="1"/>
  <c r="AX293" i="1"/>
  <c r="BH292" i="1"/>
  <c r="BG292" i="1"/>
  <c r="BF292" i="1"/>
  <c r="BB292" i="1"/>
  <c r="AX292" i="1"/>
  <c r="BH291" i="1"/>
  <c r="BG291" i="1"/>
  <c r="BF291" i="1"/>
  <c r="BB291" i="1"/>
  <c r="AX291" i="1"/>
  <c r="BH290" i="1"/>
  <c r="BG290" i="1"/>
  <c r="BF290" i="1"/>
  <c r="BB290" i="1"/>
  <c r="AX290" i="1"/>
  <c r="BH289" i="1"/>
  <c r="BG289" i="1"/>
  <c r="BF289" i="1"/>
  <c r="BB289" i="1"/>
  <c r="AX289" i="1"/>
  <c r="BH288" i="1"/>
  <c r="BG288" i="1"/>
  <c r="BF288" i="1"/>
  <c r="BB288" i="1"/>
  <c r="AX288" i="1"/>
  <c r="BH287" i="1"/>
  <c r="BG287" i="1"/>
  <c r="BF287" i="1"/>
  <c r="BB287" i="1"/>
  <c r="AX287" i="1"/>
  <c r="BH286" i="1"/>
  <c r="BG286" i="1"/>
  <c r="BF286" i="1"/>
  <c r="BB286" i="1"/>
  <c r="AX286" i="1"/>
  <c r="BH285" i="1"/>
  <c r="BG285" i="1"/>
  <c r="BF285" i="1"/>
  <c r="BB285" i="1"/>
  <c r="AX285" i="1"/>
  <c r="BH284" i="1"/>
  <c r="BG284" i="1"/>
  <c r="BF284" i="1"/>
  <c r="BB284" i="1"/>
  <c r="AX284" i="1"/>
  <c r="BH283" i="1"/>
  <c r="BG283" i="1"/>
  <c r="BF283" i="1"/>
  <c r="BB283" i="1"/>
  <c r="AX283" i="1"/>
  <c r="BH282" i="1"/>
  <c r="BG282" i="1"/>
  <c r="BF282" i="1"/>
  <c r="BB282" i="1"/>
  <c r="AX282" i="1"/>
  <c r="BH281" i="1"/>
  <c r="BG281" i="1"/>
  <c r="BF281" i="1"/>
  <c r="BB281" i="1"/>
  <c r="AX281" i="1"/>
  <c r="BH280" i="1"/>
  <c r="BG280" i="1"/>
  <c r="BF280" i="1"/>
  <c r="BB280" i="1"/>
  <c r="AX280" i="1"/>
  <c r="BH279" i="1"/>
  <c r="BG279" i="1"/>
  <c r="BF279" i="1"/>
  <c r="BB279" i="1"/>
  <c r="AX279" i="1"/>
  <c r="BH278" i="1"/>
  <c r="BG278" i="1"/>
  <c r="BF278" i="1"/>
  <c r="BB278" i="1"/>
  <c r="AX278" i="1"/>
  <c r="BH277" i="1"/>
  <c r="BG277" i="1"/>
  <c r="BF277" i="1"/>
  <c r="BB277" i="1"/>
  <c r="AX277" i="1"/>
  <c r="BH276" i="1"/>
  <c r="BG276" i="1"/>
  <c r="BF276" i="1"/>
  <c r="BB276" i="1"/>
  <c r="AX276" i="1"/>
  <c r="BH275" i="1"/>
  <c r="BG275" i="1"/>
  <c r="BF275" i="1"/>
  <c r="BB275" i="1"/>
  <c r="AX275" i="1"/>
  <c r="BH274" i="1"/>
  <c r="BG274" i="1"/>
  <c r="BF274" i="1"/>
  <c r="BB274" i="1"/>
  <c r="AX274" i="1"/>
  <c r="BH273" i="1"/>
  <c r="BG273" i="1"/>
  <c r="BF273" i="1"/>
  <c r="BB273" i="1"/>
  <c r="AX273" i="1"/>
  <c r="BH272" i="1"/>
  <c r="BG272" i="1"/>
  <c r="BF272" i="1"/>
  <c r="BB272" i="1"/>
  <c r="AX272" i="1"/>
  <c r="BH271" i="1"/>
  <c r="BG271" i="1"/>
  <c r="BF271" i="1"/>
  <c r="BB271" i="1"/>
  <c r="AX271" i="1"/>
  <c r="BH270" i="1"/>
  <c r="BG270" i="1"/>
  <c r="BF270" i="1"/>
  <c r="BB270" i="1"/>
  <c r="AX270" i="1"/>
  <c r="BH269" i="1"/>
  <c r="BG269" i="1"/>
  <c r="BF269" i="1"/>
  <c r="BB269" i="1"/>
  <c r="AX269" i="1"/>
  <c r="BH268" i="1"/>
  <c r="BG268" i="1"/>
  <c r="BF268" i="1"/>
  <c r="BB268" i="1"/>
  <c r="AX268" i="1"/>
  <c r="BH267" i="1"/>
  <c r="BG267" i="1"/>
  <c r="BF267" i="1"/>
  <c r="BB267" i="1"/>
  <c r="AX267" i="1"/>
  <c r="BH266" i="1"/>
  <c r="BG266" i="1"/>
  <c r="BF266" i="1"/>
  <c r="BB266" i="1"/>
  <c r="AX266" i="1"/>
  <c r="BH265" i="1"/>
  <c r="BG265" i="1"/>
  <c r="BF265" i="1"/>
  <c r="BB265" i="1"/>
  <c r="AX265" i="1"/>
  <c r="BH264" i="1"/>
  <c r="BG264" i="1"/>
  <c r="BF264" i="1"/>
  <c r="BB264" i="1"/>
  <c r="AX264" i="1"/>
  <c r="BH263" i="1"/>
  <c r="BG263" i="1"/>
  <c r="BF263" i="1"/>
  <c r="BB263" i="1"/>
  <c r="AX263" i="1"/>
  <c r="BH262" i="1"/>
  <c r="BG262" i="1"/>
  <c r="BF262" i="1"/>
  <c r="BB262" i="1"/>
  <c r="AX262" i="1"/>
  <c r="BH261" i="1"/>
  <c r="BG261" i="1"/>
  <c r="BF261" i="1"/>
  <c r="BB261" i="1"/>
  <c r="AX261" i="1"/>
  <c r="BH260" i="1"/>
  <c r="BG260" i="1"/>
  <c r="BF260" i="1"/>
  <c r="BB260" i="1"/>
  <c r="AX260" i="1"/>
  <c r="BH259" i="1"/>
  <c r="BG259" i="1"/>
  <c r="BF259" i="1"/>
  <c r="BB259" i="1"/>
  <c r="AX259" i="1"/>
  <c r="BH258" i="1"/>
  <c r="BG258" i="1"/>
  <c r="BF258" i="1"/>
  <c r="BB258" i="1"/>
  <c r="AX258" i="1"/>
  <c r="BH257" i="1"/>
  <c r="BG257" i="1"/>
  <c r="BF257" i="1"/>
  <c r="BB257" i="1"/>
  <c r="AX257" i="1"/>
  <c r="BH256" i="1"/>
  <c r="BG256" i="1"/>
  <c r="BF256" i="1"/>
  <c r="BB256" i="1"/>
  <c r="AX256" i="1"/>
  <c r="BH255" i="1"/>
  <c r="BG255" i="1"/>
  <c r="BF255" i="1"/>
  <c r="BB255" i="1"/>
  <c r="AX255" i="1"/>
  <c r="BH254" i="1"/>
  <c r="BG254" i="1"/>
  <c r="BF254" i="1"/>
  <c r="BB254" i="1"/>
  <c r="AX254" i="1"/>
  <c r="BH253" i="1"/>
  <c r="BG253" i="1"/>
  <c r="BF253" i="1"/>
  <c r="BB253" i="1"/>
  <c r="AX253" i="1"/>
  <c r="BH252" i="1"/>
  <c r="BG252" i="1"/>
  <c r="BF252" i="1"/>
  <c r="BB252" i="1"/>
  <c r="AX252" i="1"/>
  <c r="BH251" i="1"/>
  <c r="BG251" i="1"/>
  <c r="BF251" i="1"/>
  <c r="BB251" i="1"/>
  <c r="AX251" i="1"/>
  <c r="BH250" i="1"/>
  <c r="BG250" i="1"/>
  <c r="BF250" i="1"/>
  <c r="BB250" i="1"/>
  <c r="AX250" i="1"/>
  <c r="BH249" i="1"/>
  <c r="BG249" i="1"/>
  <c r="BF249" i="1"/>
  <c r="BB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W90" i="1"/>
  <c r="BH89" i="1"/>
  <c r="BG89" i="1"/>
  <c r="BF89" i="1"/>
  <c r="AW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AQ332" i="1"/>
  <c r="AZ256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50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B370" i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AR319" i="1"/>
  <c r="BK319" i="1" s="1"/>
  <c r="BJ319" i="1"/>
  <c r="AR335" i="1"/>
  <c r="BK335" i="1" s="1"/>
  <c r="BJ335" i="1"/>
  <c r="BJ308" i="1"/>
  <c r="AR308" i="1"/>
  <c r="BK308" i="1" s="1"/>
  <c r="BJ312" i="1"/>
  <c r="AR312" i="1"/>
  <c r="BK312" i="1" s="1"/>
  <c r="AR343" i="1"/>
  <c r="BK343" i="1" s="1"/>
  <c r="BJ343" i="1"/>
  <c r="AR331" i="1"/>
  <c r="BK331" i="1" s="1"/>
  <c r="BJ331" i="1"/>
  <c r="AR327" i="1"/>
  <c r="BK327" i="1" s="1"/>
  <c r="BJ327" i="1"/>
  <c r="AR323" i="1"/>
  <c r="BK323" i="1" s="1"/>
  <c r="BJ323" i="1"/>
  <c r="AR315" i="1"/>
  <c r="BK315" i="1" s="1"/>
  <c r="BJ315" i="1"/>
  <c r="AR311" i="1"/>
  <c r="BK311" i="1" s="1"/>
  <c r="BJ311" i="1"/>
  <c r="AR307" i="1"/>
  <c r="BK307" i="1" s="1"/>
  <c r="BJ307" i="1"/>
  <c r="AR299" i="1"/>
  <c r="BK299" i="1" s="1"/>
  <c r="BJ299" i="1"/>
  <c r="AR295" i="1"/>
  <c r="BK295" i="1" s="1"/>
  <c r="BJ295" i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K294" i="1" s="1"/>
  <c r="AR38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AR303" i="1"/>
  <c r="BK303" i="1" s="1"/>
  <c r="BJ303" i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AS385" i="1" l="1"/>
  <c r="BK309" i="1"/>
  <c r="BJ362" i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AR355" i="1"/>
  <c r="BK355" i="1" s="1"/>
  <c r="BJ355" i="1"/>
  <c r="BJ349" i="1"/>
  <c r="AR349" i="1"/>
  <c r="BK349" i="1" s="1"/>
  <c r="BJ348" i="1"/>
  <c r="AR348" i="1"/>
  <c r="BK348" i="1" s="1"/>
  <c r="AR339" i="1"/>
  <c r="BJ339" i="1"/>
  <c r="AR359" i="1"/>
  <c r="BK359" i="1" s="1"/>
  <c r="BJ359" i="1"/>
  <c r="AR367" i="1"/>
  <c r="BK367" i="1" s="1"/>
  <c r="BJ367" i="1"/>
  <c r="AR351" i="1"/>
  <c r="BK351" i="1" s="1"/>
  <c r="BJ351" i="1"/>
  <c r="AR385" i="1"/>
  <c r="BJ358" i="1"/>
  <c r="AR358" i="1"/>
  <c r="BK358" i="1" s="1"/>
  <c r="BJ354" i="1"/>
  <c r="AR354" i="1"/>
  <c r="BK354" i="1" s="1"/>
  <c r="AR363" i="1"/>
  <c r="BK363" i="1" s="1"/>
  <c r="BJ363" i="1"/>
  <c r="BJ357" i="1"/>
  <c r="AR357" i="1"/>
  <c r="BK357" i="1" s="1"/>
  <c r="BJ356" i="1"/>
  <c r="AR356" i="1"/>
  <c r="BK356" i="1" s="1"/>
  <c r="AR347" i="1"/>
  <c r="BK347" i="1" s="1"/>
  <c r="BJ347" i="1"/>
  <c r="BJ341" i="1"/>
  <c r="AR341" i="1"/>
  <c r="BK341" i="1" s="1"/>
  <c r="BJ340" i="1"/>
  <c r="AR340" i="1"/>
  <c r="BK340" i="1" s="1"/>
  <c r="AR386" i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BB140" i="1"/>
  <c r="BB139" i="1"/>
  <c r="BB138" i="1"/>
  <c r="BB137" i="1"/>
  <c r="BB136" i="1"/>
  <c r="BB135" i="1"/>
  <c r="BB134" i="1"/>
  <c r="BB133" i="1"/>
  <c r="BB132" i="1"/>
  <c r="BB131" i="1"/>
  <c r="BB130" i="1"/>
  <c r="BB142" i="1"/>
  <c r="BB141" i="1"/>
  <c r="AK377" i="1"/>
  <c r="AK376" i="1"/>
  <c r="AK375" i="1"/>
  <c r="AK386" i="1"/>
  <c r="AK385" i="1"/>
  <c r="AK384" i="1"/>
  <c r="AK383" i="1"/>
  <c r="AK382" i="1"/>
  <c r="AK381" i="1"/>
  <c r="AK380" i="1"/>
  <c r="AK379" i="1"/>
  <c r="AS386" i="1" l="1"/>
  <c r="BK339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Q386" i="1"/>
  <c r="AP386" i="1"/>
  <c r="AO386" i="1"/>
  <c r="AQ385" i="1"/>
  <c r="AP385" i="1"/>
  <c r="AO385" i="1"/>
  <c r="AQ384" i="1"/>
  <c r="AP384" i="1"/>
  <c r="AO384" i="1"/>
  <c r="AQ383" i="1"/>
  <c r="AP383" i="1"/>
  <c r="AO383" i="1"/>
  <c r="AQ377" i="1"/>
  <c r="AP377" i="1"/>
  <c r="AO377" i="1"/>
  <c r="AQ376" i="1"/>
  <c r="AP376" i="1"/>
  <c r="AO376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K395" i="1" l="1"/>
  <c r="AK394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AL378" i="1" l="1"/>
  <c r="AL393" i="1"/>
  <c r="AL394" i="1"/>
  <c r="AL379" i="1"/>
  <c r="AL395" i="1"/>
  <c r="AL380" i="1"/>
  <c r="AK393" i="1"/>
  <c r="AT7" i="1" l="1"/>
  <c r="BB395" i="1"/>
  <c r="BB380" i="1"/>
  <c r="BB393" i="1"/>
  <c r="BB378" i="1"/>
  <c r="BB394" i="1"/>
  <c r="BB379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<sst xmlns="http://schemas.openxmlformats.org/spreadsheetml/2006/main" count="210" uniqueCount="114">
  <si>
    <t>DOY</t>
  </si>
  <si>
    <t>Date</t>
  </si>
  <si>
    <t>Tair</t>
  </si>
  <si>
    <t>Site</t>
  </si>
  <si>
    <t>Comments</t>
  </si>
  <si>
    <t>Snow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</si>
  <si>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</si>
  <si>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</si>
  <si>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</si>
  <si>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</si>
  <si>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</si>
  <si>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</si>
  <si>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</si>
  <si>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</si>
  <si>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</si>
  <si>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</si>
  <si>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</si>
  <si>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</si>
  <si>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C</t>
  </si>
  <si>
    <t>Ave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</si>
  <si>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</si>
  <si>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</si>
  <si>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</si>
  <si>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</si>
  <si>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</si>
  <si>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</si>
  <si>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</si>
  <si>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</si>
  <si>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</si>
  <si>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CSI SR50A at 2.7 m</t>
  </si>
  <si>
    <t>Meta data for PC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</si>
  <si>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</si>
  <si>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</si>
  <si>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</si>
  <si>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</si>
  <si>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</si>
  <si>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</si>
  <si>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</si>
  <si>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</si>
  <si>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</si>
  <si>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</si>
  <si>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</si>
  <si>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</si>
  <si>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</si>
  <si>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</si>
  <si>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</si>
  <si>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</si>
  <si>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</si>
  <si>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</si>
  <si>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</si>
  <si>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</si>
  <si>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</si>
  <si>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</si>
  <si>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</si>
  <si>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</si>
  <si>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</si>
  <si>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</si>
  <si>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</si>
  <si>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</si>
  <si>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</si>
  <si>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</si>
  <si>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</si>
  <si>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</si>
  <si>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</si>
  <si>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</si>
  <si>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</si>
  <si>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</si>
  <si>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</si>
  <si>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</si>
  <si>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</si>
  <si>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</si>
  <si>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</si>
  <si>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</si>
  <si>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</si>
  <si>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</si>
  <si>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</si>
  <si>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</si>
  <si>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IRTSurfX</t>
  </si>
  <si>
    <t>IRTSurfn</t>
  </si>
  <si>
    <t>m3/m3</t>
  </si>
  <si>
    <t>SoilH2O</t>
  </si>
  <si>
    <t>Adjusted RH %</t>
  </si>
  <si>
    <t>Maximum</t>
  </si>
  <si>
    <t>Minimum</t>
  </si>
  <si>
    <t>Average</t>
  </si>
  <si>
    <t>Tpanel</t>
  </si>
  <si>
    <t>Tsoil005</t>
  </si>
  <si>
    <t>SR50</t>
  </si>
  <si>
    <t>Tsurf_IRT</t>
  </si>
  <si>
    <t>Body_IRT</t>
  </si>
  <si>
    <t>Dist</t>
  </si>
  <si>
    <t>Dist (m)</t>
  </si>
  <si>
    <t>Avg (C)</t>
  </si>
  <si>
    <t>Max (C)</t>
  </si>
  <si>
    <t>Min (C)</t>
  </si>
  <si>
    <t>Cts</t>
  </si>
  <si>
    <t>Ave C</t>
  </si>
  <si>
    <t xml:space="preserve">Penticton Creek 2025 Site P5 - daily data </t>
  </si>
  <si>
    <t>Problems 25 Mar - ?. Tmax OK but average and minimum wrong</t>
  </si>
  <si>
    <t>Not know reason and why clears up then appears in subsequent years.</t>
  </si>
  <si>
    <t>Problems 25 Mar - ?. RHmax OK but average and minimum wrong</t>
  </si>
  <si>
    <t>m</t>
  </si>
  <si>
    <t>Snow depth m</t>
  </si>
  <si>
    <t>Soil moisture m3/m3</t>
  </si>
  <si>
    <t>vpdX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</si>
  <si>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</si>
  <si>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</si>
  <si>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</si>
  <si>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HMP155A in shield at 2.5 m.</t>
  </si>
  <si>
    <t>HM155A in shield at 2.5 m.</t>
  </si>
  <si>
    <t xml:space="preserve">CS616 TDR probe </t>
  </si>
  <si>
    <t>Last edit 11/12/25</t>
  </si>
  <si>
    <t>NAN</t>
  </si>
  <si>
    <t>Last edit 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</si>
</sst>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5" fontId="5" fillId="0" borderId="0" xfId="0" applyNumberFormat="1" applyFont="1"/>
    <xf numFmtId="164" fontId="5" fillId="0" borderId="0" xfId="0" applyNumberFormat="1" applyFont="1"/>
    <xf numFmtId="0" fontId="5" fillId="0" borderId="0" xfId="0" applyFont="1" applyFill="1"/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0" borderId="0" xfId="0" applyFont="1" applyFill="1" applyAlignment="1" applyProtection="1">
      <alignment horizontal="center"/>
    </xf>
    <xf numFmtId="165" fontId="5" fillId="0" borderId="0" xfId="0" applyNumberFormat="1" applyFont="1"/>
    <xf numFmtId="166" fontId="5" fillId="0" borderId="0" xfId="0" applyNumberFormat="1" applyFont="1" applyFill="1"/>
    <xf numFmtId="167" fontId="5" fillId="0" borderId="0" xfId="0" applyNumberFormat="1" applyFont="1"/>
    <xf numFmtId="166" fontId="5" fillId="0" borderId="0" xfId="0" applyNumberFormat="1" applyFont="1" applyFill="1" applyBorder="1"/>
    <xf numFmtId="167" fontId="5" fillId="0" borderId="0" xfId="0" applyNumberFormat="1" applyFont="1" applyFill="1" applyBorder="1"/>
    <xf numFmtId="1" fontId="5" fillId="0" borderId="0" xfId="0" applyNumberFormat="1" applyFont="1"/>
    <xf numFmtId="0" fontId="3" fillId="0" borderId="0" xfId="0" applyFont="1"/>
    <xf numFmtId="165" fontId="5" fillId="0" borderId="0" xfId="0" applyNumberFormat="1" applyFont="1" applyProtection="1"/>
    <xf numFmtId="0" fontId="5" fillId="0" borderId="0" xfId="1" applyFont="1"/>
    <xf numFmtId="164" fontId="5" fillId="0" borderId="0" xfId="0" applyNumberFormat="1" applyFont="1" applyProtection="1"/>
    <xf numFmtId="1" fontId="5" fillId="0" borderId="0" xfId="0" applyNumberFormat="1" applyFont="1" applyProtection="1"/>
    <xf numFmtId="1" fontId="5" fillId="0" borderId="0" xfId="0" applyNumberFormat="1" applyFont="1" applyBorder="1"/>
    <xf numFmtId="0" fontId="2" fillId="0" borderId="0" xfId="0" applyFont="1"/>
    <xf numFmtId="0" fontId="5" fillId="0" borderId="0" xfId="0" applyFont="1" applyProtection="1"/>
    <xf numFmtId="167" fontId="5" fillId="0" borderId="0" xfId="0" applyNumberFormat="1" applyFont="1" applyFill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-6.6520000000000001</c:v>
                </c:pt>
                <c:pt idx="1">
                  <c:v>-6.9779999999999998</c:v>
                </c:pt>
                <c:pt idx="2">
                  <c:v>-3.2570000000000001</c:v>
                </c:pt>
                <c:pt idx="3">
                  <c:v>-1.6850000000000001</c:v>
                </c:pt>
                <c:pt idx="4">
                  <c:v>-1.2629999999999999</c:v>
                </c:pt>
                <c:pt idx="5">
                  <c:v>-3.21</c:v>
                </c:pt>
                <c:pt idx="6">
                  <c:v>-5.7750000000000004</c:v>
                </c:pt>
                <c:pt idx="7">
                  <c:v>2.7E-2</c:v>
                </c:pt>
                <c:pt idx="8">
                  <c:v>-2.5859999999999999</c:v>
                </c:pt>
                <c:pt idx="9">
                  <c:v>-2.2989999999999999</c:v>
                </c:pt>
                <c:pt idx="10">
                  <c:v>-3.5019999999999998</c:v>
                </c:pt>
                <c:pt idx="11">
                  <c:v>-4.79</c:v>
                </c:pt>
                <c:pt idx="12">
                  <c:v>-2.34</c:v>
                </c:pt>
                <c:pt idx="13">
                  <c:v>2.6179999999999999</c:v>
                </c:pt>
                <c:pt idx="14">
                  <c:v>1.083</c:v>
                </c:pt>
                <c:pt idx="15">
                  <c:v>-1.6719999999999999</c:v>
                </c:pt>
                <c:pt idx="16">
                  <c:v>-7.0229999999999997</c:v>
                </c:pt>
                <c:pt idx="17">
                  <c:v>-8.9499999999999993</c:v>
                </c:pt>
                <c:pt idx="18">
                  <c:v>-10.35</c:v>
                </c:pt>
                <c:pt idx="19">
                  <c:v>-9.52</c:v>
                </c:pt>
                <c:pt idx="20">
                  <c:v>-4.5019999999999998</c:v>
                </c:pt>
                <c:pt idx="21">
                  <c:v>-4.2729999999999997</c:v>
                </c:pt>
                <c:pt idx="22">
                  <c:v>-2.3410000000000002</c:v>
                </c:pt>
                <c:pt idx="23">
                  <c:v>-7.1219999999999999</c:v>
                </c:pt>
                <c:pt idx="24">
                  <c:v>-9.31</c:v>
                </c:pt>
                <c:pt idx="25">
                  <c:v>-2.427</c:v>
                </c:pt>
                <c:pt idx="26">
                  <c:v>0.71399999999999997</c:v>
                </c:pt>
                <c:pt idx="27">
                  <c:v>4.0869999999999997</c:v>
                </c:pt>
                <c:pt idx="28">
                  <c:v>3.57</c:v>
                </c:pt>
                <c:pt idx="29">
                  <c:v>2.0550000000000002</c:v>
                </c:pt>
                <c:pt idx="30">
                  <c:v>-2.214</c:v>
                </c:pt>
                <c:pt idx="31">
                  <c:v>-3.4609999999999999</c:v>
                </c:pt>
                <c:pt idx="32">
                  <c:v>-7.9660000000000002</c:v>
                </c:pt>
                <c:pt idx="33">
                  <c:v>-9.61</c:v>
                </c:pt>
                <c:pt idx="34">
                  <c:v>-14.26</c:v>
                </c:pt>
                <c:pt idx="35">
                  <c:v>-13.39</c:v>
                </c:pt>
                <c:pt idx="36">
                  <c:v>-10.6</c:v>
                </c:pt>
                <c:pt idx="37">
                  <c:v>-7.569</c:v>
                </c:pt>
                <c:pt idx="38">
                  <c:v>-10.4</c:v>
                </c:pt>
                <c:pt idx="39">
                  <c:v>-11.97</c:v>
                </c:pt>
                <c:pt idx="40">
                  <c:v>-15.48</c:v>
                </c:pt>
                <c:pt idx="41">
                  <c:v>-14.08</c:v>
                </c:pt>
                <c:pt idx="42">
                  <c:v>-10.38</c:v>
                </c:pt>
                <c:pt idx="43">
                  <c:v>-8.5500000000000007</c:v>
                </c:pt>
                <c:pt idx="44">
                  <c:v>-6.4589999999999996</c:v>
                </c:pt>
                <c:pt idx="45">
                  <c:v>-4.84</c:v>
                </c:pt>
                <c:pt idx="46">
                  <c:v>-5.1769999999999996</c:v>
                </c:pt>
                <c:pt idx="47">
                  <c:v>-4.54</c:v>
                </c:pt>
                <c:pt idx="48">
                  <c:v>-4.3129999999999997</c:v>
                </c:pt>
                <c:pt idx="49">
                  <c:v>-4.0730000000000004</c:v>
                </c:pt>
                <c:pt idx="50">
                  <c:v>-0.11600000000000001</c:v>
                </c:pt>
                <c:pt idx="51">
                  <c:v>-2.1739999999999999</c:v>
                </c:pt>
                <c:pt idx="52">
                  <c:v>0.93899999999999995</c:v>
                </c:pt>
                <c:pt idx="53">
                  <c:v>1.3089999999999999</c:v>
                </c:pt>
                <c:pt idx="54">
                  <c:v>-1.843</c:v>
                </c:pt>
                <c:pt idx="55">
                  <c:v>0.123</c:v>
                </c:pt>
                <c:pt idx="56">
                  <c:v>1.2270000000000001</c:v>
                </c:pt>
                <c:pt idx="57">
                  <c:v>3.4359999999999999</c:v>
                </c:pt>
                <c:pt idx="58">
                  <c:v>5.0030000000000001</c:v>
                </c:pt>
                <c:pt idx="59">
                  <c:v>6.3460000000000001</c:v>
                </c:pt>
                <c:pt idx="60">
                  <c:v>5.3860000000000001</c:v>
                </c:pt>
                <c:pt idx="61">
                  <c:v>1.0349999999999999</c:v>
                </c:pt>
                <c:pt idx="62">
                  <c:v>2.5219999999999998</c:v>
                </c:pt>
                <c:pt idx="63">
                  <c:v>-0.35599999999999998</c:v>
                </c:pt>
                <c:pt idx="64">
                  <c:v>-0.35599999999999998</c:v>
                </c:pt>
                <c:pt idx="65">
                  <c:v>2.9</c:v>
                </c:pt>
                <c:pt idx="66">
                  <c:v>3.242</c:v>
                </c:pt>
                <c:pt idx="67">
                  <c:v>4.5709999999999997</c:v>
                </c:pt>
                <c:pt idx="68">
                  <c:v>-1.1100000000000001</c:v>
                </c:pt>
                <c:pt idx="69">
                  <c:v>-2.8849999999999998</c:v>
                </c:pt>
                <c:pt idx="70">
                  <c:v>-0.21199999999999999</c:v>
                </c:pt>
                <c:pt idx="71">
                  <c:v>-1.9390000000000001</c:v>
                </c:pt>
                <c:pt idx="72">
                  <c:v>-3.5059999999999998</c:v>
                </c:pt>
                <c:pt idx="73">
                  <c:v>-2.8250000000000002</c:v>
                </c:pt>
                <c:pt idx="74">
                  <c:v>-1.649</c:v>
                </c:pt>
                <c:pt idx="75">
                  <c:v>-1.589</c:v>
                </c:pt>
                <c:pt idx="76">
                  <c:v>-1.556</c:v>
                </c:pt>
                <c:pt idx="77">
                  <c:v>-1.944</c:v>
                </c:pt>
                <c:pt idx="78">
                  <c:v>1.1659999999999999</c:v>
                </c:pt>
                <c:pt idx="79">
                  <c:v>1.3089999999999999</c:v>
                </c:pt>
                <c:pt idx="80">
                  <c:v>-0.88500000000000001</c:v>
                </c:pt>
                <c:pt idx="81">
                  <c:v>1.899</c:v>
                </c:pt>
                <c:pt idx="82">
                  <c:v>2.7509999999999999</c:v>
                </c:pt>
                <c:pt idx="83">
                  <c:v>9.8800000000000008</c:v>
                </c:pt>
                <c:pt idx="84">
                  <c:v>11.33</c:v>
                </c:pt>
                <c:pt idx="85">
                  <c:v>5.194</c:v>
                </c:pt>
                <c:pt idx="86">
                  <c:v>4.1390000000000002</c:v>
                </c:pt>
                <c:pt idx="87">
                  <c:v>3.8029999999999999</c:v>
                </c:pt>
                <c:pt idx="88">
                  <c:v>4.9550000000000001</c:v>
                </c:pt>
                <c:pt idx="89">
                  <c:v>1.405</c:v>
                </c:pt>
                <c:pt idx="90">
                  <c:v>2.52</c:v>
                </c:pt>
                <c:pt idx="91">
                  <c:v>1.6930000000000001</c:v>
                </c:pt>
                <c:pt idx="92">
                  <c:v>1.9319999999999999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-7.7919999999999998</c:v>
                </c:pt>
                <c:pt idx="1">
                  <c:v>-9.6199999999999992</c:v>
                </c:pt>
                <c:pt idx="2">
                  <c:v>-9.14</c:v>
                </c:pt>
                <c:pt idx="3">
                  <c:v>-5.5129999999999999</c:v>
                </c:pt>
                <c:pt idx="4">
                  <c:v>-7.5279999999999996</c:v>
                </c:pt>
                <c:pt idx="5">
                  <c:v>-9.81</c:v>
                </c:pt>
                <c:pt idx="6">
                  <c:v>-12.41</c:v>
                </c:pt>
                <c:pt idx="7">
                  <c:v>-7.5990000000000002</c:v>
                </c:pt>
                <c:pt idx="8">
                  <c:v>-8.67</c:v>
                </c:pt>
                <c:pt idx="9">
                  <c:v>-7.556</c:v>
                </c:pt>
                <c:pt idx="10">
                  <c:v>-5.8410000000000002</c:v>
                </c:pt>
                <c:pt idx="11">
                  <c:v>-7.7919999999999998</c:v>
                </c:pt>
                <c:pt idx="12">
                  <c:v>-10.66</c:v>
                </c:pt>
                <c:pt idx="13">
                  <c:v>-9.85</c:v>
                </c:pt>
                <c:pt idx="14">
                  <c:v>-6.5190000000000001</c:v>
                </c:pt>
                <c:pt idx="15">
                  <c:v>-9.14</c:v>
                </c:pt>
                <c:pt idx="16">
                  <c:v>-11.14</c:v>
                </c:pt>
                <c:pt idx="17">
                  <c:v>-18.02</c:v>
                </c:pt>
                <c:pt idx="18">
                  <c:v>-18.489999999999998</c:v>
                </c:pt>
                <c:pt idx="19">
                  <c:v>-21.38</c:v>
                </c:pt>
                <c:pt idx="20">
                  <c:v>-14.95</c:v>
                </c:pt>
                <c:pt idx="21">
                  <c:v>-15.39</c:v>
                </c:pt>
                <c:pt idx="22">
                  <c:v>-11.99</c:v>
                </c:pt>
                <c:pt idx="23">
                  <c:v>-12.57</c:v>
                </c:pt>
                <c:pt idx="24">
                  <c:v>-17.350000000000001</c:v>
                </c:pt>
                <c:pt idx="25">
                  <c:v>-15.53</c:v>
                </c:pt>
                <c:pt idx="26">
                  <c:v>-11.32</c:v>
                </c:pt>
                <c:pt idx="27">
                  <c:v>-10.94</c:v>
                </c:pt>
                <c:pt idx="28">
                  <c:v>-12.57</c:v>
                </c:pt>
                <c:pt idx="29">
                  <c:v>-5.609</c:v>
                </c:pt>
                <c:pt idx="30">
                  <c:v>-6.1779999999999999</c:v>
                </c:pt>
                <c:pt idx="31">
                  <c:v>-12.44</c:v>
                </c:pt>
                <c:pt idx="32">
                  <c:v>-17.88</c:v>
                </c:pt>
                <c:pt idx="33">
                  <c:v>-17.97</c:v>
                </c:pt>
                <c:pt idx="34">
                  <c:v>-21.88</c:v>
                </c:pt>
                <c:pt idx="35">
                  <c:v>-24.83</c:v>
                </c:pt>
                <c:pt idx="36">
                  <c:v>-19.21</c:v>
                </c:pt>
                <c:pt idx="37">
                  <c:v>-20.64</c:v>
                </c:pt>
                <c:pt idx="38">
                  <c:v>-19.29</c:v>
                </c:pt>
                <c:pt idx="39">
                  <c:v>-21.21</c:v>
                </c:pt>
                <c:pt idx="40">
                  <c:v>-22.68</c:v>
                </c:pt>
                <c:pt idx="41">
                  <c:v>-25.26</c:v>
                </c:pt>
                <c:pt idx="42">
                  <c:v>-26.16</c:v>
                </c:pt>
                <c:pt idx="43">
                  <c:v>-20.92</c:v>
                </c:pt>
                <c:pt idx="44">
                  <c:v>-11.8</c:v>
                </c:pt>
                <c:pt idx="45">
                  <c:v>-9.65</c:v>
                </c:pt>
                <c:pt idx="46">
                  <c:v>-9.0399999999999991</c:v>
                </c:pt>
                <c:pt idx="47">
                  <c:v>-7.609</c:v>
                </c:pt>
                <c:pt idx="48">
                  <c:v>-7.2279999999999998</c:v>
                </c:pt>
                <c:pt idx="49">
                  <c:v>-6.3159999999999998</c:v>
                </c:pt>
                <c:pt idx="50">
                  <c:v>-6.76</c:v>
                </c:pt>
                <c:pt idx="51">
                  <c:v>-5.6520000000000001</c:v>
                </c:pt>
                <c:pt idx="52">
                  <c:v>-4.2210000000000001</c:v>
                </c:pt>
                <c:pt idx="53">
                  <c:v>-2.371</c:v>
                </c:pt>
                <c:pt idx="54">
                  <c:v>-5.8010000000000002</c:v>
                </c:pt>
                <c:pt idx="55">
                  <c:v>-3.843</c:v>
                </c:pt>
                <c:pt idx="56">
                  <c:v>-6.952</c:v>
                </c:pt>
                <c:pt idx="57">
                  <c:v>-6.4119999999999999</c:v>
                </c:pt>
                <c:pt idx="58">
                  <c:v>-3.4140000000000001</c:v>
                </c:pt>
                <c:pt idx="59">
                  <c:v>-5.5129999999999999</c:v>
                </c:pt>
                <c:pt idx="60">
                  <c:v>-5.7880000000000003</c:v>
                </c:pt>
                <c:pt idx="61">
                  <c:v>-7.9</c:v>
                </c:pt>
                <c:pt idx="62">
                  <c:v>-10.130000000000001</c:v>
                </c:pt>
                <c:pt idx="63">
                  <c:v>-7.6120000000000001</c:v>
                </c:pt>
                <c:pt idx="64">
                  <c:v>-10.58</c:v>
                </c:pt>
                <c:pt idx="65">
                  <c:v>-11.33</c:v>
                </c:pt>
                <c:pt idx="66">
                  <c:v>-3.2730000000000001</c:v>
                </c:pt>
                <c:pt idx="67">
                  <c:v>-4.1829999999999998</c:v>
                </c:pt>
                <c:pt idx="68">
                  <c:v>-7.3239999999999998</c:v>
                </c:pt>
                <c:pt idx="69">
                  <c:v>-11.04</c:v>
                </c:pt>
                <c:pt idx="70">
                  <c:v>-5.1280000000000001</c:v>
                </c:pt>
                <c:pt idx="71">
                  <c:v>-11.24</c:v>
                </c:pt>
                <c:pt idx="72">
                  <c:v>-16.010000000000002</c:v>
                </c:pt>
                <c:pt idx="73">
                  <c:v>-8.08</c:v>
                </c:pt>
                <c:pt idx="74">
                  <c:v>-8.56</c:v>
                </c:pt>
                <c:pt idx="75">
                  <c:v>-12.76</c:v>
                </c:pt>
                <c:pt idx="76">
                  <c:v>-13.2</c:v>
                </c:pt>
                <c:pt idx="77">
                  <c:v>-14.19</c:v>
                </c:pt>
                <c:pt idx="78">
                  <c:v>-4.1689999999999996</c:v>
                </c:pt>
                <c:pt idx="79">
                  <c:v>-7.24</c:v>
                </c:pt>
                <c:pt idx="80">
                  <c:v>-6.2320000000000002</c:v>
                </c:pt>
                <c:pt idx="81">
                  <c:v>-5.03</c:v>
                </c:pt>
                <c:pt idx="82">
                  <c:v>-1.522</c:v>
                </c:pt>
                <c:pt idx="83">
                  <c:v>-79.42</c:v>
                </c:pt>
                <c:pt idx="84">
                  <c:v>-79.42</c:v>
                </c:pt>
                <c:pt idx="85">
                  <c:v>-1.4119999999999999</c:v>
                </c:pt>
                <c:pt idx="86">
                  <c:v>-2.1320000000000001</c:v>
                </c:pt>
                <c:pt idx="87">
                  <c:v>-5.2249999999999996</c:v>
                </c:pt>
                <c:pt idx="88">
                  <c:v>-6.9279999999999999</c:v>
                </c:pt>
                <c:pt idx="89">
                  <c:v>-3.125</c:v>
                </c:pt>
                <c:pt idx="90">
                  <c:v>-3.2570000000000001</c:v>
                </c:pt>
                <c:pt idx="91">
                  <c:v>-3.0169999999999999</c:v>
                </c:pt>
                <c:pt idx="92">
                  <c:v>-8.18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-7.3760000000000003</c:v>
                </c:pt>
                <c:pt idx="1">
                  <c:v>-7.9470000000000001</c:v>
                </c:pt>
                <c:pt idx="2">
                  <c:v>-5.2039999999999997</c:v>
                </c:pt>
                <c:pt idx="3">
                  <c:v>-3.92</c:v>
                </c:pt>
                <c:pt idx="4">
                  <c:v>-4.1280000000000001</c:v>
                </c:pt>
                <c:pt idx="5">
                  <c:v>-5.7320000000000002</c:v>
                </c:pt>
                <c:pt idx="6">
                  <c:v>-8.9499999999999993</c:v>
                </c:pt>
                <c:pt idx="7">
                  <c:v>-3.3239999999999998</c:v>
                </c:pt>
                <c:pt idx="8">
                  <c:v>-6.2539999999999996</c:v>
                </c:pt>
                <c:pt idx="9">
                  <c:v>-4.8739999999999997</c:v>
                </c:pt>
                <c:pt idx="10">
                  <c:v>-4.3849999999999998</c:v>
                </c:pt>
                <c:pt idx="11">
                  <c:v>-5.82</c:v>
                </c:pt>
                <c:pt idx="12">
                  <c:v>-7.5110000000000001</c:v>
                </c:pt>
                <c:pt idx="13">
                  <c:v>-4.383</c:v>
                </c:pt>
                <c:pt idx="14">
                  <c:v>-3.3439999999999999</c:v>
                </c:pt>
                <c:pt idx="15">
                  <c:v>-6.8</c:v>
                </c:pt>
                <c:pt idx="16">
                  <c:v>-8.86</c:v>
                </c:pt>
                <c:pt idx="17">
                  <c:v>-12.89</c:v>
                </c:pt>
                <c:pt idx="18">
                  <c:v>-12.47</c:v>
                </c:pt>
                <c:pt idx="19">
                  <c:v>-16.059999999999999</c:v>
                </c:pt>
                <c:pt idx="20">
                  <c:v>-9.26</c:v>
                </c:pt>
                <c:pt idx="21">
                  <c:v>-9.77</c:v>
                </c:pt>
                <c:pt idx="22">
                  <c:v>-7.6970000000000001</c:v>
                </c:pt>
                <c:pt idx="23">
                  <c:v>-8.81</c:v>
                </c:pt>
                <c:pt idx="24">
                  <c:v>-12.71</c:v>
                </c:pt>
                <c:pt idx="25">
                  <c:v>-9.8800000000000008</c:v>
                </c:pt>
                <c:pt idx="26">
                  <c:v>-6.2229999999999999</c:v>
                </c:pt>
                <c:pt idx="27">
                  <c:v>-6.7240000000000002</c:v>
                </c:pt>
                <c:pt idx="28">
                  <c:v>-4.75</c:v>
                </c:pt>
                <c:pt idx="29">
                  <c:v>-3.1930000000000001</c:v>
                </c:pt>
                <c:pt idx="30">
                  <c:v>-4.3579999999999997</c:v>
                </c:pt>
                <c:pt idx="31">
                  <c:v>-8.35</c:v>
                </c:pt>
                <c:pt idx="32">
                  <c:v>-12.2</c:v>
                </c:pt>
                <c:pt idx="33">
                  <c:v>-12.49</c:v>
                </c:pt>
                <c:pt idx="34">
                  <c:v>-18.61</c:v>
                </c:pt>
                <c:pt idx="35">
                  <c:v>-18.82</c:v>
                </c:pt>
                <c:pt idx="36">
                  <c:v>-14.58</c:v>
                </c:pt>
                <c:pt idx="37">
                  <c:v>-15.47</c:v>
                </c:pt>
                <c:pt idx="38">
                  <c:v>-14.64</c:v>
                </c:pt>
                <c:pt idx="39">
                  <c:v>-17.329999999999998</c:v>
                </c:pt>
                <c:pt idx="40">
                  <c:v>-18.38</c:v>
                </c:pt>
                <c:pt idx="41">
                  <c:v>-20.260000000000002</c:v>
                </c:pt>
                <c:pt idx="42">
                  <c:v>-19.440000000000001</c:v>
                </c:pt>
                <c:pt idx="43">
                  <c:v>-14.19</c:v>
                </c:pt>
                <c:pt idx="44">
                  <c:v>-10</c:v>
                </c:pt>
                <c:pt idx="45">
                  <c:v>-7.8449999999999998</c:v>
                </c:pt>
                <c:pt idx="46">
                  <c:v>-7.28</c:v>
                </c:pt>
                <c:pt idx="47">
                  <c:v>-6.3630000000000004</c:v>
                </c:pt>
                <c:pt idx="48">
                  <c:v>-5.9429999999999996</c:v>
                </c:pt>
                <c:pt idx="49">
                  <c:v>-5.0519999999999996</c:v>
                </c:pt>
                <c:pt idx="50">
                  <c:v>-3.036</c:v>
                </c:pt>
                <c:pt idx="51">
                  <c:v>-3.7240000000000002</c:v>
                </c:pt>
                <c:pt idx="52">
                  <c:v>-1.8120000000000001</c:v>
                </c:pt>
                <c:pt idx="53">
                  <c:v>-0.52700000000000002</c:v>
                </c:pt>
                <c:pt idx="54">
                  <c:v>-2.9790000000000001</c:v>
                </c:pt>
                <c:pt idx="55">
                  <c:v>-2.1339999999999999</c:v>
                </c:pt>
                <c:pt idx="56">
                  <c:v>-2.4220000000000002</c:v>
                </c:pt>
                <c:pt idx="57">
                  <c:v>-1.82</c:v>
                </c:pt>
                <c:pt idx="58">
                  <c:v>-0.71399999999999997</c:v>
                </c:pt>
                <c:pt idx="59">
                  <c:v>-0.89200000000000002</c:v>
                </c:pt>
                <c:pt idx="60">
                  <c:v>-0.872</c:v>
                </c:pt>
                <c:pt idx="61">
                  <c:v>-2.431</c:v>
                </c:pt>
                <c:pt idx="62">
                  <c:v>-3.8849999999999998</c:v>
                </c:pt>
                <c:pt idx="63">
                  <c:v>-4.0179999999999998</c:v>
                </c:pt>
                <c:pt idx="64">
                  <c:v>-4.4560000000000004</c:v>
                </c:pt>
                <c:pt idx="65">
                  <c:v>-3.4609999999999999</c:v>
                </c:pt>
                <c:pt idx="66">
                  <c:v>-0.745</c:v>
                </c:pt>
                <c:pt idx="67">
                  <c:v>0.378</c:v>
                </c:pt>
                <c:pt idx="68">
                  <c:v>-4.6719999999999997</c:v>
                </c:pt>
                <c:pt idx="69">
                  <c:v>-5.9710000000000001</c:v>
                </c:pt>
                <c:pt idx="70">
                  <c:v>-2.714</c:v>
                </c:pt>
                <c:pt idx="71">
                  <c:v>-4.8470000000000004</c:v>
                </c:pt>
                <c:pt idx="72">
                  <c:v>-8.89</c:v>
                </c:pt>
                <c:pt idx="73">
                  <c:v>-5.4320000000000004</c:v>
                </c:pt>
                <c:pt idx="74">
                  <c:v>-5.7539999999999996</c:v>
                </c:pt>
                <c:pt idx="75">
                  <c:v>-7.2320000000000002</c:v>
                </c:pt>
                <c:pt idx="76">
                  <c:v>-7.1130000000000004</c:v>
                </c:pt>
                <c:pt idx="77">
                  <c:v>-6.7569999999999997</c:v>
                </c:pt>
                <c:pt idx="78">
                  <c:v>-2.3860000000000001</c:v>
                </c:pt>
                <c:pt idx="79">
                  <c:v>-2.6640000000000001</c:v>
                </c:pt>
                <c:pt idx="80">
                  <c:v>-3.81</c:v>
                </c:pt>
                <c:pt idx="81">
                  <c:v>-2.6</c:v>
                </c:pt>
                <c:pt idx="82">
                  <c:v>0.99</c:v>
                </c:pt>
                <c:pt idx="83">
                  <c:v>-3.4910000000000001</c:v>
                </c:pt>
                <c:pt idx="84">
                  <c:v>-15.84</c:v>
                </c:pt>
                <c:pt idx="85">
                  <c:v>1.7889999999999999</c:v>
                </c:pt>
                <c:pt idx="86">
                  <c:v>0.28399999999999997</c:v>
                </c:pt>
                <c:pt idx="87">
                  <c:v>-1.1859999999999999</c:v>
                </c:pt>
                <c:pt idx="88">
                  <c:v>-0.63200000000000001</c:v>
                </c:pt>
                <c:pt idx="89">
                  <c:v>-0.93200000000000005</c:v>
                </c:pt>
                <c:pt idx="90">
                  <c:v>-1.171</c:v>
                </c:pt>
                <c:pt idx="91">
                  <c:v>-1.671</c:v>
                </c:pt>
                <c:pt idx="92">
                  <c:v>-2.7759999999999998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650752"/>
        <c:axId val="310652288"/>
      </c:lineChart>
      <c:catAx>
        <c:axId val="3106507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06522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0652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0650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43999656106013"/>
          <c:y val="0.15909358447907795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99.8</c:v>
                </c:pt>
                <c:pt idx="1">
                  <c:v>99.7</c:v>
                </c:pt>
                <c:pt idx="2">
                  <c:v>99.9</c:v>
                </c:pt>
                <c:pt idx="3">
                  <c:v>99.8</c:v>
                </c:pt>
                <c:pt idx="4">
                  <c:v>98.6</c:v>
                </c:pt>
                <c:pt idx="5">
                  <c:v>99.7</c:v>
                </c:pt>
                <c:pt idx="6">
                  <c:v>97.7</c:v>
                </c:pt>
                <c:pt idx="7">
                  <c:v>99.8</c:v>
                </c:pt>
                <c:pt idx="8">
                  <c:v>97.8</c:v>
                </c:pt>
                <c:pt idx="9">
                  <c:v>99.8</c:v>
                </c:pt>
                <c:pt idx="10">
                  <c:v>96.6</c:v>
                </c:pt>
                <c:pt idx="11">
                  <c:v>95.7</c:v>
                </c:pt>
                <c:pt idx="12">
                  <c:v>94.8</c:v>
                </c:pt>
                <c:pt idx="13">
                  <c:v>99.8</c:v>
                </c:pt>
                <c:pt idx="14">
                  <c:v>99.9</c:v>
                </c:pt>
                <c:pt idx="15">
                  <c:v>99.8</c:v>
                </c:pt>
                <c:pt idx="16">
                  <c:v>89.6</c:v>
                </c:pt>
                <c:pt idx="17">
                  <c:v>89</c:v>
                </c:pt>
                <c:pt idx="18">
                  <c:v>92.9</c:v>
                </c:pt>
                <c:pt idx="19">
                  <c:v>89.6</c:v>
                </c:pt>
                <c:pt idx="20">
                  <c:v>91.4</c:v>
                </c:pt>
                <c:pt idx="21">
                  <c:v>90.9</c:v>
                </c:pt>
                <c:pt idx="22">
                  <c:v>94.4</c:v>
                </c:pt>
                <c:pt idx="23">
                  <c:v>90.8</c:v>
                </c:pt>
                <c:pt idx="24">
                  <c:v>92.2</c:v>
                </c:pt>
                <c:pt idx="25">
                  <c:v>95.3</c:v>
                </c:pt>
                <c:pt idx="26">
                  <c:v>95.4</c:v>
                </c:pt>
                <c:pt idx="27">
                  <c:v>93.5</c:v>
                </c:pt>
                <c:pt idx="28">
                  <c:v>92.2</c:v>
                </c:pt>
                <c:pt idx="29">
                  <c:v>84</c:v>
                </c:pt>
                <c:pt idx="30">
                  <c:v>99.8</c:v>
                </c:pt>
                <c:pt idx="31">
                  <c:v>99.8</c:v>
                </c:pt>
                <c:pt idx="32">
                  <c:v>90.9</c:v>
                </c:pt>
                <c:pt idx="33">
                  <c:v>90.1</c:v>
                </c:pt>
                <c:pt idx="34">
                  <c:v>87.2</c:v>
                </c:pt>
                <c:pt idx="35">
                  <c:v>86.6</c:v>
                </c:pt>
                <c:pt idx="36">
                  <c:v>87.3</c:v>
                </c:pt>
                <c:pt idx="37">
                  <c:v>87.3</c:v>
                </c:pt>
                <c:pt idx="38">
                  <c:v>89.1</c:v>
                </c:pt>
                <c:pt idx="39">
                  <c:v>86.9</c:v>
                </c:pt>
                <c:pt idx="40">
                  <c:v>86.6</c:v>
                </c:pt>
                <c:pt idx="41">
                  <c:v>82.6</c:v>
                </c:pt>
                <c:pt idx="42">
                  <c:v>91</c:v>
                </c:pt>
                <c:pt idx="43">
                  <c:v>87</c:v>
                </c:pt>
                <c:pt idx="44">
                  <c:v>89.1</c:v>
                </c:pt>
                <c:pt idx="45">
                  <c:v>91.2</c:v>
                </c:pt>
                <c:pt idx="46">
                  <c:v>93.4</c:v>
                </c:pt>
                <c:pt idx="47">
                  <c:v>93.8</c:v>
                </c:pt>
                <c:pt idx="48">
                  <c:v>95</c:v>
                </c:pt>
                <c:pt idx="49">
                  <c:v>97.8</c:v>
                </c:pt>
                <c:pt idx="50">
                  <c:v>97.5</c:v>
                </c:pt>
                <c:pt idx="51">
                  <c:v>98.8</c:v>
                </c:pt>
                <c:pt idx="52">
                  <c:v>99.9</c:v>
                </c:pt>
                <c:pt idx="53">
                  <c:v>99.9</c:v>
                </c:pt>
                <c:pt idx="54">
                  <c:v>99.8</c:v>
                </c:pt>
                <c:pt idx="55">
                  <c:v>99.8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96</c:v>
                </c:pt>
                <c:pt idx="61">
                  <c:v>91.9</c:v>
                </c:pt>
                <c:pt idx="62">
                  <c:v>97.4</c:v>
                </c:pt>
                <c:pt idx="63">
                  <c:v>94.9</c:v>
                </c:pt>
                <c:pt idx="64">
                  <c:v>94</c:v>
                </c:pt>
                <c:pt idx="65">
                  <c:v>95.2</c:v>
                </c:pt>
                <c:pt idx="66">
                  <c:v>86.5</c:v>
                </c:pt>
                <c:pt idx="67">
                  <c:v>88.2</c:v>
                </c:pt>
                <c:pt idx="68">
                  <c:v>92</c:v>
                </c:pt>
                <c:pt idx="69">
                  <c:v>94.5</c:v>
                </c:pt>
                <c:pt idx="70">
                  <c:v>99.8</c:v>
                </c:pt>
                <c:pt idx="71">
                  <c:v>99.8</c:v>
                </c:pt>
                <c:pt idx="72">
                  <c:v>90.8</c:v>
                </c:pt>
                <c:pt idx="73">
                  <c:v>96.1</c:v>
                </c:pt>
                <c:pt idx="74">
                  <c:v>95.6</c:v>
                </c:pt>
                <c:pt idx="75">
                  <c:v>94</c:v>
                </c:pt>
                <c:pt idx="76">
                  <c:v>91.9</c:v>
                </c:pt>
                <c:pt idx="77">
                  <c:v>92.6</c:v>
                </c:pt>
                <c:pt idx="78">
                  <c:v>95.5</c:v>
                </c:pt>
                <c:pt idx="79">
                  <c:v>94.9</c:v>
                </c:pt>
                <c:pt idx="80">
                  <c:v>93</c:v>
                </c:pt>
                <c:pt idx="81">
                  <c:v>99.7</c:v>
                </c:pt>
                <c:pt idx="82">
                  <c:v>99.8</c:v>
                </c:pt>
                <c:pt idx="83">
                  <c:v>99.9</c:v>
                </c:pt>
                <c:pt idx="84">
                  <c:v>99.9</c:v>
                </c:pt>
                <c:pt idx="85">
                  <c:v>99.8</c:v>
                </c:pt>
                <c:pt idx="86">
                  <c:v>99.8</c:v>
                </c:pt>
                <c:pt idx="87">
                  <c:v>99.8</c:v>
                </c:pt>
                <c:pt idx="88">
                  <c:v>93</c:v>
                </c:pt>
                <c:pt idx="89">
                  <c:v>99.8</c:v>
                </c:pt>
                <c:pt idx="90">
                  <c:v>96.1</c:v>
                </c:pt>
                <c:pt idx="91">
                  <c:v>94.3</c:v>
                </c:pt>
                <c:pt idx="92">
                  <c:v>90.8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81</c:v>
                </c:pt>
                <c:pt idx="1">
                  <c:v>91.3</c:v>
                </c:pt>
                <c:pt idx="2">
                  <c:v>88.2</c:v>
                </c:pt>
                <c:pt idx="3">
                  <c:v>82.8</c:v>
                </c:pt>
                <c:pt idx="4">
                  <c:v>90.9</c:v>
                </c:pt>
                <c:pt idx="5">
                  <c:v>91.1</c:v>
                </c:pt>
                <c:pt idx="6">
                  <c:v>89</c:v>
                </c:pt>
                <c:pt idx="7">
                  <c:v>83.5</c:v>
                </c:pt>
                <c:pt idx="8">
                  <c:v>90.3</c:v>
                </c:pt>
                <c:pt idx="9">
                  <c:v>92</c:v>
                </c:pt>
                <c:pt idx="10">
                  <c:v>84</c:v>
                </c:pt>
                <c:pt idx="11">
                  <c:v>85.8</c:v>
                </c:pt>
                <c:pt idx="12">
                  <c:v>75.2</c:v>
                </c:pt>
                <c:pt idx="13">
                  <c:v>72.2</c:v>
                </c:pt>
                <c:pt idx="14">
                  <c:v>91.9</c:v>
                </c:pt>
                <c:pt idx="15">
                  <c:v>75.3</c:v>
                </c:pt>
                <c:pt idx="16">
                  <c:v>74.3</c:v>
                </c:pt>
                <c:pt idx="17">
                  <c:v>60.2</c:v>
                </c:pt>
                <c:pt idx="18">
                  <c:v>80.3</c:v>
                </c:pt>
                <c:pt idx="19">
                  <c:v>68.900000000000006</c:v>
                </c:pt>
                <c:pt idx="20">
                  <c:v>61.4</c:v>
                </c:pt>
                <c:pt idx="21">
                  <c:v>55.5</c:v>
                </c:pt>
                <c:pt idx="22">
                  <c:v>63.4</c:v>
                </c:pt>
                <c:pt idx="23">
                  <c:v>76</c:v>
                </c:pt>
                <c:pt idx="24">
                  <c:v>83.9</c:v>
                </c:pt>
                <c:pt idx="25">
                  <c:v>58.5</c:v>
                </c:pt>
                <c:pt idx="26">
                  <c:v>49</c:v>
                </c:pt>
                <c:pt idx="27">
                  <c:v>29.4</c:v>
                </c:pt>
                <c:pt idx="28">
                  <c:v>26.9</c:v>
                </c:pt>
                <c:pt idx="29">
                  <c:v>28.2</c:v>
                </c:pt>
                <c:pt idx="30">
                  <c:v>77.5</c:v>
                </c:pt>
                <c:pt idx="31">
                  <c:v>59</c:v>
                </c:pt>
                <c:pt idx="32">
                  <c:v>68.900000000000006</c:v>
                </c:pt>
                <c:pt idx="33">
                  <c:v>78.099999999999994</c:v>
                </c:pt>
                <c:pt idx="34">
                  <c:v>75.7</c:v>
                </c:pt>
                <c:pt idx="35">
                  <c:v>69.7</c:v>
                </c:pt>
                <c:pt idx="36">
                  <c:v>76</c:v>
                </c:pt>
                <c:pt idx="37">
                  <c:v>48.9</c:v>
                </c:pt>
                <c:pt idx="38">
                  <c:v>77.7</c:v>
                </c:pt>
                <c:pt idx="39">
                  <c:v>65.099999999999994</c:v>
                </c:pt>
                <c:pt idx="40">
                  <c:v>74.400000000000006</c:v>
                </c:pt>
                <c:pt idx="41">
                  <c:v>58.8</c:v>
                </c:pt>
                <c:pt idx="42">
                  <c:v>52.3</c:v>
                </c:pt>
                <c:pt idx="43">
                  <c:v>35.200000000000003</c:v>
                </c:pt>
                <c:pt idx="44">
                  <c:v>66.5</c:v>
                </c:pt>
                <c:pt idx="45">
                  <c:v>60.7</c:v>
                </c:pt>
                <c:pt idx="46">
                  <c:v>83.6</c:v>
                </c:pt>
                <c:pt idx="47">
                  <c:v>82.9</c:v>
                </c:pt>
                <c:pt idx="48">
                  <c:v>82.2</c:v>
                </c:pt>
                <c:pt idx="49">
                  <c:v>88</c:v>
                </c:pt>
                <c:pt idx="50">
                  <c:v>71.900000000000006</c:v>
                </c:pt>
                <c:pt idx="51">
                  <c:v>86.9</c:v>
                </c:pt>
                <c:pt idx="52">
                  <c:v>93.9</c:v>
                </c:pt>
                <c:pt idx="53">
                  <c:v>73.400000000000006</c:v>
                </c:pt>
                <c:pt idx="54">
                  <c:v>79</c:v>
                </c:pt>
                <c:pt idx="55">
                  <c:v>85.5</c:v>
                </c:pt>
                <c:pt idx="56">
                  <c:v>79.900000000000006</c:v>
                </c:pt>
                <c:pt idx="57">
                  <c:v>65.900000000000006</c:v>
                </c:pt>
                <c:pt idx="58">
                  <c:v>63.5</c:v>
                </c:pt>
                <c:pt idx="59">
                  <c:v>55.7</c:v>
                </c:pt>
                <c:pt idx="60">
                  <c:v>48.1</c:v>
                </c:pt>
                <c:pt idx="61">
                  <c:v>56.5</c:v>
                </c:pt>
                <c:pt idx="62">
                  <c:v>49.3</c:v>
                </c:pt>
                <c:pt idx="63">
                  <c:v>47.6</c:v>
                </c:pt>
                <c:pt idx="64">
                  <c:v>60.2</c:v>
                </c:pt>
                <c:pt idx="65">
                  <c:v>37.700000000000003</c:v>
                </c:pt>
                <c:pt idx="66">
                  <c:v>49.4</c:v>
                </c:pt>
                <c:pt idx="67">
                  <c:v>43</c:v>
                </c:pt>
                <c:pt idx="68">
                  <c:v>43</c:v>
                </c:pt>
                <c:pt idx="69">
                  <c:v>72.3</c:v>
                </c:pt>
                <c:pt idx="70">
                  <c:v>87.4</c:v>
                </c:pt>
                <c:pt idx="71">
                  <c:v>64.5</c:v>
                </c:pt>
                <c:pt idx="72">
                  <c:v>58.9</c:v>
                </c:pt>
                <c:pt idx="73">
                  <c:v>86.4</c:v>
                </c:pt>
                <c:pt idx="74">
                  <c:v>65.7</c:v>
                </c:pt>
                <c:pt idx="75">
                  <c:v>49</c:v>
                </c:pt>
                <c:pt idx="76">
                  <c:v>41.7</c:v>
                </c:pt>
                <c:pt idx="77">
                  <c:v>64.599999999999994</c:v>
                </c:pt>
                <c:pt idx="78">
                  <c:v>50.5</c:v>
                </c:pt>
                <c:pt idx="79">
                  <c:v>46.7</c:v>
                </c:pt>
                <c:pt idx="80">
                  <c:v>57.2</c:v>
                </c:pt>
                <c:pt idx="81">
                  <c:v>79.400000000000006</c:v>
                </c:pt>
                <c:pt idx="82">
                  <c:v>77.8</c:v>
                </c:pt>
                <c:pt idx="83">
                  <c:v>0.4</c:v>
                </c:pt>
                <c:pt idx="84">
                  <c:v>0.4</c:v>
                </c:pt>
                <c:pt idx="85">
                  <c:v>56.7</c:v>
                </c:pt>
                <c:pt idx="86">
                  <c:v>68.5</c:v>
                </c:pt>
                <c:pt idx="87">
                  <c:v>42.7</c:v>
                </c:pt>
                <c:pt idx="88">
                  <c:v>36.299999999999997</c:v>
                </c:pt>
                <c:pt idx="89">
                  <c:v>64</c:v>
                </c:pt>
                <c:pt idx="90">
                  <c:v>63.4</c:v>
                </c:pt>
                <c:pt idx="91">
                  <c:v>61.3</c:v>
                </c:pt>
                <c:pt idx="92">
                  <c:v>36.200000000000003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534912"/>
        <c:axId val="310536448"/>
      </c:lineChart>
      <c:catAx>
        <c:axId val="310534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05364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0536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0534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61731903741906"/>
          <c:y val="0.64857617747781726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-1.534</c:v>
                </c:pt>
                <c:pt idx="1">
                  <c:v>-1.64</c:v>
                </c:pt>
                <c:pt idx="2">
                  <c:v>-1.714</c:v>
                </c:pt>
                <c:pt idx="3">
                  <c:v>-1.4650000000000001</c:v>
                </c:pt>
                <c:pt idx="4">
                  <c:v>-1.327</c:v>
                </c:pt>
                <c:pt idx="5">
                  <c:v>-1.206</c:v>
                </c:pt>
                <c:pt idx="6">
                  <c:v>-1.506</c:v>
                </c:pt>
                <c:pt idx="7">
                  <c:v>-1.732</c:v>
                </c:pt>
                <c:pt idx="8">
                  <c:v>-1.4770000000000001</c:v>
                </c:pt>
                <c:pt idx="9">
                  <c:v>-1.536</c:v>
                </c:pt>
                <c:pt idx="10">
                  <c:v>-1.3120000000000001</c:v>
                </c:pt>
                <c:pt idx="11">
                  <c:v>-1.0920000000000001</c:v>
                </c:pt>
                <c:pt idx="12">
                  <c:v>-1.111</c:v>
                </c:pt>
                <c:pt idx="13">
                  <c:v>-1.272</c:v>
                </c:pt>
                <c:pt idx="14">
                  <c:v>-1.17</c:v>
                </c:pt>
                <c:pt idx="15">
                  <c:v>-1.17</c:v>
                </c:pt>
                <c:pt idx="16">
                  <c:v>-1.337</c:v>
                </c:pt>
                <c:pt idx="17">
                  <c:v>-1.5249999999999999</c:v>
                </c:pt>
                <c:pt idx="18">
                  <c:v>-1.899</c:v>
                </c:pt>
                <c:pt idx="19">
                  <c:v>-2.1320000000000001</c:v>
                </c:pt>
                <c:pt idx="20">
                  <c:v>-2.4710000000000001</c:v>
                </c:pt>
                <c:pt idx="21">
                  <c:v>-2.3849999999999998</c:v>
                </c:pt>
                <c:pt idx="22">
                  <c:v>-2.3690000000000002</c:v>
                </c:pt>
                <c:pt idx="23">
                  <c:v>-2.1179999999999999</c:v>
                </c:pt>
                <c:pt idx="24">
                  <c:v>-2.0150000000000001</c:v>
                </c:pt>
                <c:pt idx="25">
                  <c:v>-2.2599999999999998</c:v>
                </c:pt>
                <c:pt idx="26">
                  <c:v>-2.3559999999999999</c:v>
                </c:pt>
                <c:pt idx="27">
                  <c:v>-2.1360000000000001</c:v>
                </c:pt>
                <c:pt idx="28">
                  <c:v>-2.0459999999999998</c:v>
                </c:pt>
                <c:pt idx="29">
                  <c:v>-1.829</c:v>
                </c:pt>
                <c:pt idx="30">
                  <c:v>-1.474</c:v>
                </c:pt>
                <c:pt idx="31">
                  <c:v>-1.294</c:v>
                </c:pt>
                <c:pt idx="32">
                  <c:v>-1.454</c:v>
                </c:pt>
                <c:pt idx="33">
                  <c:v>-1.6679999999999999</c:v>
                </c:pt>
                <c:pt idx="34">
                  <c:v>-1.714</c:v>
                </c:pt>
                <c:pt idx="35">
                  <c:v>-2.0579999999999998</c:v>
                </c:pt>
                <c:pt idx="36">
                  <c:v>-2.4580000000000002</c:v>
                </c:pt>
                <c:pt idx="37">
                  <c:v>-2.5430000000000001</c:v>
                </c:pt>
                <c:pt idx="38">
                  <c:v>-2.6890000000000001</c:v>
                </c:pt>
                <c:pt idx="39">
                  <c:v>-2.6549999999999998</c:v>
                </c:pt>
                <c:pt idx="40">
                  <c:v>-2.6739999999999999</c:v>
                </c:pt>
                <c:pt idx="41">
                  <c:v>-2.798</c:v>
                </c:pt>
                <c:pt idx="42">
                  <c:v>-2.99</c:v>
                </c:pt>
                <c:pt idx="43">
                  <c:v>-3.266</c:v>
                </c:pt>
                <c:pt idx="44">
                  <c:v>-3.26</c:v>
                </c:pt>
                <c:pt idx="45">
                  <c:v>-2.8260000000000001</c:v>
                </c:pt>
                <c:pt idx="46">
                  <c:v>-2.3660000000000001</c:v>
                </c:pt>
                <c:pt idx="47">
                  <c:v>-1.9730000000000001</c:v>
                </c:pt>
                <c:pt idx="48">
                  <c:v>-1.66</c:v>
                </c:pt>
                <c:pt idx="49">
                  <c:v>-1.4259999999999999</c:v>
                </c:pt>
                <c:pt idx="50">
                  <c:v>-1.222</c:v>
                </c:pt>
                <c:pt idx="51">
                  <c:v>-1.0289999999999999</c:v>
                </c:pt>
                <c:pt idx="52">
                  <c:v>-0.90900000000000003</c:v>
                </c:pt>
                <c:pt idx="53">
                  <c:v>-0.70299999999999996</c:v>
                </c:pt>
                <c:pt idx="54">
                  <c:v>-0.45900000000000002</c:v>
                </c:pt>
                <c:pt idx="55">
                  <c:v>-0.39100000000000001</c:v>
                </c:pt>
                <c:pt idx="56">
                  <c:v>-0.38800000000000001</c:v>
                </c:pt>
                <c:pt idx="57">
                  <c:v>-0.379</c:v>
                </c:pt>
                <c:pt idx="58">
                  <c:v>-0.35199999999999998</c:v>
                </c:pt>
                <c:pt idx="59">
                  <c:v>-0.16600000000000001</c:v>
                </c:pt>
                <c:pt idx="60">
                  <c:v>-3.4000000000000002E-2</c:v>
                </c:pt>
                <c:pt idx="61">
                  <c:v>-0.03</c:v>
                </c:pt>
                <c:pt idx="62">
                  <c:v>-0.19800000000000001</c:v>
                </c:pt>
                <c:pt idx="63">
                  <c:v>-0.40500000000000003</c:v>
                </c:pt>
                <c:pt idx="64">
                  <c:v>-0.49299999999999999</c:v>
                </c:pt>
                <c:pt idx="65">
                  <c:v>-0.622</c:v>
                </c:pt>
                <c:pt idx="66">
                  <c:v>-0.73899999999999999</c:v>
                </c:pt>
                <c:pt idx="67">
                  <c:v>-0.60499999999999998</c:v>
                </c:pt>
                <c:pt idx="68">
                  <c:v>-0.48899999999999999</c:v>
                </c:pt>
                <c:pt idx="69">
                  <c:v>-0.625</c:v>
                </c:pt>
                <c:pt idx="70">
                  <c:v>-0.76400000000000001</c:v>
                </c:pt>
                <c:pt idx="71">
                  <c:v>-0.69199999999999995</c:v>
                </c:pt>
                <c:pt idx="72">
                  <c:v>-0.56499999999999995</c:v>
                </c:pt>
                <c:pt idx="73">
                  <c:v>-0.58199999999999996</c:v>
                </c:pt>
                <c:pt idx="74">
                  <c:v>-0.62</c:v>
                </c:pt>
                <c:pt idx="75">
                  <c:v>-0.60899999999999999</c:v>
                </c:pt>
                <c:pt idx="76">
                  <c:v>-0.59599999999999997</c:v>
                </c:pt>
                <c:pt idx="77">
                  <c:v>-0.624</c:v>
                </c:pt>
                <c:pt idx="78">
                  <c:v>-0.66500000000000004</c:v>
                </c:pt>
                <c:pt idx="79">
                  <c:v>-0.64</c:v>
                </c:pt>
                <c:pt idx="80">
                  <c:v>-0.55000000000000004</c:v>
                </c:pt>
                <c:pt idx="81">
                  <c:v>-0.51200000000000001</c:v>
                </c:pt>
                <c:pt idx="82">
                  <c:v>-0.45800000000000002</c:v>
                </c:pt>
                <c:pt idx="83">
                  <c:v>-0.28000000000000003</c:v>
                </c:pt>
                <c:pt idx="84">
                  <c:v>-7.6999999999999999E-2</c:v>
                </c:pt>
                <c:pt idx="85">
                  <c:v>1E-3</c:v>
                </c:pt>
                <c:pt idx="86">
                  <c:v>1.0999999999999999E-2</c:v>
                </c:pt>
                <c:pt idx="87">
                  <c:v>1.2999999999999999E-2</c:v>
                </c:pt>
                <c:pt idx="88">
                  <c:v>1.2999999999999999E-2</c:v>
                </c:pt>
                <c:pt idx="89">
                  <c:v>2.1000000000000001E-2</c:v>
                </c:pt>
                <c:pt idx="90">
                  <c:v>1.7000000000000001E-2</c:v>
                </c:pt>
                <c:pt idx="91">
                  <c:v>1.4999999999999999E-2</c:v>
                </c:pt>
                <c:pt idx="92">
                  <c:v>1.6E-2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-0.58099999999999996</c:v>
                </c:pt>
                <c:pt idx="1">
                  <c:v>-0.63700000000000001</c:v>
                </c:pt>
                <c:pt idx="2">
                  <c:v>-0.67700000000000005</c:v>
                </c:pt>
                <c:pt idx="3">
                  <c:v>-0.59899999999999998</c:v>
                </c:pt>
                <c:pt idx="4">
                  <c:v>-0.52800000000000002</c:v>
                </c:pt>
                <c:pt idx="5">
                  <c:v>-0.47199999999999998</c:v>
                </c:pt>
                <c:pt idx="6">
                  <c:v>-0.56000000000000005</c:v>
                </c:pt>
                <c:pt idx="7">
                  <c:v>-0.69199999999999995</c:v>
                </c:pt>
                <c:pt idx="8">
                  <c:v>-0.59299999999999997</c:v>
                </c:pt>
                <c:pt idx="9">
                  <c:v>-0.60099999999999998</c:v>
                </c:pt>
                <c:pt idx="10">
                  <c:v>-0.54200000000000004</c:v>
                </c:pt>
                <c:pt idx="11">
                  <c:v>-0.437</c:v>
                </c:pt>
                <c:pt idx="12">
                  <c:v>-0.42699999999999999</c:v>
                </c:pt>
                <c:pt idx="13">
                  <c:v>-0.47899999999999998</c:v>
                </c:pt>
                <c:pt idx="14">
                  <c:v>-0.46300000000000002</c:v>
                </c:pt>
                <c:pt idx="15">
                  <c:v>-0.44500000000000001</c:v>
                </c:pt>
                <c:pt idx="16">
                  <c:v>-0.51300000000000001</c:v>
                </c:pt>
                <c:pt idx="17">
                  <c:v>-0.58399999999999996</c:v>
                </c:pt>
                <c:pt idx="18">
                  <c:v>-0.72599999999999998</c:v>
                </c:pt>
                <c:pt idx="19">
                  <c:v>-0.84899999999999998</c:v>
                </c:pt>
                <c:pt idx="20">
                  <c:v>-0.98599999999999999</c:v>
                </c:pt>
                <c:pt idx="21">
                  <c:v>-0.998</c:v>
                </c:pt>
                <c:pt idx="22">
                  <c:v>-1.0109999999999999</c:v>
                </c:pt>
                <c:pt idx="23">
                  <c:v>-0.93200000000000005</c:v>
                </c:pt>
                <c:pt idx="24">
                  <c:v>-0.85099999999999998</c:v>
                </c:pt>
                <c:pt idx="25">
                  <c:v>-0.94099999999999995</c:v>
                </c:pt>
                <c:pt idx="26">
                  <c:v>-1.026</c:v>
                </c:pt>
                <c:pt idx="27">
                  <c:v>-0.94599999999999995</c:v>
                </c:pt>
                <c:pt idx="28">
                  <c:v>-0.89400000000000002</c:v>
                </c:pt>
                <c:pt idx="29">
                  <c:v>-0.82499999999999996</c:v>
                </c:pt>
                <c:pt idx="30">
                  <c:v>-0.64500000000000002</c:v>
                </c:pt>
                <c:pt idx="31">
                  <c:v>-0.54400000000000004</c:v>
                </c:pt>
                <c:pt idx="32">
                  <c:v>-0.58199999999999996</c:v>
                </c:pt>
                <c:pt idx="33">
                  <c:v>-0.67700000000000005</c:v>
                </c:pt>
                <c:pt idx="34">
                  <c:v>-0.72299999999999998</c:v>
                </c:pt>
                <c:pt idx="35">
                  <c:v>-0.871</c:v>
                </c:pt>
                <c:pt idx="36">
                  <c:v>-1.0529999999999999</c:v>
                </c:pt>
                <c:pt idx="37">
                  <c:v>-1.1459999999999999</c:v>
                </c:pt>
                <c:pt idx="38">
                  <c:v>-1.22</c:v>
                </c:pt>
                <c:pt idx="39">
                  <c:v>-1.2410000000000001</c:v>
                </c:pt>
                <c:pt idx="40">
                  <c:v>-1.254</c:v>
                </c:pt>
                <c:pt idx="41">
                  <c:v>-1.325</c:v>
                </c:pt>
                <c:pt idx="42">
                  <c:v>-1.413</c:v>
                </c:pt>
                <c:pt idx="43">
                  <c:v>-1.5369999999999999</c:v>
                </c:pt>
                <c:pt idx="44">
                  <c:v>-1.5680000000000001</c:v>
                </c:pt>
                <c:pt idx="45">
                  <c:v>-1.39</c:v>
                </c:pt>
                <c:pt idx="46">
                  <c:v>-1.175</c:v>
                </c:pt>
                <c:pt idx="47">
                  <c:v>-0.97399999999999998</c:v>
                </c:pt>
                <c:pt idx="48">
                  <c:v>-0.81299999999999994</c:v>
                </c:pt>
                <c:pt idx="49">
                  <c:v>-0.69399999999999995</c:v>
                </c:pt>
                <c:pt idx="50">
                  <c:v>-0.58599999999999997</c:v>
                </c:pt>
                <c:pt idx="51">
                  <c:v>-0.49399999999999999</c:v>
                </c:pt>
                <c:pt idx="52">
                  <c:v>-0.42599999999999999</c:v>
                </c:pt>
                <c:pt idx="53">
                  <c:v>-0.33600000000000002</c:v>
                </c:pt>
                <c:pt idx="54">
                  <c:v>-0.23200000000000001</c:v>
                </c:pt>
                <c:pt idx="55">
                  <c:v>-0.16600000000000001</c:v>
                </c:pt>
                <c:pt idx="56">
                  <c:v>-0.154</c:v>
                </c:pt>
                <c:pt idx="57">
                  <c:v>-0.14399999999999999</c:v>
                </c:pt>
                <c:pt idx="58">
                  <c:v>-0.126</c:v>
                </c:pt>
                <c:pt idx="59">
                  <c:v>-5.5E-2</c:v>
                </c:pt>
                <c:pt idx="60">
                  <c:v>-1.2E-2</c:v>
                </c:pt>
                <c:pt idx="61">
                  <c:v>-8.0000000000000002E-3</c:v>
                </c:pt>
                <c:pt idx="62">
                  <c:v>-3.3000000000000002E-2</c:v>
                </c:pt>
                <c:pt idx="63">
                  <c:v>-0.106</c:v>
                </c:pt>
                <c:pt idx="64">
                  <c:v>-0.157</c:v>
                </c:pt>
                <c:pt idx="65">
                  <c:v>-0.20599999999999999</c:v>
                </c:pt>
                <c:pt idx="66">
                  <c:v>-0.26100000000000001</c:v>
                </c:pt>
                <c:pt idx="67">
                  <c:v>-0.22600000000000001</c:v>
                </c:pt>
                <c:pt idx="68">
                  <c:v>-0.182</c:v>
                </c:pt>
                <c:pt idx="69">
                  <c:v>-0.221</c:v>
                </c:pt>
                <c:pt idx="70">
                  <c:v>-0.27800000000000002</c:v>
                </c:pt>
                <c:pt idx="71">
                  <c:v>-0.26500000000000001</c:v>
                </c:pt>
                <c:pt idx="72">
                  <c:v>-0.22700000000000001</c:v>
                </c:pt>
                <c:pt idx="73">
                  <c:v>-0.21099999999999999</c:v>
                </c:pt>
                <c:pt idx="74">
                  <c:v>-0.224</c:v>
                </c:pt>
                <c:pt idx="75">
                  <c:v>-0.22600000000000001</c:v>
                </c:pt>
                <c:pt idx="76">
                  <c:v>-0.218</c:v>
                </c:pt>
                <c:pt idx="77">
                  <c:v>-0.23300000000000001</c:v>
                </c:pt>
                <c:pt idx="78">
                  <c:v>-0.22800000000000001</c:v>
                </c:pt>
                <c:pt idx="79">
                  <c:v>-0.222</c:v>
                </c:pt>
                <c:pt idx="80">
                  <c:v>-0.192</c:v>
                </c:pt>
                <c:pt idx="81">
                  <c:v>-0.17699999999999999</c:v>
                </c:pt>
                <c:pt idx="82">
                  <c:v>-0.13600000000000001</c:v>
                </c:pt>
                <c:pt idx="83">
                  <c:v>-7.3999999999999996E-2</c:v>
                </c:pt>
                <c:pt idx="84">
                  <c:v>-3.0000000000000001E-3</c:v>
                </c:pt>
                <c:pt idx="85">
                  <c:v>2.4E-2</c:v>
                </c:pt>
                <c:pt idx="86">
                  <c:v>1.7000000000000001E-2</c:v>
                </c:pt>
                <c:pt idx="87">
                  <c:v>1.6E-2</c:v>
                </c:pt>
                <c:pt idx="88">
                  <c:v>1.6E-2</c:v>
                </c:pt>
                <c:pt idx="89">
                  <c:v>1.9E-2</c:v>
                </c:pt>
                <c:pt idx="90">
                  <c:v>1.4E-2</c:v>
                </c:pt>
                <c:pt idx="91">
                  <c:v>1.4E-2</c:v>
                </c:pt>
                <c:pt idx="92">
                  <c:v>1.2E-2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0.248</c:v>
                </c:pt>
                <c:pt idx="1">
                  <c:v>0.24099999999999999</c:v>
                </c:pt>
                <c:pt idx="2">
                  <c:v>0.252</c:v>
                </c:pt>
                <c:pt idx="3">
                  <c:v>0.25900000000000001</c:v>
                </c:pt>
                <c:pt idx="4">
                  <c:v>0.255</c:v>
                </c:pt>
                <c:pt idx="5">
                  <c:v>0.249</c:v>
                </c:pt>
                <c:pt idx="6">
                  <c:v>0.23</c:v>
                </c:pt>
                <c:pt idx="7">
                  <c:v>0.25900000000000001</c:v>
                </c:pt>
                <c:pt idx="8">
                  <c:v>0.248</c:v>
                </c:pt>
                <c:pt idx="9">
                  <c:v>0.251</c:v>
                </c:pt>
                <c:pt idx="10">
                  <c:v>0.254</c:v>
                </c:pt>
                <c:pt idx="11">
                  <c:v>0.245</c:v>
                </c:pt>
                <c:pt idx="12">
                  <c:v>0.22800000000000001</c:v>
                </c:pt>
                <c:pt idx="13">
                  <c:v>0.23799999999999999</c:v>
                </c:pt>
                <c:pt idx="14">
                  <c:v>0.249</c:v>
                </c:pt>
                <c:pt idx="15">
                  <c:v>0.23100000000000001</c:v>
                </c:pt>
                <c:pt idx="16">
                  <c:v>0.219</c:v>
                </c:pt>
                <c:pt idx="17">
                  <c:v>0.20100000000000001</c:v>
                </c:pt>
                <c:pt idx="18">
                  <c:v>0.20399999999999999</c:v>
                </c:pt>
                <c:pt idx="19">
                  <c:v>0.16400000000000001</c:v>
                </c:pt>
                <c:pt idx="20">
                  <c:v>0.21199999999999999</c:v>
                </c:pt>
                <c:pt idx="21">
                  <c:v>0.19600000000000001</c:v>
                </c:pt>
                <c:pt idx="22">
                  <c:v>0.17299999999999999</c:v>
                </c:pt>
                <c:pt idx="23">
                  <c:v>0.156</c:v>
                </c:pt>
                <c:pt idx="24">
                  <c:v>0.13400000000000001</c:v>
                </c:pt>
                <c:pt idx="25">
                  <c:v>0.13100000000000001</c:v>
                </c:pt>
                <c:pt idx="26">
                  <c:v>0.122</c:v>
                </c:pt>
                <c:pt idx="27">
                  <c:v>0.109</c:v>
                </c:pt>
                <c:pt idx="28">
                  <c:v>0.112</c:v>
                </c:pt>
                <c:pt idx="29">
                  <c:v>0.126</c:v>
                </c:pt>
                <c:pt idx="30">
                  <c:v>0.14099999999999999</c:v>
                </c:pt>
                <c:pt idx="31">
                  <c:v>0.14299999999999999</c:v>
                </c:pt>
                <c:pt idx="32">
                  <c:v>0.14099999999999999</c:v>
                </c:pt>
                <c:pt idx="33">
                  <c:v>0.14799999999999999</c:v>
                </c:pt>
                <c:pt idx="34">
                  <c:v>0.10199999999999999</c:v>
                </c:pt>
                <c:pt idx="35">
                  <c:v>4.7E-2</c:v>
                </c:pt>
                <c:pt idx="36">
                  <c:v>5.5E-2</c:v>
                </c:pt>
                <c:pt idx="37">
                  <c:v>4.0000000000000001E-3</c:v>
                </c:pt>
                <c:pt idx="38">
                  <c:v>-4.0000000000000001E-3</c:v>
                </c:pt>
                <c:pt idx="39">
                  <c:v>-4.9000000000000002E-2</c:v>
                </c:pt>
                <c:pt idx="40">
                  <c:v>-7.0000000000000007E-2</c:v>
                </c:pt>
                <c:pt idx="41">
                  <c:v>-0.125</c:v>
                </c:pt>
                <c:pt idx="42">
                  <c:v>-0.13100000000000001</c:v>
                </c:pt>
                <c:pt idx="43">
                  <c:v>-0.10199999999999999</c:v>
                </c:pt>
                <c:pt idx="44">
                  <c:v>-0.08</c:v>
                </c:pt>
                <c:pt idx="45">
                  <c:v>-7.5999999999999998E-2</c:v>
                </c:pt>
                <c:pt idx="46">
                  <c:v>-7.2999999999999995E-2</c:v>
                </c:pt>
                <c:pt idx="47">
                  <c:v>-6.4000000000000001E-2</c:v>
                </c:pt>
                <c:pt idx="48">
                  <c:v>-5.7000000000000002E-2</c:v>
                </c:pt>
                <c:pt idx="49">
                  <c:v>-4.2999999999999997E-2</c:v>
                </c:pt>
                <c:pt idx="50">
                  <c:v>-2.5000000000000001E-2</c:v>
                </c:pt>
                <c:pt idx="51">
                  <c:v>-2.5000000000000001E-2</c:v>
                </c:pt>
                <c:pt idx="52">
                  <c:v>-0.01</c:v>
                </c:pt>
                <c:pt idx="53">
                  <c:v>1.2999999999999999E-2</c:v>
                </c:pt>
                <c:pt idx="54">
                  <c:v>-8.9999999999999993E-3</c:v>
                </c:pt>
                <c:pt idx="55">
                  <c:v>6.0000000000000001E-3</c:v>
                </c:pt>
                <c:pt idx="56">
                  <c:v>1.6E-2</c:v>
                </c:pt>
                <c:pt idx="57">
                  <c:v>2.9000000000000001E-2</c:v>
                </c:pt>
                <c:pt idx="58">
                  <c:v>4.8000000000000001E-2</c:v>
                </c:pt>
                <c:pt idx="59">
                  <c:v>5.6000000000000001E-2</c:v>
                </c:pt>
                <c:pt idx="60">
                  <c:v>7.0999999999999994E-2</c:v>
                </c:pt>
                <c:pt idx="61">
                  <c:v>7.9000000000000001E-2</c:v>
                </c:pt>
                <c:pt idx="62">
                  <c:v>8.5999999999999993E-2</c:v>
                </c:pt>
                <c:pt idx="63">
                  <c:v>0.10299999999999999</c:v>
                </c:pt>
                <c:pt idx="64">
                  <c:v>0.11799999999999999</c:v>
                </c:pt>
                <c:pt idx="65">
                  <c:v>0.14199999999999999</c:v>
                </c:pt>
                <c:pt idx="66">
                  <c:v>0.17499999999999999</c:v>
                </c:pt>
                <c:pt idx="67">
                  <c:v>0.192</c:v>
                </c:pt>
                <c:pt idx="68">
                  <c:v>0.17</c:v>
                </c:pt>
                <c:pt idx="69">
                  <c:v>0.16600000000000001</c:v>
                </c:pt>
                <c:pt idx="70">
                  <c:v>0.184</c:v>
                </c:pt>
                <c:pt idx="71">
                  <c:v>0.18</c:v>
                </c:pt>
                <c:pt idx="72">
                  <c:v>0.155</c:v>
                </c:pt>
                <c:pt idx="73">
                  <c:v>0.17299999999999999</c:v>
                </c:pt>
                <c:pt idx="74">
                  <c:v>0.17299999999999999</c:v>
                </c:pt>
                <c:pt idx="75">
                  <c:v>0.161</c:v>
                </c:pt>
                <c:pt idx="76">
                  <c:v>0.16600000000000001</c:v>
                </c:pt>
                <c:pt idx="77">
                  <c:v>0.16</c:v>
                </c:pt>
                <c:pt idx="78">
                  <c:v>0.189</c:v>
                </c:pt>
                <c:pt idx="79">
                  <c:v>0.192</c:v>
                </c:pt>
                <c:pt idx="80">
                  <c:v>0.183</c:v>
                </c:pt>
                <c:pt idx="81">
                  <c:v>0.18</c:v>
                </c:pt>
                <c:pt idx="82">
                  <c:v>0.20899999999999999</c:v>
                </c:pt>
                <c:pt idx="83">
                  <c:v>0.19400000000000001</c:v>
                </c:pt>
                <c:pt idx="84">
                  <c:v>0.191</c:v>
                </c:pt>
                <c:pt idx="85">
                  <c:v>0.188</c:v>
                </c:pt>
                <c:pt idx="86">
                  <c:v>0.17599999999999999</c:v>
                </c:pt>
                <c:pt idx="87">
                  <c:v>0.17199999999999999</c:v>
                </c:pt>
                <c:pt idx="88">
                  <c:v>0.17399999999999999</c:v>
                </c:pt>
                <c:pt idx="89">
                  <c:v>0.17599999999999999</c:v>
                </c:pt>
                <c:pt idx="90">
                  <c:v>0.17399999999999999</c:v>
                </c:pt>
                <c:pt idx="91">
                  <c:v>0.17199999999999999</c:v>
                </c:pt>
                <c:pt idx="92">
                  <c:v>0.16400000000000001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1.04</c:v>
                </c:pt>
                <c:pt idx="1">
                  <c:v>1.026</c:v>
                </c:pt>
                <c:pt idx="2">
                  <c:v>1.0309999999999999</c:v>
                </c:pt>
                <c:pt idx="3">
                  <c:v>1.036</c:v>
                </c:pt>
                <c:pt idx="4">
                  <c:v>1.028</c:v>
                </c:pt>
                <c:pt idx="5">
                  <c:v>1.016</c:v>
                </c:pt>
                <c:pt idx="6">
                  <c:v>0.98799999999999999</c:v>
                </c:pt>
                <c:pt idx="7">
                  <c:v>1.0149999999999999</c:v>
                </c:pt>
                <c:pt idx="8">
                  <c:v>0.997</c:v>
                </c:pt>
                <c:pt idx="9">
                  <c:v>0.99399999999999999</c:v>
                </c:pt>
                <c:pt idx="10">
                  <c:v>0.996</c:v>
                </c:pt>
                <c:pt idx="11">
                  <c:v>0.98399999999999999</c:v>
                </c:pt>
                <c:pt idx="12">
                  <c:v>0.96199999999999997</c:v>
                </c:pt>
                <c:pt idx="13">
                  <c:v>0.96899999999999997</c:v>
                </c:pt>
                <c:pt idx="14">
                  <c:v>0.97799999999999998</c:v>
                </c:pt>
                <c:pt idx="15">
                  <c:v>0.95099999999999996</c:v>
                </c:pt>
                <c:pt idx="16">
                  <c:v>0.93500000000000005</c:v>
                </c:pt>
                <c:pt idx="17">
                  <c:v>0.90600000000000003</c:v>
                </c:pt>
                <c:pt idx="18">
                  <c:v>0.90600000000000003</c:v>
                </c:pt>
                <c:pt idx="19">
                  <c:v>0.85299999999999998</c:v>
                </c:pt>
                <c:pt idx="20">
                  <c:v>0.90200000000000002</c:v>
                </c:pt>
                <c:pt idx="21">
                  <c:v>0.88800000000000001</c:v>
                </c:pt>
                <c:pt idx="22">
                  <c:v>0.876</c:v>
                </c:pt>
                <c:pt idx="23">
                  <c:v>0.86499999999999999</c:v>
                </c:pt>
                <c:pt idx="24">
                  <c:v>0.82799999999999996</c:v>
                </c:pt>
                <c:pt idx="25">
                  <c:v>0.83399999999999996</c:v>
                </c:pt>
                <c:pt idx="26">
                  <c:v>0.84099999999999997</c:v>
                </c:pt>
                <c:pt idx="27">
                  <c:v>0.82699999999999996</c:v>
                </c:pt>
                <c:pt idx="28">
                  <c:v>0.82299999999999995</c:v>
                </c:pt>
                <c:pt idx="29">
                  <c:v>0.83099999999999996</c:v>
                </c:pt>
                <c:pt idx="30">
                  <c:v>0.82499999999999996</c:v>
                </c:pt>
                <c:pt idx="31">
                  <c:v>0.81100000000000005</c:v>
                </c:pt>
                <c:pt idx="32">
                  <c:v>0.78900000000000003</c:v>
                </c:pt>
                <c:pt idx="33">
                  <c:v>0.79400000000000004</c:v>
                </c:pt>
                <c:pt idx="34">
                  <c:v>0.745</c:v>
                </c:pt>
                <c:pt idx="35">
                  <c:v>0.70299999999999996</c:v>
                </c:pt>
                <c:pt idx="36">
                  <c:v>0.747</c:v>
                </c:pt>
                <c:pt idx="37">
                  <c:v>0.70499999999999996</c:v>
                </c:pt>
                <c:pt idx="38">
                  <c:v>0.70099999999999996</c:v>
                </c:pt>
                <c:pt idx="39">
                  <c:v>0.65100000000000002</c:v>
                </c:pt>
                <c:pt idx="40">
                  <c:v>0.63</c:v>
                </c:pt>
                <c:pt idx="41">
                  <c:v>0.57399999999999995</c:v>
                </c:pt>
                <c:pt idx="42">
                  <c:v>0.56299999999999994</c:v>
                </c:pt>
                <c:pt idx="43">
                  <c:v>0.59499999999999997</c:v>
                </c:pt>
                <c:pt idx="44">
                  <c:v>0.62</c:v>
                </c:pt>
                <c:pt idx="45">
                  <c:v>0.61699999999999999</c:v>
                </c:pt>
                <c:pt idx="46">
                  <c:v>0.61</c:v>
                </c:pt>
                <c:pt idx="47">
                  <c:v>0.60499999999999998</c:v>
                </c:pt>
                <c:pt idx="48">
                  <c:v>0.60099999999999998</c:v>
                </c:pt>
                <c:pt idx="49">
                  <c:v>0.60499999999999998</c:v>
                </c:pt>
                <c:pt idx="50">
                  <c:v>0.61799999999999999</c:v>
                </c:pt>
                <c:pt idx="51">
                  <c:v>0.61299999999999999</c:v>
                </c:pt>
                <c:pt idx="52">
                  <c:v>0.625</c:v>
                </c:pt>
                <c:pt idx="53">
                  <c:v>0.64600000000000002</c:v>
                </c:pt>
                <c:pt idx="54">
                  <c:v>0.624</c:v>
                </c:pt>
                <c:pt idx="55">
                  <c:v>0.63700000000000001</c:v>
                </c:pt>
                <c:pt idx="56">
                  <c:v>0.64400000000000002</c:v>
                </c:pt>
                <c:pt idx="57">
                  <c:v>0.65400000000000003</c:v>
                </c:pt>
                <c:pt idx="58">
                  <c:v>0.67400000000000004</c:v>
                </c:pt>
                <c:pt idx="59">
                  <c:v>0.67500000000000004</c:v>
                </c:pt>
                <c:pt idx="60">
                  <c:v>0.68200000000000005</c:v>
                </c:pt>
                <c:pt idx="61">
                  <c:v>0.68200000000000005</c:v>
                </c:pt>
                <c:pt idx="62">
                  <c:v>0.67400000000000004</c:v>
                </c:pt>
                <c:pt idx="63">
                  <c:v>0.68200000000000005</c:v>
                </c:pt>
                <c:pt idx="64">
                  <c:v>0.68600000000000005</c:v>
                </c:pt>
                <c:pt idx="65">
                  <c:v>0.69299999999999995</c:v>
                </c:pt>
                <c:pt idx="66">
                  <c:v>0.72099999999999997</c:v>
                </c:pt>
                <c:pt idx="67">
                  <c:v>0.73199999999999998</c:v>
                </c:pt>
                <c:pt idx="68">
                  <c:v>0.70399999999999996</c:v>
                </c:pt>
                <c:pt idx="69">
                  <c:v>0.69899999999999995</c:v>
                </c:pt>
                <c:pt idx="70">
                  <c:v>0.71899999999999997</c:v>
                </c:pt>
                <c:pt idx="71">
                  <c:v>0.71899999999999997</c:v>
                </c:pt>
                <c:pt idx="72">
                  <c:v>0.68400000000000005</c:v>
                </c:pt>
                <c:pt idx="73">
                  <c:v>0.70799999999999996</c:v>
                </c:pt>
                <c:pt idx="74">
                  <c:v>0.70799999999999996</c:v>
                </c:pt>
                <c:pt idx="75">
                  <c:v>0.69499999999999995</c:v>
                </c:pt>
                <c:pt idx="76">
                  <c:v>0.69799999999999995</c:v>
                </c:pt>
                <c:pt idx="77">
                  <c:v>0.69</c:v>
                </c:pt>
                <c:pt idx="78">
                  <c:v>0.72699999999999998</c:v>
                </c:pt>
                <c:pt idx="79">
                  <c:v>0.72899999999999998</c:v>
                </c:pt>
                <c:pt idx="80">
                  <c:v>0.71699999999999997</c:v>
                </c:pt>
                <c:pt idx="81">
                  <c:v>0.71199999999999997</c:v>
                </c:pt>
                <c:pt idx="82">
                  <c:v>0.748</c:v>
                </c:pt>
                <c:pt idx="83">
                  <c:v>0.749</c:v>
                </c:pt>
                <c:pt idx="84">
                  <c:v>0.74099999999999999</c:v>
                </c:pt>
                <c:pt idx="85">
                  <c:v>0.73799999999999999</c:v>
                </c:pt>
                <c:pt idx="86">
                  <c:v>0.71399999999999997</c:v>
                </c:pt>
                <c:pt idx="87">
                  <c:v>0.70199999999999996</c:v>
                </c:pt>
                <c:pt idx="88">
                  <c:v>0.69799999999999995</c:v>
                </c:pt>
                <c:pt idx="89">
                  <c:v>0.69499999999999995</c:v>
                </c:pt>
                <c:pt idx="90">
                  <c:v>0.69099999999999995</c:v>
                </c:pt>
                <c:pt idx="91">
                  <c:v>0.68600000000000005</c:v>
                </c:pt>
                <c:pt idx="92">
                  <c:v>0.67700000000000005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1.8009999999999999</c:v>
                </c:pt>
                <c:pt idx="1">
                  <c:v>1.7829999999999999</c:v>
                </c:pt>
                <c:pt idx="2">
                  <c:v>1.784</c:v>
                </c:pt>
                <c:pt idx="3">
                  <c:v>1.7829999999999999</c:v>
                </c:pt>
                <c:pt idx="4">
                  <c:v>1.772</c:v>
                </c:pt>
                <c:pt idx="5">
                  <c:v>1.7529999999999999</c:v>
                </c:pt>
                <c:pt idx="6">
                  <c:v>1.724</c:v>
                </c:pt>
                <c:pt idx="7">
                  <c:v>1.7470000000000001</c:v>
                </c:pt>
                <c:pt idx="8">
                  <c:v>1.724</c:v>
                </c:pt>
                <c:pt idx="9">
                  <c:v>1.72</c:v>
                </c:pt>
                <c:pt idx="10">
                  <c:v>1.716</c:v>
                </c:pt>
                <c:pt idx="11">
                  <c:v>1.7</c:v>
                </c:pt>
                <c:pt idx="12">
                  <c:v>1.6739999999999999</c:v>
                </c:pt>
                <c:pt idx="13">
                  <c:v>1.68</c:v>
                </c:pt>
                <c:pt idx="14">
                  <c:v>1.6819999999999999</c:v>
                </c:pt>
                <c:pt idx="15">
                  <c:v>1.653</c:v>
                </c:pt>
                <c:pt idx="16">
                  <c:v>1.6359999999999999</c:v>
                </c:pt>
                <c:pt idx="17">
                  <c:v>1.599</c:v>
                </c:pt>
                <c:pt idx="18">
                  <c:v>1.597</c:v>
                </c:pt>
                <c:pt idx="19">
                  <c:v>1.538</c:v>
                </c:pt>
                <c:pt idx="20">
                  <c:v>1.593</c:v>
                </c:pt>
                <c:pt idx="21">
                  <c:v>1.5780000000000001</c:v>
                </c:pt>
                <c:pt idx="22">
                  <c:v>1.577</c:v>
                </c:pt>
                <c:pt idx="23">
                  <c:v>1.5649999999999999</c:v>
                </c:pt>
                <c:pt idx="24">
                  <c:v>1.5209999999999999</c:v>
                </c:pt>
                <c:pt idx="25">
                  <c:v>1.5229999999999999</c:v>
                </c:pt>
                <c:pt idx="26">
                  <c:v>1.5329999999999999</c:v>
                </c:pt>
                <c:pt idx="27">
                  <c:v>1.5169999999999999</c:v>
                </c:pt>
                <c:pt idx="28">
                  <c:v>1.51</c:v>
                </c:pt>
                <c:pt idx="29">
                  <c:v>1.5149999999999999</c:v>
                </c:pt>
                <c:pt idx="30">
                  <c:v>1.5029999999999999</c:v>
                </c:pt>
                <c:pt idx="31">
                  <c:v>1.472</c:v>
                </c:pt>
                <c:pt idx="32">
                  <c:v>1.4390000000000001</c:v>
                </c:pt>
                <c:pt idx="33">
                  <c:v>1.4370000000000001</c:v>
                </c:pt>
                <c:pt idx="34">
                  <c:v>1.3859999999999999</c:v>
                </c:pt>
                <c:pt idx="35">
                  <c:v>1.3480000000000001</c:v>
                </c:pt>
                <c:pt idx="36">
                  <c:v>1.401</c:v>
                </c:pt>
                <c:pt idx="37">
                  <c:v>1.365</c:v>
                </c:pt>
                <c:pt idx="38">
                  <c:v>1.3680000000000001</c:v>
                </c:pt>
                <c:pt idx="39">
                  <c:v>1.32</c:v>
                </c:pt>
                <c:pt idx="40">
                  <c:v>1.3</c:v>
                </c:pt>
                <c:pt idx="41">
                  <c:v>1.2390000000000001</c:v>
                </c:pt>
                <c:pt idx="42">
                  <c:v>1.228</c:v>
                </c:pt>
                <c:pt idx="43">
                  <c:v>1.2649999999999999</c:v>
                </c:pt>
                <c:pt idx="44">
                  <c:v>1.2889999999999999</c:v>
                </c:pt>
                <c:pt idx="45">
                  <c:v>1.286</c:v>
                </c:pt>
                <c:pt idx="46">
                  <c:v>1.274</c:v>
                </c:pt>
                <c:pt idx="47">
                  <c:v>1.2629999999999999</c:v>
                </c:pt>
                <c:pt idx="48">
                  <c:v>1.2529999999999999</c:v>
                </c:pt>
                <c:pt idx="49">
                  <c:v>1.248</c:v>
                </c:pt>
                <c:pt idx="50">
                  <c:v>1.2509999999999999</c:v>
                </c:pt>
                <c:pt idx="51">
                  <c:v>1.24</c:v>
                </c:pt>
                <c:pt idx="52">
                  <c:v>1.2410000000000001</c:v>
                </c:pt>
                <c:pt idx="53">
                  <c:v>1.254</c:v>
                </c:pt>
                <c:pt idx="54">
                  <c:v>1.23</c:v>
                </c:pt>
                <c:pt idx="55">
                  <c:v>1.236</c:v>
                </c:pt>
                <c:pt idx="56">
                  <c:v>1.234</c:v>
                </c:pt>
                <c:pt idx="57">
                  <c:v>1.238</c:v>
                </c:pt>
                <c:pt idx="58">
                  <c:v>1.2509999999999999</c:v>
                </c:pt>
                <c:pt idx="59">
                  <c:v>1.2470000000000001</c:v>
                </c:pt>
                <c:pt idx="60">
                  <c:v>1.248</c:v>
                </c:pt>
                <c:pt idx="61">
                  <c:v>1.2430000000000001</c:v>
                </c:pt>
                <c:pt idx="62">
                  <c:v>1.23</c:v>
                </c:pt>
                <c:pt idx="63">
                  <c:v>1.234</c:v>
                </c:pt>
                <c:pt idx="64">
                  <c:v>1.2310000000000001</c:v>
                </c:pt>
                <c:pt idx="65">
                  <c:v>1.2350000000000001</c:v>
                </c:pt>
                <c:pt idx="66">
                  <c:v>1.258</c:v>
                </c:pt>
                <c:pt idx="67">
                  <c:v>1.264</c:v>
                </c:pt>
                <c:pt idx="68">
                  <c:v>1.232</c:v>
                </c:pt>
                <c:pt idx="69">
                  <c:v>1.224</c:v>
                </c:pt>
                <c:pt idx="70">
                  <c:v>1.2430000000000001</c:v>
                </c:pt>
                <c:pt idx="71">
                  <c:v>1.2350000000000001</c:v>
                </c:pt>
                <c:pt idx="72">
                  <c:v>1.2</c:v>
                </c:pt>
                <c:pt idx="73">
                  <c:v>1.226</c:v>
                </c:pt>
                <c:pt idx="74">
                  <c:v>1.2230000000000001</c:v>
                </c:pt>
                <c:pt idx="75">
                  <c:v>1.2070000000000001</c:v>
                </c:pt>
                <c:pt idx="76">
                  <c:v>1.21</c:v>
                </c:pt>
                <c:pt idx="77">
                  <c:v>1.2030000000000001</c:v>
                </c:pt>
                <c:pt idx="78">
                  <c:v>1.2390000000000001</c:v>
                </c:pt>
                <c:pt idx="79">
                  <c:v>1.2390000000000001</c:v>
                </c:pt>
                <c:pt idx="80">
                  <c:v>1.226</c:v>
                </c:pt>
                <c:pt idx="81">
                  <c:v>1.2250000000000001</c:v>
                </c:pt>
                <c:pt idx="82">
                  <c:v>1.2589999999999999</c:v>
                </c:pt>
                <c:pt idx="83">
                  <c:v>1.2549999999999999</c:v>
                </c:pt>
                <c:pt idx="84">
                  <c:v>1.248</c:v>
                </c:pt>
                <c:pt idx="85">
                  <c:v>1.248</c:v>
                </c:pt>
                <c:pt idx="86">
                  <c:v>1.2250000000000001</c:v>
                </c:pt>
                <c:pt idx="87">
                  <c:v>1.212</c:v>
                </c:pt>
                <c:pt idx="88">
                  <c:v>1.204</c:v>
                </c:pt>
                <c:pt idx="89">
                  <c:v>1.204</c:v>
                </c:pt>
                <c:pt idx="90">
                  <c:v>1.1990000000000001</c:v>
                </c:pt>
                <c:pt idx="91">
                  <c:v>1.1919999999999999</c:v>
                </c:pt>
                <c:pt idx="92">
                  <c:v>1.1779999999999999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-7.2619999999999996</c:v>
                </c:pt>
                <c:pt idx="1">
                  <c:v>-7.9530000000000003</c:v>
                </c:pt>
                <c:pt idx="2">
                  <c:v>-5.3369999999999997</c:v>
                </c:pt>
                <c:pt idx="3">
                  <c:v>-4.6340000000000003</c:v>
                </c:pt>
                <c:pt idx="4">
                  <c:v>-4.3129999999999997</c:v>
                </c:pt>
                <c:pt idx="5">
                  <c:v>-6.0890000000000004</c:v>
                </c:pt>
                <c:pt idx="6">
                  <c:v>-9.0399999999999991</c:v>
                </c:pt>
                <c:pt idx="7">
                  <c:v>-3.7320000000000002</c:v>
                </c:pt>
                <c:pt idx="8">
                  <c:v>-6.2830000000000004</c:v>
                </c:pt>
                <c:pt idx="9">
                  <c:v>-4.99</c:v>
                </c:pt>
                <c:pt idx="10">
                  <c:v>-4.6369999999999996</c:v>
                </c:pt>
                <c:pt idx="11">
                  <c:v>-5.9930000000000003</c:v>
                </c:pt>
                <c:pt idx="12">
                  <c:v>-7.6289999999999996</c:v>
                </c:pt>
                <c:pt idx="13">
                  <c:v>-5.04</c:v>
                </c:pt>
                <c:pt idx="14">
                  <c:v>-4.5289999999999999</c:v>
                </c:pt>
                <c:pt idx="15">
                  <c:v>-7.7279999999999998</c:v>
                </c:pt>
                <c:pt idx="16">
                  <c:v>-9.1999999999999993</c:v>
                </c:pt>
                <c:pt idx="17">
                  <c:v>-13.4</c:v>
                </c:pt>
                <c:pt idx="18">
                  <c:v>-12.84</c:v>
                </c:pt>
                <c:pt idx="19">
                  <c:v>-16.34</c:v>
                </c:pt>
                <c:pt idx="20">
                  <c:v>-10.11</c:v>
                </c:pt>
                <c:pt idx="21">
                  <c:v>-10.87</c:v>
                </c:pt>
                <c:pt idx="22">
                  <c:v>-8.15</c:v>
                </c:pt>
                <c:pt idx="23">
                  <c:v>-9.2899999999999991</c:v>
                </c:pt>
                <c:pt idx="24">
                  <c:v>-13.05</c:v>
                </c:pt>
                <c:pt idx="25">
                  <c:v>-10.9</c:v>
                </c:pt>
                <c:pt idx="26">
                  <c:v>-8.01</c:v>
                </c:pt>
                <c:pt idx="27">
                  <c:v>-8.07</c:v>
                </c:pt>
                <c:pt idx="28">
                  <c:v>-6.7880000000000003</c:v>
                </c:pt>
                <c:pt idx="29">
                  <c:v>-3.81</c:v>
                </c:pt>
                <c:pt idx="30">
                  <c:v>-4.319</c:v>
                </c:pt>
                <c:pt idx="31">
                  <c:v>-9.1199999999999992</c:v>
                </c:pt>
                <c:pt idx="32">
                  <c:v>-12.5</c:v>
                </c:pt>
                <c:pt idx="33">
                  <c:v>-12.09</c:v>
                </c:pt>
                <c:pt idx="34">
                  <c:v>-18.16</c:v>
                </c:pt>
                <c:pt idx="35">
                  <c:v>-18.47</c:v>
                </c:pt>
                <c:pt idx="36">
                  <c:v>-14.49</c:v>
                </c:pt>
                <c:pt idx="37">
                  <c:v>-16.18</c:v>
                </c:pt>
                <c:pt idx="38">
                  <c:v>-14.93</c:v>
                </c:pt>
                <c:pt idx="39">
                  <c:v>-18.239999999999998</c:v>
                </c:pt>
                <c:pt idx="40">
                  <c:v>-18.690000000000001</c:v>
                </c:pt>
                <c:pt idx="41">
                  <c:v>-20.77</c:v>
                </c:pt>
                <c:pt idx="42">
                  <c:v>-19.920000000000002</c:v>
                </c:pt>
                <c:pt idx="43">
                  <c:v>-15.38</c:v>
                </c:pt>
                <c:pt idx="44">
                  <c:v>-10.46</c:v>
                </c:pt>
                <c:pt idx="45">
                  <c:v>-8.16</c:v>
                </c:pt>
                <c:pt idx="46">
                  <c:v>-7.274</c:v>
                </c:pt>
                <c:pt idx="47">
                  <c:v>-6.69</c:v>
                </c:pt>
                <c:pt idx="48">
                  <c:v>-5.9290000000000003</c:v>
                </c:pt>
                <c:pt idx="49">
                  <c:v>-5.0609999999999999</c:v>
                </c:pt>
                <c:pt idx="50">
                  <c:v>-3.6139999999999999</c:v>
                </c:pt>
                <c:pt idx="51">
                  <c:v>-3.867</c:v>
                </c:pt>
                <c:pt idx="52">
                  <c:v>-1.7589999999999999</c:v>
                </c:pt>
                <c:pt idx="53">
                  <c:v>-0.87</c:v>
                </c:pt>
                <c:pt idx="54">
                  <c:v>-3.6219999999999999</c:v>
                </c:pt>
                <c:pt idx="55">
                  <c:v>-2.6440000000000001</c:v>
                </c:pt>
                <c:pt idx="56">
                  <c:v>-3.214</c:v>
                </c:pt>
                <c:pt idx="57">
                  <c:v>-2.976</c:v>
                </c:pt>
                <c:pt idx="58">
                  <c:v>-2.0150000000000001</c:v>
                </c:pt>
                <c:pt idx="59">
                  <c:v>-2.613</c:v>
                </c:pt>
                <c:pt idx="60">
                  <c:v>-1.972</c:v>
                </c:pt>
                <c:pt idx="61">
                  <c:v>-3.2080000000000002</c:v>
                </c:pt>
                <c:pt idx="62">
                  <c:v>-4.3419999999999996</c:v>
                </c:pt>
                <c:pt idx="63">
                  <c:v>-4.9779999999999998</c:v>
                </c:pt>
                <c:pt idx="64">
                  <c:v>-5.3680000000000003</c:v>
                </c:pt>
                <c:pt idx="65">
                  <c:v>-5.0179999999999998</c:v>
                </c:pt>
                <c:pt idx="66">
                  <c:v>-1.6439999999999999</c:v>
                </c:pt>
                <c:pt idx="67">
                  <c:v>-1.155</c:v>
                </c:pt>
                <c:pt idx="68">
                  <c:v>-5.242</c:v>
                </c:pt>
                <c:pt idx="69">
                  <c:v>-6.1980000000000004</c:v>
                </c:pt>
                <c:pt idx="70">
                  <c:v>-2.7959999999999998</c:v>
                </c:pt>
                <c:pt idx="71">
                  <c:v>-5.2690000000000001</c:v>
                </c:pt>
                <c:pt idx="72">
                  <c:v>-9.73</c:v>
                </c:pt>
                <c:pt idx="73">
                  <c:v>-5.6660000000000004</c:v>
                </c:pt>
                <c:pt idx="74">
                  <c:v>-6.4969999999999999</c:v>
                </c:pt>
                <c:pt idx="75">
                  <c:v>-8.23</c:v>
                </c:pt>
                <c:pt idx="76">
                  <c:v>-8.26</c:v>
                </c:pt>
                <c:pt idx="77">
                  <c:v>-7.3049999999999997</c:v>
                </c:pt>
                <c:pt idx="78">
                  <c:v>-3.2109999999999999</c:v>
                </c:pt>
                <c:pt idx="79">
                  <c:v>-3.6760000000000002</c:v>
                </c:pt>
                <c:pt idx="80">
                  <c:v>-4.274</c:v>
                </c:pt>
                <c:pt idx="81">
                  <c:v>-2.7690000000000001</c:v>
                </c:pt>
                <c:pt idx="82">
                  <c:v>-0.02</c:v>
                </c:pt>
                <c:pt idx="83">
                  <c:v>0.22800000000000001</c:v>
                </c:pt>
                <c:pt idx="84">
                  <c:v>0.188</c:v>
                </c:pt>
                <c:pt idx="85">
                  <c:v>0.06</c:v>
                </c:pt>
                <c:pt idx="86">
                  <c:v>-0.313</c:v>
                </c:pt>
                <c:pt idx="87">
                  <c:v>-2.238</c:v>
                </c:pt>
                <c:pt idx="88">
                  <c:v>-2.452</c:v>
                </c:pt>
                <c:pt idx="89">
                  <c:v>-0.83899999999999997</c:v>
                </c:pt>
                <c:pt idx="90">
                  <c:v>-1.3089999999999999</c:v>
                </c:pt>
                <c:pt idx="91">
                  <c:v>-1.631</c:v>
                </c:pt>
                <c:pt idx="92">
                  <c:v>-3.74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184000"/>
        <c:axId val="312091008"/>
      </c:lineChart>
      <c:catAx>
        <c:axId val="3111840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0910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091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11840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9767990860952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0.5</c:v>
                </c:pt>
                <c:pt idx="1">
                  <c:v>0.49800000000000022</c:v>
                </c:pt>
                <c:pt idx="2">
                  <c:v>0.4830000000000001</c:v>
                </c:pt>
                <c:pt idx="3">
                  <c:v>0.49699999999999989</c:v>
                </c:pt>
                <c:pt idx="4">
                  <c:v>0.47500000000000009</c:v>
                </c:pt>
                <c:pt idx="5">
                  <c:v>0.48399999999999999</c:v>
                </c:pt>
                <c:pt idx="6">
                  <c:v>0.47500000000000009</c:v>
                </c:pt>
                <c:pt idx="7">
                  <c:v>0.5</c:v>
                </c:pt>
                <c:pt idx="8">
                  <c:v>0.49500000000000011</c:v>
                </c:pt>
                <c:pt idx="9">
                  <c:v>0.64500000000000002</c:v>
                </c:pt>
                <c:pt idx="10">
                  <c:v>0.61099999999999999</c:v>
                </c:pt>
                <c:pt idx="11">
                  <c:v>0.6100000000000001</c:v>
                </c:pt>
                <c:pt idx="12">
                  <c:v>0.57400000000000029</c:v>
                </c:pt>
                <c:pt idx="13">
                  <c:v>0.58099999999999996</c:v>
                </c:pt>
                <c:pt idx="14">
                  <c:v>0.57200000000000006</c:v>
                </c:pt>
                <c:pt idx="15">
                  <c:v>0.5900000000000003</c:v>
                </c:pt>
                <c:pt idx="16">
                  <c:v>0.52</c:v>
                </c:pt>
                <c:pt idx="17">
                  <c:v>0.55000000000000027</c:v>
                </c:pt>
                <c:pt idx="18">
                  <c:v>0.55299999999999994</c:v>
                </c:pt>
                <c:pt idx="19">
                  <c:v>0.55299999999999994</c:v>
                </c:pt>
                <c:pt idx="20">
                  <c:v>0.55200000000000005</c:v>
                </c:pt>
                <c:pt idx="21">
                  <c:v>0.56600000000000028</c:v>
                </c:pt>
                <c:pt idx="22">
                  <c:v>0.56300000000000017</c:v>
                </c:pt>
                <c:pt idx="23">
                  <c:v>0.54400000000000004</c:v>
                </c:pt>
                <c:pt idx="24">
                  <c:v>0.57100000000000017</c:v>
                </c:pt>
                <c:pt idx="25">
                  <c:v>0.56400000000000006</c:v>
                </c:pt>
                <c:pt idx="26">
                  <c:v>0.55800000000000027</c:v>
                </c:pt>
                <c:pt idx="27">
                  <c:v>0.56300000000000017</c:v>
                </c:pt>
                <c:pt idx="28">
                  <c:v>0.55800000000000027</c:v>
                </c:pt>
                <c:pt idx="29">
                  <c:v>0.53000000000000025</c:v>
                </c:pt>
                <c:pt idx="30">
                  <c:v>0.58499999999999996</c:v>
                </c:pt>
                <c:pt idx="31">
                  <c:v>0.6080000000000001</c:v>
                </c:pt>
                <c:pt idx="32">
                  <c:v>0.6120000000000001</c:v>
                </c:pt>
                <c:pt idx="33">
                  <c:v>0.6100000000000001</c:v>
                </c:pt>
                <c:pt idx="34">
                  <c:v>0.59600000000000009</c:v>
                </c:pt>
                <c:pt idx="35">
                  <c:v>0.58099999999999996</c:v>
                </c:pt>
                <c:pt idx="36">
                  <c:v>0.53500000000000014</c:v>
                </c:pt>
                <c:pt idx="37">
                  <c:v>0.57699999999999996</c:v>
                </c:pt>
                <c:pt idx="38">
                  <c:v>0.58700000000000019</c:v>
                </c:pt>
                <c:pt idx="39">
                  <c:v>0.61499999999999999</c:v>
                </c:pt>
                <c:pt idx="40">
                  <c:v>0.59699999999999998</c:v>
                </c:pt>
                <c:pt idx="41">
                  <c:v>0.5860000000000003</c:v>
                </c:pt>
                <c:pt idx="42">
                  <c:v>0.54899999999999993</c:v>
                </c:pt>
                <c:pt idx="43">
                  <c:v>0.5950000000000002</c:v>
                </c:pt>
                <c:pt idx="44">
                  <c:v>0.61899999999999999</c:v>
                </c:pt>
                <c:pt idx="45">
                  <c:v>0.63800000000000012</c:v>
                </c:pt>
                <c:pt idx="46">
                  <c:v>0.64800000000000013</c:v>
                </c:pt>
                <c:pt idx="47">
                  <c:v>0.69700000000000006</c:v>
                </c:pt>
                <c:pt idx="48">
                  <c:v>0.65500000000000003</c:v>
                </c:pt>
                <c:pt idx="49">
                  <c:v>0.63100000000000001</c:v>
                </c:pt>
                <c:pt idx="50">
                  <c:v>0.67000000000000015</c:v>
                </c:pt>
                <c:pt idx="51">
                  <c:v>0.7200000000000002</c:v>
                </c:pt>
                <c:pt idx="52">
                  <c:v>0.71700000000000008</c:v>
                </c:pt>
                <c:pt idx="53">
                  <c:v>0.76100000000000012</c:v>
                </c:pt>
                <c:pt idx="54">
                  <c:v>0.754</c:v>
                </c:pt>
                <c:pt idx="55">
                  <c:v>0.79400000000000004</c:v>
                </c:pt>
                <c:pt idx="56">
                  <c:v>0.76900000000000013</c:v>
                </c:pt>
                <c:pt idx="57">
                  <c:v>0.752</c:v>
                </c:pt>
                <c:pt idx="58">
                  <c:v>0.7330000000000001</c:v>
                </c:pt>
                <c:pt idx="59">
                  <c:v>0.72500000000000009</c:v>
                </c:pt>
                <c:pt idx="60">
                  <c:v>0.71000000000000019</c:v>
                </c:pt>
                <c:pt idx="61">
                  <c:v>0.70000000000000018</c:v>
                </c:pt>
                <c:pt idx="62">
                  <c:v>0.71200000000000019</c:v>
                </c:pt>
                <c:pt idx="63">
                  <c:v>0.66700000000000004</c:v>
                </c:pt>
                <c:pt idx="64">
                  <c:v>0.7240000000000002</c:v>
                </c:pt>
                <c:pt idx="65">
                  <c:v>0.69900000000000007</c:v>
                </c:pt>
                <c:pt idx="66">
                  <c:v>0.71700000000000008</c:v>
                </c:pt>
                <c:pt idx="67">
                  <c:v>0.69200000000000017</c:v>
                </c:pt>
                <c:pt idx="68">
                  <c:v>0.70700000000000007</c:v>
                </c:pt>
                <c:pt idx="69">
                  <c:v>0.70500000000000007</c:v>
                </c:pt>
                <c:pt idx="70">
                  <c:v>0.77</c:v>
                </c:pt>
                <c:pt idx="71">
                  <c:v>0.94000000000000017</c:v>
                </c:pt>
                <c:pt idx="72">
                  <c:v>0.86299999999999999</c:v>
                </c:pt>
                <c:pt idx="73">
                  <c:v>0.91000000000000014</c:v>
                </c:pt>
                <c:pt idx="74">
                  <c:v>0.96800000000000019</c:v>
                </c:pt>
                <c:pt idx="75">
                  <c:v>0.95700000000000007</c:v>
                </c:pt>
                <c:pt idx="76">
                  <c:v>0.94100000000000006</c:v>
                </c:pt>
                <c:pt idx="77">
                  <c:v>0.92400000000000015</c:v>
                </c:pt>
                <c:pt idx="78">
                  <c:v>0.91100000000000003</c:v>
                </c:pt>
                <c:pt idx="79">
                  <c:v>0.87400000000000011</c:v>
                </c:pt>
                <c:pt idx="80">
                  <c:v>0.97900000000000009</c:v>
                </c:pt>
                <c:pt idx="81">
                  <c:v>1.103</c:v>
                </c:pt>
                <c:pt idx="82">
                  <c:v>0.998</c:v>
                </c:pt>
                <c:pt idx="83">
                  <c:v>0.91800000000000015</c:v>
                </c:pt>
                <c:pt idx="84">
                  <c:v>0.8600000000000001</c:v>
                </c:pt>
                <c:pt idx="85">
                  <c:v>0.83500000000000019</c:v>
                </c:pt>
                <c:pt idx="86">
                  <c:v>0.78900000000000015</c:v>
                </c:pt>
                <c:pt idx="87">
                  <c:v>0.82600000000000007</c:v>
                </c:pt>
                <c:pt idx="88">
                  <c:v>0.81100000000000017</c:v>
                </c:pt>
                <c:pt idx="89">
                  <c:v>0.82300000000000018</c:v>
                </c:pt>
                <c:pt idx="90">
                  <c:v>0.82000000000000006</c:v>
                </c:pt>
                <c:pt idx="91">
                  <c:v>0.80100000000000016</c:v>
                </c:pt>
                <c:pt idx="92">
                  <c:v>0.80600000000000005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115968"/>
        <c:axId val="312117504"/>
      </c:lineChart>
      <c:catAx>
        <c:axId val="312115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117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117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11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-6.7039999999999997</c:v>
                </c:pt>
                <c:pt idx="1">
                  <c:v>-6.96</c:v>
                </c:pt>
                <c:pt idx="2">
                  <c:v>-3.637</c:v>
                </c:pt>
                <c:pt idx="3">
                  <c:v>-3.306</c:v>
                </c:pt>
                <c:pt idx="4">
                  <c:v>-1.708</c:v>
                </c:pt>
                <c:pt idx="5">
                  <c:v>-3.968</c:v>
                </c:pt>
                <c:pt idx="6">
                  <c:v>-5.915</c:v>
                </c:pt>
                <c:pt idx="7">
                  <c:v>-1.024</c:v>
                </c:pt>
                <c:pt idx="8">
                  <c:v>-2.8679999999999999</c:v>
                </c:pt>
                <c:pt idx="9">
                  <c:v>-2.6619999999999999</c:v>
                </c:pt>
                <c:pt idx="10">
                  <c:v>-3.8809999999999998</c:v>
                </c:pt>
                <c:pt idx="11">
                  <c:v>-4.7779999999999996</c:v>
                </c:pt>
                <c:pt idx="12">
                  <c:v>-3.2690000000000001</c:v>
                </c:pt>
                <c:pt idx="13">
                  <c:v>-0.121</c:v>
                </c:pt>
                <c:pt idx="14">
                  <c:v>-0.58099999999999996</c:v>
                </c:pt>
                <c:pt idx="15">
                  <c:v>-2.1829999999999998</c:v>
                </c:pt>
                <c:pt idx="16">
                  <c:v>-6.1260000000000003</c:v>
                </c:pt>
                <c:pt idx="17">
                  <c:v>-9.65</c:v>
                </c:pt>
                <c:pt idx="18">
                  <c:v>-10.29</c:v>
                </c:pt>
                <c:pt idx="19">
                  <c:v>-10.72</c:v>
                </c:pt>
                <c:pt idx="20">
                  <c:v>-5.2220000000000004</c:v>
                </c:pt>
                <c:pt idx="21">
                  <c:v>-5.9740000000000002</c:v>
                </c:pt>
                <c:pt idx="22">
                  <c:v>-3.6619999999999999</c:v>
                </c:pt>
                <c:pt idx="23">
                  <c:v>-6.4779999999999998</c:v>
                </c:pt>
                <c:pt idx="24">
                  <c:v>-9.18</c:v>
                </c:pt>
                <c:pt idx="25">
                  <c:v>-4.4020000000000001</c:v>
                </c:pt>
                <c:pt idx="26">
                  <c:v>-2.1760000000000002</c:v>
                </c:pt>
                <c:pt idx="27">
                  <c:v>-0.50700000000000001</c:v>
                </c:pt>
                <c:pt idx="28">
                  <c:v>-0.29399999999999998</c:v>
                </c:pt>
                <c:pt idx="29">
                  <c:v>-0.30199999999999999</c:v>
                </c:pt>
                <c:pt idx="30">
                  <c:v>-2.4969999999999999</c:v>
                </c:pt>
                <c:pt idx="31">
                  <c:v>-3.8370000000000002</c:v>
                </c:pt>
                <c:pt idx="32">
                  <c:v>-8.19</c:v>
                </c:pt>
                <c:pt idx="33">
                  <c:v>-9.34</c:v>
                </c:pt>
                <c:pt idx="34">
                  <c:v>-13.5</c:v>
                </c:pt>
                <c:pt idx="35">
                  <c:v>-13.12</c:v>
                </c:pt>
                <c:pt idx="36">
                  <c:v>-10.26</c:v>
                </c:pt>
                <c:pt idx="37">
                  <c:v>-8.5</c:v>
                </c:pt>
                <c:pt idx="38">
                  <c:v>-10.08</c:v>
                </c:pt>
                <c:pt idx="39">
                  <c:v>-11.38</c:v>
                </c:pt>
                <c:pt idx="40">
                  <c:v>-14.61</c:v>
                </c:pt>
                <c:pt idx="41">
                  <c:v>-13.78</c:v>
                </c:pt>
                <c:pt idx="42">
                  <c:v>-10.67</c:v>
                </c:pt>
                <c:pt idx="43">
                  <c:v>-10.33</c:v>
                </c:pt>
                <c:pt idx="44">
                  <c:v>-6.0960000000000001</c:v>
                </c:pt>
                <c:pt idx="45">
                  <c:v>-5.5350000000000001</c:v>
                </c:pt>
                <c:pt idx="46">
                  <c:v>-5.4089999999999998</c:v>
                </c:pt>
                <c:pt idx="47">
                  <c:v>-4.5019999999999998</c:v>
                </c:pt>
                <c:pt idx="48">
                  <c:v>-4.0019999999999998</c:v>
                </c:pt>
                <c:pt idx="49">
                  <c:v>-3.9780000000000002</c:v>
                </c:pt>
                <c:pt idx="50">
                  <c:v>-0.151</c:v>
                </c:pt>
                <c:pt idx="51">
                  <c:v>-2.3940000000000001</c:v>
                </c:pt>
                <c:pt idx="52">
                  <c:v>0.39</c:v>
                </c:pt>
                <c:pt idx="53">
                  <c:v>0.36099999999999999</c:v>
                </c:pt>
                <c:pt idx="54">
                  <c:v>-2.1520000000000001</c:v>
                </c:pt>
                <c:pt idx="55">
                  <c:v>-0.24299999999999999</c:v>
                </c:pt>
                <c:pt idx="56">
                  <c:v>-2E-3</c:v>
                </c:pt>
                <c:pt idx="57">
                  <c:v>0.17699999999999999</c:v>
                </c:pt>
                <c:pt idx="58">
                  <c:v>1.1220000000000001</c:v>
                </c:pt>
                <c:pt idx="59">
                  <c:v>1.702</c:v>
                </c:pt>
                <c:pt idx="60">
                  <c:v>2.323</c:v>
                </c:pt>
                <c:pt idx="61">
                  <c:v>1.0720000000000001</c:v>
                </c:pt>
                <c:pt idx="62">
                  <c:v>1.5980000000000001</c:v>
                </c:pt>
                <c:pt idx="63">
                  <c:v>0.55300000000000005</c:v>
                </c:pt>
                <c:pt idx="64">
                  <c:v>-0.90500000000000003</c:v>
                </c:pt>
                <c:pt idx="65">
                  <c:v>0.67600000000000005</c:v>
                </c:pt>
                <c:pt idx="66">
                  <c:v>1.2430000000000001</c:v>
                </c:pt>
                <c:pt idx="67">
                  <c:v>2.6539999999999999</c:v>
                </c:pt>
                <c:pt idx="68">
                  <c:v>-0.78700000000000003</c:v>
                </c:pt>
                <c:pt idx="69">
                  <c:v>-3.24</c:v>
                </c:pt>
                <c:pt idx="70">
                  <c:v>-0.55900000000000005</c:v>
                </c:pt>
                <c:pt idx="71">
                  <c:v>-1.9530000000000001</c:v>
                </c:pt>
                <c:pt idx="72">
                  <c:v>-4.0670000000000002</c:v>
                </c:pt>
                <c:pt idx="73">
                  <c:v>-2.7290000000000001</c:v>
                </c:pt>
                <c:pt idx="74">
                  <c:v>-0.98499999999999999</c:v>
                </c:pt>
                <c:pt idx="75">
                  <c:v>-0.84799999999999998</c:v>
                </c:pt>
                <c:pt idx="76">
                  <c:v>-0.27400000000000002</c:v>
                </c:pt>
                <c:pt idx="77">
                  <c:v>-2.133</c:v>
                </c:pt>
                <c:pt idx="78">
                  <c:v>1.125</c:v>
                </c:pt>
                <c:pt idx="79">
                  <c:v>1.379</c:v>
                </c:pt>
                <c:pt idx="80">
                  <c:v>-0.61899999999999999</c:v>
                </c:pt>
                <c:pt idx="81">
                  <c:v>0.35699999999999998</c:v>
                </c:pt>
                <c:pt idx="82">
                  <c:v>0.51600000000000001</c:v>
                </c:pt>
                <c:pt idx="83">
                  <c:v>2.2240000000000002</c:v>
                </c:pt>
                <c:pt idx="84">
                  <c:v>2.7930000000000001</c:v>
                </c:pt>
                <c:pt idx="85">
                  <c:v>1.909</c:v>
                </c:pt>
                <c:pt idx="86">
                  <c:v>2.214</c:v>
                </c:pt>
                <c:pt idx="87">
                  <c:v>0.65200000000000002</c:v>
                </c:pt>
                <c:pt idx="88">
                  <c:v>1.22</c:v>
                </c:pt>
                <c:pt idx="89">
                  <c:v>0.82</c:v>
                </c:pt>
                <c:pt idx="90">
                  <c:v>1.9590000000000001</c:v>
                </c:pt>
                <c:pt idx="91">
                  <c:v>2.0670000000000002</c:v>
                </c:pt>
                <c:pt idx="92">
                  <c:v>2.1579999999999999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-7.8559999999999999</c:v>
                </c:pt>
                <c:pt idx="1">
                  <c:v>-10.15</c:v>
                </c:pt>
                <c:pt idx="2">
                  <c:v>-9.18</c:v>
                </c:pt>
                <c:pt idx="3">
                  <c:v>-6.5549999999999997</c:v>
                </c:pt>
                <c:pt idx="4">
                  <c:v>-7.7960000000000003</c:v>
                </c:pt>
                <c:pt idx="5">
                  <c:v>-10.06</c:v>
                </c:pt>
                <c:pt idx="6">
                  <c:v>-12.41</c:v>
                </c:pt>
                <c:pt idx="7">
                  <c:v>-7.7249999999999996</c:v>
                </c:pt>
                <c:pt idx="8">
                  <c:v>-8.61</c:v>
                </c:pt>
                <c:pt idx="9">
                  <c:v>-7.6479999999999997</c:v>
                </c:pt>
                <c:pt idx="10">
                  <c:v>-6.0869999999999997</c:v>
                </c:pt>
                <c:pt idx="11">
                  <c:v>-7.9080000000000004</c:v>
                </c:pt>
                <c:pt idx="12">
                  <c:v>-10.55</c:v>
                </c:pt>
                <c:pt idx="13">
                  <c:v>-9.76</c:v>
                </c:pt>
                <c:pt idx="14">
                  <c:v>-7.9390000000000001</c:v>
                </c:pt>
                <c:pt idx="15">
                  <c:v>-10.37</c:v>
                </c:pt>
                <c:pt idx="16">
                  <c:v>-12.58</c:v>
                </c:pt>
                <c:pt idx="17">
                  <c:v>-18.03</c:v>
                </c:pt>
                <c:pt idx="18">
                  <c:v>-18.98</c:v>
                </c:pt>
                <c:pt idx="19">
                  <c:v>-21.26</c:v>
                </c:pt>
                <c:pt idx="20">
                  <c:v>-15.4</c:v>
                </c:pt>
                <c:pt idx="21">
                  <c:v>-15.83</c:v>
                </c:pt>
                <c:pt idx="22">
                  <c:v>-12.44</c:v>
                </c:pt>
                <c:pt idx="23">
                  <c:v>-14.11</c:v>
                </c:pt>
                <c:pt idx="24">
                  <c:v>-17.440000000000001</c:v>
                </c:pt>
                <c:pt idx="25">
                  <c:v>-15.61</c:v>
                </c:pt>
                <c:pt idx="26">
                  <c:v>-12.07</c:v>
                </c:pt>
                <c:pt idx="27">
                  <c:v>-11.42</c:v>
                </c:pt>
                <c:pt idx="28">
                  <c:v>-13.15</c:v>
                </c:pt>
                <c:pt idx="29">
                  <c:v>-6.5129999999999999</c:v>
                </c:pt>
                <c:pt idx="30">
                  <c:v>-7.2370000000000001</c:v>
                </c:pt>
                <c:pt idx="31">
                  <c:v>-12.91</c:v>
                </c:pt>
                <c:pt idx="32">
                  <c:v>-18.18</c:v>
                </c:pt>
                <c:pt idx="33">
                  <c:v>-17.14</c:v>
                </c:pt>
                <c:pt idx="34">
                  <c:v>-21.65</c:v>
                </c:pt>
                <c:pt idx="35">
                  <c:v>-24.32</c:v>
                </c:pt>
                <c:pt idx="36">
                  <c:v>-19.489999999999998</c:v>
                </c:pt>
                <c:pt idx="37">
                  <c:v>-20.55</c:v>
                </c:pt>
                <c:pt idx="38">
                  <c:v>-20.28</c:v>
                </c:pt>
                <c:pt idx="39">
                  <c:v>-21.57</c:v>
                </c:pt>
                <c:pt idx="40">
                  <c:v>-23.14</c:v>
                </c:pt>
                <c:pt idx="41">
                  <c:v>-24.84</c:v>
                </c:pt>
                <c:pt idx="42">
                  <c:v>-25.6</c:v>
                </c:pt>
                <c:pt idx="43">
                  <c:v>-21.27</c:v>
                </c:pt>
                <c:pt idx="44">
                  <c:v>-12.84</c:v>
                </c:pt>
                <c:pt idx="45">
                  <c:v>-10.41</c:v>
                </c:pt>
                <c:pt idx="46">
                  <c:v>-8.89</c:v>
                </c:pt>
                <c:pt idx="47">
                  <c:v>-8.11</c:v>
                </c:pt>
                <c:pt idx="48">
                  <c:v>-7.6230000000000002</c:v>
                </c:pt>
                <c:pt idx="49">
                  <c:v>-6.1589999999999998</c:v>
                </c:pt>
                <c:pt idx="50">
                  <c:v>-7.5609999999999999</c:v>
                </c:pt>
                <c:pt idx="51">
                  <c:v>-6.2859999999999996</c:v>
                </c:pt>
                <c:pt idx="52">
                  <c:v>-4.9589999999999996</c:v>
                </c:pt>
                <c:pt idx="53">
                  <c:v>-3.1619999999999999</c:v>
                </c:pt>
                <c:pt idx="54">
                  <c:v>-6.9009999999999998</c:v>
                </c:pt>
                <c:pt idx="55">
                  <c:v>-4.5919999999999996</c:v>
                </c:pt>
                <c:pt idx="56">
                  <c:v>-7.875</c:v>
                </c:pt>
                <c:pt idx="57">
                  <c:v>-7.2220000000000004</c:v>
                </c:pt>
                <c:pt idx="58">
                  <c:v>-4.3289999999999997</c:v>
                </c:pt>
                <c:pt idx="59">
                  <c:v>-9.1999999999999993</c:v>
                </c:pt>
                <c:pt idx="60">
                  <c:v>-7.7069999999999999</c:v>
                </c:pt>
                <c:pt idx="61">
                  <c:v>-8.4499999999999993</c:v>
                </c:pt>
                <c:pt idx="62">
                  <c:v>-10.5</c:v>
                </c:pt>
                <c:pt idx="63">
                  <c:v>-8.6300000000000008</c:v>
                </c:pt>
                <c:pt idx="64">
                  <c:v>-11.23</c:v>
                </c:pt>
                <c:pt idx="65">
                  <c:v>-11.84</c:v>
                </c:pt>
                <c:pt idx="66">
                  <c:v>-5.79</c:v>
                </c:pt>
                <c:pt idx="67">
                  <c:v>-5.0220000000000002</c:v>
                </c:pt>
                <c:pt idx="68">
                  <c:v>-8.2899999999999991</c:v>
                </c:pt>
                <c:pt idx="69">
                  <c:v>-11.24</c:v>
                </c:pt>
                <c:pt idx="70">
                  <c:v>-5.5060000000000002</c:v>
                </c:pt>
                <c:pt idx="71">
                  <c:v>-12.37</c:v>
                </c:pt>
                <c:pt idx="72">
                  <c:v>-16.579999999999998</c:v>
                </c:pt>
                <c:pt idx="73">
                  <c:v>-8.5500000000000007</c:v>
                </c:pt>
                <c:pt idx="74">
                  <c:v>-9.3000000000000007</c:v>
                </c:pt>
                <c:pt idx="75">
                  <c:v>-13.54</c:v>
                </c:pt>
                <c:pt idx="76">
                  <c:v>-13.87</c:v>
                </c:pt>
                <c:pt idx="77">
                  <c:v>-14.67</c:v>
                </c:pt>
                <c:pt idx="78">
                  <c:v>-4.4539999999999997</c:v>
                </c:pt>
                <c:pt idx="79">
                  <c:v>-11.7</c:v>
                </c:pt>
                <c:pt idx="80">
                  <c:v>-7.5069999999999997</c:v>
                </c:pt>
                <c:pt idx="81">
                  <c:v>-5.3179999999999996</c:v>
                </c:pt>
                <c:pt idx="82">
                  <c:v>-0.317</c:v>
                </c:pt>
                <c:pt idx="83">
                  <c:v>-0.51500000000000001</c:v>
                </c:pt>
                <c:pt idx="84">
                  <c:v>-1.252</c:v>
                </c:pt>
                <c:pt idx="85">
                  <c:v>-0.66700000000000004</c:v>
                </c:pt>
                <c:pt idx="86">
                  <c:v>-1.2210000000000001</c:v>
                </c:pt>
                <c:pt idx="87">
                  <c:v>-4.8860000000000001</c:v>
                </c:pt>
                <c:pt idx="88">
                  <c:v>-7.71</c:v>
                </c:pt>
                <c:pt idx="89">
                  <c:v>-2.3359999999999999</c:v>
                </c:pt>
                <c:pt idx="90">
                  <c:v>-3.16</c:v>
                </c:pt>
                <c:pt idx="91">
                  <c:v>-3.5249999999999999</c:v>
                </c:pt>
                <c:pt idx="92">
                  <c:v>-8.56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134656"/>
        <c:axId val="312288000"/>
      </c:lineChart>
      <c:catAx>
        <c:axId val="312134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288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288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134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8456274850999"/>
          <c:y val="0.18787513972629019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0.156</c:v>
                </c:pt>
                <c:pt idx="1">
                  <c:v>0.157</c:v>
                </c:pt>
                <c:pt idx="2">
                  <c:v>0.158</c:v>
                </c:pt>
                <c:pt idx="3">
                  <c:v>0.158</c:v>
                </c:pt>
                <c:pt idx="4">
                  <c:v>0.158</c:v>
                </c:pt>
                <c:pt idx="5">
                  <c:v>0.158</c:v>
                </c:pt>
                <c:pt idx="6">
                  <c:v>0.159</c:v>
                </c:pt>
                <c:pt idx="7">
                  <c:v>0.159</c:v>
                </c:pt>
                <c:pt idx="8">
                  <c:v>0.159</c:v>
                </c:pt>
                <c:pt idx="9">
                  <c:v>0.159</c:v>
                </c:pt>
                <c:pt idx="10">
                  <c:v>0.159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0.161</c:v>
                </c:pt>
                <c:pt idx="15">
                  <c:v>0.161</c:v>
                </c:pt>
                <c:pt idx="16">
                  <c:v>0.161</c:v>
                </c:pt>
                <c:pt idx="17">
                  <c:v>0.161</c:v>
                </c:pt>
                <c:pt idx="18">
                  <c:v>0.161</c:v>
                </c:pt>
                <c:pt idx="19">
                  <c:v>0.161</c:v>
                </c:pt>
                <c:pt idx="20">
                  <c:v>0.16</c:v>
                </c:pt>
                <c:pt idx="21">
                  <c:v>0.159</c:v>
                </c:pt>
                <c:pt idx="22">
                  <c:v>0.158</c:v>
                </c:pt>
                <c:pt idx="23">
                  <c:v>0.157</c:v>
                </c:pt>
                <c:pt idx="24">
                  <c:v>0.156</c:v>
                </c:pt>
                <c:pt idx="25">
                  <c:v>0.156</c:v>
                </c:pt>
                <c:pt idx="26">
                  <c:v>0.155</c:v>
                </c:pt>
                <c:pt idx="27">
                  <c:v>0.154</c:v>
                </c:pt>
                <c:pt idx="28">
                  <c:v>0.153</c:v>
                </c:pt>
                <c:pt idx="29">
                  <c:v>0.153</c:v>
                </c:pt>
                <c:pt idx="30">
                  <c:v>0.152</c:v>
                </c:pt>
                <c:pt idx="31">
                  <c:v>0.151</c:v>
                </c:pt>
                <c:pt idx="32">
                  <c:v>0.151</c:v>
                </c:pt>
                <c:pt idx="33">
                  <c:v>0.151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0.14899999999999999</c:v>
                </c:pt>
                <c:pt idx="39">
                  <c:v>0.14899999999999999</c:v>
                </c:pt>
                <c:pt idx="40">
                  <c:v>0.14799999999999999</c:v>
                </c:pt>
                <c:pt idx="41">
                  <c:v>0.14799999999999999</c:v>
                </c:pt>
                <c:pt idx="42">
                  <c:v>0.14699999999999999</c:v>
                </c:pt>
                <c:pt idx="43">
                  <c:v>0.14599999999999999</c:v>
                </c:pt>
                <c:pt idx="44">
                  <c:v>0.14599999999999999</c:v>
                </c:pt>
                <c:pt idx="45">
                  <c:v>0.14499999999999999</c:v>
                </c:pt>
                <c:pt idx="46">
                  <c:v>0.14499999999999999</c:v>
                </c:pt>
                <c:pt idx="47">
                  <c:v>0.14399999999999999</c:v>
                </c:pt>
                <c:pt idx="48">
                  <c:v>0.14399999999999999</c:v>
                </c:pt>
                <c:pt idx="49">
                  <c:v>0.14299999999999999</c:v>
                </c:pt>
                <c:pt idx="50">
                  <c:v>0.14299999999999999</c:v>
                </c:pt>
                <c:pt idx="51">
                  <c:v>0.14299999999999999</c:v>
                </c:pt>
                <c:pt idx="52">
                  <c:v>0.14299999999999999</c:v>
                </c:pt>
                <c:pt idx="53">
                  <c:v>0.14199999999999999</c:v>
                </c:pt>
                <c:pt idx="54">
                  <c:v>0.14199999999999999</c:v>
                </c:pt>
                <c:pt idx="55">
                  <c:v>0.14199999999999999</c:v>
                </c:pt>
                <c:pt idx="56">
                  <c:v>0.14199999999999999</c:v>
                </c:pt>
                <c:pt idx="57">
                  <c:v>0.14199999999999999</c:v>
                </c:pt>
                <c:pt idx="58">
                  <c:v>0.14199999999999999</c:v>
                </c:pt>
                <c:pt idx="59">
                  <c:v>0.14399999999999999</c:v>
                </c:pt>
                <c:pt idx="60">
                  <c:v>0.14699999999999999</c:v>
                </c:pt>
                <c:pt idx="61">
                  <c:v>0.14899999999999999</c:v>
                </c:pt>
                <c:pt idx="62">
                  <c:v>0.151</c:v>
                </c:pt>
                <c:pt idx="63">
                  <c:v>0.152</c:v>
                </c:pt>
                <c:pt idx="64">
                  <c:v>0.154</c:v>
                </c:pt>
                <c:pt idx="65">
                  <c:v>0.154</c:v>
                </c:pt>
                <c:pt idx="66">
                  <c:v>0.155</c:v>
                </c:pt>
                <c:pt idx="67">
                  <c:v>0.155</c:v>
                </c:pt>
                <c:pt idx="68">
                  <c:v>0.155</c:v>
                </c:pt>
                <c:pt idx="69">
                  <c:v>0.156</c:v>
                </c:pt>
                <c:pt idx="70">
                  <c:v>0.156</c:v>
                </c:pt>
                <c:pt idx="71">
                  <c:v>0.156</c:v>
                </c:pt>
                <c:pt idx="72">
                  <c:v>0.156</c:v>
                </c:pt>
                <c:pt idx="73">
                  <c:v>0.156</c:v>
                </c:pt>
                <c:pt idx="74">
                  <c:v>0.157</c:v>
                </c:pt>
                <c:pt idx="75">
                  <c:v>0.157</c:v>
                </c:pt>
                <c:pt idx="76">
                  <c:v>0.157</c:v>
                </c:pt>
                <c:pt idx="77">
                  <c:v>0.157</c:v>
                </c:pt>
                <c:pt idx="78">
                  <c:v>0.157</c:v>
                </c:pt>
                <c:pt idx="79">
                  <c:v>0.157</c:v>
                </c:pt>
                <c:pt idx="80">
                  <c:v>0.157</c:v>
                </c:pt>
                <c:pt idx="81">
                  <c:v>0.157</c:v>
                </c:pt>
                <c:pt idx="82">
                  <c:v>0.184</c:v>
                </c:pt>
                <c:pt idx="83">
                  <c:v>0.26100000000000001</c:v>
                </c:pt>
                <c:pt idx="84">
                  <c:v>0.247</c:v>
                </c:pt>
                <c:pt idx="85">
                  <c:v>0.26200000000000001</c:v>
                </c:pt>
                <c:pt idx="86">
                  <c:v>0.23100000000000001</c:v>
                </c:pt>
                <c:pt idx="87">
                  <c:v>0.22</c:v>
                </c:pt>
                <c:pt idx="88">
                  <c:v>0.20899999999999999</c:v>
                </c:pt>
                <c:pt idx="89">
                  <c:v>0.20200000000000001</c:v>
                </c:pt>
                <c:pt idx="90">
                  <c:v>0.19800000000000001</c:v>
                </c:pt>
                <c:pt idx="91">
                  <c:v>0.19400000000000001</c:v>
                </c:pt>
                <c:pt idx="92">
                  <c:v>0.191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325248"/>
        <c:axId val="312326784"/>
      </c:lineChart>
      <c:catAx>
        <c:axId val="312325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3267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326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325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-6.1619999999999999</c:v>
                </c:pt>
                <c:pt idx="1">
                  <c:v>-6.5010000000000003</c:v>
                </c:pt>
                <c:pt idx="2">
                  <c:v>-3.2629999999999999</c:v>
                </c:pt>
                <c:pt idx="3">
                  <c:v>-1.651</c:v>
                </c:pt>
                <c:pt idx="4">
                  <c:v>-0.75800000000000001</c:v>
                </c:pt>
                <c:pt idx="5">
                  <c:v>-2.9009999999999998</c:v>
                </c:pt>
                <c:pt idx="6">
                  <c:v>-5.1520000000000001</c:v>
                </c:pt>
                <c:pt idx="7">
                  <c:v>0.254</c:v>
                </c:pt>
                <c:pt idx="8">
                  <c:v>-1.931</c:v>
                </c:pt>
                <c:pt idx="9">
                  <c:v>-2.1080000000000001</c:v>
                </c:pt>
                <c:pt idx="10">
                  <c:v>-3.496</c:v>
                </c:pt>
                <c:pt idx="11">
                  <c:v>-4.3369999999999997</c:v>
                </c:pt>
                <c:pt idx="12">
                  <c:v>-2.5230000000000001</c:v>
                </c:pt>
                <c:pt idx="13">
                  <c:v>1.145</c:v>
                </c:pt>
                <c:pt idx="14">
                  <c:v>2.202</c:v>
                </c:pt>
                <c:pt idx="15">
                  <c:v>-0.51100000000000001</c:v>
                </c:pt>
                <c:pt idx="16">
                  <c:v>-5.8129999999999997</c:v>
                </c:pt>
                <c:pt idx="17">
                  <c:v>-5.7249999999999996</c:v>
                </c:pt>
                <c:pt idx="18">
                  <c:v>-8.07</c:v>
                </c:pt>
                <c:pt idx="19">
                  <c:v>-7.9210000000000003</c:v>
                </c:pt>
                <c:pt idx="20">
                  <c:v>-3.512</c:v>
                </c:pt>
                <c:pt idx="21">
                  <c:v>-2.5350000000000001</c:v>
                </c:pt>
                <c:pt idx="22">
                  <c:v>-1.6659999999999999</c:v>
                </c:pt>
                <c:pt idx="23">
                  <c:v>-5.4980000000000002</c:v>
                </c:pt>
                <c:pt idx="24">
                  <c:v>-8.76</c:v>
                </c:pt>
                <c:pt idx="25">
                  <c:v>-1.3220000000000001</c:v>
                </c:pt>
                <c:pt idx="26">
                  <c:v>2.3090000000000002</c:v>
                </c:pt>
                <c:pt idx="27">
                  <c:v>6.0410000000000004</c:v>
                </c:pt>
                <c:pt idx="28">
                  <c:v>5.4089999999999998</c:v>
                </c:pt>
                <c:pt idx="29">
                  <c:v>3.6619999999999999</c:v>
                </c:pt>
                <c:pt idx="30">
                  <c:v>-1.6679999999999999</c:v>
                </c:pt>
                <c:pt idx="31">
                  <c:v>-3.335</c:v>
                </c:pt>
                <c:pt idx="32">
                  <c:v>-6.8330000000000002</c:v>
                </c:pt>
                <c:pt idx="33">
                  <c:v>-8.89</c:v>
                </c:pt>
                <c:pt idx="34">
                  <c:v>-13.48</c:v>
                </c:pt>
                <c:pt idx="35">
                  <c:v>-12.16</c:v>
                </c:pt>
                <c:pt idx="36">
                  <c:v>-9.4499999999999993</c:v>
                </c:pt>
                <c:pt idx="37">
                  <c:v>-6.4059999999999997</c:v>
                </c:pt>
                <c:pt idx="38">
                  <c:v>-9.35</c:v>
                </c:pt>
                <c:pt idx="39">
                  <c:v>-10.58</c:v>
                </c:pt>
                <c:pt idx="40">
                  <c:v>-13.71</c:v>
                </c:pt>
                <c:pt idx="41">
                  <c:v>-11.67</c:v>
                </c:pt>
                <c:pt idx="42">
                  <c:v>-8.61</c:v>
                </c:pt>
                <c:pt idx="43">
                  <c:v>-6.7160000000000002</c:v>
                </c:pt>
                <c:pt idx="44">
                  <c:v>-4.8499999999999996</c:v>
                </c:pt>
                <c:pt idx="45">
                  <c:v>-2.9969999999999999</c:v>
                </c:pt>
                <c:pt idx="46">
                  <c:v>-4.7329999999999997</c:v>
                </c:pt>
                <c:pt idx="47">
                  <c:v>-3.1859999999999999</c:v>
                </c:pt>
                <c:pt idx="48">
                  <c:v>-3.2749999999999999</c:v>
                </c:pt>
                <c:pt idx="49">
                  <c:v>-3.5459999999999998</c:v>
                </c:pt>
                <c:pt idx="50">
                  <c:v>1.6870000000000001</c:v>
                </c:pt>
                <c:pt idx="51">
                  <c:v>-1.258</c:v>
                </c:pt>
                <c:pt idx="52">
                  <c:v>1.2709999999999999</c:v>
                </c:pt>
                <c:pt idx="53">
                  <c:v>2.3759999999999999</c:v>
                </c:pt>
                <c:pt idx="54">
                  <c:v>-1.284</c:v>
                </c:pt>
                <c:pt idx="55">
                  <c:v>0.63100000000000001</c:v>
                </c:pt>
                <c:pt idx="56">
                  <c:v>2.1789999999999998</c:v>
                </c:pt>
                <c:pt idx="57">
                  <c:v>4.5250000000000004</c:v>
                </c:pt>
                <c:pt idx="58">
                  <c:v>8.36</c:v>
                </c:pt>
                <c:pt idx="59">
                  <c:v>10.46</c:v>
                </c:pt>
                <c:pt idx="60">
                  <c:v>8.39</c:v>
                </c:pt>
                <c:pt idx="61">
                  <c:v>3.9489999999999998</c:v>
                </c:pt>
                <c:pt idx="62">
                  <c:v>4.694</c:v>
                </c:pt>
                <c:pt idx="63">
                  <c:v>1.2769999999999999</c:v>
                </c:pt>
                <c:pt idx="64">
                  <c:v>2.012</c:v>
                </c:pt>
                <c:pt idx="65">
                  <c:v>4.8289999999999997</c:v>
                </c:pt>
                <c:pt idx="66">
                  <c:v>4.7880000000000003</c:v>
                </c:pt>
                <c:pt idx="67">
                  <c:v>9.33</c:v>
                </c:pt>
                <c:pt idx="68">
                  <c:v>2.4449999999999998</c:v>
                </c:pt>
                <c:pt idx="69">
                  <c:v>-1.909</c:v>
                </c:pt>
                <c:pt idx="70">
                  <c:v>0.32500000000000001</c:v>
                </c:pt>
                <c:pt idx="71">
                  <c:v>-0.83</c:v>
                </c:pt>
                <c:pt idx="72">
                  <c:v>-2.5379999999999998</c:v>
                </c:pt>
                <c:pt idx="73">
                  <c:v>-1.454</c:v>
                </c:pt>
                <c:pt idx="74">
                  <c:v>1.8420000000000001</c:v>
                </c:pt>
                <c:pt idx="75">
                  <c:v>1.9359999999999999</c:v>
                </c:pt>
                <c:pt idx="76">
                  <c:v>3.0249999999999999</c:v>
                </c:pt>
                <c:pt idx="77">
                  <c:v>-0.182</c:v>
                </c:pt>
                <c:pt idx="78">
                  <c:v>5.569</c:v>
                </c:pt>
                <c:pt idx="79">
                  <c:v>6.2670000000000003</c:v>
                </c:pt>
                <c:pt idx="80">
                  <c:v>0.76200000000000001</c:v>
                </c:pt>
                <c:pt idx="81">
                  <c:v>1.337</c:v>
                </c:pt>
                <c:pt idx="82">
                  <c:v>3.4369999999999998</c:v>
                </c:pt>
                <c:pt idx="83">
                  <c:v>13.46</c:v>
                </c:pt>
                <c:pt idx="84">
                  <c:v>16</c:v>
                </c:pt>
                <c:pt idx="85">
                  <c:v>9.14</c:v>
                </c:pt>
                <c:pt idx="86">
                  <c:v>7.7030000000000003</c:v>
                </c:pt>
                <c:pt idx="87">
                  <c:v>7.1950000000000003</c:v>
                </c:pt>
                <c:pt idx="88">
                  <c:v>11.48</c:v>
                </c:pt>
                <c:pt idx="89">
                  <c:v>3.464</c:v>
                </c:pt>
                <c:pt idx="90">
                  <c:v>7.3369999999999997</c:v>
                </c:pt>
                <c:pt idx="91">
                  <c:v>5.5129999999999999</c:v>
                </c:pt>
                <c:pt idx="92">
                  <c:v>7.66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-7.5</c:v>
                </c:pt>
                <c:pt idx="1">
                  <c:v>-9.2799999999999994</c:v>
                </c:pt>
                <c:pt idx="2">
                  <c:v>-8.8800000000000008</c:v>
                </c:pt>
                <c:pt idx="3">
                  <c:v>-5.1059999999999999</c:v>
                </c:pt>
                <c:pt idx="4">
                  <c:v>-7.0369999999999999</c:v>
                </c:pt>
                <c:pt idx="5">
                  <c:v>-9.5299999999999994</c:v>
                </c:pt>
                <c:pt idx="6">
                  <c:v>-12.16</c:v>
                </c:pt>
                <c:pt idx="7">
                  <c:v>-7.415</c:v>
                </c:pt>
                <c:pt idx="8">
                  <c:v>-8.2799999999999994</c:v>
                </c:pt>
                <c:pt idx="9">
                  <c:v>-7.3769999999999998</c:v>
                </c:pt>
                <c:pt idx="10">
                  <c:v>-5.673</c:v>
                </c:pt>
                <c:pt idx="11">
                  <c:v>-7.5919999999999996</c:v>
                </c:pt>
                <c:pt idx="12">
                  <c:v>-10.35</c:v>
                </c:pt>
                <c:pt idx="13">
                  <c:v>-9.58</c:v>
                </c:pt>
                <c:pt idx="14">
                  <c:v>-6.2839999999999998</c:v>
                </c:pt>
                <c:pt idx="15">
                  <c:v>-8.9499999999999993</c:v>
                </c:pt>
                <c:pt idx="16">
                  <c:v>-10.87</c:v>
                </c:pt>
                <c:pt idx="17">
                  <c:v>-17.649999999999999</c:v>
                </c:pt>
                <c:pt idx="18">
                  <c:v>-18.170000000000002</c:v>
                </c:pt>
                <c:pt idx="19">
                  <c:v>-21.05</c:v>
                </c:pt>
                <c:pt idx="20">
                  <c:v>-14.64</c:v>
                </c:pt>
                <c:pt idx="21">
                  <c:v>-15.02</c:v>
                </c:pt>
                <c:pt idx="22">
                  <c:v>-11.74</c:v>
                </c:pt>
                <c:pt idx="23">
                  <c:v>-12.26</c:v>
                </c:pt>
                <c:pt idx="24">
                  <c:v>-16.98</c:v>
                </c:pt>
                <c:pt idx="25">
                  <c:v>-15.24</c:v>
                </c:pt>
                <c:pt idx="26">
                  <c:v>-11.16</c:v>
                </c:pt>
                <c:pt idx="27">
                  <c:v>-10.73</c:v>
                </c:pt>
                <c:pt idx="28">
                  <c:v>-12.35</c:v>
                </c:pt>
                <c:pt idx="29">
                  <c:v>-5.319</c:v>
                </c:pt>
                <c:pt idx="30">
                  <c:v>-5.8529999999999998</c:v>
                </c:pt>
                <c:pt idx="31">
                  <c:v>-12.11</c:v>
                </c:pt>
                <c:pt idx="32">
                  <c:v>-17.420000000000002</c:v>
                </c:pt>
                <c:pt idx="33">
                  <c:v>-17.559999999999999</c:v>
                </c:pt>
                <c:pt idx="34">
                  <c:v>-21.49</c:v>
                </c:pt>
                <c:pt idx="35">
                  <c:v>-24.41</c:v>
                </c:pt>
                <c:pt idx="36">
                  <c:v>-18.78</c:v>
                </c:pt>
                <c:pt idx="37">
                  <c:v>-20.239999999999998</c:v>
                </c:pt>
                <c:pt idx="38">
                  <c:v>-19.04</c:v>
                </c:pt>
                <c:pt idx="39">
                  <c:v>-20.83</c:v>
                </c:pt>
                <c:pt idx="40">
                  <c:v>-22.3</c:v>
                </c:pt>
                <c:pt idx="41">
                  <c:v>-24.84</c:v>
                </c:pt>
                <c:pt idx="42">
                  <c:v>-25.78</c:v>
                </c:pt>
                <c:pt idx="43">
                  <c:v>-20.6</c:v>
                </c:pt>
                <c:pt idx="44">
                  <c:v>-11.59</c:v>
                </c:pt>
                <c:pt idx="45">
                  <c:v>-9.42</c:v>
                </c:pt>
                <c:pt idx="46">
                  <c:v>-8.7899999999999991</c:v>
                </c:pt>
                <c:pt idx="47">
                  <c:v>-7.4569999999999999</c:v>
                </c:pt>
                <c:pt idx="48">
                  <c:v>-6.9930000000000003</c:v>
                </c:pt>
                <c:pt idx="49">
                  <c:v>-5.9980000000000002</c:v>
                </c:pt>
                <c:pt idx="50">
                  <c:v>-6.5330000000000004</c:v>
                </c:pt>
                <c:pt idx="51">
                  <c:v>-5.4290000000000003</c:v>
                </c:pt>
                <c:pt idx="52">
                  <c:v>-4.0289999999999999</c:v>
                </c:pt>
                <c:pt idx="53">
                  <c:v>-2.069</c:v>
                </c:pt>
                <c:pt idx="54">
                  <c:v>-5.6210000000000004</c:v>
                </c:pt>
                <c:pt idx="55">
                  <c:v>-3.6659999999999999</c:v>
                </c:pt>
                <c:pt idx="56">
                  <c:v>-6.7080000000000002</c:v>
                </c:pt>
                <c:pt idx="57">
                  <c:v>-6.0549999999999997</c:v>
                </c:pt>
                <c:pt idx="58">
                  <c:v>-3.02</c:v>
                </c:pt>
                <c:pt idx="59">
                  <c:v>-5.319</c:v>
                </c:pt>
                <c:pt idx="60">
                  <c:v>-5.5430000000000001</c:v>
                </c:pt>
                <c:pt idx="61">
                  <c:v>-7.665</c:v>
                </c:pt>
                <c:pt idx="62">
                  <c:v>-9.84</c:v>
                </c:pt>
                <c:pt idx="63">
                  <c:v>-7.2539999999999996</c:v>
                </c:pt>
                <c:pt idx="64">
                  <c:v>-10.36</c:v>
                </c:pt>
                <c:pt idx="65">
                  <c:v>-11.1</c:v>
                </c:pt>
                <c:pt idx="66">
                  <c:v>-2.78</c:v>
                </c:pt>
                <c:pt idx="67">
                  <c:v>-3.6890000000000001</c:v>
                </c:pt>
                <c:pt idx="68">
                  <c:v>-7.1459999999999999</c:v>
                </c:pt>
                <c:pt idx="69">
                  <c:v>-10.73</c:v>
                </c:pt>
                <c:pt idx="70">
                  <c:v>-4.9219999999999997</c:v>
                </c:pt>
                <c:pt idx="71">
                  <c:v>-10.99</c:v>
                </c:pt>
                <c:pt idx="72">
                  <c:v>-15.66</c:v>
                </c:pt>
                <c:pt idx="73">
                  <c:v>-7.9349999999999996</c:v>
                </c:pt>
                <c:pt idx="74">
                  <c:v>-8.32</c:v>
                </c:pt>
                <c:pt idx="75">
                  <c:v>-12.52</c:v>
                </c:pt>
                <c:pt idx="76">
                  <c:v>-12.86</c:v>
                </c:pt>
                <c:pt idx="77">
                  <c:v>-13.93</c:v>
                </c:pt>
                <c:pt idx="78">
                  <c:v>-3.7719999999999998</c:v>
                </c:pt>
                <c:pt idx="79">
                  <c:v>-6.9180000000000001</c:v>
                </c:pt>
                <c:pt idx="80">
                  <c:v>-6.0140000000000002</c:v>
                </c:pt>
                <c:pt idx="81">
                  <c:v>-5.157</c:v>
                </c:pt>
                <c:pt idx="82">
                  <c:v>0.19900000000000001</c:v>
                </c:pt>
                <c:pt idx="83">
                  <c:v>-0.22800000000000001</c:v>
                </c:pt>
                <c:pt idx="84">
                  <c:v>-0.747</c:v>
                </c:pt>
                <c:pt idx="85">
                  <c:v>-0.441</c:v>
                </c:pt>
                <c:pt idx="86">
                  <c:v>-0.58899999999999997</c:v>
                </c:pt>
                <c:pt idx="87">
                  <c:v>-4.6989999999999998</c:v>
                </c:pt>
                <c:pt idx="88">
                  <c:v>-6.7039999999999997</c:v>
                </c:pt>
                <c:pt idx="89">
                  <c:v>-2.8029999999999999</c:v>
                </c:pt>
                <c:pt idx="90">
                  <c:v>-2.9710000000000001</c:v>
                </c:pt>
                <c:pt idx="91">
                  <c:v>-2.6019999999999999</c:v>
                </c:pt>
                <c:pt idx="92">
                  <c:v>-7.9589999999999996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434048"/>
        <c:axId val="312439936"/>
      </c:lineChart>
      <c:catAx>
        <c:axId val="312434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4399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439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434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12.55</c:v>
                </c:pt>
                <c:pt idx="1">
                  <c:v>12.54</c:v>
                </c:pt>
                <c:pt idx="2">
                  <c:v>12.55</c:v>
                </c:pt>
                <c:pt idx="3">
                  <c:v>12.54</c:v>
                </c:pt>
                <c:pt idx="4">
                  <c:v>12.54</c:v>
                </c:pt>
                <c:pt idx="5">
                  <c:v>12.54</c:v>
                </c:pt>
                <c:pt idx="6">
                  <c:v>12.53</c:v>
                </c:pt>
                <c:pt idx="7">
                  <c:v>12.53</c:v>
                </c:pt>
                <c:pt idx="8">
                  <c:v>12.53</c:v>
                </c:pt>
                <c:pt idx="9">
                  <c:v>12.52</c:v>
                </c:pt>
                <c:pt idx="10">
                  <c:v>12.52</c:v>
                </c:pt>
                <c:pt idx="11">
                  <c:v>12.52</c:v>
                </c:pt>
                <c:pt idx="12">
                  <c:v>12.52</c:v>
                </c:pt>
                <c:pt idx="13">
                  <c:v>12.52</c:v>
                </c:pt>
                <c:pt idx="14">
                  <c:v>12.54</c:v>
                </c:pt>
                <c:pt idx="15">
                  <c:v>12.52</c:v>
                </c:pt>
                <c:pt idx="16">
                  <c:v>12.52</c:v>
                </c:pt>
                <c:pt idx="17">
                  <c:v>12.53</c:v>
                </c:pt>
                <c:pt idx="18">
                  <c:v>12.55</c:v>
                </c:pt>
                <c:pt idx="19">
                  <c:v>12.54</c:v>
                </c:pt>
                <c:pt idx="20">
                  <c:v>12.53</c:v>
                </c:pt>
                <c:pt idx="21">
                  <c:v>12.53</c:v>
                </c:pt>
                <c:pt idx="22">
                  <c:v>12.5</c:v>
                </c:pt>
                <c:pt idx="23">
                  <c:v>12.55</c:v>
                </c:pt>
                <c:pt idx="24">
                  <c:v>12.5</c:v>
                </c:pt>
                <c:pt idx="25">
                  <c:v>12.55</c:v>
                </c:pt>
                <c:pt idx="26">
                  <c:v>12.55</c:v>
                </c:pt>
                <c:pt idx="27">
                  <c:v>12.55</c:v>
                </c:pt>
                <c:pt idx="28">
                  <c:v>12.56</c:v>
                </c:pt>
                <c:pt idx="29">
                  <c:v>12.49</c:v>
                </c:pt>
                <c:pt idx="30">
                  <c:v>12.49</c:v>
                </c:pt>
                <c:pt idx="31">
                  <c:v>12.5</c:v>
                </c:pt>
                <c:pt idx="32">
                  <c:v>12.5</c:v>
                </c:pt>
                <c:pt idx="33">
                  <c:v>12.49</c:v>
                </c:pt>
                <c:pt idx="34">
                  <c:v>12.57</c:v>
                </c:pt>
                <c:pt idx="35">
                  <c:v>12.56</c:v>
                </c:pt>
                <c:pt idx="36">
                  <c:v>12.56</c:v>
                </c:pt>
                <c:pt idx="37">
                  <c:v>12.6</c:v>
                </c:pt>
                <c:pt idx="38">
                  <c:v>12.51</c:v>
                </c:pt>
                <c:pt idx="39">
                  <c:v>12.59</c:v>
                </c:pt>
                <c:pt idx="40">
                  <c:v>12.65</c:v>
                </c:pt>
                <c:pt idx="41">
                  <c:v>12.68</c:v>
                </c:pt>
                <c:pt idx="42">
                  <c:v>12.7</c:v>
                </c:pt>
                <c:pt idx="43">
                  <c:v>12.72</c:v>
                </c:pt>
                <c:pt idx="44">
                  <c:v>12.71</c:v>
                </c:pt>
                <c:pt idx="45">
                  <c:v>12.71</c:v>
                </c:pt>
                <c:pt idx="46">
                  <c:v>12.65</c:v>
                </c:pt>
                <c:pt idx="47">
                  <c:v>12.65</c:v>
                </c:pt>
                <c:pt idx="48">
                  <c:v>12.61</c:v>
                </c:pt>
                <c:pt idx="49">
                  <c:v>12.57</c:v>
                </c:pt>
                <c:pt idx="50">
                  <c:v>12.65</c:v>
                </c:pt>
                <c:pt idx="51">
                  <c:v>12.57</c:v>
                </c:pt>
                <c:pt idx="52">
                  <c:v>12.54</c:v>
                </c:pt>
                <c:pt idx="53">
                  <c:v>12.58</c:v>
                </c:pt>
                <c:pt idx="54">
                  <c:v>12.53</c:v>
                </c:pt>
                <c:pt idx="55">
                  <c:v>12.53</c:v>
                </c:pt>
                <c:pt idx="56">
                  <c:v>12.64</c:v>
                </c:pt>
                <c:pt idx="57">
                  <c:v>12.63</c:v>
                </c:pt>
                <c:pt idx="58">
                  <c:v>12.69</c:v>
                </c:pt>
                <c:pt idx="59">
                  <c:v>12.74</c:v>
                </c:pt>
                <c:pt idx="60">
                  <c:v>12.76</c:v>
                </c:pt>
                <c:pt idx="61">
                  <c:v>12.79</c:v>
                </c:pt>
                <c:pt idx="62">
                  <c:v>12.78</c:v>
                </c:pt>
                <c:pt idx="63">
                  <c:v>12.78</c:v>
                </c:pt>
                <c:pt idx="64">
                  <c:v>12.8</c:v>
                </c:pt>
                <c:pt idx="65">
                  <c:v>12.81</c:v>
                </c:pt>
                <c:pt idx="66">
                  <c:v>12.75</c:v>
                </c:pt>
                <c:pt idx="67">
                  <c:v>12.78</c:v>
                </c:pt>
                <c:pt idx="68">
                  <c:v>12.8</c:v>
                </c:pt>
                <c:pt idx="69">
                  <c:v>12.75</c:v>
                </c:pt>
                <c:pt idx="70">
                  <c:v>12.71</c:v>
                </c:pt>
                <c:pt idx="71">
                  <c:v>12.79</c:v>
                </c:pt>
                <c:pt idx="72">
                  <c:v>12.79</c:v>
                </c:pt>
                <c:pt idx="73">
                  <c:v>12.74</c:v>
                </c:pt>
                <c:pt idx="74">
                  <c:v>12.82</c:v>
                </c:pt>
                <c:pt idx="75">
                  <c:v>12.85</c:v>
                </c:pt>
                <c:pt idx="76">
                  <c:v>12.88</c:v>
                </c:pt>
                <c:pt idx="77">
                  <c:v>12.82</c:v>
                </c:pt>
                <c:pt idx="78">
                  <c:v>12.87</c:v>
                </c:pt>
                <c:pt idx="79">
                  <c:v>12.9</c:v>
                </c:pt>
                <c:pt idx="80">
                  <c:v>12.9</c:v>
                </c:pt>
                <c:pt idx="81">
                  <c:v>12.83</c:v>
                </c:pt>
                <c:pt idx="82">
                  <c:v>12.8</c:v>
                </c:pt>
                <c:pt idx="83">
                  <c:v>12.92</c:v>
                </c:pt>
                <c:pt idx="84">
                  <c:v>12.92</c:v>
                </c:pt>
                <c:pt idx="85">
                  <c:v>12.89</c:v>
                </c:pt>
                <c:pt idx="86">
                  <c:v>12.87</c:v>
                </c:pt>
                <c:pt idx="87">
                  <c:v>12.94</c:v>
                </c:pt>
                <c:pt idx="88">
                  <c:v>12.95</c:v>
                </c:pt>
                <c:pt idx="89">
                  <c:v>12.94</c:v>
                </c:pt>
                <c:pt idx="90">
                  <c:v>12.95</c:v>
                </c:pt>
                <c:pt idx="91">
                  <c:v>12.96</c:v>
                </c:pt>
                <c:pt idx="92">
                  <c:v>12.98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452608"/>
        <c:axId val="312454144"/>
      </c:lineChart>
      <c:catAx>
        <c:axId val="3124526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4541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454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452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-5.9189999999999996</c:v>
                </c:pt>
                <c:pt idx="1">
                  <c:v>-6.4009999999999998</c:v>
                </c:pt>
                <c:pt idx="2">
                  <c:v>-3.407</c:v>
                </c:pt>
                <c:pt idx="3">
                  <c:v>-2.0129999999999999</c:v>
                </c:pt>
                <c:pt idx="4">
                  <c:v>-1.2450000000000001</c:v>
                </c:pt>
                <c:pt idx="5">
                  <c:v>-2.7839999999999998</c:v>
                </c:pt>
                <c:pt idx="6">
                  <c:v>-6.0730000000000004</c:v>
                </c:pt>
                <c:pt idx="7">
                  <c:v>1.0999999999999999E-2</c:v>
                </c:pt>
                <c:pt idx="8">
                  <c:v>-2.677</c:v>
                </c:pt>
                <c:pt idx="9">
                  <c:v>-2.6549999999999998</c:v>
                </c:pt>
                <c:pt idx="10">
                  <c:v>-3.0840000000000001</c:v>
                </c:pt>
                <c:pt idx="11">
                  <c:v>-4.2249999999999996</c:v>
                </c:pt>
                <c:pt idx="12">
                  <c:v>-3.8159999999999998</c:v>
                </c:pt>
                <c:pt idx="13">
                  <c:v>0.373</c:v>
                </c:pt>
                <c:pt idx="14">
                  <c:v>0.69099999999999995</c:v>
                </c:pt>
                <c:pt idx="15">
                  <c:v>-3.0209999999999999</c:v>
                </c:pt>
                <c:pt idx="16">
                  <c:v>-6.5990000000000002</c:v>
                </c:pt>
                <c:pt idx="17">
                  <c:v>-9.19</c:v>
                </c:pt>
                <c:pt idx="18">
                  <c:v>-9.48</c:v>
                </c:pt>
                <c:pt idx="19">
                  <c:v>-10.67</c:v>
                </c:pt>
                <c:pt idx="20">
                  <c:v>-4.4850000000000003</c:v>
                </c:pt>
                <c:pt idx="21">
                  <c:v>-5.0469999999999997</c:v>
                </c:pt>
                <c:pt idx="22">
                  <c:v>-3.9220000000000002</c:v>
                </c:pt>
                <c:pt idx="23">
                  <c:v>-5.7430000000000003</c:v>
                </c:pt>
                <c:pt idx="24">
                  <c:v>-9.19</c:v>
                </c:pt>
                <c:pt idx="25">
                  <c:v>-3.8159999999999998</c:v>
                </c:pt>
                <c:pt idx="26">
                  <c:v>-0.77700000000000002</c:v>
                </c:pt>
                <c:pt idx="27">
                  <c:v>7.3999999999999996E-2</c:v>
                </c:pt>
                <c:pt idx="28">
                  <c:v>1.2450000000000001</c:v>
                </c:pt>
                <c:pt idx="29">
                  <c:v>0.45800000000000002</c:v>
                </c:pt>
                <c:pt idx="30">
                  <c:v>-2.5059999999999998</c:v>
                </c:pt>
                <c:pt idx="31">
                  <c:v>-2.9119999999999999</c:v>
                </c:pt>
                <c:pt idx="32">
                  <c:v>-8.19</c:v>
                </c:pt>
                <c:pt idx="33">
                  <c:v>-8.76</c:v>
                </c:pt>
                <c:pt idx="34">
                  <c:v>-14.32</c:v>
                </c:pt>
                <c:pt idx="35">
                  <c:v>-13.54</c:v>
                </c:pt>
                <c:pt idx="36">
                  <c:v>-9.8699999999999992</c:v>
                </c:pt>
                <c:pt idx="37">
                  <c:v>-8.42</c:v>
                </c:pt>
                <c:pt idx="38">
                  <c:v>-9.64</c:v>
                </c:pt>
                <c:pt idx="39">
                  <c:v>-11.68</c:v>
                </c:pt>
                <c:pt idx="40">
                  <c:v>-14</c:v>
                </c:pt>
                <c:pt idx="41">
                  <c:v>-13.39</c:v>
                </c:pt>
                <c:pt idx="42">
                  <c:v>-10.88</c:v>
                </c:pt>
                <c:pt idx="43">
                  <c:v>-8.92</c:v>
                </c:pt>
                <c:pt idx="44">
                  <c:v>-5.5039999999999996</c:v>
                </c:pt>
                <c:pt idx="45">
                  <c:v>-4.0510000000000002</c:v>
                </c:pt>
                <c:pt idx="46">
                  <c:v>-4.3330000000000002</c:v>
                </c:pt>
                <c:pt idx="47">
                  <c:v>-3.0640000000000001</c:v>
                </c:pt>
                <c:pt idx="48">
                  <c:v>-3.3420000000000001</c:v>
                </c:pt>
                <c:pt idx="49">
                  <c:v>-3.3420000000000001</c:v>
                </c:pt>
                <c:pt idx="50">
                  <c:v>0.84</c:v>
                </c:pt>
                <c:pt idx="51">
                  <c:v>-1.48</c:v>
                </c:pt>
                <c:pt idx="52">
                  <c:v>0.436</c:v>
                </c:pt>
                <c:pt idx="53">
                  <c:v>2.331</c:v>
                </c:pt>
                <c:pt idx="54">
                  <c:v>-0.88400000000000001</c:v>
                </c:pt>
                <c:pt idx="55">
                  <c:v>1.202</c:v>
                </c:pt>
                <c:pt idx="56">
                  <c:v>2.544</c:v>
                </c:pt>
                <c:pt idx="57">
                  <c:v>2.46</c:v>
                </c:pt>
                <c:pt idx="58">
                  <c:v>4.9660000000000002</c:v>
                </c:pt>
                <c:pt idx="59">
                  <c:v>5.7880000000000003</c:v>
                </c:pt>
                <c:pt idx="60">
                  <c:v>5.0739999999999998</c:v>
                </c:pt>
                <c:pt idx="61">
                  <c:v>2.2879999999999998</c:v>
                </c:pt>
                <c:pt idx="62">
                  <c:v>2.609</c:v>
                </c:pt>
                <c:pt idx="63">
                  <c:v>0.223</c:v>
                </c:pt>
                <c:pt idx="64">
                  <c:v>0.11700000000000001</c:v>
                </c:pt>
                <c:pt idx="65">
                  <c:v>2.8650000000000002</c:v>
                </c:pt>
                <c:pt idx="66">
                  <c:v>3.0790000000000002</c:v>
                </c:pt>
                <c:pt idx="67">
                  <c:v>4.2130000000000001</c:v>
                </c:pt>
                <c:pt idx="68">
                  <c:v>-0.26700000000000002</c:v>
                </c:pt>
                <c:pt idx="69">
                  <c:v>-1.7150000000000001</c:v>
                </c:pt>
                <c:pt idx="70">
                  <c:v>0.246</c:v>
                </c:pt>
                <c:pt idx="71">
                  <c:v>-0.5</c:v>
                </c:pt>
                <c:pt idx="72">
                  <c:v>-2.5489999999999999</c:v>
                </c:pt>
                <c:pt idx="73">
                  <c:v>-1.7350000000000001</c:v>
                </c:pt>
                <c:pt idx="74">
                  <c:v>-0.24399999999999999</c:v>
                </c:pt>
                <c:pt idx="75">
                  <c:v>-0.64900000000000002</c:v>
                </c:pt>
                <c:pt idx="76">
                  <c:v>7.3999999999999996E-2</c:v>
                </c:pt>
                <c:pt idx="77">
                  <c:v>-2.4830000000000001</c:v>
                </c:pt>
                <c:pt idx="78">
                  <c:v>2.2679999999999998</c:v>
                </c:pt>
                <c:pt idx="79">
                  <c:v>2.544</c:v>
                </c:pt>
                <c:pt idx="80">
                  <c:v>1.159</c:v>
                </c:pt>
                <c:pt idx="81">
                  <c:v>0.47899999999999998</c:v>
                </c:pt>
                <c:pt idx="82">
                  <c:v>3.0790000000000002</c:v>
                </c:pt>
                <c:pt idx="83">
                  <c:v>10.27</c:v>
                </c:pt>
                <c:pt idx="84">
                  <c:v>11.13</c:v>
                </c:pt>
                <c:pt idx="85">
                  <c:v>6.1340000000000003</c:v>
                </c:pt>
                <c:pt idx="86">
                  <c:v>4.9020000000000001</c:v>
                </c:pt>
                <c:pt idx="87">
                  <c:v>5.4850000000000003</c:v>
                </c:pt>
                <c:pt idx="88">
                  <c:v>6.6779999999999999</c:v>
                </c:pt>
                <c:pt idx="89">
                  <c:v>3.827</c:v>
                </c:pt>
                <c:pt idx="90">
                  <c:v>4.6219999999999999</c:v>
                </c:pt>
                <c:pt idx="91">
                  <c:v>4.0640000000000001</c:v>
                </c:pt>
                <c:pt idx="92">
                  <c:v>4.8159999999999998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-7.2389999999999999</c:v>
                </c:pt>
                <c:pt idx="1">
                  <c:v>-8.24</c:v>
                </c:pt>
                <c:pt idx="2">
                  <c:v>-8.33</c:v>
                </c:pt>
                <c:pt idx="3">
                  <c:v>-4.5049999999999999</c:v>
                </c:pt>
                <c:pt idx="4">
                  <c:v>-4.9160000000000004</c:v>
                </c:pt>
                <c:pt idx="5">
                  <c:v>-7.9729999999999999</c:v>
                </c:pt>
                <c:pt idx="6">
                  <c:v>-11.51</c:v>
                </c:pt>
                <c:pt idx="7">
                  <c:v>-7.3040000000000003</c:v>
                </c:pt>
                <c:pt idx="8">
                  <c:v>-7.1059999999999999</c:v>
                </c:pt>
                <c:pt idx="9">
                  <c:v>-6.7759999999999998</c:v>
                </c:pt>
                <c:pt idx="10">
                  <c:v>-5.07</c:v>
                </c:pt>
                <c:pt idx="11">
                  <c:v>-7.04</c:v>
                </c:pt>
                <c:pt idx="12">
                  <c:v>-9.75</c:v>
                </c:pt>
                <c:pt idx="13">
                  <c:v>-9.0500000000000007</c:v>
                </c:pt>
                <c:pt idx="14">
                  <c:v>-4.657</c:v>
                </c:pt>
                <c:pt idx="15">
                  <c:v>-7.9930000000000003</c:v>
                </c:pt>
                <c:pt idx="16">
                  <c:v>-9.7100000000000009</c:v>
                </c:pt>
                <c:pt idx="17">
                  <c:v>-15.65</c:v>
                </c:pt>
                <c:pt idx="18">
                  <c:v>-15.67</c:v>
                </c:pt>
                <c:pt idx="19">
                  <c:v>-20.43</c:v>
                </c:pt>
                <c:pt idx="20">
                  <c:v>-13.73</c:v>
                </c:pt>
                <c:pt idx="21">
                  <c:v>-13.37</c:v>
                </c:pt>
                <c:pt idx="22">
                  <c:v>-10.79</c:v>
                </c:pt>
                <c:pt idx="23">
                  <c:v>-10.33</c:v>
                </c:pt>
                <c:pt idx="24">
                  <c:v>-15.29</c:v>
                </c:pt>
                <c:pt idx="25">
                  <c:v>-14.69</c:v>
                </c:pt>
                <c:pt idx="26">
                  <c:v>-10.35</c:v>
                </c:pt>
                <c:pt idx="27">
                  <c:v>-10.37</c:v>
                </c:pt>
                <c:pt idx="28">
                  <c:v>-11.32</c:v>
                </c:pt>
                <c:pt idx="29">
                  <c:v>-4.7220000000000004</c:v>
                </c:pt>
                <c:pt idx="30">
                  <c:v>-5.3730000000000002</c:v>
                </c:pt>
                <c:pt idx="31">
                  <c:v>-9.69</c:v>
                </c:pt>
                <c:pt idx="32">
                  <c:v>-15.07</c:v>
                </c:pt>
                <c:pt idx="33">
                  <c:v>-15.04</c:v>
                </c:pt>
                <c:pt idx="34">
                  <c:v>-20.309999999999999</c:v>
                </c:pt>
                <c:pt idx="35">
                  <c:v>-22.8</c:v>
                </c:pt>
                <c:pt idx="36">
                  <c:v>-16.309999999999999</c:v>
                </c:pt>
                <c:pt idx="37">
                  <c:v>-19.36</c:v>
                </c:pt>
                <c:pt idx="38">
                  <c:v>-17.57</c:v>
                </c:pt>
                <c:pt idx="39">
                  <c:v>-19.690000000000001</c:v>
                </c:pt>
                <c:pt idx="40">
                  <c:v>-20.69</c:v>
                </c:pt>
                <c:pt idx="41">
                  <c:v>-22.8</c:v>
                </c:pt>
                <c:pt idx="42">
                  <c:v>-25.32</c:v>
                </c:pt>
                <c:pt idx="43">
                  <c:v>-19.41</c:v>
                </c:pt>
                <c:pt idx="44">
                  <c:v>-11.09</c:v>
                </c:pt>
                <c:pt idx="45">
                  <c:v>-10.01</c:v>
                </c:pt>
                <c:pt idx="46">
                  <c:v>-8.33</c:v>
                </c:pt>
                <c:pt idx="47">
                  <c:v>-7.0170000000000003</c:v>
                </c:pt>
                <c:pt idx="48">
                  <c:v>-6.6879999999999997</c:v>
                </c:pt>
                <c:pt idx="49">
                  <c:v>-5.5469999999999997</c:v>
                </c:pt>
                <c:pt idx="50">
                  <c:v>-4.8310000000000004</c:v>
                </c:pt>
                <c:pt idx="51">
                  <c:v>-4.8730000000000002</c:v>
                </c:pt>
                <c:pt idx="52">
                  <c:v>-3.556</c:v>
                </c:pt>
                <c:pt idx="53">
                  <c:v>-1.2250000000000001</c:v>
                </c:pt>
                <c:pt idx="54">
                  <c:v>-3.879</c:v>
                </c:pt>
                <c:pt idx="55">
                  <c:v>-3.0640000000000001</c:v>
                </c:pt>
                <c:pt idx="56">
                  <c:v>-5.3949999999999996</c:v>
                </c:pt>
                <c:pt idx="57">
                  <c:v>-5.2869999999999999</c:v>
                </c:pt>
                <c:pt idx="58">
                  <c:v>-2.6349999999999998</c:v>
                </c:pt>
                <c:pt idx="59">
                  <c:v>-4.3330000000000002</c:v>
                </c:pt>
                <c:pt idx="60">
                  <c:v>-5.0039999999999996</c:v>
                </c:pt>
                <c:pt idx="61">
                  <c:v>-5.4379999999999997</c:v>
                </c:pt>
                <c:pt idx="62">
                  <c:v>-9.14</c:v>
                </c:pt>
                <c:pt idx="63">
                  <c:v>-5.8310000000000004</c:v>
                </c:pt>
                <c:pt idx="64">
                  <c:v>-7.9050000000000002</c:v>
                </c:pt>
                <c:pt idx="65">
                  <c:v>-9.94</c:v>
                </c:pt>
                <c:pt idx="66">
                  <c:v>-2.569</c:v>
                </c:pt>
                <c:pt idx="67">
                  <c:v>-2.056</c:v>
                </c:pt>
                <c:pt idx="68">
                  <c:v>-5.94</c:v>
                </c:pt>
                <c:pt idx="69">
                  <c:v>-9.3000000000000007</c:v>
                </c:pt>
                <c:pt idx="70">
                  <c:v>-4.5279999999999996</c:v>
                </c:pt>
                <c:pt idx="71">
                  <c:v>-8.7799999999999994</c:v>
                </c:pt>
                <c:pt idx="72">
                  <c:v>-14.08</c:v>
                </c:pt>
                <c:pt idx="73">
                  <c:v>-7.7489999999999997</c:v>
                </c:pt>
                <c:pt idx="74">
                  <c:v>-7.415</c:v>
                </c:pt>
                <c:pt idx="75">
                  <c:v>-10.77</c:v>
                </c:pt>
                <c:pt idx="76">
                  <c:v>-9.64</c:v>
                </c:pt>
                <c:pt idx="77">
                  <c:v>-13.08</c:v>
                </c:pt>
                <c:pt idx="78">
                  <c:v>-3.407</c:v>
                </c:pt>
                <c:pt idx="79">
                  <c:v>-5.1779999999999999</c:v>
                </c:pt>
                <c:pt idx="80">
                  <c:v>-5.2439999999999998</c:v>
                </c:pt>
                <c:pt idx="81">
                  <c:v>-4.4189999999999996</c:v>
                </c:pt>
                <c:pt idx="82">
                  <c:v>0.47899999999999998</c:v>
                </c:pt>
                <c:pt idx="83">
                  <c:v>0.33</c:v>
                </c:pt>
                <c:pt idx="84">
                  <c:v>-0.58499999999999996</c:v>
                </c:pt>
                <c:pt idx="85">
                  <c:v>0.28699999999999998</c:v>
                </c:pt>
                <c:pt idx="86">
                  <c:v>-0.11799999999999999</c:v>
                </c:pt>
                <c:pt idx="87">
                  <c:v>-2.9350000000000001</c:v>
                </c:pt>
                <c:pt idx="88">
                  <c:v>-6.05</c:v>
                </c:pt>
                <c:pt idx="89">
                  <c:v>-1.7150000000000001</c:v>
                </c:pt>
                <c:pt idx="90">
                  <c:v>-2.4630000000000001</c:v>
                </c:pt>
                <c:pt idx="91">
                  <c:v>-2.3140000000000001</c:v>
                </c:pt>
                <c:pt idx="92">
                  <c:v>-5.7430000000000003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508416"/>
        <c:axId val="312509952"/>
      </c:lineChart>
      <c:catAx>
        <c:axId val="3125084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509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509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508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99.8</c:v>
                </c:pt>
                <c:pt idx="1">
                  <c:v>99.7</c:v>
                </c:pt>
                <c:pt idx="2">
                  <c:v>99.9</c:v>
                </c:pt>
                <c:pt idx="3">
                  <c:v>99.8</c:v>
                </c:pt>
                <c:pt idx="4">
                  <c:v>98.6</c:v>
                </c:pt>
                <c:pt idx="5">
                  <c:v>99.7</c:v>
                </c:pt>
                <c:pt idx="6">
                  <c:v>97.7</c:v>
                </c:pt>
                <c:pt idx="7">
                  <c:v>99.8</c:v>
                </c:pt>
                <c:pt idx="8">
                  <c:v>97.8</c:v>
                </c:pt>
                <c:pt idx="9">
                  <c:v>99.8</c:v>
                </c:pt>
                <c:pt idx="10">
                  <c:v>96.6</c:v>
                </c:pt>
                <c:pt idx="11">
                  <c:v>95.7</c:v>
                </c:pt>
                <c:pt idx="12">
                  <c:v>94.8</c:v>
                </c:pt>
                <c:pt idx="13">
                  <c:v>99.8</c:v>
                </c:pt>
                <c:pt idx="14">
                  <c:v>99.9</c:v>
                </c:pt>
                <c:pt idx="15">
                  <c:v>99.8</c:v>
                </c:pt>
                <c:pt idx="16">
                  <c:v>89.6</c:v>
                </c:pt>
                <c:pt idx="17">
                  <c:v>89</c:v>
                </c:pt>
                <c:pt idx="18">
                  <c:v>92.9</c:v>
                </c:pt>
                <c:pt idx="19">
                  <c:v>89.6</c:v>
                </c:pt>
                <c:pt idx="20">
                  <c:v>91.4</c:v>
                </c:pt>
                <c:pt idx="21">
                  <c:v>90.9</c:v>
                </c:pt>
                <c:pt idx="22">
                  <c:v>94.4</c:v>
                </c:pt>
                <c:pt idx="23">
                  <c:v>90.8</c:v>
                </c:pt>
                <c:pt idx="24">
                  <c:v>92.2</c:v>
                </c:pt>
                <c:pt idx="25">
                  <c:v>95.3</c:v>
                </c:pt>
                <c:pt idx="26">
                  <c:v>95.4</c:v>
                </c:pt>
                <c:pt idx="27">
                  <c:v>93.5</c:v>
                </c:pt>
                <c:pt idx="28">
                  <c:v>92.2</c:v>
                </c:pt>
                <c:pt idx="29">
                  <c:v>84</c:v>
                </c:pt>
                <c:pt idx="30">
                  <c:v>99.8</c:v>
                </c:pt>
                <c:pt idx="31">
                  <c:v>99.8</c:v>
                </c:pt>
                <c:pt idx="32">
                  <c:v>90.9</c:v>
                </c:pt>
                <c:pt idx="33">
                  <c:v>90.1</c:v>
                </c:pt>
                <c:pt idx="34">
                  <c:v>87.2</c:v>
                </c:pt>
                <c:pt idx="35">
                  <c:v>86.6</c:v>
                </c:pt>
                <c:pt idx="36">
                  <c:v>87.3</c:v>
                </c:pt>
                <c:pt idx="37">
                  <c:v>87.3</c:v>
                </c:pt>
                <c:pt idx="38">
                  <c:v>89.1</c:v>
                </c:pt>
                <c:pt idx="39">
                  <c:v>86.9</c:v>
                </c:pt>
                <c:pt idx="40">
                  <c:v>86.6</c:v>
                </c:pt>
                <c:pt idx="41">
                  <c:v>82.6</c:v>
                </c:pt>
                <c:pt idx="42">
                  <c:v>91</c:v>
                </c:pt>
                <c:pt idx="43">
                  <c:v>87</c:v>
                </c:pt>
                <c:pt idx="44">
                  <c:v>89.1</c:v>
                </c:pt>
                <c:pt idx="45">
                  <c:v>91.2</c:v>
                </c:pt>
                <c:pt idx="46">
                  <c:v>93.4</c:v>
                </c:pt>
                <c:pt idx="47">
                  <c:v>93.8</c:v>
                </c:pt>
                <c:pt idx="48">
                  <c:v>95</c:v>
                </c:pt>
                <c:pt idx="49">
                  <c:v>97.8</c:v>
                </c:pt>
                <c:pt idx="50">
                  <c:v>97.5</c:v>
                </c:pt>
                <c:pt idx="51">
                  <c:v>98.8</c:v>
                </c:pt>
                <c:pt idx="52">
                  <c:v>99.9</c:v>
                </c:pt>
                <c:pt idx="53">
                  <c:v>99.9</c:v>
                </c:pt>
                <c:pt idx="54">
                  <c:v>99.8</c:v>
                </c:pt>
                <c:pt idx="55">
                  <c:v>99.8</c:v>
                </c:pt>
                <c:pt idx="56">
                  <c:v>99.9</c:v>
                </c:pt>
                <c:pt idx="57">
                  <c:v>99.9</c:v>
                </c:pt>
                <c:pt idx="58">
                  <c:v>99.9</c:v>
                </c:pt>
                <c:pt idx="59">
                  <c:v>99.9</c:v>
                </c:pt>
                <c:pt idx="60">
                  <c:v>96</c:v>
                </c:pt>
                <c:pt idx="61">
                  <c:v>91.9</c:v>
                </c:pt>
                <c:pt idx="62">
                  <c:v>97.4</c:v>
                </c:pt>
                <c:pt idx="63">
                  <c:v>94.9</c:v>
                </c:pt>
                <c:pt idx="64">
                  <c:v>94</c:v>
                </c:pt>
                <c:pt idx="65">
                  <c:v>95.2</c:v>
                </c:pt>
                <c:pt idx="66">
                  <c:v>86.5</c:v>
                </c:pt>
                <c:pt idx="67">
                  <c:v>88.2</c:v>
                </c:pt>
                <c:pt idx="68">
                  <c:v>92</c:v>
                </c:pt>
                <c:pt idx="69">
                  <c:v>94.5</c:v>
                </c:pt>
                <c:pt idx="70">
                  <c:v>99.8</c:v>
                </c:pt>
                <c:pt idx="71">
                  <c:v>99.8</c:v>
                </c:pt>
                <c:pt idx="72">
                  <c:v>90.8</c:v>
                </c:pt>
                <c:pt idx="73">
                  <c:v>96.1</c:v>
                </c:pt>
                <c:pt idx="74">
                  <c:v>95.6</c:v>
                </c:pt>
                <c:pt idx="75">
                  <c:v>94</c:v>
                </c:pt>
                <c:pt idx="76">
                  <c:v>91.9</c:v>
                </c:pt>
                <c:pt idx="77">
                  <c:v>92.6</c:v>
                </c:pt>
                <c:pt idx="78">
                  <c:v>95.5</c:v>
                </c:pt>
                <c:pt idx="79">
                  <c:v>94.9</c:v>
                </c:pt>
                <c:pt idx="80">
                  <c:v>93</c:v>
                </c:pt>
                <c:pt idx="81">
                  <c:v>99.7</c:v>
                </c:pt>
                <c:pt idx="82">
                  <c:v>99.8</c:v>
                </c:pt>
                <c:pt idx="83">
                  <c:v>99.9</c:v>
                </c:pt>
                <c:pt idx="84">
                  <c:v>99.9</c:v>
                </c:pt>
                <c:pt idx="85">
                  <c:v>99.8</c:v>
                </c:pt>
                <c:pt idx="86">
                  <c:v>99.8</c:v>
                </c:pt>
                <c:pt idx="87">
                  <c:v>99.8</c:v>
                </c:pt>
                <c:pt idx="88">
                  <c:v>93</c:v>
                </c:pt>
                <c:pt idx="89">
                  <c:v>99.8</c:v>
                </c:pt>
                <c:pt idx="90">
                  <c:v>96.1</c:v>
                </c:pt>
                <c:pt idx="91">
                  <c:v>94.3</c:v>
                </c:pt>
                <c:pt idx="92">
                  <c:v>90.8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81</c:v>
                </c:pt>
                <c:pt idx="1">
                  <c:v>91.3</c:v>
                </c:pt>
                <c:pt idx="2">
                  <c:v>88.2</c:v>
                </c:pt>
                <c:pt idx="3">
                  <c:v>82.8</c:v>
                </c:pt>
                <c:pt idx="4">
                  <c:v>90.9</c:v>
                </c:pt>
                <c:pt idx="5">
                  <c:v>91.1</c:v>
                </c:pt>
                <c:pt idx="6">
                  <c:v>89</c:v>
                </c:pt>
                <c:pt idx="7">
                  <c:v>83.5</c:v>
                </c:pt>
                <c:pt idx="8">
                  <c:v>90.3</c:v>
                </c:pt>
                <c:pt idx="9">
                  <c:v>92</c:v>
                </c:pt>
                <c:pt idx="10">
                  <c:v>84</c:v>
                </c:pt>
                <c:pt idx="11">
                  <c:v>85.8</c:v>
                </c:pt>
                <c:pt idx="12">
                  <c:v>75.22</c:v>
                </c:pt>
                <c:pt idx="13">
                  <c:v>72.239999999999995</c:v>
                </c:pt>
                <c:pt idx="14">
                  <c:v>91.9</c:v>
                </c:pt>
                <c:pt idx="15">
                  <c:v>75.25</c:v>
                </c:pt>
                <c:pt idx="16">
                  <c:v>74.319999999999993</c:v>
                </c:pt>
                <c:pt idx="17">
                  <c:v>60.24</c:v>
                </c:pt>
                <c:pt idx="18">
                  <c:v>80.3</c:v>
                </c:pt>
                <c:pt idx="19">
                  <c:v>68.91</c:v>
                </c:pt>
                <c:pt idx="20">
                  <c:v>61.37</c:v>
                </c:pt>
                <c:pt idx="21">
                  <c:v>55.53</c:v>
                </c:pt>
                <c:pt idx="22">
                  <c:v>63.36</c:v>
                </c:pt>
                <c:pt idx="23">
                  <c:v>76.02</c:v>
                </c:pt>
                <c:pt idx="24">
                  <c:v>83.9</c:v>
                </c:pt>
                <c:pt idx="25">
                  <c:v>58.46</c:v>
                </c:pt>
                <c:pt idx="26">
                  <c:v>48.98</c:v>
                </c:pt>
                <c:pt idx="27">
                  <c:v>29.41</c:v>
                </c:pt>
                <c:pt idx="28">
                  <c:v>26.87</c:v>
                </c:pt>
                <c:pt idx="29">
                  <c:v>28.21</c:v>
                </c:pt>
                <c:pt idx="30">
                  <c:v>77.510000000000005</c:v>
                </c:pt>
                <c:pt idx="31">
                  <c:v>58.99</c:v>
                </c:pt>
                <c:pt idx="32">
                  <c:v>68.88</c:v>
                </c:pt>
                <c:pt idx="33">
                  <c:v>78.13</c:v>
                </c:pt>
                <c:pt idx="34">
                  <c:v>75.7</c:v>
                </c:pt>
                <c:pt idx="35">
                  <c:v>69.72</c:v>
                </c:pt>
                <c:pt idx="36">
                  <c:v>76</c:v>
                </c:pt>
                <c:pt idx="37">
                  <c:v>48.87</c:v>
                </c:pt>
                <c:pt idx="38">
                  <c:v>77.709999999999994</c:v>
                </c:pt>
                <c:pt idx="39">
                  <c:v>65.06</c:v>
                </c:pt>
                <c:pt idx="40">
                  <c:v>74.44</c:v>
                </c:pt>
                <c:pt idx="41">
                  <c:v>58.81</c:v>
                </c:pt>
                <c:pt idx="42">
                  <c:v>52.3</c:v>
                </c:pt>
                <c:pt idx="43">
                  <c:v>35.229999999999997</c:v>
                </c:pt>
                <c:pt idx="44">
                  <c:v>66.48</c:v>
                </c:pt>
                <c:pt idx="45">
                  <c:v>60.71</c:v>
                </c:pt>
                <c:pt idx="46">
                  <c:v>83.6</c:v>
                </c:pt>
                <c:pt idx="47">
                  <c:v>82.9</c:v>
                </c:pt>
                <c:pt idx="48">
                  <c:v>82.2</c:v>
                </c:pt>
                <c:pt idx="49">
                  <c:v>88</c:v>
                </c:pt>
                <c:pt idx="50">
                  <c:v>71.86</c:v>
                </c:pt>
                <c:pt idx="51">
                  <c:v>86.9</c:v>
                </c:pt>
                <c:pt idx="52">
                  <c:v>93.9</c:v>
                </c:pt>
                <c:pt idx="53">
                  <c:v>73.37</c:v>
                </c:pt>
                <c:pt idx="54">
                  <c:v>79.02</c:v>
                </c:pt>
                <c:pt idx="55">
                  <c:v>85.5</c:v>
                </c:pt>
                <c:pt idx="56">
                  <c:v>79.89</c:v>
                </c:pt>
                <c:pt idx="57">
                  <c:v>65.94</c:v>
                </c:pt>
                <c:pt idx="58">
                  <c:v>63.49</c:v>
                </c:pt>
                <c:pt idx="59">
                  <c:v>55.71</c:v>
                </c:pt>
                <c:pt idx="60">
                  <c:v>48.11</c:v>
                </c:pt>
                <c:pt idx="61">
                  <c:v>56.48</c:v>
                </c:pt>
                <c:pt idx="62">
                  <c:v>49.31</c:v>
                </c:pt>
                <c:pt idx="63">
                  <c:v>47.57</c:v>
                </c:pt>
                <c:pt idx="64">
                  <c:v>60.22</c:v>
                </c:pt>
                <c:pt idx="65">
                  <c:v>37.700000000000003</c:v>
                </c:pt>
                <c:pt idx="66">
                  <c:v>49.35</c:v>
                </c:pt>
                <c:pt idx="67">
                  <c:v>42.97</c:v>
                </c:pt>
                <c:pt idx="68">
                  <c:v>43.01</c:v>
                </c:pt>
                <c:pt idx="69">
                  <c:v>72.290000000000006</c:v>
                </c:pt>
                <c:pt idx="70">
                  <c:v>87.4</c:v>
                </c:pt>
                <c:pt idx="71">
                  <c:v>64.53</c:v>
                </c:pt>
                <c:pt idx="72">
                  <c:v>58.85</c:v>
                </c:pt>
                <c:pt idx="73">
                  <c:v>86.4</c:v>
                </c:pt>
                <c:pt idx="74">
                  <c:v>65.7</c:v>
                </c:pt>
                <c:pt idx="75">
                  <c:v>48.97</c:v>
                </c:pt>
                <c:pt idx="76">
                  <c:v>41.74</c:v>
                </c:pt>
                <c:pt idx="77">
                  <c:v>64.569999999999993</c:v>
                </c:pt>
                <c:pt idx="78">
                  <c:v>50.51</c:v>
                </c:pt>
                <c:pt idx="79">
                  <c:v>46.7</c:v>
                </c:pt>
                <c:pt idx="80">
                  <c:v>57.2</c:v>
                </c:pt>
                <c:pt idx="81">
                  <c:v>79.36</c:v>
                </c:pt>
                <c:pt idx="82">
                  <c:v>77.75</c:v>
                </c:pt>
                <c:pt idx="83">
                  <c:v>0.41099999999999998</c:v>
                </c:pt>
                <c:pt idx="84">
                  <c:v>0.41099999999999998</c:v>
                </c:pt>
                <c:pt idx="85">
                  <c:v>56.67</c:v>
                </c:pt>
                <c:pt idx="86">
                  <c:v>68.53</c:v>
                </c:pt>
                <c:pt idx="87">
                  <c:v>42.69</c:v>
                </c:pt>
                <c:pt idx="88">
                  <c:v>36.25</c:v>
                </c:pt>
                <c:pt idx="89">
                  <c:v>63.98</c:v>
                </c:pt>
                <c:pt idx="90">
                  <c:v>63.39</c:v>
                </c:pt>
                <c:pt idx="91">
                  <c:v>61.34</c:v>
                </c:pt>
                <c:pt idx="92">
                  <c:v>36.18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609408"/>
        <c:axId val="312615296"/>
      </c:lineChart>
      <c:catAx>
        <c:axId val="31260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6152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26152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609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-5.1999999999999602E-2</c:v>
                </c:pt>
                <c:pt idx="1">
                  <c:v>1.7999999999999794E-2</c:v>
                </c:pt>
                <c:pt idx="2">
                  <c:v>-0.37999999999999989</c:v>
                </c:pt>
                <c:pt idx="3">
                  <c:v>-1.621</c:v>
                </c:pt>
                <c:pt idx="4">
                  <c:v>-0.44500000000000006</c:v>
                </c:pt>
                <c:pt idx="5">
                  <c:v>-0.75800000000000001</c:v>
                </c:pt>
                <c:pt idx="6">
                  <c:v>-0.13999999999999968</c:v>
                </c:pt>
                <c:pt idx="7">
                  <c:v>-1.0509999999999999</c:v>
                </c:pt>
                <c:pt idx="8">
                  <c:v>-0.28200000000000003</c:v>
                </c:pt>
                <c:pt idx="9">
                  <c:v>-0.36299999999999999</c:v>
                </c:pt>
                <c:pt idx="10">
                  <c:v>-0.379</c:v>
                </c:pt>
                <c:pt idx="11">
                  <c:v>1.2000000000000455E-2</c:v>
                </c:pt>
                <c:pt idx="12">
                  <c:v>-0.92900000000000027</c:v>
                </c:pt>
                <c:pt idx="13">
                  <c:v>-2.7389999999999999</c:v>
                </c:pt>
                <c:pt idx="14">
                  <c:v>-1.6639999999999999</c:v>
                </c:pt>
                <c:pt idx="15">
                  <c:v>-0.5109999999999999</c:v>
                </c:pt>
                <c:pt idx="16">
                  <c:v>0.89699999999999935</c:v>
                </c:pt>
                <c:pt idx="17">
                  <c:v>-0.70000000000000107</c:v>
                </c:pt>
                <c:pt idx="18">
                  <c:v>6.0000000000000497E-2</c:v>
                </c:pt>
                <c:pt idx="19">
                  <c:v>-1.2000000000000011</c:v>
                </c:pt>
                <c:pt idx="20">
                  <c:v>-0.72000000000000064</c:v>
                </c:pt>
                <c:pt idx="21">
                  <c:v>-1.7010000000000005</c:v>
                </c:pt>
                <c:pt idx="22">
                  <c:v>-1.3209999999999997</c:v>
                </c:pt>
                <c:pt idx="23">
                  <c:v>0.64400000000000013</c:v>
                </c:pt>
                <c:pt idx="24">
                  <c:v>0.13000000000000078</c:v>
                </c:pt>
                <c:pt idx="25">
                  <c:v>-1.9750000000000001</c:v>
                </c:pt>
                <c:pt idx="26">
                  <c:v>-2.89</c:v>
                </c:pt>
                <c:pt idx="27">
                  <c:v>-4.5939999999999994</c:v>
                </c:pt>
                <c:pt idx="28">
                  <c:v>-3.8639999999999999</c:v>
                </c:pt>
                <c:pt idx="29">
                  <c:v>-2.3570000000000002</c:v>
                </c:pt>
                <c:pt idx="30">
                  <c:v>-0.28299999999999992</c:v>
                </c:pt>
                <c:pt idx="31">
                  <c:v>-0.37600000000000033</c:v>
                </c:pt>
                <c:pt idx="32">
                  <c:v>-0.22399999999999931</c:v>
                </c:pt>
                <c:pt idx="33">
                  <c:v>0.26999999999999957</c:v>
                </c:pt>
                <c:pt idx="34">
                  <c:v>0.75999999999999979</c:v>
                </c:pt>
                <c:pt idx="35">
                  <c:v>0.27000000000000135</c:v>
                </c:pt>
                <c:pt idx="36">
                  <c:v>0.33999999999999986</c:v>
                </c:pt>
                <c:pt idx="37">
                  <c:v>-0.93100000000000005</c:v>
                </c:pt>
                <c:pt idx="38">
                  <c:v>0.32000000000000028</c:v>
                </c:pt>
                <c:pt idx="39">
                  <c:v>0.58999999999999986</c:v>
                </c:pt>
                <c:pt idx="40">
                  <c:v>0.87000000000000099</c:v>
                </c:pt>
                <c:pt idx="41">
                  <c:v>0.30000000000000071</c:v>
                </c:pt>
                <c:pt idx="42">
                  <c:v>-0.28999999999999915</c:v>
                </c:pt>
                <c:pt idx="43">
                  <c:v>-1.7799999999999994</c:v>
                </c:pt>
                <c:pt idx="44">
                  <c:v>0.36299999999999955</c:v>
                </c:pt>
                <c:pt idx="45">
                  <c:v>-0.69500000000000028</c:v>
                </c:pt>
                <c:pt idx="46">
                  <c:v>-0.23200000000000021</c:v>
                </c:pt>
                <c:pt idx="47">
                  <c:v>3.8000000000000256E-2</c:v>
                </c:pt>
                <c:pt idx="48">
                  <c:v>0.31099999999999994</c:v>
                </c:pt>
                <c:pt idx="49">
                  <c:v>9.5000000000000195E-2</c:v>
                </c:pt>
                <c:pt idx="50">
                  <c:v>-3.4999999999999989E-2</c:v>
                </c:pt>
                <c:pt idx="51">
                  <c:v>-0.2200000000000002</c:v>
                </c:pt>
                <c:pt idx="52">
                  <c:v>-0.54899999999999993</c:v>
                </c:pt>
                <c:pt idx="53">
                  <c:v>-0.94799999999999995</c:v>
                </c:pt>
                <c:pt idx="54">
                  <c:v>-0.30900000000000016</c:v>
                </c:pt>
                <c:pt idx="55">
                  <c:v>-0.36599999999999999</c:v>
                </c:pt>
                <c:pt idx="56">
                  <c:v>-1.2290000000000001</c:v>
                </c:pt>
                <c:pt idx="57">
                  <c:v>-3.2589999999999999</c:v>
                </c:pt>
                <c:pt idx="58">
                  <c:v>-3.8810000000000002</c:v>
                </c:pt>
                <c:pt idx="59">
                  <c:v>-4.6440000000000001</c:v>
                </c:pt>
                <c:pt idx="60">
                  <c:v>-3.0630000000000002</c:v>
                </c:pt>
                <c:pt idx="61">
                  <c:v>3.7000000000000144E-2</c:v>
                </c:pt>
                <c:pt idx="62">
                  <c:v>-0.92399999999999971</c:v>
                </c:pt>
                <c:pt idx="63">
                  <c:v>0.90900000000000003</c:v>
                </c:pt>
                <c:pt idx="64">
                  <c:v>-0.54900000000000004</c:v>
                </c:pt>
                <c:pt idx="65">
                  <c:v>-2.2239999999999998</c:v>
                </c:pt>
                <c:pt idx="66">
                  <c:v>-1.9989999999999999</c:v>
                </c:pt>
                <c:pt idx="67">
                  <c:v>-1.9169999999999998</c:v>
                </c:pt>
                <c:pt idx="68">
                  <c:v>0.32300000000000006</c:v>
                </c:pt>
                <c:pt idx="69">
                  <c:v>-0.35500000000000043</c:v>
                </c:pt>
                <c:pt idx="70">
                  <c:v>-0.34700000000000009</c:v>
                </c:pt>
                <c:pt idx="71">
                  <c:v>-1.4000000000000012E-2</c:v>
                </c:pt>
                <c:pt idx="72">
                  <c:v>-0.56100000000000039</c:v>
                </c:pt>
                <c:pt idx="73">
                  <c:v>9.6000000000000085E-2</c:v>
                </c:pt>
                <c:pt idx="74">
                  <c:v>0.66400000000000003</c:v>
                </c:pt>
                <c:pt idx="75">
                  <c:v>0.74099999999999999</c:v>
                </c:pt>
                <c:pt idx="76">
                  <c:v>1.282</c:v>
                </c:pt>
                <c:pt idx="77">
                  <c:v>-0.18900000000000006</c:v>
                </c:pt>
                <c:pt idx="78">
                  <c:v>-4.0999999999999925E-2</c:v>
                </c:pt>
                <c:pt idx="79">
                  <c:v>7.0000000000000062E-2</c:v>
                </c:pt>
                <c:pt idx="80">
                  <c:v>0.26600000000000001</c:v>
                </c:pt>
                <c:pt idx="81">
                  <c:v>-1.542</c:v>
                </c:pt>
                <c:pt idx="82">
                  <c:v>-2.2349999999999999</c:v>
                </c:pt>
                <c:pt idx="83">
                  <c:v>-7.6560000000000006</c:v>
                </c:pt>
                <c:pt idx="84">
                  <c:v>-8.536999999999999</c:v>
                </c:pt>
                <c:pt idx="85">
                  <c:v>-3.2850000000000001</c:v>
                </c:pt>
                <c:pt idx="86">
                  <c:v>-1.9250000000000003</c:v>
                </c:pt>
                <c:pt idx="87">
                  <c:v>-3.1509999999999998</c:v>
                </c:pt>
                <c:pt idx="88">
                  <c:v>-3.7350000000000003</c:v>
                </c:pt>
                <c:pt idx="89">
                  <c:v>-0.58500000000000008</c:v>
                </c:pt>
                <c:pt idx="90">
                  <c:v>-0.56099999999999994</c:v>
                </c:pt>
                <c:pt idx="91">
                  <c:v>0.37400000000000011</c:v>
                </c:pt>
                <c:pt idx="92">
                  <c:v>0.22599999999999998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-6.4000000000000057E-2</c:v>
                </c:pt>
                <c:pt idx="1">
                  <c:v>-0.53000000000000114</c:v>
                </c:pt>
                <c:pt idx="2">
                  <c:v>-3.9999999999999147E-2</c:v>
                </c:pt>
                <c:pt idx="3">
                  <c:v>-1.0419999999999998</c:v>
                </c:pt>
                <c:pt idx="4">
                  <c:v>-0.26800000000000068</c:v>
                </c:pt>
                <c:pt idx="5">
                  <c:v>-0.25</c:v>
                </c:pt>
                <c:pt idx="6">
                  <c:v>0</c:v>
                </c:pt>
                <c:pt idx="7">
                  <c:v>-0.12599999999999945</c:v>
                </c:pt>
                <c:pt idx="8">
                  <c:v>6.0000000000000497E-2</c:v>
                </c:pt>
                <c:pt idx="9">
                  <c:v>-9.1999999999999638E-2</c:v>
                </c:pt>
                <c:pt idx="10">
                  <c:v>-0.24599999999999955</c:v>
                </c:pt>
                <c:pt idx="11">
                  <c:v>-0.11600000000000055</c:v>
                </c:pt>
                <c:pt idx="12">
                  <c:v>0.10999999999999943</c:v>
                </c:pt>
                <c:pt idx="13">
                  <c:v>8.9999999999999858E-2</c:v>
                </c:pt>
                <c:pt idx="14">
                  <c:v>-1.42</c:v>
                </c:pt>
                <c:pt idx="15">
                  <c:v>-1.2299999999999986</c:v>
                </c:pt>
                <c:pt idx="16">
                  <c:v>-1.4399999999999995</c:v>
                </c:pt>
                <c:pt idx="17">
                  <c:v>-1.0000000000001563E-2</c:v>
                </c:pt>
                <c:pt idx="18">
                  <c:v>-0.49000000000000199</c:v>
                </c:pt>
                <c:pt idx="19">
                  <c:v>0.11999999999999744</c:v>
                </c:pt>
                <c:pt idx="20">
                  <c:v>-0.45000000000000107</c:v>
                </c:pt>
                <c:pt idx="21">
                  <c:v>-0.4399999999999995</c:v>
                </c:pt>
                <c:pt idx="22">
                  <c:v>-0.44999999999999929</c:v>
                </c:pt>
                <c:pt idx="23">
                  <c:v>-1.5399999999999991</c:v>
                </c:pt>
                <c:pt idx="24">
                  <c:v>-8.9999999999999858E-2</c:v>
                </c:pt>
                <c:pt idx="25">
                  <c:v>-8.0000000000000071E-2</c:v>
                </c:pt>
                <c:pt idx="26">
                  <c:v>-0.75</c:v>
                </c:pt>
                <c:pt idx="27">
                  <c:v>-0.48000000000000043</c:v>
                </c:pt>
                <c:pt idx="28">
                  <c:v>-0.58000000000000007</c:v>
                </c:pt>
                <c:pt idx="29">
                  <c:v>-0.90399999999999991</c:v>
                </c:pt>
                <c:pt idx="30">
                  <c:v>-1.0590000000000002</c:v>
                </c:pt>
                <c:pt idx="31">
                  <c:v>-0.47000000000000064</c:v>
                </c:pt>
                <c:pt idx="32">
                  <c:v>-0.30000000000000071</c:v>
                </c:pt>
                <c:pt idx="33">
                  <c:v>0.82999999999999829</c:v>
                </c:pt>
                <c:pt idx="34">
                  <c:v>0.23000000000000043</c:v>
                </c:pt>
                <c:pt idx="35">
                  <c:v>0.50999999999999801</c:v>
                </c:pt>
                <c:pt idx="36">
                  <c:v>-0.27999999999999758</c:v>
                </c:pt>
                <c:pt idx="37">
                  <c:v>8.9999999999999858E-2</c:v>
                </c:pt>
                <c:pt idx="38">
                  <c:v>-0.99000000000000199</c:v>
                </c:pt>
                <c:pt idx="39">
                  <c:v>-0.35999999999999943</c:v>
                </c:pt>
                <c:pt idx="40">
                  <c:v>-0.46000000000000085</c:v>
                </c:pt>
                <c:pt idx="41">
                  <c:v>0.42000000000000171</c:v>
                </c:pt>
                <c:pt idx="42">
                  <c:v>0.55999999999999872</c:v>
                </c:pt>
                <c:pt idx="43">
                  <c:v>-0.34999999999999787</c:v>
                </c:pt>
                <c:pt idx="44">
                  <c:v>-1.0399999999999991</c:v>
                </c:pt>
                <c:pt idx="45">
                  <c:v>-0.75999999999999979</c:v>
                </c:pt>
                <c:pt idx="46">
                  <c:v>0.14999999999999858</c:v>
                </c:pt>
                <c:pt idx="47">
                  <c:v>-0.50099999999999945</c:v>
                </c:pt>
                <c:pt idx="48">
                  <c:v>-0.39500000000000046</c:v>
                </c:pt>
                <c:pt idx="49">
                  <c:v>0.15700000000000003</c:v>
                </c:pt>
                <c:pt idx="50">
                  <c:v>-0.80100000000000016</c:v>
                </c:pt>
                <c:pt idx="51">
                  <c:v>-0.63399999999999945</c:v>
                </c:pt>
                <c:pt idx="52">
                  <c:v>-0.73799999999999955</c:v>
                </c:pt>
                <c:pt idx="53">
                  <c:v>-0.79099999999999993</c:v>
                </c:pt>
                <c:pt idx="54">
                  <c:v>-1.0999999999999996</c:v>
                </c:pt>
                <c:pt idx="55">
                  <c:v>-0.74899999999999967</c:v>
                </c:pt>
                <c:pt idx="56">
                  <c:v>-0.92300000000000004</c:v>
                </c:pt>
                <c:pt idx="57">
                  <c:v>-0.8100000000000005</c:v>
                </c:pt>
                <c:pt idx="58">
                  <c:v>-0.91499999999999959</c:v>
                </c:pt>
                <c:pt idx="59">
                  <c:v>-3.6869999999999994</c:v>
                </c:pt>
                <c:pt idx="60">
                  <c:v>-1.9189999999999996</c:v>
                </c:pt>
                <c:pt idx="61">
                  <c:v>-0.54999999999999893</c:v>
                </c:pt>
                <c:pt idx="62">
                  <c:v>-0.36999999999999922</c:v>
                </c:pt>
                <c:pt idx="63">
                  <c:v>-1.0180000000000007</c:v>
                </c:pt>
                <c:pt idx="64">
                  <c:v>-0.65000000000000036</c:v>
                </c:pt>
                <c:pt idx="65">
                  <c:v>-0.50999999999999979</c:v>
                </c:pt>
                <c:pt idx="66">
                  <c:v>-2.5169999999999999</c:v>
                </c:pt>
                <c:pt idx="67">
                  <c:v>-0.83900000000000041</c:v>
                </c:pt>
                <c:pt idx="68">
                  <c:v>-0.9659999999999993</c:v>
                </c:pt>
                <c:pt idx="69">
                  <c:v>-0.20000000000000107</c:v>
                </c:pt>
                <c:pt idx="70">
                  <c:v>-0.37800000000000011</c:v>
                </c:pt>
                <c:pt idx="71">
                  <c:v>-1.129999999999999</c:v>
                </c:pt>
                <c:pt idx="72">
                  <c:v>-0.56999999999999673</c:v>
                </c:pt>
                <c:pt idx="73">
                  <c:v>-0.47000000000000064</c:v>
                </c:pt>
                <c:pt idx="74">
                  <c:v>-0.74000000000000021</c:v>
                </c:pt>
                <c:pt idx="75">
                  <c:v>-0.77999999999999936</c:v>
                </c:pt>
                <c:pt idx="76">
                  <c:v>-0.66999999999999993</c:v>
                </c:pt>
                <c:pt idx="77">
                  <c:v>-0.48000000000000043</c:v>
                </c:pt>
                <c:pt idx="78">
                  <c:v>-0.28500000000000014</c:v>
                </c:pt>
                <c:pt idx="79">
                  <c:v>-4.4599999999999991</c:v>
                </c:pt>
                <c:pt idx="80">
                  <c:v>-1.2749999999999995</c:v>
                </c:pt>
                <c:pt idx="81">
                  <c:v>-0.28799999999999937</c:v>
                </c:pt>
                <c:pt idx="82">
                  <c:v>1.2050000000000001</c:v>
                </c:pt>
                <c:pt idx="83">
                  <c:v>78.905000000000001</c:v>
                </c:pt>
                <c:pt idx="84">
                  <c:v>78.168000000000006</c:v>
                </c:pt>
                <c:pt idx="85">
                  <c:v>0.74499999999999988</c:v>
                </c:pt>
                <c:pt idx="86">
                  <c:v>0.91100000000000003</c:v>
                </c:pt>
                <c:pt idx="87">
                  <c:v>0.33899999999999952</c:v>
                </c:pt>
                <c:pt idx="88">
                  <c:v>-0.78200000000000003</c:v>
                </c:pt>
                <c:pt idx="89">
                  <c:v>0.78900000000000015</c:v>
                </c:pt>
                <c:pt idx="90">
                  <c:v>9.6999999999999975E-2</c:v>
                </c:pt>
                <c:pt idx="91">
                  <c:v>-0.50800000000000001</c:v>
                </c:pt>
                <c:pt idx="92">
                  <c:v>-0.38000000000000078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653696"/>
        <c:axId val="312655232"/>
      </c:lineChart>
      <c:catAx>
        <c:axId val="3126536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312655232"/>
        <c:crosses val="autoZero"/>
        <c:auto val="1"/>
        <c:lblAlgn val="ctr"/>
        <c:lblOffset val="100"/>
        <c:tickMarkSkip val="8"/>
        <c:noMultiLvlLbl val="0"/>
      </c:catAx>
      <c:valAx>
        <c:axId val="312655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1265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0.3</c:v>
                </c:pt>
                <c:pt idx="1">
                  <c:v>0.33</c:v>
                </c:pt>
                <c:pt idx="2">
                  <c:v>0.42299999999999999</c:v>
                </c:pt>
                <c:pt idx="3">
                  <c:v>0.44700000000000001</c:v>
                </c:pt>
                <c:pt idx="4">
                  <c:v>0.50600000000000001</c:v>
                </c:pt>
                <c:pt idx="5">
                  <c:v>0.439</c:v>
                </c:pt>
                <c:pt idx="6">
                  <c:v>0.35299999999999998</c:v>
                </c:pt>
                <c:pt idx="7">
                  <c:v>0.51100000000000001</c:v>
                </c:pt>
                <c:pt idx="8">
                  <c:v>0.45600000000000002</c:v>
                </c:pt>
                <c:pt idx="9">
                  <c:v>0.47399999999999998</c:v>
                </c:pt>
                <c:pt idx="10">
                  <c:v>0.39600000000000002</c:v>
                </c:pt>
                <c:pt idx="11">
                  <c:v>0.36699999999999999</c:v>
                </c:pt>
                <c:pt idx="12">
                  <c:v>0.38700000000000001</c:v>
                </c:pt>
                <c:pt idx="13">
                  <c:v>0.53200000000000003</c:v>
                </c:pt>
                <c:pt idx="14">
                  <c:v>0.60699999999999998</c:v>
                </c:pt>
                <c:pt idx="15">
                  <c:v>0.40699999999999997</c:v>
                </c:pt>
                <c:pt idx="16">
                  <c:v>0.26800000000000002</c:v>
                </c:pt>
                <c:pt idx="17">
                  <c:v>0.187</c:v>
                </c:pt>
                <c:pt idx="18">
                  <c:v>0.223</c:v>
                </c:pt>
                <c:pt idx="19">
                  <c:v>0.20399999999999999</c:v>
                </c:pt>
                <c:pt idx="20">
                  <c:v>0.26800000000000002</c:v>
                </c:pt>
                <c:pt idx="21">
                  <c:v>0.247</c:v>
                </c:pt>
                <c:pt idx="22">
                  <c:v>0.32600000000000001</c:v>
                </c:pt>
                <c:pt idx="23">
                  <c:v>0.27200000000000002</c:v>
                </c:pt>
                <c:pt idx="24">
                  <c:v>0.253</c:v>
                </c:pt>
                <c:pt idx="25">
                  <c:v>0.29899999999999999</c:v>
                </c:pt>
                <c:pt idx="26">
                  <c:v>0.315</c:v>
                </c:pt>
                <c:pt idx="27">
                  <c:v>0.24</c:v>
                </c:pt>
                <c:pt idx="28">
                  <c:v>0.21199999999999999</c:v>
                </c:pt>
                <c:pt idx="29">
                  <c:v>0.2</c:v>
                </c:pt>
                <c:pt idx="30">
                  <c:v>0.40200000000000002</c:v>
                </c:pt>
                <c:pt idx="31">
                  <c:v>0.27900000000000003</c:v>
                </c:pt>
                <c:pt idx="32">
                  <c:v>0.23100000000000001</c:v>
                </c:pt>
                <c:pt idx="33">
                  <c:v>0.23</c:v>
                </c:pt>
                <c:pt idx="34">
                  <c:v>0.153</c:v>
                </c:pt>
                <c:pt idx="35">
                  <c:v>0.151</c:v>
                </c:pt>
                <c:pt idx="36">
                  <c:v>0.20699999999999999</c:v>
                </c:pt>
                <c:pt idx="37">
                  <c:v>0.16900000000000001</c:v>
                </c:pt>
                <c:pt idx="38">
                  <c:v>0.215</c:v>
                </c:pt>
                <c:pt idx="39">
                  <c:v>0.159</c:v>
                </c:pt>
                <c:pt idx="40">
                  <c:v>0.13600000000000001</c:v>
                </c:pt>
                <c:pt idx="41">
                  <c:v>0.121</c:v>
                </c:pt>
                <c:pt idx="42">
                  <c:v>0.14499999999999999</c:v>
                </c:pt>
                <c:pt idx="43">
                  <c:v>0.113</c:v>
                </c:pt>
                <c:pt idx="44">
                  <c:v>0.25</c:v>
                </c:pt>
                <c:pt idx="45">
                  <c:v>0.25900000000000001</c:v>
                </c:pt>
                <c:pt idx="46">
                  <c:v>0.34699999999999998</c:v>
                </c:pt>
                <c:pt idx="47">
                  <c:v>0.36099999999999999</c:v>
                </c:pt>
                <c:pt idx="48">
                  <c:v>0.36399999999999999</c:v>
                </c:pt>
                <c:pt idx="49">
                  <c:v>0.39700000000000002</c:v>
                </c:pt>
                <c:pt idx="50">
                  <c:v>0.435</c:v>
                </c:pt>
                <c:pt idx="51">
                  <c:v>0.45200000000000001</c:v>
                </c:pt>
                <c:pt idx="52">
                  <c:v>0.61399999999999999</c:v>
                </c:pt>
                <c:pt idx="53">
                  <c:v>0.49299999999999999</c:v>
                </c:pt>
                <c:pt idx="54">
                  <c:v>0.42099999999999999</c:v>
                </c:pt>
                <c:pt idx="55">
                  <c:v>0.52700000000000002</c:v>
                </c:pt>
                <c:pt idx="56">
                  <c:v>0.53300000000000003</c:v>
                </c:pt>
                <c:pt idx="57">
                  <c:v>0.51500000000000001</c:v>
                </c:pt>
                <c:pt idx="58">
                  <c:v>0.55400000000000005</c:v>
                </c:pt>
                <c:pt idx="59">
                  <c:v>0.53300000000000003</c:v>
                </c:pt>
                <c:pt idx="60">
                  <c:v>0.43099999999999999</c:v>
                </c:pt>
                <c:pt idx="61">
                  <c:v>0.372</c:v>
                </c:pt>
                <c:pt idx="62">
                  <c:v>0.36099999999999999</c:v>
                </c:pt>
                <c:pt idx="63">
                  <c:v>0.28299999999999997</c:v>
                </c:pt>
                <c:pt idx="64">
                  <c:v>0.35799999999999998</c:v>
                </c:pt>
                <c:pt idx="65">
                  <c:v>0.28399999999999997</c:v>
                </c:pt>
                <c:pt idx="66">
                  <c:v>0.38100000000000001</c:v>
                </c:pt>
                <c:pt idx="67">
                  <c:v>0.36399999999999999</c:v>
                </c:pt>
                <c:pt idx="68">
                  <c:v>0.24199999999999999</c:v>
                </c:pt>
                <c:pt idx="69">
                  <c:v>0.35699999999999998</c:v>
                </c:pt>
                <c:pt idx="70">
                  <c:v>0.52500000000000002</c:v>
                </c:pt>
                <c:pt idx="71">
                  <c:v>0.34200000000000003</c:v>
                </c:pt>
                <c:pt idx="72">
                  <c:v>0.27800000000000002</c:v>
                </c:pt>
                <c:pt idx="73">
                  <c:v>0.42799999999999999</c:v>
                </c:pt>
                <c:pt idx="74">
                  <c:v>0.35499999999999998</c:v>
                </c:pt>
                <c:pt idx="75">
                  <c:v>0.26600000000000001</c:v>
                </c:pt>
                <c:pt idx="76">
                  <c:v>0.22700000000000001</c:v>
                </c:pt>
                <c:pt idx="77">
                  <c:v>0.34200000000000003</c:v>
                </c:pt>
                <c:pt idx="78">
                  <c:v>0.33500000000000002</c:v>
                </c:pt>
                <c:pt idx="79">
                  <c:v>0.313</c:v>
                </c:pt>
                <c:pt idx="80">
                  <c:v>0.32700000000000001</c:v>
                </c:pt>
                <c:pt idx="81">
                  <c:v>0.55600000000000005</c:v>
                </c:pt>
                <c:pt idx="82">
                  <c:v>0.57899999999999996</c:v>
                </c:pt>
                <c:pt idx="83">
                  <c:v>5.0000000000000001E-3</c:v>
                </c:pt>
                <c:pt idx="84">
                  <c:v>5.0000000000000001E-3</c:v>
                </c:pt>
                <c:pt idx="85">
                  <c:v>0.501</c:v>
                </c:pt>
                <c:pt idx="86">
                  <c:v>0.56200000000000006</c:v>
                </c:pt>
                <c:pt idx="87">
                  <c:v>0.34200000000000003</c:v>
                </c:pt>
                <c:pt idx="88">
                  <c:v>0.316</c:v>
                </c:pt>
                <c:pt idx="89">
                  <c:v>0.433</c:v>
                </c:pt>
                <c:pt idx="90">
                  <c:v>0.46400000000000002</c:v>
                </c:pt>
                <c:pt idx="91">
                  <c:v>0.42299999999999999</c:v>
                </c:pt>
                <c:pt idx="92">
                  <c:v>0.254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7.0000000000000007E-2</c:v>
                </c:pt>
                <c:pt idx="1">
                  <c:v>3.1E-2</c:v>
                </c:pt>
                <c:pt idx="2">
                  <c:v>5.7000000000000002E-2</c:v>
                </c:pt>
                <c:pt idx="3">
                  <c:v>9.2999999999999999E-2</c:v>
                </c:pt>
                <c:pt idx="4">
                  <c:v>5.0999999999999997E-2</c:v>
                </c:pt>
                <c:pt idx="5">
                  <c:v>4.2999999999999997E-2</c:v>
                </c:pt>
                <c:pt idx="6">
                  <c:v>4.3999999999999997E-2</c:v>
                </c:pt>
                <c:pt idx="7">
                  <c:v>0.10100000000000001</c:v>
                </c:pt>
                <c:pt idx="8">
                  <c:v>4.9000000000000002E-2</c:v>
                </c:pt>
                <c:pt idx="9">
                  <c:v>4.1000000000000002E-2</c:v>
                </c:pt>
                <c:pt idx="10">
                  <c:v>7.4999999999999997E-2</c:v>
                </c:pt>
                <c:pt idx="11">
                  <c:v>6.0999999999999999E-2</c:v>
                </c:pt>
                <c:pt idx="12">
                  <c:v>0.128</c:v>
                </c:pt>
                <c:pt idx="13">
                  <c:v>0.20499999999999999</c:v>
                </c:pt>
                <c:pt idx="14">
                  <c:v>5.3999999999999999E-2</c:v>
                </c:pt>
                <c:pt idx="15">
                  <c:v>0.13400000000000001</c:v>
                </c:pt>
                <c:pt idx="16">
                  <c:v>9.2999999999999999E-2</c:v>
                </c:pt>
                <c:pt idx="17">
                  <c:v>0.124</c:v>
                </c:pt>
                <c:pt idx="18">
                  <c:v>5.5E-2</c:v>
                </c:pt>
                <c:pt idx="19">
                  <c:v>9.1999999999999998E-2</c:v>
                </c:pt>
                <c:pt idx="20">
                  <c:v>0.16800000000000001</c:v>
                </c:pt>
                <c:pt idx="21">
                  <c:v>0.19800000000000001</c:v>
                </c:pt>
                <c:pt idx="22">
                  <c:v>0.188</c:v>
                </c:pt>
                <c:pt idx="23">
                  <c:v>8.5999999999999993E-2</c:v>
                </c:pt>
                <c:pt idx="24">
                  <c:v>4.9000000000000002E-2</c:v>
                </c:pt>
                <c:pt idx="25">
                  <c:v>0.21199999999999999</c:v>
                </c:pt>
                <c:pt idx="26">
                  <c:v>0.32800000000000001</c:v>
                </c:pt>
                <c:pt idx="27">
                  <c:v>0.57599999999999996</c:v>
                </c:pt>
                <c:pt idx="28">
                  <c:v>0.57599999999999996</c:v>
                </c:pt>
                <c:pt idx="29">
                  <c:v>0.50900000000000001</c:v>
                </c:pt>
                <c:pt idx="30">
                  <c:v>0.11700000000000001</c:v>
                </c:pt>
                <c:pt idx="31">
                  <c:v>0.19400000000000001</c:v>
                </c:pt>
                <c:pt idx="32">
                  <c:v>0.104</c:v>
                </c:pt>
                <c:pt idx="33">
                  <c:v>6.4000000000000001E-2</c:v>
                </c:pt>
                <c:pt idx="34">
                  <c:v>4.9000000000000002E-2</c:v>
                </c:pt>
                <c:pt idx="35">
                  <c:v>6.6000000000000003E-2</c:v>
                </c:pt>
                <c:pt idx="36">
                  <c:v>6.5000000000000002E-2</c:v>
                </c:pt>
                <c:pt idx="37">
                  <c:v>0.17699999999999999</c:v>
                </c:pt>
                <c:pt idx="38">
                  <c:v>6.2E-2</c:v>
                </c:pt>
                <c:pt idx="39">
                  <c:v>8.5000000000000006E-2</c:v>
                </c:pt>
                <c:pt idx="40">
                  <c:v>4.7E-2</c:v>
                </c:pt>
                <c:pt idx="41">
                  <c:v>8.5000000000000006E-2</c:v>
                </c:pt>
                <c:pt idx="42">
                  <c:v>0.13200000000000001</c:v>
                </c:pt>
                <c:pt idx="43">
                  <c:v>0.20799999999999999</c:v>
                </c:pt>
                <c:pt idx="44">
                  <c:v>0.126</c:v>
                </c:pt>
                <c:pt idx="45">
                  <c:v>0.16800000000000001</c:v>
                </c:pt>
                <c:pt idx="46">
                  <c:v>6.8000000000000005E-2</c:v>
                </c:pt>
                <c:pt idx="47">
                  <c:v>7.3999999999999996E-2</c:v>
                </c:pt>
                <c:pt idx="48">
                  <c:v>7.9000000000000001E-2</c:v>
                </c:pt>
                <c:pt idx="49">
                  <c:v>5.3999999999999999E-2</c:v>
                </c:pt>
                <c:pt idx="50">
                  <c:v>0.17</c:v>
                </c:pt>
                <c:pt idx="51">
                  <c:v>6.8000000000000005E-2</c:v>
                </c:pt>
                <c:pt idx="52">
                  <c:v>0.04</c:v>
                </c:pt>
                <c:pt idx="53">
                  <c:v>0.17899999999999999</c:v>
                </c:pt>
                <c:pt idx="54">
                  <c:v>0.112</c:v>
                </c:pt>
                <c:pt idx="55">
                  <c:v>8.8999999999999996E-2</c:v>
                </c:pt>
                <c:pt idx="56">
                  <c:v>0.13400000000000001</c:v>
                </c:pt>
                <c:pt idx="57">
                  <c:v>0.26600000000000001</c:v>
                </c:pt>
                <c:pt idx="58">
                  <c:v>0.318</c:v>
                </c:pt>
                <c:pt idx="59">
                  <c:v>0.42399999999999999</c:v>
                </c:pt>
                <c:pt idx="60">
                  <c:v>0.46500000000000002</c:v>
                </c:pt>
                <c:pt idx="61">
                  <c:v>0.28599999999999998</c:v>
                </c:pt>
                <c:pt idx="62">
                  <c:v>0.371</c:v>
                </c:pt>
                <c:pt idx="63">
                  <c:v>0.312</c:v>
                </c:pt>
                <c:pt idx="64">
                  <c:v>0.23699999999999999</c:v>
                </c:pt>
                <c:pt idx="65">
                  <c:v>0.46899999999999997</c:v>
                </c:pt>
                <c:pt idx="66">
                  <c:v>0.39</c:v>
                </c:pt>
                <c:pt idx="67">
                  <c:v>0.48299999999999998</c:v>
                </c:pt>
                <c:pt idx="68">
                  <c:v>0.32100000000000001</c:v>
                </c:pt>
                <c:pt idx="69">
                  <c:v>0.13700000000000001</c:v>
                </c:pt>
                <c:pt idx="70">
                  <c:v>7.5999999999999998E-2</c:v>
                </c:pt>
                <c:pt idx="71">
                  <c:v>0.188</c:v>
                </c:pt>
                <c:pt idx="72">
                  <c:v>0.19400000000000001</c:v>
                </c:pt>
                <c:pt idx="73">
                  <c:v>6.7000000000000004E-2</c:v>
                </c:pt>
                <c:pt idx="74">
                  <c:v>0.185</c:v>
                </c:pt>
                <c:pt idx="75">
                  <c:v>0.27700000000000002</c:v>
                </c:pt>
                <c:pt idx="76">
                  <c:v>0.317</c:v>
                </c:pt>
                <c:pt idx="77">
                  <c:v>0.187</c:v>
                </c:pt>
                <c:pt idx="78">
                  <c:v>0.32800000000000001</c:v>
                </c:pt>
                <c:pt idx="79">
                  <c:v>0.35699999999999998</c:v>
                </c:pt>
                <c:pt idx="80">
                  <c:v>0.245</c:v>
                </c:pt>
                <c:pt idx="81">
                  <c:v>0.14399999999999999</c:v>
                </c:pt>
                <c:pt idx="82">
                  <c:v>0.16500000000000001</c:v>
                </c:pt>
                <c:pt idx="83">
                  <c:v>1.2450000000000001</c:v>
                </c:pt>
                <c:pt idx="84">
                  <c:v>1.2450000000000001</c:v>
                </c:pt>
                <c:pt idx="85">
                  <c:v>0.38300000000000001</c:v>
                </c:pt>
                <c:pt idx="86">
                  <c:v>0.25800000000000001</c:v>
                </c:pt>
                <c:pt idx="87">
                  <c:v>0.45900000000000002</c:v>
                </c:pt>
                <c:pt idx="88">
                  <c:v>0.55500000000000005</c:v>
                </c:pt>
                <c:pt idx="89">
                  <c:v>0.24399999999999999</c:v>
                </c:pt>
                <c:pt idx="90">
                  <c:v>0.26800000000000002</c:v>
                </c:pt>
                <c:pt idx="91">
                  <c:v>0.26700000000000002</c:v>
                </c:pt>
                <c:pt idx="92">
                  <c:v>0.44800000000000001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968512"/>
        <c:axId val="311970048"/>
      </c:lineChart>
      <c:catAx>
        <c:axId val="311968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1970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11970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1968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352425</xdr:colOff>
      <xdr:row>104</xdr:row>
      <xdr:rowOff>0</xdr:rowOff>
    </xdr:from>
    <xdr:to>
      <xdr:col>18</xdr:col>
      <xdr:colOff>190500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f>MAX(O6:O370)</f>
        <v>99.9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>
        <v>2.6</v>
      </c>
      <c r="AN1" s="1">
        <f>MAX(AN6:AN370)</f>
        <v>99.9</v>
      </c>
      <c r="AT1" s="19" t="str">
        <f>A1</f>
        <v xml:space="preserve">Penticton Creek 2025 Site P5 - daily data </v>
      </c>
      <c r="AU1" s="19"/>
    </row>
    <row r="2" spans="1:66" x14ac:dyDescent="0.2">
      <c r="A2" s="1" t="s">
        <v>113</v>
      </c>
      <c r="D2" s="1"/>
      <c r="E2" s="1" t="s">
        <v>82</v>
      </c>
      <c r="F2" s="1" t="s">
        <v>83</v>
      </c>
      <c r="G2" s="1" t="s">
        <v>84</v>
      </c>
      <c r="H2" s="1"/>
      <c r="I2" s="1"/>
      <c r="J2" s="1"/>
      <c r="K2" s="1"/>
      <c r="L2" s="1"/>
      <c r="M2" s="1"/>
      <c r="N2" s="1" t="s">
        <v>82</v>
      </c>
      <c r="O2" s="1"/>
      <c r="P2" s="1"/>
      <c r="Q2" s="1"/>
      <c r="R2" s="1"/>
      <c r="S2" s="1"/>
      <c r="T2" s="1"/>
      <c r="U2" s="1" t="s">
        <v>83</v>
      </c>
      <c r="V2" s="1"/>
      <c r="W2" s="1"/>
      <c r="X2" s="1"/>
      <c r="Y2" s="1"/>
      <c r="Z2" s="1"/>
      <c r="AA2" s="1"/>
      <c r="AC2" s="1"/>
      <c r="AD2" s="1"/>
      <c r="AE2" s="1"/>
      <c r="AF2" s="1"/>
      <c r="AG2" s="1"/>
      <c r="AI2" s="1"/>
      <c r="AJ2" s="1"/>
      <c r="AK2" s="1" t="s">
        <v>5</v>
      </c>
      <c r="AN2" s="1" t="s">
        <v>81</v>
      </c>
      <c r="AQ2" s="1" t="s">
        <v>65</v>
      </c>
      <c r="AT2" s="19" t="str">
        <f>A2</f>
        <v>Last edit 30/12/25</v>
      </c>
      <c r="AV2" s="1" t="s">
        <v>74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14</v>
      </c>
      <c r="E3" s="2" t="s">
        <v>85</v>
      </c>
      <c r="F3" s="2" t="s">
        <v>85</v>
      </c>
      <c r="G3" s="2" t="s">
        <v>2</v>
      </c>
      <c r="H3" s="2" t="s">
        <v>6</v>
      </c>
      <c r="I3" s="2" t="s">
        <v>9</v>
      </c>
      <c r="J3" s="2" t="s">
        <v>10</v>
      </c>
      <c r="K3" s="2" t="s">
        <v>86</v>
      </c>
      <c r="L3" s="2" t="s">
        <v>7</v>
      </c>
      <c r="M3" s="2" t="s">
        <v>8</v>
      </c>
      <c r="N3" s="2" t="s">
        <v>2</v>
      </c>
      <c r="O3" s="2" t="s">
        <v>6</v>
      </c>
      <c r="P3" s="2" t="s">
        <v>9</v>
      </c>
      <c r="Q3" s="2" t="s">
        <v>10</v>
      </c>
      <c r="R3" s="2" t="s">
        <v>86</v>
      </c>
      <c r="S3" s="2" t="s">
        <v>7</v>
      </c>
      <c r="T3" s="2" t="s">
        <v>8</v>
      </c>
      <c r="U3" s="2" t="s">
        <v>2</v>
      </c>
      <c r="V3" s="2" t="s">
        <v>6</v>
      </c>
      <c r="W3" s="2" t="s">
        <v>9</v>
      </c>
      <c r="X3" s="2" t="s">
        <v>10</v>
      </c>
      <c r="Y3" s="2" t="s">
        <v>86</v>
      </c>
      <c r="Z3" s="2" t="s">
        <v>7</v>
      </c>
      <c r="AA3" s="2" t="s">
        <v>8</v>
      </c>
      <c r="AB3" s="5" t="s">
        <v>87</v>
      </c>
      <c r="AC3" s="1" t="s">
        <v>88</v>
      </c>
      <c r="AD3" s="1" t="s">
        <v>88</v>
      </c>
      <c r="AE3" s="1" t="s">
        <v>88</v>
      </c>
      <c r="AF3" s="1" t="s">
        <v>89</v>
      </c>
      <c r="AG3" s="1" t="s">
        <v>89</v>
      </c>
      <c r="AH3" s="2" t="s">
        <v>80</v>
      </c>
      <c r="AI3" s="1" t="s">
        <v>90</v>
      </c>
      <c r="AJ3" s="1"/>
      <c r="AK3" s="1" t="s">
        <v>13</v>
      </c>
      <c r="AL3" s="1" t="s">
        <v>63</v>
      </c>
      <c r="AN3" s="1">
        <v>1</v>
      </c>
      <c r="AO3" s="1">
        <v>0</v>
      </c>
      <c r="AQ3" s="1" t="s">
        <v>64</v>
      </c>
      <c r="AR3" s="1" t="s">
        <v>104</v>
      </c>
      <c r="AT3" s="1" t="s">
        <v>1</v>
      </c>
      <c r="AU3" s="1" t="s">
        <v>75</v>
      </c>
      <c r="AV3" s="1" t="s">
        <v>67</v>
      </c>
      <c r="AW3" s="1" t="s">
        <v>68</v>
      </c>
      <c r="AX3" s="1" t="s">
        <v>69</v>
      </c>
      <c r="AY3" s="1" t="s">
        <v>70</v>
      </c>
      <c r="AZ3" s="1" t="s">
        <v>71</v>
      </c>
      <c r="BA3" s="5" t="s">
        <v>72</v>
      </c>
      <c r="BB3" s="1" t="s">
        <v>63</v>
      </c>
      <c r="BC3" s="1" t="s">
        <v>73</v>
      </c>
      <c r="BD3" s="1" t="s">
        <v>77</v>
      </c>
      <c r="BE3" s="1" t="s">
        <v>78</v>
      </c>
      <c r="BF3" s="2" t="s">
        <v>31</v>
      </c>
      <c r="BG3" s="2" t="s">
        <v>7</v>
      </c>
      <c r="BH3" s="2" t="s">
        <v>8</v>
      </c>
      <c r="BI3" s="2" t="s">
        <v>80</v>
      </c>
      <c r="BJ3" s="1" t="s">
        <v>50</v>
      </c>
      <c r="BK3" s="1" t="s">
        <v>104</v>
      </c>
      <c r="BM3" s="1" t="s">
        <v>76</v>
      </c>
    </row>
    <row r="4" spans="1:66" x14ac:dyDescent="0.2">
      <c r="D4" s="2" t="s">
        <v>15</v>
      </c>
      <c r="E4" s="2" t="s">
        <v>16</v>
      </c>
      <c r="F4" s="2" t="s">
        <v>16</v>
      </c>
      <c r="G4" s="2" t="s">
        <v>16</v>
      </c>
      <c r="H4" s="2" t="s">
        <v>17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17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17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  <c r="AB4" s="5" t="s">
        <v>91</v>
      </c>
      <c r="AC4" s="1" t="s">
        <v>92</v>
      </c>
      <c r="AD4" s="1" t="s">
        <v>93</v>
      </c>
      <c r="AE4" s="1" t="s">
        <v>94</v>
      </c>
      <c r="AF4" s="1" t="s">
        <v>93</v>
      </c>
      <c r="AG4" s="1" t="s">
        <v>94</v>
      </c>
      <c r="AH4" s="2" t="s">
        <v>79</v>
      </c>
      <c r="AI4" s="1" t="s">
        <v>95</v>
      </c>
      <c r="AJ4" s="1" t="s">
        <v>4</v>
      </c>
      <c r="AK4" s="1" t="s">
        <v>101</v>
      </c>
      <c r="AL4" s="1" t="s">
        <v>96</v>
      </c>
      <c r="AN4" s="1" t="s">
        <v>12</v>
      </c>
      <c r="AO4" s="1" t="s">
        <v>19</v>
      </c>
      <c r="AP4" s="1" t="s">
        <v>11</v>
      </c>
      <c r="AQ4" s="1" t="s">
        <v>66</v>
      </c>
      <c r="AR4" s="1" t="s">
        <v>66</v>
      </c>
      <c r="AV4" s="1" t="s">
        <v>18</v>
      </c>
      <c r="AW4" s="1" t="s">
        <v>18</v>
      </c>
      <c r="AX4" s="1" t="s">
        <v>18</v>
      </c>
      <c r="AY4" s="1" t="s">
        <v>17</v>
      </c>
      <c r="AZ4" s="1" t="s">
        <v>17</v>
      </c>
      <c r="BA4" s="5" t="s">
        <v>101</v>
      </c>
      <c r="BB4" s="1" t="s">
        <v>18</v>
      </c>
      <c r="BC4" s="1" t="s">
        <v>18</v>
      </c>
      <c r="BD4" s="2" t="s">
        <v>18</v>
      </c>
      <c r="BE4" s="2" t="s">
        <v>18</v>
      </c>
      <c r="BF4" s="1" t="s">
        <v>18</v>
      </c>
      <c r="BG4" s="1" t="s">
        <v>18</v>
      </c>
      <c r="BH4" s="1" t="s">
        <v>18</v>
      </c>
      <c r="BI4" s="1" t="s">
        <v>79</v>
      </c>
      <c r="BJ4" s="1" t="s">
        <v>66</v>
      </c>
      <c r="BK4" s="1" t="s">
        <v>66</v>
      </c>
      <c r="BL4" s="2"/>
      <c r="BM4" s="1" t="s">
        <v>12</v>
      </c>
      <c r="BN4" s="1" t="s">
        <v>11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23"/>
      <c r="BB5" s="17"/>
      <c r="BF5" s="17"/>
      <c r="BG5" s="17"/>
      <c r="BH5" s="17"/>
      <c r="BI5" s="5"/>
    </row>
    <row r="6" spans="1:66" x14ac:dyDescent="0.2">
      <c r="A6" s="4">
        <v>45658</v>
      </c>
      <c r="B6" s="1">
        <v>1</v>
      </c>
      <c r="C6" s="1">
        <v>5</v>
      </c>
      <c r="D6" s="5">
        <v>12.55</v>
      </c>
      <c r="E6" s="5">
        <v>-5.9189999999999996</v>
      </c>
      <c r="F6" s="5">
        <v>-7.2389999999999999</v>
      </c>
      <c r="G6" s="5">
        <v>-7.3760000000000003</v>
      </c>
      <c r="H6" s="5">
        <v>93.6</v>
      </c>
      <c r="I6" s="5">
        <v>-1.534</v>
      </c>
      <c r="J6" s="5">
        <v>-0.58099999999999996</v>
      </c>
      <c r="K6" s="5">
        <v>0.248</v>
      </c>
      <c r="L6" s="5">
        <v>1.04</v>
      </c>
      <c r="M6" s="5">
        <v>1.8009999999999999</v>
      </c>
      <c r="N6" s="5">
        <v>-6.6520000000000001</v>
      </c>
      <c r="O6" s="5">
        <v>99.8</v>
      </c>
      <c r="P6" s="5">
        <v>-1.3919999999999999</v>
      </c>
      <c r="Q6" s="5">
        <v>-0.48799999999999999</v>
      </c>
      <c r="R6" s="5">
        <v>0.32600000000000001</v>
      </c>
      <c r="S6" s="5">
        <v>1.127</v>
      </c>
      <c r="T6" s="5">
        <v>1.8720000000000001</v>
      </c>
      <c r="U6" s="5">
        <v>-7.7919999999999998</v>
      </c>
      <c r="V6" s="5">
        <v>81</v>
      </c>
      <c r="W6" s="5">
        <v>-1.641</v>
      </c>
      <c r="X6" s="5">
        <v>-0.66800000000000004</v>
      </c>
      <c r="Y6" s="5">
        <v>0.17199999999999999</v>
      </c>
      <c r="Z6" s="5">
        <v>0.96699999999999997</v>
      </c>
      <c r="AA6" s="5">
        <v>1.7250000000000001</v>
      </c>
      <c r="AB6" s="5">
        <v>2.1</v>
      </c>
      <c r="AC6" s="5">
        <v>-7.2619999999999996</v>
      </c>
      <c r="AD6" s="5">
        <v>-6.7039999999999997</v>
      </c>
      <c r="AE6" s="5">
        <v>-7.8559999999999999</v>
      </c>
      <c r="AF6" s="5">
        <v>-6.1619999999999999</v>
      </c>
      <c r="AG6" s="5">
        <v>-7.5</v>
      </c>
      <c r="AH6" s="5">
        <v>0.156</v>
      </c>
      <c r="AI6" s="5">
        <v>2.13</v>
      </c>
      <c r="AK6" s="1">
        <f t="shared" ref="AK6:AK69" si="0">AK$1-AB6</f>
        <v>0.5</v>
      </c>
      <c r="AL6" s="7">
        <f t="shared" ref="AL6:AL70" si="1">ROUND(AVERAGE(I6:K6),1)</f>
        <v>-0.6</v>
      </c>
      <c r="AN6" s="1">
        <f t="shared" ref="AN6:AN69" si="2">ROUND(O6*AN$3+AO$3,1)</f>
        <v>99.8</v>
      </c>
      <c r="AO6" s="1">
        <f t="shared" ref="AO6:AO69" si="3">ROUND(H6*AN$3+AO$3,1)</f>
        <v>93.6</v>
      </c>
      <c r="AP6" s="1">
        <f t="shared" ref="AP6:AP69" si="4">ROUND(V6*AN$3+AO$3,1)</f>
        <v>81</v>
      </c>
      <c r="AQ6" s="18">
        <f t="shared" ref="AQ6:AQ69" si="5">ROUND((0.6105*(EXP((17.273*N6)/(N6+237.3))))*AP6/100,3)</f>
        <v>0.3</v>
      </c>
      <c r="AR6" s="24">
        <f>ROUND(AQ6/AP6*(100-AP6),3)</f>
        <v>7.0000000000000007E-2</v>
      </c>
      <c r="AT6" s="20">
        <f t="shared" ref="AT6:AT69" si="6">A6</f>
        <v>45658</v>
      </c>
      <c r="AU6" s="21">
        <f t="shared" ref="AU6:AU69" si="7">B6</f>
        <v>1</v>
      </c>
      <c r="AV6" s="1">
        <f t="shared" ref="AV6:AV69" si="8">ROUND(G6,1)</f>
        <v>-7.4</v>
      </c>
      <c r="AW6" s="1">
        <f t="shared" ref="AW6:AW69" si="9">ROUND(N6,1)</f>
        <v>-6.7</v>
      </c>
      <c r="AX6" s="1">
        <f t="shared" ref="AX6:AX69" si="10">ROUND(U6,1)</f>
        <v>-7.8</v>
      </c>
      <c r="AY6" s="1">
        <f t="shared" ref="AY6:AY68" si="11">AO6</f>
        <v>93.6</v>
      </c>
      <c r="AZ6" s="1">
        <f t="shared" ref="AZ6:AZ68" si="12">AP6</f>
        <v>81</v>
      </c>
      <c r="BA6" s="1">
        <f>AK6</f>
        <v>0.5</v>
      </c>
      <c r="BB6" s="5">
        <f t="shared" ref="BB6" si="13">AL6</f>
        <v>-0.6</v>
      </c>
      <c r="BC6" s="1">
        <f t="shared" ref="BC6:BC69" si="14">ROUND(AC6,1)</f>
        <v>-7.3</v>
      </c>
      <c r="BD6" s="1">
        <f t="shared" ref="BD6:BD69" si="15">ROUND(AD6,1)</f>
        <v>-6.7</v>
      </c>
      <c r="BE6" s="1">
        <f t="shared" ref="BE6:BE69" si="16">ROUND(AE6,1)</f>
        <v>-7.9</v>
      </c>
      <c r="BF6" s="5">
        <f t="shared" ref="BF6:BF69" si="17">ROUND(K6,1)</f>
        <v>0.2</v>
      </c>
      <c r="BG6" s="5">
        <f t="shared" ref="BG6:BG69" si="18">ROUND(L6,1)</f>
        <v>1</v>
      </c>
      <c r="BH6" s="5">
        <f t="shared" ref="BH6:BH69" si="19">ROUND(M6,1)</f>
        <v>1.8</v>
      </c>
      <c r="BI6" s="5">
        <f>IF(AH6="NAN","NAN",ROUND(AH6,3))</f>
        <v>0.156</v>
      </c>
      <c r="BJ6" s="11">
        <f>AQ6</f>
        <v>0.3</v>
      </c>
      <c r="BK6" s="11">
        <f>AR6</f>
        <v>7.0000000000000007E-2</v>
      </c>
      <c r="BM6" s="1">
        <f t="shared" ref="BM6:BM69" si="20">AD6-N6</f>
        <v>-5.1999999999999602E-2</v>
      </c>
      <c r="BN6" s="1">
        <f t="shared" ref="BN6:BN69" si="21">AE6-U6</f>
        <v>-6.4000000000000057E-2</v>
      </c>
    </row>
    <row r="7" spans="1:66" x14ac:dyDescent="0.2">
      <c r="A7" s="4">
        <f>A6+1</f>
        <v>45659</v>
      </c>
      <c r="B7" s="1">
        <v>2</v>
      </c>
      <c r="C7" s="1">
        <v>5</v>
      </c>
      <c r="D7" s="5">
        <v>12.54</v>
      </c>
      <c r="E7" s="5">
        <v>-6.4009999999999998</v>
      </c>
      <c r="F7" s="5">
        <v>-8.24</v>
      </c>
      <c r="G7" s="5">
        <v>-7.9470000000000001</v>
      </c>
      <c r="H7" s="5">
        <v>94.9</v>
      </c>
      <c r="I7" s="5">
        <v>-1.64</v>
      </c>
      <c r="J7" s="5">
        <v>-0.63700000000000001</v>
      </c>
      <c r="K7" s="5">
        <v>0.24099999999999999</v>
      </c>
      <c r="L7" s="5">
        <v>1.026</v>
      </c>
      <c r="M7" s="5">
        <v>1.7829999999999999</v>
      </c>
      <c r="N7" s="5">
        <v>-6.9779999999999998</v>
      </c>
      <c r="O7" s="5">
        <v>99.7</v>
      </c>
      <c r="P7" s="5">
        <v>-1.534</v>
      </c>
      <c r="Q7" s="5">
        <v>-0.55500000000000005</v>
      </c>
      <c r="R7" s="5">
        <v>0.315</v>
      </c>
      <c r="S7" s="5">
        <v>1.0920000000000001</v>
      </c>
      <c r="T7" s="5">
        <v>1.861</v>
      </c>
      <c r="U7" s="5">
        <v>-9.6199999999999992</v>
      </c>
      <c r="V7" s="5">
        <v>91.3</v>
      </c>
      <c r="W7" s="5">
        <v>-1.762</v>
      </c>
      <c r="X7" s="5">
        <v>-0.72899999999999998</v>
      </c>
      <c r="Y7" s="5">
        <v>0.17</v>
      </c>
      <c r="Z7" s="5">
        <v>0.96299999999999997</v>
      </c>
      <c r="AA7" s="5">
        <v>1.6970000000000001</v>
      </c>
      <c r="AB7" s="5">
        <v>2.1019999999999999</v>
      </c>
      <c r="AC7" s="5">
        <v>-7.9530000000000003</v>
      </c>
      <c r="AD7" s="5">
        <v>-6.96</v>
      </c>
      <c r="AE7" s="5">
        <v>-10.15</v>
      </c>
      <c r="AF7" s="5">
        <v>-6.5010000000000003</v>
      </c>
      <c r="AG7" s="5">
        <v>-9.2799999999999994</v>
      </c>
      <c r="AH7" s="5">
        <v>0.157</v>
      </c>
      <c r="AI7" s="5">
        <v>2.1379999999999999</v>
      </c>
      <c r="AK7" s="1">
        <f t="shared" si="0"/>
        <v>0.49800000000000022</v>
      </c>
      <c r="AL7" s="7">
        <f t="shared" si="1"/>
        <v>-0.7</v>
      </c>
      <c r="AN7" s="1">
        <f t="shared" si="2"/>
        <v>99.7</v>
      </c>
      <c r="AO7" s="1">
        <f t="shared" si="3"/>
        <v>94.9</v>
      </c>
      <c r="AP7" s="1">
        <f t="shared" si="4"/>
        <v>91.3</v>
      </c>
      <c r="AQ7" s="18">
        <f t="shared" si="5"/>
        <v>0.33</v>
      </c>
      <c r="AR7" s="24">
        <f t="shared" ref="AR7:AR70" si="22">ROUND(AQ7/AP7*(100-AP7),3)</f>
        <v>3.1E-2</v>
      </c>
      <c r="AT7" s="20">
        <f t="shared" si="6"/>
        <v>45659</v>
      </c>
      <c r="AU7" s="21">
        <f t="shared" si="7"/>
        <v>2</v>
      </c>
      <c r="AV7" s="1">
        <f t="shared" si="8"/>
        <v>-7.9</v>
      </c>
      <c r="AW7" s="1">
        <f t="shared" si="9"/>
        <v>-7</v>
      </c>
      <c r="AX7" s="1">
        <f t="shared" si="10"/>
        <v>-9.6</v>
      </c>
      <c r="AY7" s="1">
        <f t="shared" si="11"/>
        <v>94.9</v>
      </c>
      <c r="AZ7" s="1">
        <f t="shared" si="12"/>
        <v>91.3</v>
      </c>
      <c r="BA7" s="1">
        <f t="shared" ref="BA7:BA70" si="23">AK7</f>
        <v>0.49800000000000022</v>
      </c>
      <c r="BB7" s="5">
        <f t="shared" ref="BB7:BB70" si="24">AL7</f>
        <v>-0.7</v>
      </c>
      <c r="BC7" s="1">
        <f t="shared" si="14"/>
        <v>-8</v>
      </c>
      <c r="BD7" s="1">
        <f t="shared" si="15"/>
        <v>-7</v>
      </c>
      <c r="BE7" s="1">
        <f t="shared" si="16"/>
        <v>-10.199999999999999</v>
      </c>
      <c r="BF7" s="5">
        <f t="shared" si="17"/>
        <v>0.2</v>
      </c>
      <c r="BG7" s="5">
        <f t="shared" si="18"/>
        <v>1</v>
      </c>
      <c r="BH7" s="5">
        <f t="shared" si="19"/>
        <v>1.8</v>
      </c>
      <c r="BI7" s="5">
        <f t="shared" ref="BI7:BI70" si="25">IF(AH7="NAN","NAN",ROUND(AH7,3))</f>
        <v>0.157</v>
      </c>
      <c r="BJ7" s="11">
        <f t="shared" ref="BJ7:BK70" si="26">AQ7</f>
        <v>0.33</v>
      </c>
      <c r="BK7" s="11">
        <f t="shared" si="26"/>
        <v>3.1E-2</v>
      </c>
      <c r="BM7" s="1">
        <f t="shared" si="20"/>
        <v>1.7999999999999794E-2</v>
      </c>
      <c r="BN7" s="1">
        <f t="shared" si="21"/>
        <v>-0.53000000000000114</v>
      </c>
    </row>
    <row r="8" spans="1:66" x14ac:dyDescent="0.2">
      <c r="A8" s="4">
        <f t="shared" ref="A8:A71" si="27">A7+1</f>
        <v>45660</v>
      </c>
      <c r="B8" s="1">
        <v>3</v>
      </c>
      <c r="C8" s="1">
        <v>5</v>
      </c>
      <c r="D8" s="5">
        <v>12.55</v>
      </c>
      <c r="E8" s="5">
        <v>-3.407</v>
      </c>
      <c r="F8" s="5">
        <v>-8.33</v>
      </c>
      <c r="G8" s="5">
        <v>-5.2039999999999997</v>
      </c>
      <c r="H8" s="5">
        <v>97.1</v>
      </c>
      <c r="I8" s="5">
        <v>-1.714</v>
      </c>
      <c r="J8" s="5">
        <v>-0.67700000000000005</v>
      </c>
      <c r="K8" s="5">
        <v>0.252</v>
      </c>
      <c r="L8" s="5">
        <v>1.0309999999999999</v>
      </c>
      <c r="M8" s="5">
        <v>1.784</v>
      </c>
      <c r="N8" s="5">
        <v>-3.2570000000000001</v>
      </c>
      <c r="O8" s="5">
        <v>99.9</v>
      </c>
      <c r="P8" s="5">
        <v>-1.571</v>
      </c>
      <c r="Q8" s="5">
        <v>-0.60299999999999998</v>
      </c>
      <c r="R8" s="5">
        <v>0.33900000000000002</v>
      </c>
      <c r="S8" s="5">
        <v>1.1100000000000001</v>
      </c>
      <c r="T8" s="5">
        <v>1.8620000000000001</v>
      </c>
      <c r="U8" s="5">
        <v>-9.14</v>
      </c>
      <c r="V8" s="5">
        <v>88.2</v>
      </c>
      <c r="W8" s="5">
        <v>-1.8120000000000001</v>
      </c>
      <c r="X8" s="5">
        <v>-0.77200000000000002</v>
      </c>
      <c r="Y8" s="5">
        <v>0.16</v>
      </c>
      <c r="Z8" s="5">
        <v>0.94799999999999995</v>
      </c>
      <c r="AA8" s="5">
        <v>1.7070000000000001</v>
      </c>
      <c r="AB8" s="5">
        <v>2.117</v>
      </c>
      <c r="AC8" s="5">
        <v>-5.3369999999999997</v>
      </c>
      <c r="AD8" s="5">
        <v>-3.637</v>
      </c>
      <c r="AE8" s="5">
        <v>-9.18</v>
      </c>
      <c r="AF8" s="5">
        <v>-3.2629999999999999</v>
      </c>
      <c r="AG8" s="5">
        <v>-8.8800000000000008</v>
      </c>
      <c r="AH8" s="5">
        <v>0.158</v>
      </c>
      <c r="AI8" s="5">
        <v>2.13</v>
      </c>
      <c r="AK8" s="1">
        <f t="shared" si="0"/>
        <v>0.4830000000000001</v>
      </c>
      <c r="AL8" s="7">
        <f t="shared" si="1"/>
        <v>-0.7</v>
      </c>
      <c r="AN8" s="1">
        <f t="shared" si="2"/>
        <v>99.9</v>
      </c>
      <c r="AO8" s="1">
        <f t="shared" si="3"/>
        <v>97.1</v>
      </c>
      <c r="AP8" s="1">
        <f t="shared" si="4"/>
        <v>88.2</v>
      </c>
      <c r="AQ8" s="18">
        <f t="shared" si="5"/>
        <v>0.42299999999999999</v>
      </c>
      <c r="AR8" s="24">
        <f t="shared" si="22"/>
        <v>5.7000000000000002E-2</v>
      </c>
      <c r="AT8" s="20">
        <f t="shared" si="6"/>
        <v>45660</v>
      </c>
      <c r="AU8" s="21">
        <f t="shared" si="7"/>
        <v>3</v>
      </c>
      <c r="AV8" s="1">
        <f t="shared" si="8"/>
        <v>-5.2</v>
      </c>
      <c r="AW8" s="1">
        <f t="shared" si="9"/>
        <v>-3.3</v>
      </c>
      <c r="AX8" s="1">
        <f t="shared" si="10"/>
        <v>-9.1</v>
      </c>
      <c r="AY8" s="1">
        <f t="shared" si="11"/>
        <v>97.1</v>
      </c>
      <c r="AZ8" s="1">
        <f t="shared" si="12"/>
        <v>88.2</v>
      </c>
      <c r="BA8" s="1">
        <f t="shared" si="23"/>
        <v>0.4830000000000001</v>
      </c>
      <c r="BB8" s="5">
        <f t="shared" si="24"/>
        <v>-0.7</v>
      </c>
      <c r="BC8" s="1">
        <f t="shared" si="14"/>
        <v>-5.3</v>
      </c>
      <c r="BD8" s="1">
        <f t="shared" si="15"/>
        <v>-3.6</v>
      </c>
      <c r="BE8" s="1">
        <f t="shared" si="16"/>
        <v>-9.1999999999999993</v>
      </c>
      <c r="BF8" s="5">
        <f t="shared" si="17"/>
        <v>0.3</v>
      </c>
      <c r="BG8" s="5">
        <f t="shared" si="18"/>
        <v>1</v>
      </c>
      <c r="BH8" s="5">
        <f t="shared" si="19"/>
        <v>1.8</v>
      </c>
      <c r="BI8" s="5">
        <f t="shared" si="25"/>
        <v>0.158</v>
      </c>
      <c r="BJ8" s="11">
        <f t="shared" si="26"/>
        <v>0.42299999999999999</v>
      </c>
      <c r="BK8" s="11">
        <f t="shared" si="26"/>
        <v>5.7000000000000002E-2</v>
      </c>
      <c r="BM8" s="1">
        <f t="shared" si="20"/>
        <v>-0.37999999999999989</v>
      </c>
      <c r="BN8" s="1">
        <f t="shared" si="21"/>
        <v>-3.9999999999999147E-2</v>
      </c>
    </row>
    <row r="9" spans="1:66" x14ac:dyDescent="0.2">
      <c r="A9" s="4">
        <f t="shared" si="27"/>
        <v>45661</v>
      </c>
      <c r="B9" s="1">
        <v>4</v>
      </c>
      <c r="C9" s="1">
        <v>5</v>
      </c>
      <c r="D9" s="5">
        <v>12.54</v>
      </c>
      <c r="E9" s="5">
        <v>-2.0129999999999999</v>
      </c>
      <c r="F9" s="5">
        <v>-4.5049999999999999</v>
      </c>
      <c r="G9" s="5">
        <v>-3.92</v>
      </c>
      <c r="H9" s="5">
        <v>95.8</v>
      </c>
      <c r="I9" s="5">
        <v>-1.4650000000000001</v>
      </c>
      <c r="J9" s="5">
        <v>-0.59899999999999998</v>
      </c>
      <c r="K9" s="5">
        <v>0.25900000000000001</v>
      </c>
      <c r="L9" s="5">
        <v>1.036</v>
      </c>
      <c r="M9" s="5">
        <v>1.7829999999999999</v>
      </c>
      <c r="N9" s="5">
        <v>-1.6850000000000001</v>
      </c>
      <c r="O9" s="5">
        <v>99.8</v>
      </c>
      <c r="P9" s="5">
        <v>-1.3089999999999999</v>
      </c>
      <c r="Q9" s="5">
        <v>-0.48899999999999999</v>
      </c>
      <c r="R9" s="5">
        <v>0.33100000000000002</v>
      </c>
      <c r="S9" s="5">
        <v>1.1080000000000001</v>
      </c>
      <c r="T9" s="5">
        <v>1.8560000000000001</v>
      </c>
      <c r="U9" s="5">
        <v>-5.5129999999999999</v>
      </c>
      <c r="V9" s="5">
        <v>82.8</v>
      </c>
      <c r="W9" s="5">
        <v>-1.665</v>
      </c>
      <c r="X9" s="5">
        <v>-0.70899999999999996</v>
      </c>
      <c r="Y9" s="5">
        <v>0.186</v>
      </c>
      <c r="Z9" s="5">
        <v>0.97299999999999998</v>
      </c>
      <c r="AA9" s="5">
        <v>1.714</v>
      </c>
      <c r="AB9" s="5">
        <v>2.1030000000000002</v>
      </c>
      <c r="AC9" s="5">
        <v>-4.6340000000000003</v>
      </c>
      <c r="AD9" s="5">
        <v>-3.306</v>
      </c>
      <c r="AE9" s="5">
        <v>-6.5549999999999997</v>
      </c>
      <c r="AF9" s="5">
        <v>-1.651</v>
      </c>
      <c r="AG9" s="5">
        <v>-5.1059999999999999</v>
      </c>
      <c r="AH9" s="5">
        <v>0.158</v>
      </c>
      <c r="AI9" s="5">
        <v>2.1219999999999999</v>
      </c>
      <c r="AK9" s="1">
        <f t="shared" si="0"/>
        <v>0.49699999999999989</v>
      </c>
      <c r="AL9" s="7">
        <f t="shared" si="1"/>
        <v>-0.6</v>
      </c>
      <c r="AN9" s="1">
        <f t="shared" si="2"/>
        <v>99.8</v>
      </c>
      <c r="AO9" s="1">
        <f t="shared" si="3"/>
        <v>95.8</v>
      </c>
      <c r="AP9" s="1">
        <f t="shared" si="4"/>
        <v>82.8</v>
      </c>
      <c r="AQ9" s="18">
        <f t="shared" si="5"/>
        <v>0.44700000000000001</v>
      </c>
      <c r="AR9" s="24">
        <f t="shared" si="22"/>
        <v>9.2999999999999999E-2</v>
      </c>
      <c r="AT9" s="20">
        <f t="shared" si="6"/>
        <v>45661</v>
      </c>
      <c r="AU9" s="21">
        <f t="shared" si="7"/>
        <v>4</v>
      </c>
      <c r="AV9" s="1">
        <f t="shared" si="8"/>
        <v>-3.9</v>
      </c>
      <c r="AW9" s="1">
        <f t="shared" si="9"/>
        <v>-1.7</v>
      </c>
      <c r="AX9" s="1">
        <f t="shared" si="10"/>
        <v>-5.5</v>
      </c>
      <c r="AY9" s="1">
        <f t="shared" si="11"/>
        <v>95.8</v>
      </c>
      <c r="AZ9" s="1">
        <f t="shared" si="12"/>
        <v>82.8</v>
      </c>
      <c r="BA9" s="1">
        <f t="shared" si="23"/>
        <v>0.49699999999999989</v>
      </c>
      <c r="BB9" s="5">
        <f t="shared" si="24"/>
        <v>-0.6</v>
      </c>
      <c r="BC9" s="1">
        <f t="shared" si="14"/>
        <v>-4.5999999999999996</v>
      </c>
      <c r="BD9" s="1">
        <f t="shared" si="15"/>
        <v>-3.3</v>
      </c>
      <c r="BE9" s="1">
        <f t="shared" si="16"/>
        <v>-6.6</v>
      </c>
      <c r="BF9" s="5">
        <f t="shared" si="17"/>
        <v>0.3</v>
      </c>
      <c r="BG9" s="5">
        <f t="shared" si="18"/>
        <v>1</v>
      </c>
      <c r="BH9" s="5">
        <f t="shared" si="19"/>
        <v>1.8</v>
      </c>
      <c r="BI9" s="5">
        <f t="shared" si="25"/>
        <v>0.158</v>
      </c>
      <c r="BJ9" s="11">
        <f t="shared" si="26"/>
        <v>0.44700000000000001</v>
      </c>
      <c r="BK9" s="11">
        <f t="shared" si="26"/>
        <v>9.2999999999999999E-2</v>
      </c>
      <c r="BM9" s="1">
        <f t="shared" si="20"/>
        <v>-1.621</v>
      </c>
      <c r="BN9" s="1">
        <f t="shared" si="21"/>
        <v>-1.0419999999999998</v>
      </c>
    </row>
    <row r="10" spans="1:66" x14ac:dyDescent="0.2">
      <c r="A10" s="4">
        <f t="shared" si="27"/>
        <v>45662</v>
      </c>
      <c r="B10" s="1">
        <v>5</v>
      </c>
      <c r="C10" s="1">
        <v>5</v>
      </c>
      <c r="D10" s="5">
        <v>12.54</v>
      </c>
      <c r="E10" s="5">
        <v>-1.2450000000000001</v>
      </c>
      <c r="F10" s="5">
        <v>-4.9160000000000004</v>
      </c>
      <c r="G10" s="5">
        <v>-4.1280000000000001</v>
      </c>
      <c r="H10" s="5">
        <v>96.3</v>
      </c>
      <c r="I10" s="5">
        <v>-1.327</v>
      </c>
      <c r="J10" s="5">
        <v>-0.52800000000000002</v>
      </c>
      <c r="K10" s="5">
        <v>0.255</v>
      </c>
      <c r="L10" s="5">
        <v>1.028</v>
      </c>
      <c r="M10" s="5">
        <v>1.772</v>
      </c>
      <c r="N10" s="5">
        <v>-1.2629999999999999</v>
      </c>
      <c r="O10" s="5">
        <v>98.6</v>
      </c>
      <c r="P10" s="5">
        <v>-1.1419999999999999</v>
      </c>
      <c r="Q10" s="5">
        <v>-0.42599999999999999</v>
      </c>
      <c r="R10" s="5">
        <v>0.33100000000000002</v>
      </c>
      <c r="S10" s="5">
        <v>1.099</v>
      </c>
      <c r="T10" s="5">
        <v>1.843</v>
      </c>
      <c r="U10" s="5">
        <v>-7.5279999999999996</v>
      </c>
      <c r="V10" s="5">
        <v>90.9</v>
      </c>
      <c r="W10" s="5">
        <v>-1.4350000000000001</v>
      </c>
      <c r="X10" s="5">
        <v>-0.61399999999999999</v>
      </c>
      <c r="Y10" s="5">
        <v>0.17299999999999999</v>
      </c>
      <c r="Z10" s="5">
        <v>0.95199999999999996</v>
      </c>
      <c r="AA10" s="5">
        <v>1.702</v>
      </c>
      <c r="AB10" s="5">
        <v>2.125</v>
      </c>
      <c r="AC10" s="5">
        <v>-4.3129999999999997</v>
      </c>
      <c r="AD10" s="5">
        <v>-1.708</v>
      </c>
      <c r="AE10" s="5">
        <v>-7.7960000000000003</v>
      </c>
      <c r="AF10" s="5">
        <v>-0.75800000000000001</v>
      </c>
      <c r="AG10" s="5">
        <v>-7.0369999999999999</v>
      </c>
      <c r="AH10" s="5">
        <v>0.158</v>
      </c>
      <c r="AI10" s="5">
        <v>2.12</v>
      </c>
      <c r="AK10" s="1">
        <f t="shared" si="0"/>
        <v>0.47500000000000009</v>
      </c>
      <c r="AL10" s="7">
        <f t="shared" si="1"/>
        <v>-0.5</v>
      </c>
      <c r="AN10" s="1">
        <f t="shared" si="2"/>
        <v>98.6</v>
      </c>
      <c r="AO10" s="1">
        <f t="shared" si="3"/>
        <v>96.3</v>
      </c>
      <c r="AP10" s="1">
        <f t="shared" si="4"/>
        <v>90.9</v>
      </c>
      <c r="AQ10" s="18">
        <f t="shared" si="5"/>
        <v>0.50600000000000001</v>
      </c>
      <c r="AR10" s="24">
        <f t="shared" si="22"/>
        <v>5.0999999999999997E-2</v>
      </c>
      <c r="AT10" s="20">
        <f t="shared" si="6"/>
        <v>45662</v>
      </c>
      <c r="AU10" s="21">
        <f t="shared" si="7"/>
        <v>5</v>
      </c>
      <c r="AV10" s="1">
        <f t="shared" si="8"/>
        <v>-4.0999999999999996</v>
      </c>
      <c r="AW10" s="1">
        <f t="shared" si="9"/>
        <v>-1.3</v>
      </c>
      <c r="AX10" s="1">
        <f t="shared" si="10"/>
        <v>-7.5</v>
      </c>
      <c r="AY10" s="1">
        <f t="shared" si="11"/>
        <v>96.3</v>
      </c>
      <c r="AZ10" s="1">
        <f t="shared" si="12"/>
        <v>90.9</v>
      </c>
      <c r="BA10" s="1">
        <f t="shared" si="23"/>
        <v>0.47500000000000009</v>
      </c>
      <c r="BB10" s="5">
        <f t="shared" si="24"/>
        <v>-0.5</v>
      </c>
      <c r="BC10" s="1">
        <f t="shared" si="14"/>
        <v>-4.3</v>
      </c>
      <c r="BD10" s="1">
        <f t="shared" si="15"/>
        <v>-1.7</v>
      </c>
      <c r="BE10" s="1">
        <f t="shared" si="16"/>
        <v>-7.8</v>
      </c>
      <c r="BF10" s="5">
        <f t="shared" si="17"/>
        <v>0.3</v>
      </c>
      <c r="BG10" s="5">
        <f t="shared" si="18"/>
        <v>1</v>
      </c>
      <c r="BH10" s="5">
        <f t="shared" si="19"/>
        <v>1.8</v>
      </c>
      <c r="BI10" s="5">
        <f t="shared" si="25"/>
        <v>0.158</v>
      </c>
      <c r="BJ10" s="11">
        <f t="shared" si="26"/>
        <v>0.50600000000000001</v>
      </c>
      <c r="BK10" s="11">
        <f t="shared" si="26"/>
        <v>5.0999999999999997E-2</v>
      </c>
      <c r="BM10" s="1">
        <f t="shared" si="20"/>
        <v>-0.44500000000000006</v>
      </c>
      <c r="BN10" s="1">
        <f t="shared" si="21"/>
        <v>-0.26800000000000068</v>
      </c>
    </row>
    <row r="11" spans="1:66" x14ac:dyDescent="0.2">
      <c r="A11" s="4">
        <f t="shared" si="27"/>
        <v>45663</v>
      </c>
      <c r="B11" s="1">
        <v>6</v>
      </c>
      <c r="C11" s="1">
        <v>5</v>
      </c>
      <c r="D11" s="5">
        <v>12.54</v>
      </c>
      <c r="E11" s="5">
        <v>-2.7839999999999998</v>
      </c>
      <c r="F11" s="5">
        <v>-7.9729999999999999</v>
      </c>
      <c r="G11" s="5">
        <v>-5.7320000000000002</v>
      </c>
      <c r="H11" s="5">
        <v>96</v>
      </c>
      <c r="I11" s="5">
        <v>-1.206</v>
      </c>
      <c r="J11" s="5">
        <v>-0.47199999999999998</v>
      </c>
      <c r="K11" s="5">
        <v>0.249</v>
      </c>
      <c r="L11" s="5">
        <v>1.016</v>
      </c>
      <c r="M11" s="5">
        <v>1.7529999999999999</v>
      </c>
      <c r="N11" s="5">
        <v>-3.21</v>
      </c>
      <c r="O11" s="5">
        <v>99.7</v>
      </c>
      <c r="P11" s="5">
        <v>-1.1140000000000001</v>
      </c>
      <c r="Q11" s="5">
        <v>-0.39300000000000002</v>
      </c>
      <c r="R11" s="5">
        <v>0.32800000000000001</v>
      </c>
      <c r="S11" s="5">
        <v>1.095</v>
      </c>
      <c r="T11" s="5">
        <v>1.831</v>
      </c>
      <c r="U11" s="5">
        <v>-9.81</v>
      </c>
      <c r="V11" s="5">
        <v>91.1</v>
      </c>
      <c r="W11" s="5">
        <v>-1.2909999999999999</v>
      </c>
      <c r="X11" s="5">
        <v>-0.55100000000000005</v>
      </c>
      <c r="Y11" s="5">
        <v>0.16600000000000001</v>
      </c>
      <c r="Z11" s="5">
        <v>0.93500000000000005</v>
      </c>
      <c r="AA11" s="5">
        <v>1.6579999999999999</v>
      </c>
      <c r="AB11" s="5">
        <v>2.1160000000000001</v>
      </c>
      <c r="AC11" s="5">
        <v>-6.0890000000000004</v>
      </c>
      <c r="AD11" s="5">
        <v>-3.968</v>
      </c>
      <c r="AE11" s="5">
        <v>-10.06</v>
      </c>
      <c r="AF11" s="5">
        <v>-2.9009999999999998</v>
      </c>
      <c r="AG11" s="5">
        <v>-9.5299999999999994</v>
      </c>
      <c r="AH11" s="5">
        <v>0.158</v>
      </c>
      <c r="AI11" s="5">
        <v>2.1549999999999998</v>
      </c>
      <c r="AK11" s="1">
        <f t="shared" si="0"/>
        <v>0.48399999999999999</v>
      </c>
      <c r="AL11" s="7">
        <f t="shared" si="1"/>
        <v>-0.5</v>
      </c>
      <c r="AN11" s="1">
        <f t="shared" si="2"/>
        <v>99.7</v>
      </c>
      <c r="AO11" s="1">
        <f t="shared" si="3"/>
        <v>96</v>
      </c>
      <c r="AP11" s="1">
        <f t="shared" si="4"/>
        <v>91.1</v>
      </c>
      <c r="AQ11" s="18">
        <f t="shared" si="5"/>
        <v>0.439</v>
      </c>
      <c r="AR11" s="24">
        <f t="shared" si="22"/>
        <v>4.2999999999999997E-2</v>
      </c>
      <c r="AT11" s="20">
        <f t="shared" si="6"/>
        <v>45663</v>
      </c>
      <c r="AU11" s="21">
        <f t="shared" si="7"/>
        <v>6</v>
      </c>
      <c r="AV11" s="1">
        <f t="shared" si="8"/>
        <v>-5.7</v>
      </c>
      <c r="AW11" s="1">
        <f t="shared" si="9"/>
        <v>-3.2</v>
      </c>
      <c r="AX11" s="1">
        <f t="shared" si="10"/>
        <v>-9.8000000000000007</v>
      </c>
      <c r="AY11" s="1">
        <f t="shared" si="11"/>
        <v>96</v>
      </c>
      <c r="AZ11" s="1">
        <f t="shared" si="12"/>
        <v>91.1</v>
      </c>
      <c r="BA11" s="1">
        <f t="shared" si="23"/>
        <v>0.48399999999999999</v>
      </c>
      <c r="BB11" s="5">
        <f t="shared" si="24"/>
        <v>-0.5</v>
      </c>
      <c r="BC11" s="1">
        <f t="shared" si="14"/>
        <v>-6.1</v>
      </c>
      <c r="BD11" s="1">
        <f t="shared" si="15"/>
        <v>-4</v>
      </c>
      <c r="BE11" s="1">
        <f t="shared" si="16"/>
        <v>-10.1</v>
      </c>
      <c r="BF11" s="5">
        <f t="shared" si="17"/>
        <v>0.2</v>
      </c>
      <c r="BG11" s="5">
        <f t="shared" si="18"/>
        <v>1</v>
      </c>
      <c r="BH11" s="5">
        <f t="shared" si="19"/>
        <v>1.8</v>
      </c>
      <c r="BI11" s="5">
        <f t="shared" si="25"/>
        <v>0.158</v>
      </c>
      <c r="BJ11" s="11">
        <f t="shared" si="26"/>
        <v>0.439</v>
      </c>
      <c r="BK11" s="11">
        <f t="shared" si="26"/>
        <v>4.2999999999999997E-2</v>
      </c>
      <c r="BM11" s="1">
        <f t="shared" si="20"/>
        <v>-0.75800000000000001</v>
      </c>
      <c r="BN11" s="1">
        <f t="shared" si="21"/>
        <v>-0.25</v>
      </c>
    </row>
    <row r="12" spans="1:66" x14ac:dyDescent="0.2">
      <c r="A12" s="4">
        <f t="shared" si="27"/>
        <v>45664</v>
      </c>
      <c r="B12" s="1">
        <v>7</v>
      </c>
      <c r="C12" s="1">
        <v>5</v>
      </c>
      <c r="D12" s="5">
        <v>12.53</v>
      </c>
      <c r="E12" s="5">
        <v>-6.0730000000000004</v>
      </c>
      <c r="F12" s="5">
        <v>-11.51</v>
      </c>
      <c r="G12" s="5">
        <v>-8.9499999999999993</v>
      </c>
      <c r="H12" s="5">
        <v>92.9</v>
      </c>
      <c r="I12" s="5">
        <v>-1.506</v>
      </c>
      <c r="J12" s="5">
        <v>-0.56000000000000005</v>
      </c>
      <c r="K12" s="5">
        <v>0.23</v>
      </c>
      <c r="L12" s="5">
        <v>0.98799999999999999</v>
      </c>
      <c r="M12" s="5">
        <v>1.724</v>
      </c>
      <c r="N12" s="5">
        <v>-5.7750000000000004</v>
      </c>
      <c r="O12" s="5">
        <v>97.7</v>
      </c>
      <c r="P12" s="5">
        <v>-1.1739999999999999</v>
      </c>
      <c r="Q12" s="5">
        <v>-0.42399999999999999</v>
      </c>
      <c r="R12" s="5">
        <v>0.318</v>
      </c>
      <c r="S12" s="5">
        <v>1.0620000000000001</v>
      </c>
      <c r="T12" s="5">
        <v>1.8029999999999999</v>
      </c>
      <c r="U12" s="5">
        <v>-12.41</v>
      </c>
      <c r="V12" s="5">
        <v>89</v>
      </c>
      <c r="W12" s="5">
        <v>-1.8120000000000001</v>
      </c>
      <c r="X12" s="5">
        <v>-0.72699999999999998</v>
      </c>
      <c r="Y12" s="5">
        <v>0.153</v>
      </c>
      <c r="Z12" s="5">
        <v>0.90900000000000003</v>
      </c>
      <c r="AA12" s="5">
        <v>1.6579999999999999</v>
      </c>
      <c r="AB12" s="5">
        <v>2.125</v>
      </c>
      <c r="AC12" s="5">
        <v>-9.0399999999999991</v>
      </c>
      <c r="AD12" s="5">
        <v>-5.915</v>
      </c>
      <c r="AE12" s="5">
        <v>-12.41</v>
      </c>
      <c r="AF12" s="5">
        <v>-5.1520000000000001</v>
      </c>
      <c r="AG12" s="5">
        <v>-12.16</v>
      </c>
      <c r="AH12" s="5">
        <v>0.159</v>
      </c>
      <c r="AI12" s="5">
        <v>2.1549999999999998</v>
      </c>
      <c r="AK12" s="1">
        <f t="shared" si="0"/>
        <v>0.47500000000000009</v>
      </c>
      <c r="AL12" s="7">
        <f t="shared" si="1"/>
        <v>-0.6</v>
      </c>
      <c r="AN12" s="1">
        <f t="shared" si="2"/>
        <v>97.7</v>
      </c>
      <c r="AO12" s="1">
        <f t="shared" si="3"/>
        <v>92.9</v>
      </c>
      <c r="AP12" s="1">
        <f t="shared" si="4"/>
        <v>89</v>
      </c>
      <c r="AQ12" s="18">
        <f t="shared" si="5"/>
        <v>0.35299999999999998</v>
      </c>
      <c r="AR12" s="24">
        <f t="shared" si="22"/>
        <v>4.3999999999999997E-2</v>
      </c>
      <c r="AT12" s="20">
        <f t="shared" si="6"/>
        <v>45664</v>
      </c>
      <c r="AU12" s="21">
        <f t="shared" si="7"/>
        <v>7</v>
      </c>
      <c r="AV12" s="1">
        <f t="shared" si="8"/>
        <v>-9</v>
      </c>
      <c r="AW12" s="1">
        <f t="shared" si="9"/>
        <v>-5.8</v>
      </c>
      <c r="AX12" s="1">
        <f t="shared" si="10"/>
        <v>-12.4</v>
      </c>
      <c r="AY12" s="1">
        <f t="shared" si="11"/>
        <v>92.9</v>
      </c>
      <c r="AZ12" s="1">
        <f t="shared" si="12"/>
        <v>89</v>
      </c>
      <c r="BA12" s="1">
        <f t="shared" si="23"/>
        <v>0.47500000000000009</v>
      </c>
      <c r="BB12" s="5">
        <f t="shared" si="24"/>
        <v>-0.6</v>
      </c>
      <c r="BC12" s="1">
        <f t="shared" si="14"/>
        <v>-9</v>
      </c>
      <c r="BD12" s="1">
        <f t="shared" si="15"/>
        <v>-5.9</v>
      </c>
      <c r="BE12" s="1">
        <f t="shared" si="16"/>
        <v>-12.4</v>
      </c>
      <c r="BF12" s="5">
        <f t="shared" si="17"/>
        <v>0.2</v>
      </c>
      <c r="BG12" s="5">
        <f t="shared" si="18"/>
        <v>1</v>
      </c>
      <c r="BH12" s="5">
        <f t="shared" si="19"/>
        <v>1.7</v>
      </c>
      <c r="BI12" s="5">
        <f t="shared" si="25"/>
        <v>0.159</v>
      </c>
      <c r="BJ12" s="11">
        <f t="shared" si="26"/>
        <v>0.35299999999999998</v>
      </c>
      <c r="BK12" s="11">
        <f t="shared" si="26"/>
        <v>4.3999999999999997E-2</v>
      </c>
      <c r="BM12" s="1">
        <f t="shared" si="20"/>
        <v>-0.13999999999999968</v>
      </c>
      <c r="BN12" s="1">
        <f t="shared" si="21"/>
        <v>0</v>
      </c>
    </row>
    <row r="13" spans="1:66" x14ac:dyDescent="0.2">
      <c r="A13" s="4">
        <f t="shared" si="27"/>
        <v>45665</v>
      </c>
      <c r="B13" s="1">
        <v>8</v>
      </c>
      <c r="C13" s="1">
        <v>5</v>
      </c>
      <c r="D13" s="5">
        <v>12.53</v>
      </c>
      <c r="E13" s="5">
        <v>1.0999999999999999E-2</v>
      </c>
      <c r="F13" s="5">
        <v>-7.3040000000000003</v>
      </c>
      <c r="G13" s="5">
        <v>-3.3239999999999998</v>
      </c>
      <c r="H13" s="5">
        <v>95</v>
      </c>
      <c r="I13" s="5">
        <v>-1.732</v>
      </c>
      <c r="J13" s="5">
        <v>-0.69199999999999995</v>
      </c>
      <c r="K13" s="5">
        <v>0.25900000000000001</v>
      </c>
      <c r="L13" s="5">
        <v>1.0149999999999999</v>
      </c>
      <c r="M13" s="5">
        <v>1.7470000000000001</v>
      </c>
      <c r="N13" s="5">
        <v>2.7E-2</v>
      </c>
      <c r="O13" s="5">
        <v>99.8</v>
      </c>
      <c r="P13" s="5">
        <v>-1.427</v>
      </c>
      <c r="Q13" s="5">
        <v>-0.58699999999999997</v>
      </c>
      <c r="R13" s="5">
        <v>0.34300000000000003</v>
      </c>
      <c r="S13" s="5">
        <v>1.105</v>
      </c>
      <c r="T13" s="5">
        <v>1.821</v>
      </c>
      <c r="U13" s="5">
        <v>-7.5990000000000002</v>
      </c>
      <c r="V13" s="5">
        <v>83.5</v>
      </c>
      <c r="W13" s="5">
        <v>-1.8839999999999999</v>
      </c>
      <c r="X13" s="5">
        <v>-0.78500000000000003</v>
      </c>
      <c r="Y13" s="5">
        <v>0.193</v>
      </c>
      <c r="Z13" s="5">
        <v>0.94399999999999995</v>
      </c>
      <c r="AA13" s="5">
        <v>1.667</v>
      </c>
      <c r="AB13" s="5">
        <v>2.1</v>
      </c>
      <c r="AC13" s="5">
        <v>-3.7320000000000002</v>
      </c>
      <c r="AD13" s="5">
        <v>-1.024</v>
      </c>
      <c r="AE13" s="5">
        <v>-7.7249999999999996</v>
      </c>
      <c r="AF13" s="5">
        <v>0.254</v>
      </c>
      <c r="AG13" s="5">
        <v>-7.415</v>
      </c>
      <c r="AH13" s="5">
        <v>0.159</v>
      </c>
      <c r="AI13" s="5">
        <v>2.1280000000000001</v>
      </c>
      <c r="AK13" s="1">
        <f t="shared" si="0"/>
        <v>0.5</v>
      </c>
      <c r="AL13" s="7">
        <f t="shared" si="1"/>
        <v>-0.7</v>
      </c>
      <c r="AN13" s="1">
        <f t="shared" si="2"/>
        <v>99.8</v>
      </c>
      <c r="AO13" s="1">
        <f t="shared" si="3"/>
        <v>95</v>
      </c>
      <c r="AP13" s="1">
        <f t="shared" si="4"/>
        <v>83.5</v>
      </c>
      <c r="AQ13" s="18">
        <f t="shared" si="5"/>
        <v>0.51100000000000001</v>
      </c>
      <c r="AR13" s="24">
        <f t="shared" si="22"/>
        <v>0.10100000000000001</v>
      </c>
      <c r="AT13" s="20">
        <f t="shared" si="6"/>
        <v>45665</v>
      </c>
      <c r="AU13" s="21">
        <f t="shared" si="7"/>
        <v>8</v>
      </c>
      <c r="AV13" s="1">
        <f t="shared" si="8"/>
        <v>-3.3</v>
      </c>
      <c r="AW13" s="1">
        <f t="shared" si="9"/>
        <v>0</v>
      </c>
      <c r="AX13" s="1">
        <f t="shared" si="10"/>
        <v>-7.6</v>
      </c>
      <c r="AY13" s="1">
        <f t="shared" si="11"/>
        <v>95</v>
      </c>
      <c r="AZ13" s="1">
        <f t="shared" si="12"/>
        <v>83.5</v>
      </c>
      <c r="BA13" s="1">
        <f t="shared" si="23"/>
        <v>0.5</v>
      </c>
      <c r="BB13" s="5">
        <f t="shared" si="24"/>
        <v>-0.7</v>
      </c>
      <c r="BC13" s="1">
        <f t="shared" si="14"/>
        <v>-3.7</v>
      </c>
      <c r="BD13" s="1">
        <f t="shared" si="15"/>
        <v>-1</v>
      </c>
      <c r="BE13" s="1">
        <f t="shared" si="16"/>
        <v>-7.7</v>
      </c>
      <c r="BF13" s="5">
        <f t="shared" si="17"/>
        <v>0.3</v>
      </c>
      <c r="BG13" s="5">
        <f t="shared" si="18"/>
        <v>1</v>
      </c>
      <c r="BH13" s="5">
        <f t="shared" si="19"/>
        <v>1.7</v>
      </c>
      <c r="BI13" s="5">
        <f t="shared" si="25"/>
        <v>0.159</v>
      </c>
      <c r="BJ13" s="11">
        <f t="shared" si="26"/>
        <v>0.51100000000000001</v>
      </c>
      <c r="BK13" s="11">
        <f t="shared" si="26"/>
        <v>0.10100000000000001</v>
      </c>
      <c r="BM13" s="1">
        <f t="shared" si="20"/>
        <v>-1.0509999999999999</v>
      </c>
      <c r="BN13" s="1">
        <f t="shared" si="21"/>
        <v>-0.12599999999999945</v>
      </c>
    </row>
    <row r="14" spans="1:66" x14ac:dyDescent="0.2">
      <c r="A14" s="4">
        <f t="shared" si="27"/>
        <v>45666</v>
      </c>
      <c r="B14" s="1">
        <v>9</v>
      </c>
      <c r="C14" s="1">
        <v>5</v>
      </c>
      <c r="D14" s="5">
        <v>12.53</v>
      </c>
      <c r="E14" s="5">
        <v>-2.677</v>
      </c>
      <c r="F14" s="5">
        <v>-7.1059999999999999</v>
      </c>
      <c r="G14" s="5">
        <v>-6.2539999999999996</v>
      </c>
      <c r="H14" s="5">
        <v>95.1</v>
      </c>
      <c r="I14" s="5">
        <v>-1.4770000000000001</v>
      </c>
      <c r="J14" s="5">
        <v>-0.59299999999999997</v>
      </c>
      <c r="K14" s="5">
        <v>0.248</v>
      </c>
      <c r="L14" s="5">
        <v>0.997</v>
      </c>
      <c r="M14" s="5">
        <v>1.724</v>
      </c>
      <c r="N14" s="5">
        <v>-2.5859999999999999</v>
      </c>
      <c r="O14" s="5">
        <v>97.8</v>
      </c>
      <c r="P14" s="5">
        <v>-1.393</v>
      </c>
      <c r="Q14" s="5">
        <v>-0.50900000000000001</v>
      </c>
      <c r="R14" s="5">
        <v>0.33600000000000002</v>
      </c>
      <c r="S14" s="5">
        <v>1.0669999999999999</v>
      </c>
      <c r="T14" s="5">
        <v>1.8120000000000001</v>
      </c>
      <c r="U14" s="5">
        <v>-8.67</v>
      </c>
      <c r="V14" s="5">
        <v>90.3</v>
      </c>
      <c r="W14" s="5">
        <v>-1.5660000000000001</v>
      </c>
      <c r="X14" s="5">
        <v>-0.69799999999999995</v>
      </c>
      <c r="Y14" s="5">
        <v>0.184</v>
      </c>
      <c r="Z14" s="5">
        <v>0.92700000000000005</v>
      </c>
      <c r="AA14" s="5">
        <v>1.643</v>
      </c>
      <c r="AB14" s="5">
        <v>2.105</v>
      </c>
      <c r="AC14" s="5">
        <v>-6.2830000000000004</v>
      </c>
      <c r="AD14" s="5">
        <v>-2.8679999999999999</v>
      </c>
      <c r="AE14" s="5">
        <v>-8.61</v>
      </c>
      <c r="AF14" s="5">
        <v>-1.931</v>
      </c>
      <c r="AG14" s="5">
        <v>-8.2799999999999994</v>
      </c>
      <c r="AH14" s="5">
        <v>0.159</v>
      </c>
      <c r="AI14" s="5">
        <v>2.1339999999999999</v>
      </c>
      <c r="AK14" s="1">
        <f t="shared" si="0"/>
        <v>0.49500000000000011</v>
      </c>
      <c r="AL14" s="7">
        <f t="shared" si="1"/>
        <v>-0.6</v>
      </c>
      <c r="AN14" s="1">
        <f t="shared" si="2"/>
        <v>97.8</v>
      </c>
      <c r="AO14" s="1">
        <f t="shared" si="3"/>
        <v>95.1</v>
      </c>
      <c r="AP14" s="1">
        <f t="shared" si="4"/>
        <v>90.3</v>
      </c>
      <c r="AQ14" s="18">
        <f t="shared" si="5"/>
        <v>0.45600000000000002</v>
      </c>
      <c r="AR14" s="24">
        <f t="shared" si="22"/>
        <v>4.9000000000000002E-2</v>
      </c>
      <c r="AT14" s="20">
        <f t="shared" si="6"/>
        <v>45666</v>
      </c>
      <c r="AU14" s="21">
        <f t="shared" si="7"/>
        <v>9</v>
      </c>
      <c r="AV14" s="1">
        <f t="shared" si="8"/>
        <v>-6.3</v>
      </c>
      <c r="AW14" s="1">
        <f t="shared" si="9"/>
        <v>-2.6</v>
      </c>
      <c r="AX14" s="1">
        <f t="shared" si="10"/>
        <v>-8.6999999999999993</v>
      </c>
      <c r="AY14" s="1">
        <f t="shared" si="11"/>
        <v>95.1</v>
      </c>
      <c r="AZ14" s="1">
        <f t="shared" si="12"/>
        <v>90.3</v>
      </c>
      <c r="BA14" s="1">
        <f t="shared" si="23"/>
        <v>0.49500000000000011</v>
      </c>
      <c r="BB14" s="5">
        <f t="shared" si="24"/>
        <v>-0.6</v>
      </c>
      <c r="BC14" s="1">
        <f t="shared" si="14"/>
        <v>-6.3</v>
      </c>
      <c r="BD14" s="1">
        <f t="shared" si="15"/>
        <v>-2.9</v>
      </c>
      <c r="BE14" s="1">
        <f t="shared" si="16"/>
        <v>-8.6</v>
      </c>
      <c r="BF14" s="5">
        <f t="shared" si="17"/>
        <v>0.2</v>
      </c>
      <c r="BG14" s="5">
        <f t="shared" si="18"/>
        <v>1</v>
      </c>
      <c r="BH14" s="5">
        <f t="shared" si="19"/>
        <v>1.7</v>
      </c>
      <c r="BI14" s="5">
        <f t="shared" si="25"/>
        <v>0.159</v>
      </c>
      <c r="BJ14" s="11">
        <f t="shared" si="26"/>
        <v>0.45600000000000002</v>
      </c>
      <c r="BK14" s="11">
        <f t="shared" si="26"/>
        <v>4.9000000000000002E-2</v>
      </c>
      <c r="BM14" s="1">
        <f t="shared" si="20"/>
        <v>-0.28200000000000003</v>
      </c>
      <c r="BN14" s="1">
        <f t="shared" si="21"/>
        <v>6.0000000000000497E-2</v>
      </c>
    </row>
    <row r="15" spans="1:66" x14ac:dyDescent="0.2">
      <c r="A15" s="4">
        <f t="shared" si="27"/>
        <v>45667</v>
      </c>
      <c r="B15" s="1">
        <v>10</v>
      </c>
      <c r="C15" s="1">
        <v>5</v>
      </c>
      <c r="D15" s="5">
        <v>12.52</v>
      </c>
      <c r="E15" s="5">
        <v>-2.6549999999999998</v>
      </c>
      <c r="F15" s="5">
        <v>-6.7759999999999998</v>
      </c>
      <c r="G15" s="5">
        <v>-4.8739999999999997</v>
      </c>
      <c r="H15" s="5">
        <v>96.3</v>
      </c>
      <c r="I15" s="5">
        <v>-1.536</v>
      </c>
      <c r="J15" s="5">
        <v>-0.60099999999999998</v>
      </c>
      <c r="K15" s="5">
        <v>0.251</v>
      </c>
      <c r="L15" s="5">
        <v>0.99399999999999999</v>
      </c>
      <c r="M15" s="5">
        <v>1.72</v>
      </c>
      <c r="N15" s="5">
        <v>-2.2989999999999999</v>
      </c>
      <c r="O15" s="5">
        <v>99.8</v>
      </c>
      <c r="P15" s="5">
        <v>-1.431</v>
      </c>
      <c r="Q15" s="5">
        <v>-0.53300000000000003</v>
      </c>
      <c r="R15" s="5">
        <v>0.33300000000000002</v>
      </c>
      <c r="S15" s="5">
        <v>1.0609999999999999</v>
      </c>
      <c r="T15" s="5">
        <v>1.8109999999999999</v>
      </c>
      <c r="U15" s="5">
        <v>-7.556</v>
      </c>
      <c r="V15" s="5">
        <v>92</v>
      </c>
      <c r="W15" s="5">
        <v>-1.649</v>
      </c>
      <c r="X15" s="5">
        <v>-0.67600000000000005</v>
      </c>
      <c r="Y15" s="5">
        <v>0.182</v>
      </c>
      <c r="Z15" s="5">
        <v>0.91800000000000004</v>
      </c>
      <c r="AA15" s="5">
        <v>1.6479999999999999</v>
      </c>
      <c r="AB15" s="5">
        <v>1.9550000000000001</v>
      </c>
      <c r="AC15" s="5">
        <v>-4.99</v>
      </c>
      <c r="AD15" s="5">
        <v>-2.6619999999999999</v>
      </c>
      <c r="AE15" s="5">
        <v>-7.6479999999999997</v>
      </c>
      <c r="AF15" s="5">
        <v>-2.1080000000000001</v>
      </c>
      <c r="AG15" s="5">
        <v>-7.3769999999999998</v>
      </c>
      <c r="AH15" s="5">
        <v>0.159</v>
      </c>
      <c r="AI15" s="5">
        <v>1.9690000000000001</v>
      </c>
      <c r="AK15" s="1">
        <f t="shared" si="0"/>
        <v>0.64500000000000002</v>
      </c>
      <c r="AL15" s="7">
        <f t="shared" si="1"/>
        <v>-0.6</v>
      </c>
      <c r="AN15" s="1">
        <f t="shared" si="2"/>
        <v>99.8</v>
      </c>
      <c r="AO15" s="1">
        <f t="shared" si="3"/>
        <v>96.3</v>
      </c>
      <c r="AP15" s="1">
        <f t="shared" si="4"/>
        <v>92</v>
      </c>
      <c r="AQ15" s="18">
        <f t="shared" si="5"/>
        <v>0.47399999999999998</v>
      </c>
      <c r="AR15" s="24">
        <f t="shared" si="22"/>
        <v>4.1000000000000002E-2</v>
      </c>
      <c r="AT15" s="20">
        <f t="shared" si="6"/>
        <v>45667</v>
      </c>
      <c r="AU15" s="21">
        <f t="shared" si="7"/>
        <v>10</v>
      </c>
      <c r="AV15" s="1">
        <f t="shared" si="8"/>
        <v>-4.9000000000000004</v>
      </c>
      <c r="AW15" s="1">
        <f t="shared" si="9"/>
        <v>-2.2999999999999998</v>
      </c>
      <c r="AX15" s="1">
        <f t="shared" si="10"/>
        <v>-7.6</v>
      </c>
      <c r="AY15" s="1">
        <f t="shared" si="11"/>
        <v>96.3</v>
      </c>
      <c r="AZ15" s="1">
        <f t="shared" si="12"/>
        <v>92</v>
      </c>
      <c r="BA15" s="1">
        <f t="shared" si="23"/>
        <v>0.64500000000000002</v>
      </c>
      <c r="BB15" s="5">
        <f t="shared" si="24"/>
        <v>-0.6</v>
      </c>
      <c r="BC15" s="1">
        <f t="shared" si="14"/>
        <v>-5</v>
      </c>
      <c r="BD15" s="1">
        <f t="shared" si="15"/>
        <v>-2.7</v>
      </c>
      <c r="BE15" s="1">
        <f t="shared" si="16"/>
        <v>-7.6</v>
      </c>
      <c r="BF15" s="5">
        <f t="shared" si="17"/>
        <v>0.3</v>
      </c>
      <c r="BG15" s="5">
        <f t="shared" si="18"/>
        <v>1</v>
      </c>
      <c r="BH15" s="5">
        <f t="shared" si="19"/>
        <v>1.7</v>
      </c>
      <c r="BI15" s="5">
        <f t="shared" si="25"/>
        <v>0.159</v>
      </c>
      <c r="BJ15" s="11">
        <f t="shared" si="26"/>
        <v>0.47399999999999998</v>
      </c>
      <c r="BK15" s="11">
        <f t="shared" si="26"/>
        <v>4.1000000000000002E-2</v>
      </c>
      <c r="BM15" s="1">
        <f t="shared" si="20"/>
        <v>-0.36299999999999999</v>
      </c>
      <c r="BN15" s="1">
        <f t="shared" si="21"/>
        <v>-9.1999999999999638E-2</v>
      </c>
    </row>
    <row r="16" spans="1:66" x14ac:dyDescent="0.2">
      <c r="A16" s="4">
        <f t="shared" si="27"/>
        <v>45668</v>
      </c>
      <c r="B16" s="1">
        <v>11</v>
      </c>
      <c r="C16" s="1">
        <v>5</v>
      </c>
      <c r="D16" s="5">
        <v>12.52</v>
      </c>
      <c r="E16" s="5">
        <v>-3.0840000000000001</v>
      </c>
      <c r="F16" s="5">
        <v>-5.07</v>
      </c>
      <c r="G16" s="5">
        <v>-4.3849999999999998</v>
      </c>
      <c r="H16" s="5">
        <v>91.6</v>
      </c>
      <c r="I16" s="5">
        <v>-1.3120000000000001</v>
      </c>
      <c r="J16" s="5">
        <v>-0.54200000000000004</v>
      </c>
      <c r="K16" s="5">
        <v>0.254</v>
      </c>
      <c r="L16" s="5">
        <v>0.996</v>
      </c>
      <c r="M16" s="5">
        <v>1.716</v>
      </c>
      <c r="N16" s="5">
        <v>-3.5019999999999998</v>
      </c>
      <c r="O16" s="5">
        <v>96.6</v>
      </c>
      <c r="P16" s="5">
        <v>-1.121</v>
      </c>
      <c r="Q16" s="5">
        <v>-0.42799999999999999</v>
      </c>
      <c r="R16" s="5">
        <v>0.32700000000000001</v>
      </c>
      <c r="S16" s="5">
        <v>1.071</v>
      </c>
      <c r="T16" s="5">
        <v>1.8069999999999999</v>
      </c>
      <c r="U16" s="5">
        <v>-5.8410000000000002</v>
      </c>
      <c r="V16" s="5">
        <v>84</v>
      </c>
      <c r="W16" s="5">
        <v>-1.552</v>
      </c>
      <c r="X16" s="5">
        <v>-0.66900000000000004</v>
      </c>
      <c r="Y16" s="5">
        <v>0.182</v>
      </c>
      <c r="Z16" s="5">
        <v>0.92400000000000004</v>
      </c>
      <c r="AA16" s="5">
        <v>1.629</v>
      </c>
      <c r="AB16" s="5">
        <v>1.9890000000000001</v>
      </c>
      <c r="AC16" s="5">
        <v>-4.6369999999999996</v>
      </c>
      <c r="AD16" s="5">
        <v>-3.8809999999999998</v>
      </c>
      <c r="AE16" s="5">
        <v>-6.0869999999999997</v>
      </c>
      <c r="AF16" s="5">
        <v>-3.496</v>
      </c>
      <c r="AG16" s="5">
        <v>-5.673</v>
      </c>
      <c r="AH16" s="5">
        <v>0.159</v>
      </c>
      <c r="AI16" s="5">
        <v>2.0099999999999998</v>
      </c>
      <c r="AK16" s="1">
        <f t="shared" si="0"/>
        <v>0.61099999999999999</v>
      </c>
      <c r="AL16" s="7">
        <f t="shared" si="1"/>
        <v>-0.5</v>
      </c>
      <c r="AN16" s="1">
        <f t="shared" si="2"/>
        <v>96.6</v>
      </c>
      <c r="AO16" s="1">
        <f t="shared" si="3"/>
        <v>91.6</v>
      </c>
      <c r="AP16" s="1">
        <f t="shared" si="4"/>
        <v>84</v>
      </c>
      <c r="AQ16" s="18">
        <f t="shared" si="5"/>
        <v>0.39600000000000002</v>
      </c>
      <c r="AR16" s="24">
        <f t="shared" si="22"/>
        <v>7.4999999999999997E-2</v>
      </c>
      <c r="AT16" s="20">
        <f t="shared" si="6"/>
        <v>45668</v>
      </c>
      <c r="AU16" s="21">
        <f t="shared" si="7"/>
        <v>11</v>
      </c>
      <c r="AV16" s="1">
        <f t="shared" si="8"/>
        <v>-4.4000000000000004</v>
      </c>
      <c r="AW16" s="1">
        <f t="shared" si="9"/>
        <v>-3.5</v>
      </c>
      <c r="AX16" s="1">
        <f t="shared" si="10"/>
        <v>-5.8</v>
      </c>
      <c r="AY16" s="1">
        <f t="shared" si="11"/>
        <v>91.6</v>
      </c>
      <c r="AZ16" s="1">
        <f t="shared" si="12"/>
        <v>84</v>
      </c>
      <c r="BA16" s="1">
        <f t="shared" si="23"/>
        <v>0.61099999999999999</v>
      </c>
      <c r="BB16" s="5">
        <f t="shared" si="24"/>
        <v>-0.5</v>
      </c>
      <c r="BC16" s="1">
        <f t="shared" si="14"/>
        <v>-4.5999999999999996</v>
      </c>
      <c r="BD16" s="1">
        <f t="shared" si="15"/>
        <v>-3.9</v>
      </c>
      <c r="BE16" s="1">
        <f t="shared" si="16"/>
        <v>-6.1</v>
      </c>
      <c r="BF16" s="5">
        <f t="shared" si="17"/>
        <v>0.3</v>
      </c>
      <c r="BG16" s="5">
        <f t="shared" si="18"/>
        <v>1</v>
      </c>
      <c r="BH16" s="5">
        <f t="shared" si="19"/>
        <v>1.7</v>
      </c>
      <c r="BI16" s="5">
        <f t="shared" si="25"/>
        <v>0.159</v>
      </c>
      <c r="BJ16" s="11">
        <f t="shared" si="26"/>
        <v>0.39600000000000002</v>
      </c>
      <c r="BK16" s="11">
        <f t="shared" si="26"/>
        <v>7.4999999999999997E-2</v>
      </c>
      <c r="BM16" s="1">
        <f t="shared" si="20"/>
        <v>-0.379</v>
      </c>
      <c r="BN16" s="1">
        <f t="shared" si="21"/>
        <v>-0.24599999999999955</v>
      </c>
    </row>
    <row r="17" spans="1:66" x14ac:dyDescent="0.2">
      <c r="A17" s="4">
        <f t="shared" si="27"/>
        <v>45669</v>
      </c>
      <c r="B17" s="1">
        <v>12</v>
      </c>
      <c r="C17" s="1">
        <v>5</v>
      </c>
      <c r="D17" s="5">
        <v>12.52</v>
      </c>
      <c r="E17" s="5">
        <v>-4.2249999999999996</v>
      </c>
      <c r="F17" s="5">
        <v>-7.04</v>
      </c>
      <c r="G17" s="5">
        <v>-5.82</v>
      </c>
      <c r="H17" s="5">
        <v>91.5</v>
      </c>
      <c r="I17" s="5">
        <v>-1.0920000000000001</v>
      </c>
      <c r="J17" s="5">
        <v>-0.437</v>
      </c>
      <c r="K17" s="5">
        <v>0.245</v>
      </c>
      <c r="L17" s="5">
        <v>0.98399999999999999</v>
      </c>
      <c r="M17" s="5">
        <v>1.7</v>
      </c>
      <c r="N17" s="5">
        <v>-4.79</v>
      </c>
      <c r="O17" s="5">
        <v>95.7</v>
      </c>
      <c r="P17" s="5">
        <v>-0.998</v>
      </c>
      <c r="Q17" s="5">
        <v>-0.34100000000000003</v>
      </c>
      <c r="R17" s="5">
        <v>0.316</v>
      </c>
      <c r="S17" s="5">
        <v>1.0509999999999999</v>
      </c>
      <c r="T17" s="5">
        <v>1.78</v>
      </c>
      <c r="U17" s="5">
        <v>-7.7919999999999998</v>
      </c>
      <c r="V17" s="5">
        <v>85.8</v>
      </c>
      <c r="W17" s="5">
        <v>-1.2050000000000001</v>
      </c>
      <c r="X17" s="5">
        <v>-0.53200000000000003</v>
      </c>
      <c r="Y17" s="5">
        <v>0.17399999999999999</v>
      </c>
      <c r="Z17" s="5">
        <v>0.90900000000000003</v>
      </c>
      <c r="AA17" s="5">
        <v>1.613</v>
      </c>
      <c r="AB17" s="5">
        <v>1.99</v>
      </c>
      <c r="AC17" s="5">
        <v>-5.9930000000000003</v>
      </c>
      <c r="AD17" s="5">
        <v>-4.7779999999999996</v>
      </c>
      <c r="AE17" s="5">
        <v>-7.9080000000000004</v>
      </c>
      <c r="AF17" s="5">
        <v>-4.3369999999999997</v>
      </c>
      <c r="AG17" s="5">
        <v>-7.5919999999999996</v>
      </c>
      <c r="AH17" s="5">
        <v>0.16</v>
      </c>
      <c r="AI17" s="5">
        <v>2.0179999999999998</v>
      </c>
      <c r="AK17" s="1">
        <f t="shared" si="0"/>
        <v>0.6100000000000001</v>
      </c>
      <c r="AL17" s="7">
        <f t="shared" si="1"/>
        <v>-0.4</v>
      </c>
      <c r="AN17" s="1">
        <f t="shared" si="2"/>
        <v>95.7</v>
      </c>
      <c r="AO17" s="1">
        <f t="shared" si="3"/>
        <v>91.5</v>
      </c>
      <c r="AP17" s="1">
        <f t="shared" si="4"/>
        <v>85.8</v>
      </c>
      <c r="AQ17" s="18">
        <f t="shared" si="5"/>
        <v>0.36699999999999999</v>
      </c>
      <c r="AR17" s="24">
        <f t="shared" si="22"/>
        <v>6.0999999999999999E-2</v>
      </c>
      <c r="AT17" s="20">
        <f t="shared" si="6"/>
        <v>45669</v>
      </c>
      <c r="AU17" s="21">
        <f t="shared" si="7"/>
        <v>12</v>
      </c>
      <c r="AV17" s="1">
        <f t="shared" si="8"/>
        <v>-5.8</v>
      </c>
      <c r="AW17" s="1">
        <f t="shared" si="9"/>
        <v>-4.8</v>
      </c>
      <c r="AX17" s="1">
        <f t="shared" si="10"/>
        <v>-7.8</v>
      </c>
      <c r="AY17" s="1">
        <f t="shared" si="11"/>
        <v>91.5</v>
      </c>
      <c r="AZ17" s="1">
        <f t="shared" si="12"/>
        <v>85.8</v>
      </c>
      <c r="BA17" s="1">
        <f t="shared" si="23"/>
        <v>0.6100000000000001</v>
      </c>
      <c r="BB17" s="5">
        <f t="shared" si="24"/>
        <v>-0.4</v>
      </c>
      <c r="BC17" s="1">
        <f t="shared" si="14"/>
        <v>-6</v>
      </c>
      <c r="BD17" s="1">
        <f t="shared" si="15"/>
        <v>-4.8</v>
      </c>
      <c r="BE17" s="1">
        <f t="shared" si="16"/>
        <v>-7.9</v>
      </c>
      <c r="BF17" s="5">
        <f t="shared" si="17"/>
        <v>0.2</v>
      </c>
      <c r="BG17" s="5">
        <f t="shared" si="18"/>
        <v>1</v>
      </c>
      <c r="BH17" s="5">
        <f t="shared" si="19"/>
        <v>1.7</v>
      </c>
      <c r="BI17" s="5">
        <f t="shared" si="25"/>
        <v>0.16</v>
      </c>
      <c r="BJ17" s="11">
        <f t="shared" si="26"/>
        <v>0.36699999999999999</v>
      </c>
      <c r="BK17" s="11">
        <f t="shared" si="26"/>
        <v>6.0999999999999999E-2</v>
      </c>
      <c r="BM17" s="1">
        <f t="shared" si="20"/>
        <v>1.2000000000000455E-2</v>
      </c>
      <c r="BN17" s="1">
        <f t="shared" si="21"/>
        <v>-0.11600000000000055</v>
      </c>
    </row>
    <row r="18" spans="1:66" x14ac:dyDescent="0.2">
      <c r="A18" s="4">
        <f t="shared" si="27"/>
        <v>45670</v>
      </c>
      <c r="B18" s="1">
        <v>13</v>
      </c>
      <c r="C18" s="1">
        <v>5</v>
      </c>
      <c r="D18" s="5">
        <v>12.52</v>
      </c>
      <c r="E18" s="5">
        <v>-3.8159999999999998</v>
      </c>
      <c r="F18" s="5">
        <v>-9.75</v>
      </c>
      <c r="G18" s="5">
        <v>-7.5110000000000001</v>
      </c>
      <c r="H18" s="5">
        <v>91.6</v>
      </c>
      <c r="I18" s="5">
        <v>-1.111</v>
      </c>
      <c r="J18" s="5">
        <v>-0.42699999999999999</v>
      </c>
      <c r="K18" s="5">
        <v>0.22800000000000001</v>
      </c>
      <c r="L18" s="5">
        <v>0.96199999999999997</v>
      </c>
      <c r="M18" s="5">
        <v>1.6739999999999999</v>
      </c>
      <c r="N18" s="5">
        <v>-2.34</v>
      </c>
      <c r="O18" s="5">
        <v>94.8</v>
      </c>
      <c r="P18" s="5">
        <v>-0.97699999999999998</v>
      </c>
      <c r="Q18" s="5">
        <v>-0.34699999999999998</v>
      </c>
      <c r="R18" s="5">
        <v>0.312</v>
      </c>
      <c r="S18" s="5">
        <v>1.036</v>
      </c>
      <c r="T18" s="5">
        <v>1.766</v>
      </c>
      <c r="U18" s="5">
        <v>-10.66</v>
      </c>
      <c r="V18" s="5">
        <v>75.22</v>
      </c>
      <c r="W18" s="5">
        <v>-1.238</v>
      </c>
      <c r="X18" s="5">
        <v>-0.505</v>
      </c>
      <c r="Y18" s="5">
        <v>0.16300000000000001</v>
      </c>
      <c r="Z18" s="5">
        <v>0.88100000000000001</v>
      </c>
      <c r="AA18" s="5">
        <v>1.603</v>
      </c>
      <c r="AB18" s="5">
        <v>2.0259999999999998</v>
      </c>
      <c r="AC18" s="5">
        <v>-7.6289999999999996</v>
      </c>
      <c r="AD18" s="5">
        <v>-3.2690000000000001</v>
      </c>
      <c r="AE18" s="5">
        <v>-10.55</v>
      </c>
      <c r="AF18" s="5">
        <v>-2.5230000000000001</v>
      </c>
      <c r="AG18" s="5">
        <v>-10.35</v>
      </c>
      <c r="AH18" s="5">
        <v>0.16</v>
      </c>
      <c r="AI18" s="5">
        <v>2.0619999999999998</v>
      </c>
      <c r="AK18" s="1">
        <f t="shared" si="0"/>
        <v>0.57400000000000029</v>
      </c>
      <c r="AL18" s="7">
        <f t="shared" si="1"/>
        <v>-0.4</v>
      </c>
      <c r="AN18" s="1">
        <f t="shared" si="2"/>
        <v>94.8</v>
      </c>
      <c r="AO18" s="1">
        <f t="shared" si="3"/>
        <v>91.6</v>
      </c>
      <c r="AP18" s="1">
        <f t="shared" si="4"/>
        <v>75.2</v>
      </c>
      <c r="AQ18" s="18">
        <f t="shared" si="5"/>
        <v>0.38700000000000001</v>
      </c>
      <c r="AR18" s="24">
        <f t="shared" si="22"/>
        <v>0.128</v>
      </c>
      <c r="AT18" s="20">
        <f t="shared" si="6"/>
        <v>45670</v>
      </c>
      <c r="AU18" s="21">
        <f t="shared" si="7"/>
        <v>13</v>
      </c>
      <c r="AV18" s="1">
        <f t="shared" si="8"/>
        <v>-7.5</v>
      </c>
      <c r="AW18" s="1">
        <f t="shared" si="9"/>
        <v>-2.2999999999999998</v>
      </c>
      <c r="AX18" s="1">
        <f t="shared" si="10"/>
        <v>-10.7</v>
      </c>
      <c r="AY18" s="1">
        <f t="shared" si="11"/>
        <v>91.6</v>
      </c>
      <c r="AZ18" s="1">
        <f t="shared" si="12"/>
        <v>75.2</v>
      </c>
      <c r="BA18" s="1">
        <f t="shared" si="23"/>
        <v>0.57400000000000029</v>
      </c>
      <c r="BB18" s="5">
        <f t="shared" si="24"/>
        <v>-0.4</v>
      </c>
      <c r="BC18" s="1">
        <f t="shared" si="14"/>
        <v>-7.6</v>
      </c>
      <c r="BD18" s="1">
        <f t="shared" si="15"/>
        <v>-3.3</v>
      </c>
      <c r="BE18" s="1">
        <f t="shared" si="16"/>
        <v>-10.6</v>
      </c>
      <c r="BF18" s="5">
        <f t="shared" si="17"/>
        <v>0.2</v>
      </c>
      <c r="BG18" s="5">
        <f t="shared" si="18"/>
        <v>1</v>
      </c>
      <c r="BH18" s="5">
        <f t="shared" si="19"/>
        <v>1.7</v>
      </c>
      <c r="BI18" s="5">
        <f t="shared" si="25"/>
        <v>0.16</v>
      </c>
      <c r="BJ18" s="11">
        <f t="shared" si="26"/>
        <v>0.38700000000000001</v>
      </c>
      <c r="BK18" s="11">
        <f t="shared" si="26"/>
        <v>0.128</v>
      </c>
      <c r="BM18" s="1">
        <f t="shared" si="20"/>
        <v>-0.92900000000000027</v>
      </c>
      <c r="BN18" s="1">
        <f t="shared" si="21"/>
        <v>0.10999999999999943</v>
      </c>
    </row>
    <row r="19" spans="1:66" x14ac:dyDescent="0.2">
      <c r="A19" s="4">
        <f t="shared" si="27"/>
        <v>45671</v>
      </c>
      <c r="B19" s="1">
        <v>14</v>
      </c>
      <c r="C19" s="1">
        <v>5</v>
      </c>
      <c r="D19" s="5">
        <v>12.52</v>
      </c>
      <c r="E19" s="5">
        <v>0.373</v>
      </c>
      <c r="F19" s="5">
        <v>-9.0500000000000007</v>
      </c>
      <c r="G19" s="5">
        <v>-4.383</v>
      </c>
      <c r="H19" s="5">
        <v>94.6</v>
      </c>
      <c r="I19" s="5">
        <v>-1.272</v>
      </c>
      <c r="J19" s="5">
        <v>-0.47899999999999998</v>
      </c>
      <c r="K19" s="5">
        <v>0.23799999999999999</v>
      </c>
      <c r="L19" s="5">
        <v>0.96899999999999997</v>
      </c>
      <c r="M19" s="5">
        <v>1.68</v>
      </c>
      <c r="N19" s="5">
        <v>2.6179999999999999</v>
      </c>
      <c r="O19" s="5">
        <v>99.8</v>
      </c>
      <c r="P19" s="5">
        <v>-1.121</v>
      </c>
      <c r="Q19" s="5">
        <v>-0.38800000000000001</v>
      </c>
      <c r="R19" s="5">
        <v>0.34899999999999998</v>
      </c>
      <c r="S19" s="5">
        <v>1.0669999999999999</v>
      </c>
      <c r="T19" s="5">
        <v>1.778</v>
      </c>
      <c r="U19" s="5">
        <v>-9.85</v>
      </c>
      <c r="V19" s="5">
        <v>72.239999999999995</v>
      </c>
      <c r="W19" s="5">
        <v>-1.3839999999999999</v>
      </c>
      <c r="X19" s="5">
        <v>-0.57099999999999995</v>
      </c>
      <c r="Y19" s="5">
        <v>0.128</v>
      </c>
      <c r="Z19" s="5">
        <v>0.88400000000000001</v>
      </c>
      <c r="AA19" s="5">
        <v>1.5820000000000001</v>
      </c>
      <c r="AB19" s="5">
        <v>2.0190000000000001</v>
      </c>
      <c r="AC19" s="5">
        <v>-5.04</v>
      </c>
      <c r="AD19" s="5">
        <v>-0.121</v>
      </c>
      <c r="AE19" s="5">
        <v>-9.76</v>
      </c>
      <c r="AF19" s="5">
        <v>1.145</v>
      </c>
      <c r="AG19" s="5">
        <v>-9.58</v>
      </c>
      <c r="AH19" s="5">
        <v>0.16</v>
      </c>
      <c r="AI19" s="5">
        <v>2.032</v>
      </c>
      <c r="AK19" s="1">
        <f t="shared" si="0"/>
        <v>0.58099999999999996</v>
      </c>
      <c r="AL19" s="7">
        <f t="shared" si="1"/>
        <v>-0.5</v>
      </c>
      <c r="AN19" s="1">
        <f t="shared" si="2"/>
        <v>99.8</v>
      </c>
      <c r="AO19" s="1">
        <f t="shared" si="3"/>
        <v>94.6</v>
      </c>
      <c r="AP19" s="1">
        <f t="shared" si="4"/>
        <v>72.2</v>
      </c>
      <c r="AQ19" s="18">
        <f t="shared" si="5"/>
        <v>0.53200000000000003</v>
      </c>
      <c r="AR19" s="24">
        <f t="shared" si="22"/>
        <v>0.20499999999999999</v>
      </c>
      <c r="AT19" s="20">
        <f t="shared" si="6"/>
        <v>45671</v>
      </c>
      <c r="AU19" s="21">
        <f t="shared" si="7"/>
        <v>14</v>
      </c>
      <c r="AV19" s="1">
        <f t="shared" si="8"/>
        <v>-4.4000000000000004</v>
      </c>
      <c r="AW19" s="1">
        <f t="shared" si="9"/>
        <v>2.6</v>
      </c>
      <c r="AX19" s="1">
        <f t="shared" si="10"/>
        <v>-9.9</v>
      </c>
      <c r="AY19" s="1">
        <f t="shared" si="11"/>
        <v>94.6</v>
      </c>
      <c r="AZ19" s="1">
        <f t="shared" si="12"/>
        <v>72.2</v>
      </c>
      <c r="BA19" s="1">
        <f t="shared" si="23"/>
        <v>0.58099999999999996</v>
      </c>
      <c r="BB19" s="5">
        <f t="shared" si="24"/>
        <v>-0.5</v>
      </c>
      <c r="BC19" s="1">
        <f t="shared" si="14"/>
        <v>-5</v>
      </c>
      <c r="BD19" s="1">
        <f t="shared" si="15"/>
        <v>-0.1</v>
      </c>
      <c r="BE19" s="1">
        <f t="shared" si="16"/>
        <v>-9.8000000000000007</v>
      </c>
      <c r="BF19" s="5">
        <f t="shared" si="17"/>
        <v>0.2</v>
      </c>
      <c r="BG19" s="5">
        <f t="shared" si="18"/>
        <v>1</v>
      </c>
      <c r="BH19" s="5">
        <f t="shared" si="19"/>
        <v>1.7</v>
      </c>
      <c r="BI19" s="5">
        <f t="shared" si="25"/>
        <v>0.16</v>
      </c>
      <c r="BJ19" s="11">
        <f t="shared" si="26"/>
        <v>0.53200000000000003</v>
      </c>
      <c r="BK19" s="11">
        <f t="shared" si="26"/>
        <v>0.20499999999999999</v>
      </c>
      <c r="BM19" s="1">
        <f t="shared" si="20"/>
        <v>-2.7389999999999999</v>
      </c>
      <c r="BN19" s="1">
        <f t="shared" si="21"/>
        <v>8.9999999999999858E-2</v>
      </c>
    </row>
    <row r="20" spans="1:66" x14ac:dyDescent="0.2">
      <c r="A20" s="4">
        <f t="shared" si="27"/>
        <v>45672</v>
      </c>
      <c r="B20" s="1">
        <v>15</v>
      </c>
      <c r="C20" s="1">
        <v>5</v>
      </c>
      <c r="D20" s="5">
        <v>12.54</v>
      </c>
      <c r="E20" s="5">
        <v>0.69099999999999995</v>
      </c>
      <c r="F20" s="5">
        <v>-4.657</v>
      </c>
      <c r="G20" s="5">
        <v>-3.3439999999999999</v>
      </c>
      <c r="H20" s="5">
        <v>99.2</v>
      </c>
      <c r="I20" s="5">
        <v>-1.17</v>
      </c>
      <c r="J20" s="5">
        <v>-0.46300000000000002</v>
      </c>
      <c r="K20" s="5">
        <v>0.249</v>
      </c>
      <c r="L20" s="5">
        <v>0.97799999999999998</v>
      </c>
      <c r="M20" s="5">
        <v>1.6819999999999999</v>
      </c>
      <c r="N20" s="5">
        <v>1.083</v>
      </c>
      <c r="O20" s="5">
        <v>99.9</v>
      </c>
      <c r="P20" s="5">
        <v>-1.0509999999999999</v>
      </c>
      <c r="Q20" s="5">
        <v>-0.34699999999999998</v>
      </c>
      <c r="R20" s="5">
        <v>0.36</v>
      </c>
      <c r="S20" s="5">
        <v>1.075</v>
      </c>
      <c r="T20" s="5">
        <v>1.786</v>
      </c>
      <c r="U20" s="5">
        <v>-6.5190000000000001</v>
      </c>
      <c r="V20" s="5">
        <v>91.9</v>
      </c>
      <c r="W20" s="5">
        <v>-1.3180000000000001</v>
      </c>
      <c r="X20" s="5">
        <v>-0.56100000000000005</v>
      </c>
      <c r="Y20" s="5">
        <v>0.161</v>
      </c>
      <c r="Z20" s="5">
        <v>0.90500000000000003</v>
      </c>
      <c r="AA20" s="5">
        <v>1.5980000000000001</v>
      </c>
      <c r="AB20" s="5">
        <v>2.028</v>
      </c>
      <c r="AC20" s="5">
        <v>-4.5289999999999999</v>
      </c>
      <c r="AD20" s="5">
        <v>-0.58099999999999996</v>
      </c>
      <c r="AE20" s="5">
        <v>-7.9390000000000001</v>
      </c>
      <c r="AF20" s="5">
        <v>2.202</v>
      </c>
      <c r="AG20" s="5">
        <v>-6.2839999999999998</v>
      </c>
      <c r="AH20" s="5">
        <v>0.161</v>
      </c>
      <c r="AI20" s="5">
        <v>2.0529999999999999</v>
      </c>
      <c r="AK20" s="1">
        <f t="shared" si="0"/>
        <v>0.57200000000000006</v>
      </c>
      <c r="AL20" s="7">
        <f t="shared" si="1"/>
        <v>-0.5</v>
      </c>
      <c r="AN20" s="1">
        <f t="shared" si="2"/>
        <v>99.9</v>
      </c>
      <c r="AO20" s="1">
        <f t="shared" si="3"/>
        <v>99.2</v>
      </c>
      <c r="AP20" s="1">
        <f t="shared" si="4"/>
        <v>91.9</v>
      </c>
      <c r="AQ20" s="18">
        <f t="shared" si="5"/>
        <v>0.60699999999999998</v>
      </c>
      <c r="AR20" s="24">
        <f t="shared" si="22"/>
        <v>5.3999999999999999E-2</v>
      </c>
      <c r="AT20" s="20">
        <f t="shared" si="6"/>
        <v>45672</v>
      </c>
      <c r="AU20" s="21">
        <f t="shared" si="7"/>
        <v>15</v>
      </c>
      <c r="AV20" s="1">
        <f t="shared" si="8"/>
        <v>-3.3</v>
      </c>
      <c r="AW20" s="1">
        <f t="shared" si="9"/>
        <v>1.1000000000000001</v>
      </c>
      <c r="AX20" s="1">
        <f t="shared" si="10"/>
        <v>-6.5</v>
      </c>
      <c r="AY20" s="1">
        <f t="shared" si="11"/>
        <v>99.2</v>
      </c>
      <c r="AZ20" s="1">
        <f t="shared" si="12"/>
        <v>91.9</v>
      </c>
      <c r="BA20" s="1">
        <f t="shared" si="23"/>
        <v>0.57200000000000006</v>
      </c>
      <c r="BB20" s="5">
        <f t="shared" si="24"/>
        <v>-0.5</v>
      </c>
      <c r="BC20" s="1">
        <f t="shared" si="14"/>
        <v>-4.5</v>
      </c>
      <c r="BD20" s="1">
        <f t="shared" si="15"/>
        <v>-0.6</v>
      </c>
      <c r="BE20" s="1">
        <f t="shared" si="16"/>
        <v>-7.9</v>
      </c>
      <c r="BF20" s="5">
        <f t="shared" si="17"/>
        <v>0.2</v>
      </c>
      <c r="BG20" s="5">
        <f t="shared" si="18"/>
        <v>1</v>
      </c>
      <c r="BH20" s="5">
        <f t="shared" si="19"/>
        <v>1.7</v>
      </c>
      <c r="BI20" s="5">
        <f t="shared" si="25"/>
        <v>0.161</v>
      </c>
      <c r="BJ20" s="11">
        <f t="shared" si="26"/>
        <v>0.60699999999999998</v>
      </c>
      <c r="BK20" s="11">
        <f t="shared" si="26"/>
        <v>5.3999999999999999E-2</v>
      </c>
      <c r="BM20" s="1">
        <f t="shared" si="20"/>
        <v>-1.6639999999999999</v>
      </c>
      <c r="BN20" s="1">
        <f t="shared" si="21"/>
        <v>-1.42</v>
      </c>
    </row>
    <row r="21" spans="1:66" x14ac:dyDescent="0.2">
      <c r="A21" s="4">
        <f t="shared" si="27"/>
        <v>45673</v>
      </c>
      <c r="B21" s="1">
        <v>16</v>
      </c>
      <c r="C21" s="1">
        <v>5</v>
      </c>
      <c r="D21" s="5">
        <v>12.52</v>
      </c>
      <c r="E21" s="5">
        <v>-3.0209999999999999</v>
      </c>
      <c r="F21" s="5">
        <v>-7.9930000000000003</v>
      </c>
      <c r="G21" s="5">
        <v>-6.8</v>
      </c>
      <c r="H21" s="5">
        <v>91.3</v>
      </c>
      <c r="I21" s="5">
        <v>-1.17</v>
      </c>
      <c r="J21" s="5">
        <v>-0.44500000000000001</v>
      </c>
      <c r="K21" s="5">
        <v>0.23100000000000001</v>
      </c>
      <c r="L21" s="5">
        <v>0.95099999999999996</v>
      </c>
      <c r="M21" s="5">
        <v>1.653</v>
      </c>
      <c r="N21" s="5">
        <v>-1.6719999999999999</v>
      </c>
      <c r="O21" s="5">
        <v>99.8</v>
      </c>
      <c r="P21" s="5">
        <v>-1.0129999999999999</v>
      </c>
      <c r="Q21" s="5">
        <v>-0.36399999999999999</v>
      </c>
      <c r="R21" s="5">
        <v>0.30399999999999999</v>
      </c>
      <c r="S21" s="5">
        <v>1.026</v>
      </c>
      <c r="T21" s="5">
        <v>1.73</v>
      </c>
      <c r="U21" s="5">
        <v>-9.14</v>
      </c>
      <c r="V21" s="5">
        <v>75.25</v>
      </c>
      <c r="W21" s="5">
        <v>-1.329</v>
      </c>
      <c r="X21" s="5">
        <v>-0.53700000000000003</v>
      </c>
      <c r="Y21" s="5">
        <v>0.159</v>
      </c>
      <c r="Z21" s="5">
        <v>0.88200000000000001</v>
      </c>
      <c r="AA21" s="5">
        <v>1.5780000000000001</v>
      </c>
      <c r="AB21" s="5">
        <v>2.0099999999999998</v>
      </c>
      <c r="AC21" s="5">
        <v>-7.7279999999999998</v>
      </c>
      <c r="AD21" s="5">
        <v>-2.1829999999999998</v>
      </c>
      <c r="AE21" s="5">
        <v>-10.37</v>
      </c>
      <c r="AF21" s="5">
        <v>-0.51100000000000001</v>
      </c>
      <c r="AG21" s="5">
        <v>-8.9499999999999993</v>
      </c>
      <c r="AH21" s="5">
        <v>0.161</v>
      </c>
      <c r="AI21" s="5">
        <v>2.0430000000000001</v>
      </c>
      <c r="AK21" s="1">
        <f t="shared" si="0"/>
        <v>0.5900000000000003</v>
      </c>
      <c r="AL21" s="7">
        <f t="shared" si="1"/>
        <v>-0.5</v>
      </c>
      <c r="AN21" s="1">
        <f t="shared" si="2"/>
        <v>99.8</v>
      </c>
      <c r="AO21" s="1">
        <f t="shared" si="3"/>
        <v>91.3</v>
      </c>
      <c r="AP21" s="1">
        <f t="shared" si="4"/>
        <v>75.3</v>
      </c>
      <c r="AQ21" s="18">
        <f t="shared" si="5"/>
        <v>0.40699999999999997</v>
      </c>
      <c r="AR21" s="24">
        <f t="shared" si="22"/>
        <v>0.13400000000000001</v>
      </c>
      <c r="AT21" s="20">
        <f t="shared" si="6"/>
        <v>45673</v>
      </c>
      <c r="AU21" s="21">
        <f t="shared" si="7"/>
        <v>16</v>
      </c>
      <c r="AV21" s="1">
        <f t="shared" si="8"/>
        <v>-6.8</v>
      </c>
      <c r="AW21" s="1">
        <f t="shared" si="9"/>
        <v>-1.7</v>
      </c>
      <c r="AX21" s="1">
        <f t="shared" si="10"/>
        <v>-9.1</v>
      </c>
      <c r="AY21" s="1">
        <f t="shared" si="11"/>
        <v>91.3</v>
      </c>
      <c r="AZ21" s="1">
        <f t="shared" si="12"/>
        <v>75.3</v>
      </c>
      <c r="BA21" s="1">
        <f t="shared" si="23"/>
        <v>0.5900000000000003</v>
      </c>
      <c r="BB21" s="5">
        <f t="shared" si="24"/>
        <v>-0.5</v>
      </c>
      <c r="BC21" s="1">
        <f t="shared" si="14"/>
        <v>-7.7</v>
      </c>
      <c r="BD21" s="1">
        <f t="shared" si="15"/>
        <v>-2.2000000000000002</v>
      </c>
      <c r="BE21" s="1">
        <f t="shared" si="16"/>
        <v>-10.4</v>
      </c>
      <c r="BF21" s="5">
        <f t="shared" si="17"/>
        <v>0.2</v>
      </c>
      <c r="BG21" s="5">
        <f t="shared" si="18"/>
        <v>1</v>
      </c>
      <c r="BH21" s="5">
        <f t="shared" si="19"/>
        <v>1.7</v>
      </c>
      <c r="BI21" s="5">
        <f t="shared" si="25"/>
        <v>0.161</v>
      </c>
      <c r="BJ21" s="11">
        <f t="shared" si="26"/>
        <v>0.40699999999999997</v>
      </c>
      <c r="BK21" s="11">
        <f t="shared" si="26"/>
        <v>0.13400000000000001</v>
      </c>
      <c r="BM21" s="1">
        <f t="shared" si="20"/>
        <v>-0.5109999999999999</v>
      </c>
      <c r="BN21" s="1">
        <f t="shared" si="21"/>
        <v>-1.2299999999999986</v>
      </c>
    </row>
    <row r="22" spans="1:66" x14ac:dyDescent="0.2">
      <c r="A22" s="4">
        <f t="shared" si="27"/>
        <v>45674</v>
      </c>
      <c r="B22" s="1">
        <v>17</v>
      </c>
      <c r="C22" s="1">
        <v>5</v>
      </c>
      <c r="D22" s="5">
        <v>12.52</v>
      </c>
      <c r="E22" s="5">
        <v>-6.5990000000000002</v>
      </c>
      <c r="F22" s="5">
        <v>-9.7100000000000009</v>
      </c>
      <c r="G22" s="5">
        <v>-8.86</v>
      </c>
      <c r="H22" s="5">
        <v>83.5</v>
      </c>
      <c r="I22" s="5">
        <v>-1.337</v>
      </c>
      <c r="J22" s="5">
        <v>-0.51300000000000001</v>
      </c>
      <c r="K22" s="5">
        <v>0.219</v>
      </c>
      <c r="L22" s="5">
        <v>0.93500000000000005</v>
      </c>
      <c r="M22" s="5">
        <v>1.6359999999999999</v>
      </c>
      <c r="N22" s="5">
        <v>-7.0229999999999997</v>
      </c>
      <c r="O22" s="5">
        <v>89.6</v>
      </c>
      <c r="P22" s="5">
        <v>-1.206</v>
      </c>
      <c r="Q22" s="5">
        <v>-0.437</v>
      </c>
      <c r="R22" s="5">
        <v>0.30599999999999999</v>
      </c>
      <c r="S22" s="5">
        <v>1.0209999999999999</v>
      </c>
      <c r="T22" s="5">
        <v>1.712</v>
      </c>
      <c r="U22" s="5">
        <v>-11.14</v>
      </c>
      <c r="V22" s="5">
        <v>74.319999999999993</v>
      </c>
      <c r="W22" s="5">
        <v>-1.4670000000000001</v>
      </c>
      <c r="X22" s="5">
        <v>-0.6</v>
      </c>
      <c r="Y22" s="5">
        <v>0.14599999999999999</v>
      </c>
      <c r="Z22" s="5">
        <v>0.86</v>
      </c>
      <c r="AA22" s="5">
        <v>1.542</v>
      </c>
      <c r="AB22" s="5">
        <v>2.08</v>
      </c>
      <c r="AC22" s="5">
        <v>-9.1999999999999993</v>
      </c>
      <c r="AD22" s="5">
        <v>-6.1260000000000003</v>
      </c>
      <c r="AE22" s="5">
        <v>-12.58</v>
      </c>
      <c r="AF22" s="5">
        <v>-5.8129999999999997</v>
      </c>
      <c r="AG22" s="5">
        <v>-10.87</v>
      </c>
      <c r="AH22" s="5">
        <v>0.161</v>
      </c>
      <c r="AI22" s="5">
        <v>2.12</v>
      </c>
      <c r="AK22" s="1">
        <f t="shared" si="0"/>
        <v>0.52</v>
      </c>
      <c r="AL22" s="7">
        <f t="shared" si="1"/>
        <v>-0.5</v>
      </c>
      <c r="AN22" s="1">
        <f t="shared" si="2"/>
        <v>89.6</v>
      </c>
      <c r="AO22" s="1">
        <f t="shared" si="3"/>
        <v>83.5</v>
      </c>
      <c r="AP22" s="1">
        <f t="shared" si="4"/>
        <v>74.3</v>
      </c>
      <c r="AQ22" s="18">
        <f t="shared" si="5"/>
        <v>0.26800000000000002</v>
      </c>
      <c r="AR22" s="24">
        <f t="shared" si="22"/>
        <v>9.2999999999999999E-2</v>
      </c>
      <c r="AT22" s="20">
        <f t="shared" si="6"/>
        <v>45674</v>
      </c>
      <c r="AU22" s="21">
        <f t="shared" si="7"/>
        <v>17</v>
      </c>
      <c r="AV22" s="1">
        <f t="shared" si="8"/>
        <v>-8.9</v>
      </c>
      <c r="AW22" s="1">
        <f t="shared" si="9"/>
        <v>-7</v>
      </c>
      <c r="AX22" s="1">
        <f t="shared" si="10"/>
        <v>-11.1</v>
      </c>
      <c r="AY22" s="1">
        <f t="shared" si="11"/>
        <v>83.5</v>
      </c>
      <c r="AZ22" s="1">
        <f t="shared" si="12"/>
        <v>74.3</v>
      </c>
      <c r="BA22" s="1">
        <f t="shared" si="23"/>
        <v>0.52</v>
      </c>
      <c r="BB22" s="5">
        <f t="shared" si="24"/>
        <v>-0.5</v>
      </c>
      <c r="BC22" s="1">
        <f t="shared" si="14"/>
        <v>-9.1999999999999993</v>
      </c>
      <c r="BD22" s="1">
        <f t="shared" si="15"/>
        <v>-6.1</v>
      </c>
      <c r="BE22" s="1">
        <f t="shared" si="16"/>
        <v>-12.6</v>
      </c>
      <c r="BF22" s="5">
        <f t="shared" si="17"/>
        <v>0.2</v>
      </c>
      <c r="BG22" s="5">
        <f t="shared" si="18"/>
        <v>0.9</v>
      </c>
      <c r="BH22" s="5">
        <f t="shared" si="19"/>
        <v>1.6</v>
      </c>
      <c r="BI22" s="5">
        <f t="shared" si="25"/>
        <v>0.161</v>
      </c>
      <c r="BJ22" s="11">
        <f t="shared" si="26"/>
        <v>0.26800000000000002</v>
      </c>
      <c r="BK22" s="11">
        <f t="shared" si="26"/>
        <v>9.2999999999999999E-2</v>
      </c>
      <c r="BM22" s="1">
        <f t="shared" si="20"/>
        <v>0.89699999999999935</v>
      </c>
      <c r="BN22" s="1">
        <f t="shared" si="21"/>
        <v>-1.4399999999999995</v>
      </c>
    </row>
    <row r="23" spans="1:66" x14ac:dyDescent="0.2">
      <c r="A23" s="4">
        <f t="shared" si="27"/>
        <v>45675</v>
      </c>
      <c r="B23" s="1">
        <v>18</v>
      </c>
      <c r="C23" s="1">
        <v>5</v>
      </c>
      <c r="D23" s="5">
        <v>12.53</v>
      </c>
      <c r="E23" s="5">
        <v>-9.19</v>
      </c>
      <c r="F23" s="5">
        <v>-15.65</v>
      </c>
      <c r="G23" s="5">
        <v>-12.89</v>
      </c>
      <c r="H23" s="5">
        <v>82.9</v>
      </c>
      <c r="I23" s="5">
        <v>-1.5249999999999999</v>
      </c>
      <c r="J23" s="5">
        <v>-0.58399999999999996</v>
      </c>
      <c r="K23" s="5">
        <v>0.20100000000000001</v>
      </c>
      <c r="L23" s="5">
        <v>0.90600000000000003</v>
      </c>
      <c r="M23" s="5">
        <v>1.599</v>
      </c>
      <c r="N23" s="5">
        <v>-8.9499999999999993</v>
      </c>
      <c r="O23" s="5">
        <v>89</v>
      </c>
      <c r="P23" s="5">
        <v>-1.353</v>
      </c>
      <c r="Q23" s="5">
        <v>-0.48099999999999998</v>
      </c>
      <c r="R23" s="5">
        <v>0.28000000000000003</v>
      </c>
      <c r="S23" s="5">
        <v>0.98699999999999999</v>
      </c>
      <c r="T23" s="5">
        <v>1.6910000000000001</v>
      </c>
      <c r="U23" s="5">
        <v>-18.02</v>
      </c>
      <c r="V23" s="5">
        <v>60.24</v>
      </c>
      <c r="W23" s="5">
        <v>-1.7989999999999999</v>
      </c>
      <c r="X23" s="5">
        <v>-0.71299999999999997</v>
      </c>
      <c r="Y23" s="5">
        <v>0.13300000000000001</v>
      </c>
      <c r="Z23" s="5">
        <v>0.82399999999999995</v>
      </c>
      <c r="AA23" s="5">
        <v>1.516</v>
      </c>
      <c r="AB23" s="5">
        <v>2.0499999999999998</v>
      </c>
      <c r="AC23" s="5">
        <v>-13.4</v>
      </c>
      <c r="AD23" s="5">
        <v>-9.65</v>
      </c>
      <c r="AE23" s="5">
        <v>-18.03</v>
      </c>
      <c r="AF23" s="5">
        <v>-5.7249999999999996</v>
      </c>
      <c r="AG23" s="5">
        <v>-17.649999999999999</v>
      </c>
      <c r="AH23" s="5">
        <v>0.161</v>
      </c>
      <c r="AI23" s="5">
        <v>2.1019999999999999</v>
      </c>
      <c r="AK23" s="1">
        <f t="shared" si="0"/>
        <v>0.55000000000000027</v>
      </c>
      <c r="AL23" s="7">
        <f t="shared" si="1"/>
        <v>-0.6</v>
      </c>
      <c r="AN23" s="1">
        <f t="shared" si="2"/>
        <v>89</v>
      </c>
      <c r="AO23" s="1">
        <f t="shared" si="3"/>
        <v>82.9</v>
      </c>
      <c r="AP23" s="1">
        <f t="shared" si="4"/>
        <v>60.2</v>
      </c>
      <c r="AQ23" s="18">
        <f t="shared" si="5"/>
        <v>0.187</v>
      </c>
      <c r="AR23" s="24">
        <f t="shared" si="22"/>
        <v>0.124</v>
      </c>
      <c r="AT23" s="20">
        <f t="shared" si="6"/>
        <v>45675</v>
      </c>
      <c r="AU23" s="21">
        <f t="shared" si="7"/>
        <v>18</v>
      </c>
      <c r="AV23" s="1">
        <f t="shared" si="8"/>
        <v>-12.9</v>
      </c>
      <c r="AW23" s="1">
        <f t="shared" si="9"/>
        <v>-9</v>
      </c>
      <c r="AX23" s="1">
        <f t="shared" si="10"/>
        <v>-18</v>
      </c>
      <c r="AY23" s="1">
        <f t="shared" si="11"/>
        <v>82.9</v>
      </c>
      <c r="AZ23" s="1">
        <f t="shared" si="12"/>
        <v>60.2</v>
      </c>
      <c r="BA23" s="1">
        <f t="shared" si="23"/>
        <v>0.55000000000000027</v>
      </c>
      <c r="BB23" s="5">
        <f t="shared" si="24"/>
        <v>-0.6</v>
      </c>
      <c r="BC23" s="1">
        <f t="shared" si="14"/>
        <v>-13.4</v>
      </c>
      <c r="BD23" s="1">
        <f t="shared" si="15"/>
        <v>-9.6999999999999993</v>
      </c>
      <c r="BE23" s="1">
        <f t="shared" si="16"/>
        <v>-18</v>
      </c>
      <c r="BF23" s="5">
        <f t="shared" si="17"/>
        <v>0.2</v>
      </c>
      <c r="BG23" s="5">
        <f t="shared" si="18"/>
        <v>0.9</v>
      </c>
      <c r="BH23" s="5">
        <f t="shared" si="19"/>
        <v>1.6</v>
      </c>
      <c r="BI23" s="5">
        <f t="shared" si="25"/>
        <v>0.161</v>
      </c>
      <c r="BJ23" s="11">
        <f t="shared" si="26"/>
        <v>0.187</v>
      </c>
      <c r="BK23" s="11">
        <f t="shared" si="26"/>
        <v>0.124</v>
      </c>
      <c r="BM23" s="1">
        <f t="shared" si="20"/>
        <v>-0.70000000000000107</v>
      </c>
      <c r="BN23" s="1">
        <f t="shared" si="21"/>
        <v>-1.0000000000001563E-2</v>
      </c>
    </row>
    <row r="24" spans="1:66" x14ac:dyDescent="0.2">
      <c r="A24" s="4">
        <f t="shared" si="27"/>
        <v>45676</v>
      </c>
      <c r="B24" s="1">
        <v>19</v>
      </c>
      <c r="C24" s="1">
        <v>5</v>
      </c>
      <c r="D24" s="5">
        <v>12.55</v>
      </c>
      <c r="E24" s="5">
        <v>-9.48</v>
      </c>
      <c r="F24" s="5">
        <v>-15.67</v>
      </c>
      <c r="G24" s="5">
        <v>-12.47</v>
      </c>
      <c r="H24" s="5">
        <v>86.9</v>
      </c>
      <c r="I24" s="5">
        <v>-1.899</v>
      </c>
      <c r="J24" s="5">
        <v>-0.72599999999999998</v>
      </c>
      <c r="K24" s="5">
        <v>0.20399999999999999</v>
      </c>
      <c r="L24" s="5">
        <v>0.90600000000000003</v>
      </c>
      <c r="M24" s="5">
        <v>1.597</v>
      </c>
      <c r="N24" s="5">
        <v>-10.35</v>
      </c>
      <c r="O24" s="5">
        <v>92.9</v>
      </c>
      <c r="P24" s="5">
        <v>-1.6919999999999999</v>
      </c>
      <c r="Q24" s="5">
        <v>-0.59699999999999998</v>
      </c>
      <c r="R24" s="5">
        <v>0.28699999999999998</v>
      </c>
      <c r="S24" s="5">
        <v>0.98299999999999998</v>
      </c>
      <c r="T24" s="5">
        <v>1.6890000000000001</v>
      </c>
      <c r="U24" s="5">
        <v>-18.489999999999998</v>
      </c>
      <c r="V24" s="5">
        <v>80.3</v>
      </c>
      <c r="W24" s="5">
        <v>-2.0299999999999998</v>
      </c>
      <c r="X24" s="5">
        <v>-0.83199999999999996</v>
      </c>
      <c r="Y24" s="5">
        <v>0.127</v>
      </c>
      <c r="Z24" s="5">
        <v>0.82</v>
      </c>
      <c r="AA24" s="5">
        <v>1.5089999999999999</v>
      </c>
      <c r="AB24" s="5">
        <v>2.0470000000000002</v>
      </c>
      <c r="AC24" s="5">
        <v>-12.84</v>
      </c>
      <c r="AD24" s="5">
        <v>-10.29</v>
      </c>
      <c r="AE24" s="5">
        <v>-18.98</v>
      </c>
      <c r="AF24" s="5">
        <v>-8.07</v>
      </c>
      <c r="AG24" s="5">
        <v>-18.170000000000002</v>
      </c>
      <c r="AH24" s="5">
        <v>0.161</v>
      </c>
      <c r="AI24" s="5">
        <v>2.12</v>
      </c>
      <c r="AK24" s="1">
        <f t="shared" si="0"/>
        <v>0.55299999999999994</v>
      </c>
      <c r="AL24" s="7">
        <f t="shared" si="1"/>
        <v>-0.8</v>
      </c>
      <c r="AN24" s="1">
        <f t="shared" si="2"/>
        <v>92.9</v>
      </c>
      <c r="AO24" s="1">
        <f t="shared" si="3"/>
        <v>86.9</v>
      </c>
      <c r="AP24" s="1">
        <f t="shared" si="4"/>
        <v>80.3</v>
      </c>
      <c r="AQ24" s="18">
        <f t="shared" si="5"/>
        <v>0.223</v>
      </c>
      <c r="AR24" s="24">
        <f t="shared" si="22"/>
        <v>5.5E-2</v>
      </c>
      <c r="AT24" s="20">
        <f t="shared" si="6"/>
        <v>45676</v>
      </c>
      <c r="AU24" s="21">
        <f t="shared" si="7"/>
        <v>19</v>
      </c>
      <c r="AV24" s="1">
        <f t="shared" si="8"/>
        <v>-12.5</v>
      </c>
      <c r="AW24" s="1">
        <f t="shared" si="9"/>
        <v>-10.4</v>
      </c>
      <c r="AX24" s="1">
        <f t="shared" si="10"/>
        <v>-18.5</v>
      </c>
      <c r="AY24" s="1">
        <f t="shared" si="11"/>
        <v>86.9</v>
      </c>
      <c r="AZ24" s="1">
        <f t="shared" si="12"/>
        <v>80.3</v>
      </c>
      <c r="BA24" s="1">
        <f t="shared" si="23"/>
        <v>0.55299999999999994</v>
      </c>
      <c r="BB24" s="5">
        <f t="shared" si="24"/>
        <v>-0.8</v>
      </c>
      <c r="BC24" s="1">
        <f t="shared" si="14"/>
        <v>-12.8</v>
      </c>
      <c r="BD24" s="1">
        <f t="shared" si="15"/>
        <v>-10.3</v>
      </c>
      <c r="BE24" s="1">
        <f t="shared" si="16"/>
        <v>-19</v>
      </c>
      <c r="BF24" s="5">
        <f t="shared" si="17"/>
        <v>0.2</v>
      </c>
      <c r="BG24" s="5">
        <f t="shared" si="18"/>
        <v>0.9</v>
      </c>
      <c r="BH24" s="5">
        <f t="shared" si="19"/>
        <v>1.6</v>
      </c>
      <c r="BI24" s="5">
        <f t="shared" si="25"/>
        <v>0.161</v>
      </c>
      <c r="BJ24" s="11">
        <f t="shared" si="26"/>
        <v>0.223</v>
      </c>
      <c r="BK24" s="11">
        <f t="shared" si="26"/>
        <v>5.5E-2</v>
      </c>
      <c r="BM24" s="1">
        <f t="shared" si="20"/>
        <v>6.0000000000000497E-2</v>
      </c>
      <c r="BN24" s="1">
        <f t="shared" si="21"/>
        <v>-0.49000000000000199</v>
      </c>
    </row>
    <row r="25" spans="1:66" x14ac:dyDescent="0.2">
      <c r="A25" s="4">
        <f t="shared" si="27"/>
        <v>45677</v>
      </c>
      <c r="B25" s="1">
        <v>20</v>
      </c>
      <c r="C25" s="1">
        <v>5</v>
      </c>
      <c r="D25" s="5">
        <v>12.54</v>
      </c>
      <c r="E25" s="5">
        <v>-10.67</v>
      </c>
      <c r="F25" s="5">
        <v>-20.43</v>
      </c>
      <c r="G25" s="5">
        <v>-16.059999999999999</v>
      </c>
      <c r="H25" s="5">
        <v>82.6</v>
      </c>
      <c r="I25" s="5">
        <v>-2.1320000000000001</v>
      </c>
      <c r="J25" s="5">
        <v>-0.84899999999999998</v>
      </c>
      <c r="K25" s="5">
        <v>0.16400000000000001</v>
      </c>
      <c r="L25" s="5">
        <v>0.85299999999999998</v>
      </c>
      <c r="M25" s="5">
        <v>1.538</v>
      </c>
      <c r="N25" s="5">
        <v>-9.52</v>
      </c>
      <c r="O25" s="5">
        <v>89.6</v>
      </c>
      <c r="P25" s="5">
        <v>-1.8759999999999999</v>
      </c>
      <c r="Q25" s="5">
        <v>-0.73</v>
      </c>
      <c r="R25" s="5">
        <v>0.28599999999999998</v>
      </c>
      <c r="S25" s="5">
        <v>0.96299999999999997</v>
      </c>
      <c r="T25" s="5">
        <v>1.663</v>
      </c>
      <c r="U25" s="5">
        <v>-21.38</v>
      </c>
      <c r="V25" s="5">
        <v>68.91</v>
      </c>
      <c r="W25" s="5">
        <v>-2.4260000000000002</v>
      </c>
      <c r="X25" s="5">
        <v>-0.98399999999999999</v>
      </c>
      <c r="Y25" s="5">
        <v>1.9E-2</v>
      </c>
      <c r="Z25" s="5">
        <v>0.70599999999999996</v>
      </c>
      <c r="AA25" s="5">
        <v>1.411</v>
      </c>
      <c r="AB25" s="5">
        <v>2.0470000000000002</v>
      </c>
      <c r="AC25" s="5">
        <v>-16.34</v>
      </c>
      <c r="AD25" s="5">
        <v>-10.72</v>
      </c>
      <c r="AE25" s="5">
        <v>-21.26</v>
      </c>
      <c r="AF25" s="5">
        <v>-7.9210000000000003</v>
      </c>
      <c r="AG25" s="5">
        <v>-21.05</v>
      </c>
      <c r="AH25" s="5">
        <v>0.161</v>
      </c>
      <c r="AI25" s="5">
        <v>2.0979999999999999</v>
      </c>
      <c r="AK25" s="1">
        <f t="shared" si="0"/>
        <v>0.55299999999999994</v>
      </c>
      <c r="AL25" s="7">
        <f t="shared" si="1"/>
        <v>-0.9</v>
      </c>
      <c r="AN25" s="1">
        <f t="shared" si="2"/>
        <v>89.6</v>
      </c>
      <c r="AO25" s="1">
        <f t="shared" si="3"/>
        <v>82.6</v>
      </c>
      <c r="AP25" s="1">
        <f t="shared" si="4"/>
        <v>68.900000000000006</v>
      </c>
      <c r="AQ25" s="18">
        <f t="shared" si="5"/>
        <v>0.20399999999999999</v>
      </c>
      <c r="AR25" s="24">
        <f t="shared" si="22"/>
        <v>9.1999999999999998E-2</v>
      </c>
      <c r="AT25" s="20">
        <f t="shared" si="6"/>
        <v>45677</v>
      </c>
      <c r="AU25" s="21">
        <f t="shared" si="7"/>
        <v>20</v>
      </c>
      <c r="AV25" s="1">
        <f t="shared" si="8"/>
        <v>-16.100000000000001</v>
      </c>
      <c r="AW25" s="1">
        <f t="shared" si="9"/>
        <v>-9.5</v>
      </c>
      <c r="AX25" s="1">
        <f t="shared" si="10"/>
        <v>-21.4</v>
      </c>
      <c r="AY25" s="1">
        <f t="shared" si="11"/>
        <v>82.6</v>
      </c>
      <c r="AZ25" s="1">
        <f t="shared" si="12"/>
        <v>68.900000000000006</v>
      </c>
      <c r="BA25" s="1">
        <f t="shared" si="23"/>
        <v>0.55299999999999994</v>
      </c>
      <c r="BB25" s="5">
        <f t="shared" si="24"/>
        <v>-0.9</v>
      </c>
      <c r="BC25" s="1">
        <f t="shared" si="14"/>
        <v>-16.3</v>
      </c>
      <c r="BD25" s="1">
        <f t="shared" si="15"/>
        <v>-10.7</v>
      </c>
      <c r="BE25" s="1">
        <f t="shared" si="16"/>
        <v>-21.3</v>
      </c>
      <c r="BF25" s="5">
        <f t="shared" si="17"/>
        <v>0.2</v>
      </c>
      <c r="BG25" s="5">
        <f t="shared" si="18"/>
        <v>0.9</v>
      </c>
      <c r="BH25" s="5">
        <f t="shared" si="19"/>
        <v>1.5</v>
      </c>
      <c r="BI25" s="5">
        <f t="shared" si="25"/>
        <v>0.161</v>
      </c>
      <c r="BJ25" s="11">
        <f t="shared" si="26"/>
        <v>0.20399999999999999</v>
      </c>
      <c r="BK25" s="11">
        <f t="shared" si="26"/>
        <v>9.1999999999999998E-2</v>
      </c>
      <c r="BM25" s="1">
        <f t="shared" si="20"/>
        <v>-1.2000000000000011</v>
      </c>
      <c r="BN25" s="1">
        <f t="shared" si="21"/>
        <v>0.11999999999999744</v>
      </c>
    </row>
    <row r="26" spans="1:66" x14ac:dyDescent="0.2">
      <c r="A26" s="4">
        <f t="shared" si="27"/>
        <v>45678</v>
      </c>
      <c r="B26" s="1">
        <v>21</v>
      </c>
      <c r="C26" s="1">
        <v>5</v>
      </c>
      <c r="D26" s="5">
        <v>12.53</v>
      </c>
      <c r="E26" s="5">
        <v>-4.4850000000000003</v>
      </c>
      <c r="F26" s="5">
        <v>-13.73</v>
      </c>
      <c r="G26" s="5">
        <v>-9.26</v>
      </c>
      <c r="H26" s="5">
        <v>79.36</v>
      </c>
      <c r="I26" s="5">
        <v>-2.4710000000000001</v>
      </c>
      <c r="J26" s="5">
        <v>-0.98599999999999999</v>
      </c>
      <c r="K26" s="5">
        <v>0.21199999999999999</v>
      </c>
      <c r="L26" s="5">
        <v>0.90200000000000002</v>
      </c>
      <c r="M26" s="5">
        <v>1.593</v>
      </c>
      <c r="N26" s="5">
        <v>-4.5019999999999998</v>
      </c>
      <c r="O26" s="5">
        <v>91.4</v>
      </c>
      <c r="P26" s="5">
        <v>-2.3380000000000001</v>
      </c>
      <c r="Q26" s="5">
        <v>-0.87</v>
      </c>
      <c r="R26" s="5">
        <v>0.30299999999999999</v>
      </c>
      <c r="S26" s="5">
        <v>1.012</v>
      </c>
      <c r="T26" s="5">
        <v>1.6970000000000001</v>
      </c>
      <c r="U26" s="5">
        <v>-14.95</v>
      </c>
      <c r="V26" s="5">
        <v>61.37</v>
      </c>
      <c r="W26" s="5">
        <v>-2.6059999999999999</v>
      </c>
      <c r="X26" s="5">
        <v>-1.079</v>
      </c>
      <c r="Y26" s="5">
        <v>0.127</v>
      </c>
      <c r="Z26" s="5">
        <v>0.81399999999999995</v>
      </c>
      <c r="AA26" s="5">
        <v>1.5</v>
      </c>
      <c r="AB26" s="5">
        <v>2.048</v>
      </c>
      <c r="AC26" s="5">
        <v>-10.11</v>
      </c>
      <c r="AD26" s="5">
        <v>-5.2220000000000004</v>
      </c>
      <c r="AE26" s="5">
        <v>-15.4</v>
      </c>
      <c r="AF26" s="5">
        <v>-3.512</v>
      </c>
      <c r="AG26" s="5">
        <v>-14.64</v>
      </c>
      <c r="AH26" s="5">
        <v>0.16</v>
      </c>
      <c r="AI26" s="5">
        <v>2.0859999999999999</v>
      </c>
      <c r="AK26" s="1">
        <f t="shared" si="0"/>
        <v>0.55200000000000005</v>
      </c>
      <c r="AL26" s="7">
        <f t="shared" si="1"/>
        <v>-1.1000000000000001</v>
      </c>
      <c r="AN26" s="1">
        <f t="shared" si="2"/>
        <v>91.4</v>
      </c>
      <c r="AO26" s="1">
        <f t="shared" si="3"/>
        <v>79.400000000000006</v>
      </c>
      <c r="AP26" s="1">
        <f t="shared" si="4"/>
        <v>61.4</v>
      </c>
      <c r="AQ26" s="18">
        <f t="shared" si="5"/>
        <v>0.26800000000000002</v>
      </c>
      <c r="AR26" s="24">
        <f t="shared" si="22"/>
        <v>0.16800000000000001</v>
      </c>
      <c r="AT26" s="20">
        <f t="shared" si="6"/>
        <v>45678</v>
      </c>
      <c r="AU26" s="21">
        <f t="shared" si="7"/>
        <v>21</v>
      </c>
      <c r="AV26" s="1">
        <f t="shared" si="8"/>
        <v>-9.3000000000000007</v>
      </c>
      <c r="AW26" s="1">
        <f t="shared" si="9"/>
        <v>-4.5</v>
      </c>
      <c r="AX26" s="1">
        <f t="shared" si="10"/>
        <v>-15</v>
      </c>
      <c r="AY26" s="1">
        <f t="shared" si="11"/>
        <v>79.400000000000006</v>
      </c>
      <c r="AZ26" s="1">
        <f t="shared" si="12"/>
        <v>61.4</v>
      </c>
      <c r="BA26" s="1">
        <f t="shared" si="23"/>
        <v>0.55200000000000005</v>
      </c>
      <c r="BB26" s="5">
        <f t="shared" si="24"/>
        <v>-1.1000000000000001</v>
      </c>
      <c r="BC26" s="1">
        <f t="shared" si="14"/>
        <v>-10.1</v>
      </c>
      <c r="BD26" s="1">
        <f t="shared" si="15"/>
        <v>-5.2</v>
      </c>
      <c r="BE26" s="1">
        <f t="shared" si="16"/>
        <v>-15.4</v>
      </c>
      <c r="BF26" s="5">
        <f t="shared" si="17"/>
        <v>0.2</v>
      </c>
      <c r="BG26" s="5">
        <f t="shared" si="18"/>
        <v>0.9</v>
      </c>
      <c r="BH26" s="5">
        <f t="shared" si="19"/>
        <v>1.6</v>
      </c>
      <c r="BI26" s="5">
        <f t="shared" si="25"/>
        <v>0.16</v>
      </c>
      <c r="BJ26" s="11">
        <f t="shared" si="26"/>
        <v>0.26800000000000002</v>
      </c>
      <c r="BK26" s="11">
        <f t="shared" si="26"/>
        <v>0.16800000000000001</v>
      </c>
      <c r="BM26" s="1">
        <f t="shared" si="20"/>
        <v>-0.72000000000000064</v>
      </c>
      <c r="BN26" s="1">
        <f t="shared" si="21"/>
        <v>-0.45000000000000107</v>
      </c>
    </row>
    <row r="27" spans="1:66" x14ac:dyDescent="0.2">
      <c r="A27" s="4">
        <f t="shared" si="27"/>
        <v>45679</v>
      </c>
      <c r="B27" s="1">
        <v>22</v>
      </c>
      <c r="C27" s="1">
        <v>5</v>
      </c>
      <c r="D27" s="5">
        <v>12.53</v>
      </c>
      <c r="E27" s="5">
        <v>-5.0469999999999997</v>
      </c>
      <c r="F27" s="5">
        <v>-13.37</v>
      </c>
      <c r="G27" s="5">
        <v>-9.77</v>
      </c>
      <c r="H27" s="5">
        <v>83.7</v>
      </c>
      <c r="I27" s="5">
        <v>-2.3849999999999998</v>
      </c>
      <c r="J27" s="5">
        <v>-0.998</v>
      </c>
      <c r="K27" s="5">
        <v>0.19600000000000001</v>
      </c>
      <c r="L27" s="5">
        <v>0.88800000000000001</v>
      </c>
      <c r="M27" s="5">
        <v>1.5780000000000001</v>
      </c>
      <c r="N27" s="5">
        <v>-4.2729999999999997</v>
      </c>
      <c r="O27" s="5">
        <v>90.9</v>
      </c>
      <c r="P27" s="5">
        <v>-2.2679999999999998</v>
      </c>
      <c r="Q27" s="5">
        <v>-0.91400000000000003</v>
      </c>
      <c r="R27" s="5">
        <v>0.28199999999999997</v>
      </c>
      <c r="S27" s="5">
        <v>0.97699999999999998</v>
      </c>
      <c r="T27" s="5">
        <v>1.6819999999999999</v>
      </c>
      <c r="U27" s="5">
        <v>-15.39</v>
      </c>
      <c r="V27" s="5">
        <v>55.53</v>
      </c>
      <c r="W27" s="5">
        <v>-2.4900000000000002</v>
      </c>
      <c r="X27" s="5">
        <v>-1.0960000000000001</v>
      </c>
      <c r="Y27" s="5">
        <v>0.122</v>
      </c>
      <c r="Z27" s="5">
        <v>0.80100000000000005</v>
      </c>
      <c r="AA27" s="5">
        <v>1.4970000000000001</v>
      </c>
      <c r="AB27" s="5">
        <v>2.0339999999999998</v>
      </c>
      <c r="AC27" s="5">
        <v>-10.87</v>
      </c>
      <c r="AD27" s="5">
        <v>-5.9740000000000002</v>
      </c>
      <c r="AE27" s="5">
        <v>-15.83</v>
      </c>
      <c r="AF27" s="5">
        <v>-2.5350000000000001</v>
      </c>
      <c r="AG27" s="5">
        <v>-15.02</v>
      </c>
      <c r="AH27" s="5">
        <v>0.159</v>
      </c>
      <c r="AI27" s="5">
        <v>2.077</v>
      </c>
      <c r="AK27" s="1">
        <f t="shared" si="0"/>
        <v>0.56600000000000028</v>
      </c>
      <c r="AL27" s="7">
        <f t="shared" si="1"/>
        <v>-1.1000000000000001</v>
      </c>
      <c r="AN27" s="1">
        <f t="shared" si="2"/>
        <v>90.9</v>
      </c>
      <c r="AO27" s="1">
        <f t="shared" si="3"/>
        <v>83.7</v>
      </c>
      <c r="AP27" s="1">
        <f t="shared" si="4"/>
        <v>55.5</v>
      </c>
      <c r="AQ27" s="18">
        <f t="shared" si="5"/>
        <v>0.247</v>
      </c>
      <c r="AR27" s="24">
        <f t="shared" si="22"/>
        <v>0.19800000000000001</v>
      </c>
      <c r="AT27" s="20">
        <f t="shared" si="6"/>
        <v>45679</v>
      </c>
      <c r="AU27" s="21">
        <f t="shared" si="7"/>
        <v>22</v>
      </c>
      <c r="AV27" s="1">
        <f t="shared" si="8"/>
        <v>-9.8000000000000007</v>
      </c>
      <c r="AW27" s="1">
        <f t="shared" si="9"/>
        <v>-4.3</v>
      </c>
      <c r="AX27" s="1">
        <f t="shared" si="10"/>
        <v>-15.4</v>
      </c>
      <c r="AY27" s="1">
        <f t="shared" si="11"/>
        <v>83.7</v>
      </c>
      <c r="AZ27" s="1">
        <f t="shared" si="12"/>
        <v>55.5</v>
      </c>
      <c r="BA27" s="1">
        <f t="shared" si="23"/>
        <v>0.56600000000000028</v>
      </c>
      <c r="BB27" s="5">
        <f t="shared" si="24"/>
        <v>-1.1000000000000001</v>
      </c>
      <c r="BC27" s="1">
        <f t="shared" si="14"/>
        <v>-10.9</v>
      </c>
      <c r="BD27" s="1">
        <f t="shared" si="15"/>
        <v>-6</v>
      </c>
      <c r="BE27" s="1">
        <f t="shared" si="16"/>
        <v>-15.8</v>
      </c>
      <c r="BF27" s="5">
        <f t="shared" si="17"/>
        <v>0.2</v>
      </c>
      <c r="BG27" s="5">
        <f t="shared" si="18"/>
        <v>0.9</v>
      </c>
      <c r="BH27" s="5">
        <f t="shared" si="19"/>
        <v>1.6</v>
      </c>
      <c r="BI27" s="5">
        <f t="shared" si="25"/>
        <v>0.159</v>
      </c>
      <c r="BJ27" s="11">
        <f t="shared" si="26"/>
        <v>0.247</v>
      </c>
      <c r="BK27" s="11">
        <f t="shared" si="26"/>
        <v>0.19800000000000001</v>
      </c>
      <c r="BM27" s="1">
        <f t="shared" si="20"/>
        <v>-1.7010000000000005</v>
      </c>
      <c r="BN27" s="1">
        <f t="shared" si="21"/>
        <v>-0.4399999999999995</v>
      </c>
    </row>
    <row r="28" spans="1:66" x14ac:dyDescent="0.2">
      <c r="A28" s="4">
        <f t="shared" si="27"/>
        <v>45680</v>
      </c>
      <c r="B28" s="1">
        <v>23</v>
      </c>
      <c r="C28" s="1">
        <v>5</v>
      </c>
      <c r="D28" s="5">
        <v>12.5</v>
      </c>
      <c r="E28" s="5">
        <v>-3.9220000000000002</v>
      </c>
      <c r="F28" s="5">
        <v>-10.79</v>
      </c>
      <c r="G28" s="5">
        <v>-7.6970000000000001</v>
      </c>
      <c r="H28" s="5">
        <v>87.3</v>
      </c>
      <c r="I28" s="5">
        <v>-2.3690000000000002</v>
      </c>
      <c r="J28" s="5">
        <v>-1.0109999999999999</v>
      </c>
      <c r="K28" s="5">
        <v>0.17299999999999999</v>
      </c>
      <c r="L28" s="5">
        <v>0.876</v>
      </c>
      <c r="M28" s="5">
        <v>1.577</v>
      </c>
      <c r="N28" s="5">
        <v>-2.3410000000000002</v>
      </c>
      <c r="O28" s="5">
        <v>94.4</v>
      </c>
      <c r="P28" s="5">
        <v>-2.2410000000000001</v>
      </c>
      <c r="Q28" s="5">
        <v>-0.93799999999999994</v>
      </c>
      <c r="R28" s="5">
        <v>0.248</v>
      </c>
      <c r="S28" s="5">
        <v>0.95799999999999996</v>
      </c>
      <c r="T28" s="5">
        <v>1.6679999999999999</v>
      </c>
      <c r="U28" s="5">
        <v>-11.99</v>
      </c>
      <c r="V28" s="5">
        <v>63.36</v>
      </c>
      <c r="W28" s="5">
        <v>-2.476</v>
      </c>
      <c r="X28" s="5">
        <v>-1.079</v>
      </c>
      <c r="Y28" s="5">
        <v>9.1999999999999998E-2</v>
      </c>
      <c r="Z28" s="5">
        <v>0.80100000000000005</v>
      </c>
      <c r="AA28" s="5">
        <v>1.488</v>
      </c>
      <c r="AB28" s="5">
        <v>2.0369999999999999</v>
      </c>
      <c r="AC28" s="5">
        <v>-8.15</v>
      </c>
      <c r="AD28" s="5">
        <v>-3.6619999999999999</v>
      </c>
      <c r="AE28" s="5">
        <v>-12.44</v>
      </c>
      <c r="AF28" s="5">
        <v>-1.6659999999999999</v>
      </c>
      <c r="AG28" s="5">
        <v>-11.74</v>
      </c>
      <c r="AH28" s="5">
        <v>0.158</v>
      </c>
      <c r="AI28" s="5">
        <v>2.0670000000000002</v>
      </c>
      <c r="AK28" s="1">
        <f t="shared" si="0"/>
        <v>0.56300000000000017</v>
      </c>
      <c r="AL28" s="7">
        <f t="shared" si="1"/>
        <v>-1.1000000000000001</v>
      </c>
      <c r="AN28" s="1">
        <f t="shared" si="2"/>
        <v>94.4</v>
      </c>
      <c r="AO28" s="1">
        <f t="shared" si="3"/>
        <v>87.3</v>
      </c>
      <c r="AP28" s="1">
        <f t="shared" si="4"/>
        <v>63.4</v>
      </c>
      <c r="AQ28" s="18">
        <f t="shared" si="5"/>
        <v>0.32600000000000001</v>
      </c>
      <c r="AR28" s="24">
        <f t="shared" si="22"/>
        <v>0.188</v>
      </c>
      <c r="AT28" s="20">
        <f t="shared" si="6"/>
        <v>45680</v>
      </c>
      <c r="AU28" s="21">
        <f t="shared" si="7"/>
        <v>23</v>
      </c>
      <c r="AV28" s="1">
        <f t="shared" si="8"/>
        <v>-7.7</v>
      </c>
      <c r="AW28" s="1">
        <f t="shared" si="9"/>
        <v>-2.2999999999999998</v>
      </c>
      <c r="AX28" s="1">
        <f t="shared" si="10"/>
        <v>-12</v>
      </c>
      <c r="AY28" s="1">
        <f t="shared" si="11"/>
        <v>87.3</v>
      </c>
      <c r="AZ28" s="1">
        <f t="shared" si="12"/>
        <v>63.4</v>
      </c>
      <c r="BA28" s="1">
        <f t="shared" si="23"/>
        <v>0.56300000000000017</v>
      </c>
      <c r="BB28" s="5">
        <f t="shared" si="24"/>
        <v>-1.1000000000000001</v>
      </c>
      <c r="BC28" s="1">
        <f t="shared" si="14"/>
        <v>-8.1999999999999993</v>
      </c>
      <c r="BD28" s="1">
        <f t="shared" si="15"/>
        <v>-3.7</v>
      </c>
      <c r="BE28" s="1">
        <f t="shared" si="16"/>
        <v>-12.4</v>
      </c>
      <c r="BF28" s="5">
        <f t="shared" si="17"/>
        <v>0.2</v>
      </c>
      <c r="BG28" s="5">
        <f t="shared" si="18"/>
        <v>0.9</v>
      </c>
      <c r="BH28" s="5">
        <f t="shared" si="19"/>
        <v>1.6</v>
      </c>
      <c r="BI28" s="5">
        <f t="shared" si="25"/>
        <v>0.158</v>
      </c>
      <c r="BJ28" s="11">
        <f t="shared" si="26"/>
        <v>0.32600000000000001</v>
      </c>
      <c r="BK28" s="11">
        <f t="shared" si="26"/>
        <v>0.188</v>
      </c>
      <c r="BM28" s="1">
        <f t="shared" si="20"/>
        <v>-1.3209999999999997</v>
      </c>
      <c r="BN28" s="1">
        <f t="shared" si="21"/>
        <v>-0.44999999999999929</v>
      </c>
    </row>
    <row r="29" spans="1:66" x14ac:dyDescent="0.2">
      <c r="A29" s="4">
        <f t="shared" si="27"/>
        <v>45681</v>
      </c>
      <c r="B29" s="1">
        <v>24</v>
      </c>
      <c r="C29" s="1">
        <v>5</v>
      </c>
      <c r="D29" s="5">
        <v>12.55</v>
      </c>
      <c r="E29" s="5">
        <v>-5.7430000000000003</v>
      </c>
      <c r="F29" s="5">
        <v>-10.33</v>
      </c>
      <c r="G29" s="5">
        <v>-8.81</v>
      </c>
      <c r="H29" s="5">
        <v>85.6</v>
      </c>
      <c r="I29" s="5">
        <v>-2.1179999999999999</v>
      </c>
      <c r="J29" s="5">
        <v>-0.93200000000000005</v>
      </c>
      <c r="K29" s="5">
        <v>0.156</v>
      </c>
      <c r="L29" s="5">
        <v>0.86499999999999999</v>
      </c>
      <c r="M29" s="5">
        <v>1.5649999999999999</v>
      </c>
      <c r="N29" s="5">
        <v>-7.1219999999999999</v>
      </c>
      <c r="O29" s="5">
        <v>90.8</v>
      </c>
      <c r="P29" s="5">
        <v>-1.92</v>
      </c>
      <c r="Q29" s="5">
        <v>-0.78900000000000003</v>
      </c>
      <c r="R29" s="5">
        <v>0.23899999999999999</v>
      </c>
      <c r="S29" s="5">
        <v>0.94499999999999995</v>
      </c>
      <c r="T29" s="5">
        <v>1.643</v>
      </c>
      <c r="U29" s="5">
        <v>-12.57</v>
      </c>
      <c r="V29" s="5">
        <v>76.02</v>
      </c>
      <c r="W29" s="5">
        <v>-2.323</v>
      </c>
      <c r="X29" s="5">
        <v>-1.0629999999999999</v>
      </c>
      <c r="Y29" s="5">
        <v>8.5000000000000006E-2</v>
      </c>
      <c r="Z29" s="5">
        <v>0.79400000000000004</v>
      </c>
      <c r="AA29" s="5">
        <v>1.4890000000000001</v>
      </c>
      <c r="AB29" s="5">
        <v>2.056</v>
      </c>
      <c r="AC29" s="5">
        <v>-9.2899999999999991</v>
      </c>
      <c r="AD29" s="5">
        <v>-6.4779999999999998</v>
      </c>
      <c r="AE29" s="5">
        <v>-14.11</v>
      </c>
      <c r="AF29" s="5">
        <v>-5.4980000000000002</v>
      </c>
      <c r="AG29" s="5">
        <v>-12.26</v>
      </c>
      <c r="AH29" s="5">
        <v>0.157</v>
      </c>
      <c r="AI29" s="5">
        <v>2.105</v>
      </c>
      <c r="AK29" s="1">
        <f t="shared" si="0"/>
        <v>0.54400000000000004</v>
      </c>
      <c r="AL29" s="7">
        <f t="shared" si="1"/>
        <v>-1</v>
      </c>
      <c r="AN29" s="1">
        <f t="shared" si="2"/>
        <v>90.8</v>
      </c>
      <c r="AO29" s="1">
        <f t="shared" si="3"/>
        <v>85.6</v>
      </c>
      <c r="AP29" s="1">
        <f t="shared" si="4"/>
        <v>76</v>
      </c>
      <c r="AQ29" s="18">
        <f t="shared" si="5"/>
        <v>0.27200000000000002</v>
      </c>
      <c r="AR29" s="24">
        <f t="shared" si="22"/>
        <v>8.5999999999999993E-2</v>
      </c>
      <c r="AT29" s="20">
        <f t="shared" si="6"/>
        <v>45681</v>
      </c>
      <c r="AU29" s="21">
        <f t="shared" si="7"/>
        <v>24</v>
      </c>
      <c r="AV29" s="1">
        <f t="shared" si="8"/>
        <v>-8.8000000000000007</v>
      </c>
      <c r="AW29" s="1">
        <f t="shared" si="9"/>
        <v>-7.1</v>
      </c>
      <c r="AX29" s="1">
        <f t="shared" si="10"/>
        <v>-12.6</v>
      </c>
      <c r="AY29" s="1">
        <f t="shared" si="11"/>
        <v>85.6</v>
      </c>
      <c r="AZ29" s="1">
        <f t="shared" si="12"/>
        <v>76</v>
      </c>
      <c r="BA29" s="1">
        <f t="shared" si="23"/>
        <v>0.54400000000000004</v>
      </c>
      <c r="BB29" s="5">
        <f t="shared" si="24"/>
        <v>-1</v>
      </c>
      <c r="BC29" s="1">
        <f t="shared" si="14"/>
        <v>-9.3000000000000007</v>
      </c>
      <c r="BD29" s="1">
        <f t="shared" si="15"/>
        <v>-6.5</v>
      </c>
      <c r="BE29" s="1">
        <f t="shared" si="16"/>
        <v>-14.1</v>
      </c>
      <c r="BF29" s="5">
        <f t="shared" si="17"/>
        <v>0.2</v>
      </c>
      <c r="BG29" s="5">
        <f t="shared" si="18"/>
        <v>0.9</v>
      </c>
      <c r="BH29" s="5">
        <f t="shared" si="19"/>
        <v>1.6</v>
      </c>
      <c r="BI29" s="5">
        <f t="shared" si="25"/>
        <v>0.157</v>
      </c>
      <c r="BJ29" s="11">
        <f t="shared" si="26"/>
        <v>0.27200000000000002</v>
      </c>
      <c r="BK29" s="11">
        <f t="shared" si="26"/>
        <v>8.5999999999999993E-2</v>
      </c>
      <c r="BM29" s="1">
        <f t="shared" si="20"/>
        <v>0.64400000000000013</v>
      </c>
      <c r="BN29" s="1">
        <f t="shared" si="21"/>
        <v>-1.5399999999999991</v>
      </c>
    </row>
    <row r="30" spans="1:66" x14ac:dyDescent="0.2">
      <c r="A30" s="4">
        <f t="shared" si="27"/>
        <v>45682</v>
      </c>
      <c r="B30" s="1">
        <v>25</v>
      </c>
      <c r="C30" s="1">
        <v>5</v>
      </c>
      <c r="D30" s="5">
        <v>12.5</v>
      </c>
      <c r="E30" s="5">
        <v>-9.19</v>
      </c>
      <c r="F30" s="5">
        <v>-15.29</v>
      </c>
      <c r="G30" s="5">
        <v>-12.71</v>
      </c>
      <c r="H30" s="5">
        <v>87.2</v>
      </c>
      <c r="I30" s="5">
        <v>-2.0150000000000001</v>
      </c>
      <c r="J30" s="5">
        <v>-0.85099999999999998</v>
      </c>
      <c r="K30" s="5">
        <v>0.13400000000000001</v>
      </c>
      <c r="L30" s="5">
        <v>0.82799999999999996</v>
      </c>
      <c r="M30" s="5">
        <v>1.5209999999999999</v>
      </c>
      <c r="N30" s="5">
        <v>-9.31</v>
      </c>
      <c r="O30" s="5">
        <v>92.2</v>
      </c>
      <c r="P30" s="5">
        <v>-1.8660000000000001</v>
      </c>
      <c r="Q30" s="5">
        <v>-0.76600000000000001</v>
      </c>
      <c r="R30" s="5">
        <v>0.219</v>
      </c>
      <c r="S30" s="5">
        <v>0.90400000000000003</v>
      </c>
      <c r="T30" s="5">
        <v>1.5980000000000001</v>
      </c>
      <c r="U30" s="5">
        <v>-17.350000000000001</v>
      </c>
      <c r="V30" s="5">
        <v>83.9</v>
      </c>
      <c r="W30" s="5">
        <v>-2.161</v>
      </c>
      <c r="X30" s="5">
        <v>-0.93500000000000005</v>
      </c>
      <c r="Y30" s="5">
        <v>5.0999999999999997E-2</v>
      </c>
      <c r="Z30" s="5">
        <v>0.74399999999999999</v>
      </c>
      <c r="AA30" s="5">
        <v>1.44</v>
      </c>
      <c r="AB30" s="5">
        <v>2.0289999999999999</v>
      </c>
      <c r="AC30" s="5">
        <v>-13.05</v>
      </c>
      <c r="AD30" s="5">
        <v>-9.18</v>
      </c>
      <c r="AE30" s="5">
        <v>-17.440000000000001</v>
      </c>
      <c r="AF30" s="5">
        <v>-8.76</v>
      </c>
      <c r="AG30" s="5">
        <v>-16.98</v>
      </c>
      <c r="AH30" s="5">
        <v>0.156</v>
      </c>
      <c r="AI30" s="5">
        <v>2.0870000000000002</v>
      </c>
      <c r="AK30" s="1">
        <f t="shared" si="0"/>
        <v>0.57100000000000017</v>
      </c>
      <c r="AL30" s="7">
        <f t="shared" si="1"/>
        <v>-0.9</v>
      </c>
      <c r="AN30" s="1">
        <f t="shared" si="2"/>
        <v>92.2</v>
      </c>
      <c r="AO30" s="1">
        <f t="shared" si="3"/>
        <v>87.2</v>
      </c>
      <c r="AP30" s="1">
        <f t="shared" si="4"/>
        <v>83.9</v>
      </c>
      <c r="AQ30" s="18">
        <f t="shared" si="5"/>
        <v>0.253</v>
      </c>
      <c r="AR30" s="24">
        <f t="shared" si="22"/>
        <v>4.9000000000000002E-2</v>
      </c>
      <c r="AT30" s="20">
        <f t="shared" si="6"/>
        <v>45682</v>
      </c>
      <c r="AU30" s="21">
        <f t="shared" si="7"/>
        <v>25</v>
      </c>
      <c r="AV30" s="1">
        <f t="shared" si="8"/>
        <v>-12.7</v>
      </c>
      <c r="AW30" s="1">
        <f t="shared" si="9"/>
        <v>-9.3000000000000007</v>
      </c>
      <c r="AX30" s="1">
        <f t="shared" si="10"/>
        <v>-17.399999999999999</v>
      </c>
      <c r="AY30" s="1">
        <f t="shared" si="11"/>
        <v>87.2</v>
      </c>
      <c r="AZ30" s="1">
        <f t="shared" si="12"/>
        <v>83.9</v>
      </c>
      <c r="BA30" s="1">
        <f t="shared" si="23"/>
        <v>0.57100000000000017</v>
      </c>
      <c r="BB30" s="5">
        <f t="shared" si="24"/>
        <v>-0.9</v>
      </c>
      <c r="BC30" s="1">
        <f t="shared" si="14"/>
        <v>-13.1</v>
      </c>
      <c r="BD30" s="1">
        <f t="shared" si="15"/>
        <v>-9.1999999999999993</v>
      </c>
      <c r="BE30" s="1">
        <f t="shared" si="16"/>
        <v>-17.399999999999999</v>
      </c>
      <c r="BF30" s="5">
        <f t="shared" si="17"/>
        <v>0.1</v>
      </c>
      <c r="BG30" s="5">
        <f t="shared" si="18"/>
        <v>0.8</v>
      </c>
      <c r="BH30" s="5">
        <f t="shared" si="19"/>
        <v>1.5</v>
      </c>
      <c r="BI30" s="5">
        <f t="shared" si="25"/>
        <v>0.156</v>
      </c>
      <c r="BJ30" s="11">
        <f t="shared" si="26"/>
        <v>0.253</v>
      </c>
      <c r="BK30" s="11">
        <f t="shared" si="26"/>
        <v>4.9000000000000002E-2</v>
      </c>
      <c r="BM30" s="1">
        <f t="shared" si="20"/>
        <v>0.13000000000000078</v>
      </c>
      <c r="BN30" s="1">
        <f t="shared" si="21"/>
        <v>-8.9999999999999858E-2</v>
      </c>
    </row>
    <row r="31" spans="1:66" x14ac:dyDescent="0.2">
      <c r="A31" s="4">
        <f t="shared" si="27"/>
        <v>45683</v>
      </c>
      <c r="B31" s="1">
        <v>26</v>
      </c>
      <c r="C31" s="1">
        <v>5</v>
      </c>
      <c r="D31" s="5">
        <v>12.55</v>
      </c>
      <c r="E31" s="5">
        <v>-3.8159999999999998</v>
      </c>
      <c r="F31" s="5">
        <v>-14.69</v>
      </c>
      <c r="G31" s="5">
        <v>-9.8800000000000008</v>
      </c>
      <c r="H31" s="5">
        <v>84.8</v>
      </c>
      <c r="I31" s="5">
        <v>-2.2599999999999998</v>
      </c>
      <c r="J31" s="5">
        <v>-0.94099999999999995</v>
      </c>
      <c r="K31" s="5">
        <v>0.13100000000000001</v>
      </c>
      <c r="L31" s="5">
        <v>0.83399999999999996</v>
      </c>
      <c r="M31" s="5">
        <v>1.5229999999999999</v>
      </c>
      <c r="N31" s="5">
        <v>-2.427</v>
      </c>
      <c r="O31" s="5">
        <v>95.3</v>
      </c>
      <c r="P31" s="5">
        <v>-2.0459999999999998</v>
      </c>
      <c r="Q31" s="5">
        <v>-0.82099999999999995</v>
      </c>
      <c r="R31" s="5">
        <v>0.22</v>
      </c>
      <c r="S31" s="5">
        <v>0.93500000000000005</v>
      </c>
      <c r="T31" s="5">
        <v>1.6240000000000001</v>
      </c>
      <c r="U31" s="5">
        <v>-15.53</v>
      </c>
      <c r="V31" s="5">
        <v>58.46</v>
      </c>
      <c r="W31" s="5">
        <v>-2.4359999999999999</v>
      </c>
      <c r="X31" s="5">
        <v>-1.0640000000000001</v>
      </c>
      <c r="Y31" s="5">
        <v>0.05</v>
      </c>
      <c r="Z31" s="5">
        <v>0.75</v>
      </c>
      <c r="AA31" s="5">
        <v>1.444</v>
      </c>
      <c r="AB31" s="5">
        <v>2.036</v>
      </c>
      <c r="AC31" s="5">
        <v>-10.9</v>
      </c>
      <c r="AD31" s="5">
        <v>-4.4020000000000001</v>
      </c>
      <c r="AE31" s="5">
        <v>-15.61</v>
      </c>
      <c r="AF31" s="5">
        <v>-1.3220000000000001</v>
      </c>
      <c r="AG31" s="5">
        <v>-15.24</v>
      </c>
      <c r="AH31" s="5">
        <v>0.156</v>
      </c>
      <c r="AI31" s="5">
        <v>2.077</v>
      </c>
      <c r="AK31" s="1">
        <f t="shared" si="0"/>
        <v>0.56400000000000006</v>
      </c>
      <c r="AL31" s="7">
        <f t="shared" si="1"/>
        <v>-1</v>
      </c>
      <c r="AN31" s="1">
        <f t="shared" si="2"/>
        <v>95.3</v>
      </c>
      <c r="AO31" s="1">
        <f t="shared" si="3"/>
        <v>84.8</v>
      </c>
      <c r="AP31" s="1">
        <f t="shared" si="4"/>
        <v>58.5</v>
      </c>
      <c r="AQ31" s="18">
        <f t="shared" si="5"/>
        <v>0.29899999999999999</v>
      </c>
      <c r="AR31" s="24">
        <f t="shared" si="22"/>
        <v>0.21199999999999999</v>
      </c>
      <c r="AT31" s="20">
        <f t="shared" si="6"/>
        <v>45683</v>
      </c>
      <c r="AU31" s="21">
        <f t="shared" si="7"/>
        <v>26</v>
      </c>
      <c r="AV31" s="1">
        <f t="shared" si="8"/>
        <v>-9.9</v>
      </c>
      <c r="AW31" s="1">
        <f t="shared" si="9"/>
        <v>-2.4</v>
      </c>
      <c r="AX31" s="1">
        <f t="shared" si="10"/>
        <v>-15.5</v>
      </c>
      <c r="AY31" s="1">
        <f t="shared" si="11"/>
        <v>84.8</v>
      </c>
      <c r="AZ31" s="1">
        <f t="shared" si="12"/>
        <v>58.5</v>
      </c>
      <c r="BA31" s="1">
        <f t="shared" si="23"/>
        <v>0.56400000000000006</v>
      </c>
      <c r="BB31" s="5">
        <f t="shared" si="24"/>
        <v>-1</v>
      </c>
      <c r="BC31" s="1">
        <f t="shared" si="14"/>
        <v>-10.9</v>
      </c>
      <c r="BD31" s="1">
        <f t="shared" si="15"/>
        <v>-4.4000000000000004</v>
      </c>
      <c r="BE31" s="1">
        <f t="shared" si="16"/>
        <v>-15.6</v>
      </c>
      <c r="BF31" s="5">
        <f t="shared" si="17"/>
        <v>0.1</v>
      </c>
      <c r="BG31" s="5">
        <f t="shared" si="18"/>
        <v>0.8</v>
      </c>
      <c r="BH31" s="5">
        <f t="shared" si="19"/>
        <v>1.5</v>
      </c>
      <c r="BI31" s="5">
        <f t="shared" si="25"/>
        <v>0.156</v>
      </c>
      <c r="BJ31" s="11">
        <f t="shared" si="26"/>
        <v>0.29899999999999999</v>
      </c>
      <c r="BK31" s="11">
        <f t="shared" si="26"/>
        <v>0.21199999999999999</v>
      </c>
      <c r="BM31" s="1">
        <f t="shared" si="20"/>
        <v>-1.9750000000000001</v>
      </c>
      <c r="BN31" s="1">
        <f t="shared" si="21"/>
        <v>-8.0000000000000071E-2</v>
      </c>
    </row>
    <row r="32" spans="1:66" x14ac:dyDescent="0.2">
      <c r="A32" s="4">
        <f t="shared" si="27"/>
        <v>45684</v>
      </c>
      <c r="B32" s="1">
        <v>27</v>
      </c>
      <c r="C32" s="1">
        <v>5</v>
      </c>
      <c r="D32" s="5">
        <v>12.55</v>
      </c>
      <c r="E32" s="5">
        <v>-0.77700000000000002</v>
      </c>
      <c r="F32" s="5">
        <v>-10.35</v>
      </c>
      <c r="G32" s="5">
        <v>-6.2229999999999999</v>
      </c>
      <c r="H32" s="5">
        <v>84.8</v>
      </c>
      <c r="I32" s="5">
        <v>-2.3559999999999999</v>
      </c>
      <c r="J32" s="5">
        <v>-1.026</v>
      </c>
      <c r="K32" s="5">
        <v>0.122</v>
      </c>
      <c r="L32" s="5">
        <v>0.84099999999999997</v>
      </c>
      <c r="M32" s="5">
        <v>1.5329999999999999</v>
      </c>
      <c r="N32" s="5">
        <v>0.71399999999999997</v>
      </c>
      <c r="O32" s="5">
        <v>95.4</v>
      </c>
      <c r="P32" s="5">
        <v>-2.1890000000000001</v>
      </c>
      <c r="Q32" s="5">
        <v>-0.94099999999999995</v>
      </c>
      <c r="R32" s="5">
        <v>0.224</v>
      </c>
      <c r="S32" s="5">
        <v>0.93200000000000005</v>
      </c>
      <c r="T32" s="5">
        <v>1.631</v>
      </c>
      <c r="U32" s="5">
        <v>-11.32</v>
      </c>
      <c r="V32" s="5">
        <v>48.98</v>
      </c>
      <c r="W32" s="5">
        <v>-2.472</v>
      </c>
      <c r="X32" s="5">
        <v>-1.1020000000000001</v>
      </c>
      <c r="Y32" s="5">
        <v>4.7E-2</v>
      </c>
      <c r="Z32" s="5">
        <v>0.75800000000000001</v>
      </c>
      <c r="AA32" s="5">
        <v>1.452</v>
      </c>
      <c r="AB32" s="5">
        <v>2.0419999999999998</v>
      </c>
      <c r="AC32" s="5">
        <v>-8.01</v>
      </c>
      <c r="AD32" s="5">
        <v>-2.1760000000000002</v>
      </c>
      <c r="AE32" s="5">
        <v>-12.07</v>
      </c>
      <c r="AF32" s="5">
        <v>2.3090000000000002</v>
      </c>
      <c r="AG32" s="5">
        <v>-11.16</v>
      </c>
      <c r="AH32" s="5">
        <v>0.155</v>
      </c>
      <c r="AI32" s="5">
        <v>2.0790000000000002</v>
      </c>
      <c r="AK32" s="1">
        <f t="shared" si="0"/>
        <v>0.55800000000000027</v>
      </c>
      <c r="AL32" s="7">
        <f t="shared" si="1"/>
        <v>-1.1000000000000001</v>
      </c>
      <c r="AN32" s="1">
        <f t="shared" si="2"/>
        <v>95.4</v>
      </c>
      <c r="AO32" s="1">
        <f t="shared" si="3"/>
        <v>84.8</v>
      </c>
      <c r="AP32" s="1">
        <f t="shared" si="4"/>
        <v>49</v>
      </c>
      <c r="AQ32" s="18">
        <f t="shared" si="5"/>
        <v>0.315</v>
      </c>
      <c r="AR32" s="24">
        <f t="shared" si="22"/>
        <v>0.32800000000000001</v>
      </c>
      <c r="AT32" s="20">
        <f t="shared" si="6"/>
        <v>45684</v>
      </c>
      <c r="AU32" s="21">
        <f t="shared" si="7"/>
        <v>27</v>
      </c>
      <c r="AV32" s="1">
        <f t="shared" si="8"/>
        <v>-6.2</v>
      </c>
      <c r="AW32" s="1">
        <f t="shared" si="9"/>
        <v>0.7</v>
      </c>
      <c r="AX32" s="1">
        <f t="shared" si="10"/>
        <v>-11.3</v>
      </c>
      <c r="AY32" s="1">
        <f t="shared" si="11"/>
        <v>84.8</v>
      </c>
      <c r="AZ32" s="1">
        <f t="shared" si="12"/>
        <v>49</v>
      </c>
      <c r="BA32" s="1">
        <f t="shared" si="23"/>
        <v>0.55800000000000027</v>
      </c>
      <c r="BB32" s="5">
        <f t="shared" si="24"/>
        <v>-1.1000000000000001</v>
      </c>
      <c r="BC32" s="1">
        <f t="shared" si="14"/>
        <v>-8</v>
      </c>
      <c r="BD32" s="1">
        <f t="shared" si="15"/>
        <v>-2.2000000000000002</v>
      </c>
      <c r="BE32" s="1">
        <f t="shared" si="16"/>
        <v>-12.1</v>
      </c>
      <c r="BF32" s="5">
        <f t="shared" si="17"/>
        <v>0.1</v>
      </c>
      <c r="BG32" s="5">
        <f t="shared" si="18"/>
        <v>0.8</v>
      </c>
      <c r="BH32" s="5">
        <f t="shared" si="19"/>
        <v>1.5</v>
      </c>
      <c r="BI32" s="5">
        <f t="shared" si="25"/>
        <v>0.155</v>
      </c>
      <c r="BJ32" s="11">
        <f t="shared" si="26"/>
        <v>0.315</v>
      </c>
      <c r="BK32" s="11">
        <f t="shared" si="26"/>
        <v>0.32800000000000001</v>
      </c>
      <c r="BM32" s="1">
        <f t="shared" si="20"/>
        <v>-2.89</v>
      </c>
      <c r="BN32" s="1">
        <f t="shared" si="21"/>
        <v>-0.75</v>
      </c>
    </row>
    <row r="33" spans="1:66" x14ac:dyDescent="0.2">
      <c r="A33" s="4">
        <f t="shared" si="27"/>
        <v>45685</v>
      </c>
      <c r="B33" s="1">
        <v>28</v>
      </c>
      <c r="C33" s="1">
        <v>5</v>
      </c>
      <c r="D33" s="5">
        <v>12.55</v>
      </c>
      <c r="E33" s="5">
        <v>7.3999999999999996E-2</v>
      </c>
      <c r="F33" s="5">
        <v>-10.37</v>
      </c>
      <c r="G33" s="5">
        <v>-6.7240000000000002</v>
      </c>
      <c r="H33" s="5">
        <v>84.4</v>
      </c>
      <c r="I33" s="5">
        <v>-2.1360000000000001</v>
      </c>
      <c r="J33" s="5">
        <v>-0.94599999999999995</v>
      </c>
      <c r="K33" s="5">
        <v>0.109</v>
      </c>
      <c r="L33" s="5">
        <v>0.82699999999999996</v>
      </c>
      <c r="M33" s="5">
        <v>1.5169999999999999</v>
      </c>
      <c r="N33" s="5">
        <v>4.0869999999999997</v>
      </c>
      <c r="O33" s="5">
        <v>93.5</v>
      </c>
      <c r="P33" s="5">
        <v>-1.97</v>
      </c>
      <c r="Q33" s="5">
        <v>-0.84499999999999997</v>
      </c>
      <c r="R33" s="5">
        <v>0.22500000000000001</v>
      </c>
      <c r="S33" s="5">
        <v>0.93500000000000005</v>
      </c>
      <c r="T33" s="5">
        <v>1.623</v>
      </c>
      <c r="U33" s="5">
        <v>-10.94</v>
      </c>
      <c r="V33" s="5">
        <v>29.41</v>
      </c>
      <c r="W33" s="5">
        <v>-2.2770000000000001</v>
      </c>
      <c r="X33" s="5">
        <v>-1.0680000000000001</v>
      </c>
      <c r="Y33" s="5">
        <v>3.1E-2</v>
      </c>
      <c r="Z33" s="5">
        <v>0.74</v>
      </c>
      <c r="AA33" s="5">
        <v>1.4359999999999999</v>
      </c>
      <c r="AB33" s="5">
        <v>2.0369999999999999</v>
      </c>
      <c r="AC33" s="5">
        <v>-8.07</v>
      </c>
      <c r="AD33" s="5">
        <v>-0.50700000000000001</v>
      </c>
      <c r="AE33" s="5">
        <v>-11.42</v>
      </c>
      <c r="AF33" s="5">
        <v>6.0410000000000004</v>
      </c>
      <c r="AG33" s="5">
        <v>-10.73</v>
      </c>
      <c r="AH33" s="5">
        <v>0.154</v>
      </c>
      <c r="AI33" s="5">
        <v>2.077</v>
      </c>
      <c r="AK33" s="1">
        <f t="shared" si="0"/>
        <v>0.56300000000000017</v>
      </c>
      <c r="AL33" s="7">
        <f t="shared" si="1"/>
        <v>-1</v>
      </c>
      <c r="AN33" s="1">
        <f t="shared" si="2"/>
        <v>93.5</v>
      </c>
      <c r="AO33" s="1">
        <f t="shared" si="3"/>
        <v>84.4</v>
      </c>
      <c r="AP33" s="1">
        <f t="shared" si="4"/>
        <v>29.4</v>
      </c>
      <c r="AQ33" s="18">
        <f t="shared" si="5"/>
        <v>0.24</v>
      </c>
      <c r="AR33" s="24">
        <f t="shared" si="22"/>
        <v>0.57599999999999996</v>
      </c>
      <c r="AT33" s="20">
        <f t="shared" si="6"/>
        <v>45685</v>
      </c>
      <c r="AU33" s="21">
        <f t="shared" si="7"/>
        <v>28</v>
      </c>
      <c r="AV33" s="1">
        <f t="shared" si="8"/>
        <v>-6.7</v>
      </c>
      <c r="AW33" s="1">
        <f t="shared" si="9"/>
        <v>4.0999999999999996</v>
      </c>
      <c r="AX33" s="1">
        <f t="shared" si="10"/>
        <v>-10.9</v>
      </c>
      <c r="AY33" s="1">
        <f t="shared" si="11"/>
        <v>84.4</v>
      </c>
      <c r="AZ33" s="1">
        <f t="shared" si="12"/>
        <v>29.4</v>
      </c>
      <c r="BA33" s="1">
        <f t="shared" si="23"/>
        <v>0.56300000000000017</v>
      </c>
      <c r="BB33" s="5">
        <f t="shared" si="24"/>
        <v>-1</v>
      </c>
      <c r="BC33" s="1">
        <f t="shared" si="14"/>
        <v>-8.1</v>
      </c>
      <c r="BD33" s="1">
        <f t="shared" si="15"/>
        <v>-0.5</v>
      </c>
      <c r="BE33" s="1">
        <f t="shared" si="16"/>
        <v>-11.4</v>
      </c>
      <c r="BF33" s="5">
        <f t="shared" si="17"/>
        <v>0.1</v>
      </c>
      <c r="BG33" s="5">
        <f t="shared" si="18"/>
        <v>0.8</v>
      </c>
      <c r="BH33" s="5">
        <f t="shared" si="19"/>
        <v>1.5</v>
      </c>
      <c r="BI33" s="5">
        <f t="shared" si="25"/>
        <v>0.154</v>
      </c>
      <c r="BJ33" s="11">
        <f t="shared" si="26"/>
        <v>0.24</v>
      </c>
      <c r="BK33" s="11">
        <f t="shared" si="26"/>
        <v>0.57599999999999996</v>
      </c>
      <c r="BM33" s="1">
        <f t="shared" si="20"/>
        <v>-4.5939999999999994</v>
      </c>
      <c r="BN33" s="1">
        <f t="shared" si="21"/>
        <v>-0.48000000000000043</v>
      </c>
    </row>
    <row r="34" spans="1:66" x14ac:dyDescent="0.2">
      <c r="A34" s="4">
        <f t="shared" si="27"/>
        <v>45686</v>
      </c>
      <c r="B34" s="1">
        <v>29</v>
      </c>
      <c r="C34" s="1">
        <v>5</v>
      </c>
      <c r="D34" s="5">
        <v>12.56</v>
      </c>
      <c r="E34" s="5">
        <v>1.2450000000000001</v>
      </c>
      <c r="F34" s="5">
        <v>-11.32</v>
      </c>
      <c r="G34" s="5">
        <v>-4.75</v>
      </c>
      <c r="H34" s="5">
        <v>67.22</v>
      </c>
      <c r="I34" s="5">
        <v>-2.0459999999999998</v>
      </c>
      <c r="J34" s="5">
        <v>-0.89400000000000002</v>
      </c>
      <c r="K34" s="5">
        <v>0.112</v>
      </c>
      <c r="L34" s="5">
        <v>0.82299999999999995</v>
      </c>
      <c r="M34" s="5">
        <v>1.51</v>
      </c>
      <c r="N34" s="5">
        <v>3.57</v>
      </c>
      <c r="O34" s="5">
        <v>92.2</v>
      </c>
      <c r="P34" s="5">
        <v>-1.9039999999999999</v>
      </c>
      <c r="Q34" s="5">
        <v>-0.80100000000000005</v>
      </c>
      <c r="R34" s="5">
        <v>0.23699999999999999</v>
      </c>
      <c r="S34" s="5">
        <v>0.95199999999999996</v>
      </c>
      <c r="T34" s="5">
        <v>1.633</v>
      </c>
      <c r="U34" s="5">
        <v>-12.57</v>
      </c>
      <c r="V34" s="5">
        <v>26.87</v>
      </c>
      <c r="W34" s="5">
        <v>-2.1829999999999998</v>
      </c>
      <c r="X34" s="5">
        <v>-0.97299999999999998</v>
      </c>
      <c r="Y34" s="5">
        <v>1.9E-2</v>
      </c>
      <c r="Z34" s="5">
        <v>0.71699999999999997</v>
      </c>
      <c r="AA34" s="5">
        <v>1.425</v>
      </c>
      <c r="AB34" s="5">
        <v>2.0419999999999998</v>
      </c>
      <c r="AC34" s="5">
        <v>-6.7880000000000003</v>
      </c>
      <c r="AD34" s="5">
        <v>-0.29399999999999998</v>
      </c>
      <c r="AE34" s="5">
        <v>-13.15</v>
      </c>
      <c r="AF34" s="5">
        <v>5.4089999999999998</v>
      </c>
      <c r="AG34" s="5">
        <v>-12.35</v>
      </c>
      <c r="AH34" s="5">
        <v>0.153</v>
      </c>
      <c r="AI34" s="5">
        <v>2.0609999999999999</v>
      </c>
      <c r="AK34" s="1">
        <f t="shared" si="0"/>
        <v>0.55800000000000027</v>
      </c>
      <c r="AL34" s="7">
        <f t="shared" si="1"/>
        <v>-0.9</v>
      </c>
      <c r="AN34" s="1">
        <f t="shared" si="2"/>
        <v>92.2</v>
      </c>
      <c r="AO34" s="1">
        <f t="shared" si="3"/>
        <v>67.2</v>
      </c>
      <c r="AP34" s="1">
        <f t="shared" si="4"/>
        <v>26.9</v>
      </c>
      <c r="AQ34" s="18">
        <f t="shared" si="5"/>
        <v>0.21199999999999999</v>
      </c>
      <c r="AR34" s="24">
        <f t="shared" si="22"/>
        <v>0.57599999999999996</v>
      </c>
      <c r="AT34" s="20">
        <f t="shared" si="6"/>
        <v>45686</v>
      </c>
      <c r="AU34" s="21">
        <f t="shared" si="7"/>
        <v>29</v>
      </c>
      <c r="AV34" s="1">
        <f t="shared" si="8"/>
        <v>-4.8</v>
      </c>
      <c r="AW34" s="1">
        <f t="shared" si="9"/>
        <v>3.6</v>
      </c>
      <c r="AX34" s="1">
        <f t="shared" si="10"/>
        <v>-12.6</v>
      </c>
      <c r="AY34" s="1">
        <f t="shared" si="11"/>
        <v>67.2</v>
      </c>
      <c r="AZ34" s="1">
        <f t="shared" si="12"/>
        <v>26.9</v>
      </c>
      <c r="BA34" s="1">
        <f t="shared" si="23"/>
        <v>0.55800000000000027</v>
      </c>
      <c r="BB34" s="5">
        <f t="shared" si="24"/>
        <v>-0.9</v>
      </c>
      <c r="BC34" s="1">
        <f t="shared" si="14"/>
        <v>-6.8</v>
      </c>
      <c r="BD34" s="1">
        <f t="shared" si="15"/>
        <v>-0.3</v>
      </c>
      <c r="BE34" s="1">
        <f t="shared" si="16"/>
        <v>-13.2</v>
      </c>
      <c r="BF34" s="5">
        <f t="shared" si="17"/>
        <v>0.1</v>
      </c>
      <c r="BG34" s="5">
        <f t="shared" si="18"/>
        <v>0.8</v>
      </c>
      <c r="BH34" s="5">
        <f t="shared" si="19"/>
        <v>1.5</v>
      </c>
      <c r="BI34" s="5">
        <f t="shared" si="25"/>
        <v>0.153</v>
      </c>
      <c r="BJ34" s="11">
        <f t="shared" si="26"/>
        <v>0.21199999999999999</v>
      </c>
      <c r="BK34" s="11">
        <f t="shared" si="26"/>
        <v>0.57599999999999996</v>
      </c>
      <c r="BM34" s="1">
        <f t="shared" si="20"/>
        <v>-3.8639999999999999</v>
      </c>
      <c r="BN34" s="1">
        <f t="shared" si="21"/>
        <v>-0.58000000000000007</v>
      </c>
    </row>
    <row r="35" spans="1:66" x14ac:dyDescent="0.2">
      <c r="A35" s="4">
        <f t="shared" si="27"/>
        <v>45687</v>
      </c>
      <c r="B35" s="1">
        <v>30</v>
      </c>
      <c r="C35" s="1">
        <v>5</v>
      </c>
      <c r="D35" s="5">
        <v>12.49</v>
      </c>
      <c r="E35" s="5">
        <v>0.45800000000000002</v>
      </c>
      <c r="F35" s="5">
        <v>-4.7220000000000004</v>
      </c>
      <c r="G35" s="5">
        <v>-3.1930000000000001</v>
      </c>
      <c r="H35" s="5">
        <v>67.8</v>
      </c>
      <c r="I35" s="5">
        <v>-1.829</v>
      </c>
      <c r="J35" s="5">
        <v>-0.82499999999999996</v>
      </c>
      <c r="K35" s="5">
        <v>0.126</v>
      </c>
      <c r="L35" s="5">
        <v>0.83099999999999996</v>
      </c>
      <c r="M35" s="5">
        <v>1.5149999999999999</v>
      </c>
      <c r="N35" s="5">
        <v>2.0550000000000002</v>
      </c>
      <c r="O35" s="5">
        <v>84</v>
      </c>
      <c r="P35" s="5">
        <v>-1.56</v>
      </c>
      <c r="Q35" s="5">
        <v>-0.70099999999999996</v>
      </c>
      <c r="R35" s="5">
        <v>0.21</v>
      </c>
      <c r="S35" s="5">
        <v>0.93100000000000005</v>
      </c>
      <c r="T35" s="5">
        <v>1.5880000000000001</v>
      </c>
      <c r="U35" s="5">
        <v>-5.609</v>
      </c>
      <c r="V35" s="5">
        <v>28.21</v>
      </c>
      <c r="W35" s="5">
        <v>-2.1</v>
      </c>
      <c r="X35" s="5">
        <v>-0.98099999999999998</v>
      </c>
      <c r="Y35" s="5">
        <v>4.8000000000000001E-2</v>
      </c>
      <c r="Z35" s="5">
        <v>0.74299999999999999</v>
      </c>
      <c r="AA35" s="5">
        <v>1.44</v>
      </c>
      <c r="AB35" s="5">
        <v>2.0699999999999998</v>
      </c>
      <c r="AC35" s="5">
        <v>-3.81</v>
      </c>
      <c r="AD35" s="5">
        <v>-0.30199999999999999</v>
      </c>
      <c r="AE35" s="5">
        <v>-6.5129999999999999</v>
      </c>
      <c r="AF35" s="5">
        <v>3.6619999999999999</v>
      </c>
      <c r="AG35" s="5">
        <v>-5.319</v>
      </c>
      <c r="AH35" s="5">
        <v>0.153</v>
      </c>
      <c r="AI35" s="5">
        <v>2.0920000000000001</v>
      </c>
      <c r="AK35" s="1">
        <f t="shared" si="0"/>
        <v>0.53000000000000025</v>
      </c>
      <c r="AL35" s="7">
        <f t="shared" si="1"/>
        <v>-0.8</v>
      </c>
      <c r="AN35" s="1">
        <f t="shared" si="2"/>
        <v>84</v>
      </c>
      <c r="AO35" s="1">
        <f t="shared" si="3"/>
        <v>67.8</v>
      </c>
      <c r="AP35" s="1">
        <f t="shared" si="4"/>
        <v>28.2</v>
      </c>
      <c r="AQ35" s="18">
        <f t="shared" si="5"/>
        <v>0.2</v>
      </c>
      <c r="AR35" s="24">
        <f t="shared" si="22"/>
        <v>0.50900000000000001</v>
      </c>
      <c r="AT35" s="20">
        <f t="shared" si="6"/>
        <v>45687</v>
      </c>
      <c r="AU35" s="21">
        <f t="shared" si="7"/>
        <v>30</v>
      </c>
      <c r="AV35" s="1">
        <f t="shared" si="8"/>
        <v>-3.2</v>
      </c>
      <c r="AW35" s="1">
        <f t="shared" si="9"/>
        <v>2.1</v>
      </c>
      <c r="AX35" s="1">
        <f t="shared" si="10"/>
        <v>-5.6</v>
      </c>
      <c r="AY35" s="1">
        <f t="shared" si="11"/>
        <v>67.8</v>
      </c>
      <c r="AZ35" s="1">
        <f t="shared" si="12"/>
        <v>28.2</v>
      </c>
      <c r="BA35" s="1">
        <f t="shared" si="23"/>
        <v>0.53000000000000025</v>
      </c>
      <c r="BB35" s="5">
        <f t="shared" si="24"/>
        <v>-0.8</v>
      </c>
      <c r="BC35" s="1">
        <f t="shared" si="14"/>
        <v>-3.8</v>
      </c>
      <c r="BD35" s="1">
        <f t="shared" si="15"/>
        <v>-0.3</v>
      </c>
      <c r="BE35" s="1">
        <f t="shared" si="16"/>
        <v>-6.5</v>
      </c>
      <c r="BF35" s="5">
        <f t="shared" si="17"/>
        <v>0.1</v>
      </c>
      <c r="BG35" s="5">
        <f t="shared" si="18"/>
        <v>0.8</v>
      </c>
      <c r="BH35" s="5">
        <f t="shared" si="19"/>
        <v>1.5</v>
      </c>
      <c r="BI35" s="5">
        <f t="shared" si="25"/>
        <v>0.153</v>
      </c>
      <c r="BJ35" s="11">
        <f t="shared" si="26"/>
        <v>0.2</v>
      </c>
      <c r="BK35" s="11">
        <f t="shared" si="26"/>
        <v>0.50900000000000001</v>
      </c>
      <c r="BM35" s="1">
        <f t="shared" si="20"/>
        <v>-2.3570000000000002</v>
      </c>
      <c r="BN35" s="1">
        <f t="shared" si="21"/>
        <v>-0.90399999999999991</v>
      </c>
    </row>
    <row r="36" spans="1:66" x14ac:dyDescent="0.2">
      <c r="A36" s="4">
        <f t="shared" si="27"/>
        <v>45688</v>
      </c>
      <c r="B36" s="1">
        <v>31</v>
      </c>
      <c r="C36" s="1">
        <v>5</v>
      </c>
      <c r="D36" s="5">
        <v>12.49</v>
      </c>
      <c r="E36" s="5">
        <v>-2.5059999999999998</v>
      </c>
      <c r="F36" s="5">
        <v>-5.3730000000000002</v>
      </c>
      <c r="G36" s="5">
        <v>-4.3579999999999997</v>
      </c>
      <c r="H36" s="5">
        <v>94.2</v>
      </c>
      <c r="I36" s="5">
        <v>-1.474</v>
      </c>
      <c r="J36" s="5">
        <v>-0.64500000000000002</v>
      </c>
      <c r="K36" s="5">
        <v>0.14099999999999999</v>
      </c>
      <c r="L36" s="5">
        <v>0.82499999999999996</v>
      </c>
      <c r="M36" s="5">
        <v>1.5029999999999999</v>
      </c>
      <c r="N36" s="5">
        <v>-2.214</v>
      </c>
      <c r="O36" s="5">
        <v>99.8</v>
      </c>
      <c r="P36" s="5">
        <v>-1.3260000000000001</v>
      </c>
      <c r="Q36" s="5">
        <v>-0.53200000000000003</v>
      </c>
      <c r="R36" s="5">
        <v>0.219</v>
      </c>
      <c r="S36" s="5">
        <v>0.89800000000000002</v>
      </c>
      <c r="T36" s="5">
        <v>1.5720000000000001</v>
      </c>
      <c r="U36" s="5">
        <v>-6.1779999999999999</v>
      </c>
      <c r="V36" s="5">
        <v>77.510000000000005</v>
      </c>
      <c r="W36" s="5">
        <v>-1.6479999999999999</v>
      </c>
      <c r="X36" s="5">
        <v>-0.78500000000000003</v>
      </c>
      <c r="Y36" s="5">
        <v>6.5000000000000002E-2</v>
      </c>
      <c r="Z36" s="5">
        <v>0.754</v>
      </c>
      <c r="AA36" s="5">
        <v>1.4279999999999999</v>
      </c>
      <c r="AB36" s="5">
        <v>2.0150000000000001</v>
      </c>
      <c r="AC36" s="5">
        <v>-4.319</v>
      </c>
      <c r="AD36" s="5">
        <v>-2.4969999999999999</v>
      </c>
      <c r="AE36" s="5">
        <v>-7.2370000000000001</v>
      </c>
      <c r="AF36" s="5">
        <v>-1.6679999999999999</v>
      </c>
      <c r="AG36" s="5">
        <v>-5.8529999999999998</v>
      </c>
      <c r="AH36" s="5">
        <v>0.152</v>
      </c>
      <c r="AI36" s="5">
        <v>2.028</v>
      </c>
      <c r="AK36" s="1">
        <f t="shared" si="0"/>
        <v>0.58499999999999996</v>
      </c>
      <c r="AL36" s="7">
        <f t="shared" si="1"/>
        <v>-0.7</v>
      </c>
      <c r="AN36" s="1">
        <f t="shared" si="2"/>
        <v>99.8</v>
      </c>
      <c r="AO36" s="1">
        <f t="shared" si="3"/>
        <v>94.2</v>
      </c>
      <c r="AP36" s="1">
        <f t="shared" si="4"/>
        <v>77.5</v>
      </c>
      <c r="AQ36" s="18">
        <f t="shared" si="5"/>
        <v>0.40200000000000002</v>
      </c>
      <c r="AR36" s="24">
        <f t="shared" si="22"/>
        <v>0.11700000000000001</v>
      </c>
      <c r="AT36" s="20">
        <f t="shared" si="6"/>
        <v>45688</v>
      </c>
      <c r="AU36" s="21">
        <f t="shared" si="7"/>
        <v>31</v>
      </c>
      <c r="AV36" s="1">
        <f t="shared" si="8"/>
        <v>-4.4000000000000004</v>
      </c>
      <c r="AW36" s="1">
        <f t="shared" si="9"/>
        <v>-2.2000000000000002</v>
      </c>
      <c r="AX36" s="1">
        <f t="shared" si="10"/>
        <v>-6.2</v>
      </c>
      <c r="AY36" s="1">
        <f t="shared" si="11"/>
        <v>94.2</v>
      </c>
      <c r="AZ36" s="1">
        <f t="shared" si="12"/>
        <v>77.5</v>
      </c>
      <c r="BA36" s="1">
        <f t="shared" si="23"/>
        <v>0.58499999999999996</v>
      </c>
      <c r="BB36" s="5">
        <f t="shared" si="24"/>
        <v>-0.7</v>
      </c>
      <c r="BC36" s="1">
        <f t="shared" si="14"/>
        <v>-4.3</v>
      </c>
      <c r="BD36" s="1">
        <f t="shared" si="15"/>
        <v>-2.5</v>
      </c>
      <c r="BE36" s="1">
        <f t="shared" si="16"/>
        <v>-7.2</v>
      </c>
      <c r="BF36" s="5">
        <f t="shared" si="17"/>
        <v>0.1</v>
      </c>
      <c r="BG36" s="5">
        <f t="shared" si="18"/>
        <v>0.8</v>
      </c>
      <c r="BH36" s="5">
        <f t="shared" si="19"/>
        <v>1.5</v>
      </c>
      <c r="BI36" s="5">
        <f t="shared" si="25"/>
        <v>0.152</v>
      </c>
      <c r="BJ36" s="11">
        <f t="shared" si="26"/>
        <v>0.40200000000000002</v>
      </c>
      <c r="BK36" s="11">
        <f t="shared" si="26"/>
        <v>0.11700000000000001</v>
      </c>
      <c r="BM36" s="1">
        <f t="shared" si="20"/>
        <v>-0.28299999999999992</v>
      </c>
      <c r="BN36" s="1">
        <f t="shared" si="21"/>
        <v>-1.0590000000000002</v>
      </c>
    </row>
    <row r="37" spans="1:66" x14ac:dyDescent="0.2">
      <c r="A37" s="4">
        <f t="shared" si="27"/>
        <v>45689</v>
      </c>
      <c r="B37" s="1">
        <v>32</v>
      </c>
      <c r="C37" s="1">
        <v>5</v>
      </c>
      <c r="D37" s="5">
        <v>12.5</v>
      </c>
      <c r="E37" s="5">
        <v>-2.9119999999999999</v>
      </c>
      <c r="F37" s="5">
        <v>-9.69</v>
      </c>
      <c r="G37" s="5">
        <v>-8.35</v>
      </c>
      <c r="H37" s="5">
        <v>79.61</v>
      </c>
      <c r="I37" s="5">
        <v>-1.294</v>
      </c>
      <c r="J37" s="5">
        <v>-0.54400000000000004</v>
      </c>
      <c r="K37" s="5">
        <v>0.14299999999999999</v>
      </c>
      <c r="L37" s="5">
        <v>0.81100000000000005</v>
      </c>
      <c r="M37" s="5">
        <v>1.472</v>
      </c>
      <c r="N37" s="5">
        <v>-3.4609999999999999</v>
      </c>
      <c r="O37" s="5">
        <v>99.8</v>
      </c>
      <c r="P37" s="5">
        <v>-1.173</v>
      </c>
      <c r="Q37" s="5">
        <v>-0.46200000000000002</v>
      </c>
      <c r="R37" s="5">
        <v>0.22600000000000001</v>
      </c>
      <c r="S37" s="5">
        <v>0.88700000000000001</v>
      </c>
      <c r="T37" s="5">
        <v>1.5580000000000001</v>
      </c>
      <c r="U37" s="5">
        <v>-12.44</v>
      </c>
      <c r="V37" s="5">
        <v>58.99</v>
      </c>
      <c r="W37" s="5">
        <v>-1.4379999999999999</v>
      </c>
      <c r="X37" s="5">
        <v>-0.65</v>
      </c>
      <c r="Y37" s="5">
        <v>6.6000000000000003E-2</v>
      </c>
      <c r="Z37" s="5">
        <v>0.73299999999999998</v>
      </c>
      <c r="AA37" s="5">
        <v>1.3979999999999999</v>
      </c>
      <c r="AB37" s="5">
        <v>1.992</v>
      </c>
      <c r="AC37" s="5">
        <v>-9.1199999999999992</v>
      </c>
      <c r="AD37" s="5">
        <v>-3.8370000000000002</v>
      </c>
      <c r="AE37" s="5">
        <v>-12.91</v>
      </c>
      <c r="AF37" s="5">
        <v>-3.335</v>
      </c>
      <c r="AG37" s="5">
        <v>-12.11</v>
      </c>
      <c r="AH37" s="5">
        <v>0.151</v>
      </c>
      <c r="AI37" s="5">
        <v>2.0390000000000001</v>
      </c>
      <c r="AK37" s="1">
        <f t="shared" si="0"/>
        <v>0.6080000000000001</v>
      </c>
      <c r="AL37" s="7">
        <f t="shared" si="1"/>
        <v>-0.6</v>
      </c>
      <c r="AN37" s="1">
        <f t="shared" si="2"/>
        <v>99.8</v>
      </c>
      <c r="AO37" s="1">
        <f t="shared" si="3"/>
        <v>79.599999999999994</v>
      </c>
      <c r="AP37" s="1">
        <f t="shared" si="4"/>
        <v>59</v>
      </c>
      <c r="AQ37" s="18">
        <f t="shared" si="5"/>
        <v>0.27900000000000003</v>
      </c>
      <c r="AR37" s="24">
        <f t="shared" si="22"/>
        <v>0.19400000000000001</v>
      </c>
      <c r="AT37" s="20">
        <f t="shared" si="6"/>
        <v>45689</v>
      </c>
      <c r="AU37" s="21">
        <f t="shared" si="7"/>
        <v>32</v>
      </c>
      <c r="AV37" s="1">
        <f t="shared" si="8"/>
        <v>-8.4</v>
      </c>
      <c r="AW37" s="1">
        <f t="shared" si="9"/>
        <v>-3.5</v>
      </c>
      <c r="AX37" s="1">
        <f t="shared" si="10"/>
        <v>-12.4</v>
      </c>
      <c r="AY37" s="1">
        <f t="shared" si="11"/>
        <v>79.599999999999994</v>
      </c>
      <c r="AZ37" s="1">
        <f t="shared" si="12"/>
        <v>59</v>
      </c>
      <c r="BA37" s="1">
        <f t="shared" si="23"/>
        <v>0.6080000000000001</v>
      </c>
      <c r="BB37" s="5">
        <f t="shared" si="24"/>
        <v>-0.6</v>
      </c>
      <c r="BC37" s="1">
        <f t="shared" si="14"/>
        <v>-9.1</v>
      </c>
      <c r="BD37" s="1">
        <f t="shared" si="15"/>
        <v>-3.8</v>
      </c>
      <c r="BE37" s="1">
        <f t="shared" si="16"/>
        <v>-12.9</v>
      </c>
      <c r="BF37" s="5">
        <f t="shared" si="17"/>
        <v>0.1</v>
      </c>
      <c r="BG37" s="5">
        <f t="shared" si="18"/>
        <v>0.8</v>
      </c>
      <c r="BH37" s="5">
        <f t="shared" si="19"/>
        <v>1.5</v>
      </c>
      <c r="BI37" s="5">
        <f t="shared" si="25"/>
        <v>0.151</v>
      </c>
      <c r="BJ37" s="11">
        <f t="shared" si="26"/>
        <v>0.27900000000000003</v>
      </c>
      <c r="BK37" s="11">
        <f t="shared" si="26"/>
        <v>0.19400000000000001</v>
      </c>
      <c r="BM37" s="1">
        <f t="shared" si="20"/>
        <v>-0.37600000000000033</v>
      </c>
      <c r="BN37" s="1">
        <f t="shared" si="21"/>
        <v>-0.47000000000000064</v>
      </c>
    </row>
    <row r="38" spans="1:66" x14ac:dyDescent="0.2">
      <c r="A38" s="4">
        <f t="shared" si="27"/>
        <v>45690</v>
      </c>
      <c r="B38" s="1">
        <v>33</v>
      </c>
      <c r="C38" s="1">
        <v>5</v>
      </c>
      <c r="D38" s="5">
        <v>12.5</v>
      </c>
      <c r="E38" s="5">
        <v>-8.19</v>
      </c>
      <c r="F38" s="5">
        <v>-15.07</v>
      </c>
      <c r="G38" s="5">
        <v>-12.2</v>
      </c>
      <c r="H38" s="5">
        <v>84.6</v>
      </c>
      <c r="I38" s="5">
        <v>-1.454</v>
      </c>
      <c r="J38" s="5">
        <v>-0.58199999999999996</v>
      </c>
      <c r="K38" s="5">
        <v>0.14099999999999999</v>
      </c>
      <c r="L38" s="5">
        <v>0.78900000000000003</v>
      </c>
      <c r="M38" s="5">
        <v>1.4390000000000001</v>
      </c>
      <c r="N38" s="5">
        <v>-7.9660000000000002</v>
      </c>
      <c r="O38" s="5">
        <v>90.9</v>
      </c>
      <c r="P38" s="5">
        <v>-1.2909999999999999</v>
      </c>
      <c r="Q38" s="5">
        <v>-0.48199999999999998</v>
      </c>
      <c r="R38" s="5">
        <v>0.221</v>
      </c>
      <c r="S38" s="5">
        <v>0.86799999999999999</v>
      </c>
      <c r="T38" s="5">
        <v>1.5209999999999999</v>
      </c>
      <c r="U38" s="5">
        <v>-17.88</v>
      </c>
      <c r="V38" s="5">
        <v>68.88</v>
      </c>
      <c r="W38" s="5">
        <v>-1.6559999999999999</v>
      </c>
      <c r="X38" s="5">
        <v>-0.7</v>
      </c>
      <c r="Y38" s="5">
        <v>0.06</v>
      </c>
      <c r="Z38" s="5">
        <v>0.70799999999999996</v>
      </c>
      <c r="AA38" s="5">
        <v>1.3540000000000001</v>
      </c>
      <c r="AB38" s="5">
        <v>1.988</v>
      </c>
      <c r="AC38" s="5">
        <v>-12.5</v>
      </c>
      <c r="AD38" s="5">
        <v>-8.19</v>
      </c>
      <c r="AE38" s="5">
        <v>-18.18</v>
      </c>
      <c r="AF38" s="5">
        <v>-6.8330000000000002</v>
      </c>
      <c r="AG38" s="5">
        <v>-17.420000000000002</v>
      </c>
      <c r="AH38" s="5">
        <v>0.151</v>
      </c>
      <c r="AI38" s="5">
        <v>2.0310000000000001</v>
      </c>
      <c r="AK38" s="1">
        <f t="shared" si="0"/>
        <v>0.6120000000000001</v>
      </c>
      <c r="AL38" s="7">
        <f t="shared" si="1"/>
        <v>-0.6</v>
      </c>
      <c r="AN38" s="1">
        <f t="shared" si="2"/>
        <v>90.9</v>
      </c>
      <c r="AO38" s="1">
        <f t="shared" si="3"/>
        <v>84.6</v>
      </c>
      <c r="AP38" s="1">
        <f t="shared" si="4"/>
        <v>68.900000000000006</v>
      </c>
      <c r="AQ38" s="18">
        <f t="shared" si="5"/>
        <v>0.23100000000000001</v>
      </c>
      <c r="AR38" s="24">
        <f t="shared" si="22"/>
        <v>0.104</v>
      </c>
      <c r="AT38" s="20">
        <f t="shared" si="6"/>
        <v>45690</v>
      </c>
      <c r="AU38" s="21">
        <f t="shared" si="7"/>
        <v>33</v>
      </c>
      <c r="AV38" s="1">
        <f t="shared" si="8"/>
        <v>-12.2</v>
      </c>
      <c r="AW38" s="1">
        <f t="shared" si="9"/>
        <v>-8</v>
      </c>
      <c r="AX38" s="1">
        <f t="shared" si="10"/>
        <v>-17.899999999999999</v>
      </c>
      <c r="AY38" s="1">
        <f t="shared" si="11"/>
        <v>84.6</v>
      </c>
      <c r="AZ38" s="1">
        <f t="shared" si="12"/>
        <v>68.900000000000006</v>
      </c>
      <c r="BA38" s="1">
        <f t="shared" si="23"/>
        <v>0.6120000000000001</v>
      </c>
      <c r="BB38" s="5">
        <f t="shared" si="24"/>
        <v>-0.6</v>
      </c>
      <c r="BC38" s="1">
        <f t="shared" si="14"/>
        <v>-12.5</v>
      </c>
      <c r="BD38" s="1">
        <f t="shared" si="15"/>
        <v>-8.1999999999999993</v>
      </c>
      <c r="BE38" s="1">
        <f t="shared" si="16"/>
        <v>-18.2</v>
      </c>
      <c r="BF38" s="5">
        <f t="shared" si="17"/>
        <v>0.1</v>
      </c>
      <c r="BG38" s="5">
        <f t="shared" si="18"/>
        <v>0.8</v>
      </c>
      <c r="BH38" s="5">
        <f t="shared" si="19"/>
        <v>1.4</v>
      </c>
      <c r="BI38" s="5">
        <f t="shared" si="25"/>
        <v>0.151</v>
      </c>
      <c r="BJ38" s="11">
        <f t="shared" si="26"/>
        <v>0.23100000000000001</v>
      </c>
      <c r="BK38" s="11">
        <f t="shared" si="26"/>
        <v>0.104</v>
      </c>
      <c r="BM38" s="1">
        <f t="shared" si="20"/>
        <v>-0.22399999999999931</v>
      </c>
      <c r="BN38" s="1">
        <f t="shared" si="21"/>
        <v>-0.30000000000000071</v>
      </c>
    </row>
    <row r="39" spans="1:66" x14ac:dyDescent="0.2">
      <c r="A39" s="4">
        <f t="shared" si="27"/>
        <v>45691</v>
      </c>
      <c r="B39" s="1">
        <v>34</v>
      </c>
      <c r="C39" s="1">
        <v>5</v>
      </c>
      <c r="D39" s="5">
        <v>12.49</v>
      </c>
      <c r="E39" s="5">
        <v>-8.76</v>
      </c>
      <c r="F39" s="5">
        <v>-15.04</v>
      </c>
      <c r="G39" s="5">
        <v>-12.49</v>
      </c>
      <c r="H39" s="5">
        <v>85.6</v>
      </c>
      <c r="I39" s="5">
        <v>-1.6679999999999999</v>
      </c>
      <c r="J39" s="5">
        <v>-0.67700000000000005</v>
      </c>
      <c r="K39" s="5">
        <v>0.14799999999999999</v>
      </c>
      <c r="L39" s="5">
        <v>0.79400000000000004</v>
      </c>
      <c r="M39" s="5">
        <v>1.4370000000000001</v>
      </c>
      <c r="N39" s="5">
        <v>-9.61</v>
      </c>
      <c r="O39" s="5">
        <v>90.1</v>
      </c>
      <c r="P39" s="5">
        <v>-1.5549999999999999</v>
      </c>
      <c r="Q39" s="5">
        <v>-0.59899999999999998</v>
      </c>
      <c r="R39" s="5">
        <v>0.24099999999999999</v>
      </c>
      <c r="S39" s="5">
        <v>0.878</v>
      </c>
      <c r="T39" s="5">
        <v>1.5229999999999999</v>
      </c>
      <c r="U39" s="5">
        <v>-17.97</v>
      </c>
      <c r="V39" s="5">
        <v>78.13</v>
      </c>
      <c r="W39" s="5">
        <v>-1.7649999999999999</v>
      </c>
      <c r="X39" s="5">
        <v>-0.76700000000000002</v>
      </c>
      <c r="Y39" s="5">
        <v>6.8000000000000005E-2</v>
      </c>
      <c r="Z39" s="5">
        <v>0.71399999999999997</v>
      </c>
      <c r="AA39" s="5">
        <v>1.349</v>
      </c>
      <c r="AB39" s="5">
        <v>1.99</v>
      </c>
      <c r="AC39" s="5">
        <v>-12.09</v>
      </c>
      <c r="AD39" s="5">
        <v>-9.34</v>
      </c>
      <c r="AE39" s="5">
        <v>-17.14</v>
      </c>
      <c r="AF39" s="5">
        <v>-8.89</v>
      </c>
      <c r="AG39" s="5">
        <v>-17.559999999999999</v>
      </c>
      <c r="AH39" s="5">
        <v>0.151</v>
      </c>
      <c r="AI39" s="5">
        <v>2.0590000000000002</v>
      </c>
      <c r="AK39" s="1">
        <f t="shared" si="0"/>
        <v>0.6100000000000001</v>
      </c>
      <c r="AL39" s="7">
        <f t="shared" si="1"/>
        <v>-0.7</v>
      </c>
      <c r="AN39" s="1">
        <f t="shared" si="2"/>
        <v>90.1</v>
      </c>
      <c r="AO39" s="1">
        <f t="shared" si="3"/>
        <v>85.6</v>
      </c>
      <c r="AP39" s="1">
        <f t="shared" si="4"/>
        <v>78.099999999999994</v>
      </c>
      <c r="AQ39" s="18">
        <f t="shared" si="5"/>
        <v>0.23</v>
      </c>
      <c r="AR39" s="24">
        <f t="shared" si="22"/>
        <v>6.4000000000000001E-2</v>
      </c>
      <c r="AT39" s="20">
        <f t="shared" si="6"/>
        <v>45691</v>
      </c>
      <c r="AU39" s="21">
        <f t="shared" si="7"/>
        <v>34</v>
      </c>
      <c r="AV39" s="1">
        <f t="shared" si="8"/>
        <v>-12.5</v>
      </c>
      <c r="AW39" s="1">
        <f t="shared" si="9"/>
        <v>-9.6</v>
      </c>
      <c r="AX39" s="1">
        <f t="shared" si="10"/>
        <v>-18</v>
      </c>
      <c r="AY39" s="1">
        <f t="shared" si="11"/>
        <v>85.6</v>
      </c>
      <c r="AZ39" s="1">
        <f t="shared" si="12"/>
        <v>78.099999999999994</v>
      </c>
      <c r="BA39" s="1">
        <f t="shared" si="23"/>
        <v>0.6100000000000001</v>
      </c>
      <c r="BB39" s="5">
        <f t="shared" si="24"/>
        <v>-0.7</v>
      </c>
      <c r="BC39" s="1">
        <f t="shared" si="14"/>
        <v>-12.1</v>
      </c>
      <c r="BD39" s="1">
        <f t="shared" si="15"/>
        <v>-9.3000000000000007</v>
      </c>
      <c r="BE39" s="1">
        <f t="shared" si="16"/>
        <v>-17.100000000000001</v>
      </c>
      <c r="BF39" s="5">
        <f t="shared" si="17"/>
        <v>0.1</v>
      </c>
      <c r="BG39" s="5">
        <f t="shared" si="18"/>
        <v>0.8</v>
      </c>
      <c r="BH39" s="5">
        <f t="shared" si="19"/>
        <v>1.4</v>
      </c>
      <c r="BI39" s="5">
        <f t="shared" si="25"/>
        <v>0.151</v>
      </c>
      <c r="BJ39" s="11">
        <f t="shared" si="26"/>
        <v>0.23</v>
      </c>
      <c r="BK39" s="11">
        <f t="shared" si="26"/>
        <v>6.4000000000000001E-2</v>
      </c>
      <c r="BM39" s="1">
        <f t="shared" si="20"/>
        <v>0.26999999999999957</v>
      </c>
      <c r="BN39" s="1">
        <f t="shared" si="21"/>
        <v>0.82999999999999829</v>
      </c>
    </row>
    <row r="40" spans="1:66" x14ac:dyDescent="0.2">
      <c r="A40" s="4">
        <f t="shared" si="27"/>
        <v>45692</v>
      </c>
      <c r="B40" s="1">
        <v>35</v>
      </c>
      <c r="C40" s="1">
        <v>5</v>
      </c>
      <c r="D40" s="5">
        <v>12.57</v>
      </c>
      <c r="E40" s="5">
        <v>-14.32</v>
      </c>
      <c r="F40" s="5">
        <v>-20.309999999999999</v>
      </c>
      <c r="G40" s="5">
        <v>-18.61</v>
      </c>
      <c r="H40" s="5">
        <v>81</v>
      </c>
      <c r="I40" s="5">
        <v>-1.714</v>
      </c>
      <c r="J40" s="5">
        <v>-0.72299999999999998</v>
      </c>
      <c r="K40" s="5">
        <v>0.10199999999999999</v>
      </c>
      <c r="L40" s="5">
        <v>0.745</v>
      </c>
      <c r="M40" s="5">
        <v>1.3859999999999999</v>
      </c>
      <c r="N40" s="5">
        <v>-14.26</v>
      </c>
      <c r="O40" s="5">
        <v>87.2</v>
      </c>
      <c r="P40" s="5">
        <v>-1.6080000000000001</v>
      </c>
      <c r="Q40" s="5">
        <v>-0.63400000000000001</v>
      </c>
      <c r="R40" s="5">
        <v>0.21199999999999999</v>
      </c>
      <c r="S40" s="5">
        <v>0.84</v>
      </c>
      <c r="T40" s="5">
        <v>1.4850000000000001</v>
      </c>
      <c r="U40" s="5">
        <v>-21.88</v>
      </c>
      <c r="V40" s="5">
        <v>75.7</v>
      </c>
      <c r="W40" s="5">
        <v>-1.9079999999999999</v>
      </c>
      <c r="X40" s="5">
        <v>-0.871</v>
      </c>
      <c r="Y40" s="5">
        <v>-4.5999999999999999E-2</v>
      </c>
      <c r="Z40" s="5">
        <v>0.60499999999999998</v>
      </c>
      <c r="AA40" s="5">
        <v>1.25</v>
      </c>
      <c r="AB40" s="5">
        <v>2.004</v>
      </c>
      <c r="AC40" s="5">
        <v>-18.16</v>
      </c>
      <c r="AD40" s="5">
        <v>-13.5</v>
      </c>
      <c r="AE40" s="5">
        <v>-21.65</v>
      </c>
      <c r="AF40" s="5">
        <v>-13.48</v>
      </c>
      <c r="AG40" s="5">
        <v>-21.49</v>
      </c>
      <c r="AH40" s="5">
        <v>0.15</v>
      </c>
      <c r="AI40" s="5">
        <v>2.0870000000000002</v>
      </c>
      <c r="AK40" s="1">
        <f t="shared" si="0"/>
        <v>0.59600000000000009</v>
      </c>
      <c r="AL40" s="7">
        <f t="shared" si="1"/>
        <v>-0.8</v>
      </c>
      <c r="AN40" s="1">
        <f t="shared" si="2"/>
        <v>87.2</v>
      </c>
      <c r="AO40" s="1">
        <f t="shared" si="3"/>
        <v>81</v>
      </c>
      <c r="AP40" s="1">
        <f t="shared" si="4"/>
        <v>75.7</v>
      </c>
      <c r="AQ40" s="18">
        <f t="shared" si="5"/>
        <v>0.153</v>
      </c>
      <c r="AR40" s="24">
        <f t="shared" si="22"/>
        <v>4.9000000000000002E-2</v>
      </c>
      <c r="AT40" s="20">
        <f t="shared" si="6"/>
        <v>45692</v>
      </c>
      <c r="AU40" s="21">
        <f t="shared" si="7"/>
        <v>35</v>
      </c>
      <c r="AV40" s="1">
        <f t="shared" si="8"/>
        <v>-18.600000000000001</v>
      </c>
      <c r="AW40" s="1">
        <f t="shared" si="9"/>
        <v>-14.3</v>
      </c>
      <c r="AX40" s="1">
        <f t="shared" si="10"/>
        <v>-21.9</v>
      </c>
      <c r="AY40" s="1">
        <f t="shared" si="11"/>
        <v>81</v>
      </c>
      <c r="AZ40" s="1">
        <f t="shared" si="12"/>
        <v>75.7</v>
      </c>
      <c r="BA40" s="1">
        <f t="shared" si="23"/>
        <v>0.59600000000000009</v>
      </c>
      <c r="BB40" s="5">
        <f t="shared" ref="BB40" si="28">AL40</f>
        <v>-0.8</v>
      </c>
      <c r="BC40" s="1">
        <f t="shared" si="14"/>
        <v>-18.2</v>
      </c>
      <c r="BD40" s="1">
        <f t="shared" si="15"/>
        <v>-13.5</v>
      </c>
      <c r="BE40" s="1">
        <f t="shared" si="16"/>
        <v>-21.7</v>
      </c>
      <c r="BF40" s="5">
        <f t="shared" si="17"/>
        <v>0.1</v>
      </c>
      <c r="BG40" s="5">
        <f t="shared" si="18"/>
        <v>0.7</v>
      </c>
      <c r="BH40" s="5">
        <f t="shared" si="19"/>
        <v>1.4</v>
      </c>
      <c r="BI40" s="5">
        <f t="shared" si="25"/>
        <v>0.15</v>
      </c>
      <c r="BJ40" s="11">
        <f t="shared" si="26"/>
        <v>0.153</v>
      </c>
      <c r="BK40" s="11">
        <f t="shared" si="26"/>
        <v>4.9000000000000002E-2</v>
      </c>
      <c r="BM40" s="1">
        <f t="shared" si="20"/>
        <v>0.75999999999999979</v>
      </c>
      <c r="BN40" s="1">
        <f t="shared" si="21"/>
        <v>0.23000000000000043</v>
      </c>
    </row>
    <row r="41" spans="1:66" x14ac:dyDescent="0.2">
      <c r="A41" s="4">
        <f t="shared" si="27"/>
        <v>45693</v>
      </c>
      <c r="B41" s="1">
        <v>36</v>
      </c>
      <c r="D41" s="5">
        <v>12.56</v>
      </c>
      <c r="E41" s="5">
        <v>-13.54</v>
      </c>
      <c r="F41" s="5">
        <v>-22.8</v>
      </c>
      <c r="G41" s="5">
        <v>-18.82</v>
      </c>
      <c r="H41" s="5">
        <v>80.400000000000006</v>
      </c>
      <c r="I41" s="5">
        <v>-2.0579999999999998</v>
      </c>
      <c r="J41" s="5">
        <v>-0.871</v>
      </c>
      <c r="K41" s="5">
        <v>4.7E-2</v>
      </c>
      <c r="L41" s="5">
        <v>0.70299999999999996</v>
      </c>
      <c r="M41" s="5">
        <v>1.3480000000000001</v>
      </c>
      <c r="N41" s="5">
        <v>-13.39</v>
      </c>
      <c r="O41" s="5">
        <v>86.6</v>
      </c>
      <c r="P41" s="5">
        <v>-1.8080000000000001</v>
      </c>
      <c r="Q41" s="5">
        <v>-0.77200000000000002</v>
      </c>
      <c r="R41" s="5">
        <v>0.17399999999999999</v>
      </c>
      <c r="S41" s="5">
        <v>0.86399999999999999</v>
      </c>
      <c r="T41" s="5">
        <v>1.492</v>
      </c>
      <c r="U41" s="5">
        <v>-24.83</v>
      </c>
      <c r="V41" s="5">
        <v>69.72</v>
      </c>
      <c r="W41" s="5">
        <v>-2.34</v>
      </c>
      <c r="X41" s="5">
        <v>-0.997</v>
      </c>
      <c r="Y41" s="5">
        <v>-6.2E-2</v>
      </c>
      <c r="Z41" s="5">
        <v>0.58199999999999996</v>
      </c>
      <c r="AA41" s="5">
        <v>1.21</v>
      </c>
      <c r="AB41" s="5">
        <v>2.0190000000000001</v>
      </c>
      <c r="AC41" s="5">
        <v>-18.47</v>
      </c>
      <c r="AD41" s="5">
        <v>-13.12</v>
      </c>
      <c r="AE41" s="5">
        <v>-24.32</v>
      </c>
      <c r="AF41" s="5">
        <v>-12.16</v>
      </c>
      <c r="AG41" s="5">
        <v>-24.41</v>
      </c>
      <c r="AH41" s="5">
        <v>0.15</v>
      </c>
      <c r="AI41" s="5">
        <v>2.0830000000000002</v>
      </c>
      <c r="AK41" s="1">
        <f t="shared" si="0"/>
        <v>0.58099999999999996</v>
      </c>
      <c r="AL41" s="7">
        <f t="shared" si="1"/>
        <v>-1</v>
      </c>
      <c r="AN41" s="1">
        <f t="shared" si="2"/>
        <v>86.6</v>
      </c>
      <c r="AO41" s="1">
        <f t="shared" si="3"/>
        <v>80.400000000000006</v>
      </c>
      <c r="AP41" s="1">
        <f t="shared" si="4"/>
        <v>69.7</v>
      </c>
      <c r="AQ41" s="18">
        <f t="shared" si="5"/>
        <v>0.151</v>
      </c>
      <c r="AR41" s="24">
        <f t="shared" si="22"/>
        <v>6.6000000000000003E-2</v>
      </c>
      <c r="AT41" s="20">
        <f t="shared" si="6"/>
        <v>45693</v>
      </c>
      <c r="AU41" s="21">
        <f t="shared" si="7"/>
        <v>36</v>
      </c>
      <c r="AV41" s="1">
        <f t="shared" si="8"/>
        <v>-18.8</v>
      </c>
      <c r="AW41" s="1">
        <f t="shared" si="9"/>
        <v>-13.4</v>
      </c>
      <c r="AX41" s="1">
        <f t="shared" si="10"/>
        <v>-24.8</v>
      </c>
      <c r="AY41" s="1">
        <f t="shared" si="11"/>
        <v>80.400000000000006</v>
      </c>
      <c r="AZ41" s="1">
        <f t="shared" si="12"/>
        <v>69.7</v>
      </c>
      <c r="BA41" s="1">
        <f t="shared" si="23"/>
        <v>0.58099999999999996</v>
      </c>
      <c r="BB41" s="5">
        <f t="shared" si="24"/>
        <v>-1</v>
      </c>
      <c r="BC41" s="1">
        <f t="shared" si="14"/>
        <v>-18.5</v>
      </c>
      <c r="BD41" s="1">
        <f t="shared" si="15"/>
        <v>-13.1</v>
      </c>
      <c r="BE41" s="1">
        <f t="shared" si="16"/>
        <v>-24.3</v>
      </c>
      <c r="BF41" s="5">
        <f t="shared" si="17"/>
        <v>0</v>
      </c>
      <c r="BG41" s="5">
        <f t="shared" si="18"/>
        <v>0.7</v>
      </c>
      <c r="BH41" s="5">
        <f t="shared" si="19"/>
        <v>1.3</v>
      </c>
      <c r="BI41" s="5">
        <f t="shared" si="25"/>
        <v>0.15</v>
      </c>
      <c r="BJ41" s="11">
        <f t="shared" si="26"/>
        <v>0.151</v>
      </c>
      <c r="BK41" s="11">
        <f t="shared" si="26"/>
        <v>6.6000000000000003E-2</v>
      </c>
      <c r="BM41" s="1">
        <f t="shared" si="20"/>
        <v>0.27000000000000135</v>
      </c>
      <c r="BN41" s="1">
        <f t="shared" si="21"/>
        <v>0.50999999999999801</v>
      </c>
    </row>
    <row r="42" spans="1:66" x14ac:dyDescent="0.2">
      <c r="A42" s="4">
        <f t="shared" si="27"/>
        <v>45694</v>
      </c>
      <c r="B42" s="1">
        <v>37</v>
      </c>
      <c r="C42" s="1">
        <v>5</v>
      </c>
      <c r="D42" s="5">
        <v>12.56</v>
      </c>
      <c r="E42" s="5">
        <v>-9.8699999999999992</v>
      </c>
      <c r="F42" s="5">
        <v>-16.309999999999999</v>
      </c>
      <c r="G42" s="5">
        <v>-14.58</v>
      </c>
      <c r="H42" s="5">
        <v>83.5</v>
      </c>
      <c r="I42" s="5">
        <v>-2.4580000000000002</v>
      </c>
      <c r="J42" s="5">
        <v>-1.0529999999999999</v>
      </c>
      <c r="K42" s="5">
        <v>5.5E-2</v>
      </c>
      <c r="L42" s="5">
        <v>0.747</v>
      </c>
      <c r="M42" s="5">
        <v>1.401</v>
      </c>
      <c r="N42" s="5">
        <v>-10.6</v>
      </c>
      <c r="O42" s="5">
        <v>87.3</v>
      </c>
      <c r="P42" s="5">
        <v>-2.2650000000000001</v>
      </c>
      <c r="Q42" s="5">
        <v>-0.89900000000000002</v>
      </c>
      <c r="R42" s="5">
        <v>0.13800000000000001</v>
      </c>
      <c r="S42" s="5">
        <v>0.84</v>
      </c>
      <c r="T42" s="5">
        <v>1.484</v>
      </c>
      <c r="U42" s="5">
        <v>-19.21</v>
      </c>
      <c r="V42" s="5">
        <v>76</v>
      </c>
      <c r="W42" s="5">
        <v>-2.633</v>
      </c>
      <c r="X42" s="5">
        <v>-1.1859999999999999</v>
      </c>
      <c r="Y42" s="5">
        <v>-5.3999999999999999E-2</v>
      </c>
      <c r="Z42" s="5">
        <v>0.66800000000000004</v>
      </c>
      <c r="AA42" s="5">
        <v>1.3169999999999999</v>
      </c>
      <c r="AB42" s="5">
        <v>2.0649999999999999</v>
      </c>
      <c r="AC42" s="5">
        <v>-14.49</v>
      </c>
      <c r="AD42" s="5">
        <v>-10.26</v>
      </c>
      <c r="AE42" s="5">
        <v>-19.489999999999998</v>
      </c>
      <c r="AF42" s="5">
        <v>-9.4499999999999993</v>
      </c>
      <c r="AG42" s="5">
        <v>-18.78</v>
      </c>
      <c r="AH42" s="5">
        <v>0.15</v>
      </c>
      <c r="AI42" s="5">
        <v>2.1419999999999999</v>
      </c>
      <c r="AK42" s="1">
        <f t="shared" si="0"/>
        <v>0.53500000000000014</v>
      </c>
      <c r="AL42" s="7">
        <f t="shared" si="1"/>
        <v>-1.2</v>
      </c>
      <c r="AN42" s="1">
        <f t="shared" si="2"/>
        <v>87.3</v>
      </c>
      <c r="AO42" s="1">
        <f t="shared" si="3"/>
        <v>83.5</v>
      </c>
      <c r="AP42" s="1">
        <f t="shared" si="4"/>
        <v>76</v>
      </c>
      <c r="AQ42" s="18">
        <f t="shared" si="5"/>
        <v>0.20699999999999999</v>
      </c>
      <c r="AR42" s="24">
        <f t="shared" si="22"/>
        <v>6.5000000000000002E-2</v>
      </c>
      <c r="AT42" s="20">
        <f t="shared" si="6"/>
        <v>45694</v>
      </c>
      <c r="AU42" s="21">
        <f t="shared" si="7"/>
        <v>37</v>
      </c>
      <c r="AV42" s="1">
        <f t="shared" si="8"/>
        <v>-14.6</v>
      </c>
      <c r="AW42" s="1">
        <f t="shared" si="9"/>
        <v>-10.6</v>
      </c>
      <c r="AX42" s="1">
        <f t="shared" si="10"/>
        <v>-19.2</v>
      </c>
      <c r="AY42" s="1">
        <f t="shared" si="11"/>
        <v>83.5</v>
      </c>
      <c r="AZ42" s="1">
        <f t="shared" si="12"/>
        <v>76</v>
      </c>
      <c r="BA42" s="1">
        <f t="shared" si="23"/>
        <v>0.53500000000000014</v>
      </c>
      <c r="BB42" s="5">
        <f t="shared" si="24"/>
        <v>-1.2</v>
      </c>
      <c r="BC42" s="1">
        <f t="shared" si="14"/>
        <v>-14.5</v>
      </c>
      <c r="BD42" s="1">
        <f t="shared" si="15"/>
        <v>-10.3</v>
      </c>
      <c r="BE42" s="1">
        <f t="shared" si="16"/>
        <v>-19.5</v>
      </c>
      <c r="BF42" s="5">
        <f t="shared" si="17"/>
        <v>0.1</v>
      </c>
      <c r="BG42" s="5">
        <f t="shared" si="18"/>
        <v>0.7</v>
      </c>
      <c r="BH42" s="5">
        <f t="shared" si="19"/>
        <v>1.4</v>
      </c>
      <c r="BI42" s="5">
        <f t="shared" si="25"/>
        <v>0.15</v>
      </c>
      <c r="BJ42" s="11">
        <f t="shared" si="26"/>
        <v>0.20699999999999999</v>
      </c>
      <c r="BK42" s="11">
        <f t="shared" si="26"/>
        <v>6.5000000000000002E-2</v>
      </c>
      <c r="BM42" s="1">
        <f t="shared" si="20"/>
        <v>0.33999999999999986</v>
      </c>
      <c r="BN42" s="1">
        <f t="shared" si="21"/>
        <v>-0.27999999999999758</v>
      </c>
    </row>
    <row r="43" spans="1:66" x14ac:dyDescent="0.2">
      <c r="A43" s="4">
        <f t="shared" si="27"/>
        <v>45695</v>
      </c>
      <c r="B43" s="1">
        <v>38</v>
      </c>
      <c r="C43" s="1">
        <v>5</v>
      </c>
      <c r="D43" s="5">
        <v>12.6</v>
      </c>
      <c r="E43" s="5">
        <v>-8.42</v>
      </c>
      <c r="F43" s="5">
        <v>-19.36</v>
      </c>
      <c r="G43" s="5">
        <v>-15.47</v>
      </c>
      <c r="H43" s="5">
        <v>78.239999999999995</v>
      </c>
      <c r="I43" s="5">
        <v>-2.5430000000000001</v>
      </c>
      <c r="J43" s="5">
        <v>-1.1459999999999999</v>
      </c>
      <c r="K43" s="5">
        <v>4.0000000000000001E-3</v>
      </c>
      <c r="L43" s="5">
        <v>0.70499999999999996</v>
      </c>
      <c r="M43" s="5">
        <v>1.365</v>
      </c>
      <c r="N43" s="5">
        <v>-7.569</v>
      </c>
      <c r="O43" s="5">
        <v>87.3</v>
      </c>
      <c r="P43" s="5">
        <v>-2.4049999999999998</v>
      </c>
      <c r="Q43" s="5">
        <v>-1.06</v>
      </c>
      <c r="R43" s="5">
        <v>0.112</v>
      </c>
      <c r="S43" s="5">
        <v>0.82399999999999995</v>
      </c>
      <c r="T43" s="5">
        <v>1.4830000000000001</v>
      </c>
      <c r="U43" s="5">
        <v>-20.64</v>
      </c>
      <c r="V43" s="5">
        <v>48.87</v>
      </c>
      <c r="W43" s="5">
        <v>-2.6680000000000001</v>
      </c>
      <c r="X43" s="5">
        <v>-1.2350000000000001</v>
      </c>
      <c r="Y43" s="5">
        <v>-0.124</v>
      </c>
      <c r="Z43" s="5">
        <v>0.58299999999999996</v>
      </c>
      <c r="AA43" s="5">
        <v>1.2390000000000001</v>
      </c>
      <c r="AB43" s="5">
        <v>2.0230000000000001</v>
      </c>
      <c r="AC43" s="5">
        <v>-16.18</v>
      </c>
      <c r="AD43" s="5">
        <v>-8.5</v>
      </c>
      <c r="AE43" s="5">
        <v>-20.55</v>
      </c>
      <c r="AF43" s="5">
        <v>-6.4059999999999997</v>
      </c>
      <c r="AG43" s="5">
        <v>-20.239999999999998</v>
      </c>
      <c r="AH43" s="5">
        <v>0.15</v>
      </c>
      <c r="AI43" s="5">
        <v>2.0880000000000001</v>
      </c>
      <c r="AK43" s="1">
        <f t="shared" si="0"/>
        <v>0.57699999999999996</v>
      </c>
      <c r="AL43" s="7">
        <f t="shared" si="1"/>
        <v>-1.2</v>
      </c>
      <c r="AN43" s="1">
        <f t="shared" si="2"/>
        <v>87.3</v>
      </c>
      <c r="AO43" s="1">
        <f t="shared" si="3"/>
        <v>78.2</v>
      </c>
      <c r="AP43" s="1">
        <f t="shared" si="4"/>
        <v>48.9</v>
      </c>
      <c r="AQ43" s="18">
        <f t="shared" si="5"/>
        <v>0.16900000000000001</v>
      </c>
      <c r="AR43" s="24">
        <f t="shared" si="22"/>
        <v>0.17699999999999999</v>
      </c>
      <c r="AT43" s="20">
        <f t="shared" si="6"/>
        <v>45695</v>
      </c>
      <c r="AU43" s="21">
        <f t="shared" si="7"/>
        <v>38</v>
      </c>
      <c r="AV43" s="1">
        <f t="shared" si="8"/>
        <v>-15.5</v>
      </c>
      <c r="AW43" s="1">
        <f t="shared" si="9"/>
        <v>-7.6</v>
      </c>
      <c r="AX43" s="1">
        <f t="shared" si="10"/>
        <v>-20.6</v>
      </c>
      <c r="AY43" s="1">
        <f t="shared" si="11"/>
        <v>78.2</v>
      </c>
      <c r="AZ43" s="1">
        <f t="shared" si="12"/>
        <v>48.9</v>
      </c>
      <c r="BA43" s="1">
        <f t="shared" si="23"/>
        <v>0.57699999999999996</v>
      </c>
      <c r="BB43" s="5">
        <f t="shared" si="24"/>
        <v>-1.2</v>
      </c>
      <c r="BC43" s="1">
        <f t="shared" si="14"/>
        <v>-16.2</v>
      </c>
      <c r="BD43" s="1">
        <f t="shared" si="15"/>
        <v>-8.5</v>
      </c>
      <c r="BE43" s="1">
        <f t="shared" si="16"/>
        <v>-20.6</v>
      </c>
      <c r="BF43" s="5">
        <f t="shared" si="17"/>
        <v>0</v>
      </c>
      <c r="BG43" s="5">
        <f t="shared" si="18"/>
        <v>0.7</v>
      </c>
      <c r="BH43" s="5">
        <f t="shared" si="19"/>
        <v>1.4</v>
      </c>
      <c r="BI43" s="5">
        <f t="shared" si="25"/>
        <v>0.15</v>
      </c>
      <c r="BJ43" s="11">
        <f t="shared" si="26"/>
        <v>0.16900000000000001</v>
      </c>
      <c r="BK43" s="11">
        <f t="shared" si="26"/>
        <v>0.17699999999999999</v>
      </c>
      <c r="BM43" s="1">
        <f t="shared" si="20"/>
        <v>-0.93100000000000005</v>
      </c>
      <c r="BN43" s="1">
        <f t="shared" si="21"/>
        <v>8.9999999999999858E-2</v>
      </c>
    </row>
    <row r="44" spans="1:66" x14ac:dyDescent="0.2">
      <c r="A44" s="4">
        <f t="shared" si="27"/>
        <v>45696</v>
      </c>
      <c r="B44" s="1">
        <v>39</v>
      </c>
      <c r="C44" s="1">
        <v>5</v>
      </c>
      <c r="D44" s="5">
        <v>12.51</v>
      </c>
      <c r="E44" s="5">
        <v>-9.64</v>
      </c>
      <c r="F44" s="5">
        <v>-17.57</v>
      </c>
      <c r="G44" s="5">
        <v>-14.64</v>
      </c>
      <c r="H44" s="5">
        <v>83.7</v>
      </c>
      <c r="I44" s="5">
        <v>-2.6890000000000001</v>
      </c>
      <c r="J44" s="5">
        <v>-1.22</v>
      </c>
      <c r="K44" s="5">
        <v>-4.0000000000000001E-3</v>
      </c>
      <c r="L44" s="5">
        <v>0.70099999999999996</v>
      </c>
      <c r="M44" s="5">
        <v>1.3680000000000001</v>
      </c>
      <c r="N44" s="5">
        <v>-10.4</v>
      </c>
      <c r="O44" s="5">
        <v>89.1</v>
      </c>
      <c r="P44" s="5">
        <v>-2.5630000000000002</v>
      </c>
      <c r="Q44" s="5">
        <v>-1.1339999999999999</v>
      </c>
      <c r="R44" s="5">
        <v>8.8999999999999996E-2</v>
      </c>
      <c r="S44" s="5">
        <v>0.79500000000000004</v>
      </c>
      <c r="T44" s="5">
        <v>1.458</v>
      </c>
      <c r="U44" s="5">
        <v>-19.29</v>
      </c>
      <c r="V44" s="5">
        <v>77.709999999999994</v>
      </c>
      <c r="W44" s="5">
        <v>-2.8069999999999999</v>
      </c>
      <c r="X44" s="5">
        <v>-1.3009999999999999</v>
      </c>
      <c r="Y44" s="5">
        <v>-0.104</v>
      </c>
      <c r="Z44" s="5">
        <v>0.61</v>
      </c>
      <c r="AA44" s="5">
        <v>1.2769999999999999</v>
      </c>
      <c r="AB44" s="5">
        <v>2.0129999999999999</v>
      </c>
      <c r="AC44" s="5">
        <v>-14.93</v>
      </c>
      <c r="AD44" s="5">
        <v>-10.08</v>
      </c>
      <c r="AE44" s="5">
        <v>-20.28</v>
      </c>
      <c r="AF44" s="5">
        <v>-9.35</v>
      </c>
      <c r="AG44" s="5">
        <v>-19.04</v>
      </c>
      <c r="AH44" s="5">
        <v>0.14899999999999999</v>
      </c>
      <c r="AI44" s="5">
        <v>2.0859999999999999</v>
      </c>
      <c r="AK44" s="1">
        <f t="shared" si="0"/>
        <v>0.58700000000000019</v>
      </c>
      <c r="AL44" s="7">
        <f t="shared" si="1"/>
        <v>-1.3</v>
      </c>
      <c r="AN44" s="1">
        <f t="shared" si="2"/>
        <v>89.1</v>
      </c>
      <c r="AO44" s="1">
        <f t="shared" si="3"/>
        <v>83.7</v>
      </c>
      <c r="AP44" s="1">
        <f t="shared" si="4"/>
        <v>77.7</v>
      </c>
      <c r="AQ44" s="18">
        <f t="shared" si="5"/>
        <v>0.215</v>
      </c>
      <c r="AR44" s="24">
        <f t="shared" si="22"/>
        <v>6.2E-2</v>
      </c>
      <c r="AT44" s="20">
        <f t="shared" si="6"/>
        <v>45696</v>
      </c>
      <c r="AU44" s="21">
        <f t="shared" si="7"/>
        <v>39</v>
      </c>
      <c r="AV44" s="1">
        <f t="shared" si="8"/>
        <v>-14.6</v>
      </c>
      <c r="AW44" s="1">
        <f t="shared" si="9"/>
        <v>-10.4</v>
      </c>
      <c r="AX44" s="1">
        <f t="shared" si="10"/>
        <v>-19.3</v>
      </c>
      <c r="AY44" s="1">
        <f t="shared" si="11"/>
        <v>83.7</v>
      </c>
      <c r="AZ44" s="1">
        <f t="shared" si="12"/>
        <v>77.7</v>
      </c>
      <c r="BA44" s="1">
        <f t="shared" si="23"/>
        <v>0.58700000000000019</v>
      </c>
      <c r="BB44" s="5">
        <f t="shared" si="24"/>
        <v>-1.3</v>
      </c>
      <c r="BC44" s="1">
        <f t="shared" si="14"/>
        <v>-14.9</v>
      </c>
      <c r="BD44" s="1">
        <f t="shared" si="15"/>
        <v>-10.1</v>
      </c>
      <c r="BE44" s="1">
        <f t="shared" si="16"/>
        <v>-20.3</v>
      </c>
      <c r="BF44" s="5">
        <f t="shared" si="17"/>
        <v>0</v>
      </c>
      <c r="BG44" s="5">
        <f t="shared" si="18"/>
        <v>0.7</v>
      </c>
      <c r="BH44" s="5">
        <f t="shared" si="19"/>
        <v>1.4</v>
      </c>
      <c r="BI44" s="5">
        <f t="shared" si="25"/>
        <v>0.14899999999999999</v>
      </c>
      <c r="BJ44" s="11">
        <f t="shared" si="26"/>
        <v>0.215</v>
      </c>
      <c r="BK44" s="11">
        <f t="shared" si="26"/>
        <v>6.2E-2</v>
      </c>
      <c r="BM44" s="1">
        <f t="shared" si="20"/>
        <v>0.32000000000000028</v>
      </c>
      <c r="BN44" s="1">
        <f t="shared" si="21"/>
        <v>-0.99000000000000199</v>
      </c>
    </row>
    <row r="45" spans="1:66" x14ac:dyDescent="0.2">
      <c r="A45" s="4">
        <f t="shared" si="27"/>
        <v>45697</v>
      </c>
      <c r="B45" s="1">
        <v>40</v>
      </c>
      <c r="C45" s="1">
        <v>5</v>
      </c>
      <c r="D45" s="5">
        <v>12.59</v>
      </c>
      <c r="E45" s="5">
        <v>-11.68</v>
      </c>
      <c r="F45" s="5">
        <v>-19.690000000000001</v>
      </c>
      <c r="G45" s="5">
        <v>-17.329999999999998</v>
      </c>
      <c r="H45" s="5">
        <v>80</v>
      </c>
      <c r="I45" s="5">
        <v>-2.6549999999999998</v>
      </c>
      <c r="J45" s="5">
        <v>-1.2410000000000001</v>
      </c>
      <c r="K45" s="5">
        <v>-4.9000000000000002E-2</v>
      </c>
      <c r="L45" s="5">
        <v>0.65100000000000002</v>
      </c>
      <c r="M45" s="5">
        <v>1.32</v>
      </c>
      <c r="N45" s="5">
        <v>-11.97</v>
      </c>
      <c r="O45" s="5">
        <v>86.9</v>
      </c>
      <c r="P45" s="5">
        <v>-2.569</v>
      </c>
      <c r="Q45" s="5">
        <v>-1.135</v>
      </c>
      <c r="R45" s="5">
        <v>4.4999999999999998E-2</v>
      </c>
      <c r="S45" s="5">
        <v>0.753</v>
      </c>
      <c r="T45" s="5">
        <v>1.421</v>
      </c>
      <c r="U45" s="5">
        <v>-21.21</v>
      </c>
      <c r="V45" s="5">
        <v>65.06</v>
      </c>
      <c r="W45" s="5">
        <v>-2.7509999999999999</v>
      </c>
      <c r="X45" s="5">
        <v>-1.3620000000000001</v>
      </c>
      <c r="Y45" s="5">
        <v>-0.183</v>
      </c>
      <c r="Z45" s="5">
        <v>0.51600000000000001</v>
      </c>
      <c r="AA45" s="5">
        <v>1.194</v>
      </c>
      <c r="AB45" s="5">
        <v>1.9850000000000001</v>
      </c>
      <c r="AC45" s="5">
        <v>-18.239999999999998</v>
      </c>
      <c r="AD45" s="5">
        <v>-11.38</v>
      </c>
      <c r="AE45" s="5">
        <v>-21.57</v>
      </c>
      <c r="AF45" s="5">
        <v>-10.58</v>
      </c>
      <c r="AG45" s="5">
        <v>-20.83</v>
      </c>
      <c r="AH45" s="5">
        <v>0.14899999999999999</v>
      </c>
      <c r="AI45" s="5">
        <v>2.06</v>
      </c>
      <c r="AK45" s="1">
        <f t="shared" si="0"/>
        <v>0.61499999999999999</v>
      </c>
      <c r="AL45" s="7">
        <f t="shared" si="1"/>
        <v>-1.3</v>
      </c>
      <c r="AN45" s="1">
        <f t="shared" si="2"/>
        <v>86.9</v>
      </c>
      <c r="AO45" s="1">
        <f t="shared" si="3"/>
        <v>80</v>
      </c>
      <c r="AP45" s="1">
        <f t="shared" si="4"/>
        <v>65.099999999999994</v>
      </c>
      <c r="AQ45" s="18">
        <f t="shared" si="5"/>
        <v>0.159</v>
      </c>
      <c r="AR45" s="24">
        <f t="shared" si="22"/>
        <v>8.5000000000000006E-2</v>
      </c>
      <c r="AT45" s="20">
        <f t="shared" si="6"/>
        <v>45697</v>
      </c>
      <c r="AU45" s="21">
        <f t="shared" si="7"/>
        <v>40</v>
      </c>
      <c r="AV45" s="1">
        <f t="shared" si="8"/>
        <v>-17.3</v>
      </c>
      <c r="AW45" s="1">
        <f t="shared" si="9"/>
        <v>-12</v>
      </c>
      <c r="AX45" s="1">
        <f t="shared" si="10"/>
        <v>-21.2</v>
      </c>
      <c r="AY45" s="1">
        <f t="shared" si="11"/>
        <v>80</v>
      </c>
      <c r="AZ45" s="1">
        <f t="shared" si="12"/>
        <v>65.099999999999994</v>
      </c>
      <c r="BA45" s="1">
        <f t="shared" si="23"/>
        <v>0.61499999999999999</v>
      </c>
      <c r="BB45" s="5">
        <f t="shared" si="24"/>
        <v>-1.3</v>
      </c>
      <c r="BC45" s="1">
        <f t="shared" si="14"/>
        <v>-18.2</v>
      </c>
      <c r="BD45" s="1">
        <f t="shared" si="15"/>
        <v>-11.4</v>
      </c>
      <c r="BE45" s="1">
        <f t="shared" si="16"/>
        <v>-21.6</v>
      </c>
      <c r="BF45" s="5">
        <f t="shared" si="17"/>
        <v>0</v>
      </c>
      <c r="BG45" s="5">
        <f t="shared" si="18"/>
        <v>0.7</v>
      </c>
      <c r="BH45" s="5">
        <f t="shared" si="19"/>
        <v>1.3</v>
      </c>
      <c r="BI45" s="5">
        <f t="shared" si="25"/>
        <v>0.14899999999999999</v>
      </c>
      <c r="BJ45" s="11">
        <f t="shared" si="26"/>
        <v>0.159</v>
      </c>
      <c r="BK45" s="11">
        <f t="shared" si="26"/>
        <v>8.5000000000000006E-2</v>
      </c>
      <c r="BM45" s="1">
        <f t="shared" si="20"/>
        <v>0.58999999999999986</v>
      </c>
      <c r="BN45" s="1">
        <f t="shared" si="21"/>
        <v>-0.35999999999999943</v>
      </c>
    </row>
    <row r="46" spans="1:66" x14ac:dyDescent="0.2">
      <c r="A46" s="4">
        <f t="shared" si="27"/>
        <v>45698</v>
      </c>
      <c r="B46" s="1">
        <v>41</v>
      </c>
      <c r="C46" s="1">
        <v>5</v>
      </c>
      <c r="D46" s="5">
        <v>12.65</v>
      </c>
      <c r="E46" s="5">
        <v>-14</v>
      </c>
      <c r="F46" s="5">
        <v>-20.69</v>
      </c>
      <c r="G46" s="5">
        <v>-18.38</v>
      </c>
      <c r="H46" s="5">
        <v>80.8</v>
      </c>
      <c r="I46" s="5">
        <v>-2.6739999999999999</v>
      </c>
      <c r="J46" s="5">
        <v>-1.254</v>
      </c>
      <c r="K46" s="5">
        <v>-7.0000000000000007E-2</v>
      </c>
      <c r="L46" s="5">
        <v>0.63</v>
      </c>
      <c r="M46" s="5">
        <v>1.3</v>
      </c>
      <c r="N46" s="5">
        <v>-15.48</v>
      </c>
      <c r="O46" s="5">
        <v>86.6</v>
      </c>
      <c r="P46" s="5">
        <v>-2.5840000000000001</v>
      </c>
      <c r="Q46" s="5">
        <v>-1.157</v>
      </c>
      <c r="R46" s="5">
        <v>3.9E-2</v>
      </c>
      <c r="S46" s="5">
        <v>0.73499999999999999</v>
      </c>
      <c r="T46" s="5">
        <v>1.405</v>
      </c>
      <c r="U46" s="5">
        <v>-22.68</v>
      </c>
      <c r="V46" s="5">
        <v>74.44</v>
      </c>
      <c r="W46" s="5">
        <v>-2.7839999999999998</v>
      </c>
      <c r="X46" s="5">
        <v>-1.391</v>
      </c>
      <c r="Y46" s="5">
        <v>-0.20699999999999999</v>
      </c>
      <c r="Z46" s="5">
        <v>0.498</v>
      </c>
      <c r="AA46" s="5">
        <v>1.151</v>
      </c>
      <c r="AB46" s="5">
        <v>2.0030000000000001</v>
      </c>
      <c r="AC46" s="5">
        <v>-18.690000000000001</v>
      </c>
      <c r="AD46" s="5">
        <v>-14.61</v>
      </c>
      <c r="AE46" s="5">
        <v>-23.14</v>
      </c>
      <c r="AF46" s="5">
        <v>-13.71</v>
      </c>
      <c r="AG46" s="5">
        <v>-22.3</v>
      </c>
      <c r="AH46" s="5">
        <v>0.14799999999999999</v>
      </c>
      <c r="AI46" s="5">
        <v>2.09</v>
      </c>
      <c r="AK46" s="1">
        <f t="shared" si="0"/>
        <v>0.59699999999999998</v>
      </c>
      <c r="AL46" s="7">
        <f t="shared" si="1"/>
        <v>-1.3</v>
      </c>
      <c r="AN46" s="1">
        <f t="shared" si="2"/>
        <v>86.6</v>
      </c>
      <c r="AO46" s="1">
        <f t="shared" si="3"/>
        <v>80.8</v>
      </c>
      <c r="AP46" s="1">
        <f t="shared" si="4"/>
        <v>74.400000000000006</v>
      </c>
      <c r="AQ46" s="18">
        <f t="shared" si="5"/>
        <v>0.13600000000000001</v>
      </c>
      <c r="AR46" s="24">
        <f t="shared" si="22"/>
        <v>4.7E-2</v>
      </c>
      <c r="AT46" s="20">
        <f t="shared" si="6"/>
        <v>45698</v>
      </c>
      <c r="AU46" s="21">
        <f t="shared" si="7"/>
        <v>41</v>
      </c>
      <c r="AV46" s="1">
        <f t="shared" si="8"/>
        <v>-18.399999999999999</v>
      </c>
      <c r="AW46" s="1">
        <f t="shared" si="9"/>
        <v>-15.5</v>
      </c>
      <c r="AX46" s="1">
        <f t="shared" si="10"/>
        <v>-22.7</v>
      </c>
      <c r="AY46" s="1">
        <f t="shared" si="11"/>
        <v>80.8</v>
      </c>
      <c r="AZ46" s="1">
        <f t="shared" si="12"/>
        <v>74.400000000000006</v>
      </c>
      <c r="BA46" s="1">
        <f t="shared" si="23"/>
        <v>0.59699999999999998</v>
      </c>
      <c r="BB46" s="5">
        <f t="shared" si="24"/>
        <v>-1.3</v>
      </c>
      <c r="BC46" s="1">
        <f t="shared" si="14"/>
        <v>-18.7</v>
      </c>
      <c r="BD46" s="1">
        <f t="shared" si="15"/>
        <v>-14.6</v>
      </c>
      <c r="BE46" s="1">
        <f t="shared" si="16"/>
        <v>-23.1</v>
      </c>
      <c r="BF46" s="5">
        <f t="shared" si="17"/>
        <v>-0.1</v>
      </c>
      <c r="BG46" s="5">
        <f t="shared" si="18"/>
        <v>0.6</v>
      </c>
      <c r="BH46" s="5">
        <f t="shared" si="19"/>
        <v>1.3</v>
      </c>
      <c r="BI46" s="5">
        <f t="shared" si="25"/>
        <v>0.14799999999999999</v>
      </c>
      <c r="BJ46" s="11">
        <f t="shared" si="26"/>
        <v>0.13600000000000001</v>
      </c>
      <c r="BK46" s="11">
        <f t="shared" si="26"/>
        <v>4.7E-2</v>
      </c>
      <c r="BM46" s="1">
        <f t="shared" si="20"/>
        <v>0.87000000000000099</v>
      </c>
      <c r="BN46" s="1">
        <f t="shared" si="21"/>
        <v>-0.46000000000000085</v>
      </c>
    </row>
    <row r="47" spans="1:66" x14ac:dyDescent="0.2">
      <c r="A47" s="4">
        <f t="shared" si="27"/>
        <v>45699</v>
      </c>
      <c r="B47" s="1">
        <v>42</v>
      </c>
      <c r="C47" s="1">
        <v>5</v>
      </c>
      <c r="D47" s="5">
        <v>12.68</v>
      </c>
      <c r="E47" s="5">
        <v>-13.39</v>
      </c>
      <c r="F47" s="5">
        <v>-22.8</v>
      </c>
      <c r="G47" s="5">
        <v>-20.260000000000002</v>
      </c>
      <c r="H47" s="5">
        <v>74.97</v>
      </c>
      <c r="I47" s="5">
        <v>-2.798</v>
      </c>
      <c r="J47" s="5">
        <v>-1.325</v>
      </c>
      <c r="K47" s="5">
        <v>-0.125</v>
      </c>
      <c r="L47" s="5">
        <v>0.57399999999999995</v>
      </c>
      <c r="M47" s="5">
        <v>1.2390000000000001</v>
      </c>
      <c r="N47" s="5">
        <v>-14.08</v>
      </c>
      <c r="O47" s="5">
        <v>82.6</v>
      </c>
      <c r="P47" s="5">
        <v>-2.649</v>
      </c>
      <c r="Q47" s="5">
        <v>-1.22</v>
      </c>
      <c r="R47" s="5">
        <v>1.6E-2</v>
      </c>
      <c r="S47" s="5">
        <v>0.71399999999999997</v>
      </c>
      <c r="T47" s="5">
        <v>1.377</v>
      </c>
      <c r="U47" s="5">
        <v>-25.26</v>
      </c>
      <c r="V47" s="5">
        <v>58.81</v>
      </c>
      <c r="W47" s="5">
        <v>-2.9540000000000002</v>
      </c>
      <c r="X47" s="5">
        <v>-1.462</v>
      </c>
      <c r="Y47" s="5">
        <v>-0.248</v>
      </c>
      <c r="Z47" s="5">
        <v>0.46700000000000003</v>
      </c>
      <c r="AA47" s="5">
        <v>1.117</v>
      </c>
      <c r="AB47" s="5">
        <v>2.0139999999999998</v>
      </c>
      <c r="AC47" s="5">
        <v>-20.77</v>
      </c>
      <c r="AD47" s="5">
        <v>-13.78</v>
      </c>
      <c r="AE47" s="5">
        <v>-24.84</v>
      </c>
      <c r="AF47" s="5">
        <v>-11.67</v>
      </c>
      <c r="AG47" s="5">
        <v>-24.84</v>
      </c>
      <c r="AH47" s="5">
        <v>0.14799999999999999</v>
      </c>
      <c r="AI47" s="5">
        <v>2.1139999999999999</v>
      </c>
      <c r="AK47" s="1">
        <f t="shared" si="0"/>
        <v>0.5860000000000003</v>
      </c>
      <c r="AL47" s="7">
        <f t="shared" si="1"/>
        <v>-1.4</v>
      </c>
      <c r="AN47" s="1">
        <f t="shared" si="2"/>
        <v>82.6</v>
      </c>
      <c r="AO47" s="1">
        <f t="shared" si="3"/>
        <v>75</v>
      </c>
      <c r="AP47" s="1">
        <f t="shared" si="4"/>
        <v>58.8</v>
      </c>
      <c r="AQ47" s="18">
        <f t="shared" si="5"/>
        <v>0.121</v>
      </c>
      <c r="AR47" s="24">
        <f t="shared" si="22"/>
        <v>8.5000000000000006E-2</v>
      </c>
      <c r="AT47" s="20">
        <f t="shared" si="6"/>
        <v>45699</v>
      </c>
      <c r="AU47" s="21">
        <f t="shared" si="7"/>
        <v>42</v>
      </c>
      <c r="AV47" s="1">
        <f t="shared" si="8"/>
        <v>-20.3</v>
      </c>
      <c r="AW47" s="1">
        <f t="shared" si="9"/>
        <v>-14.1</v>
      </c>
      <c r="AX47" s="1">
        <f t="shared" si="10"/>
        <v>-25.3</v>
      </c>
      <c r="AY47" s="1">
        <f t="shared" si="11"/>
        <v>75</v>
      </c>
      <c r="AZ47" s="1">
        <f t="shared" si="12"/>
        <v>58.8</v>
      </c>
      <c r="BA47" s="1">
        <f t="shared" si="23"/>
        <v>0.5860000000000003</v>
      </c>
      <c r="BB47" s="5">
        <f t="shared" si="24"/>
        <v>-1.4</v>
      </c>
      <c r="BC47" s="1">
        <f t="shared" si="14"/>
        <v>-20.8</v>
      </c>
      <c r="BD47" s="1">
        <f t="shared" si="15"/>
        <v>-13.8</v>
      </c>
      <c r="BE47" s="1">
        <f t="shared" si="16"/>
        <v>-24.8</v>
      </c>
      <c r="BF47" s="5">
        <f t="shared" si="17"/>
        <v>-0.1</v>
      </c>
      <c r="BG47" s="5">
        <f t="shared" si="18"/>
        <v>0.6</v>
      </c>
      <c r="BH47" s="5">
        <f t="shared" si="19"/>
        <v>1.2</v>
      </c>
      <c r="BI47" s="5">
        <f t="shared" si="25"/>
        <v>0.14799999999999999</v>
      </c>
      <c r="BJ47" s="11">
        <f t="shared" si="26"/>
        <v>0.121</v>
      </c>
      <c r="BK47" s="11">
        <f t="shared" si="26"/>
        <v>8.5000000000000006E-2</v>
      </c>
      <c r="BM47" s="1">
        <f t="shared" si="20"/>
        <v>0.30000000000000071</v>
      </c>
      <c r="BN47" s="1">
        <f t="shared" si="21"/>
        <v>0.42000000000000171</v>
      </c>
    </row>
    <row r="48" spans="1:66" x14ac:dyDescent="0.2">
      <c r="A48" s="4">
        <f t="shared" si="27"/>
        <v>45700</v>
      </c>
      <c r="B48" s="1">
        <v>43</v>
      </c>
      <c r="C48" s="1">
        <v>5</v>
      </c>
      <c r="D48" s="5">
        <v>12.7</v>
      </c>
      <c r="E48" s="5">
        <v>-10.88</v>
      </c>
      <c r="F48" s="5">
        <v>-25.32</v>
      </c>
      <c r="G48" s="5">
        <v>-19.440000000000001</v>
      </c>
      <c r="H48" s="5">
        <v>74.59</v>
      </c>
      <c r="I48" s="5">
        <v>-2.99</v>
      </c>
      <c r="J48" s="5">
        <v>-1.413</v>
      </c>
      <c r="K48" s="5">
        <v>-0.13100000000000001</v>
      </c>
      <c r="L48" s="5">
        <v>0.56299999999999994</v>
      </c>
      <c r="M48" s="5">
        <v>1.228</v>
      </c>
      <c r="N48" s="5">
        <v>-10.38</v>
      </c>
      <c r="O48" s="5">
        <v>91</v>
      </c>
      <c r="P48" s="5">
        <v>-2.8</v>
      </c>
      <c r="Q48" s="5">
        <v>-1.3360000000000001</v>
      </c>
      <c r="R48" s="5">
        <v>2E-3</v>
      </c>
      <c r="S48" s="5">
        <v>0.70799999999999996</v>
      </c>
      <c r="T48" s="5">
        <v>1.375</v>
      </c>
      <c r="U48" s="5">
        <v>-26.16</v>
      </c>
      <c r="V48" s="5">
        <v>52.3</v>
      </c>
      <c r="W48" s="5">
        <v>-3.1859999999999999</v>
      </c>
      <c r="X48" s="5">
        <v>-1.5369999999999999</v>
      </c>
      <c r="Y48" s="5">
        <v>-0.251</v>
      </c>
      <c r="Z48" s="5">
        <v>0.42499999999999999</v>
      </c>
      <c r="AA48" s="5">
        <v>1.099</v>
      </c>
      <c r="AB48" s="5">
        <v>2.0510000000000002</v>
      </c>
      <c r="AC48" s="5">
        <v>-19.920000000000002</v>
      </c>
      <c r="AD48" s="5">
        <v>-10.67</v>
      </c>
      <c r="AE48" s="5">
        <v>-25.6</v>
      </c>
      <c r="AF48" s="5">
        <v>-8.61</v>
      </c>
      <c r="AG48" s="5">
        <v>-25.78</v>
      </c>
      <c r="AH48" s="5">
        <v>0.14699999999999999</v>
      </c>
      <c r="AI48" s="5">
        <v>2.1309999999999998</v>
      </c>
      <c r="AK48" s="1">
        <f t="shared" si="0"/>
        <v>0.54899999999999993</v>
      </c>
      <c r="AL48" s="7">
        <f t="shared" si="1"/>
        <v>-1.5</v>
      </c>
      <c r="AN48" s="1">
        <f t="shared" si="2"/>
        <v>91</v>
      </c>
      <c r="AO48" s="1">
        <f t="shared" si="3"/>
        <v>74.599999999999994</v>
      </c>
      <c r="AP48" s="1">
        <f t="shared" si="4"/>
        <v>52.3</v>
      </c>
      <c r="AQ48" s="18">
        <f t="shared" si="5"/>
        <v>0.14499999999999999</v>
      </c>
      <c r="AR48" s="24">
        <f t="shared" si="22"/>
        <v>0.13200000000000001</v>
      </c>
      <c r="AT48" s="20">
        <f t="shared" si="6"/>
        <v>45700</v>
      </c>
      <c r="AU48" s="21">
        <f t="shared" si="7"/>
        <v>43</v>
      </c>
      <c r="AV48" s="1">
        <f t="shared" si="8"/>
        <v>-19.399999999999999</v>
      </c>
      <c r="AW48" s="1">
        <f t="shared" si="9"/>
        <v>-10.4</v>
      </c>
      <c r="AX48" s="1">
        <f t="shared" si="10"/>
        <v>-26.2</v>
      </c>
      <c r="AY48" s="1">
        <f t="shared" si="11"/>
        <v>74.599999999999994</v>
      </c>
      <c r="AZ48" s="1">
        <f t="shared" si="12"/>
        <v>52.3</v>
      </c>
      <c r="BA48" s="1">
        <f t="shared" si="23"/>
        <v>0.54899999999999993</v>
      </c>
      <c r="BB48" s="5">
        <f t="shared" si="24"/>
        <v>-1.5</v>
      </c>
      <c r="BC48" s="1">
        <f t="shared" si="14"/>
        <v>-19.899999999999999</v>
      </c>
      <c r="BD48" s="1">
        <f t="shared" si="15"/>
        <v>-10.7</v>
      </c>
      <c r="BE48" s="1">
        <f t="shared" si="16"/>
        <v>-25.6</v>
      </c>
      <c r="BF48" s="5">
        <f t="shared" si="17"/>
        <v>-0.1</v>
      </c>
      <c r="BG48" s="5">
        <f t="shared" si="18"/>
        <v>0.6</v>
      </c>
      <c r="BH48" s="5">
        <f t="shared" si="19"/>
        <v>1.2</v>
      </c>
      <c r="BI48" s="5">
        <f t="shared" si="25"/>
        <v>0.14699999999999999</v>
      </c>
      <c r="BJ48" s="11">
        <f t="shared" si="26"/>
        <v>0.14499999999999999</v>
      </c>
      <c r="BK48" s="11">
        <f t="shared" si="26"/>
        <v>0.13200000000000001</v>
      </c>
      <c r="BM48" s="1">
        <f t="shared" si="20"/>
        <v>-0.28999999999999915</v>
      </c>
      <c r="BN48" s="1">
        <f t="shared" si="21"/>
        <v>0.55999999999999872</v>
      </c>
    </row>
    <row r="49" spans="1:66" x14ac:dyDescent="0.2">
      <c r="A49" s="4">
        <f t="shared" si="27"/>
        <v>45701</v>
      </c>
      <c r="B49" s="1">
        <v>44</v>
      </c>
      <c r="C49" s="1">
        <v>5</v>
      </c>
      <c r="D49" s="5">
        <v>12.72</v>
      </c>
      <c r="E49" s="5">
        <v>-8.92</v>
      </c>
      <c r="F49" s="5">
        <v>-19.41</v>
      </c>
      <c r="G49" s="5">
        <v>-14.19</v>
      </c>
      <c r="H49" s="5">
        <v>70.010000000000005</v>
      </c>
      <c r="I49" s="5">
        <v>-3.266</v>
      </c>
      <c r="J49" s="5">
        <v>-1.5369999999999999</v>
      </c>
      <c r="K49" s="5">
        <v>-0.10199999999999999</v>
      </c>
      <c r="L49" s="5">
        <v>0.59499999999999997</v>
      </c>
      <c r="M49" s="5">
        <v>1.2649999999999999</v>
      </c>
      <c r="N49" s="5">
        <v>-8.5500000000000007</v>
      </c>
      <c r="O49" s="5">
        <v>87</v>
      </c>
      <c r="P49" s="5">
        <v>-3.0659999999999998</v>
      </c>
      <c r="Q49" s="5">
        <v>-1.403</v>
      </c>
      <c r="R49" s="5">
        <v>0</v>
      </c>
      <c r="S49" s="5">
        <v>0.69799999999999995</v>
      </c>
      <c r="T49" s="5">
        <v>1.367</v>
      </c>
      <c r="U49" s="5">
        <v>-20.92</v>
      </c>
      <c r="V49" s="5">
        <v>35.229999999999997</v>
      </c>
      <c r="W49" s="5">
        <v>-3.45</v>
      </c>
      <c r="X49" s="5">
        <v>-1.6559999999999999</v>
      </c>
      <c r="Y49" s="5">
        <v>-0.22600000000000001</v>
      </c>
      <c r="Z49" s="5">
        <v>0.47799999999999998</v>
      </c>
      <c r="AA49" s="5">
        <v>1.1519999999999999</v>
      </c>
      <c r="AB49" s="5">
        <v>2.0049999999999999</v>
      </c>
      <c r="AC49" s="5">
        <v>-15.38</v>
      </c>
      <c r="AD49" s="5">
        <v>-10.33</v>
      </c>
      <c r="AE49" s="5">
        <v>-21.27</v>
      </c>
      <c r="AF49" s="5">
        <v>-6.7160000000000002</v>
      </c>
      <c r="AG49" s="5">
        <v>-20.6</v>
      </c>
      <c r="AH49" s="5">
        <v>0.14599999999999999</v>
      </c>
      <c r="AI49" s="5">
        <v>2.0459999999999998</v>
      </c>
      <c r="AK49" s="1">
        <f t="shared" si="0"/>
        <v>0.5950000000000002</v>
      </c>
      <c r="AL49" s="7">
        <f t="shared" si="1"/>
        <v>-1.6</v>
      </c>
      <c r="AN49" s="1">
        <f t="shared" si="2"/>
        <v>87</v>
      </c>
      <c r="AO49" s="1">
        <f t="shared" si="3"/>
        <v>70</v>
      </c>
      <c r="AP49" s="1">
        <f t="shared" si="4"/>
        <v>35.200000000000003</v>
      </c>
      <c r="AQ49" s="18">
        <f t="shared" si="5"/>
        <v>0.113</v>
      </c>
      <c r="AR49" s="24">
        <f t="shared" si="22"/>
        <v>0.20799999999999999</v>
      </c>
      <c r="AT49" s="20">
        <f t="shared" si="6"/>
        <v>45701</v>
      </c>
      <c r="AU49" s="21">
        <f t="shared" si="7"/>
        <v>44</v>
      </c>
      <c r="AV49" s="1">
        <f t="shared" si="8"/>
        <v>-14.2</v>
      </c>
      <c r="AW49" s="1">
        <f t="shared" si="9"/>
        <v>-8.6</v>
      </c>
      <c r="AX49" s="1">
        <f t="shared" si="10"/>
        <v>-20.9</v>
      </c>
      <c r="AY49" s="1">
        <f t="shared" si="11"/>
        <v>70</v>
      </c>
      <c r="AZ49" s="1">
        <f t="shared" si="12"/>
        <v>35.200000000000003</v>
      </c>
      <c r="BA49" s="1">
        <f t="shared" si="23"/>
        <v>0.5950000000000002</v>
      </c>
      <c r="BB49" s="5">
        <f t="shared" si="24"/>
        <v>-1.6</v>
      </c>
      <c r="BC49" s="1">
        <f t="shared" si="14"/>
        <v>-15.4</v>
      </c>
      <c r="BD49" s="1">
        <f t="shared" si="15"/>
        <v>-10.3</v>
      </c>
      <c r="BE49" s="1">
        <f t="shared" si="16"/>
        <v>-21.3</v>
      </c>
      <c r="BF49" s="5">
        <f t="shared" si="17"/>
        <v>-0.1</v>
      </c>
      <c r="BG49" s="5">
        <f t="shared" si="18"/>
        <v>0.6</v>
      </c>
      <c r="BH49" s="5">
        <f t="shared" si="19"/>
        <v>1.3</v>
      </c>
      <c r="BI49" s="5">
        <f t="shared" si="25"/>
        <v>0.14599999999999999</v>
      </c>
      <c r="BJ49" s="11">
        <f t="shared" si="26"/>
        <v>0.113</v>
      </c>
      <c r="BK49" s="11">
        <f t="shared" si="26"/>
        <v>0.20799999999999999</v>
      </c>
      <c r="BM49" s="1">
        <f t="shared" si="20"/>
        <v>-1.7799999999999994</v>
      </c>
      <c r="BN49" s="1">
        <f t="shared" si="21"/>
        <v>-0.34999999999999787</v>
      </c>
    </row>
    <row r="50" spans="1:66" x14ac:dyDescent="0.2">
      <c r="A50" s="4">
        <f t="shared" si="27"/>
        <v>45702</v>
      </c>
      <c r="B50" s="1">
        <v>45</v>
      </c>
      <c r="C50" s="1">
        <v>5</v>
      </c>
      <c r="D50" s="5">
        <v>12.71</v>
      </c>
      <c r="E50" s="5">
        <v>-5.5039999999999996</v>
      </c>
      <c r="F50" s="5">
        <v>-11.09</v>
      </c>
      <c r="G50" s="5">
        <v>-10</v>
      </c>
      <c r="H50" s="5">
        <v>83.2</v>
      </c>
      <c r="I50" s="5">
        <v>-3.26</v>
      </c>
      <c r="J50" s="5">
        <v>-1.5680000000000001</v>
      </c>
      <c r="K50" s="5">
        <v>-0.08</v>
      </c>
      <c r="L50" s="5">
        <v>0.62</v>
      </c>
      <c r="M50" s="5">
        <v>1.2889999999999999</v>
      </c>
      <c r="N50" s="5">
        <v>-6.4589999999999996</v>
      </c>
      <c r="O50" s="5">
        <v>89.1</v>
      </c>
      <c r="P50" s="5">
        <v>-2.9940000000000002</v>
      </c>
      <c r="Q50" s="5">
        <v>-1.4419999999999999</v>
      </c>
      <c r="R50" s="5">
        <v>0</v>
      </c>
      <c r="S50" s="5">
        <v>0.70699999999999996</v>
      </c>
      <c r="T50" s="5">
        <v>1.3740000000000001</v>
      </c>
      <c r="U50" s="5">
        <v>-11.8</v>
      </c>
      <c r="V50" s="5">
        <v>66.48</v>
      </c>
      <c r="W50" s="5">
        <v>-3.4460000000000002</v>
      </c>
      <c r="X50" s="5">
        <v>-1.6779999999999999</v>
      </c>
      <c r="Y50" s="5">
        <v>-0.16</v>
      </c>
      <c r="Z50" s="5">
        <v>0.54900000000000004</v>
      </c>
      <c r="AA50" s="5">
        <v>1.2070000000000001</v>
      </c>
      <c r="AB50" s="5">
        <v>1.9810000000000001</v>
      </c>
      <c r="AC50" s="5">
        <v>-10.46</v>
      </c>
      <c r="AD50" s="5">
        <v>-6.0960000000000001</v>
      </c>
      <c r="AE50" s="5">
        <v>-12.84</v>
      </c>
      <c r="AF50" s="5">
        <v>-4.8499999999999996</v>
      </c>
      <c r="AG50" s="5">
        <v>-11.59</v>
      </c>
      <c r="AH50" s="5">
        <v>0.14599999999999999</v>
      </c>
      <c r="AI50" s="5">
        <v>2.0169999999999999</v>
      </c>
      <c r="AK50" s="1">
        <f t="shared" si="0"/>
        <v>0.61899999999999999</v>
      </c>
      <c r="AL50" s="7">
        <f t="shared" si="1"/>
        <v>-1.6</v>
      </c>
      <c r="AN50" s="1">
        <f t="shared" si="2"/>
        <v>89.1</v>
      </c>
      <c r="AO50" s="1">
        <f t="shared" si="3"/>
        <v>83.2</v>
      </c>
      <c r="AP50" s="1">
        <f t="shared" si="4"/>
        <v>66.5</v>
      </c>
      <c r="AQ50" s="18">
        <f t="shared" si="5"/>
        <v>0.25</v>
      </c>
      <c r="AR50" s="24">
        <f t="shared" si="22"/>
        <v>0.126</v>
      </c>
      <c r="AT50" s="20">
        <f t="shared" si="6"/>
        <v>45702</v>
      </c>
      <c r="AU50" s="21">
        <f t="shared" si="7"/>
        <v>45</v>
      </c>
      <c r="AV50" s="1">
        <f t="shared" si="8"/>
        <v>-10</v>
      </c>
      <c r="AW50" s="1">
        <f t="shared" si="9"/>
        <v>-6.5</v>
      </c>
      <c r="AX50" s="1">
        <f t="shared" si="10"/>
        <v>-11.8</v>
      </c>
      <c r="AY50" s="1">
        <f t="shared" si="11"/>
        <v>83.2</v>
      </c>
      <c r="AZ50" s="1">
        <f t="shared" si="12"/>
        <v>66.5</v>
      </c>
      <c r="BA50" s="1">
        <f t="shared" si="23"/>
        <v>0.61899999999999999</v>
      </c>
      <c r="BB50" s="5">
        <f t="shared" si="24"/>
        <v>-1.6</v>
      </c>
      <c r="BC50" s="1">
        <f t="shared" si="14"/>
        <v>-10.5</v>
      </c>
      <c r="BD50" s="1">
        <f t="shared" si="15"/>
        <v>-6.1</v>
      </c>
      <c r="BE50" s="1">
        <f t="shared" si="16"/>
        <v>-12.8</v>
      </c>
      <c r="BF50" s="5">
        <f t="shared" si="17"/>
        <v>-0.1</v>
      </c>
      <c r="BG50" s="5">
        <f t="shared" si="18"/>
        <v>0.6</v>
      </c>
      <c r="BH50" s="5">
        <f t="shared" si="19"/>
        <v>1.3</v>
      </c>
      <c r="BI50" s="5">
        <f t="shared" si="25"/>
        <v>0.14599999999999999</v>
      </c>
      <c r="BJ50" s="11">
        <f t="shared" si="26"/>
        <v>0.25</v>
      </c>
      <c r="BK50" s="11">
        <f t="shared" si="26"/>
        <v>0.126</v>
      </c>
      <c r="BM50" s="1">
        <f t="shared" si="20"/>
        <v>0.36299999999999955</v>
      </c>
      <c r="BN50" s="1">
        <f t="shared" si="21"/>
        <v>-1.0399999999999991</v>
      </c>
    </row>
    <row r="51" spans="1:66" x14ac:dyDescent="0.2">
      <c r="A51" s="4">
        <f t="shared" si="27"/>
        <v>45703</v>
      </c>
      <c r="B51" s="1">
        <v>46</v>
      </c>
      <c r="C51" s="1">
        <v>5</v>
      </c>
      <c r="D51" s="5">
        <v>12.71</v>
      </c>
      <c r="E51" s="5">
        <v>-4.0510000000000002</v>
      </c>
      <c r="F51" s="5">
        <v>-10.01</v>
      </c>
      <c r="G51" s="5">
        <v>-7.8449999999999998</v>
      </c>
      <c r="H51" s="5">
        <v>81.8</v>
      </c>
      <c r="I51" s="5">
        <v>-2.8260000000000001</v>
      </c>
      <c r="J51" s="5">
        <v>-1.39</v>
      </c>
      <c r="K51" s="5">
        <v>-7.5999999999999998E-2</v>
      </c>
      <c r="L51" s="5">
        <v>0.61699999999999999</v>
      </c>
      <c r="M51" s="5">
        <v>1.286</v>
      </c>
      <c r="N51" s="5">
        <v>-4.84</v>
      </c>
      <c r="O51" s="5">
        <v>91.2</v>
      </c>
      <c r="P51" s="5">
        <v>-2.5470000000000002</v>
      </c>
      <c r="Q51" s="5">
        <v>-1.2370000000000001</v>
      </c>
      <c r="R51" s="5">
        <v>1E-3</v>
      </c>
      <c r="S51" s="5">
        <v>0.69799999999999995</v>
      </c>
      <c r="T51" s="5">
        <v>1.3720000000000001</v>
      </c>
      <c r="U51" s="5">
        <v>-9.65</v>
      </c>
      <c r="V51" s="5">
        <v>60.71</v>
      </c>
      <c r="W51" s="5">
        <v>-3.077</v>
      </c>
      <c r="X51" s="5">
        <v>-1.5589999999999999</v>
      </c>
      <c r="Y51" s="5">
        <v>-0.155</v>
      </c>
      <c r="Z51" s="5">
        <v>0.54800000000000004</v>
      </c>
      <c r="AA51" s="5">
        <v>1.21</v>
      </c>
      <c r="AB51" s="5">
        <v>1.962</v>
      </c>
      <c r="AC51" s="5">
        <v>-8.16</v>
      </c>
      <c r="AD51" s="5">
        <v>-5.5350000000000001</v>
      </c>
      <c r="AE51" s="5">
        <v>-10.41</v>
      </c>
      <c r="AF51" s="5">
        <v>-2.9969999999999999</v>
      </c>
      <c r="AG51" s="5">
        <v>-9.42</v>
      </c>
      <c r="AH51" s="5">
        <v>0.14499999999999999</v>
      </c>
      <c r="AI51" s="5">
        <v>1.9930000000000001</v>
      </c>
      <c r="AK51" s="1">
        <f t="shared" si="0"/>
        <v>0.63800000000000012</v>
      </c>
      <c r="AL51" s="7">
        <f t="shared" si="1"/>
        <v>-1.4</v>
      </c>
      <c r="AN51" s="1">
        <f t="shared" si="2"/>
        <v>91.2</v>
      </c>
      <c r="AO51" s="1">
        <f t="shared" si="3"/>
        <v>81.8</v>
      </c>
      <c r="AP51" s="1">
        <f t="shared" si="4"/>
        <v>60.7</v>
      </c>
      <c r="AQ51" s="18">
        <f t="shared" si="5"/>
        <v>0.25900000000000001</v>
      </c>
      <c r="AR51" s="24">
        <f t="shared" si="22"/>
        <v>0.16800000000000001</v>
      </c>
      <c r="AT51" s="20">
        <f t="shared" si="6"/>
        <v>45703</v>
      </c>
      <c r="AU51" s="21">
        <f t="shared" si="7"/>
        <v>46</v>
      </c>
      <c r="AV51" s="1">
        <f t="shared" si="8"/>
        <v>-7.8</v>
      </c>
      <c r="AW51" s="1">
        <f t="shared" si="9"/>
        <v>-4.8</v>
      </c>
      <c r="AX51" s="1">
        <f t="shared" si="10"/>
        <v>-9.6999999999999993</v>
      </c>
      <c r="AY51" s="1">
        <f t="shared" si="11"/>
        <v>81.8</v>
      </c>
      <c r="AZ51" s="1">
        <f t="shared" si="12"/>
        <v>60.7</v>
      </c>
      <c r="BA51" s="1">
        <f t="shared" si="23"/>
        <v>0.63800000000000012</v>
      </c>
      <c r="BB51" s="5">
        <f t="shared" si="24"/>
        <v>-1.4</v>
      </c>
      <c r="BC51" s="1">
        <f t="shared" si="14"/>
        <v>-8.1999999999999993</v>
      </c>
      <c r="BD51" s="1">
        <f t="shared" si="15"/>
        <v>-5.5</v>
      </c>
      <c r="BE51" s="1">
        <f t="shared" si="16"/>
        <v>-10.4</v>
      </c>
      <c r="BF51" s="5">
        <f t="shared" si="17"/>
        <v>-0.1</v>
      </c>
      <c r="BG51" s="5">
        <f t="shared" si="18"/>
        <v>0.6</v>
      </c>
      <c r="BH51" s="5">
        <f t="shared" si="19"/>
        <v>1.3</v>
      </c>
      <c r="BI51" s="5">
        <f t="shared" si="25"/>
        <v>0.14499999999999999</v>
      </c>
      <c r="BJ51" s="11">
        <f t="shared" si="26"/>
        <v>0.25900000000000001</v>
      </c>
      <c r="BK51" s="11">
        <f t="shared" si="26"/>
        <v>0.16800000000000001</v>
      </c>
      <c r="BM51" s="1">
        <f t="shared" si="20"/>
        <v>-0.69500000000000028</v>
      </c>
      <c r="BN51" s="1">
        <f t="shared" si="21"/>
        <v>-0.75999999999999979</v>
      </c>
    </row>
    <row r="52" spans="1:66" x14ac:dyDescent="0.2">
      <c r="A52" s="4">
        <f t="shared" si="27"/>
        <v>45704</v>
      </c>
      <c r="B52" s="1">
        <v>47</v>
      </c>
      <c r="C52" s="1">
        <v>5</v>
      </c>
      <c r="D52" s="5">
        <v>12.65</v>
      </c>
      <c r="E52" s="5">
        <v>-4.3330000000000002</v>
      </c>
      <c r="F52" s="5">
        <v>-8.33</v>
      </c>
      <c r="G52" s="5">
        <v>-7.28</v>
      </c>
      <c r="H52" s="5">
        <v>89.9</v>
      </c>
      <c r="I52" s="5">
        <v>-2.3660000000000001</v>
      </c>
      <c r="J52" s="5">
        <v>-1.175</v>
      </c>
      <c r="K52" s="5">
        <v>-7.2999999999999995E-2</v>
      </c>
      <c r="L52" s="5">
        <v>0.61</v>
      </c>
      <c r="M52" s="5">
        <v>1.274</v>
      </c>
      <c r="N52" s="5">
        <v>-5.1769999999999996</v>
      </c>
      <c r="O52" s="5">
        <v>93.4</v>
      </c>
      <c r="P52" s="5">
        <v>-2.129</v>
      </c>
      <c r="Q52" s="5">
        <v>-1.022</v>
      </c>
      <c r="R52" s="5">
        <v>3.0000000000000001E-3</v>
      </c>
      <c r="S52" s="5">
        <v>0.69299999999999995</v>
      </c>
      <c r="T52" s="5">
        <v>1.361</v>
      </c>
      <c r="U52" s="5">
        <v>-9.0399999999999991</v>
      </c>
      <c r="V52" s="5">
        <v>83.6</v>
      </c>
      <c r="W52" s="5">
        <v>-2.633</v>
      </c>
      <c r="X52" s="5">
        <v>-1.325</v>
      </c>
      <c r="Y52" s="5">
        <v>-0.155</v>
      </c>
      <c r="Z52" s="5">
        <v>0.52700000000000002</v>
      </c>
      <c r="AA52" s="5">
        <v>1.1970000000000001</v>
      </c>
      <c r="AB52" s="5">
        <v>1.952</v>
      </c>
      <c r="AC52" s="5">
        <v>-7.274</v>
      </c>
      <c r="AD52" s="5">
        <v>-5.4089999999999998</v>
      </c>
      <c r="AE52" s="5">
        <v>-8.89</v>
      </c>
      <c r="AF52" s="5">
        <v>-4.7329999999999997</v>
      </c>
      <c r="AG52" s="5">
        <v>-8.7899999999999991</v>
      </c>
      <c r="AH52" s="5">
        <v>0.14499999999999999</v>
      </c>
      <c r="AI52" s="5">
        <v>1.9790000000000001</v>
      </c>
      <c r="AK52" s="1">
        <f t="shared" si="0"/>
        <v>0.64800000000000013</v>
      </c>
      <c r="AL52" s="7">
        <f t="shared" si="1"/>
        <v>-1.2</v>
      </c>
      <c r="AN52" s="1">
        <f t="shared" si="2"/>
        <v>93.4</v>
      </c>
      <c r="AO52" s="1">
        <f t="shared" si="3"/>
        <v>89.9</v>
      </c>
      <c r="AP52" s="1">
        <f t="shared" si="4"/>
        <v>83.6</v>
      </c>
      <c r="AQ52" s="18">
        <f t="shared" si="5"/>
        <v>0.34699999999999998</v>
      </c>
      <c r="AR52" s="24">
        <f t="shared" si="22"/>
        <v>6.8000000000000005E-2</v>
      </c>
      <c r="AT52" s="20">
        <f t="shared" si="6"/>
        <v>45704</v>
      </c>
      <c r="AU52" s="21">
        <f t="shared" si="7"/>
        <v>47</v>
      </c>
      <c r="AV52" s="1">
        <f t="shared" si="8"/>
        <v>-7.3</v>
      </c>
      <c r="AW52" s="1">
        <f t="shared" si="9"/>
        <v>-5.2</v>
      </c>
      <c r="AX52" s="1">
        <f t="shared" si="10"/>
        <v>-9</v>
      </c>
      <c r="AY52" s="1">
        <f t="shared" si="11"/>
        <v>89.9</v>
      </c>
      <c r="AZ52" s="1">
        <f t="shared" si="12"/>
        <v>83.6</v>
      </c>
      <c r="BA52" s="1">
        <f t="shared" si="23"/>
        <v>0.64800000000000013</v>
      </c>
      <c r="BB52" s="5">
        <f t="shared" si="24"/>
        <v>-1.2</v>
      </c>
      <c r="BC52" s="1">
        <f t="shared" si="14"/>
        <v>-7.3</v>
      </c>
      <c r="BD52" s="1">
        <f t="shared" si="15"/>
        <v>-5.4</v>
      </c>
      <c r="BE52" s="1">
        <f t="shared" si="16"/>
        <v>-8.9</v>
      </c>
      <c r="BF52" s="5">
        <f t="shared" si="17"/>
        <v>-0.1</v>
      </c>
      <c r="BG52" s="5">
        <f t="shared" si="18"/>
        <v>0.6</v>
      </c>
      <c r="BH52" s="5">
        <f t="shared" si="19"/>
        <v>1.3</v>
      </c>
      <c r="BI52" s="5">
        <f t="shared" si="25"/>
        <v>0.14499999999999999</v>
      </c>
      <c r="BJ52" s="11">
        <f t="shared" si="26"/>
        <v>0.34699999999999998</v>
      </c>
      <c r="BK52" s="11">
        <f t="shared" si="26"/>
        <v>6.8000000000000005E-2</v>
      </c>
      <c r="BM52" s="1">
        <f t="shared" si="20"/>
        <v>-0.23200000000000021</v>
      </c>
      <c r="BN52" s="1">
        <f t="shared" si="21"/>
        <v>0.14999999999999858</v>
      </c>
    </row>
    <row r="53" spans="1:66" x14ac:dyDescent="0.2">
      <c r="A53" s="4">
        <f t="shared" si="27"/>
        <v>45705</v>
      </c>
      <c r="B53" s="1">
        <v>48</v>
      </c>
      <c r="C53" s="1">
        <v>5</v>
      </c>
      <c r="D53" s="5">
        <v>12.65</v>
      </c>
      <c r="E53" s="5">
        <v>-3.0640000000000001</v>
      </c>
      <c r="F53" s="5">
        <v>-7.0170000000000003</v>
      </c>
      <c r="G53" s="5">
        <v>-6.3630000000000004</v>
      </c>
      <c r="H53" s="5">
        <v>89.6</v>
      </c>
      <c r="I53" s="5">
        <v>-1.9730000000000001</v>
      </c>
      <c r="J53" s="5">
        <v>-0.97399999999999998</v>
      </c>
      <c r="K53" s="5">
        <v>-6.4000000000000001E-2</v>
      </c>
      <c r="L53" s="5">
        <v>0.60499999999999998</v>
      </c>
      <c r="M53" s="5">
        <v>1.2629999999999999</v>
      </c>
      <c r="N53" s="5">
        <v>-4.54</v>
      </c>
      <c r="O53" s="5">
        <v>93.8</v>
      </c>
      <c r="P53" s="5">
        <v>-1.7549999999999999</v>
      </c>
      <c r="Q53" s="5">
        <v>-0.83</v>
      </c>
      <c r="R53" s="5">
        <v>1.7000000000000001E-2</v>
      </c>
      <c r="S53" s="5">
        <v>0.69199999999999995</v>
      </c>
      <c r="T53" s="5">
        <v>1.351</v>
      </c>
      <c r="U53" s="5">
        <v>-7.609</v>
      </c>
      <c r="V53" s="5">
        <v>82.9</v>
      </c>
      <c r="W53" s="5">
        <v>-2.2189999999999999</v>
      </c>
      <c r="X53" s="5">
        <v>-1.1279999999999999</v>
      </c>
      <c r="Y53" s="5">
        <v>-0.14299999999999999</v>
      </c>
      <c r="Z53" s="5">
        <v>0.53900000000000003</v>
      </c>
      <c r="AA53" s="5">
        <v>1.1910000000000001</v>
      </c>
      <c r="AB53" s="5">
        <v>1.903</v>
      </c>
      <c r="AC53" s="5">
        <v>-6.69</v>
      </c>
      <c r="AD53" s="5">
        <v>-4.5019999999999998</v>
      </c>
      <c r="AE53" s="5">
        <v>-8.11</v>
      </c>
      <c r="AF53" s="5">
        <v>-3.1859999999999999</v>
      </c>
      <c r="AG53" s="5">
        <v>-7.4569999999999999</v>
      </c>
      <c r="AH53" s="5">
        <v>0.14399999999999999</v>
      </c>
      <c r="AI53" s="5">
        <v>1.927</v>
      </c>
      <c r="AK53" s="1">
        <f t="shared" si="0"/>
        <v>0.69700000000000006</v>
      </c>
      <c r="AL53" s="7">
        <f t="shared" si="1"/>
        <v>-1</v>
      </c>
      <c r="AN53" s="1">
        <f t="shared" si="2"/>
        <v>93.8</v>
      </c>
      <c r="AO53" s="1">
        <f t="shared" si="3"/>
        <v>89.6</v>
      </c>
      <c r="AP53" s="1">
        <f t="shared" si="4"/>
        <v>82.9</v>
      </c>
      <c r="AQ53" s="18">
        <f t="shared" si="5"/>
        <v>0.36099999999999999</v>
      </c>
      <c r="AR53" s="24">
        <f t="shared" si="22"/>
        <v>7.3999999999999996E-2</v>
      </c>
      <c r="AT53" s="20">
        <f t="shared" si="6"/>
        <v>45705</v>
      </c>
      <c r="AU53" s="21">
        <f t="shared" si="7"/>
        <v>48</v>
      </c>
      <c r="AV53" s="1">
        <f t="shared" si="8"/>
        <v>-6.4</v>
      </c>
      <c r="AW53" s="1">
        <f t="shared" si="9"/>
        <v>-4.5</v>
      </c>
      <c r="AX53" s="1">
        <f t="shared" si="10"/>
        <v>-7.6</v>
      </c>
      <c r="AY53" s="1">
        <f t="shared" si="11"/>
        <v>89.6</v>
      </c>
      <c r="AZ53" s="1">
        <f t="shared" si="12"/>
        <v>82.9</v>
      </c>
      <c r="BA53" s="1">
        <f t="shared" si="23"/>
        <v>0.69700000000000006</v>
      </c>
      <c r="BB53" s="5">
        <f t="shared" si="24"/>
        <v>-1</v>
      </c>
      <c r="BC53" s="1">
        <f t="shared" si="14"/>
        <v>-6.7</v>
      </c>
      <c r="BD53" s="1">
        <f t="shared" si="15"/>
        <v>-4.5</v>
      </c>
      <c r="BE53" s="1">
        <f t="shared" si="16"/>
        <v>-8.1</v>
      </c>
      <c r="BF53" s="5">
        <f t="shared" si="17"/>
        <v>-0.1</v>
      </c>
      <c r="BG53" s="5">
        <f t="shared" si="18"/>
        <v>0.6</v>
      </c>
      <c r="BH53" s="5">
        <f t="shared" si="19"/>
        <v>1.3</v>
      </c>
      <c r="BI53" s="5">
        <f t="shared" si="25"/>
        <v>0.14399999999999999</v>
      </c>
      <c r="BJ53" s="11">
        <f t="shared" si="26"/>
        <v>0.36099999999999999</v>
      </c>
      <c r="BK53" s="11">
        <f t="shared" si="26"/>
        <v>7.3999999999999996E-2</v>
      </c>
      <c r="BM53" s="1">
        <f t="shared" si="20"/>
        <v>3.8000000000000256E-2</v>
      </c>
      <c r="BN53" s="1">
        <f t="shared" si="21"/>
        <v>-0.50099999999999945</v>
      </c>
    </row>
    <row r="54" spans="1:66" x14ac:dyDescent="0.2">
      <c r="A54" s="4">
        <f t="shared" si="27"/>
        <v>45706</v>
      </c>
      <c r="B54" s="1">
        <v>49</v>
      </c>
      <c r="C54" s="1">
        <v>5</v>
      </c>
      <c r="D54" s="5">
        <v>12.61</v>
      </c>
      <c r="E54" s="5">
        <v>-3.3420000000000001</v>
      </c>
      <c r="F54" s="5">
        <v>-6.6879999999999997</v>
      </c>
      <c r="G54" s="5">
        <v>-5.9429999999999996</v>
      </c>
      <c r="H54" s="5">
        <v>90.5</v>
      </c>
      <c r="I54" s="5">
        <v>-1.66</v>
      </c>
      <c r="J54" s="5">
        <v>-0.81299999999999994</v>
      </c>
      <c r="K54" s="5">
        <v>-5.7000000000000002E-2</v>
      </c>
      <c r="L54" s="5">
        <v>0.60099999999999998</v>
      </c>
      <c r="M54" s="5">
        <v>1.2529999999999999</v>
      </c>
      <c r="N54" s="5">
        <v>-4.3129999999999997</v>
      </c>
      <c r="O54" s="5">
        <v>95</v>
      </c>
      <c r="P54" s="5">
        <v>-1.49</v>
      </c>
      <c r="Q54" s="5">
        <v>-0.68600000000000005</v>
      </c>
      <c r="R54" s="5">
        <v>2.1999999999999999E-2</v>
      </c>
      <c r="S54" s="5">
        <v>0.67200000000000004</v>
      </c>
      <c r="T54" s="5">
        <v>1.3380000000000001</v>
      </c>
      <c r="U54" s="5">
        <v>-7.2279999999999998</v>
      </c>
      <c r="V54" s="5">
        <v>82.2</v>
      </c>
      <c r="W54" s="5">
        <v>-1.845</v>
      </c>
      <c r="X54" s="5">
        <v>-0.93500000000000005</v>
      </c>
      <c r="Y54" s="5">
        <v>-0.14099999999999999</v>
      </c>
      <c r="Z54" s="5">
        <v>0.52200000000000002</v>
      </c>
      <c r="AA54" s="5">
        <v>1.1719999999999999</v>
      </c>
      <c r="AB54" s="5">
        <v>1.9450000000000001</v>
      </c>
      <c r="AC54" s="5">
        <v>-5.9290000000000003</v>
      </c>
      <c r="AD54" s="5">
        <v>-4.0019999999999998</v>
      </c>
      <c r="AE54" s="5">
        <v>-7.6230000000000002</v>
      </c>
      <c r="AF54" s="5">
        <v>-3.2749999999999999</v>
      </c>
      <c r="AG54" s="5">
        <v>-6.9930000000000003</v>
      </c>
      <c r="AH54" s="5">
        <v>0.14399999999999999</v>
      </c>
      <c r="AI54" s="5">
        <v>1.966</v>
      </c>
      <c r="AK54" s="1">
        <f t="shared" si="0"/>
        <v>0.65500000000000003</v>
      </c>
      <c r="AL54" s="7">
        <f t="shared" si="1"/>
        <v>-0.8</v>
      </c>
      <c r="AN54" s="1">
        <f t="shared" si="2"/>
        <v>95</v>
      </c>
      <c r="AO54" s="1">
        <f t="shared" si="3"/>
        <v>90.5</v>
      </c>
      <c r="AP54" s="1">
        <f t="shared" si="4"/>
        <v>82.2</v>
      </c>
      <c r="AQ54" s="18">
        <f t="shared" si="5"/>
        <v>0.36399999999999999</v>
      </c>
      <c r="AR54" s="24">
        <f t="shared" si="22"/>
        <v>7.9000000000000001E-2</v>
      </c>
      <c r="AT54" s="20">
        <f t="shared" si="6"/>
        <v>45706</v>
      </c>
      <c r="AU54" s="21">
        <f t="shared" si="7"/>
        <v>49</v>
      </c>
      <c r="AV54" s="1">
        <f t="shared" si="8"/>
        <v>-5.9</v>
      </c>
      <c r="AW54" s="1">
        <f t="shared" si="9"/>
        <v>-4.3</v>
      </c>
      <c r="AX54" s="1">
        <f t="shared" si="10"/>
        <v>-7.2</v>
      </c>
      <c r="AY54" s="1">
        <f t="shared" si="11"/>
        <v>90.5</v>
      </c>
      <c r="AZ54" s="1">
        <f t="shared" si="12"/>
        <v>82.2</v>
      </c>
      <c r="BA54" s="1">
        <f t="shared" si="23"/>
        <v>0.65500000000000003</v>
      </c>
      <c r="BB54" s="5">
        <f t="shared" si="24"/>
        <v>-0.8</v>
      </c>
      <c r="BC54" s="1">
        <f t="shared" si="14"/>
        <v>-5.9</v>
      </c>
      <c r="BD54" s="1">
        <f t="shared" si="15"/>
        <v>-4</v>
      </c>
      <c r="BE54" s="1">
        <f t="shared" si="16"/>
        <v>-7.6</v>
      </c>
      <c r="BF54" s="5">
        <f t="shared" si="17"/>
        <v>-0.1</v>
      </c>
      <c r="BG54" s="5">
        <f t="shared" si="18"/>
        <v>0.6</v>
      </c>
      <c r="BH54" s="5">
        <f t="shared" si="19"/>
        <v>1.3</v>
      </c>
      <c r="BI54" s="5">
        <f t="shared" si="25"/>
        <v>0.14399999999999999</v>
      </c>
      <c r="BJ54" s="11">
        <f t="shared" si="26"/>
        <v>0.36399999999999999</v>
      </c>
      <c r="BK54" s="11">
        <f t="shared" si="26"/>
        <v>7.9000000000000001E-2</v>
      </c>
      <c r="BM54" s="1">
        <f t="shared" si="20"/>
        <v>0.31099999999999994</v>
      </c>
      <c r="BN54" s="1">
        <f t="shared" si="21"/>
        <v>-0.39500000000000046</v>
      </c>
    </row>
    <row r="55" spans="1:66" x14ac:dyDescent="0.2">
      <c r="A55" s="4">
        <f t="shared" si="27"/>
        <v>45707</v>
      </c>
      <c r="B55" s="1">
        <v>50</v>
      </c>
      <c r="C55" s="1">
        <v>5</v>
      </c>
      <c r="D55" s="5">
        <v>12.57</v>
      </c>
      <c r="E55" s="5">
        <v>-3.3420000000000001</v>
      </c>
      <c r="F55" s="5">
        <v>-5.5469999999999997</v>
      </c>
      <c r="G55" s="5">
        <v>-5.0519999999999996</v>
      </c>
      <c r="H55" s="5">
        <v>94</v>
      </c>
      <c r="I55" s="5">
        <v>-1.4259999999999999</v>
      </c>
      <c r="J55" s="5">
        <v>-0.69399999999999995</v>
      </c>
      <c r="K55" s="5">
        <v>-4.2999999999999997E-2</v>
      </c>
      <c r="L55" s="5">
        <v>0.60499999999999998</v>
      </c>
      <c r="M55" s="5">
        <v>1.248</v>
      </c>
      <c r="N55" s="5">
        <v>-4.0730000000000004</v>
      </c>
      <c r="O55" s="5">
        <v>97.8</v>
      </c>
      <c r="P55" s="5">
        <v>-1.2949999999999999</v>
      </c>
      <c r="Q55" s="5">
        <v>-0.59599999999999997</v>
      </c>
      <c r="R55" s="5">
        <v>3.1E-2</v>
      </c>
      <c r="S55" s="5">
        <v>0.67200000000000004</v>
      </c>
      <c r="T55" s="5">
        <v>1.3169999999999999</v>
      </c>
      <c r="U55" s="5">
        <v>-6.3159999999999998</v>
      </c>
      <c r="V55" s="5">
        <v>88</v>
      </c>
      <c r="W55" s="5">
        <v>-1.585</v>
      </c>
      <c r="X55" s="5">
        <v>-0.80300000000000005</v>
      </c>
      <c r="Y55" s="5">
        <v>-0.112</v>
      </c>
      <c r="Z55" s="5">
        <v>0.54</v>
      </c>
      <c r="AA55" s="5">
        <v>1.179</v>
      </c>
      <c r="AB55" s="5">
        <v>1.9690000000000001</v>
      </c>
      <c r="AC55" s="5">
        <v>-5.0609999999999999</v>
      </c>
      <c r="AD55" s="5">
        <v>-3.9780000000000002</v>
      </c>
      <c r="AE55" s="5">
        <v>-6.1589999999999998</v>
      </c>
      <c r="AF55" s="5">
        <v>-3.5459999999999998</v>
      </c>
      <c r="AG55" s="5">
        <v>-5.9980000000000002</v>
      </c>
      <c r="AH55" s="5">
        <v>0.14299999999999999</v>
      </c>
      <c r="AI55" s="5">
        <v>1.986</v>
      </c>
      <c r="AK55" s="1">
        <f t="shared" si="0"/>
        <v>0.63100000000000001</v>
      </c>
      <c r="AL55" s="7">
        <f t="shared" si="1"/>
        <v>-0.7</v>
      </c>
      <c r="AN55" s="1">
        <f t="shared" si="2"/>
        <v>97.8</v>
      </c>
      <c r="AO55" s="1">
        <f t="shared" si="3"/>
        <v>94</v>
      </c>
      <c r="AP55" s="1">
        <f t="shared" si="4"/>
        <v>88</v>
      </c>
      <c r="AQ55" s="18">
        <f t="shared" si="5"/>
        <v>0.39700000000000002</v>
      </c>
      <c r="AR55" s="24">
        <f t="shared" si="22"/>
        <v>5.3999999999999999E-2</v>
      </c>
      <c r="AT55" s="20">
        <f t="shared" si="6"/>
        <v>45707</v>
      </c>
      <c r="AU55" s="21">
        <f t="shared" si="7"/>
        <v>50</v>
      </c>
      <c r="AV55" s="1">
        <f t="shared" si="8"/>
        <v>-5.0999999999999996</v>
      </c>
      <c r="AW55" s="1">
        <f t="shared" si="9"/>
        <v>-4.0999999999999996</v>
      </c>
      <c r="AX55" s="1">
        <f t="shared" si="10"/>
        <v>-6.3</v>
      </c>
      <c r="AY55" s="1">
        <f t="shared" si="11"/>
        <v>94</v>
      </c>
      <c r="AZ55" s="1">
        <f t="shared" si="12"/>
        <v>88</v>
      </c>
      <c r="BA55" s="1">
        <f t="shared" si="23"/>
        <v>0.63100000000000001</v>
      </c>
      <c r="BB55" s="5">
        <f t="shared" si="24"/>
        <v>-0.7</v>
      </c>
      <c r="BC55" s="1">
        <f t="shared" si="14"/>
        <v>-5.0999999999999996</v>
      </c>
      <c r="BD55" s="1">
        <f t="shared" si="15"/>
        <v>-4</v>
      </c>
      <c r="BE55" s="1">
        <f t="shared" si="16"/>
        <v>-6.2</v>
      </c>
      <c r="BF55" s="5">
        <f t="shared" si="17"/>
        <v>0</v>
      </c>
      <c r="BG55" s="5">
        <f t="shared" si="18"/>
        <v>0.6</v>
      </c>
      <c r="BH55" s="5">
        <f t="shared" si="19"/>
        <v>1.2</v>
      </c>
      <c r="BI55" s="5">
        <f t="shared" si="25"/>
        <v>0.14299999999999999</v>
      </c>
      <c r="BJ55" s="11">
        <f t="shared" si="26"/>
        <v>0.39700000000000002</v>
      </c>
      <c r="BK55" s="11">
        <f t="shared" si="26"/>
        <v>5.3999999999999999E-2</v>
      </c>
      <c r="BM55" s="1">
        <f t="shared" si="20"/>
        <v>9.5000000000000195E-2</v>
      </c>
      <c r="BN55" s="1">
        <f t="shared" si="21"/>
        <v>0.15700000000000003</v>
      </c>
    </row>
    <row r="56" spans="1:66" x14ac:dyDescent="0.2">
      <c r="A56" s="4">
        <f t="shared" si="27"/>
        <v>45708</v>
      </c>
      <c r="B56" s="1">
        <v>51</v>
      </c>
      <c r="C56" s="1">
        <v>5</v>
      </c>
      <c r="D56" s="5">
        <v>12.65</v>
      </c>
      <c r="E56" s="5">
        <v>0.84</v>
      </c>
      <c r="F56" s="5">
        <v>-4.8310000000000004</v>
      </c>
      <c r="G56" s="5">
        <v>-3.036</v>
      </c>
      <c r="H56" s="5">
        <v>87.3</v>
      </c>
      <c r="I56" s="5">
        <v>-1.222</v>
      </c>
      <c r="J56" s="5">
        <v>-0.58599999999999997</v>
      </c>
      <c r="K56" s="5">
        <v>-2.5000000000000001E-2</v>
      </c>
      <c r="L56" s="5">
        <v>0.61799999999999999</v>
      </c>
      <c r="M56" s="5">
        <v>1.2509999999999999</v>
      </c>
      <c r="N56" s="5">
        <v>-0.11600000000000001</v>
      </c>
      <c r="O56" s="5">
        <v>97.5</v>
      </c>
      <c r="P56" s="5">
        <v>-1.0580000000000001</v>
      </c>
      <c r="Q56" s="5">
        <v>-0.47399999999999998</v>
      </c>
      <c r="R56" s="5">
        <v>7.9000000000000001E-2</v>
      </c>
      <c r="S56" s="5">
        <v>0.72299999999999998</v>
      </c>
      <c r="T56" s="5">
        <v>1.3620000000000001</v>
      </c>
      <c r="U56" s="5">
        <v>-6.76</v>
      </c>
      <c r="V56" s="5">
        <v>71.86</v>
      </c>
      <c r="W56" s="5">
        <v>-1.4</v>
      </c>
      <c r="X56" s="5">
        <v>-0.71399999999999997</v>
      </c>
      <c r="Y56" s="5">
        <v>-0.11600000000000001</v>
      </c>
      <c r="Z56" s="5">
        <v>0.54300000000000004</v>
      </c>
      <c r="AA56" s="5">
        <v>1.157</v>
      </c>
      <c r="AB56" s="5">
        <v>1.93</v>
      </c>
      <c r="AC56" s="5">
        <v>-3.6139999999999999</v>
      </c>
      <c r="AD56" s="5">
        <v>-0.151</v>
      </c>
      <c r="AE56" s="5">
        <v>-7.5609999999999999</v>
      </c>
      <c r="AF56" s="5">
        <v>1.6870000000000001</v>
      </c>
      <c r="AG56" s="5">
        <v>-6.5330000000000004</v>
      </c>
      <c r="AH56" s="5">
        <v>0.14299999999999999</v>
      </c>
      <c r="AI56" s="5">
        <v>1.944</v>
      </c>
      <c r="AK56" s="1">
        <f t="shared" si="0"/>
        <v>0.67000000000000015</v>
      </c>
      <c r="AL56" s="7">
        <f t="shared" si="1"/>
        <v>-0.6</v>
      </c>
      <c r="AN56" s="1">
        <f t="shared" si="2"/>
        <v>97.5</v>
      </c>
      <c r="AO56" s="1">
        <f t="shared" si="3"/>
        <v>87.3</v>
      </c>
      <c r="AP56" s="1">
        <f t="shared" si="4"/>
        <v>71.900000000000006</v>
      </c>
      <c r="AQ56" s="18">
        <f t="shared" si="5"/>
        <v>0.435</v>
      </c>
      <c r="AR56" s="24">
        <f t="shared" si="22"/>
        <v>0.17</v>
      </c>
      <c r="AT56" s="20">
        <f t="shared" si="6"/>
        <v>45708</v>
      </c>
      <c r="AU56" s="21">
        <f t="shared" si="7"/>
        <v>51</v>
      </c>
      <c r="AV56" s="1">
        <f t="shared" si="8"/>
        <v>-3</v>
      </c>
      <c r="AW56" s="1">
        <f t="shared" si="9"/>
        <v>-0.1</v>
      </c>
      <c r="AX56" s="1">
        <f t="shared" si="10"/>
        <v>-6.8</v>
      </c>
      <c r="AY56" s="1">
        <f t="shared" si="11"/>
        <v>87.3</v>
      </c>
      <c r="AZ56" s="1">
        <f t="shared" si="12"/>
        <v>71.900000000000006</v>
      </c>
      <c r="BA56" s="1">
        <f t="shared" si="23"/>
        <v>0.67000000000000015</v>
      </c>
      <c r="BB56" s="5">
        <f t="shared" si="24"/>
        <v>-0.6</v>
      </c>
      <c r="BC56" s="1">
        <f t="shared" si="14"/>
        <v>-3.6</v>
      </c>
      <c r="BD56" s="1">
        <f t="shared" si="15"/>
        <v>-0.2</v>
      </c>
      <c r="BE56" s="1">
        <f t="shared" si="16"/>
        <v>-7.6</v>
      </c>
      <c r="BF56" s="5">
        <f t="shared" si="17"/>
        <v>0</v>
      </c>
      <c r="BG56" s="5">
        <f t="shared" si="18"/>
        <v>0.6</v>
      </c>
      <c r="BH56" s="5">
        <f t="shared" si="19"/>
        <v>1.3</v>
      </c>
      <c r="BI56" s="5">
        <f t="shared" si="25"/>
        <v>0.14299999999999999</v>
      </c>
      <c r="BJ56" s="11">
        <f t="shared" si="26"/>
        <v>0.435</v>
      </c>
      <c r="BK56" s="11">
        <f t="shared" si="26"/>
        <v>0.17</v>
      </c>
      <c r="BM56" s="1">
        <f t="shared" si="20"/>
        <v>-3.4999999999999989E-2</v>
      </c>
      <c r="BN56" s="1">
        <f t="shared" si="21"/>
        <v>-0.80100000000000016</v>
      </c>
    </row>
    <row r="57" spans="1:66" x14ac:dyDescent="0.2">
      <c r="A57" s="4">
        <f t="shared" si="27"/>
        <v>45709</v>
      </c>
      <c r="B57" s="1">
        <v>52</v>
      </c>
      <c r="C57" s="1">
        <v>5</v>
      </c>
      <c r="D57" s="5">
        <v>12.57</v>
      </c>
      <c r="E57" s="5">
        <v>-1.48</v>
      </c>
      <c r="F57" s="5">
        <v>-4.8730000000000002</v>
      </c>
      <c r="G57" s="5">
        <v>-3.7240000000000002</v>
      </c>
      <c r="H57" s="5">
        <v>94.9</v>
      </c>
      <c r="I57" s="5">
        <v>-1.0289999999999999</v>
      </c>
      <c r="J57" s="5">
        <v>-0.49399999999999999</v>
      </c>
      <c r="K57" s="5">
        <v>-2.5000000000000001E-2</v>
      </c>
      <c r="L57" s="5">
        <v>0.61299999999999999</v>
      </c>
      <c r="M57" s="5">
        <v>1.24</v>
      </c>
      <c r="N57" s="5">
        <v>-2.1739999999999999</v>
      </c>
      <c r="O57" s="5">
        <v>98.8</v>
      </c>
      <c r="P57" s="5">
        <v>-0.91700000000000004</v>
      </c>
      <c r="Q57" s="5">
        <v>-0.39200000000000002</v>
      </c>
      <c r="R57" s="5">
        <v>0.06</v>
      </c>
      <c r="S57" s="5">
        <v>0.68200000000000005</v>
      </c>
      <c r="T57" s="5">
        <v>1.3180000000000001</v>
      </c>
      <c r="U57" s="5">
        <v>-5.6520000000000001</v>
      </c>
      <c r="V57" s="5">
        <v>86.9</v>
      </c>
      <c r="W57" s="5">
        <v>-1.171</v>
      </c>
      <c r="X57" s="5">
        <v>-0.6</v>
      </c>
      <c r="Y57" s="5">
        <v>-0.09</v>
      </c>
      <c r="Z57" s="5">
        <v>0.54600000000000004</v>
      </c>
      <c r="AA57" s="5">
        <v>1.1599999999999999</v>
      </c>
      <c r="AB57" s="5">
        <v>1.88</v>
      </c>
      <c r="AC57" s="5">
        <v>-3.867</v>
      </c>
      <c r="AD57" s="5">
        <v>-2.3940000000000001</v>
      </c>
      <c r="AE57" s="5">
        <v>-6.2859999999999996</v>
      </c>
      <c r="AF57" s="5">
        <v>-1.258</v>
      </c>
      <c r="AG57" s="5">
        <v>-5.4290000000000003</v>
      </c>
      <c r="AH57" s="5">
        <v>0.14299999999999999</v>
      </c>
      <c r="AI57" s="5">
        <v>1.8919999999999999</v>
      </c>
      <c r="AK57" s="1">
        <f t="shared" si="0"/>
        <v>0.7200000000000002</v>
      </c>
      <c r="AL57" s="7">
        <f t="shared" si="1"/>
        <v>-0.5</v>
      </c>
      <c r="AN57" s="1">
        <f t="shared" si="2"/>
        <v>98.8</v>
      </c>
      <c r="AO57" s="1">
        <f t="shared" si="3"/>
        <v>94.9</v>
      </c>
      <c r="AP57" s="1">
        <f t="shared" si="4"/>
        <v>86.9</v>
      </c>
      <c r="AQ57" s="18">
        <f t="shared" si="5"/>
        <v>0.45200000000000001</v>
      </c>
      <c r="AR57" s="24">
        <f t="shared" si="22"/>
        <v>6.8000000000000005E-2</v>
      </c>
      <c r="AT57" s="20">
        <f t="shared" si="6"/>
        <v>45709</v>
      </c>
      <c r="AU57" s="21">
        <f t="shared" si="7"/>
        <v>52</v>
      </c>
      <c r="AV57" s="1">
        <f t="shared" si="8"/>
        <v>-3.7</v>
      </c>
      <c r="AW57" s="1">
        <f t="shared" si="9"/>
        <v>-2.2000000000000002</v>
      </c>
      <c r="AX57" s="1">
        <f t="shared" si="10"/>
        <v>-5.7</v>
      </c>
      <c r="AY57" s="1">
        <f t="shared" si="11"/>
        <v>94.9</v>
      </c>
      <c r="AZ57" s="1">
        <f t="shared" si="12"/>
        <v>86.9</v>
      </c>
      <c r="BA57" s="1">
        <f t="shared" si="23"/>
        <v>0.7200000000000002</v>
      </c>
      <c r="BB57" s="5">
        <f t="shared" si="24"/>
        <v>-0.5</v>
      </c>
      <c r="BC57" s="1">
        <f t="shared" si="14"/>
        <v>-3.9</v>
      </c>
      <c r="BD57" s="1">
        <f t="shared" si="15"/>
        <v>-2.4</v>
      </c>
      <c r="BE57" s="1">
        <f t="shared" si="16"/>
        <v>-6.3</v>
      </c>
      <c r="BF57" s="5">
        <f t="shared" si="17"/>
        <v>0</v>
      </c>
      <c r="BG57" s="5">
        <f t="shared" si="18"/>
        <v>0.6</v>
      </c>
      <c r="BH57" s="5">
        <f t="shared" si="19"/>
        <v>1.2</v>
      </c>
      <c r="BI57" s="5">
        <f t="shared" si="25"/>
        <v>0.14299999999999999</v>
      </c>
      <c r="BJ57" s="11">
        <f t="shared" si="26"/>
        <v>0.45200000000000001</v>
      </c>
      <c r="BK57" s="11">
        <f t="shared" si="26"/>
        <v>6.8000000000000005E-2</v>
      </c>
      <c r="BM57" s="1">
        <f t="shared" si="20"/>
        <v>-0.2200000000000002</v>
      </c>
      <c r="BN57" s="1">
        <f t="shared" si="21"/>
        <v>-0.63399999999999945</v>
      </c>
    </row>
    <row r="58" spans="1:66" x14ac:dyDescent="0.2">
      <c r="A58" s="4">
        <f t="shared" si="27"/>
        <v>45710</v>
      </c>
      <c r="B58" s="1">
        <v>53</v>
      </c>
      <c r="C58" s="1">
        <v>5</v>
      </c>
      <c r="D58" s="5">
        <v>12.54</v>
      </c>
      <c r="E58" s="5">
        <v>0.436</v>
      </c>
      <c r="F58" s="5">
        <v>-3.556</v>
      </c>
      <c r="G58" s="5">
        <v>-1.8120000000000001</v>
      </c>
      <c r="H58" s="5">
        <v>98.8</v>
      </c>
      <c r="I58" s="5">
        <v>-0.90900000000000003</v>
      </c>
      <c r="J58" s="5">
        <v>-0.42599999999999999</v>
      </c>
      <c r="K58" s="5">
        <v>-0.01</v>
      </c>
      <c r="L58" s="5">
        <v>0.625</v>
      </c>
      <c r="M58" s="5">
        <v>1.2410000000000001</v>
      </c>
      <c r="N58" s="5">
        <v>0.93899999999999995</v>
      </c>
      <c r="O58" s="5">
        <v>99.9</v>
      </c>
      <c r="P58" s="5">
        <v>-0.80600000000000005</v>
      </c>
      <c r="Q58" s="5">
        <v>-0.34</v>
      </c>
      <c r="R58" s="5">
        <v>7.1999999999999995E-2</v>
      </c>
      <c r="S58" s="5">
        <v>0.70699999999999996</v>
      </c>
      <c r="T58" s="5">
        <v>1.3149999999999999</v>
      </c>
      <c r="U58" s="5">
        <v>-4.2210000000000001</v>
      </c>
      <c r="V58" s="5">
        <v>93.9</v>
      </c>
      <c r="W58" s="5">
        <v>-1.038</v>
      </c>
      <c r="X58" s="5">
        <v>-0.53800000000000003</v>
      </c>
      <c r="Y58" s="5">
        <v>-9.5000000000000001E-2</v>
      </c>
      <c r="Z58" s="5">
        <v>0.54500000000000004</v>
      </c>
      <c r="AA58" s="5">
        <v>1.1599999999999999</v>
      </c>
      <c r="AB58" s="5">
        <v>1.883</v>
      </c>
      <c r="AC58" s="5">
        <v>-1.7589999999999999</v>
      </c>
      <c r="AD58" s="5">
        <v>0.39</v>
      </c>
      <c r="AE58" s="5">
        <v>-4.9589999999999996</v>
      </c>
      <c r="AF58" s="5">
        <v>1.2709999999999999</v>
      </c>
      <c r="AG58" s="5">
        <v>-4.0289999999999999</v>
      </c>
      <c r="AH58" s="5">
        <v>0.14299999999999999</v>
      </c>
      <c r="AI58" s="5">
        <v>1.885</v>
      </c>
      <c r="AK58" s="1">
        <f t="shared" si="0"/>
        <v>0.71700000000000008</v>
      </c>
      <c r="AL58" s="7">
        <f t="shared" si="1"/>
        <v>-0.4</v>
      </c>
      <c r="AN58" s="1">
        <f t="shared" si="2"/>
        <v>99.9</v>
      </c>
      <c r="AO58" s="1">
        <f t="shared" si="3"/>
        <v>98.8</v>
      </c>
      <c r="AP58" s="1">
        <f t="shared" si="4"/>
        <v>93.9</v>
      </c>
      <c r="AQ58" s="18">
        <f t="shared" si="5"/>
        <v>0.61399999999999999</v>
      </c>
      <c r="AR58" s="24">
        <f t="shared" si="22"/>
        <v>0.04</v>
      </c>
      <c r="AT58" s="20">
        <f t="shared" si="6"/>
        <v>45710</v>
      </c>
      <c r="AU58" s="21">
        <f t="shared" si="7"/>
        <v>53</v>
      </c>
      <c r="AV58" s="1">
        <f t="shared" si="8"/>
        <v>-1.8</v>
      </c>
      <c r="AW58" s="1">
        <f t="shared" si="9"/>
        <v>0.9</v>
      </c>
      <c r="AX58" s="1">
        <f t="shared" si="10"/>
        <v>-4.2</v>
      </c>
      <c r="AY58" s="1">
        <f t="shared" si="11"/>
        <v>98.8</v>
      </c>
      <c r="AZ58" s="1">
        <f t="shared" si="12"/>
        <v>93.9</v>
      </c>
      <c r="BA58" s="1">
        <f t="shared" si="23"/>
        <v>0.71700000000000008</v>
      </c>
      <c r="BB58" s="5">
        <f t="shared" si="24"/>
        <v>-0.4</v>
      </c>
      <c r="BC58" s="1">
        <f t="shared" si="14"/>
        <v>-1.8</v>
      </c>
      <c r="BD58" s="1">
        <f t="shared" si="15"/>
        <v>0.4</v>
      </c>
      <c r="BE58" s="1">
        <f t="shared" si="16"/>
        <v>-5</v>
      </c>
      <c r="BF58" s="5">
        <f t="shared" si="17"/>
        <v>0</v>
      </c>
      <c r="BG58" s="5">
        <f t="shared" si="18"/>
        <v>0.6</v>
      </c>
      <c r="BH58" s="5">
        <f t="shared" si="19"/>
        <v>1.2</v>
      </c>
      <c r="BI58" s="5">
        <f t="shared" si="25"/>
        <v>0.14299999999999999</v>
      </c>
      <c r="BJ58" s="11">
        <f t="shared" si="26"/>
        <v>0.61399999999999999</v>
      </c>
      <c r="BK58" s="11">
        <f t="shared" si="26"/>
        <v>0.04</v>
      </c>
      <c r="BM58" s="1">
        <f t="shared" si="20"/>
        <v>-0.54899999999999993</v>
      </c>
      <c r="BN58" s="1">
        <f t="shared" si="21"/>
        <v>-0.73799999999999955</v>
      </c>
    </row>
    <row r="59" spans="1:66" x14ac:dyDescent="0.2">
      <c r="A59" s="4">
        <f t="shared" si="27"/>
        <v>45711</v>
      </c>
      <c r="B59" s="1">
        <v>54</v>
      </c>
      <c r="C59" s="1">
        <v>5</v>
      </c>
      <c r="D59" s="5">
        <v>12.58</v>
      </c>
      <c r="E59" s="5">
        <v>2.331</v>
      </c>
      <c r="F59" s="5">
        <v>-1.2250000000000001</v>
      </c>
      <c r="G59" s="5">
        <v>-0.52700000000000002</v>
      </c>
      <c r="H59" s="5">
        <v>95.7</v>
      </c>
      <c r="I59" s="5">
        <v>-0.70299999999999996</v>
      </c>
      <c r="J59" s="5">
        <v>-0.33600000000000002</v>
      </c>
      <c r="K59" s="5">
        <v>1.2999999999999999E-2</v>
      </c>
      <c r="L59" s="5">
        <v>0.64600000000000002</v>
      </c>
      <c r="M59" s="5">
        <v>1.254</v>
      </c>
      <c r="N59" s="5">
        <v>1.3089999999999999</v>
      </c>
      <c r="O59" s="5">
        <v>99.9</v>
      </c>
      <c r="P59" s="5">
        <v>-0.504</v>
      </c>
      <c r="Q59" s="5">
        <v>-0.20599999999999999</v>
      </c>
      <c r="R59" s="5">
        <v>0.104</v>
      </c>
      <c r="S59" s="5">
        <v>0.73299999999999998</v>
      </c>
      <c r="T59" s="5">
        <v>1.345</v>
      </c>
      <c r="U59" s="5">
        <v>-2.371</v>
      </c>
      <c r="V59" s="5">
        <v>73.37</v>
      </c>
      <c r="W59" s="5">
        <v>-0.89100000000000001</v>
      </c>
      <c r="X59" s="5">
        <v>-0.46</v>
      </c>
      <c r="Y59" s="5">
        <v>-7.1999999999999995E-2</v>
      </c>
      <c r="Z59" s="5">
        <v>0.57399999999999995</v>
      </c>
      <c r="AA59" s="5">
        <v>1.179</v>
      </c>
      <c r="AB59" s="5">
        <v>1.839</v>
      </c>
      <c r="AC59" s="5">
        <v>-0.87</v>
      </c>
      <c r="AD59" s="5">
        <v>0.36099999999999999</v>
      </c>
      <c r="AE59" s="5">
        <v>-3.1619999999999999</v>
      </c>
      <c r="AF59" s="5">
        <v>2.3759999999999999</v>
      </c>
      <c r="AG59" s="5">
        <v>-2.069</v>
      </c>
      <c r="AH59" s="5">
        <v>0.14199999999999999</v>
      </c>
      <c r="AI59" s="5">
        <v>1.8460000000000001</v>
      </c>
      <c r="AK59" s="1">
        <f t="shared" si="0"/>
        <v>0.76100000000000012</v>
      </c>
      <c r="AL59" s="7">
        <f t="shared" si="1"/>
        <v>-0.3</v>
      </c>
      <c r="AN59" s="1">
        <f t="shared" si="2"/>
        <v>99.9</v>
      </c>
      <c r="AO59" s="1">
        <f t="shared" si="3"/>
        <v>95.7</v>
      </c>
      <c r="AP59" s="1">
        <f t="shared" si="4"/>
        <v>73.400000000000006</v>
      </c>
      <c r="AQ59" s="18">
        <f t="shared" si="5"/>
        <v>0.49299999999999999</v>
      </c>
      <c r="AR59" s="24">
        <f t="shared" si="22"/>
        <v>0.17899999999999999</v>
      </c>
      <c r="AT59" s="20">
        <f t="shared" si="6"/>
        <v>45711</v>
      </c>
      <c r="AU59" s="21">
        <f t="shared" si="7"/>
        <v>54</v>
      </c>
      <c r="AV59" s="1">
        <f t="shared" si="8"/>
        <v>-0.5</v>
      </c>
      <c r="AW59" s="1">
        <f t="shared" si="9"/>
        <v>1.3</v>
      </c>
      <c r="AX59" s="1">
        <f t="shared" si="10"/>
        <v>-2.4</v>
      </c>
      <c r="AY59" s="1">
        <f t="shared" si="11"/>
        <v>95.7</v>
      </c>
      <c r="AZ59" s="1">
        <f t="shared" si="12"/>
        <v>73.400000000000006</v>
      </c>
      <c r="BA59" s="1">
        <f t="shared" si="23"/>
        <v>0.76100000000000012</v>
      </c>
      <c r="BB59" s="5">
        <f t="shared" si="24"/>
        <v>-0.3</v>
      </c>
      <c r="BC59" s="1">
        <f t="shared" si="14"/>
        <v>-0.9</v>
      </c>
      <c r="BD59" s="1">
        <f t="shared" si="15"/>
        <v>0.4</v>
      </c>
      <c r="BE59" s="1">
        <f t="shared" si="16"/>
        <v>-3.2</v>
      </c>
      <c r="BF59" s="5">
        <f t="shared" si="17"/>
        <v>0</v>
      </c>
      <c r="BG59" s="5">
        <f t="shared" si="18"/>
        <v>0.6</v>
      </c>
      <c r="BH59" s="5">
        <f t="shared" si="19"/>
        <v>1.3</v>
      </c>
      <c r="BI59" s="5">
        <f t="shared" si="25"/>
        <v>0.14199999999999999</v>
      </c>
      <c r="BJ59" s="11">
        <f t="shared" si="26"/>
        <v>0.49299999999999999</v>
      </c>
      <c r="BK59" s="11">
        <f t="shared" si="26"/>
        <v>0.17899999999999999</v>
      </c>
      <c r="BM59" s="1">
        <f t="shared" si="20"/>
        <v>-0.94799999999999995</v>
      </c>
      <c r="BN59" s="1">
        <f t="shared" si="21"/>
        <v>-0.79099999999999993</v>
      </c>
    </row>
    <row r="60" spans="1:66" x14ac:dyDescent="0.2">
      <c r="A60" s="4">
        <f t="shared" si="27"/>
        <v>45712</v>
      </c>
      <c r="B60" s="1">
        <v>55</v>
      </c>
      <c r="C60" s="1">
        <v>5</v>
      </c>
      <c r="D60" s="5">
        <v>12.53</v>
      </c>
      <c r="E60" s="5">
        <v>-0.88400000000000001</v>
      </c>
      <c r="F60" s="5">
        <v>-3.879</v>
      </c>
      <c r="G60" s="5">
        <v>-2.9790000000000001</v>
      </c>
      <c r="H60" s="5">
        <v>92.6</v>
      </c>
      <c r="I60" s="5">
        <v>-0.45900000000000002</v>
      </c>
      <c r="J60" s="5">
        <v>-0.23200000000000001</v>
      </c>
      <c r="K60" s="5">
        <v>-8.9999999999999993E-3</v>
      </c>
      <c r="L60" s="5">
        <v>0.624</v>
      </c>
      <c r="M60" s="5">
        <v>1.23</v>
      </c>
      <c r="N60" s="5">
        <v>-1.843</v>
      </c>
      <c r="O60" s="5">
        <v>99.8</v>
      </c>
      <c r="P60" s="5">
        <v>-0.32500000000000001</v>
      </c>
      <c r="Q60" s="5">
        <v>-0.127</v>
      </c>
      <c r="R60" s="5">
        <v>8.2000000000000003E-2</v>
      </c>
      <c r="S60" s="5">
        <v>0.69199999999999995</v>
      </c>
      <c r="T60" s="5">
        <v>1.3160000000000001</v>
      </c>
      <c r="U60" s="5">
        <v>-5.8010000000000002</v>
      </c>
      <c r="V60" s="5">
        <v>79.02</v>
      </c>
      <c r="W60" s="5">
        <v>-0.622</v>
      </c>
      <c r="X60" s="5">
        <v>-0.35099999999999998</v>
      </c>
      <c r="Y60" s="5">
        <v>-0.10199999999999999</v>
      </c>
      <c r="Z60" s="5">
        <v>0.55600000000000005</v>
      </c>
      <c r="AA60" s="5">
        <v>1.153</v>
      </c>
      <c r="AB60" s="5">
        <v>1.8460000000000001</v>
      </c>
      <c r="AC60" s="5">
        <v>-3.6219999999999999</v>
      </c>
      <c r="AD60" s="5">
        <v>-2.1520000000000001</v>
      </c>
      <c r="AE60" s="5">
        <v>-6.9009999999999998</v>
      </c>
      <c r="AF60" s="5">
        <v>-1.284</v>
      </c>
      <c r="AG60" s="5">
        <v>-5.6210000000000004</v>
      </c>
      <c r="AH60" s="5">
        <v>0.14199999999999999</v>
      </c>
      <c r="AI60" s="5">
        <v>1.857</v>
      </c>
      <c r="AK60" s="1">
        <f t="shared" si="0"/>
        <v>0.754</v>
      </c>
      <c r="AL60" s="7">
        <f t="shared" si="1"/>
        <v>-0.2</v>
      </c>
      <c r="AN60" s="1">
        <f t="shared" si="2"/>
        <v>99.8</v>
      </c>
      <c r="AO60" s="1">
        <f t="shared" si="3"/>
        <v>92.6</v>
      </c>
      <c r="AP60" s="1">
        <f t="shared" si="4"/>
        <v>79</v>
      </c>
      <c r="AQ60" s="18">
        <f t="shared" si="5"/>
        <v>0.42099999999999999</v>
      </c>
      <c r="AR60" s="24">
        <f t="shared" si="22"/>
        <v>0.112</v>
      </c>
      <c r="AT60" s="20">
        <f t="shared" si="6"/>
        <v>45712</v>
      </c>
      <c r="AU60" s="21">
        <f t="shared" si="7"/>
        <v>55</v>
      </c>
      <c r="AV60" s="1">
        <f t="shared" si="8"/>
        <v>-3</v>
      </c>
      <c r="AW60" s="1">
        <f t="shared" si="9"/>
        <v>-1.8</v>
      </c>
      <c r="AX60" s="1">
        <f t="shared" si="10"/>
        <v>-5.8</v>
      </c>
      <c r="AY60" s="1">
        <f t="shared" si="11"/>
        <v>92.6</v>
      </c>
      <c r="AZ60" s="1">
        <f t="shared" si="12"/>
        <v>79</v>
      </c>
      <c r="BA60" s="1">
        <f t="shared" si="23"/>
        <v>0.754</v>
      </c>
      <c r="BB60" s="5">
        <f t="shared" si="24"/>
        <v>-0.2</v>
      </c>
      <c r="BC60" s="1">
        <f t="shared" si="14"/>
        <v>-3.6</v>
      </c>
      <c r="BD60" s="1">
        <f t="shared" si="15"/>
        <v>-2.2000000000000002</v>
      </c>
      <c r="BE60" s="1">
        <f t="shared" si="16"/>
        <v>-6.9</v>
      </c>
      <c r="BF60" s="5">
        <f t="shared" si="17"/>
        <v>0</v>
      </c>
      <c r="BG60" s="5">
        <f t="shared" si="18"/>
        <v>0.6</v>
      </c>
      <c r="BH60" s="5">
        <f t="shared" si="19"/>
        <v>1.2</v>
      </c>
      <c r="BI60" s="5">
        <f t="shared" si="25"/>
        <v>0.14199999999999999</v>
      </c>
      <c r="BJ60" s="11">
        <f t="shared" si="26"/>
        <v>0.42099999999999999</v>
      </c>
      <c r="BK60" s="11">
        <f t="shared" si="26"/>
        <v>0.112</v>
      </c>
      <c r="BM60" s="1">
        <f t="shared" si="20"/>
        <v>-0.30900000000000016</v>
      </c>
      <c r="BN60" s="1">
        <f t="shared" si="21"/>
        <v>-1.0999999999999996</v>
      </c>
    </row>
    <row r="61" spans="1:66" x14ac:dyDescent="0.2">
      <c r="A61" s="4">
        <f t="shared" si="27"/>
        <v>45713</v>
      </c>
      <c r="B61" s="1">
        <v>56</v>
      </c>
      <c r="C61" s="1">
        <v>5</v>
      </c>
      <c r="D61" s="5">
        <v>12.53</v>
      </c>
      <c r="E61" s="5">
        <v>1.202</v>
      </c>
      <c r="F61" s="5">
        <v>-3.0640000000000001</v>
      </c>
      <c r="G61" s="5">
        <v>-2.1339999999999999</v>
      </c>
      <c r="H61" s="5">
        <v>93.4</v>
      </c>
      <c r="I61" s="5">
        <v>-0.39100000000000001</v>
      </c>
      <c r="J61" s="5">
        <v>-0.16600000000000001</v>
      </c>
      <c r="K61" s="5">
        <v>6.0000000000000001E-3</v>
      </c>
      <c r="L61" s="5">
        <v>0.63700000000000001</v>
      </c>
      <c r="M61" s="5">
        <v>1.236</v>
      </c>
      <c r="N61" s="5">
        <v>0.123</v>
      </c>
      <c r="O61" s="5">
        <v>99.8</v>
      </c>
      <c r="P61" s="5">
        <v>-0.30499999999999999</v>
      </c>
      <c r="Q61" s="5">
        <v>-7.2999999999999995E-2</v>
      </c>
      <c r="R61" s="5">
        <v>9.7000000000000003E-2</v>
      </c>
      <c r="S61" s="5">
        <v>0.74099999999999999</v>
      </c>
      <c r="T61" s="5">
        <v>1.325</v>
      </c>
      <c r="U61" s="5">
        <v>-3.843</v>
      </c>
      <c r="V61" s="5">
        <v>85.5</v>
      </c>
      <c r="W61" s="5">
        <v>-0.47099999999999997</v>
      </c>
      <c r="X61" s="5">
        <v>-0.254</v>
      </c>
      <c r="Y61" s="5">
        <v>-6.8000000000000005E-2</v>
      </c>
      <c r="Z61" s="5">
        <v>0.55700000000000005</v>
      </c>
      <c r="AA61" s="5">
        <v>1.1559999999999999</v>
      </c>
      <c r="AB61" s="5">
        <v>1.806</v>
      </c>
      <c r="AC61" s="5">
        <v>-2.6440000000000001</v>
      </c>
      <c r="AD61" s="5">
        <v>-0.24299999999999999</v>
      </c>
      <c r="AE61" s="5">
        <v>-4.5919999999999996</v>
      </c>
      <c r="AF61" s="5">
        <v>0.63100000000000001</v>
      </c>
      <c r="AG61" s="5">
        <v>-3.6659999999999999</v>
      </c>
      <c r="AH61" s="5">
        <v>0.14199999999999999</v>
      </c>
      <c r="AI61" s="5">
        <v>1.8140000000000001</v>
      </c>
      <c r="AK61" s="1">
        <f t="shared" si="0"/>
        <v>0.79400000000000004</v>
      </c>
      <c r="AL61" s="7">
        <f t="shared" si="1"/>
        <v>-0.2</v>
      </c>
      <c r="AN61" s="1">
        <f t="shared" si="2"/>
        <v>99.8</v>
      </c>
      <c r="AO61" s="1">
        <f t="shared" si="3"/>
        <v>93.4</v>
      </c>
      <c r="AP61" s="1">
        <f t="shared" si="4"/>
        <v>85.5</v>
      </c>
      <c r="AQ61" s="18">
        <f t="shared" si="5"/>
        <v>0.52700000000000002</v>
      </c>
      <c r="AR61" s="24">
        <f t="shared" si="22"/>
        <v>8.8999999999999996E-2</v>
      </c>
      <c r="AT61" s="20">
        <f t="shared" si="6"/>
        <v>45713</v>
      </c>
      <c r="AU61" s="21">
        <f t="shared" si="7"/>
        <v>56</v>
      </c>
      <c r="AV61" s="1">
        <f t="shared" si="8"/>
        <v>-2.1</v>
      </c>
      <c r="AW61" s="1">
        <f t="shared" si="9"/>
        <v>0.1</v>
      </c>
      <c r="AX61" s="1">
        <f t="shared" si="10"/>
        <v>-3.8</v>
      </c>
      <c r="AY61" s="1">
        <f t="shared" si="11"/>
        <v>93.4</v>
      </c>
      <c r="AZ61" s="1">
        <f t="shared" si="12"/>
        <v>85.5</v>
      </c>
      <c r="BA61" s="1">
        <f t="shared" si="23"/>
        <v>0.79400000000000004</v>
      </c>
      <c r="BB61" s="5">
        <f t="shared" si="24"/>
        <v>-0.2</v>
      </c>
      <c r="BC61" s="1">
        <f t="shared" si="14"/>
        <v>-2.6</v>
      </c>
      <c r="BD61" s="1">
        <f t="shared" si="15"/>
        <v>-0.2</v>
      </c>
      <c r="BE61" s="1">
        <f t="shared" si="16"/>
        <v>-4.5999999999999996</v>
      </c>
      <c r="BF61" s="5">
        <f t="shared" si="17"/>
        <v>0</v>
      </c>
      <c r="BG61" s="5">
        <f t="shared" si="18"/>
        <v>0.6</v>
      </c>
      <c r="BH61" s="5">
        <f t="shared" si="19"/>
        <v>1.2</v>
      </c>
      <c r="BI61" s="5">
        <f t="shared" si="25"/>
        <v>0.14199999999999999</v>
      </c>
      <c r="BJ61" s="11">
        <f t="shared" si="26"/>
        <v>0.52700000000000002</v>
      </c>
      <c r="BK61" s="11">
        <f t="shared" si="26"/>
        <v>8.8999999999999996E-2</v>
      </c>
      <c r="BM61" s="1">
        <f t="shared" si="20"/>
        <v>-0.36599999999999999</v>
      </c>
      <c r="BN61" s="1">
        <f t="shared" si="21"/>
        <v>-0.74899999999999967</v>
      </c>
    </row>
    <row r="62" spans="1:66" x14ac:dyDescent="0.2">
      <c r="A62" s="4">
        <f t="shared" si="27"/>
        <v>45714</v>
      </c>
      <c r="B62" s="1">
        <v>57</v>
      </c>
      <c r="C62" s="1">
        <v>5</v>
      </c>
      <c r="D62" s="5">
        <v>12.64</v>
      </c>
      <c r="E62" s="5">
        <v>2.544</v>
      </c>
      <c r="F62" s="5">
        <v>-5.3949999999999996</v>
      </c>
      <c r="G62" s="5">
        <v>-2.4220000000000002</v>
      </c>
      <c r="H62" s="5">
        <v>93.7</v>
      </c>
      <c r="I62" s="5">
        <v>-0.38800000000000001</v>
      </c>
      <c r="J62" s="5">
        <v>-0.154</v>
      </c>
      <c r="K62" s="5">
        <v>1.6E-2</v>
      </c>
      <c r="L62" s="5">
        <v>0.64400000000000002</v>
      </c>
      <c r="M62" s="5">
        <v>1.234</v>
      </c>
      <c r="N62" s="5">
        <v>1.2270000000000001</v>
      </c>
      <c r="O62" s="5">
        <v>99.9</v>
      </c>
      <c r="P62" s="5">
        <v>-0.30099999999999999</v>
      </c>
      <c r="Q62" s="5">
        <v>-5.8000000000000003E-2</v>
      </c>
      <c r="R62" s="5">
        <v>0.11700000000000001</v>
      </c>
      <c r="S62" s="5">
        <v>0.75900000000000001</v>
      </c>
      <c r="T62" s="5">
        <v>1.3420000000000001</v>
      </c>
      <c r="U62" s="5">
        <v>-6.952</v>
      </c>
      <c r="V62" s="5">
        <v>79.89</v>
      </c>
      <c r="W62" s="5">
        <v>-0.49</v>
      </c>
      <c r="X62" s="5">
        <v>-0.25700000000000001</v>
      </c>
      <c r="Y62" s="5">
        <v>-8.4000000000000005E-2</v>
      </c>
      <c r="Z62" s="5">
        <v>0.55300000000000005</v>
      </c>
      <c r="AA62" s="5">
        <v>1.143</v>
      </c>
      <c r="AB62" s="5">
        <v>1.831</v>
      </c>
      <c r="AC62" s="5">
        <v>-3.214</v>
      </c>
      <c r="AD62" s="5">
        <v>-2E-3</v>
      </c>
      <c r="AE62" s="5">
        <v>-7.875</v>
      </c>
      <c r="AF62" s="5">
        <v>2.1789999999999998</v>
      </c>
      <c r="AG62" s="5">
        <v>-6.7080000000000002</v>
      </c>
      <c r="AH62" s="5">
        <v>0.14199999999999999</v>
      </c>
      <c r="AI62" s="5">
        <v>1.845</v>
      </c>
      <c r="AK62" s="1">
        <f t="shared" si="0"/>
        <v>0.76900000000000013</v>
      </c>
      <c r="AL62" s="7">
        <f t="shared" si="1"/>
        <v>-0.2</v>
      </c>
      <c r="AN62" s="1">
        <f t="shared" si="2"/>
        <v>99.9</v>
      </c>
      <c r="AO62" s="1">
        <f t="shared" si="3"/>
        <v>93.7</v>
      </c>
      <c r="AP62" s="1">
        <f t="shared" si="4"/>
        <v>79.900000000000006</v>
      </c>
      <c r="AQ62" s="18">
        <f t="shared" si="5"/>
        <v>0.53300000000000003</v>
      </c>
      <c r="AR62" s="24">
        <f t="shared" si="22"/>
        <v>0.13400000000000001</v>
      </c>
      <c r="AT62" s="20">
        <f t="shared" si="6"/>
        <v>45714</v>
      </c>
      <c r="AU62" s="21">
        <f t="shared" si="7"/>
        <v>57</v>
      </c>
      <c r="AV62" s="1">
        <f t="shared" si="8"/>
        <v>-2.4</v>
      </c>
      <c r="AW62" s="1">
        <f t="shared" si="9"/>
        <v>1.2</v>
      </c>
      <c r="AX62" s="1">
        <f t="shared" si="10"/>
        <v>-7</v>
      </c>
      <c r="AY62" s="1">
        <f t="shared" ref="AY62" si="29">AO62</f>
        <v>93.7</v>
      </c>
      <c r="AZ62" s="1">
        <f t="shared" ref="AZ62" si="30">AP62</f>
        <v>79.900000000000006</v>
      </c>
      <c r="BA62" s="1">
        <f t="shared" si="23"/>
        <v>0.76900000000000013</v>
      </c>
      <c r="BB62" s="5">
        <f t="shared" ref="BB62" si="31">AL62</f>
        <v>-0.2</v>
      </c>
      <c r="BC62" s="1">
        <f t="shared" si="14"/>
        <v>-3.2</v>
      </c>
      <c r="BD62" s="1">
        <f t="shared" si="15"/>
        <v>0</v>
      </c>
      <c r="BE62" s="1">
        <f t="shared" si="16"/>
        <v>-7.9</v>
      </c>
      <c r="BF62" s="5">
        <f t="shared" si="17"/>
        <v>0</v>
      </c>
      <c r="BG62" s="5">
        <f t="shared" si="18"/>
        <v>0.6</v>
      </c>
      <c r="BH62" s="5">
        <f t="shared" si="19"/>
        <v>1.2</v>
      </c>
      <c r="BI62" s="5">
        <f t="shared" si="25"/>
        <v>0.14199999999999999</v>
      </c>
      <c r="BJ62" s="11">
        <f t="shared" si="26"/>
        <v>0.53300000000000003</v>
      </c>
      <c r="BK62" s="11">
        <f t="shared" si="26"/>
        <v>0.13400000000000001</v>
      </c>
      <c r="BM62" s="1">
        <f t="shared" si="20"/>
        <v>-1.2290000000000001</v>
      </c>
      <c r="BN62" s="1">
        <f t="shared" si="21"/>
        <v>-0.92300000000000004</v>
      </c>
    </row>
    <row r="63" spans="1:66" x14ac:dyDescent="0.2">
      <c r="A63" s="4">
        <f t="shared" si="27"/>
        <v>45715</v>
      </c>
      <c r="B63" s="1">
        <v>58</v>
      </c>
      <c r="C63" s="1">
        <v>5</v>
      </c>
      <c r="D63" s="5">
        <v>12.63</v>
      </c>
      <c r="E63" s="5">
        <v>2.46</v>
      </c>
      <c r="F63" s="5">
        <v>-5.2869999999999999</v>
      </c>
      <c r="G63" s="5">
        <v>-1.82</v>
      </c>
      <c r="H63" s="5">
        <v>96.2</v>
      </c>
      <c r="I63" s="5">
        <v>-0.379</v>
      </c>
      <c r="J63" s="5">
        <v>-0.14399999999999999</v>
      </c>
      <c r="K63" s="5">
        <v>2.9000000000000001E-2</v>
      </c>
      <c r="L63" s="5">
        <v>0.65400000000000003</v>
      </c>
      <c r="M63" s="5">
        <v>1.238</v>
      </c>
      <c r="N63" s="5">
        <v>3.4359999999999999</v>
      </c>
      <c r="O63" s="5">
        <v>99.9</v>
      </c>
      <c r="P63" s="5">
        <v>-0.29899999999999999</v>
      </c>
      <c r="Q63" s="5">
        <v>-4.2999999999999997E-2</v>
      </c>
      <c r="R63" s="5">
        <v>0.13</v>
      </c>
      <c r="S63" s="5">
        <v>0.754</v>
      </c>
      <c r="T63" s="5">
        <v>1.35</v>
      </c>
      <c r="U63" s="5">
        <v>-6.4119999999999999</v>
      </c>
      <c r="V63" s="5">
        <v>65.94</v>
      </c>
      <c r="W63" s="5">
        <v>-0.45700000000000002</v>
      </c>
      <c r="X63" s="5">
        <v>-0.23599999999999999</v>
      </c>
      <c r="Y63" s="5">
        <v>-6.3E-2</v>
      </c>
      <c r="Z63" s="5">
        <v>0.57099999999999995</v>
      </c>
      <c r="AA63" s="5">
        <v>1.149</v>
      </c>
      <c r="AB63" s="5">
        <v>1.8480000000000001</v>
      </c>
      <c r="AC63" s="5">
        <v>-2.976</v>
      </c>
      <c r="AD63" s="5">
        <v>0.17699999999999999</v>
      </c>
      <c r="AE63" s="5">
        <v>-7.2220000000000004</v>
      </c>
      <c r="AF63" s="5">
        <v>4.5250000000000004</v>
      </c>
      <c r="AG63" s="5">
        <v>-6.0549999999999997</v>
      </c>
      <c r="AH63" s="5">
        <v>0.14199999999999999</v>
      </c>
      <c r="AI63" s="5">
        <v>1.855</v>
      </c>
      <c r="AK63" s="1">
        <f t="shared" si="0"/>
        <v>0.752</v>
      </c>
      <c r="AL63" s="7">
        <f t="shared" si="1"/>
        <v>-0.2</v>
      </c>
      <c r="AN63" s="1">
        <f t="shared" si="2"/>
        <v>99.9</v>
      </c>
      <c r="AO63" s="1">
        <f t="shared" si="3"/>
        <v>96.2</v>
      </c>
      <c r="AP63" s="1">
        <f t="shared" si="4"/>
        <v>65.900000000000006</v>
      </c>
      <c r="AQ63" s="18">
        <f t="shared" si="5"/>
        <v>0.51500000000000001</v>
      </c>
      <c r="AR63" s="24">
        <f t="shared" si="22"/>
        <v>0.26600000000000001</v>
      </c>
      <c r="AT63" s="20">
        <f t="shared" si="6"/>
        <v>45715</v>
      </c>
      <c r="AU63" s="21">
        <f t="shared" si="7"/>
        <v>58</v>
      </c>
      <c r="AV63" s="1">
        <f t="shared" si="8"/>
        <v>-1.8</v>
      </c>
      <c r="AW63" s="1">
        <f t="shared" si="9"/>
        <v>3.4</v>
      </c>
      <c r="AX63" s="1">
        <f t="shared" si="10"/>
        <v>-6.4</v>
      </c>
      <c r="AY63" s="1">
        <f t="shared" si="11"/>
        <v>96.2</v>
      </c>
      <c r="AZ63" s="1">
        <f t="shared" si="12"/>
        <v>65.900000000000006</v>
      </c>
      <c r="BA63" s="1">
        <f t="shared" si="23"/>
        <v>0.752</v>
      </c>
      <c r="BB63" s="5">
        <f t="shared" si="24"/>
        <v>-0.2</v>
      </c>
      <c r="BC63" s="1">
        <f t="shared" si="14"/>
        <v>-3</v>
      </c>
      <c r="BD63" s="1">
        <f t="shared" si="15"/>
        <v>0.2</v>
      </c>
      <c r="BE63" s="1">
        <f t="shared" si="16"/>
        <v>-7.2</v>
      </c>
      <c r="BF63" s="5">
        <f t="shared" si="17"/>
        <v>0</v>
      </c>
      <c r="BG63" s="5">
        <f t="shared" si="18"/>
        <v>0.7</v>
      </c>
      <c r="BH63" s="5">
        <f t="shared" si="19"/>
        <v>1.2</v>
      </c>
      <c r="BI63" s="5">
        <f t="shared" si="25"/>
        <v>0.14199999999999999</v>
      </c>
      <c r="BJ63" s="11">
        <f t="shared" si="26"/>
        <v>0.51500000000000001</v>
      </c>
      <c r="BK63" s="11">
        <f t="shared" si="26"/>
        <v>0.26600000000000001</v>
      </c>
      <c r="BM63" s="1">
        <f t="shared" si="20"/>
        <v>-3.2589999999999999</v>
      </c>
      <c r="BN63" s="1">
        <f t="shared" si="21"/>
        <v>-0.8100000000000005</v>
      </c>
    </row>
    <row r="64" spans="1:66" x14ac:dyDescent="0.2">
      <c r="A64" s="4">
        <f t="shared" si="27"/>
        <v>45716</v>
      </c>
      <c r="B64" s="1">
        <v>59</v>
      </c>
      <c r="C64" s="1">
        <v>5</v>
      </c>
      <c r="D64" s="5">
        <v>12.69</v>
      </c>
      <c r="E64" s="5">
        <v>4.9660000000000002</v>
      </c>
      <c r="F64" s="5">
        <v>-2.6349999999999998</v>
      </c>
      <c r="G64" s="5">
        <v>-0.71399999999999997</v>
      </c>
      <c r="H64" s="5">
        <v>93.3</v>
      </c>
      <c r="I64" s="5">
        <v>-0.35199999999999998</v>
      </c>
      <c r="J64" s="5">
        <v>-0.126</v>
      </c>
      <c r="K64" s="5">
        <v>4.8000000000000001E-2</v>
      </c>
      <c r="L64" s="5">
        <v>0.67400000000000004</v>
      </c>
      <c r="M64" s="5">
        <v>1.2509999999999999</v>
      </c>
      <c r="N64" s="5">
        <v>5.0030000000000001</v>
      </c>
      <c r="O64" s="5">
        <v>99.9</v>
      </c>
      <c r="P64" s="5">
        <v>-0.218</v>
      </c>
      <c r="Q64" s="5">
        <v>-2.3E-2</v>
      </c>
      <c r="R64" s="5">
        <v>0.16400000000000001</v>
      </c>
      <c r="S64" s="5">
        <v>0.78800000000000003</v>
      </c>
      <c r="T64" s="5">
        <v>1.37</v>
      </c>
      <c r="U64" s="5">
        <v>-3.4140000000000001</v>
      </c>
      <c r="V64" s="5">
        <v>63.49</v>
      </c>
      <c r="W64" s="5">
        <v>-0.46899999999999997</v>
      </c>
      <c r="X64" s="5">
        <v>-0.22700000000000001</v>
      </c>
      <c r="Y64" s="5">
        <v>-5.3999999999999999E-2</v>
      </c>
      <c r="Z64" s="5">
        <v>0.58299999999999996</v>
      </c>
      <c r="AA64" s="5">
        <v>1.153</v>
      </c>
      <c r="AB64" s="5">
        <v>1.867</v>
      </c>
      <c r="AC64" s="5">
        <v>-2.0150000000000001</v>
      </c>
      <c r="AD64" s="5">
        <v>1.1220000000000001</v>
      </c>
      <c r="AE64" s="5">
        <v>-4.3289999999999997</v>
      </c>
      <c r="AF64" s="5">
        <v>8.36</v>
      </c>
      <c r="AG64" s="5">
        <v>-3.02</v>
      </c>
      <c r="AH64" s="5">
        <v>0.14199999999999999</v>
      </c>
      <c r="AI64" s="5">
        <v>1.8779999999999999</v>
      </c>
      <c r="AK64" s="1">
        <f t="shared" si="0"/>
        <v>0.7330000000000001</v>
      </c>
      <c r="AL64" s="7">
        <f t="shared" si="1"/>
        <v>-0.1</v>
      </c>
      <c r="AN64" s="1">
        <f t="shared" si="2"/>
        <v>99.9</v>
      </c>
      <c r="AO64" s="1">
        <f t="shared" si="3"/>
        <v>93.3</v>
      </c>
      <c r="AP64" s="1">
        <f t="shared" si="4"/>
        <v>63.5</v>
      </c>
      <c r="AQ64" s="18">
        <f t="shared" si="5"/>
        <v>0.55400000000000005</v>
      </c>
      <c r="AR64" s="24">
        <f t="shared" si="22"/>
        <v>0.318</v>
      </c>
      <c r="AT64" s="20">
        <f t="shared" si="6"/>
        <v>45716</v>
      </c>
      <c r="AU64" s="21">
        <f t="shared" si="7"/>
        <v>59</v>
      </c>
      <c r="AV64" s="1">
        <f t="shared" si="8"/>
        <v>-0.7</v>
      </c>
      <c r="AW64" s="1">
        <f t="shared" si="9"/>
        <v>5</v>
      </c>
      <c r="AX64" s="1">
        <f t="shared" si="10"/>
        <v>-3.4</v>
      </c>
      <c r="AY64" s="1">
        <f t="shared" si="11"/>
        <v>93.3</v>
      </c>
      <c r="AZ64" s="1">
        <f t="shared" si="12"/>
        <v>63.5</v>
      </c>
      <c r="BA64" s="1">
        <f t="shared" si="23"/>
        <v>0.7330000000000001</v>
      </c>
      <c r="BB64" s="5">
        <f t="shared" si="24"/>
        <v>-0.1</v>
      </c>
      <c r="BC64" s="1">
        <f t="shared" si="14"/>
        <v>-2</v>
      </c>
      <c r="BD64" s="1">
        <f t="shared" si="15"/>
        <v>1.1000000000000001</v>
      </c>
      <c r="BE64" s="1">
        <f t="shared" si="16"/>
        <v>-4.3</v>
      </c>
      <c r="BF64" s="5">
        <f t="shared" si="17"/>
        <v>0</v>
      </c>
      <c r="BG64" s="5">
        <f t="shared" si="18"/>
        <v>0.7</v>
      </c>
      <c r="BH64" s="5">
        <f t="shared" si="19"/>
        <v>1.3</v>
      </c>
      <c r="BI64" s="5">
        <f t="shared" si="25"/>
        <v>0.14199999999999999</v>
      </c>
      <c r="BJ64" s="11">
        <f t="shared" si="26"/>
        <v>0.55400000000000005</v>
      </c>
      <c r="BK64" s="11">
        <f t="shared" si="26"/>
        <v>0.318</v>
      </c>
      <c r="BM64" s="1">
        <f t="shared" si="20"/>
        <v>-3.8810000000000002</v>
      </c>
      <c r="BN64" s="1">
        <f t="shared" si="21"/>
        <v>-0.91499999999999959</v>
      </c>
    </row>
    <row r="65" spans="1:66" x14ac:dyDescent="0.2">
      <c r="A65" s="4">
        <f t="shared" si="27"/>
        <v>45717</v>
      </c>
      <c r="B65" s="1">
        <v>60</v>
      </c>
      <c r="C65" s="1">
        <v>5</v>
      </c>
      <c r="D65" s="5">
        <v>12.74</v>
      </c>
      <c r="E65" s="5">
        <v>5.7880000000000003</v>
      </c>
      <c r="F65" s="5">
        <v>-4.3330000000000002</v>
      </c>
      <c r="G65" s="5">
        <v>-0.89200000000000002</v>
      </c>
      <c r="H65" s="5">
        <v>86.4</v>
      </c>
      <c r="I65" s="5">
        <v>-0.16600000000000001</v>
      </c>
      <c r="J65" s="5">
        <v>-5.5E-2</v>
      </c>
      <c r="K65" s="5">
        <v>5.6000000000000001E-2</v>
      </c>
      <c r="L65" s="5">
        <v>0.67500000000000004</v>
      </c>
      <c r="M65" s="5">
        <v>1.2470000000000001</v>
      </c>
      <c r="N65" s="5">
        <v>6.3460000000000001</v>
      </c>
      <c r="O65" s="5">
        <v>99.9</v>
      </c>
      <c r="P65" s="5">
        <v>-1.9E-2</v>
      </c>
      <c r="Q65" s="5">
        <v>7.0000000000000007E-2</v>
      </c>
      <c r="R65" s="5">
        <v>0.17199999999999999</v>
      </c>
      <c r="S65" s="5">
        <v>0.78700000000000003</v>
      </c>
      <c r="T65" s="5">
        <v>1.369</v>
      </c>
      <c r="U65" s="5">
        <v>-5.5129999999999999</v>
      </c>
      <c r="V65" s="5">
        <v>55.71</v>
      </c>
      <c r="W65" s="5">
        <v>-0.32100000000000001</v>
      </c>
      <c r="X65" s="5">
        <v>-0.16</v>
      </c>
      <c r="Y65" s="5">
        <v>-5.0999999999999997E-2</v>
      </c>
      <c r="Z65" s="5">
        <v>0.57899999999999996</v>
      </c>
      <c r="AA65" s="5">
        <v>1.147</v>
      </c>
      <c r="AB65" s="5">
        <v>1.875</v>
      </c>
      <c r="AC65" s="5">
        <v>-2.613</v>
      </c>
      <c r="AD65" s="5">
        <v>1.702</v>
      </c>
      <c r="AE65" s="5">
        <v>-9.1999999999999993</v>
      </c>
      <c r="AF65" s="5">
        <v>10.46</v>
      </c>
      <c r="AG65" s="5">
        <v>-5.319</v>
      </c>
      <c r="AH65" s="5">
        <v>0.14399999999999999</v>
      </c>
      <c r="AI65" s="5">
        <v>1.889</v>
      </c>
      <c r="AK65" s="1">
        <f t="shared" si="0"/>
        <v>0.72500000000000009</v>
      </c>
      <c r="AL65" s="7">
        <f t="shared" si="1"/>
        <v>-0.1</v>
      </c>
      <c r="AN65" s="1">
        <f t="shared" si="2"/>
        <v>99.9</v>
      </c>
      <c r="AO65" s="1">
        <f t="shared" si="3"/>
        <v>86.4</v>
      </c>
      <c r="AP65" s="1">
        <f t="shared" si="4"/>
        <v>55.7</v>
      </c>
      <c r="AQ65" s="18">
        <f t="shared" si="5"/>
        <v>0.53300000000000003</v>
      </c>
      <c r="AR65" s="24">
        <f t="shared" si="22"/>
        <v>0.42399999999999999</v>
      </c>
      <c r="AT65" s="20">
        <f t="shared" si="6"/>
        <v>45717</v>
      </c>
      <c r="AU65" s="21">
        <f t="shared" si="7"/>
        <v>60</v>
      </c>
      <c r="AV65" s="1">
        <f t="shared" si="8"/>
        <v>-0.9</v>
      </c>
      <c r="AW65" s="1">
        <f t="shared" si="9"/>
        <v>6.3</v>
      </c>
      <c r="AX65" s="1">
        <f t="shared" si="10"/>
        <v>-5.5</v>
      </c>
      <c r="AY65" s="1">
        <f t="shared" si="11"/>
        <v>86.4</v>
      </c>
      <c r="AZ65" s="1">
        <f t="shared" si="12"/>
        <v>55.7</v>
      </c>
      <c r="BA65" s="1">
        <f t="shared" si="23"/>
        <v>0.72500000000000009</v>
      </c>
      <c r="BB65" s="5">
        <f t="shared" si="24"/>
        <v>-0.1</v>
      </c>
      <c r="BC65" s="1">
        <f t="shared" si="14"/>
        <v>-2.6</v>
      </c>
      <c r="BD65" s="1">
        <f t="shared" si="15"/>
        <v>1.7</v>
      </c>
      <c r="BE65" s="1">
        <f t="shared" si="16"/>
        <v>-9.1999999999999993</v>
      </c>
      <c r="BF65" s="5">
        <f t="shared" si="17"/>
        <v>0.1</v>
      </c>
      <c r="BG65" s="5">
        <f t="shared" si="18"/>
        <v>0.7</v>
      </c>
      <c r="BH65" s="5">
        <f t="shared" si="19"/>
        <v>1.2</v>
      </c>
      <c r="BI65" s="5">
        <f t="shared" si="25"/>
        <v>0.14399999999999999</v>
      </c>
      <c r="BJ65" s="11">
        <f t="shared" si="26"/>
        <v>0.53300000000000003</v>
      </c>
      <c r="BK65" s="11">
        <f t="shared" si="26"/>
        <v>0.42399999999999999</v>
      </c>
      <c r="BM65" s="1">
        <f t="shared" si="20"/>
        <v>-4.6440000000000001</v>
      </c>
      <c r="BN65" s="1">
        <f t="shared" si="21"/>
        <v>-3.6869999999999994</v>
      </c>
    </row>
    <row r="66" spans="1:66" x14ac:dyDescent="0.2">
      <c r="A66" s="4">
        <f t="shared" si="27"/>
        <v>45718</v>
      </c>
      <c r="B66" s="1">
        <v>61</v>
      </c>
      <c r="C66" s="1">
        <v>5</v>
      </c>
      <c r="D66" s="5">
        <v>12.76</v>
      </c>
      <c r="E66" s="5">
        <v>5.0739999999999998</v>
      </c>
      <c r="F66" s="5">
        <v>-5.0039999999999996</v>
      </c>
      <c r="G66" s="5">
        <v>-0.872</v>
      </c>
      <c r="H66" s="5">
        <v>81.400000000000006</v>
      </c>
      <c r="I66" s="5">
        <v>-3.4000000000000002E-2</v>
      </c>
      <c r="J66" s="5">
        <v>-1.2E-2</v>
      </c>
      <c r="K66" s="5">
        <v>7.0999999999999994E-2</v>
      </c>
      <c r="L66" s="5">
        <v>0.68200000000000005</v>
      </c>
      <c r="M66" s="5">
        <v>1.248</v>
      </c>
      <c r="N66" s="5">
        <v>5.3860000000000001</v>
      </c>
      <c r="O66" s="5">
        <v>96</v>
      </c>
      <c r="P66" s="5">
        <v>9.7000000000000003E-2</v>
      </c>
      <c r="Q66" s="5">
        <v>0.115</v>
      </c>
      <c r="R66" s="5">
        <v>0.17699999999999999</v>
      </c>
      <c r="S66" s="5">
        <v>0.80100000000000005</v>
      </c>
      <c r="T66" s="5">
        <v>1.3779999999999999</v>
      </c>
      <c r="U66" s="5">
        <v>-5.7880000000000003</v>
      </c>
      <c r="V66" s="5">
        <v>48.11</v>
      </c>
      <c r="W66" s="5">
        <v>-0.14599999999999999</v>
      </c>
      <c r="X66" s="5">
        <v>-0.13</v>
      </c>
      <c r="Y66" s="5">
        <v>-2.3E-2</v>
      </c>
      <c r="Z66" s="5">
        <v>0.59199999999999997</v>
      </c>
      <c r="AA66" s="5">
        <v>1.1499999999999999</v>
      </c>
      <c r="AB66" s="5">
        <v>1.89</v>
      </c>
      <c r="AC66" s="5">
        <v>-1.972</v>
      </c>
      <c r="AD66" s="5">
        <v>2.323</v>
      </c>
      <c r="AE66" s="5">
        <v>-7.7069999999999999</v>
      </c>
      <c r="AF66" s="5">
        <v>8.39</v>
      </c>
      <c r="AG66" s="5">
        <v>-5.5430000000000001</v>
      </c>
      <c r="AH66" s="5">
        <v>0.14699999999999999</v>
      </c>
      <c r="AI66" s="5">
        <v>1.8959999999999999</v>
      </c>
      <c r="AK66" s="1">
        <f t="shared" si="0"/>
        <v>0.71000000000000019</v>
      </c>
      <c r="AL66" s="7">
        <f t="shared" si="1"/>
        <v>0</v>
      </c>
      <c r="AN66" s="1">
        <f t="shared" si="2"/>
        <v>96</v>
      </c>
      <c r="AO66" s="1">
        <f t="shared" si="3"/>
        <v>81.400000000000006</v>
      </c>
      <c r="AP66" s="1">
        <f t="shared" si="4"/>
        <v>48.1</v>
      </c>
      <c r="AQ66" s="18">
        <f t="shared" si="5"/>
        <v>0.43099999999999999</v>
      </c>
      <c r="AR66" s="24">
        <f t="shared" si="22"/>
        <v>0.46500000000000002</v>
      </c>
      <c r="AT66" s="20">
        <f t="shared" si="6"/>
        <v>45718</v>
      </c>
      <c r="AU66" s="21">
        <f t="shared" si="7"/>
        <v>61</v>
      </c>
      <c r="AV66" s="1">
        <f t="shared" si="8"/>
        <v>-0.9</v>
      </c>
      <c r="AW66" s="1">
        <f t="shared" si="9"/>
        <v>5.4</v>
      </c>
      <c r="AX66" s="1">
        <f t="shared" si="10"/>
        <v>-5.8</v>
      </c>
      <c r="AY66" s="1">
        <f t="shared" si="11"/>
        <v>81.400000000000006</v>
      </c>
      <c r="AZ66" s="1">
        <f t="shared" si="12"/>
        <v>48.1</v>
      </c>
      <c r="BA66" s="1">
        <f t="shared" si="23"/>
        <v>0.71000000000000019</v>
      </c>
      <c r="BB66" s="5">
        <f t="shared" si="24"/>
        <v>0</v>
      </c>
      <c r="BC66" s="1">
        <f t="shared" si="14"/>
        <v>-2</v>
      </c>
      <c r="BD66" s="1">
        <f t="shared" si="15"/>
        <v>2.2999999999999998</v>
      </c>
      <c r="BE66" s="1">
        <f t="shared" si="16"/>
        <v>-7.7</v>
      </c>
      <c r="BF66" s="5">
        <f t="shared" si="17"/>
        <v>0.1</v>
      </c>
      <c r="BG66" s="5">
        <f t="shared" si="18"/>
        <v>0.7</v>
      </c>
      <c r="BH66" s="5">
        <f t="shared" si="19"/>
        <v>1.2</v>
      </c>
      <c r="BI66" s="5">
        <f t="shared" si="25"/>
        <v>0.14699999999999999</v>
      </c>
      <c r="BJ66" s="11">
        <f t="shared" si="26"/>
        <v>0.43099999999999999</v>
      </c>
      <c r="BK66" s="11">
        <f t="shared" si="26"/>
        <v>0.46500000000000002</v>
      </c>
      <c r="BM66" s="1">
        <f t="shared" si="20"/>
        <v>-3.0630000000000002</v>
      </c>
      <c r="BN66" s="1">
        <f t="shared" si="21"/>
        <v>-1.9189999999999996</v>
      </c>
    </row>
    <row r="67" spans="1:66" x14ac:dyDescent="0.2">
      <c r="A67" s="4">
        <f t="shared" si="27"/>
        <v>45719</v>
      </c>
      <c r="B67" s="1">
        <v>62</v>
      </c>
      <c r="C67" s="1">
        <v>5</v>
      </c>
      <c r="D67" s="5">
        <v>12.79</v>
      </c>
      <c r="E67" s="5">
        <v>2.2879999999999998</v>
      </c>
      <c r="F67" s="5">
        <v>-5.4379999999999997</v>
      </c>
      <c r="G67" s="5">
        <v>-2.431</v>
      </c>
      <c r="H67" s="5">
        <v>76.87</v>
      </c>
      <c r="I67" s="5">
        <v>-0.03</v>
      </c>
      <c r="J67" s="5">
        <v>-8.0000000000000002E-3</v>
      </c>
      <c r="K67" s="5">
        <v>7.9000000000000001E-2</v>
      </c>
      <c r="L67" s="5">
        <v>0.68200000000000005</v>
      </c>
      <c r="M67" s="5">
        <v>1.2430000000000001</v>
      </c>
      <c r="N67" s="5">
        <v>1.0349999999999999</v>
      </c>
      <c r="O67" s="5">
        <v>91.9</v>
      </c>
      <c r="P67" s="5">
        <v>7.0999999999999994E-2</v>
      </c>
      <c r="Q67" s="5">
        <v>9.5000000000000001E-2</v>
      </c>
      <c r="R67" s="5">
        <v>0.16900000000000001</v>
      </c>
      <c r="S67" s="5">
        <v>0.8</v>
      </c>
      <c r="T67" s="5">
        <v>1.343</v>
      </c>
      <c r="U67" s="5">
        <v>-7.9</v>
      </c>
      <c r="V67" s="5">
        <v>56.48</v>
      </c>
      <c r="W67" s="5">
        <v>-0.112</v>
      </c>
      <c r="X67" s="5">
        <v>-9.6000000000000002E-2</v>
      </c>
      <c r="Y67" s="5">
        <v>-3.0000000000000001E-3</v>
      </c>
      <c r="Z67" s="5">
        <v>0.60099999999999998</v>
      </c>
      <c r="AA67" s="5">
        <v>1.1399999999999999</v>
      </c>
      <c r="AB67" s="5">
        <v>1.9</v>
      </c>
      <c r="AC67" s="5">
        <v>-3.2080000000000002</v>
      </c>
      <c r="AD67" s="5">
        <v>1.0720000000000001</v>
      </c>
      <c r="AE67" s="5">
        <v>-8.4499999999999993</v>
      </c>
      <c r="AF67" s="5">
        <v>3.9489999999999998</v>
      </c>
      <c r="AG67" s="5">
        <v>-7.665</v>
      </c>
      <c r="AH67" s="5">
        <v>0.14899999999999999</v>
      </c>
      <c r="AI67" s="5">
        <v>1.9279999999999999</v>
      </c>
      <c r="AK67" s="1">
        <f t="shared" si="0"/>
        <v>0.70000000000000018</v>
      </c>
      <c r="AL67" s="7">
        <f t="shared" si="1"/>
        <v>0</v>
      </c>
      <c r="AN67" s="1">
        <f t="shared" si="2"/>
        <v>91.9</v>
      </c>
      <c r="AO67" s="1">
        <f t="shared" si="3"/>
        <v>76.900000000000006</v>
      </c>
      <c r="AP67" s="1">
        <f t="shared" si="4"/>
        <v>56.5</v>
      </c>
      <c r="AQ67" s="18">
        <f t="shared" si="5"/>
        <v>0.372</v>
      </c>
      <c r="AR67" s="24">
        <f t="shared" si="22"/>
        <v>0.28599999999999998</v>
      </c>
      <c r="AT67" s="20">
        <f t="shared" si="6"/>
        <v>45719</v>
      </c>
      <c r="AU67" s="21">
        <f t="shared" si="7"/>
        <v>62</v>
      </c>
      <c r="AV67" s="1">
        <f t="shared" si="8"/>
        <v>-2.4</v>
      </c>
      <c r="AW67" s="1">
        <f t="shared" si="9"/>
        <v>1</v>
      </c>
      <c r="AX67" s="1">
        <f t="shared" si="10"/>
        <v>-7.9</v>
      </c>
      <c r="AY67" s="1">
        <f t="shared" si="11"/>
        <v>76.900000000000006</v>
      </c>
      <c r="AZ67" s="1">
        <f t="shared" si="12"/>
        <v>56.5</v>
      </c>
      <c r="BA67" s="1">
        <f t="shared" si="23"/>
        <v>0.70000000000000018</v>
      </c>
      <c r="BB67" s="5">
        <f t="shared" si="24"/>
        <v>0</v>
      </c>
      <c r="BC67" s="1">
        <f t="shared" si="14"/>
        <v>-3.2</v>
      </c>
      <c r="BD67" s="1">
        <f t="shared" si="15"/>
        <v>1.1000000000000001</v>
      </c>
      <c r="BE67" s="1">
        <f t="shared" si="16"/>
        <v>-8.5</v>
      </c>
      <c r="BF67" s="5">
        <f t="shared" si="17"/>
        <v>0.1</v>
      </c>
      <c r="BG67" s="5">
        <f t="shared" si="18"/>
        <v>0.7</v>
      </c>
      <c r="BH67" s="5">
        <f t="shared" si="19"/>
        <v>1.2</v>
      </c>
      <c r="BI67" s="5">
        <f t="shared" si="25"/>
        <v>0.14899999999999999</v>
      </c>
      <c r="BJ67" s="11">
        <f t="shared" si="26"/>
        <v>0.372</v>
      </c>
      <c r="BK67" s="11">
        <f t="shared" si="26"/>
        <v>0.28599999999999998</v>
      </c>
      <c r="BM67" s="1">
        <f t="shared" si="20"/>
        <v>3.7000000000000144E-2</v>
      </c>
      <c r="BN67" s="1">
        <f t="shared" si="21"/>
        <v>-0.54999999999999893</v>
      </c>
    </row>
    <row r="68" spans="1:66" x14ac:dyDescent="0.2">
      <c r="A68" s="4">
        <f t="shared" si="27"/>
        <v>45720</v>
      </c>
      <c r="B68" s="1">
        <v>63</v>
      </c>
      <c r="C68" s="1">
        <v>5</v>
      </c>
      <c r="D68" s="5">
        <v>12.78</v>
      </c>
      <c r="E68" s="5">
        <v>2.609</v>
      </c>
      <c r="F68" s="5">
        <v>-9.14</v>
      </c>
      <c r="G68" s="5">
        <v>-3.8849999999999998</v>
      </c>
      <c r="H68" s="5">
        <v>81.5</v>
      </c>
      <c r="I68" s="5">
        <v>-0.19800000000000001</v>
      </c>
      <c r="J68" s="5">
        <v>-3.3000000000000002E-2</v>
      </c>
      <c r="K68" s="5">
        <v>8.5999999999999993E-2</v>
      </c>
      <c r="L68" s="5">
        <v>0.67400000000000004</v>
      </c>
      <c r="M68" s="5">
        <v>1.23</v>
      </c>
      <c r="N68" s="5">
        <v>2.5219999999999998</v>
      </c>
      <c r="O68" s="5">
        <v>97.4</v>
      </c>
      <c r="P68" s="5">
        <v>1.6E-2</v>
      </c>
      <c r="Q68" s="5">
        <v>7.2999999999999995E-2</v>
      </c>
      <c r="R68" s="5">
        <v>0.193</v>
      </c>
      <c r="S68" s="5">
        <v>0.79400000000000004</v>
      </c>
      <c r="T68" s="5">
        <v>1.345</v>
      </c>
      <c r="U68" s="5">
        <v>-10.130000000000001</v>
      </c>
      <c r="V68" s="5">
        <v>49.31</v>
      </c>
      <c r="W68" s="5">
        <v>-0.436</v>
      </c>
      <c r="X68" s="5">
        <v>-0.122</v>
      </c>
      <c r="Y68" s="5">
        <v>-7.0000000000000001E-3</v>
      </c>
      <c r="Z68" s="5">
        <v>0.57499999999999996</v>
      </c>
      <c r="AA68" s="5">
        <v>1.1379999999999999</v>
      </c>
      <c r="AB68" s="5">
        <v>1.8879999999999999</v>
      </c>
      <c r="AC68" s="5">
        <v>-4.3419999999999996</v>
      </c>
      <c r="AD68" s="5">
        <v>1.5980000000000001</v>
      </c>
      <c r="AE68" s="5">
        <v>-10.5</v>
      </c>
      <c r="AF68" s="5">
        <v>4.694</v>
      </c>
      <c r="AG68" s="5">
        <v>-9.84</v>
      </c>
      <c r="AH68" s="5">
        <v>0.151</v>
      </c>
      <c r="AI68" s="5">
        <v>1.9019999999999999</v>
      </c>
      <c r="AK68" s="1">
        <f t="shared" si="0"/>
        <v>0.71200000000000019</v>
      </c>
      <c r="AL68" s="7">
        <f t="shared" si="1"/>
        <v>0</v>
      </c>
      <c r="AN68" s="1">
        <f t="shared" si="2"/>
        <v>97.4</v>
      </c>
      <c r="AO68" s="1">
        <f t="shared" si="3"/>
        <v>81.5</v>
      </c>
      <c r="AP68" s="1">
        <f t="shared" si="4"/>
        <v>49.3</v>
      </c>
      <c r="AQ68" s="18">
        <f t="shared" si="5"/>
        <v>0.36099999999999999</v>
      </c>
      <c r="AR68" s="24">
        <f t="shared" si="22"/>
        <v>0.371</v>
      </c>
      <c r="AT68" s="20">
        <f t="shared" si="6"/>
        <v>45720</v>
      </c>
      <c r="AU68" s="21">
        <f t="shared" si="7"/>
        <v>63</v>
      </c>
      <c r="AV68" s="1">
        <f t="shared" si="8"/>
        <v>-3.9</v>
      </c>
      <c r="AW68" s="1">
        <f t="shared" si="9"/>
        <v>2.5</v>
      </c>
      <c r="AX68" s="1">
        <f t="shared" si="10"/>
        <v>-10.1</v>
      </c>
      <c r="AY68" s="1">
        <f t="shared" si="11"/>
        <v>81.5</v>
      </c>
      <c r="AZ68" s="1">
        <f t="shared" si="12"/>
        <v>49.3</v>
      </c>
      <c r="BA68" s="1">
        <f t="shared" si="23"/>
        <v>0.71200000000000019</v>
      </c>
      <c r="BB68" s="5">
        <f t="shared" si="24"/>
        <v>0</v>
      </c>
      <c r="BC68" s="1">
        <f t="shared" si="14"/>
        <v>-4.3</v>
      </c>
      <c r="BD68" s="1">
        <f t="shared" si="15"/>
        <v>1.6</v>
      </c>
      <c r="BE68" s="1">
        <f t="shared" si="16"/>
        <v>-10.5</v>
      </c>
      <c r="BF68" s="5">
        <f t="shared" si="17"/>
        <v>0.1</v>
      </c>
      <c r="BG68" s="5">
        <f t="shared" si="18"/>
        <v>0.7</v>
      </c>
      <c r="BH68" s="5">
        <f t="shared" si="19"/>
        <v>1.2</v>
      </c>
      <c r="BI68" s="5">
        <f t="shared" si="25"/>
        <v>0.151</v>
      </c>
      <c r="BJ68" s="11">
        <f t="shared" si="26"/>
        <v>0.36099999999999999</v>
      </c>
      <c r="BK68" s="11">
        <f t="shared" si="26"/>
        <v>0.371</v>
      </c>
      <c r="BM68" s="1">
        <f t="shared" si="20"/>
        <v>-0.92399999999999971</v>
      </c>
      <c r="BN68" s="1">
        <f t="shared" si="21"/>
        <v>-0.36999999999999922</v>
      </c>
    </row>
    <row r="69" spans="1:66" x14ac:dyDescent="0.2">
      <c r="A69" s="4">
        <f t="shared" si="27"/>
        <v>45721</v>
      </c>
      <c r="B69" s="1">
        <v>64</v>
      </c>
      <c r="C69" s="1">
        <v>5</v>
      </c>
      <c r="D69" s="5">
        <v>12.78</v>
      </c>
      <c r="E69" s="5">
        <v>0.223</v>
      </c>
      <c r="F69" s="5">
        <v>-5.8310000000000004</v>
      </c>
      <c r="G69" s="5">
        <v>-4.0179999999999998</v>
      </c>
      <c r="H69" s="5">
        <v>80.900000000000006</v>
      </c>
      <c r="I69" s="5">
        <v>-0.40500000000000003</v>
      </c>
      <c r="J69" s="5">
        <v>-0.106</v>
      </c>
      <c r="K69" s="5">
        <v>0.10299999999999999</v>
      </c>
      <c r="L69" s="5">
        <v>0.68200000000000005</v>
      </c>
      <c r="M69" s="5">
        <v>1.234</v>
      </c>
      <c r="N69" s="5">
        <v>-0.35599999999999998</v>
      </c>
      <c r="O69" s="5">
        <v>94.9</v>
      </c>
      <c r="P69" s="5">
        <v>-0.32400000000000001</v>
      </c>
      <c r="Q69" s="5">
        <v>-0.02</v>
      </c>
      <c r="R69" s="5">
        <v>0.19900000000000001</v>
      </c>
      <c r="S69" s="5">
        <v>0.78100000000000003</v>
      </c>
      <c r="T69" s="5">
        <v>1.3149999999999999</v>
      </c>
      <c r="U69" s="5">
        <v>-7.6120000000000001</v>
      </c>
      <c r="V69" s="5">
        <v>47.57</v>
      </c>
      <c r="W69" s="5">
        <v>-0.51100000000000001</v>
      </c>
      <c r="X69" s="5">
        <v>-0.187</v>
      </c>
      <c r="Y69" s="5">
        <v>1.4999999999999999E-2</v>
      </c>
      <c r="Z69" s="5">
        <v>0.59499999999999997</v>
      </c>
      <c r="AA69" s="5">
        <v>1.1539999999999999</v>
      </c>
      <c r="AB69" s="5">
        <v>1.9330000000000001</v>
      </c>
      <c r="AC69" s="5">
        <v>-4.9779999999999998</v>
      </c>
      <c r="AD69" s="5">
        <v>0.55300000000000005</v>
      </c>
      <c r="AE69" s="5">
        <v>-8.6300000000000008</v>
      </c>
      <c r="AF69" s="5">
        <v>1.2769999999999999</v>
      </c>
      <c r="AG69" s="5">
        <v>-7.2539999999999996</v>
      </c>
      <c r="AH69" s="5">
        <v>0.152</v>
      </c>
      <c r="AI69" s="5">
        <v>1.9490000000000001</v>
      </c>
      <c r="AK69" s="1">
        <f t="shared" si="0"/>
        <v>0.66700000000000004</v>
      </c>
      <c r="AL69" s="7">
        <f t="shared" si="1"/>
        <v>-0.1</v>
      </c>
      <c r="AN69" s="1">
        <f t="shared" si="2"/>
        <v>94.9</v>
      </c>
      <c r="AO69" s="1">
        <f t="shared" si="3"/>
        <v>80.900000000000006</v>
      </c>
      <c r="AP69" s="1">
        <f t="shared" si="4"/>
        <v>47.6</v>
      </c>
      <c r="AQ69" s="18">
        <f t="shared" si="5"/>
        <v>0.28299999999999997</v>
      </c>
      <c r="AR69" s="24">
        <f t="shared" si="22"/>
        <v>0.312</v>
      </c>
      <c r="AT69" s="20">
        <f t="shared" si="6"/>
        <v>45721</v>
      </c>
      <c r="AU69" s="21">
        <f t="shared" si="7"/>
        <v>64</v>
      </c>
      <c r="AV69" s="1">
        <f t="shared" si="8"/>
        <v>-4</v>
      </c>
      <c r="AW69" s="1">
        <f t="shared" si="9"/>
        <v>-0.4</v>
      </c>
      <c r="AX69" s="1">
        <f t="shared" si="10"/>
        <v>-7.6</v>
      </c>
      <c r="AY69" s="1">
        <f t="shared" ref="AY69:AY132" si="32">AO69</f>
        <v>80.900000000000006</v>
      </c>
      <c r="AZ69" s="1">
        <f t="shared" ref="AZ69:AZ132" si="33">AP69</f>
        <v>47.6</v>
      </c>
      <c r="BA69" s="1">
        <f t="shared" si="23"/>
        <v>0.66700000000000004</v>
      </c>
      <c r="BB69" s="5">
        <f t="shared" si="24"/>
        <v>-0.1</v>
      </c>
      <c r="BC69" s="1">
        <f t="shared" si="14"/>
        <v>-5</v>
      </c>
      <c r="BD69" s="1">
        <f t="shared" si="15"/>
        <v>0.6</v>
      </c>
      <c r="BE69" s="1">
        <f t="shared" si="16"/>
        <v>-8.6</v>
      </c>
      <c r="BF69" s="5">
        <f t="shared" si="17"/>
        <v>0.1</v>
      </c>
      <c r="BG69" s="5">
        <f t="shared" si="18"/>
        <v>0.7</v>
      </c>
      <c r="BH69" s="5">
        <f t="shared" si="19"/>
        <v>1.2</v>
      </c>
      <c r="BI69" s="5">
        <f t="shared" si="25"/>
        <v>0.152</v>
      </c>
      <c r="BJ69" s="11">
        <f t="shared" si="26"/>
        <v>0.28299999999999997</v>
      </c>
      <c r="BK69" s="11">
        <f t="shared" si="26"/>
        <v>0.312</v>
      </c>
      <c r="BM69" s="1">
        <f t="shared" si="20"/>
        <v>0.90900000000000003</v>
      </c>
      <c r="BN69" s="1">
        <f t="shared" si="21"/>
        <v>-1.0180000000000007</v>
      </c>
    </row>
    <row r="70" spans="1:66" x14ac:dyDescent="0.2">
      <c r="A70" s="4">
        <f t="shared" si="27"/>
        <v>45722</v>
      </c>
      <c r="B70" s="1">
        <v>65</v>
      </c>
      <c r="C70" s="1">
        <v>5</v>
      </c>
      <c r="D70" s="5">
        <v>12.8</v>
      </c>
      <c r="E70" s="5">
        <v>0.11700000000000001</v>
      </c>
      <c r="F70" s="5">
        <v>-7.9050000000000002</v>
      </c>
      <c r="G70" s="5">
        <v>-4.4560000000000004</v>
      </c>
      <c r="H70" s="5">
        <v>83.5</v>
      </c>
      <c r="I70" s="5">
        <v>-0.49299999999999999</v>
      </c>
      <c r="J70" s="5">
        <v>-0.157</v>
      </c>
      <c r="K70" s="5">
        <v>0.11799999999999999</v>
      </c>
      <c r="L70" s="5">
        <v>0.68600000000000005</v>
      </c>
      <c r="M70" s="5">
        <v>1.2310000000000001</v>
      </c>
      <c r="N70" s="5">
        <v>-0.35599999999999998</v>
      </c>
      <c r="O70" s="5">
        <v>94</v>
      </c>
      <c r="P70" s="5">
        <v>-0.40699999999999997</v>
      </c>
      <c r="Q70" s="5">
        <v>-7.0000000000000007E-2</v>
      </c>
      <c r="R70" s="5">
        <v>0.214</v>
      </c>
      <c r="S70" s="5">
        <v>0.77800000000000002</v>
      </c>
      <c r="T70" s="5">
        <v>1.32</v>
      </c>
      <c r="U70" s="5">
        <v>-10.58</v>
      </c>
      <c r="V70" s="5">
        <v>60.22</v>
      </c>
      <c r="W70" s="5">
        <v>-0.57499999999999996</v>
      </c>
      <c r="X70" s="5">
        <v>-0.23</v>
      </c>
      <c r="Y70" s="5">
        <v>4.8000000000000001E-2</v>
      </c>
      <c r="Z70" s="5">
        <v>0.61899999999999999</v>
      </c>
      <c r="AA70" s="5">
        <v>1.143</v>
      </c>
      <c r="AB70" s="5">
        <v>1.8759999999999999</v>
      </c>
      <c r="AC70" s="5">
        <v>-5.3680000000000003</v>
      </c>
      <c r="AD70" s="5">
        <v>-0.90500000000000003</v>
      </c>
      <c r="AE70" s="5">
        <v>-11.23</v>
      </c>
      <c r="AF70" s="5">
        <v>2.012</v>
      </c>
      <c r="AG70" s="5">
        <v>-10.36</v>
      </c>
      <c r="AH70" s="5">
        <v>0.154</v>
      </c>
      <c r="AI70" s="5">
        <v>1.913</v>
      </c>
      <c r="AK70" s="1">
        <f t="shared" ref="AK70:AK98" si="34">AK$1-AB70</f>
        <v>0.7240000000000002</v>
      </c>
      <c r="AL70" s="7">
        <f t="shared" si="1"/>
        <v>-0.2</v>
      </c>
      <c r="AN70" s="1">
        <f t="shared" ref="AN70:AN133" si="35">ROUND(O70*AN$3+AO$3,1)</f>
        <v>94</v>
      </c>
      <c r="AO70" s="1">
        <f t="shared" ref="AO70:AO133" si="36">ROUND(H70*AN$3+AO$3,1)</f>
        <v>83.5</v>
      </c>
      <c r="AP70" s="1">
        <f t="shared" ref="AP70:AP133" si="37">ROUND(V70*AN$3+AO$3,1)</f>
        <v>60.2</v>
      </c>
      <c r="AQ70" s="18">
        <f t="shared" ref="AQ70:AQ133" si="38">ROUND((0.6105*(EXP((17.273*N70)/(N70+237.3))))*AP70/100,3)</f>
        <v>0.35799999999999998</v>
      </c>
      <c r="AR70" s="24">
        <f t="shared" si="22"/>
        <v>0.23699999999999999</v>
      </c>
      <c r="AT70" s="20">
        <f t="shared" ref="AT70:AT133" si="39">A70</f>
        <v>45722</v>
      </c>
      <c r="AU70" s="21">
        <f t="shared" ref="AU70:AU133" si="40">B70</f>
        <v>65</v>
      </c>
      <c r="AV70" s="1">
        <f t="shared" ref="AV70:AV133" si="41">ROUND(G70,1)</f>
        <v>-4.5</v>
      </c>
      <c r="AW70" s="1">
        <f t="shared" ref="AW70:AW133" si="42">ROUND(N70,1)</f>
        <v>-0.4</v>
      </c>
      <c r="AX70" s="1">
        <f t="shared" ref="AX70:AX133" si="43">ROUND(U70,1)</f>
        <v>-10.6</v>
      </c>
      <c r="AY70" s="1">
        <f t="shared" si="32"/>
        <v>83.5</v>
      </c>
      <c r="AZ70" s="1">
        <f t="shared" si="33"/>
        <v>60.2</v>
      </c>
      <c r="BA70" s="1">
        <f t="shared" si="23"/>
        <v>0.7240000000000002</v>
      </c>
      <c r="BB70" s="5">
        <f t="shared" si="24"/>
        <v>-0.2</v>
      </c>
      <c r="BC70" s="1">
        <f t="shared" ref="BC70:BC133" si="44">ROUND(AC70,1)</f>
        <v>-5.4</v>
      </c>
      <c r="BD70" s="1">
        <f t="shared" ref="BD70:BD133" si="45">ROUND(AD70,1)</f>
        <v>-0.9</v>
      </c>
      <c r="BE70" s="1">
        <f t="shared" ref="BE70:BE133" si="46">ROUND(AE70,1)</f>
        <v>-11.2</v>
      </c>
      <c r="BF70" s="5">
        <f t="shared" ref="BF70:BF133" si="47">ROUND(K70,1)</f>
        <v>0.1</v>
      </c>
      <c r="BG70" s="5">
        <f t="shared" ref="BG70:BG133" si="48">ROUND(L70,1)</f>
        <v>0.7</v>
      </c>
      <c r="BH70" s="5">
        <f t="shared" ref="BH70:BH133" si="49">ROUND(M70,1)</f>
        <v>1.2</v>
      </c>
      <c r="BI70" s="5">
        <f t="shared" si="25"/>
        <v>0.154</v>
      </c>
      <c r="BJ70" s="11">
        <f t="shared" si="26"/>
        <v>0.35799999999999998</v>
      </c>
      <c r="BK70" s="11">
        <f t="shared" si="26"/>
        <v>0.23699999999999999</v>
      </c>
      <c r="BM70" s="1">
        <f t="shared" ref="BM70:BM133" si="50">AD70-N70</f>
        <v>-0.54900000000000004</v>
      </c>
      <c r="BN70" s="1">
        <f t="shared" ref="BN70:BN133" si="51">AE70-U70</f>
        <v>-0.65000000000000036</v>
      </c>
    </row>
    <row r="71" spans="1:66" x14ac:dyDescent="0.2">
      <c r="A71" s="4">
        <f t="shared" si="27"/>
        <v>45723</v>
      </c>
      <c r="B71" s="1">
        <v>66</v>
      </c>
      <c r="C71" s="1">
        <v>5</v>
      </c>
      <c r="D71" s="5">
        <v>12.81</v>
      </c>
      <c r="E71" s="5">
        <v>2.8650000000000002</v>
      </c>
      <c r="F71" s="5">
        <v>-9.94</v>
      </c>
      <c r="G71" s="5">
        <v>-3.4609999999999999</v>
      </c>
      <c r="H71" s="5">
        <v>66.73</v>
      </c>
      <c r="I71" s="5">
        <v>-0.622</v>
      </c>
      <c r="J71" s="5">
        <v>-0.20599999999999999</v>
      </c>
      <c r="K71" s="5">
        <v>0.14199999999999999</v>
      </c>
      <c r="L71" s="5">
        <v>0.69299999999999995</v>
      </c>
      <c r="M71" s="5">
        <v>1.2350000000000001</v>
      </c>
      <c r="N71" s="5">
        <v>2.9</v>
      </c>
      <c r="O71" s="5">
        <v>95.2</v>
      </c>
      <c r="P71" s="5">
        <v>-0.47699999999999998</v>
      </c>
      <c r="Q71" s="5">
        <v>-0.115</v>
      </c>
      <c r="R71" s="5">
        <v>0.25</v>
      </c>
      <c r="S71" s="5">
        <v>0.80400000000000005</v>
      </c>
      <c r="T71" s="5">
        <v>1.361</v>
      </c>
      <c r="U71" s="5">
        <v>-11.33</v>
      </c>
      <c r="V71" s="5">
        <v>37.700000000000003</v>
      </c>
      <c r="W71" s="5">
        <v>-0.80600000000000005</v>
      </c>
      <c r="X71" s="5">
        <v>-0.31</v>
      </c>
      <c r="Y71" s="5">
        <v>2.5999999999999999E-2</v>
      </c>
      <c r="Z71" s="5">
        <v>0.59299999999999997</v>
      </c>
      <c r="AA71" s="5">
        <v>1.1319999999999999</v>
      </c>
      <c r="AB71" s="5">
        <v>1.901</v>
      </c>
      <c r="AC71" s="5">
        <v>-5.0179999999999998</v>
      </c>
      <c r="AD71" s="5">
        <v>0.67600000000000005</v>
      </c>
      <c r="AE71" s="5">
        <v>-11.84</v>
      </c>
      <c r="AF71" s="5">
        <v>4.8289999999999997</v>
      </c>
      <c r="AG71" s="5">
        <v>-11.1</v>
      </c>
      <c r="AH71" s="5">
        <v>0.154</v>
      </c>
      <c r="AI71" s="5">
        <v>1.9119999999999999</v>
      </c>
      <c r="AK71" s="1">
        <f t="shared" si="34"/>
        <v>0.69900000000000007</v>
      </c>
      <c r="AL71" s="7">
        <f t="shared" ref="AL71:AL134" si="52">ROUND(AVERAGE(I71:K71),1)</f>
        <v>-0.2</v>
      </c>
      <c r="AN71" s="1">
        <f t="shared" si="35"/>
        <v>95.2</v>
      </c>
      <c r="AO71" s="1">
        <f t="shared" si="36"/>
        <v>66.7</v>
      </c>
      <c r="AP71" s="1">
        <f t="shared" si="37"/>
        <v>37.700000000000003</v>
      </c>
      <c r="AQ71" s="18">
        <f t="shared" si="38"/>
        <v>0.28399999999999997</v>
      </c>
      <c r="AR71" s="24">
        <f t="shared" ref="AR71:AR134" si="53">ROUND(AQ71/AP71*(100-AP71),3)</f>
        <v>0.46899999999999997</v>
      </c>
      <c r="AT71" s="20">
        <f t="shared" si="39"/>
        <v>45723</v>
      </c>
      <c r="AU71" s="21">
        <f t="shared" si="40"/>
        <v>66</v>
      </c>
      <c r="AV71" s="1">
        <f t="shared" si="41"/>
        <v>-3.5</v>
      </c>
      <c r="AW71" s="1">
        <f t="shared" si="42"/>
        <v>2.9</v>
      </c>
      <c r="AX71" s="1">
        <f t="shared" si="43"/>
        <v>-11.3</v>
      </c>
      <c r="AY71" s="1">
        <f t="shared" si="32"/>
        <v>66.7</v>
      </c>
      <c r="AZ71" s="1">
        <f t="shared" si="33"/>
        <v>37.700000000000003</v>
      </c>
      <c r="BA71" s="1">
        <f t="shared" ref="BA71:BA134" si="54">AK71</f>
        <v>0.69900000000000007</v>
      </c>
      <c r="BB71" s="5">
        <f t="shared" ref="BB71:BB134" si="55">AL71</f>
        <v>-0.2</v>
      </c>
      <c r="BC71" s="1">
        <f t="shared" si="44"/>
        <v>-5</v>
      </c>
      <c r="BD71" s="1">
        <f t="shared" si="45"/>
        <v>0.7</v>
      </c>
      <c r="BE71" s="1">
        <f t="shared" si="46"/>
        <v>-11.8</v>
      </c>
      <c r="BF71" s="5">
        <f t="shared" si="47"/>
        <v>0.1</v>
      </c>
      <c r="BG71" s="5">
        <f t="shared" si="48"/>
        <v>0.7</v>
      </c>
      <c r="BH71" s="5">
        <f t="shared" si="49"/>
        <v>1.2</v>
      </c>
      <c r="BI71" s="5">
        <f t="shared" ref="BI71:BI134" si="56">IF(AH71="NAN","NAN",ROUND(AH71,3))</f>
        <v>0.154</v>
      </c>
      <c r="BJ71" s="11">
        <f t="shared" ref="BJ71:BK134" si="57">AQ71</f>
        <v>0.28399999999999997</v>
      </c>
      <c r="BK71" s="11">
        <f t="shared" si="57"/>
        <v>0.46899999999999997</v>
      </c>
      <c r="BM71" s="1">
        <f t="shared" si="50"/>
        <v>-2.2239999999999998</v>
      </c>
      <c r="BN71" s="1">
        <f t="shared" si="51"/>
        <v>-0.50999999999999979</v>
      </c>
    </row>
    <row r="72" spans="1:66" x14ac:dyDescent="0.2">
      <c r="A72" s="4">
        <f t="shared" ref="A72:A135" si="58">A71+1</f>
        <v>45724</v>
      </c>
      <c r="B72" s="1">
        <v>67</v>
      </c>
      <c r="C72" s="1">
        <v>5</v>
      </c>
      <c r="D72" s="5">
        <v>12.75</v>
      </c>
      <c r="E72" s="5">
        <v>3.0790000000000002</v>
      </c>
      <c r="F72" s="5">
        <v>-2.569</v>
      </c>
      <c r="G72" s="5">
        <v>-0.745</v>
      </c>
      <c r="H72" s="5">
        <v>73.22</v>
      </c>
      <c r="I72" s="5">
        <v>-0.73899999999999999</v>
      </c>
      <c r="J72" s="5">
        <v>-0.26100000000000001</v>
      </c>
      <c r="K72" s="5">
        <v>0.17499999999999999</v>
      </c>
      <c r="L72" s="5">
        <v>0.72099999999999997</v>
      </c>
      <c r="M72" s="5">
        <v>1.258</v>
      </c>
      <c r="N72" s="5">
        <v>3.242</v>
      </c>
      <c r="O72" s="5">
        <v>86.5</v>
      </c>
      <c r="P72" s="5">
        <v>-0.63200000000000001</v>
      </c>
      <c r="Q72" s="5">
        <v>-0.16900000000000001</v>
      </c>
      <c r="R72" s="5">
        <v>0.26300000000000001</v>
      </c>
      <c r="S72" s="5">
        <v>0.82099999999999995</v>
      </c>
      <c r="T72" s="5">
        <v>1.361</v>
      </c>
      <c r="U72" s="5">
        <v>-3.2730000000000001</v>
      </c>
      <c r="V72" s="5">
        <v>49.35</v>
      </c>
      <c r="W72" s="5">
        <v>-0.82499999999999996</v>
      </c>
      <c r="X72" s="5">
        <v>-0.34599999999999997</v>
      </c>
      <c r="Y72" s="5">
        <v>7.2999999999999995E-2</v>
      </c>
      <c r="Z72" s="5">
        <v>0.64300000000000002</v>
      </c>
      <c r="AA72" s="5">
        <v>1.175</v>
      </c>
      <c r="AB72" s="5">
        <v>1.883</v>
      </c>
      <c r="AC72" s="5">
        <v>-1.6439999999999999</v>
      </c>
      <c r="AD72" s="5">
        <v>1.2430000000000001</v>
      </c>
      <c r="AE72" s="5">
        <v>-5.79</v>
      </c>
      <c r="AF72" s="5">
        <v>4.7880000000000003</v>
      </c>
      <c r="AG72" s="5">
        <v>-2.78</v>
      </c>
      <c r="AH72" s="5">
        <v>0.155</v>
      </c>
      <c r="AI72" s="5">
        <v>1.8879999999999999</v>
      </c>
      <c r="AK72" s="1">
        <f t="shared" si="34"/>
        <v>0.71700000000000008</v>
      </c>
      <c r="AL72" s="7">
        <f t="shared" si="52"/>
        <v>-0.3</v>
      </c>
      <c r="AN72" s="1">
        <f t="shared" si="35"/>
        <v>86.5</v>
      </c>
      <c r="AO72" s="1">
        <f t="shared" si="36"/>
        <v>73.2</v>
      </c>
      <c r="AP72" s="1">
        <f t="shared" si="37"/>
        <v>49.4</v>
      </c>
      <c r="AQ72" s="18">
        <f t="shared" si="38"/>
        <v>0.38100000000000001</v>
      </c>
      <c r="AR72" s="24">
        <f t="shared" si="53"/>
        <v>0.39</v>
      </c>
      <c r="AT72" s="20">
        <f t="shared" si="39"/>
        <v>45724</v>
      </c>
      <c r="AU72" s="21">
        <f t="shared" si="40"/>
        <v>67</v>
      </c>
      <c r="AV72" s="1">
        <f t="shared" si="41"/>
        <v>-0.7</v>
      </c>
      <c r="AW72" s="1">
        <f t="shared" si="42"/>
        <v>3.2</v>
      </c>
      <c r="AX72" s="1">
        <f t="shared" si="43"/>
        <v>-3.3</v>
      </c>
      <c r="AY72" s="1">
        <f t="shared" si="32"/>
        <v>73.2</v>
      </c>
      <c r="AZ72" s="1">
        <f t="shared" si="33"/>
        <v>49.4</v>
      </c>
      <c r="BA72" s="1">
        <f t="shared" si="54"/>
        <v>0.71700000000000008</v>
      </c>
      <c r="BB72" s="5">
        <f t="shared" si="55"/>
        <v>-0.3</v>
      </c>
      <c r="BC72" s="1">
        <f t="shared" si="44"/>
        <v>-1.6</v>
      </c>
      <c r="BD72" s="1">
        <f t="shared" si="45"/>
        <v>1.2</v>
      </c>
      <c r="BE72" s="1">
        <f t="shared" si="46"/>
        <v>-5.8</v>
      </c>
      <c r="BF72" s="5">
        <f t="shared" si="47"/>
        <v>0.2</v>
      </c>
      <c r="BG72" s="5">
        <f t="shared" si="48"/>
        <v>0.7</v>
      </c>
      <c r="BH72" s="5">
        <f t="shared" si="49"/>
        <v>1.3</v>
      </c>
      <c r="BI72" s="5">
        <f t="shared" si="56"/>
        <v>0.155</v>
      </c>
      <c r="BJ72" s="11">
        <f t="shared" si="57"/>
        <v>0.38100000000000001</v>
      </c>
      <c r="BK72" s="11">
        <f t="shared" si="57"/>
        <v>0.39</v>
      </c>
      <c r="BM72" s="1">
        <f t="shared" si="50"/>
        <v>-1.9989999999999999</v>
      </c>
      <c r="BN72" s="1">
        <f t="shared" si="51"/>
        <v>-2.5169999999999999</v>
      </c>
    </row>
    <row r="73" spans="1:66" x14ac:dyDescent="0.2">
      <c r="A73" s="4">
        <f t="shared" si="58"/>
        <v>45725</v>
      </c>
      <c r="B73" s="1">
        <v>68</v>
      </c>
      <c r="C73" s="1">
        <v>5</v>
      </c>
      <c r="D73" s="5">
        <v>12.78</v>
      </c>
      <c r="E73" s="5">
        <v>4.2130000000000001</v>
      </c>
      <c r="F73" s="5">
        <v>-2.056</v>
      </c>
      <c r="G73" s="5">
        <v>0.378</v>
      </c>
      <c r="H73" s="5">
        <v>65.25</v>
      </c>
      <c r="I73" s="5">
        <v>-0.60499999999999998</v>
      </c>
      <c r="J73" s="5">
        <v>-0.22600000000000001</v>
      </c>
      <c r="K73" s="5">
        <v>0.192</v>
      </c>
      <c r="L73" s="5">
        <v>0.73199999999999998</v>
      </c>
      <c r="M73" s="5">
        <v>1.264</v>
      </c>
      <c r="N73" s="5">
        <v>4.5709999999999997</v>
      </c>
      <c r="O73" s="5">
        <v>88.2</v>
      </c>
      <c r="P73" s="5">
        <v>-0.48499999999999999</v>
      </c>
      <c r="Q73" s="5">
        <v>-0.124</v>
      </c>
      <c r="R73" s="5">
        <v>0.28299999999999997</v>
      </c>
      <c r="S73" s="5">
        <v>0.83599999999999997</v>
      </c>
      <c r="T73" s="5">
        <v>1.369</v>
      </c>
      <c r="U73" s="5">
        <v>-4.1829999999999998</v>
      </c>
      <c r="V73" s="5">
        <v>42.97</v>
      </c>
      <c r="W73" s="5">
        <v>-0.747</v>
      </c>
      <c r="X73" s="5">
        <v>-0.33900000000000002</v>
      </c>
      <c r="Y73" s="5">
        <v>0.1</v>
      </c>
      <c r="Z73" s="5">
        <v>0.627</v>
      </c>
      <c r="AA73" s="5">
        <v>1.173</v>
      </c>
      <c r="AB73" s="5">
        <v>1.9079999999999999</v>
      </c>
      <c r="AC73" s="5">
        <v>-1.155</v>
      </c>
      <c r="AD73" s="5">
        <v>2.6539999999999999</v>
      </c>
      <c r="AE73" s="5">
        <v>-5.0220000000000002</v>
      </c>
      <c r="AF73" s="5">
        <v>9.33</v>
      </c>
      <c r="AG73" s="5">
        <v>-3.6890000000000001</v>
      </c>
      <c r="AH73" s="5">
        <v>0.155</v>
      </c>
      <c r="AI73" s="5">
        <v>1.923</v>
      </c>
      <c r="AK73" s="1">
        <f t="shared" si="34"/>
        <v>0.69200000000000017</v>
      </c>
      <c r="AL73" s="7">
        <f t="shared" si="52"/>
        <v>-0.2</v>
      </c>
      <c r="AN73" s="1">
        <f t="shared" si="35"/>
        <v>88.2</v>
      </c>
      <c r="AO73" s="1">
        <f t="shared" si="36"/>
        <v>65.3</v>
      </c>
      <c r="AP73" s="1">
        <f t="shared" si="37"/>
        <v>43</v>
      </c>
      <c r="AQ73" s="18">
        <f t="shared" si="38"/>
        <v>0.36399999999999999</v>
      </c>
      <c r="AR73" s="24">
        <f t="shared" si="53"/>
        <v>0.48299999999999998</v>
      </c>
      <c r="AT73" s="20">
        <f t="shared" si="39"/>
        <v>45725</v>
      </c>
      <c r="AU73" s="21">
        <f t="shared" si="40"/>
        <v>68</v>
      </c>
      <c r="AV73" s="1">
        <f t="shared" si="41"/>
        <v>0.4</v>
      </c>
      <c r="AW73" s="1">
        <f t="shared" si="42"/>
        <v>4.5999999999999996</v>
      </c>
      <c r="AX73" s="1">
        <f t="shared" si="43"/>
        <v>-4.2</v>
      </c>
      <c r="AY73" s="1">
        <f t="shared" si="32"/>
        <v>65.3</v>
      </c>
      <c r="AZ73" s="1">
        <f t="shared" si="33"/>
        <v>43</v>
      </c>
      <c r="BA73" s="1">
        <f t="shared" si="54"/>
        <v>0.69200000000000017</v>
      </c>
      <c r="BB73" s="5">
        <f t="shared" si="55"/>
        <v>-0.2</v>
      </c>
      <c r="BC73" s="1">
        <f t="shared" si="44"/>
        <v>-1.2</v>
      </c>
      <c r="BD73" s="1">
        <f t="shared" si="45"/>
        <v>2.7</v>
      </c>
      <c r="BE73" s="1">
        <f t="shared" si="46"/>
        <v>-5</v>
      </c>
      <c r="BF73" s="5">
        <f t="shared" si="47"/>
        <v>0.2</v>
      </c>
      <c r="BG73" s="5">
        <f t="shared" si="48"/>
        <v>0.7</v>
      </c>
      <c r="BH73" s="5">
        <f t="shared" si="49"/>
        <v>1.3</v>
      </c>
      <c r="BI73" s="5">
        <f t="shared" si="56"/>
        <v>0.155</v>
      </c>
      <c r="BJ73" s="11">
        <f t="shared" si="57"/>
        <v>0.36399999999999999</v>
      </c>
      <c r="BK73" s="11">
        <f t="shared" si="57"/>
        <v>0.48299999999999998</v>
      </c>
      <c r="BM73" s="1">
        <f t="shared" si="50"/>
        <v>-1.9169999999999998</v>
      </c>
      <c r="BN73" s="1">
        <f t="shared" si="51"/>
        <v>-0.83900000000000041</v>
      </c>
    </row>
    <row r="74" spans="1:66" x14ac:dyDescent="0.2">
      <c r="A74" s="4">
        <f t="shared" si="58"/>
        <v>45726</v>
      </c>
      <c r="B74" s="1">
        <v>69</v>
      </c>
      <c r="C74" s="1">
        <v>5</v>
      </c>
      <c r="D74" s="5">
        <v>12.8</v>
      </c>
      <c r="E74" s="5">
        <v>-0.26700000000000002</v>
      </c>
      <c r="F74" s="5">
        <v>-5.94</v>
      </c>
      <c r="G74" s="5">
        <v>-4.6719999999999997</v>
      </c>
      <c r="H74" s="5">
        <v>70.8</v>
      </c>
      <c r="I74" s="5">
        <v>-0.48899999999999999</v>
      </c>
      <c r="J74" s="5">
        <v>-0.182</v>
      </c>
      <c r="K74" s="5">
        <v>0.17</v>
      </c>
      <c r="L74" s="5">
        <v>0.70399999999999996</v>
      </c>
      <c r="M74" s="5">
        <v>1.232</v>
      </c>
      <c r="N74" s="5">
        <v>-1.1100000000000001</v>
      </c>
      <c r="O74" s="5">
        <v>92</v>
      </c>
      <c r="P74" s="5">
        <v>-0.38400000000000001</v>
      </c>
      <c r="Q74" s="5">
        <v>-8.1000000000000003E-2</v>
      </c>
      <c r="R74" s="5">
        <v>0.245</v>
      </c>
      <c r="S74" s="5">
        <v>0.79</v>
      </c>
      <c r="T74" s="5">
        <v>1.325</v>
      </c>
      <c r="U74" s="5">
        <v>-7.3239999999999998</v>
      </c>
      <c r="V74" s="5">
        <v>43.01</v>
      </c>
      <c r="W74" s="5">
        <v>-0.60899999999999999</v>
      </c>
      <c r="X74" s="5">
        <v>-0.26500000000000001</v>
      </c>
      <c r="Y74" s="5">
        <v>7.9000000000000001E-2</v>
      </c>
      <c r="Z74" s="5">
        <v>0.624</v>
      </c>
      <c r="AA74" s="5">
        <v>1.1519999999999999</v>
      </c>
      <c r="AB74" s="5">
        <v>1.893</v>
      </c>
      <c r="AC74" s="5">
        <v>-5.242</v>
      </c>
      <c r="AD74" s="5">
        <v>-0.78700000000000003</v>
      </c>
      <c r="AE74" s="5">
        <v>-8.2899999999999991</v>
      </c>
      <c r="AF74" s="5">
        <v>2.4449999999999998</v>
      </c>
      <c r="AG74" s="5">
        <v>-7.1459999999999999</v>
      </c>
      <c r="AH74" s="5">
        <v>0.155</v>
      </c>
      <c r="AI74" s="5">
        <v>1.9179999999999999</v>
      </c>
      <c r="AK74" s="1">
        <f t="shared" si="34"/>
        <v>0.70700000000000007</v>
      </c>
      <c r="AL74" s="7">
        <f t="shared" si="52"/>
        <v>-0.2</v>
      </c>
      <c r="AN74" s="1">
        <f t="shared" si="35"/>
        <v>92</v>
      </c>
      <c r="AO74" s="1">
        <f t="shared" si="36"/>
        <v>70.8</v>
      </c>
      <c r="AP74" s="1">
        <f t="shared" si="37"/>
        <v>43</v>
      </c>
      <c r="AQ74" s="18">
        <f t="shared" si="38"/>
        <v>0.24199999999999999</v>
      </c>
      <c r="AR74" s="24">
        <f t="shared" si="53"/>
        <v>0.32100000000000001</v>
      </c>
      <c r="AT74" s="20">
        <f t="shared" si="39"/>
        <v>45726</v>
      </c>
      <c r="AU74" s="21">
        <f t="shared" si="40"/>
        <v>69</v>
      </c>
      <c r="AV74" s="1">
        <f t="shared" si="41"/>
        <v>-4.7</v>
      </c>
      <c r="AW74" s="1">
        <f t="shared" si="42"/>
        <v>-1.1000000000000001</v>
      </c>
      <c r="AX74" s="1">
        <f t="shared" si="43"/>
        <v>-7.3</v>
      </c>
      <c r="AY74" s="1">
        <f t="shared" si="32"/>
        <v>70.8</v>
      </c>
      <c r="AZ74" s="1">
        <f t="shared" si="33"/>
        <v>43</v>
      </c>
      <c r="BA74" s="1">
        <f t="shared" si="54"/>
        <v>0.70700000000000007</v>
      </c>
      <c r="BB74" s="5">
        <f t="shared" si="55"/>
        <v>-0.2</v>
      </c>
      <c r="BC74" s="1">
        <f t="shared" si="44"/>
        <v>-5.2</v>
      </c>
      <c r="BD74" s="1">
        <f t="shared" si="45"/>
        <v>-0.8</v>
      </c>
      <c r="BE74" s="1">
        <f t="shared" si="46"/>
        <v>-8.3000000000000007</v>
      </c>
      <c r="BF74" s="5">
        <f t="shared" si="47"/>
        <v>0.2</v>
      </c>
      <c r="BG74" s="5">
        <f t="shared" si="48"/>
        <v>0.7</v>
      </c>
      <c r="BH74" s="5">
        <f t="shared" si="49"/>
        <v>1.2</v>
      </c>
      <c r="BI74" s="5">
        <f t="shared" si="56"/>
        <v>0.155</v>
      </c>
      <c r="BJ74" s="11">
        <f t="shared" si="57"/>
        <v>0.24199999999999999</v>
      </c>
      <c r="BK74" s="11">
        <f t="shared" si="57"/>
        <v>0.32100000000000001</v>
      </c>
      <c r="BM74" s="1">
        <f t="shared" si="50"/>
        <v>0.32300000000000006</v>
      </c>
      <c r="BN74" s="1">
        <f t="shared" si="51"/>
        <v>-0.9659999999999993</v>
      </c>
    </row>
    <row r="75" spans="1:66" x14ac:dyDescent="0.2">
      <c r="A75" s="4">
        <f t="shared" si="58"/>
        <v>45727</v>
      </c>
      <c r="B75" s="1">
        <v>70</v>
      </c>
      <c r="C75" s="1">
        <v>5</v>
      </c>
      <c r="D75" s="5">
        <v>12.75</v>
      </c>
      <c r="E75" s="5">
        <v>-1.7150000000000001</v>
      </c>
      <c r="F75" s="5">
        <v>-9.3000000000000007</v>
      </c>
      <c r="G75" s="5">
        <v>-5.9710000000000001</v>
      </c>
      <c r="H75" s="5">
        <v>86.9</v>
      </c>
      <c r="I75" s="5">
        <v>-0.625</v>
      </c>
      <c r="J75" s="5">
        <v>-0.221</v>
      </c>
      <c r="K75" s="5">
        <v>0.16600000000000001</v>
      </c>
      <c r="L75" s="5">
        <v>0.69899999999999995</v>
      </c>
      <c r="M75" s="5">
        <v>1.224</v>
      </c>
      <c r="N75" s="5">
        <v>-2.8849999999999998</v>
      </c>
      <c r="O75" s="5">
        <v>94.5</v>
      </c>
      <c r="P75" s="5">
        <v>-0.46600000000000003</v>
      </c>
      <c r="Q75" s="5">
        <v>-0.10299999999999999</v>
      </c>
      <c r="R75" s="5">
        <v>0.249</v>
      </c>
      <c r="S75" s="5">
        <v>0.78800000000000003</v>
      </c>
      <c r="T75" s="5">
        <v>1.306</v>
      </c>
      <c r="U75" s="5">
        <v>-11.04</v>
      </c>
      <c r="V75" s="5">
        <v>72.290000000000006</v>
      </c>
      <c r="W75" s="5">
        <v>-0.79400000000000004</v>
      </c>
      <c r="X75" s="5">
        <v>-0.312</v>
      </c>
      <c r="Y75" s="5">
        <v>8.6999999999999994E-2</v>
      </c>
      <c r="Z75" s="5">
        <v>0.61699999999999999</v>
      </c>
      <c r="AA75" s="5">
        <v>1.133</v>
      </c>
      <c r="AB75" s="5">
        <v>1.895</v>
      </c>
      <c r="AC75" s="5">
        <v>-6.1980000000000004</v>
      </c>
      <c r="AD75" s="5">
        <v>-3.24</v>
      </c>
      <c r="AE75" s="5">
        <v>-11.24</v>
      </c>
      <c r="AF75" s="5">
        <v>-1.909</v>
      </c>
      <c r="AG75" s="5">
        <v>-10.73</v>
      </c>
      <c r="AH75" s="5">
        <v>0.156</v>
      </c>
      <c r="AI75" s="5">
        <v>1.9119999999999999</v>
      </c>
      <c r="AK75" s="1">
        <f t="shared" si="34"/>
        <v>0.70500000000000007</v>
      </c>
      <c r="AL75" s="7">
        <f t="shared" si="52"/>
        <v>-0.2</v>
      </c>
      <c r="AN75" s="1">
        <f t="shared" si="35"/>
        <v>94.5</v>
      </c>
      <c r="AO75" s="1">
        <f t="shared" si="36"/>
        <v>86.9</v>
      </c>
      <c r="AP75" s="1">
        <f t="shared" si="37"/>
        <v>72.3</v>
      </c>
      <c r="AQ75" s="18">
        <f t="shared" si="38"/>
        <v>0.35699999999999998</v>
      </c>
      <c r="AR75" s="24">
        <f t="shared" si="53"/>
        <v>0.13700000000000001</v>
      </c>
      <c r="AT75" s="20">
        <f t="shared" si="39"/>
        <v>45727</v>
      </c>
      <c r="AU75" s="21">
        <f t="shared" si="40"/>
        <v>70</v>
      </c>
      <c r="AV75" s="1">
        <f t="shared" si="41"/>
        <v>-6</v>
      </c>
      <c r="AW75" s="1">
        <f t="shared" si="42"/>
        <v>-2.9</v>
      </c>
      <c r="AX75" s="1">
        <f t="shared" si="43"/>
        <v>-11</v>
      </c>
      <c r="AY75" s="1">
        <f t="shared" si="32"/>
        <v>86.9</v>
      </c>
      <c r="AZ75" s="1">
        <f t="shared" si="33"/>
        <v>72.3</v>
      </c>
      <c r="BA75" s="1">
        <f t="shared" si="54"/>
        <v>0.70500000000000007</v>
      </c>
      <c r="BB75" s="5">
        <f t="shared" si="55"/>
        <v>-0.2</v>
      </c>
      <c r="BC75" s="1">
        <f t="shared" si="44"/>
        <v>-6.2</v>
      </c>
      <c r="BD75" s="1">
        <f t="shared" si="45"/>
        <v>-3.2</v>
      </c>
      <c r="BE75" s="1">
        <f t="shared" si="46"/>
        <v>-11.2</v>
      </c>
      <c r="BF75" s="5">
        <f t="shared" si="47"/>
        <v>0.2</v>
      </c>
      <c r="BG75" s="5">
        <f t="shared" si="48"/>
        <v>0.7</v>
      </c>
      <c r="BH75" s="5">
        <f t="shared" si="49"/>
        <v>1.2</v>
      </c>
      <c r="BI75" s="5">
        <f t="shared" si="56"/>
        <v>0.156</v>
      </c>
      <c r="BJ75" s="11">
        <f t="shared" si="57"/>
        <v>0.35699999999999998</v>
      </c>
      <c r="BK75" s="11">
        <f t="shared" si="57"/>
        <v>0.13700000000000001</v>
      </c>
      <c r="BM75" s="1">
        <f t="shared" si="50"/>
        <v>-0.35500000000000043</v>
      </c>
      <c r="BN75" s="1">
        <f t="shared" si="51"/>
        <v>-0.20000000000000107</v>
      </c>
    </row>
    <row r="76" spans="1:66" x14ac:dyDescent="0.2">
      <c r="A76" s="4">
        <f t="shared" si="58"/>
        <v>45728</v>
      </c>
      <c r="B76" s="1">
        <v>71</v>
      </c>
      <c r="C76" s="1">
        <v>5</v>
      </c>
      <c r="D76" s="5">
        <v>12.71</v>
      </c>
      <c r="E76" s="5">
        <v>0.246</v>
      </c>
      <c r="F76" s="5">
        <v>-4.5279999999999996</v>
      </c>
      <c r="G76" s="5">
        <v>-2.714</v>
      </c>
      <c r="H76" s="5">
        <v>95.1</v>
      </c>
      <c r="I76" s="5">
        <v>-0.76400000000000001</v>
      </c>
      <c r="J76" s="5">
        <v>-0.27800000000000002</v>
      </c>
      <c r="K76" s="5">
        <v>0.184</v>
      </c>
      <c r="L76" s="5">
        <v>0.71899999999999997</v>
      </c>
      <c r="M76" s="5">
        <v>1.2430000000000001</v>
      </c>
      <c r="N76" s="5">
        <v>-0.21199999999999999</v>
      </c>
      <c r="O76" s="5">
        <v>99.8</v>
      </c>
      <c r="P76" s="5">
        <v>-0.66800000000000004</v>
      </c>
      <c r="Q76" s="5">
        <v>-0.20200000000000001</v>
      </c>
      <c r="R76" s="5">
        <v>0.27600000000000002</v>
      </c>
      <c r="S76" s="5">
        <v>0.79900000000000004</v>
      </c>
      <c r="T76" s="5">
        <v>1.3180000000000001</v>
      </c>
      <c r="U76" s="5">
        <v>-5.1280000000000001</v>
      </c>
      <c r="V76" s="5">
        <v>87.4</v>
      </c>
      <c r="W76" s="5">
        <v>-0.84499999999999997</v>
      </c>
      <c r="X76" s="5">
        <v>-0.35099999999999998</v>
      </c>
      <c r="Y76" s="5">
        <v>0.108</v>
      </c>
      <c r="Z76" s="5">
        <v>0.65</v>
      </c>
      <c r="AA76" s="5">
        <v>1.1679999999999999</v>
      </c>
      <c r="AB76" s="5">
        <v>1.83</v>
      </c>
      <c r="AC76" s="5">
        <v>-2.7959999999999998</v>
      </c>
      <c r="AD76" s="5">
        <v>-0.55900000000000005</v>
      </c>
      <c r="AE76" s="5">
        <v>-5.5060000000000002</v>
      </c>
      <c r="AF76" s="5">
        <v>0.32500000000000001</v>
      </c>
      <c r="AG76" s="5">
        <v>-4.9219999999999997</v>
      </c>
      <c r="AH76" s="5">
        <v>0.156</v>
      </c>
      <c r="AI76" s="5">
        <v>1.837</v>
      </c>
      <c r="AK76" s="1">
        <f t="shared" si="34"/>
        <v>0.77</v>
      </c>
      <c r="AL76" s="7">
        <f t="shared" si="52"/>
        <v>-0.3</v>
      </c>
      <c r="AN76" s="1">
        <f t="shared" si="35"/>
        <v>99.8</v>
      </c>
      <c r="AO76" s="1">
        <f t="shared" si="36"/>
        <v>95.1</v>
      </c>
      <c r="AP76" s="1">
        <f t="shared" si="37"/>
        <v>87.4</v>
      </c>
      <c r="AQ76" s="18">
        <f t="shared" si="38"/>
        <v>0.52500000000000002</v>
      </c>
      <c r="AR76" s="24">
        <f t="shared" si="53"/>
        <v>7.5999999999999998E-2</v>
      </c>
      <c r="AT76" s="20">
        <f t="shared" si="39"/>
        <v>45728</v>
      </c>
      <c r="AU76" s="21">
        <f t="shared" si="40"/>
        <v>71</v>
      </c>
      <c r="AV76" s="1">
        <f t="shared" si="41"/>
        <v>-2.7</v>
      </c>
      <c r="AW76" s="1">
        <f t="shared" si="42"/>
        <v>-0.2</v>
      </c>
      <c r="AX76" s="1">
        <f t="shared" si="43"/>
        <v>-5.0999999999999996</v>
      </c>
      <c r="AY76" s="1">
        <f t="shared" si="32"/>
        <v>95.1</v>
      </c>
      <c r="AZ76" s="1">
        <f t="shared" si="33"/>
        <v>87.4</v>
      </c>
      <c r="BA76" s="1">
        <f t="shared" si="54"/>
        <v>0.77</v>
      </c>
      <c r="BB76" s="5">
        <f t="shared" si="55"/>
        <v>-0.3</v>
      </c>
      <c r="BC76" s="1">
        <f t="shared" si="44"/>
        <v>-2.8</v>
      </c>
      <c r="BD76" s="1">
        <f t="shared" si="45"/>
        <v>-0.6</v>
      </c>
      <c r="BE76" s="1">
        <f t="shared" si="46"/>
        <v>-5.5</v>
      </c>
      <c r="BF76" s="5">
        <f t="shared" si="47"/>
        <v>0.2</v>
      </c>
      <c r="BG76" s="5">
        <f t="shared" si="48"/>
        <v>0.7</v>
      </c>
      <c r="BH76" s="5">
        <f t="shared" si="49"/>
        <v>1.2</v>
      </c>
      <c r="BI76" s="5">
        <f t="shared" si="56"/>
        <v>0.156</v>
      </c>
      <c r="BJ76" s="11">
        <f t="shared" si="57"/>
        <v>0.52500000000000002</v>
      </c>
      <c r="BK76" s="11">
        <f t="shared" si="57"/>
        <v>7.5999999999999998E-2</v>
      </c>
      <c r="BM76" s="1">
        <f t="shared" si="50"/>
        <v>-0.34700000000000009</v>
      </c>
      <c r="BN76" s="1">
        <f t="shared" si="51"/>
        <v>-0.37800000000000011</v>
      </c>
    </row>
    <row r="77" spans="1:66" x14ac:dyDescent="0.2">
      <c r="A77" s="4">
        <f t="shared" si="58"/>
        <v>45729</v>
      </c>
      <c r="B77" s="1">
        <v>72</v>
      </c>
      <c r="C77" s="1">
        <v>5</v>
      </c>
      <c r="D77" s="5">
        <v>12.79</v>
      </c>
      <c r="E77" s="5">
        <v>-0.5</v>
      </c>
      <c r="F77" s="5">
        <v>-8.7799999999999994</v>
      </c>
      <c r="G77" s="5">
        <v>-4.8470000000000004</v>
      </c>
      <c r="H77" s="5">
        <v>88.7</v>
      </c>
      <c r="I77" s="5">
        <v>-0.69199999999999995</v>
      </c>
      <c r="J77" s="5">
        <v>-0.26500000000000001</v>
      </c>
      <c r="K77" s="5">
        <v>0.18</v>
      </c>
      <c r="L77" s="5">
        <v>0.71899999999999997</v>
      </c>
      <c r="M77" s="5">
        <v>1.2350000000000001</v>
      </c>
      <c r="N77" s="5">
        <v>-1.9390000000000001</v>
      </c>
      <c r="O77" s="5">
        <v>99.8</v>
      </c>
      <c r="P77" s="5">
        <v>-0.55700000000000005</v>
      </c>
      <c r="Q77" s="5">
        <v>-0.17199999999999999</v>
      </c>
      <c r="R77" s="5">
        <v>0.26</v>
      </c>
      <c r="S77" s="5">
        <v>0.79800000000000004</v>
      </c>
      <c r="T77" s="5">
        <v>1.3109999999999999</v>
      </c>
      <c r="U77" s="5">
        <v>-11.24</v>
      </c>
      <c r="V77" s="5">
        <v>64.53</v>
      </c>
      <c r="W77" s="5">
        <v>-0.83699999999999997</v>
      </c>
      <c r="X77" s="5">
        <v>-0.34</v>
      </c>
      <c r="Y77" s="5">
        <v>8.6999999999999994E-2</v>
      </c>
      <c r="Z77" s="5">
        <v>0.63200000000000001</v>
      </c>
      <c r="AA77" s="5">
        <v>1.135</v>
      </c>
      <c r="AB77" s="5">
        <v>1.66</v>
      </c>
      <c r="AC77" s="5">
        <v>-5.2690000000000001</v>
      </c>
      <c r="AD77" s="5">
        <v>-1.9530000000000001</v>
      </c>
      <c r="AE77" s="5">
        <v>-12.37</v>
      </c>
      <c r="AF77" s="5">
        <v>-0.83</v>
      </c>
      <c r="AG77" s="5">
        <v>-10.99</v>
      </c>
      <c r="AH77" s="5">
        <v>0.156</v>
      </c>
      <c r="AI77" s="5">
        <v>1.6950000000000001</v>
      </c>
      <c r="AK77" s="1">
        <f t="shared" si="34"/>
        <v>0.94000000000000017</v>
      </c>
      <c r="AL77" s="7">
        <f t="shared" si="52"/>
        <v>-0.3</v>
      </c>
      <c r="AN77" s="1">
        <f t="shared" si="35"/>
        <v>99.8</v>
      </c>
      <c r="AO77" s="1">
        <f t="shared" si="36"/>
        <v>88.7</v>
      </c>
      <c r="AP77" s="1">
        <f t="shared" si="37"/>
        <v>64.5</v>
      </c>
      <c r="AQ77" s="18">
        <f t="shared" si="38"/>
        <v>0.34200000000000003</v>
      </c>
      <c r="AR77" s="24">
        <f t="shared" si="53"/>
        <v>0.188</v>
      </c>
      <c r="AT77" s="20">
        <f t="shared" si="39"/>
        <v>45729</v>
      </c>
      <c r="AU77" s="21">
        <f t="shared" si="40"/>
        <v>72</v>
      </c>
      <c r="AV77" s="1">
        <f t="shared" si="41"/>
        <v>-4.8</v>
      </c>
      <c r="AW77" s="1">
        <f t="shared" si="42"/>
        <v>-1.9</v>
      </c>
      <c r="AX77" s="1">
        <f t="shared" si="43"/>
        <v>-11.2</v>
      </c>
      <c r="AY77" s="1">
        <f t="shared" si="32"/>
        <v>88.7</v>
      </c>
      <c r="AZ77" s="1">
        <f t="shared" si="33"/>
        <v>64.5</v>
      </c>
      <c r="BA77" s="1">
        <f t="shared" si="54"/>
        <v>0.94000000000000017</v>
      </c>
      <c r="BB77" s="5">
        <f t="shared" si="55"/>
        <v>-0.3</v>
      </c>
      <c r="BC77" s="1">
        <f t="shared" si="44"/>
        <v>-5.3</v>
      </c>
      <c r="BD77" s="1">
        <f t="shared" si="45"/>
        <v>-2</v>
      </c>
      <c r="BE77" s="1">
        <f t="shared" si="46"/>
        <v>-12.4</v>
      </c>
      <c r="BF77" s="5">
        <f t="shared" si="47"/>
        <v>0.2</v>
      </c>
      <c r="BG77" s="5">
        <f t="shared" si="48"/>
        <v>0.7</v>
      </c>
      <c r="BH77" s="5">
        <f t="shared" si="49"/>
        <v>1.2</v>
      </c>
      <c r="BI77" s="5">
        <f t="shared" si="56"/>
        <v>0.156</v>
      </c>
      <c r="BJ77" s="11">
        <f t="shared" si="57"/>
        <v>0.34200000000000003</v>
      </c>
      <c r="BK77" s="11">
        <f t="shared" si="57"/>
        <v>0.188</v>
      </c>
      <c r="BM77" s="1">
        <f t="shared" si="50"/>
        <v>-1.4000000000000012E-2</v>
      </c>
      <c r="BN77" s="1">
        <f t="shared" si="51"/>
        <v>-1.129999999999999</v>
      </c>
    </row>
    <row r="78" spans="1:66" x14ac:dyDescent="0.2">
      <c r="A78" s="4">
        <f t="shared" si="58"/>
        <v>45730</v>
      </c>
      <c r="B78" s="1">
        <v>73</v>
      </c>
      <c r="C78" s="1">
        <v>5</v>
      </c>
      <c r="D78" s="5">
        <v>12.79</v>
      </c>
      <c r="E78" s="5">
        <v>-2.5489999999999999</v>
      </c>
      <c r="F78" s="5">
        <v>-14.08</v>
      </c>
      <c r="G78" s="5">
        <v>-8.89</v>
      </c>
      <c r="H78" s="5">
        <v>81</v>
      </c>
      <c r="I78" s="5">
        <v>-0.56499999999999995</v>
      </c>
      <c r="J78" s="5">
        <v>-0.22700000000000001</v>
      </c>
      <c r="K78" s="5">
        <v>0.155</v>
      </c>
      <c r="L78" s="5">
        <v>0.68400000000000005</v>
      </c>
      <c r="M78" s="5">
        <v>1.2</v>
      </c>
      <c r="N78" s="5">
        <v>-3.5059999999999998</v>
      </c>
      <c r="O78" s="5">
        <v>90.8</v>
      </c>
      <c r="P78" s="5">
        <v>-0.45700000000000002</v>
      </c>
      <c r="Q78" s="5">
        <v>-0.125</v>
      </c>
      <c r="R78" s="5">
        <v>0.254</v>
      </c>
      <c r="S78" s="5">
        <v>0.78600000000000003</v>
      </c>
      <c r="T78" s="5">
        <v>1.3129999999999999</v>
      </c>
      <c r="U78" s="5">
        <v>-16.010000000000002</v>
      </c>
      <c r="V78" s="5">
        <v>58.85</v>
      </c>
      <c r="W78" s="5">
        <v>-0.67800000000000005</v>
      </c>
      <c r="X78" s="5">
        <v>-0.32600000000000001</v>
      </c>
      <c r="Y78" s="5">
        <v>5.5E-2</v>
      </c>
      <c r="Z78" s="5">
        <v>0.57399999999999995</v>
      </c>
      <c r="AA78" s="5">
        <v>1.0860000000000001</v>
      </c>
      <c r="AB78" s="5">
        <v>1.7370000000000001</v>
      </c>
      <c r="AC78" s="5">
        <v>-9.73</v>
      </c>
      <c r="AD78" s="5">
        <v>-4.0670000000000002</v>
      </c>
      <c r="AE78" s="5">
        <v>-16.579999999999998</v>
      </c>
      <c r="AF78" s="5">
        <v>-2.5379999999999998</v>
      </c>
      <c r="AG78" s="5">
        <v>-15.66</v>
      </c>
      <c r="AH78" s="5">
        <v>0.156</v>
      </c>
      <c r="AI78" s="5">
        <v>1.7629999999999999</v>
      </c>
      <c r="AK78" s="1">
        <f t="shared" si="34"/>
        <v>0.86299999999999999</v>
      </c>
      <c r="AL78" s="7">
        <f t="shared" si="52"/>
        <v>-0.2</v>
      </c>
      <c r="AN78" s="1">
        <f t="shared" si="35"/>
        <v>90.8</v>
      </c>
      <c r="AO78" s="1">
        <f t="shared" si="36"/>
        <v>81</v>
      </c>
      <c r="AP78" s="1">
        <f t="shared" si="37"/>
        <v>58.9</v>
      </c>
      <c r="AQ78" s="18">
        <f t="shared" si="38"/>
        <v>0.27800000000000002</v>
      </c>
      <c r="AR78" s="24">
        <f t="shared" si="53"/>
        <v>0.19400000000000001</v>
      </c>
      <c r="AT78" s="20">
        <f t="shared" si="39"/>
        <v>45730</v>
      </c>
      <c r="AU78" s="21">
        <f t="shared" si="40"/>
        <v>73</v>
      </c>
      <c r="AV78" s="1">
        <f t="shared" si="41"/>
        <v>-8.9</v>
      </c>
      <c r="AW78" s="1">
        <f t="shared" si="42"/>
        <v>-3.5</v>
      </c>
      <c r="AX78" s="1">
        <f t="shared" si="43"/>
        <v>-16</v>
      </c>
      <c r="AY78" s="1">
        <f t="shared" si="32"/>
        <v>81</v>
      </c>
      <c r="AZ78" s="1">
        <f t="shared" si="33"/>
        <v>58.9</v>
      </c>
      <c r="BA78" s="1">
        <f t="shared" si="54"/>
        <v>0.86299999999999999</v>
      </c>
      <c r="BB78" s="5">
        <f t="shared" si="55"/>
        <v>-0.2</v>
      </c>
      <c r="BC78" s="1">
        <f t="shared" si="44"/>
        <v>-9.6999999999999993</v>
      </c>
      <c r="BD78" s="1">
        <f t="shared" si="45"/>
        <v>-4.0999999999999996</v>
      </c>
      <c r="BE78" s="1">
        <f t="shared" si="46"/>
        <v>-16.600000000000001</v>
      </c>
      <c r="BF78" s="5">
        <f t="shared" si="47"/>
        <v>0.2</v>
      </c>
      <c r="BG78" s="5">
        <f t="shared" si="48"/>
        <v>0.7</v>
      </c>
      <c r="BH78" s="5">
        <f t="shared" si="49"/>
        <v>1.2</v>
      </c>
      <c r="BI78" s="5">
        <f t="shared" si="56"/>
        <v>0.156</v>
      </c>
      <c r="BJ78" s="11">
        <f t="shared" si="57"/>
        <v>0.27800000000000002</v>
      </c>
      <c r="BK78" s="11">
        <f t="shared" si="57"/>
        <v>0.19400000000000001</v>
      </c>
      <c r="BM78" s="1">
        <f t="shared" si="50"/>
        <v>-0.56100000000000039</v>
      </c>
      <c r="BN78" s="1">
        <f t="shared" si="51"/>
        <v>-0.56999999999999673</v>
      </c>
    </row>
    <row r="79" spans="1:66" x14ac:dyDescent="0.2">
      <c r="A79" s="4">
        <f t="shared" si="58"/>
        <v>45731</v>
      </c>
      <c r="B79" s="1">
        <v>74</v>
      </c>
      <c r="C79" s="1">
        <v>5</v>
      </c>
      <c r="D79" s="5">
        <v>12.74</v>
      </c>
      <c r="E79" s="5">
        <v>-1.7350000000000001</v>
      </c>
      <c r="F79" s="5">
        <v>-7.7489999999999997</v>
      </c>
      <c r="G79" s="5">
        <v>-5.4320000000000004</v>
      </c>
      <c r="H79" s="5">
        <v>92.4</v>
      </c>
      <c r="I79" s="5">
        <v>-0.58199999999999996</v>
      </c>
      <c r="J79" s="5">
        <v>-0.21099999999999999</v>
      </c>
      <c r="K79" s="5">
        <v>0.17299999999999999</v>
      </c>
      <c r="L79" s="5">
        <v>0.70799999999999996</v>
      </c>
      <c r="M79" s="5">
        <v>1.226</v>
      </c>
      <c r="N79" s="5">
        <v>-2.8250000000000002</v>
      </c>
      <c r="O79" s="5">
        <v>96.1</v>
      </c>
      <c r="P79" s="5">
        <v>-0.5</v>
      </c>
      <c r="Q79" s="5">
        <v>-0.14000000000000001</v>
      </c>
      <c r="R79" s="5">
        <v>0.248</v>
      </c>
      <c r="S79" s="5">
        <v>0.79100000000000004</v>
      </c>
      <c r="T79" s="5">
        <v>1.3009999999999999</v>
      </c>
      <c r="U79" s="5">
        <v>-8.08</v>
      </c>
      <c r="V79" s="5">
        <v>86.4</v>
      </c>
      <c r="W79" s="5">
        <v>-0.66500000000000004</v>
      </c>
      <c r="X79" s="5">
        <v>-0.28299999999999997</v>
      </c>
      <c r="Y79" s="5">
        <v>9.1999999999999998E-2</v>
      </c>
      <c r="Z79" s="5">
        <v>0.627</v>
      </c>
      <c r="AA79" s="5">
        <v>1.1459999999999999</v>
      </c>
      <c r="AB79" s="5">
        <v>1.69</v>
      </c>
      <c r="AC79" s="5">
        <v>-5.6660000000000004</v>
      </c>
      <c r="AD79" s="5">
        <v>-2.7290000000000001</v>
      </c>
      <c r="AE79" s="5">
        <v>-8.5500000000000007</v>
      </c>
      <c r="AF79" s="5">
        <v>-1.454</v>
      </c>
      <c r="AG79" s="5">
        <v>-7.9349999999999996</v>
      </c>
      <c r="AH79" s="5">
        <v>0.156</v>
      </c>
      <c r="AI79" s="5">
        <v>1.7150000000000001</v>
      </c>
      <c r="AK79" s="1">
        <f t="shared" si="34"/>
        <v>0.91000000000000014</v>
      </c>
      <c r="AL79" s="7">
        <f t="shared" si="52"/>
        <v>-0.2</v>
      </c>
      <c r="AN79" s="1">
        <f t="shared" si="35"/>
        <v>96.1</v>
      </c>
      <c r="AO79" s="1">
        <f t="shared" si="36"/>
        <v>92.4</v>
      </c>
      <c r="AP79" s="1">
        <f t="shared" si="37"/>
        <v>86.4</v>
      </c>
      <c r="AQ79" s="18">
        <f t="shared" si="38"/>
        <v>0.42799999999999999</v>
      </c>
      <c r="AR79" s="24">
        <f t="shared" si="53"/>
        <v>6.7000000000000004E-2</v>
      </c>
      <c r="AT79" s="20">
        <f t="shared" si="39"/>
        <v>45731</v>
      </c>
      <c r="AU79" s="21">
        <f t="shared" si="40"/>
        <v>74</v>
      </c>
      <c r="AV79" s="1">
        <f t="shared" si="41"/>
        <v>-5.4</v>
      </c>
      <c r="AW79" s="1">
        <f t="shared" si="42"/>
        <v>-2.8</v>
      </c>
      <c r="AX79" s="1">
        <f t="shared" si="43"/>
        <v>-8.1</v>
      </c>
      <c r="AY79" s="1">
        <f t="shared" si="32"/>
        <v>92.4</v>
      </c>
      <c r="AZ79" s="1">
        <f t="shared" si="33"/>
        <v>86.4</v>
      </c>
      <c r="BA79" s="1">
        <f t="shared" si="54"/>
        <v>0.91000000000000014</v>
      </c>
      <c r="BB79" s="5">
        <f t="shared" si="55"/>
        <v>-0.2</v>
      </c>
      <c r="BC79" s="1">
        <f t="shared" si="44"/>
        <v>-5.7</v>
      </c>
      <c r="BD79" s="1">
        <f t="shared" si="45"/>
        <v>-2.7</v>
      </c>
      <c r="BE79" s="1">
        <f t="shared" si="46"/>
        <v>-8.6</v>
      </c>
      <c r="BF79" s="5">
        <f t="shared" si="47"/>
        <v>0.2</v>
      </c>
      <c r="BG79" s="5">
        <f t="shared" si="48"/>
        <v>0.7</v>
      </c>
      <c r="BH79" s="5">
        <f t="shared" si="49"/>
        <v>1.2</v>
      </c>
      <c r="BI79" s="5">
        <f t="shared" si="56"/>
        <v>0.156</v>
      </c>
      <c r="BJ79" s="11">
        <f t="shared" si="57"/>
        <v>0.42799999999999999</v>
      </c>
      <c r="BK79" s="11">
        <f t="shared" si="57"/>
        <v>6.7000000000000004E-2</v>
      </c>
      <c r="BM79" s="1">
        <f t="shared" si="50"/>
        <v>9.6000000000000085E-2</v>
      </c>
      <c r="BN79" s="1">
        <f t="shared" si="51"/>
        <v>-0.47000000000000064</v>
      </c>
    </row>
    <row r="80" spans="1:66" x14ac:dyDescent="0.2">
      <c r="A80" s="4">
        <f t="shared" si="58"/>
        <v>45732</v>
      </c>
      <c r="B80" s="1">
        <v>75</v>
      </c>
      <c r="C80" s="1">
        <v>5</v>
      </c>
      <c r="D80" s="5">
        <v>12.82</v>
      </c>
      <c r="E80" s="5">
        <v>-0.24399999999999999</v>
      </c>
      <c r="F80" s="5">
        <v>-7.415</v>
      </c>
      <c r="G80" s="5">
        <v>-5.7539999999999996</v>
      </c>
      <c r="H80" s="5">
        <v>84.8</v>
      </c>
      <c r="I80" s="5">
        <v>-0.62</v>
      </c>
      <c r="J80" s="5">
        <v>-0.224</v>
      </c>
      <c r="K80" s="5">
        <v>0.17299999999999999</v>
      </c>
      <c r="L80" s="5">
        <v>0.70799999999999996</v>
      </c>
      <c r="M80" s="5">
        <v>1.2230000000000001</v>
      </c>
      <c r="N80" s="5">
        <v>-1.649</v>
      </c>
      <c r="O80" s="5">
        <v>95.6</v>
      </c>
      <c r="P80" s="5">
        <v>-0.52600000000000002</v>
      </c>
      <c r="Q80" s="5">
        <v>-0.125</v>
      </c>
      <c r="R80" s="5">
        <v>0.27900000000000003</v>
      </c>
      <c r="S80" s="5">
        <v>0.79300000000000004</v>
      </c>
      <c r="T80" s="5">
        <v>1.32</v>
      </c>
      <c r="U80" s="5">
        <v>-8.56</v>
      </c>
      <c r="V80" s="5">
        <v>65.7</v>
      </c>
      <c r="W80" s="5">
        <v>-0.70299999999999996</v>
      </c>
      <c r="X80" s="5">
        <v>-0.3</v>
      </c>
      <c r="Y80" s="5">
        <v>9.0999999999999998E-2</v>
      </c>
      <c r="Z80" s="5">
        <v>0.627</v>
      </c>
      <c r="AA80" s="5">
        <v>1.149</v>
      </c>
      <c r="AB80" s="5">
        <v>1.6319999999999999</v>
      </c>
      <c r="AC80" s="5">
        <v>-6.4969999999999999</v>
      </c>
      <c r="AD80" s="5">
        <v>-0.98499999999999999</v>
      </c>
      <c r="AE80" s="5">
        <v>-9.3000000000000007</v>
      </c>
      <c r="AF80" s="5">
        <v>1.8420000000000001</v>
      </c>
      <c r="AG80" s="5">
        <v>-8.32</v>
      </c>
      <c r="AH80" s="5">
        <v>0.157</v>
      </c>
      <c r="AI80" s="5">
        <v>1.655</v>
      </c>
      <c r="AK80" s="1">
        <f t="shared" si="34"/>
        <v>0.96800000000000019</v>
      </c>
      <c r="AL80" s="7">
        <f t="shared" si="52"/>
        <v>-0.2</v>
      </c>
      <c r="AN80" s="1">
        <f t="shared" si="35"/>
        <v>95.6</v>
      </c>
      <c r="AO80" s="1">
        <f t="shared" si="36"/>
        <v>84.8</v>
      </c>
      <c r="AP80" s="1">
        <f t="shared" si="37"/>
        <v>65.7</v>
      </c>
      <c r="AQ80" s="18">
        <f t="shared" si="38"/>
        <v>0.35499999999999998</v>
      </c>
      <c r="AR80" s="24">
        <f t="shared" si="53"/>
        <v>0.185</v>
      </c>
      <c r="AT80" s="20">
        <f t="shared" si="39"/>
        <v>45732</v>
      </c>
      <c r="AU80" s="21">
        <f t="shared" si="40"/>
        <v>75</v>
      </c>
      <c r="AV80" s="1">
        <f t="shared" si="41"/>
        <v>-5.8</v>
      </c>
      <c r="AW80" s="1">
        <f t="shared" si="42"/>
        <v>-1.6</v>
      </c>
      <c r="AX80" s="1">
        <f t="shared" si="43"/>
        <v>-8.6</v>
      </c>
      <c r="AY80" s="1">
        <f t="shared" si="32"/>
        <v>84.8</v>
      </c>
      <c r="AZ80" s="1">
        <f t="shared" si="33"/>
        <v>65.7</v>
      </c>
      <c r="BA80" s="1">
        <f t="shared" si="54"/>
        <v>0.96800000000000019</v>
      </c>
      <c r="BB80" s="5">
        <f t="shared" si="55"/>
        <v>-0.2</v>
      </c>
      <c r="BC80" s="1">
        <f t="shared" si="44"/>
        <v>-6.5</v>
      </c>
      <c r="BD80" s="1">
        <f t="shared" si="45"/>
        <v>-1</v>
      </c>
      <c r="BE80" s="1">
        <f t="shared" si="46"/>
        <v>-9.3000000000000007</v>
      </c>
      <c r="BF80" s="5">
        <f t="shared" si="47"/>
        <v>0.2</v>
      </c>
      <c r="BG80" s="5">
        <f t="shared" si="48"/>
        <v>0.7</v>
      </c>
      <c r="BH80" s="5">
        <f t="shared" si="49"/>
        <v>1.2</v>
      </c>
      <c r="BI80" s="5">
        <f t="shared" si="56"/>
        <v>0.157</v>
      </c>
      <c r="BJ80" s="11">
        <f t="shared" si="57"/>
        <v>0.35499999999999998</v>
      </c>
      <c r="BK80" s="11">
        <f t="shared" si="57"/>
        <v>0.185</v>
      </c>
      <c r="BM80" s="1">
        <f t="shared" si="50"/>
        <v>0.66400000000000003</v>
      </c>
      <c r="BN80" s="1">
        <f t="shared" si="51"/>
        <v>-0.74000000000000021</v>
      </c>
    </row>
    <row r="81" spans="1:66" x14ac:dyDescent="0.2">
      <c r="A81" s="4">
        <f t="shared" si="58"/>
        <v>45733</v>
      </c>
      <c r="B81" s="1">
        <v>76</v>
      </c>
      <c r="C81" s="1">
        <v>5</v>
      </c>
      <c r="D81" s="5">
        <v>12.85</v>
      </c>
      <c r="E81" s="5">
        <v>-0.64900000000000002</v>
      </c>
      <c r="F81" s="5">
        <v>-10.77</v>
      </c>
      <c r="G81" s="5">
        <v>-7.2320000000000002</v>
      </c>
      <c r="H81" s="5">
        <v>76.709999999999994</v>
      </c>
      <c r="I81" s="5">
        <v>-0.60899999999999999</v>
      </c>
      <c r="J81" s="5">
        <v>-0.22600000000000001</v>
      </c>
      <c r="K81" s="5">
        <v>0.161</v>
      </c>
      <c r="L81" s="5">
        <v>0.69499999999999995</v>
      </c>
      <c r="M81" s="5">
        <v>1.2070000000000001</v>
      </c>
      <c r="N81" s="5">
        <v>-1.589</v>
      </c>
      <c r="O81" s="5">
        <v>94</v>
      </c>
      <c r="P81" s="5">
        <v>-0.50700000000000001</v>
      </c>
      <c r="Q81" s="5">
        <v>-0.124</v>
      </c>
      <c r="R81" s="5">
        <v>0.26</v>
      </c>
      <c r="S81" s="5">
        <v>0.79400000000000004</v>
      </c>
      <c r="T81" s="5">
        <v>1.321</v>
      </c>
      <c r="U81" s="5">
        <v>-12.76</v>
      </c>
      <c r="V81" s="5">
        <v>48.97</v>
      </c>
      <c r="W81" s="5">
        <v>-0.70399999999999996</v>
      </c>
      <c r="X81" s="5">
        <v>-0.32800000000000001</v>
      </c>
      <c r="Y81" s="5">
        <v>5.7000000000000002E-2</v>
      </c>
      <c r="Z81" s="5">
        <v>0.59799999999999998</v>
      </c>
      <c r="AA81" s="5">
        <v>1.113</v>
      </c>
      <c r="AB81" s="5">
        <v>1.643</v>
      </c>
      <c r="AC81" s="5">
        <v>-8.23</v>
      </c>
      <c r="AD81" s="5">
        <v>-0.84799999999999998</v>
      </c>
      <c r="AE81" s="5">
        <v>-13.54</v>
      </c>
      <c r="AF81" s="5">
        <v>1.9359999999999999</v>
      </c>
      <c r="AG81" s="5">
        <v>-12.52</v>
      </c>
      <c r="AH81" s="5">
        <v>0.157</v>
      </c>
      <c r="AI81" s="5">
        <v>1.6719999999999999</v>
      </c>
      <c r="AK81" s="1">
        <f t="shared" si="34"/>
        <v>0.95700000000000007</v>
      </c>
      <c r="AL81" s="7">
        <f t="shared" si="52"/>
        <v>-0.2</v>
      </c>
      <c r="AN81" s="1">
        <f t="shared" si="35"/>
        <v>94</v>
      </c>
      <c r="AO81" s="1">
        <f t="shared" si="36"/>
        <v>76.7</v>
      </c>
      <c r="AP81" s="1">
        <f t="shared" si="37"/>
        <v>49</v>
      </c>
      <c r="AQ81" s="18">
        <f t="shared" si="38"/>
        <v>0.26600000000000001</v>
      </c>
      <c r="AR81" s="24">
        <f t="shared" si="53"/>
        <v>0.27700000000000002</v>
      </c>
      <c r="AT81" s="20">
        <f t="shared" si="39"/>
        <v>45733</v>
      </c>
      <c r="AU81" s="21">
        <f t="shared" si="40"/>
        <v>76</v>
      </c>
      <c r="AV81" s="1">
        <f t="shared" si="41"/>
        <v>-7.2</v>
      </c>
      <c r="AW81" s="1">
        <f t="shared" si="42"/>
        <v>-1.6</v>
      </c>
      <c r="AX81" s="1">
        <f t="shared" si="43"/>
        <v>-12.8</v>
      </c>
      <c r="AY81" s="1">
        <f t="shared" si="32"/>
        <v>76.7</v>
      </c>
      <c r="AZ81" s="1">
        <f t="shared" si="33"/>
        <v>49</v>
      </c>
      <c r="BA81" s="1">
        <f t="shared" si="54"/>
        <v>0.95700000000000007</v>
      </c>
      <c r="BB81" s="5">
        <f t="shared" si="55"/>
        <v>-0.2</v>
      </c>
      <c r="BC81" s="1">
        <f t="shared" si="44"/>
        <v>-8.1999999999999993</v>
      </c>
      <c r="BD81" s="1">
        <f t="shared" si="45"/>
        <v>-0.8</v>
      </c>
      <c r="BE81" s="1">
        <f t="shared" si="46"/>
        <v>-13.5</v>
      </c>
      <c r="BF81" s="5">
        <f t="shared" si="47"/>
        <v>0.2</v>
      </c>
      <c r="BG81" s="5">
        <f t="shared" si="48"/>
        <v>0.7</v>
      </c>
      <c r="BH81" s="5">
        <f t="shared" si="49"/>
        <v>1.2</v>
      </c>
      <c r="BI81" s="5">
        <f t="shared" si="56"/>
        <v>0.157</v>
      </c>
      <c r="BJ81" s="11">
        <f t="shared" si="57"/>
        <v>0.26600000000000001</v>
      </c>
      <c r="BK81" s="11">
        <f t="shared" si="57"/>
        <v>0.27700000000000002</v>
      </c>
      <c r="BM81" s="1">
        <f t="shared" si="50"/>
        <v>0.74099999999999999</v>
      </c>
      <c r="BN81" s="1">
        <f t="shared" si="51"/>
        <v>-0.77999999999999936</v>
      </c>
    </row>
    <row r="82" spans="1:66" x14ac:dyDescent="0.2">
      <c r="A82" s="4">
        <f t="shared" si="58"/>
        <v>45734</v>
      </c>
      <c r="B82" s="1">
        <v>77</v>
      </c>
      <c r="C82" s="1">
        <v>5</v>
      </c>
      <c r="D82" s="5">
        <v>12.88</v>
      </c>
      <c r="E82" s="5">
        <v>7.3999999999999996E-2</v>
      </c>
      <c r="F82" s="5">
        <v>-9.64</v>
      </c>
      <c r="G82" s="5">
        <v>-7.1130000000000004</v>
      </c>
      <c r="H82" s="5">
        <v>73.05</v>
      </c>
      <c r="I82" s="5">
        <v>-0.59599999999999997</v>
      </c>
      <c r="J82" s="5">
        <v>-0.218</v>
      </c>
      <c r="K82" s="5">
        <v>0.16600000000000001</v>
      </c>
      <c r="L82" s="5">
        <v>0.69799999999999995</v>
      </c>
      <c r="M82" s="5">
        <v>1.21</v>
      </c>
      <c r="N82" s="5">
        <v>-1.556</v>
      </c>
      <c r="O82" s="5">
        <v>91.9</v>
      </c>
      <c r="P82" s="5">
        <v>-0.48899999999999999</v>
      </c>
      <c r="Q82" s="5">
        <v>-0.115</v>
      </c>
      <c r="R82" s="5">
        <v>0.27400000000000002</v>
      </c>
      <c r="S82" s="5">
        <v>0.81799999999999995</v>
      </c>
      <c r="T82" s="5">
        <v>1.319</v>
      </c>
      <c r="U82" s="5">
        <v>-13.2</v>
      </c>
      <c r="V82" s="5">
        <v>41.74</v>
      </c>
      <c r="W82" s="5">
        <v>-0.68300000000000005</v>
      </c>
      <c r="X82" s="5">
        <v>-0.311</v>
      </c>
      <c r="Y82" s="5">
        <v>8.3000000000000004E-2</v>
      </c>
      <c r="Z82" s="5">
        <v>0.61099999999999999</v>
      </c>
      <c r="AA82" s="5">
        <v>1.117</v>
      </c>
      <c r="AB82" s="5">
        <v>1.659</v>
      </c>
      <c r="AC82" s="5">
        <v>-8.26</v>
      </c>
      <c r="AD82" s="5">
        <v>-0.27400000000000002</v>
      </c>
      <c r="AE82" s="5">
        <v>-13.87</v>
      </c>
      <c r="AF82" s="5">
        <v>3.0249999999999999</v>
      </c>
      <c r="AG82" s="5">
        <v>-12.86</v>
      </c>
      <c r="AH82" s="5">
        <v>0.157</v>
      </c>
      <c r="AI82" s="5">
        <v>1.7010000000000001</v>
      </c>
      <c r="AK82" s="1">
        <f t="shared" si="34"/>
        <v>0.94100000000000006</v>
      </c>
      <c r="AL82" s="7">
        <f t="shared" si="52"/>
        <v>-0.2</v>
      </c>
      <c r="AN82" s="1">
        <f t="shared" si="35"/>
        <v>91.9</v>
      </c>
      <c r="AO82" s="1">
        <f t="shared" si="36"/>
        <v>73.099999999999994</v>
      </c>
      <c r="AP82" s="1">
        <f t="shared" si="37"/>
        <v>41.7</v>
      </c>
      <c r="AQ82" s="18">
        <f t="shared" si="38"/>
        <v>0.22700000000000001</v>
      </c>
      <c r="AR82" s="24">
        <f t="shared" si="53"/>
        <v>0.317</v>
      </c>
      <c r="AT82" s="20">
        <f t="shared" si="39"/>
        <v>45734</v>
      </c>
      <c r="AU82" s="21">
        <f t="shared" si="40"/>
        <v>77</v>
      </c>
      <c r="AV82" s="1">
        <f t="shared" si="41"/>
        <v>-7.1</v>
      </c>
      <c r="AW82" s="1">
        <f t="shared" si="42"/>
        <v>-1.6</v>
      </c>
      <c r="AX82" s="1">
        <f t="shared" si="43"/>
        <v>-13.2</v>
      </c>
      <c r="AY82" s="1">
        <f t="shared" si="32"/>
        <v>73.099999999999994</v>
      </c>
      <c r="AZ82" s="1">
        <f t="shared" si="33"/>
        <v>41.7</v>
      </c>
      <c r="BA82" s="1">
        <f t="shared" si="54"/>
        <v>0.94100000000000006</v>
      </c>
      <c r="BB82" s="5">
        <f t="shared" si="55"/>
        <v>-0.2</v>
      </c>
      <c r="BC82" s="1">
        <f t="shared" si="44"/>
        <v>-8.3000000000000007</v>
      </c>
      <c r="BD82" s="1">
        <f t="shared" si="45"/>
        <v>-0.3</v>
      </c>
      <c r="BE82" s="1">
        <f t="shared" si="46"/>
        <v>-13.9</v>
      </c>
      <c r="BF82" s="5">
        <f t="shared" si="47"/>
        <v>0.2</v>
      </c>
      <c r="BG82" s="5">
        <f t="shared" si="48"/>
        <v>0.7</v>
      </c>
      <c r="BH82" s="5">
        <f t="shared" si="49"/>
        <v>1.2</v>
      </c>
      <c r="BI82" s="5">
        <f t="shared" si="56"/>
        <v>0.157</v>
      </c>
      <c r="BJ82" s="11">
        <f t="shared" si="57"/>
        <v>0.22700000000000001</v>
      </c>
      <c r="BK82" s="11">
        <f t="shared" si="57"/>
        <v>0.317</v>
      </c>
      <c r="BM82" s="1">
        <f t="shared" si="50"/>
        <v>1.282</v>
      </c>
      <c r="BN82" s="1">
        <f t="shared" si="51"/>
        <v>-0.66999999999999993</v>
      </c>
    </row>
    <row r="83" spans="1:66" x14ac:dyDescent="0.2">
      <c r="A83" s="4">
        <f t="shared" si="58"/>
        <v>45735</v>
      </c>
      <c r="B83" s="1">
        <v>78</v>
      </c>
      <c r="C83" s="1">
        <v>5</v>
      </c>
      <c r="D83" s="5">
        <v>12.82</v>
      </c>
      <c r="E83" s="5">
        <v>-2.4830000000000001</v>
      </c>
      <c r="F83" s="5">
        <v>-13.08</v>
      </c>
      <c r="G83" s="5">
        <v>-6.7569999999999997</v>
      </c>
      <c r="H83" s="5">
        <v>83.5</v>
      </c>
      <c r="I83" s="5">
        <v>-0.624</v>
      </c>
      <c r="J83" s="5">
        <v>-0.23300000000000001</v>
      </c>
      <c r="K83" s="5">
        <v>0.16</v>
      </c>
      <c r="L83" s="5">
        <v>0.69</v>
      </c>
      <c r="M83" s="5">
        <v>1.2030000000000001</v>
      </c>
      <c r="N83" s="5">
        <v>-1.944</v>
      </c>
      <c r="O83" s="5">
        <v>92.6</v>
      </c>
      <c r="P83" s="5">
        <v>-0.53700000000000003</v>
      </c>
      <c r="Q83" s="5">
        <v>-0.14799999999999999</v>
      </c>
      <c r="R83" s="5">
        <v>0.24399999999999999</v>
      </c>
      <c r="S83" s="5">
        <v>0.77900000000000003</v>
      </c>
      <c r="T83" s="5">
        <v>1.296</v>
      </c>
      <c r="U83" s="5">
        <v>-14.19</v>
      </c>
      <c r="V83" s="5">
        <v>64.569999999999993</v>
      </c>
      <c r="W83" s="5">
        <v>-0.71599999999999997</v>
      </c>
      <c r="X83" s="5">
        <v>-0.33</v>
      </c>
      <c r="Y83" s="5">
        <v>6.6000000000000003E-2</v>
      </c>
      <c r="Z83" s="5">
        <v>0.57899999999999996</v>
      </c>
      <c r="AA83" s="5">
        <v>1.087</v>
      </c>
      <c r="AB83" s="5">
        <v>1.6759999999999999</v>
      </c>
      <c r="AC83" s="5">
        <v>-7.3049999999999997</v>
      </c>
      <c r="AD83" s="5">
        <v>-2.133</v>
      </c>
      <c r="AE83" s="5">
        <v>-14.67</v>
      </c>
      <c r="AF83" s="5">
        <v>-0.182</v>
      </c>
      <c r="AG83" s="5">
        <v>-13.93</v>
      </c>
      <c r="AH83" s="5">
        <v>0.157</v>
      </c>
      <c r="AI83" s="5">
        <v>1.6870000000000001</v>
      </c>
      <c r="AK83" s="1">
        <f t="shared" si="34"/>
        <v>0.92400000000000015</v>
      </c>
      <c r="AL83" s="7">
        <f t="shared" si="52"/>
        <v>-0.2</v>
      </c>
      <c r="AN83" s="1">
        <f t="shared" si="35"/>
        <v>92.6</v>
      </c>
      <c r="AO83" s="1">
        <f t="shared" si="36"/>
        <v>83.5</v>
      </c>
      <c r="AP83" s="1">
        <f t="shared" si="37"/>
        <v>64.599999999999994</v>
      </c>
      <c r="AQ83" s="18">
        <f t="shared" si="38"/>
        <v>0.34200000000000003</v>
      </c>
      <c r="AR83" s="24">
        <f t="shared" si="53"/>
        <v>0.187</v>
      </c>
      <c r="AT83" s="20">
        <f t="shared" si="39"/>
        <v>45735</v>
      </c>
      <c r="AU83" s="21">
        <f t="shared" si="40"/>
        <v>78</v>
      </c>
      <c r="AV83" s="1">
        <f t="shared" si="41"/>
        <v>-6.8</v>
      </c>
      <c r="AW83" s="1">
        <f t="shared" si="42"/>
        <v>-1.9</v>
      </c>
      <c r="AX83" s="1">
        <f t="shared" si="43"/>
        <v>-14.2</v>
      </c>
      <c r="AY83" s="1">
        <f t="shared" si="32"/>
        <v>83.5</v>
      </c>
      <c r="AZ83" s="1">
        <f t="shared" si="33"/>
        <v>64.599999999999994</v>
      </c>
      <c r="BA83" s="1">
        <f t="shared" si="54"/>
        <v>0.92400000000000015</v>
      </c>
      <c r="BB83" s="5">
        <f t="shared" si="55"/>
        <v>-0.2</v>
      </c>
      <c r="BC83" s="1">
        <f t="shared" si="44"/>
        <v>-7.3</v>
      </c>
      <c r="BD83" s="1">
        <f t="shared" si="45"/>
        <v>-2.1</v>
      </c>
      <c r="BE83" s="1">
        <f t="shared" si="46"/>
        <v>-14.7</v>
      </c>
      <c r="BF83" s="5">
        <f t="shared" si="47"/>
        <v>0.2</v>
      </c>
      <c r="BG83" s="5">
        <f t="shared" si="48"/>
        <v>0.7</v>
      </c>
      <c r="BH83" s="5">
        <f t="shared" si="49"/>
        <v>1.2</v>
      </c>
      <c r="BI83" s="5">
        <f t="shared" si="56"/>
        <v>0.157</v>
      </c>
      <c r="BJ83" s="11">
        <f t="shared" si="57"/>
        <v>0.34200000000000003</v>
      </c>
      <c r="BK83" s="11">
        <f t="shared" si="57"/>
        <v>0.187</v>
      </c>
      <c r="BM83" s="1">
        <f t="shared" si="50"/>
        <v>-0.18900000000000006</v>
      </c>
      <c r="BN83" s="1">
        <f t="shared" si="51"/>
        <v>-0.48000000000000043</v>
      </c>
    </row>
    <row r="84" spans="1:66" x14ac:dyDescent="0.2">
      <c r="A84" s="4">
        <f t="shared" si="58"/>
        <v>45736</v>
      </c>
      <c r="B84" s="1">
        <v>79</v>
      </c>
      <c r="C84" s="1">
        <v>5</v>
      </c>
      <c r="D84" s="5">
        <v>12.87</v>
      </c>
      <c r="E84" s="5">
        <v>2.2679999999999998</v>
      </c>
      <c r="F84" s="5">
        <v>-3.407</v>
      </c>
      <c r="G84" s="5">
        <v>-2.3860000000000001</v>
      </c>
      <c r="H84" s="5">
        <v>76.37</v>
      </c>
      <c r="I84" s="5">
        <v>-0.66500000000000004</v>
      </c>
      <c r="J84" s="5">
        <v>-0.22800000000000001</v>
      </c>
      <c r="K84" s="5">
        <v>0.189</v>
      </c>
      <c r="L84" s="5">
        <v>0.72699999999999998</v>
      </c>
      <c r="M84" s="5">
        <v>1.2390000000000001</v>
      </c>
      <c r="N84" s="5">
        <v>1.1659999999999999</v>
      </c>
      <c r="O84" s="5">
        <v>95.5</v>
      </c>
      <c r="P84" s="5">
        <v>-0.57099999999999995</v>
      </c>
      <c r="Q84" s="5">
        <v>-0.11799999999999999</v>
      </c>
      <c r="R84" s="5">
        <v>0.28599999999999998</v>
      </c>
      <c r="S84" s="5">
        <v>0.84099999999999997</v>
      </c>
      <c r="T84" s="5">
        <v>1.3460000000000001</v>
      </c>
      <c r="U84" s="5">
        <v>-4.1689999999999996</v>
      </c>
      <c r="V84" s="5">
        <v>50.51</v>
      </c>
      <c r="W84" s="5">
        <v>-0.75800000000000001</v>
      </c>
      <c r="X84" s="5">
        <v>-0.313</v>
      </c>
      <c r="Y84" s="5">
        <v>0.10299999999999999</v>
      </c>
      <c r="Z84" s="5">
        <v>0.63800000000000001</v>
      </c>
      <c r="AA84" s="5">
        <v>1.1539999999999999</v>
      </c>
      <c r="AB84" s="5">
        <v>1.6890000000000001</v>
      </c>
      <c r="AC84" s="5">
        <v>-3.2109999999999999</v>
      </c>
      <c r="AD84" s="5">
        <v>1.125</v>
      </c>
      <c r="AE84" s="5">
        <v>-4.4539999999999997</v>
      </c>
      <c r="AF84" s="5">
        <v>5.569</v>
      </c>
      <c r="AG84" s="5">
        <v>-3.7719999999999998</v>
      </c>
      <c r="AH84" s="5">
        <v>0.157</v>
      </c>
      <c r="AI84" s="5">
        <v>1.6970000000000001</v>
      </c>
      <c r="AK84" s="1">
        <f t="shared" si="34"/>
        <v>0.91100000000000003</v>
      </c>
      <c r="AL84" s="7">
        <f t="shared" si="52"/>
        <v>-0.2</v>
      </c>
      <c r="AN84" s="1">
        <f t="shared" si="35"/>
        <v>95.5</v>
      </c>
      <c r="AO84" s="1">
        <f t="shared" si="36"/>
        <v>76.400000000000006</v>
      </c>
      <c r="AP84" s="1">
        <f t="shared" si="37"/>
        <v>50.5</v>
      </c>
      <c r="AQ84" s="18">
        <f t="shared" si="38"/>
        <v>0.33500000000000002</v>
      </c>
      <c r="AR84" s="24">
        <f t="shared" si="53"/>
        <v>0.32800000000000001</v>
      </c>
      <c r="AT84" s="20">
        <f t="shared" si="39"/>
        <v>45736</v>
      </c>
      <c r="AU84" s="21">
        <f t="shared" si="40"/>
        <v>79</v>
      </c>
      <c r="AV84" s="1">
        <f t="shared" si="41"/>
        <v>-2.4</v>
      </c>
      <c r="AW84" s="1">
        <f t="shared" si="42"/>
        <v>1.2</v>
      </c>
      <c r="AX84" s="1">
        <f t="shared" si="43"/>
        <v>-4.2</v>
      </c>
      <c r="AY84" s="1">
        <f t="shared" si="32"/>
        <v>76.400000000000006</v>
      </c>
      <c r="AZ84" s="1">
        <f t="shared" si="33"/>
        <v>50.5</v>
      </c>
      <c r="BA84" s="1">
        <f t="shared" si="54"/>
        <v>0.91100000000000003</v>
      </c>
      <c r="BB84" s="5">
        <f t="shared" si="55"/>
        <v>-0.2</v>
      </c>
      <c r="BC84" s="1">
        <f t="shared" si="44"/>
        <v>-3.2</v>
      </c>
      <c r="BD84" s="1">
        <f t="shared" si="45"/>
        <v>1.1000000000000001</v>
      </c>
      <c r="BE84" s="1">
        <f t="shared" si="46"/>
        <v>-4.5</v>
      </c>
      <c r="BF84" s="5">
        <f t="shared" si="47"/>
        <v>0.2</v>
      </c>
      <c r="BG84" s="5">
        <f t="shared" si="48"/>
        <v>0.7</v>
      </c>
      <c r="BH84" s="5">
        <f t="shared" si="49"/>
        <v>1.2</v>
      </c>
      <c r="BI84" s="5">
        <f t="shared" si="56"/>
        <v>0.157</v>
      </c>
      <c r="BJ84" s="11">
        <f t="shared" si="57"/>
        <v>0.33500000000000002</v>
      </c>
      <c r="BK84" s="11">
        <f t="shared" si="57"/>
        <v>0.32800000000000001</v>
      </c>
      <c r="BM84" s="1">
        <f t="shared" si="50"/>
        <v>-4.0999999999999925E-2</v>
      </c>
      <c r="BN84" s="1">
        <f t="shared" si="51"/>
        <v>-0.28500000000000014</v>
      </c>
    </row>
    <row r="85" spans="1:66" x14ac:dyDescent="0.2">
      <c r="A85" s="4">
        <f t="shared" si="58"/>
        <v>45737</v>
      </c>
      <c r="B85" s="1">
        <v>80</v>
      </c>
      <c r="C85" s="1">
        <v>5</v>
      </c>
      <c r="D85" s="5">
        <v>12.9</v>
      </c>
      <c r="E85" s="5">
        <v>2.544</v>
      </c>
      <c r="F85" s="5">
        <v>-5.1779999999999999</v>
      </c>
      <c r="G85" s="5">
        <v>-2.6640000000000001</v>
      </c>
      <c r="H85" s="5">
        <v>76.069999999999993</v>
      </c>
      <c r="I85" s="5">
        <v>-0.64</v>
      </c>
      <c r="J85" s="5">
        <v>-0.222</v>
      </c>
      <c r="K85" s="5">
        <v>0.192</v>
      </c>
      <c r="L85" s="5">
        <v>0.72899999999999998</v>
      </c>
      <c r="M85" s="5">
        <v>1.2390000000000001</v>
      </c>
      <c r="N85" s="5">
        <v>1.3089999999999999</v>
      </c>
      <c r="O85" s="5">
        <v>94.9</v>
      </c>
      <c r="P85" s="5">
        <v>-0.50700000000000001</v>
      </c>
      <c r="Q85" s="5">
        <v>-0.115</v>
      </c>
      <c r="R85" s="5">
        <v>0.28399999999999997</v>
      </c>
      <c r="S85" s="5">
        <v>0.82799999999999996</v>
      </c>
      <c r="T85" s="5">
        <v>1.349</v>
      </c>
      <c r="U85" s="5">
        <v>-7.24</v>
      </c>
      <c r="V85" s="5">
        <v>46.7</v>
      </c>
      <c r="W85" s="5">
        <v>-0.75900000000000001</v>
      </c>
      <c r="X85" s="5">
        <v>-0.317</v>
      </c>
      <c r="Y85" s="5">
        <v>0.106</v>
      </c>
      <c r="Z85" s="5">
        <v>0.64800000000000002</v>
      </c>
      <c r="AA85" s="5">
        <v>1.1519999999999999</v>
      </c>
      <c r="AB85" s="5">
        <v>1.726</v>
      </c>
      <c r="AC85" s="5">
        <v>-3.6760000000000002</v>
      </c>
      <c r="AD85" s="5">
        <v>1.379</v>
      </c>
      <c r="AE85" s="5">
        <v>-11.7</v>
      </c>
      <c r="AF85" s="5">
        <v>6.2670000000000003</v>
      </c>
      <c r="AG85" s="5">
        <v>-6.9180000000000001</v>
      </c>
      <c r="AH85" s="5">
        <v>0.157</v>
      </c>
      <c r="AI85" s="5">
        <v>1.7450000000000001</v>
      </c>
      <c r="AK85" s="1">
        <f t="shared" si="34"/>
        <v>0.87400000000000011</v>
      </c>
      <c r="AL85" s="7">
        <f t="shared" si="52"/>
        <v>-0.2</v>
      </c>
      <c r="AN85" s="1">
        <f t="shared" si="35"/>
        <v>94.9</v>
      </c>
      <c r="AO85" s="1">
        <f t="shared" si="36"/>
        <v>76.099999999999994</v>
      </c>
      <c r="AP85" s="1">
        <f t="shared" si="37"/>
        <v>46.7</v>
      </c>
      <c r="AQ85" s="18">
        <f t="shared" si="38"/>
        <v>0.313</v>
      </c>
      <c r="AR85" s="24">
        <f t="shared" si="53"/>
        <v>0.35699999999999998</v>
      </c>
      <c r="AT85" s="20">
        <f t="shared" si="39"/>
        <v>45737</v>
      </c>
      <c r="AU85" s="21">
        <f t="shared" si="40"/>
        <v>80</v>
      </c>
      <c r="AV85" s="1">
        <f t="shared" si="41"/>
        <v>-2.7</v>
      </c>
      <c r="AW85" s="1">
        <f t="shared" si="42"/>
        <v>1.3</v>
      </c>
      <c r="AX85" s="1">
        <f t="shared" si="43"/>
        <v>-7.2</v>
      </c>
      <c r="AY85" s="1">
        <f t="shared" si="32"/>
        <v>76.099999999999994</v>
      </c>
      <c r="AZ85" s="1">
        <f t="shared" si="33"/>
        <v>46.7</v>
      </c>
      <c r="BA85" s="1">
        <f t="shared" si="54"/>
        <v>0.87400000000000011</v>
      </c>
      <c r="BB85" s="5">
        <f t="shared" si="55"/>
        <v>-0.2</v>
      </c>
      <c r="BC85" s="1">
        <f t="shared" si="44"/>
        <v>-3.7</v>
      </c>
      <c r="BD85" s="1">
        <f t="shared" si="45"/>
        <v>1.4</v>
      </c>
      <c r="BE85" s="1">
        <f t="shared" si="46"/>
        <v>-11.7</v>
      </c>
      <c r="BF85" s="5">
        <f t="shared" si="47"/>
        <v>0.2</v>
      </c>
      <c r="BG85" s="5">
        <f t="shared" si="48"/>
        <v>0.7</v>
      </c>
      <c r="BH85" s="5">
        <f t="shared" si="49"/>
        <v>1.2</v>
      </c>
      <c r="BI85" s="5">
        <f t="shared" si="56"/>
        <v>0.157</v>
      </c>
      <c r="BJ85" s="11">
        <f t="shared" si="57"/>
        <v>0.313</v>
      </c>
      <c r="BK85" s="11">
        <f t="shared" si="57"/>
        <v>0.35699999999999998</v>
      </c>
      <c r="BM85" s="1">
        <f t="shared" si="50"/>
        <v>7.0000000000000062E-2</v>
      </c>
      <c r="BN85" s="1">
        <f t="shared" si="51"/>
        <v>-4.4599999999999991</v>
      </c>
    </row>
    <row r="86" spans="1:66" x14ac:dyDescent="0.2">
      <c r="A86" s="4">
        <f t="shared" si="58"/>
        <v>45738</v>
      </c>
      <c r="B86" s="1">
        <v>81</v>
      </c>
      <c r="C86" s="1">
        <v>5</v>
      </c>
      <c r="D86" s="5">
        <v>12.9</v>
      </c>
      <c r="E86" s="5">
        <v>1.159</v>
      </c>
      <c r="F86" s="5">
        <v>-5.2439999999999998</v>
      </c>
      <c r="G86" s="5">
        <v>-3.81</v>
      </c>
      <c r="H86" s="5">
        <v>78.92</v>
      </c>
      <c r="I86" s="5">
        <v>-0.55000000000000004</v>
      </c>
      <c r="J86" s="5">
        <v>-0.192</v>
      </c>
      <c r="K86" s="5">
        <v>0.183</v>
      </c>
      <c r="L86" s="5">
        <v>0.71699999999999997</v>
      </c>
      <c r="M86" s="5">
        <v>1.226</v>
      </c>
      <c r="N86" s="5">
        <v>-0.88500000000000001</v>
      </c>
      <c r="O86" s="5">
        <v>93</v>
      </c>
      <c r="P86" s="5">
        <v>-0.438</v>
      </c>
      <c r="Q86" s="5">
        <v>-8.4000000000000005E-2</v>
      </c>
      <c r="R86" s="5">
        <v>0.27600000000000002</v>
      </c>
      <c r="S86" s="5">
        <v>0.81</v>
      </c>
      <c r="T86" s="5">
        <v>1.3320000000000001</v>
      </c>
      <c r="U86" s="5">
        <v>-6.2320000000000002</v>
      </c>
      <c r="V86" s="5">
        <v>57.2</v>
      </c>
      <c r="W86" s="5">
        <v>-0.66600000000000004</v>
      </c>
      <c r="X86" s="5">
        <v>-0.28499999999999998</v>
      </c>
      <c r="Y86" s="5">
        <v>0.109</v>
      </c>
      <c r="Z86" s="5">
        <v>0.63100000000000001</v>
      </c>
      <c r="AA86" s="5">
        <v>1.1499999999999999</v>
      </c>
      <c r="AB86" s="5">
        <v>1.621</v>
      </c>
      <c r="AC86" s="5">
        <v>-4.274</v>
      </c>
      <c r="AD86" s="5">
        <v>-0.61899999999999999</v>
      </c>
      <c r="AE86" s="5">
        <v>-7.5069999999999997</v>
      </c>
      <c r="AF86" s="5">
        <v>0.76200000000000001</v>
      </c>
      <c r="AG86" s="5">
        <v>-6.0140000000000002</v>
      </c>
      <c r="AH86" s="5">
        <v>0.157</v>
      </c>
      <c r="AI86" s="5">
        <v>1.6359999999999999</v>
      </c>
      <c r="AK86" s="1">
        <f t="shared" si="34"/>
        <v>0.97900000000000009</v>
      </c>
      <c r="AL86" s="7">
        <f t="shared" si="52"/>
        <v>-0.2</v>
      </c>
      <c r="AN86" s="1">
        <f t="shared" si="35"/>
        <v>93</v>
      </c>
      <c r="AO86" s="1">
        <f t="shared" si="36"/>
        <v>78.900000000000006</v>
      </c>
      <c r="AP86" s="1">
        <f t="shared" si="37"/>
        <v>57.2</v>
      </c>
      <c r="AQ86" s="18">
        <f t="shared" si="38"/>
        <v>0.32700000000000001</v>
      </c>
      <c r="AR86" s="24">
        <f t="shared" si="53"/>
        <v>0.245</v>
      </c>
      <c r="AT86" s="20">
        <f t="shared" si="39"/>
        <v>45738</v>
      </c>
      <c r="AU86" s="21">
        <f t="shared" si="40"/>
        <v>81</v>
      </c>
      <c r="AV86" s="1">
        <f t="shared" si="41"/>
        <v>-3.8</v>
      </c>
      <c r="AW86" s="1">
        <f t="shared" si="42"/>
        <v>-0.9</v>
      </c>
      <c r="AX86" s="1">
        <f t="shared" si="43"/>
        <v>-6.2</v>
      </c>
      <c r="AY86" s="1">
        <f t="shared" si="32"/>
        <v>78.900000000000006</v>
      </c>
      <c r="AZ86" s="1">
        <f t="shared" si="33"/>
        <v>57.2</v>
      </c>
      <c r="BA86" s="1">
        <f t="shared" si="54"/>
        <v>0.97900000000000009</v>
      </c>
      <c r="BB86" s="5">
        <f t="shared" si="55"/>
        <v>-0.2</v>
      </c>
      <c r="BC86" s="1">
        <f t="shared" si="44"/>
        <v>-4.3</v>
      </c>
      <c r="BD86" s="1">
        <f t="shared" si="45"/>
        <v>-0.6</v>
      </c>
      <c r="BE86" s="1">
        <f t="shared" si="46"/>
        <v>-7.5</v>
      </c>
      <c r="BF86" s="5">
        <f t="shared" si="47"/>
        <v>0.2</v>
      </c>
      <c r="BG86" s="5">
        <f t="shared" si="48"/>
        <v>0.7</v>
      </c>
      <c r="BH86" s="5">
        <f t="shared" si="49"/>
        <v>1.2</v>
      </c>
      <c r="BI86" s="5">
        <f t="shared" si="56"/>
        <v>0.157</v>
      </c>
      <c r="BJ86" s="11">
        <f t="shared" si="57"/>
        <v>0.32700000000000001</v>
      </c>
      <c r="BK86" s="11">
        <f t="shared" si="57"/>
        <v>0.245</v>
      </c>
      <c r="BM86" s="1">
        <f t="shared" si="50"/>
        <v>0.26600000000000001</v>
      </c>
      <c r="BN86" s="1">
        <f t="shared" si="51"/>
        <v>-1.2749999999999995</v>
      </c>
    </row>
    <row r="87" spans="1:66" x14ac:dyDescent="0.2">
      <c r="A87" s="4">
        <f t="shared" si="58"/>
        <v>45739</v>
      </c>
      <c r="B87" s="1">
        <v>82</v>
      </c>
      <c r="C87" s="1">
        <v>5</v>
      </c>
      <c r="D87" s="5">
        <v>12.83</v>
      </c>
      <c r="E87" s="5">
        <v>0.47899999999999998</v>
      </c>
      <c r="F87" s="5">
        <v>-4.4189999999999996</v>
      </c>
      <c r="G87" s="5">
        <v>-2.6</v>
      </c>
      <c r="H87" s="5">
        <v>94.5</v>
      </c>
      <c r="I87" s="5">
        <v>-0.51200000000000001</v>
      </c>
      <c r="J87" s="5">
        <v>-0.17699999999999999</v>
      </c>
      <c r="K87" s="5">
        <v>0.18</v>
      </c>
      <c r="L87" s="5">
        <v>0.71199999999999997</v>
      </c>
      <c r="M87" s="5">
        <v>1.2250000000000001</v>
      </c>
      <c r="N87" s="5">
        <v>1.899</v>
      </c>
      <c r="O87" s="5">
        <v>99.7</v>
      </c>
      <c r="P87" s="5">
        <v>-0.41899999999999998</v>
      </c>
      <c r="Q87" s="5">
        <v>-9.2999999999999999E-2</v>
      </c>
      <c r="R87" s="5">
        <v>0.26300000000000001</v>
      </c>
      <c r="S87" s="5">
        <v>0.79200000000000004</v>
      </c>
      <c r="T87" s="5">
        <v>1.2909999999999999</v>
      </c>
      <c r="U87" s="5">
        <v>-5.03</v>
      </c>
      <c r="V87" s="5">
        <v>79.36</v>
      </c>
      <c r="W87" s="5">
        <v>-0.59199999999999997</v>
      </c>
      <c r="X87" s="5">
        <v>-0.27300000000000002</v>
      </c>
      <c r="Y87" s="5">
        <v>0.1</v>
      </c>
      <c r="Z87" s="5">
        <v>0.63600000000000001</v>
      </c>
      <c r="AA87" s="5">
        <v>1.1459999999999999</v>
      </c>
      <c r="AB87" s="5">
        <v>1.4970000000000001</v>
      </c>
      <c r="AC87" s="5">
        <v>-2.7690000000000001</v>
      </c>
      <c r="AD87" s="5">
        <v>0.35699999999999998</v>
      </c>
      <c r="AE87" s="5">
        <v>-5.3179999999999996</v>
      </c>
      <c r="AF87" s="5">
        <v>1.337</v>
      </c>
      <c r="AG87" s="5">
        <v>-5.157</v>
      </c>
      <c r="AH87" s="5">
        <v>0.157</v>
      </c>
      <c r="AI87" s="5">
        <v>1.494</v>
      </c>
      <c r="AK87" s="1">
        <f t="shared" si="34"/>
        <v>1.103</v>
      </c>
      <c r="AL87" s="7">
        <f t="shared" si="52"/>
        <v>-0.2</v>
      </c>
      <c r="AN87" s="1">
        <f t="shared" si="35"/>
        <v>99.7</v>
      </c>
      <c r="AO87" s="1">
        <f t="shared" si="36"/>
        <v>94.5</v>
      </c>
      <c r="AP87" s="1">
        <f t="shared" si="37"/>
        <v>79.400000000000006</v>
      </c>
      <c r="AQ87" s="18">
        <f t="shared" si="38"/>
        <v>0.55600000000000005</v>
      </c>
      <c r="AR87" s="24">
        <f t="shared" si="53"/>
        <v>0.14399999999999999</v>
      </c>
      <c r="AT87" s="20">
        <f t="shared" si="39"/>
        <v>45739</v>
      </c>
      <c r="AU87" s="21">
        <f t="shared" si="40"/>
        <v>82</v>
      </c>
      <c r="AV87" s="1">
        <f t="shared" si="41"/>
        <v>-2.6</v>
      </c>
      <c r="AW87" s="1">
        <f t="shared" si="42"/>
        <v>1.9</v>
      </c>
      <c r="AX87" s="1">
        <f t="shared" si="43"/>
        <v>-5</v>
      </c>
      <c r="AY87" s="1">
        <f t="shared" si="32"/>
        <v>94.5</v>
      </c>
      <c r="AZ87" s="1">
        <f t="shared" si="33"/>
        <v>79.400000000000006</v>
      </c>
      <c r="BA87" s="1">
        <f t="shared" si="54"/>
        <v>1.103</v>
      </c>
      <c r="BB87" s="5">
        <f t="shared" si="55"/>
        <v>-0.2</v>
      </c>
      <c r="BC87" s="1">
        <f t="shared" si="44"/>
        <v>-2.8</v>
      </c>
      <c r="BD87" s="1">
        <f t="shared" si="45"/>
        <v>0.4</v>
      </c>
      <c r="BE87" s="1">
        <f t="shared" si="46"/>
        <v>-5.3</v>
      </c>
      <c r="BF87" s="5">
        <f t="shared" si="47"/>
        <v>0.2</v>
      </c>
      <c r="BG87" s="5">
        <f t="shared" si="48"/>
        <v>0.7</v>
      </c>
      <c r="BH87" s="5">
        <f t="shared" si="49"/>
        <v>1.2</v>
      </c>
      <c r="BI87" s="5">
        <f t="shared" si="56"/>
        <v>0.157</v>
      </c>
      <c r="BJ87" s="11">
        <f t="shared" si="57"/>
        <v>0.55600000000000005</v>
      </c>
      <c r="BK87" s="11">
        <f t="shared" si="57"/>
        <v>0.14399999999999999</v>
      </c>
      <c r="BM87" s="1">
        <f t="shared" si="50"/>
        <v>-1.542</v>
      </c>
      <c r="BN87" s="1">
        <f t="shared" si="51"/>
        <v>-0.28799999999999937</v>
      </c>
    </row>
    <row r="88" spans="1:66" x14ac:dyDescent="0.2">
      <c r="A88" s="4">
        <f t="shared" si="58"/>
        <v>45740</v>
      </c>
      <c r="B88" s="1">
        <v>83</v>
      </c>
      <c r="C88" s="1">
        <v>5</v>
      </c>
      <c r="D88" s="5">
        <v>12.8</v>
      </c>
      <c r="E88" s="5">
        <v>3.0790000000000002</v>
      </c>
      <c r="F88" s="5">
        <v>0.47899999999999998</v>
      </c>
      <c r="G88" s="5">
        <v>0.99</v>
      </c>
      <c r="H88" s="5">
        <v>93.8</v>
      </c>
      <c r="I88" s="5">
        <v>-0.45800000000000002</v>
      </c>
      <c r="J88" s="5">
        <v>-0.13600000000000001</v>
      </c>
      <c r="K88" s="5">
        <v>0.20899999999999999</v>
      </c>
      <c r="L88" s="5">
        <v>0.748</v>
      </c>
      <c r="M88" s="5">
        <v>1.2589999999999999</v>
      </c>
      <c r="N88" s="5">
        <v>2.7509999999999999</v>
      </c>
      <c r="O88" s="5">
        <v>99.8</v>
      </c>
      <c r="P88" s="5">
        <v>-0.35199999999999998</v>
      </c>
      <c r="Q88" s="5">
        <v>-0.06</v>
      </c>
      <c r="R88" s="5">
        <v>0.27900000000000003</v>
      </c>
      <c r="S88" s="5">
        <v>0.81899999999999995</v>
      </c>
      <c r="T88" s="5">
        <v>1.335</v>
      </c>
      <c r="U88" s="5">
        <v>-1.522</v>
      </c>
      <c r="V88" s="5">
        <v>77.75</v>
      </c>
      <c r="W88" s="5">
        <v>-0.55600000000000005</v>
      </c>
      <c r="X88" s="5">
        <v>-0.21199999999999999</v>
      </c>
      <c r="Y88" s="5">
        <v>0.11899999999999999</v>
      </c>
      <c r="Z88" s="5">
        <v>0.66400000000000003</v>
      </c>
      <c r="AA88" s="5">
        <v>1.1759999999999999</v>
      </c>
      <c r="AB88" s="5">
        <v>1.6020000000000001</v>
      </c>
      <c r="AC88" s="5">
        <v>-0.02</v>
      </c>
      <c r="AD88" s="5">
        <v>0.51600000000000001</v>
      </c>
      <c r="AE88" s="5">
        <v>-0.317</v>
      </c>
      <c r="AF88" s="5">
        <v>3.4369999999999998</v>
      </c>
      <c r="AG88" s="5">
        <v>0.19900000000000001</v>
      </c>
      <c r="AH88" s="5">
        <v>0.184</v>
      </c>
      <c r="AI88" s="5">
        <v>1.6020000000000001</v>
      </c>
      <c r="AK88" s="1">
        <f t="shared" si="34"/>
        <v>0.998</v>
      </c>
      <c r="AL88" s="7">
        <f t="shared" si="52"/>
        <v>-0.1</v>
      </c>
      <c r="AN88" s="1">
        <f t="shared" si="35"/>
        <v>99.8</v>
      </c>
      <c r="AO88" s="1">
        <f t="shared" si="36"/>
        <v>93.8</v>
      </c>
      <c r="AP88" s="1">
        <f t="shared" si="37"/>
        <v>77.8</v>
      </c>
      <c r="AQ88" s="18">
        <f t="shared" si="38"/>
        <v>0.57899999999999996</v>
      </c>
      <c r="AR88" s="24">
        <f t="shared" si="53"/>
        <v>0.16500000000000001</v>
      </c>
      <c r="AT88" s="20">
        <f t="shared" si="39"/>
        <v>45740</v>
      </c>
      <c r="AU88" s="21">
        <f t="shared" si="40"/>
        <v>83</v>
      </c>
      <c r="AV88" s="1">
        <f t="shared" si="41"/>
        <v>1</v>
      </c>
      <c r="AW88" s="1">
        <f t="shared" si="42"/>
        <v>2.8</v>
      </c>
      <c r="AX88" s="1">
        <f t="shared" si="43"/>
        <v>-1.5</v>
      </c>
      <c r="AY88" s="1">
        <f t="shared" si="32"/>
        <v>93.8</v>
      </c>
      <c r="AZ88" s="1">
        <f t="shared" si="33"/>
        <v>77.8</v>
      </c>
      <c r="BA88" s="1">
        <f t="shared" si="54"/>
        <v>0.998</v>
      </c>
      <c r="BB88" s="5">
        <f t="shared" si="55"/>
        <v>-0.1</v>
      </c>
      <c r="BC88" s="1">
        <f t="shared" si="44"/>
        <v>0</v>
      </c>
      <c r="BD88" s="1">
        <f t="shared" si="45"/>
        <v>0.5</v>
      </c>
      <c r="BE88" s="1">
        <f t="shared" si="46"/>
        <v>-0.3</v>
      </c>
      <c r="BF88" s="5">
        <f t="shared" si="47"/>
        <v>0.2</v>
      </c>
      <c r="BG88" s="5">
        <f t="shared" si="48"/>
        <v>0.7</v>
      </c>
      <c r="BH88" s="5">
        <f t="shared" si="49"/>
        <v>1.3</v>
      </c>
      <c r="BI88" s="5">
        <f t="shared" si="56"/>
        <v>0.184</v>
      </c>
      <c r="BJ88" s="11">
        <f t="shared" si="57"/>
        <v>0.57899999999999996</v>
      </c>
      <c r="BK88" s="11">
        <f t="shared" si="57"/>
        <v>0.16500000000000001</v>
      </c>
      <c r="BM88" s="1">
        <f t="shared" si="50"/>
        <v>-2.2349999999999999</v>
      </c>
      <c r="BN88" s="1">
        <f t="shared" si="51"/>
        <v>1.2050000000000001</v>
      </c>
    </row>
    <row r="89" spans="1:66" x14ac:dyDescent="0.2">
      <c r="A89" s="4">
        <f t="shared" si="58"/>
        <v>45741</v>
      </c>
      <c r="B89" s="1">
        <v>84</v>
      </c>
      <c r="C89" s="1">
        <v>5</v>
      </c>
      <c r="D89" s="5">
        <v>12.92</v>
      </c>
      <c r="E89" s="5">
        <v>10.27</v>
      </c>
      <c r="F89" s="5">
        <v>0.33</v>
      </c>
      <c r="G89" s="5">
        <v>-3.4910000000000001</v>
      </c>
      <c r="H89" s="5">
        <v>88.9</v>
      </c>
      <c r="I89" s="5">
        <v>-0.28000000000000003</v>
      </c>
      <c r="J89" s="5">
        <v>-7.3999999999999996E-2</v>
      </c>
      <c r="K89" s="5">
        <v>0.19400000000000001</v>
      </c>
      <c r="L89" s="5">
        <v>0.749</v>
      </c>
      <c r="M89" s="5">
        <v>1.2549999999999999</v>
      </c>
      <c r="N89" s="5">
        <v>9.8800000000000008</v>
      </c>
      <c r="O89" s="5">
        <v>99.9</v>
      </c>
      <c r="P89" s="5">
        <v>-0.109</v>
      </c>
      <c r="Q89" s="5">
        <v>3.7999999999999999E-2</v>
      </c>
      <c r="R89" s="5">
        <v>0.27700000000000002</v>
      </c>
      <c r="S89" s="5">
        <v>0.84799999999999998</v>
      </c>
      <c r="T89" s="5">
        <v>1.3440000000000001</v>
      </c>
      <c r="U89" s="5">
        <v>-79.42</v>
      </c>
      <c r="V89" s="5">
        <v>0.41099999999999998</v>
      </c>
      <c r="W89" s="5">
        <v>-0.46400000000000002</v>
      </c>
      <c r="X89" s="5">
        <v>-0.193</v>
      </c>
      <c r="Y89" s="5">
        <v>0.108</v>
      </c>
      <c r="Z89" s="5">
        <v>0.65900000000000003</v>
      </c>
      <c r="AA89" s="5">
        <v>1.1539999999999999</v>
      </c>
      <c r="AB89" s="5">
        <v>1.6819999999999999</v>
      </c>
      <c r="AC89" s="5">
        <v>0.22800000000000001</v>
      </c>
      <c r="AD89" s="5">
        <v>2.2240000000000002</v>
      </c>
      <c r="AE89" s="5">
        <v>-0.51500000000000001</v>
      </c>
      <c r="AF89" s="5">
        <v>13.46</v>
      </c>
      <c r="AG89" s="5">
        <v>-0.22800000000000001</v>
      </c>
      <c r="AH89" s="5">
        <v>0.26100000000000001</v>
      </c>
      <c r="AI89" s="5">
        <v>1.6830000000000001</v>
      </c>
      <c r="AK89" s="1">
        <f t="shared" si="34"/>
        <v>0.91800000000000015</v>
      </c>
      <c r="AL89" s="7">
        <f t="shared" si="52"/>
        <v>-0.1</v>
      </c>
      <c r="AN89" s="1">
        <f t="shared" si="35"/>
        <v>99.9</v>
      </c>
      <c r="AO89" s="1">
        <f t="shared" si="36"/>
        <v>88.9</v>
      </c>
      <c r="AP89" s="1">
        <f t="shared" si="37"/>
        <v>0.4</v>
      </c>
      <c r="AQ89" s="18">
        <f t="shared" si="38"/>
        <v>5.0000000000000001E-3</v>
      </c>
      <c r="AR89" s="24">
        <f t="shared" si="53"/>
        <v>1.2450000000000001</v>
      </c>
      <c r="AT89" s="20">
        <f t="shared" si="39"/>
        <v>45741</v>
      </c>
      <c r="AU89" s="21">
        <f t="shared" si="40"/>
        <v>84</v>
      </c>
      <c r="AV89" s="1" t="s">
        <v>112</v>
      </c>
      <c r="AW89" s="1">
        <f t="shared" si="42"/>
        <v>9.9</v>
      </c>
      <c r="AX89" s="1" t="s">
        <v>112</v>
      </c>
      <c r="AY89" s="1" t="s">
        <v>112</v>
      </c>
      <c r="AZ89" s="1" t="s">
        <v>112</v>
      </c>
      <c r="BA89" s="1">
        <f t="shared" si="54"/>
        <v>0.91800000000000015</v>
      </c>
      <c r="BB89" s="5">
        <f t="shared" si="55"/>
        <v>-0.1</v>
      </c>
      <c r="BC89" s="1">
        <f t="shared" si="44"/>
        <v>0.2</v>
      </c>
      <c r="BD89" s="1">
        <f t="shared" si="45"/>
        <v>2.2000000000000002</v>
      </c>
      <c r="BE89" s="1">
        <f t="shared" si="46"/>
        <v>-0.5</v>
      </c>
      <c r="BF89" s="5">
        <f t="shared" si="47"/>
        <v>0.2</v>
      </c>
      <c r="BG89" s="5">
        <f t="shared" si="48"/>
        <v>0.7</v>
      </c>
      <c r="BH89" s="5">
        <f t="shared" si="49"/>
        <v>1.3</v>
      </c>
      <c r="BI89" s="5">
        <f t="shared" si="56"/>
        <v>0.26100000000000001</v>
      </c>
      <c r="BJ89" s="1" t="s">
        <v>112</v>
      </c>
      <c r="BK89" s="1" t="s">
        <v>112</v>
      </c>
      <c r="BM89" s="1">
        <f t="shared" si="50"/>
        <v>-7.6560000000000006</v>
      </c>
      <c r="BN89" s="1">
        <f t="shared" si="51"/>
        <v>78.905000000000001</v>
      </c>
    </row>
    <row r="90" spans="1:66" x14ac:dyDescent="0.2">
      <c r="A90" s="4">
        <f t="shared" si="58"/>
        <v>45742</v>
      </c>
      <c r="B90" s="1">
        <v>85</v>
      </c>
      <c r="C90" s="1">
        <v>5</v>
      </c>
      <c r="D90" s="5">
        <v>12.92</v>
      </c>
      <c r="E90" s="5">
        <v>11.13</v>
      </c>
      <c r="F90" s="5">
        <v>-0.58499999999999996</v>
      </c>
      <c r="G90" s="5">
        <v>-15.84</v>
      </c>
      <c r="H90" s="5">
        <v>72.569999999999993</v>
      </c>
      <c r="I90" s="5">
        <v>-7.6999999999999999E-2</v>
      </c>
      <c r="J90" s="5">
        <v>-3.0000000000000001E-3</v>
      </c>
      <c r="K90" s="5">
        <v>0.191</v>
      </c>
      <c r="L90" s="5">
        <v>0.74099999999999999</v>
      </c>
      <c r="M90" s="5">
        <v>1.248</v>
      </c>
      <c r="N90" s="5">
        <v>11.33</v>
      </c>
      <c r="O90" s="5">
        <v>99.9</v>
      </c>
      <c r="P90" s="5">
        <v>6.9000000000000006E-2</v>
      </c>
      <c r="Q90" s="5">
        <v>0.114</v>
      </c>
      <c r="R90" s="5">
        <v>0.26800000000000002</v>
      </c>
      <c r="S90" s="5">
        <v>0.83499999999999996</v>
      </c>
      <c r="T90" s="5">
        <v>1.36</v>
      </c>
      <c r="U90" s="5">
        <v>-79.42</v>
      </c>
      <c r="V90" s="5">
        <v>0.41099999999999998</v>
      </c>
      <c r="W90" s="5">
        <v>-0.22800000000000001</v>
      </c>
      <c r="X90" s="5">
        <v>-0.115</v>
      </c>
      <c r="Y90" s="5">
        <v>9.8000000000000004E-2</v>
      </c>
      <c r="Z90" s="5">
        <v>0.65700000000000003</v>
      </c>
      <c r="AA90" s="5">
        <v>1.167</v>
      </c>
      <c r="AB90" s="5">
        <v>1.74</v>
      </c>
      <c r="AC90" s="5">
        <v>0.188</v>
      </c>
      <c r="AD90" s="5">
        <v>2.7930000000000001</v>
      </c>
      <c r="AE90" s="5">
        <v>-1.252</v>
      </c>
      <c r="AF90" s="5">
        <v>16</v>
      </c>
      <c r="AG90" s="5">
        <v>-0.747</v>
      </c>
      <c r="AH90" s="5">
        <v>0.247</v>
      </c>
      <c r="AI90" s="5">
        <v>1.73</v>
      </c>
      <c r="AK90" s="1">
        <f t="shared" si="34"/>
        <v>0.8600000000000001</v>
      </c>
      <c r="AL90" s="7">
        <f t="shared" si="52"/>
        <v>0</v>
      </c>
      <c r="AN90" s="1">
        <f t="shared" si="35"/>
        <v>99.9</v>
      </c>
      <c r="AO90" s="1">
        <f t="shared" si="36"/>
        <v>72.599999999999994</v>
      </c>
      <c r="AP90" s="1">
        <f t="shared" si="37"/>
        <v>0.4</v>
      </c>
      <c r="AQ90" s="18">
        <f t="shared" si="38"/>
        <v>5.0000000000000001E-3</v>
      </c>
      <c r="AR90" s="24">
        <f t="shared" si="53"/>
        <v>1.2450000000000001</v>
      </c>
      <c r="AT90" s="20">
        <f t="shared" si="39"/>
        <v>45742</v>
      </c>
      <c r="AU90" s="21">
        <f t="shared" si="40"/>
        <v>85</v>
      </c>
      <c r="AV90" s="1" t="s">
        <v>112</v>
      </c>
      <c r="AW90" s="1">
        <f t="shared" si="42"/>
        <v>11.3</v>
      </c>
      <c r="AX90" s="1" t="s">
        <v>112</v>
      </c>
      <c r="AY90" s="1" t="s">
        <v>112</v>
      </c>
      <c r="AZ90" s="1" t="s">
        <v>112</v>
      </c>
      <c r="BA90" s="1">
        <f t="shared" si="54"/>
        <v>0.8600000000000001</v>
      </c>
      <c r="BB90" s="5">
        <f t="shared" si="55"/>
        <v>0</v>
      </c>
      <c r="BC90" s="1">
        <f t="shared" si="44"/>
        <v>0.2</v>
      </c>
      <c r="BD90" s="1">
        <f t="shared" si="45"/>
        <v>2.8</v>
      </c>
      <c r="BE90" s="1">
        <f t="shared" si="46"/>
        <v>-1.3</v>
      </c>
      <c r="BF90" s="5">
        <f t="shared" si="47"/>
        <v>0.2</v>
      </c>
      <c r="BG90" s="5">
        <f t="shared" si="48"/>
        <v>0.7</v>
      </c>
      <c r="BH90" s="5">
        <f t="shared" si="49"/>
        <v>1.2</v>
      </c>
      <c r="BI90" s="5">
        <f t="shared" si="56"/>
        <v>0.247</v>
      </c>
      <c r="BJ90" s="1" t="s">
        <v>112</v>
      </c>
      <c r="BK90" s="1" t="s">
        <v>112</v>
      </c>
      <c r="BM90" s="1">
        <f t="shared" si="50"/>
        <v>-8.536999999999999</v>
      </c>
      <c r="BN90" s="1">
        <f t="shared" si="51"/>
        <v>78.168000000000006</v>
      </c>
    </row>
    <row r="91" spans="1:66" x14ac:dyDescent="0.2">
      <c r="A91" s="4">
        <f t="shared" si="58"/>
        <v>45743</v>
      </c>
      <c r="B91" s="1">
        <v>86</v>
      </c>
      <c r="C91" s="1">
        <v>5</v>
      </c>
      <c r="D91" s="5">
        <v>12.89</v>
      </c>
      <c r="E91" s="5">
        <v>6.1340000000000003</v>
      </c>
      <c r="F91" s="5">
        <v>0.28699999999999998</v>
      </c>
      <c r="G91" s="5">
        <v>1.7889999999999999</v>
      </c>
      <c r="H91" s="5">
        <v>86.1</v>
      </c>
      <c r="I91" s="5">
        <v>1E-3</v>
      </c>
      <c r="J91" s="5">
        <v>2.4E-2</v>
      </c>
      <c r="K91" s="5">
        <v>0.188</v>
      </c>
      <c r="L91" s="5">
        <v>0.73799999999999999</v>
      </c>
      <c r="M91" s="5">
        <v>1.248</v>
      </c>
      <c r="N91" s="5">
        <v>5.194</v>
      </c>
      <c r="O91" s="5">
        <v>99.8</v>
      </c>
      <c r="P91" s="5">
        <v>9.0999999999999998E-2</v>
      </c>
      <c r="Q91" s="5">
        <v>0.108</v>
      </c>
      <c r="R91" s="5">
        <v>0.26</v>
      </c>
      <c r="S91" s="5">
        <v>0.80800000000000005</v>
      </c>
      <c r="T91" s="5">
        <v>1.3129999999999999</v>
      </c>
      <c r="U91" s="5">
        <v>-1.4119999999999999</v>
      </c>
      <c r="V91" s="5">
        <v>56.67</v>
      </c>
      <c r="W91" s="5">
        <v>-0.107</v>
      </c>
      <c r="X91" s="5">
        <v>-5.3999999999999999E-2</v>
      </c>
      <c r="Y91" s="5">
        <v>0.109</v>
      </c>
      <c r="Z91" s="5">
        <v>0.64400000000000002</v>
      </c>
      <c r="AA91" s="5">
        <v>1.1359999999999999</v>
      </c>
      <c r="AB91" s="5">
        <v>1.7649999999999999</v>
      </c>
      <c r="AC91" s="5">
        <v>0.06</v>
      </c>
      <c r="AD91" s="5">
        <v>1.909</v>
      </c>
      <c r="AE91" s="5">
        <v>-0.66700000000000004</v>
      </c>
      <c r="AF91" s="5">
        <v>9.14</v>
      </c>
      <c r="AG91" s="5">
        <v>-0.441</v>
      </c>
      <c r="AH91" s="5">
        <v>0.26200000000000001</v>
      </c>
      <c r="AI91" s="5">
        <v>1.7649999999999999</v>
      </c>
      <c r="AK91" s="1">
        <f t="shared" si="34"/>
        <v>0.83500000000000019</v>
      </c>
      <c r="AL91" s="7">
        <f t="shared" si="52"/>
        <v>0.1</v>
      </c>
      <c r="AN91" s="1">
        <f t="shared" si="35"/>
        <v>99.8</v>
      </c>
      <c r="AO91" s="1">
        <f t="shared" si="36"/>
        <v>86.1</v>
      </c>
      <c r="AP91" s="1">
        <f t="shared" si="37"/>
        <v>56.7</v>
      </c>
      <c r="AQ91" s="18">
        <f t="shared" si="38"/>
        <v>0.501</v>
      </c>
      <c r="AR91" s="24">
        <f t="shared" si="53"/>
        <v>0.38300000000000001</v>
      </c>
      <c r="AT91" s="20">
        <f t="shared" si="39"/>
        <v>45743</v>
      </c>
      <c r="AU91" s="21">
        <f t="shared" si="40"/>
        <v>86</v>
      </c>
      <c r="AV91" s="1">
        <f t="shared" si="41"/>
        <v>1.8</v>
      </c>
      <c r="AW91" s="1">
        <f t="shared" si="42"/>
        <v>5.2</v>
      </c>
      <c r="AX91" s="1">
        <f t="shared" si="43"/>
        <v>-1.4</v>
      </c>
      <c r="AY91" s="1">
        <f t="shared" si="32"/>
        <v>86.1</v>
      </c>
      <c r="AZ91" s="1">
        <f t="shared" si="33"/>
        <v>56.7</v>
      </c>
      <c r="BA91" s="1">
        <f t="shared" si="54"/>
        <v>0.83500000000000019</v>
      </c>
      <c r="BB91" s="5">
        <f t="shared" si="55"/>
        <v>0.1</v>
      </c>
      <c r="BC91" s="1">
        <f t="shared" si="44"/>
        <v>0.1</v>
      </c>
      <c r="BD91" s="1">
        <f t="shared" si="45"/>
        <v>1.9</v>
      </c>
      <c r="BE91" s="1">
        <f t="shared" si="46"/>
        <v>-0.7</v>
      </c>
      <c r="BF91" s="5">
        <f t="shared" si="47"/>
        <v>0.2</v>
      </c>
      <c r="BG91" s="5">
        <f t="shared" si="48"/>
        <v>0.7</v>
      </c>
      <c r="BH91" s="5">
        <f t="shared" si="49"/>
        <v>1.2</v>
      </c>
      <c r="BI91" s="5">
        <f t="shared" si="56"/>
        <v>0.26200000000000001</v>
      </c>
      <c r="BJ91" s="11">
        <f t="shared" si="57"/>
        <v>0.501</v>
      </c>
      <c r="BK91" s="11">
        <f t="shared" si="57"/>
        <v>0.38300000000000001</v>
      </c>
      <c r="BM91" s="1">
        <f t="shared" si="50"/>
        <v>-3.2850000000000001</v>
      </c>
      <c r="BN91" s="1">
        <f t="shared" si="51"/>
        <v>0.74499999999999988</v>
      </c>
    </row>
    <row r="92" spans="1:66" x14ac:dyDescent="0.2">
      <c r="A92" s="4">
        <f t="shared" si="58"/>
        <v>45744</v>
      </c>
      <c r="B92" s="1">
        <v>87</v>
      </c>
      <c r="C92" s="1">
        <v>5</v>
      </c>
      <c r="D92" s="5">
        <v>12.87</v>
      </c>
      <c r="E92" s="5">
        <v>4.9020000000000001</v>
      </c>
      <c r="F92" s="5">
        <v>-0.11799999999999999</v>
      </c>
      <c r="G92" s="5">
        <v>0.28399999999999997</v>
      </c>
      <c r="H92" s="5">
        <v>93.7</v>
      </c>
      <c r="I92" s="5">
        <v>1.0999999999999999E-2</v>
      </c>
      <c r="J92" s="5">
        <v>1.7000000000000001E-2</v>
      </c>
      <c r="K92" s="5">
        <v>0.17599999999999999</v>
      </c>
      <c r="L92" s="5">
        <v>0.71399999999999997</v>
      </c>
      <c r="M92" s="5">
        <v>1.2250000000000001</v>
      </c>
      <c r="N92" s="5">
        <v>4.1390000000000002</v>
      </c>
      <c r="O92" s="5">
        <v>99.8</v>
      </c>
      <c r="P92" s="5">
        <v>0.10299999999999999</v>
      </c>
      <c r="Q92" s="5">
        <v>0.108</v>
      </c>
      <c r="R92" s="5">
        <v>0.252</v>
      </c>
      <c r="S92" s="5">
        <v>0.79800000000000004</v>
      </c>
      <c r="T92" s="5">
        <v>1.3340000000000001</v>
      </c>
      <c r="U92" s="5">
        <v>-2.1320000000000001</v>
      </c>
      <c r="V92" s="5">
        <v>68.53</v>
      </c>
      <c r="W92" s="5">
        <v>-8.4000000000000005E-2</v>
      </c>
      <c r="X92" s="5">
        <v>-7.4999999999999997E-2</v>
      </c>
      <c r="Y92" s="5">
        <v>9.5000000000000001E-2</v>
      </c>
      <c r="Z92" s="5">
        <v>0.63300000000000001</v>
      </c>
      <c r="AA92" s="5">
        <v>1.1479999999999999</v>
      </c>
      <c r="AB92" s="5">
        <v>1.8109999999999999</v>
      </c>
      <c r="AC92" s="5">
        <v>-0.313</v>
      </c>
      <c r="AD92" s="5">
        <v>2.214</v>
      </c>
      <c r="AE92" s="5">
        <v>-1.2210000000000001</v>
      </c>
      <c r="AF92" s="5">
        <v>7.7030000000000003</v>
      </c>
      <c r="AG92" s="5">
        <v>-0.58899999999999997</v>
      </c>
      <c r="AH92" s="5">
        <v>0.23100000000000001</v>
      </c>
      <c r="AI92" s="5">
        <v>1.8149999999999999</v>
      </c>
      <c r="AK92" s="1">
        <f t="shared" si="34"/>
        <v>0.78900000000000015</v>
      </c>
      <c r="AL92" s="7">
        <f t="shared" si="52"/>
        <v>0.1</v>
      </c>
      <c r="AN92" s="1">
        <f t="shared" si="35"/>
        <v>99.8</v>
      </c>
      <c r="AO92" s="1">
        <f t="shared" si="36"/>
        <v>93.7</v>
      </c>
      <c r="AP92" s="1">
        <f t="shared" si="37"/>
        <v>68.5</v>
      </c>
      <c r="AQ92" s="18">
        <f t="shared" si="38"/>
        <v>0.56200000000000006</v>
      </c>
      <c r="AR92" s="24">
        <f t="shared" si="53"/>
        <v>0.25800000000000001</v>
      </c>
      <c r="AT92" s="20">
        <f t="shared" si="39"/>
        <v>45744</v>
      </c>
      <c r="AU92" s="21">
        <f t="shared" si="40"/>
        <v>87</v>
      </c>
      <c r="AV92" s="1">
        <f t="shared" si="41"/>
        <v>0.3</v>
      </c>
      <c r="AW92" s="1">
        <f t="shared" si="42"/>
        <v>4.0999999999999996</v>
      </c>
      <c r="AX92" s="1">
        <f t="shared" si="43"/>
        <v>-2.1</v>
      </c>
      <c r="AY92" s="1">
        <f t="shared" si="32"/>
        <v>93.7</v>
      </c>
      <c r="AZ92" s="1">
        <f t="shared" si="33"/>
        <v>68.5</v>
      </c>
      <c r="BA92" s="1">
        <f t="shared" si="54"/>
        <v>0.78900000000000015</v>
      </c>
      <c r="BB92" s="5">
        <f t="shared" si="55"/>
        <v>0.1</v>
      </c>
      <c r="BC92" s="1">
        <f t="shared" si="44"/>
        <v>-0.3</v>
      </c>
      <c r="BD92" s="1">
        <f t="shared" si="45"/>
        <v>2.2000000000000002</v>
      </c>
      <c r="BE92" s="1">
        <f t="shared" si="46"/>
        <v>-1.2</v>
      </c>
      <c r="BF92" s="5">
        <f t="shared" si="47"/>
        <v>0.2</v>
      </c>
      <c r="BG92" s="5">
        <f t="shared" si="48"/>
        <v>0.7</v>
      </c>
      <c r="BH92" s="5">
        <f t="shared" si="49"/>
        <v>1.2</v>
      </c>
      <c r="BI92" s="5">
        <f t="shared" si="56"/>
        <v>0.23100000000000001</v>
      </c>
      <c r="BJ92" s="11">
        <f t="shared" si="57"/>
        <v>0.56200000000000006</v>
      </c>
      <c r="BK92" s="11">
        <f t="shared" si="57"/>
        <v>0.25800000000000001</v>
      </c>
      <c r="BM92" s="1">
        <f t="shared" si="50"/>
        <v>-1.9250000000000003</v>
      </c>
      <c r="BN92" s="1">
        <f t="shared" si="51"/>
        <v>0.91100000000000003</v>
      </c>
    </row>
    <row r="93" spans="1:66" x14ac:dyDescent="0.2">
      <c r="A93" s="4">
        <f t="shared" si="58"/>
        <v>45745</v>
      </c>
      <c r="B93" s="1">
        <v>88</v>
      </c>
      <c r="C93" s="1">
        <v>5</v>
      </c>
      <c r="D93" s="5">
        <v>12.94</v>
      </c>
      <c r="E93" s="5">
        <v>5.4850000000000003</v>
      </c>
      <c r="F93" s="5">
        <v>-2.9350000000000001</v>
      </c>
      <c r="G93" s="5">
        <v>-1.1859999999999999</v>
      </c>
      <c r="H93" s="5">
        <v>80.599999999999994</v>
      </c>
      <c r="I93" s="5">
        <v>1.2999999999999999E-2</v>
      </c>
      <c r="J93" s="5">
        <v>1.6E-2</v>
      </c>
      <c r="K93" s="5">
        <v>0.17199999999999999</v>
      </c>
      <c r="L93" s="5">
        <v>0.70199999999999996</v>
      </c>
      <c r="M93" s="5">
        <v>1.212</v>
      </c>
      <c r="N93" s="5">
        <v>3.8029999999999999</v>
      </c>
      <c r="O93" s="5">
        <v>99.8</v>
      </c>
      <c r="P93" s="5">
        <v>0.11700000000000001</v>
      </c>
      <c r="Q93" s="5">
        <v>0.122</v>
      </c>
      <c r="R93" s="5">
        <v>0.26400000000000001</v>
      </c>
      <c r="S93" s="5">
        <v>0.79800000000000004</v>
      </c>
      <c r="T93" s="5">
        <v>1.3149999999999999</v>
      </c>
      <c r="U93" s="5">
        <v>-5.2249999999999996</v>
      </c>
      <c r="V93" s="5">
        <v>42.69</v>
      </c>
      <c r="W93" s="5">
        <v>-8.5999999999999993E-2</v>
      </c>
      <c r="X93" s="5">
        <v>-8.5000000000000006E-2</v>
      </c>
      <c r="Y93" s="5">
        <v>0.08</v>
      </c>
      <c r="Z93" s="5">
        <v>0.61499999999999999</v>
      </c>
      <c r="AA93" s="5">
        <v>1.121</v>
      </c>
      <c r="AB93" s="5">
        <v>1.774</v>
      </c>
      <c r="AC93" s="5">
        <v>-2.238</v>
      </c>
      <c r="AD93" s="5">
        <v>0.65200000000000002</v>
      </c>
      <c r="AE93" s="5">
        <v>-4.8860000000000001</v>
      </c>
      <c r="AF93" s="5">
        <v>7.1950000000000003</v>
      </c>
      <c r="AG93" s="5">
        <v>-4.6989999999999998</v>
      </c>
      <c r="AH93" s="5">
        <v>0.22</v>
      </c>
      <c r="AI93" s="5">
        <v>1.7909999999999999</v>
      </c>
      <c r="AK93" s="1">
        <f t="shared" si="34"/>
        <v>0.82600000000000007</v>
      </c>
      <c r="AL93" s="7">
        <f t="shared" si="52"/>
        <v>0.1</v>
      </c>
      <c r="AN93" s="1">
        <f t="shared" si="35"/>
        <v>99.8</v>
      </c>
      <c r="AO93" s="1">
        <f t="shared" si="36"/>
        <v>80.599999999999994</v>
      </c>
      <c r="AP93" s="1">
        <f t="shared" si="37"/>
        <v>42.7</v>
      </c>
      <c r="AQ93" s="18">
        <f t="shared" si="38"/>
        <v>0.34200000000000003</v>
      </c>
      <c r="AR93" s="24">
        <f t="shared" si="53"/>
        <v>0.45900000000000002</v>
      </c>
      <c r="AT93" s="20">
        <f t="shared" si="39"/>
        <v>45745</v>
      </c>
      <c r="AU93" s="21">
        <f t="shared" si="40"/>
        <v>88</v>
      </c>
      <c r="AV93" s="1">
        <f t="shared" si="41"/>
        <v>-1.2</v>
      </c>
      <c r="AW93" s="1">
        <f t="shared" si="42"/>
        <v>3.8</v>
      </c>
      <c r="AX93" s="1">
        <f t="shared" si="43"/>
        <v>-5.2</v>
      </c>
      <c r="AY93" s="1">
        <f t="shared" si="32"/>
        <v>80.599999999999994</v>
      </c>
      <c r="AZ93" s="1">
        <f t="shared" si="33"/>
        <v>42.7</v>
      </c>
      <c r="BA93" s="1">
        <f t="shared" si="54"/>
        <v>0.82600000000000007</v>
      </c>
      <c r="BB93" s="5">
        <f t="shared" si="55"/>
        <v>0.1</v>
      </c>
      <c r="BC93" s="1">
        <f t="shared" si="44"/>
        <v>-2.2000000000000002</v>
      </c>
      <c r="BD93" s="1">
        <f t="shared" si="45"/>
        <v>0.7</v>
      </c>
      <c r="BE93" s="1">
        <f t="shared" si="46"/>
        <v>-4.9000000000000004</v>
      </c>
      <c r="BF93" s="5">
        <f t="shared" si="47"/>
        <v>0.2</v>
      </c>
      <c r="BG93" s="5">
        <f t="shared" si="48"/>
        <v>0.7</v>
      </c>
      <c r="BH93" s="5">
        <f t="shared" si="49"/>
        <v>1.2</v>
      </c>
      <c r="BI93" s="5">
        <f t="shared" si="56"/>
        <v>0.22</v>
      </c>
      <c r="BJ93" s="11">
        <f t="shared" si="57"/>
        <v>0.34200000000000003</v>
      </c>
      <c r="BK93" s="11">
        <f t="shared" si="57"/>
        <v>0.45900000000000002</v>
      </c>
      <c r="BM93" s="1">
        <f t="shared" si="50"/>
        <v>-3.1509999999999998</v>
      </c>
      <c r="BN93" s="1">
        <f t="shared" si="51"/>
        <v>0.33899999999999952</v>
      </c>
    </row>
    <row r="94" spans="1:66" x14ac:dyDescent="0.2">
      <c r="A94" s="4">
        <f t="shared" si="58"/>
        <v>45746</v>
      </c>
      <c r="B94" s="1">
        <v>89</v>
      </c>
      <c r="C94" s="1">
        <v>5</v>
      </c>
      <c r="D94" s="5">
        <v>12.95</v>
      </c>
      <c r="E94" s="5">
        <v>6.6779999999999999</v>
      </c>
      <c r="F94" s="5">
        <v>-6.05</v>
      </c>
      <c r="G94" s="5">
        <v>-0.63200000000000001</v>
      </c>
      <c r="H94" s="5">
        <v>68.59</v>
      </c>
      <c r="I94" s="5">
        <v>1.2999999999999999E-2</v>
      </c>
      <c r="J94" s="5">
        <v>1.6E-2</v>
      </c>
      <c r="K94" s="5">
        <v>0.17399999999999999</v>
      </c>
      <c r="L94" s="5">
        <v>0.69799999999999995</v>
      </c>
      <c r="M94" s="5">
        <v>1.204</v>
      </c>
      <c r="N94" s="5">
        <v>4.9550000000000001</v>
      </c>
      <c r="O94" s="5">
        <v>93</v>
      </c>
      <c r="P94" s="5">
        <v>0.124</v>
      </c>
      <c r="Q94" s="5">
        <v>0.122</v>
      </c>
      <c r="R94" s="5">
        <v>0.28000000000000003</v>
      </c>
      <c r="S94" s="5">
        <v>0.79900000000000004</v>
      </c>
      <c r="T94" s="5">
        <v>1.3149999999999999</v>
      </c>
      <c r="U94" s="5">
        <v>-6.9279999999999999</v>
      </c>
      <c r="V94" s="5">
        <v>36.25</v>
      </c>
      <c r="W94" s="5">
        <v>-9.4E-2</v>
      </c>
      <c r="X94" s="5">
        <v>-9.4E-2</v>
      </c>
      <c r="Y94" s="5">
        <v>7.3999999999999996E-2</v>
      </c>
      <c r="Z94" s="5">
        <v>0.60199999999999998</v>
      </c>
      <c r="AA94" s="5">
        <v>1.111</v>
      </c>
      <c r="AB94" s="5">
        <v>1.7889999999999999</v>
      </c>
      <c r="AC94" s="5">
        <v>-2.452</v>
      </c>
      <c r="AD94" s="5">
        <v>1.22</v>
      </c>
      <c r="AE94" s="5">
        <v>-7.71</v>
      </c>
      <c r="AF94" s="5">
        <v>11.48</v>
      </c>
      <c r="AG94" s="5">
        <v>-6.7039999999999997</v>
      </c>
      <c r="AH94" s="5">
        <v>0.20899999999999999</v>
      </c>
      <c r="AI94" s="5">
        <v>1.7869999999999999</v>
      </c>
      <c r="AK94" s="1">
        <f t="shared" si="34"/>
        <v>0.81100000000000017</v>
      </c>
      <c r="AL94" s="7">
        <f t="shared" si="52"/>
        <v>0.1</v>
      </c>
      <c r="AN94" s="1">
        <f t="shared" si="35"/>
        <v>93</v>
      </c>
      <c r="AO94" s="1">
        <f t="shared" si="36"/>
        <v>68.599999999999994</v>
      </c>
      <c r="AP94" s="1">
        <f t="shared" si="37"/>
        <v>36.299999999999997</v>
      </c>
      <c r="AQ94" s="18">
        <f t="shared" si="38"/>
        <v>0.316</v>
      </c>
      <c r="AR94" s="24">
        <f t="shared" si="53"/>
        <v>0.55500000000000005</v>
      </c>
      <c r="AT94" s="20">
        <f t="shared" si="39"/>
        <v>45746</v>
      </c>
      <c r="AU94" s="21">
        <f t="shared" si="40"/>
        <v>89</v>
      </c>
      <c r="AV94" s="1">
        <f t="shared" si="41"/>
        <v>-0.6</v>
      </c>
      <c r="AW94" s="1">
        <f t="shared" si="42"/>
        <v>5</v>
      </c>
      <c r="AX94" s="1">
        <f t="shared" si="43"/>
        <v>-6.9</v>
      </c>
      <c r="AY94" s="1">
        <f t="shared" si="32"/>
        <v>68.599999999999994</v>
      </c>
      <c r="AZ94" s="1">
        <f t="shared" si="33"/>
        <v>36.299999999999997</v>
      </c>
      <c r="BA94" s="1">
        <f t="shared" si="54"/>
        <v>0.81100000000000017</v>
      </c>
      <c r="BB94" s="5">
        <f t="shared" si="55"/>
        <v>0.1</v>
      </c>
      <c r="BC94" s="1">
        <f t="shared" si="44"/>
        <v>-2.5</v>
      </c>
      <c r="BD94" s="1">
        <f t="shared" si="45"/>
        <v>1.2</v>
      </c>
      <c r="BE94" s="1">
        <f t="shared" si="46"/>
        <v>-7.7</v>
      </c>
      <c r="BF94" s="5">
        <f t="shared" si="47"/>
        <v>0.2</v>
      </c>
      <c r="BG94" s="5">
        <f t="shared" si="48"/>
        <v>0.7</v>
      </c>
      <c r="BH94" s="5">
        <f t="shared" si="49"/>
        <v>1.2</v>
      </c>
      <c r="BI94" s="5">
        <f t="shared" si="56"/>
        <v>0.20899999999999999</v>
      </c>
      <c r="BJ94" s="11">
        <f t="shared" si="57"/>
        <v>0.316</v>
      </c>
      <c r="BK94" s="11">
        <f t="shared" si="57"/>
        <v>0.55500000000000005</v>
      </c>
      <c r="BM94" s="1">
        <f t="shared" si="50"/>
        <v>-3.7350000000000003</v>
      </c>
      <c r="BN94" s="1">
        <f t="shared" si="51"/>
        <v>-0.78200000000000003</v>
      </c>
    </row>
    <row r="95" spans="1:66" x14ac:dyDescent="0.2">
      <c r="A95" s="4">
        <f t="shared" si="58"/>
        <v>45747</v>
      </c>
      <c r="B95" s="1">
        <v>90</v>
      </c>
      <c r="C95" s="1">
        <v>5</v>
      </c>
      <c r="D95" s="5">
        <v>12.94</v>
      </c>
      <c r="E95" s="5">
        <v>3.827</v>
      </c>
      <c r="F95" s="5">
        <v>-1.7150000000000001</v>
      </c>
      <c r="G95" s="5">
        <v>-0.93200000000000005</v>
      </c>
      <c r="H95" s="5">
        <v>90.8</v>
      </c>
      <c r="I95" s="5">
        <v>2.1000000000000001E-2</v>
      </c>
      <c r="J95" s="5">
        <v>1.9E-2</v>
      </c>
      <c r="K95" s="5">
        <v>0.17599999999999999</v>
      </c>
      <c r="L95" s="5">
        <v>0.69499999999999995</v>
      </c>
      <c r="M95" s="5">
        <v>1.204</v>
      </c>
      <c r="N95" s="5">
        <v>1.405</v>
      </c>
      <c r="O95" s="5">
        <v>99.8</v>
      </c>
      <c r="P95" s="5">
        <v>0.11</v>
      </c>
      <c r="Q95" s="5">
        <v>0.125</v>
      </c>
      <c r="R95" s="5">
        <v>0.26</v>
      </c>
      <c r="S95" s="5">
        <v>0.79400000000000004</v>
      </c>
      <c r="T95" s="5">
        <v>1.294</v>
      </c>
      <c r="U95" s="5">
        <v>-3.125</v>
      </c>
      <c r="V95" s="5">
        <v>63.98</v>
      </c>
      <c r="W95" s="5">
        <v>-7.0000000000000007E-2</v>
      </c>
      <c r="X95" s="5">
        <v>-6.4000000000000001E-2</v>
      </c>
      <c r="Y95" s="5">
        <v>9.6000000000000002E-2</v>
      </c>
      <c r="Z95" s="5">
        <v>0.61899999999999999</v>
      </c>
      <c r="AA95" s="5">
        <v>1.119</v>
      </c>
      <c r="AB95" s="5">
        <v>1.7769999999999999</v>
      </c>
      <c r="AC95" s="5">
        <v>-0.83899999999999997</v>
      </c>
      <c r="AD95" s="5">
        <v>0.82</v>
      </c>
      <c r="AE95" s="5">
        <v>-2.3359999999999999</v>
      </c>
      <c r="AF95" s="5">
        <v>3.464</v>
      </c>
      <c r="AG95" s="5">
        <v>-2.8029999999999999</v>
      </c>
      <c r="AH95" s="5">
        <v>0.20200000000000001</v>
      </c>
      <c r="AI95" s="5">
        <v>1.7869999999999999</v>
      </c>
      <c r="AK95" s="1">
        <f t="shared" si="34"/>
        <v>0.82300000000000018</v>
      </c>
      <c r="AL95" s="7">
        <f t="shared" si="52"/>
        <v>0.1</v>
      </c>
      <c r="AN95" s="1">
        <f t="shared" si="35"/>
        <v>99.8</v>
      </c>
      <c r="AO95" s="1">
        <f t="shared" si="36"/>
        <v>90.8</v>
      </c>
      <c r="AP95" s="1">
        <f t="shared" si="37"/>
        <v>64</v>
      </c>
      <c r="AQ95" s="18">
        <f t="shared" si="38"/>
        <v>0.433</v>
      </c>
      <c r="AR95" s="24">
        <f t="shared" si="53"/>
        <v>0.24399999999999999</v>
      </c>
      <c r="AT95" s="20">
        <f t="shared" si="39"/>
        <v>45747</v>
      </c>
      <c r="AU95" s="21">
        <f t="shared" si="40"/>
        <v>90</v>
      </c>
      <c r="AV95" s="1">
        <f t="shared" si="41"/>
        <v>-0.9</v>
      </c>
      <c r="AW95" s="1">
        <f t="shared" si="42"/>
        <v>1.4</v>
      </c>
      <c r="AX95" s="1">
        <f t="shared" si="43"/>
        <v>-3.1</v>
      </c>
      <c r="AY95" s="1">
        <f t="shared" si="32"/>
        <v>90.8</v>
      </c>
      <c r="AZ95" s="1">
        <f t="shared" si="33"/>
        <v>64</v>
      </c>
      <c r="BA95" s="1">
        <f t="shared" si="54"/>
        <v>0.82300000000000018</v>
      </c>
      <c r="BB95" s="5">
        <f t="shared" si="55"/>
        <v>0.1</v>
      </c>
      <c r="BC95" s="1">
        <f t="shared" si="44"/>
        <v>-0.8</v>
      </c>
      <c r="BD95" s="1">
        <f t="shared" si="45"/>
        <v>0.8</v>
      </c>
      <c r="BE95" s="1">
        <f t="shared" si="46"/>
        <v>-2.2999999999999998</v>
      </c>
      <c r="BF95" s="5">
        <f t="shared" si="47"/>
        <v>0.2</v>
      </c>
      <c r="BG95" s="5">
        <f t="shared" si="48"/>
        <v>0.7</v>
      </c>
      <c r="BH95" s="5">
        <f t="shared" si="49"/>
        <v>1.2</v>
      </c>
      <c r="BI95" s="5">
        <f t="shared" si="56"/>
        <v>0.20200000000000001</v>
      </c>
      <c r="BJ95" s="11">
        <f t="shared" si="57"/>
        <v>0.433</v>
      </c>
      <c r="BK95" s="11">
        <f t="shared" si="57"/>
        <v>0.24399999999999999</v>
      </c>
      <c r="BM95" s="1">
        <f t="shared" si="50"/>
        <v>-0.58500000000000008</v>
      </c>
      <c r="BN95" s="1">
        <f t="shared" si="51"/>
        <v>0.78900000000000015</v>
      </c>
    </row>
    <row r="96" spans="1:66" x14ac:dyDescent="0.2">
      <c r="A96" s="4">
        <f t="shared" si="58"/>
        <v>45748</v>
      </c>
      <c r="B96" s="1">
        <v>91</v>
      </c>
      <c r="C96" s="1">
        <v>5</v>
      </c>
      <c r="D96" s="5">
        <v>12.95</v>
      </c>
      <c r="E96" s="5">
        <v>4.6219999999999999</v>
      </c>
      <c r="F96" s="5">
        <v>-2.4630000000000001</v>
      </c>
      <c r="G96" s="5">
        <v>-1.171</v>
      </c>
      <c r="H96" s="5">
        <v>85.6</v>
      </c>
      <c r="I96" s="5">
        <v>1.7000000000000001E-2</v>
      </c>
      <c r="J96" s="5">
        <v>1.4E-2</v>
      </c>
      <c r="K96" s="5">
        <v>0.17399999999999999</v>
      </c>
      <c r="L96" s="5">
        <v>0.69099999999999995</v>
      </c>
      <c r="M96" s="5">
        <v>1.1990000000000001</v>
      </c>
      <c r="N96" s="5">
        <v>2.52</v>
      </c>
      <c r="O96" s="5">
        <v>96.1</v>
      </c>
      <c r="P96" s="5">
        <v>0.124</v>
      </c>
      <c r="Q96" s="5">
        <v>0.10299999999999999</v>
      </c>
      <c r="R96" s="5">
        <v>0.27600000000000002</v>
      </c>
      <c r="S96" s="5">
        <v>0.78800000000000003</v>
      </c>
      <c r="T96" s="5">
        <v>1.304</v>
      </c>
      <c r="U96" s="5">
        <v>-3.2570000000000001</v>
      </c>
      <c r="V96" s="5">
        <v>63.39</v>
      </c>
      <c r="W96" s="5">
        <v>-7.3999999999999996E-2</v>
      </c>
      <c r="X96" s="5">
        <v>-7.6999999999999999E-2</v>
      </c>
      <c r="Y96" s="5">
        <v>9.4E-2</v>
      </c>
      <c r="Z96" s="5">
        <v>0.60599999999999998</v>
      </c>
      <c r="AA96" s="5">
        <v>1.1240000000000001</v>
      </c>
      <c r="AB96" s="5">
        <v>1.78</v>
      </c>
      <c r="AC96" s="5">
        <v>-1.3089999999999999</v>
      </c>
      <c r="AD96" s="5">
        <v>1.9590000000000001</v>
      </c>
      <c r="AE96" s="5">
        <v>-3.16</v>
      </c>
      <c r="AF96" s="5">
        <v>7.3369999999999997</v>
      </c>
      <c r="AG96" s="5">
        <v>-2.9710000000000001</v>
      </c>
      <c r="AH96" s="5">
        <v>0.19800000000000001</v>
      </c>
      <c r="AI96" s="5">
        <v>1.788</v>
      </c>
      <c r="AK96" s="1">
        <f t="shared" si="34"/>
        <v>0.82000000000000006</v>
      </c>
      <c r="AL96" s="7">
        <f t="shared" si="52"/>
        <v>0.1</v>
      </c>
      <c r="AN96" s="1">
        <f t="shared" si="35"/>
        <v>96.1</v>
      </c>
      <c r="AO96" s="1">
        <f t="shared" si="36"/>
        <v>85.6</v>
      </c>
      <c r="AP96" s="1">
        <f t="shared" si="37"/>
        <v>63.4</v>
      </c>
      <c r="AQ96" s="18">
        <f t="shared" si="38"/>
        <v>0.46400000000000002</v>
      </c>
      <c r="AR96" s="24">
        <f t="shared" si="53"/>
        <v>0.26800000000000002</v>
      </c>
      <c r="AT96" s="20">
        <f t="shared" si="39"/>
        <v>45748</v>
      </c>
      <c r="AU96" s="21">
        <f t="shared" si="40"/>
        <v>91</v>
      </c>
      <c r="AV96" s="1">
        <f t="shared" si="41"/>
        <v>-1.2</v>
      </c>
      <c r="AW96" s="1">
        <f t="shared" si="42"/>
        <v>2.5</v>
      </c>
      <c r="AX96" s="1">
        <f t="shared" si="43"/>
        <v>-3.3</v>
      </c>
      <c r="AY96" s="1">
        <f t="shared" si="32"/>
        <v>85.6</v>
      </c>
      <c r="AZ96" s="1">
        <f t="shared" si="33"/>
        <v>63.4</v>
      </c>
      <c r="BA96" s="1">
        <f t="shared" si="54"/>
        <v>0.82000000000000006</v>
      </c>
      <c r="BB96" s="5">
        <f t="shared" si="55"/>
        <v>0.1</v>
      </c>
      <c r="BC96" s="1">
        <f t="shared" si="44"/>
        <v>-1.3</v>
      </c>
      <c r="BD96" s="1">
        <f t="shared" si="45"/>
        <v>2</v>
      </c>
      <c r="BE96" s="1">
        <f t="shared" si="46"/>
        <v>-3.2</v>
      </c>
      <c r="BF96" s="5">
        <f t="shared" si="47"/>
        <v>0.2</v>
      </c>
      <c r="BG96" s="5">
        <f t="shared" si="48"/>
        <v>0.7</v>
      </c>
      <c r="BH96" s="5">
        <f t="shared" si="49"/>
        <v>1.2</v>
      </c>
      <c r="BI96" s="5">
        <f t="shared" si="56"/>
        <v>0.19800000000000001</v>
      </c>
      <c r="BJ96" s="11">
        <f t="shared" si="57"/>
        <v>0.46400000000000002</v>
      </c>
      <c r="BK96" s="11">
        <f t="shared" si="57"/>
        <v>0.26800000000000002</v>
      </c>
      <c r="BM96" s="1">
        <f t="shared" si="50"/>
        <v>-0.56099999999999994</v>
      </c>
      <c r="BN96" s="1">
        <f t="shared" si="51"/>
        <v>9.6999999999999975E-2</v>
      </c>
    </row>
    <row r="97" spans="1:66" x14ac:dyDescent="0.2">
      <c r="A97" s="4">
        <f t="shared" si="58"/>
        <v>45749</v>
      </c>
      <c r="B97" s="1">
        <v>92</v>
      </c>
      <c r="C97" s="1">
        <v>5</v>
      </c>
      <c r="D97" s="5">
        <v>12.96</v>
      </c>
      <c r="E97" s="5">
        <v>4.0640000000000001</v>
      </c>
      <c r="F97" s="5">
        <v>-2.3140000000000001</v>
      </c>
      <c r="G97" s="5">
        <v>-1.671</v>
      </c>
      <c r="H97" s="5">
        <v>83.6</v>
      </c>
      <c r="I97" s="5">
        <v>1.4999999999999999E-2</v>
      </c>
      <c r="J97" s="5">
        <v>1.4E-2</v>
      </c>
      <c r="K97" s="5">
        <v>0.17199999999999999</v>
      </c>
      <c r="L97" s="5">
        <v>0.68600000000000005</v>
      </c>
      <c r="M97" s="5">
        <v>1.1919999999999999</v>
      </c>
      <c r="N97" s="5">
        <v>1.6930000000000001</v>
      </c>
      <c r="O97" s="5">
        <v>94.3</v>
      </c>
      <c r="P97" s="5">
        <v>0.12</v>
      </c>
      <c r="Q97" s="5">
        <v>0.1</v>
      </c>
      <c r="R97" s="5">
        <v>0.26200000000000001</v>
      </c>
      <c r="S97" s="5">
        <v>0.78300000000000003</v>
      </c>
      <c r="T97" s="5">
        <v>1.276</v>
      </c>
      <c r="U97" s="5">
        <v>-3.0169999999999999</v>
      </c>
      <c r="V97" s="5">
        <v>61.34</v>
      </c>
      <c r="W97" s="5">
        <v>-8.1000000000000003E-2</v>
      </c>
      <c r="X97" s="5">
        <v>-7.6999999999999999E-2</v>
      </c>
      <c r="Y97" s="5">
        <v>8.5000000000000006E-2</v>
      </c>
      <c r="Z97" s="5">
        <v>0.60099999999999998</v>
      </c>
      <c r="AA97" s="5">
        <v>1.107</v>
      </c>
      <c r="AB97" s="5">
        <v>1.7989999999999999</v>
      </c>
      <c r="AC97" s="5">
        <v>-1.631</v>
      </c>
      <c r="AD97" s="5">
        <v>2.0670000000000002</v>
      </c>
      <c r="AE97" s="5">
        <v>-3.5249999999999999</v>
      </c>
      <c r="AF97" s="5">
        <v>5.5129999999999999</v>
      </c>
      <c r="AG97" s="5">
        <v>-2.6019999999999999</v>
      </c>
      <c r="AH97" s="5">
        <v>0.19400000000000001</v>
      </c>
      <c r="AI97" s="5">
        <v>1.8080000000000001</v>
      </c>
      <c r="AK97" s="1">
        <f t="shared" si="34"/>
        <v>0.80100000000000016</v>
      </c>
      <c r="AL97" s="7">
        <f t="shared" si="52"/>
        <v>0.1</v>
      </c>
      <c r="AN97" s="1">
        <f t="shared" si="35"/>
        <v>94.3</v>
      </c>
      <c r="AO97" s="1">
        <f t="shared" si="36"/>
        <v>83.6</v>
      </c>
      <c r="AP97" s="1">
        <f t="shared" si="37"/>
        <v>61.3</v>
      </c>
      <c r="AQ97" s="18">
        <f t="shared" si="38"/>
        <v>0.42299999999999999</v>
      </c>
      <c r="AR97" s="24">
        <f t="shared" si="53"/>
        <v>0.26700000000000002</v>
      </c>
      <c r="AT97" s="20">
        <f t="shared" si="39"/>
        <v>45749</v>
      </c>
      <c r="AU97" s="21">
        <f t="shared" si="40"/>
        <v>92</v>
      </c>
      <c r="AV97" s="1">
        <f t="shared" si="41"/>
        <v>-1.7</v>
      </c>
      <c r="AW97" s="1">
        <f t="shared" si="42"/>
        <v>1.7</v>
      </c>
      <c r="AX97" s="1">
        <f t="shared" si="43"/>
        <v>-3</v>
      </c>
      <c r="AY97" s="1">
        <f t="shared" si="32"/>
        <v>83.6</v>
      </c>
      <c r="AZ97" s="1">
        <f t="shared" si="33"/>
        <v>61.3</v>
      </c>
      <c r="BA97" s="1">
        <f t="shared" si="54"/>
        <v>0.80100000000000016</v>
      </c>
      <c r="BB97" s="5">
        <f t="shared" si="55"/>
        <v>0.1</v>
      </c>
      <c r="BC97" s="1">
        <f t="shared" si="44"/>
        <v>-1.6</v>
      </c>
      <c r="BD97" s="1">
        <f t="shared" si="45"/>
        <v>2.1</v>
      </c>
      <c r="BE97" s="1">
        <f t="shared" si="46"/>
        <v>-3.5</v>
      </c>
      <c r="BF97" s="5">
        <f t="shared" si="47"/>
        <v>0.2</v>
      </c>
      <c r="BG97" s="5">
        <f t="shared" si="48"/>
        <v>0.7</v>
      </c>
      <c r="BH97" s="5">
        <f t="shared" si="49"/>
        <v>1.2</v>
      </c>
      <c r="BI97" s="5">
        <f t="shared" si="56"/>
        <v>0.19400000000000001</v>
      </c>
      <c r="BJ97" s="11">
        <f t="shared" si="57"/>
        <v>0.42299999999999999</v>
      </c>
      <c r="BK97" s="11">
        <f t="shared" si="57"/>
        <v>0.26700000000000002</v>
      </c>
      <c r="BM97" s="1">
        <f t="shared" si="50"/>
        <v>0.37400000000000011</v>
      </c>
      <c r="BN97" s="1">
        <f t="shared" si="51"/>
        <v>-0.50800000000000001</v>
      </c>
    </row>
    <row r="98" spans="1:66" x14ac:dyDescent="0.2">
      <c r="A98" s="4">
        <f t="shared" si="58"/>
        <v>45750</v>
      </c>
      <c r="B98" s="1">
        <v>93</v>
      </c>
      <c r="C98" s="1">
        <v>5</v>
      </c>
      <c r="D98" s="5">
        <v>12.98</v>
      </c>
      <c r="E98" s="5">
        <v>4.8159999999999998</v>
      </c>
      <c r="F98" s="5">
        <v>-5.7430000000000003</v>
      </c>
      <c r="G98" s="5">
        <v>-2.7759999999999998</v>
      </c>
      <c r="H98" s="5">
        <v>68.7</v>
      </c>
      <c r="I98" s="5">
        <v>1.6E-2</v>
      </c>
      <c r="J98" s="5">
        <v>1.2E-2</v>
      </c>
      <c r="K98" s="5">
        <v>0.16400000000000001</v>
      </c>
      <c r="L98" s="5">
        <v>0.67700000000000005</v>
      </c>
      <c r="M98" s="5">
        <v>1.1779999999999999</v>
      </c>
      <c r="N98" s="5">
        <v>1.9319999999999999</v>
      </c>
      <c r="O98" s="5">
        <v>90.8</v>
      </c>
      <c r="P98" s="5">
        <v>0.122</v>
      </c>
      <c r="Q98" s="5">
        <v>0.11799999999999999</v>
      </c>
      <c r="R98" s="5">
        <v>0.26700000000000002</v>
      </c>
      <c r="S98" s="5">
        <v>0.81</v>
      </c>
      <c r="T98" s="5">
        <v>1.2849999999999999</v>
      </c>
      <c r="U98" s="5">
        <v>-8.18</v>
      </c>
      <c r="V98" s="5">
        <v>36.18</v>
      </c>
      <c r="W98" s="5">
        <v>-7.9000000000000001E-2</v>
      </c>
      <c r="X98" s="5">
        <v>-0.114</v>
      </c>
      <c r="Y98" s="5">
        <v>7.1999999999999995E-2</v>
      </c>
      <c r="Z98" s="5">
        <v>0.58699999999999997</v>
      </c>
      <c r="AA98" s="5">
        <v>1.079</v>
      </c>
      <c r="AB98" s="5">
        <v>1.794</v>
      </c>
      <c r="AC98" s="5">
        <v>-3.74</v>
      </c>
      <c r="AD98" s="5">
        <v>2.1579999999999999</v>
      </c>
      <c r="AE98" s="5">
        <v>-8.56</v>
      </c>
      <c r="AF98" s="5">
        <v>7.66</v>
      </c>
      <c r="AG98" s="5">
        <v>-7.9589999999999996</v>
      </c>
      <c r="AH98" s="5">
        <v>0.191</v>
      </c>
      <c r="AI98" s="5">
        <v>1.821</v>
      </c>
      <c r="AK98" s="1">
        <f t="shared" si="34"/>
        <v>0.80600000000000005</v>
      </c>
      <c r="AL98" s="7">
        <f t="shared" si="52"/>
        <v>0.1</v>
      </c>
      <c r="AN98" s="1">
        <f t="shared" si="35"/>
        <v>90.8</v>
      </c>
      <c r="AO98" s="1">
        <f t="shared" si="36"/>
        <v>68.7</v>
      </c>
      <c r="AP98" s="1">
        <f t="shared" si="37"/>
        <v>36.200000000000003</v>
      </c>
      <c r="AQ98" s="18">
        <f t="shared" si="38"/>
        <v>0.254</v>
      </c>
      <c r="AR98" s="24">
        <f t="shared" si="53"/>
        <v>0.44800000000000001</v>
      </c>
      <c r="AT98" s="20">
        <f t="shared" si="39"/>
        <v>45750</v>
      </c>
      <c r="AU98" s="21">
        <f t="shared" si="40"/>
        <v>93</v>
      </c>
      <c r="AV98" s="1">
        <f t="shared" si="41"/>
        <v>-2.8</v>
      </c>
      <c r="AW98" s="1">
        <f t="shared" si="42"/>
        <v>1.9</v>
      </c>
      <c r="AX98" s="1">
        <f t="shared" si="43"/>
        <v>-8.1999999999999993</v>
      </c>
      <c r="AY98" s="1">
        <f t="shared" si="32"/>
        <v>68.7</v>
      </c>
      <c r="AZ98" s="1">
        <f t="shared" si="33"/>
        <v>36.200000000000003</v>
      </c>
      <c r="BA98" s="1">
        <f t="shared" si="54"/>
        <v>0.80600000000000005</v>
      </c>
      <c r="BB98" s="5">
        <f t="shared" si="55"/>
        <v>0.1</v>
      </c>
      <c r="BC98" s="1">
        <f t="shared" si="44"/>
        <v>-3.7</v>
      </c>
      <c r="BD98" s="1">
        <f t="shared" si="45"/>
        <v>2.2000000000000002</v>
      </c>
      <c r="BE98" s="1">
        <f t="shared" si="46"/>
        <v>-8.6</v>
      </c>
      <c r="BF98" s="5">
        <f t="shared" si="47"/>
        <v>0.2</v>
      </c>
      <c r="BG98" s="5">
        <f t="shared" si="48"/>
        <v>0.7</v>
      </c>
      <c r="BH98" s="5">
        <f t="shared" si="49"/>
        <v>1.2</v>
      </c>
      <c r="BI98" s="5">
        <f t="shared" si="56"/>
        <v>0.191</v>
      </c>
      <c r="BJ98" s="11">
        <f t="shared" si="57"/>
        <v>0.254</v>
      </c>
      <c r="BK98" s="11">
        <f t="shared" si="57"/>
        <v>0.44800000000000001</v>
      </c>
      <c r="BM98" s="1">
        <f t="shared" si="50"/>
        <v>0.22599999999999998</v>
      </c>
      <c r="BN98" s="1">
        <f t="shared" si="51"/>
        <v>-0.38000000000000078</v>
      </c>
    </row>
    <row r="99" spans="1:66" x14ac:dyDescent="0.2">
      <c r="A99" s="4">
        <f t="shared" si="58"/>
        <v>45751</v>
      </c>
      <c r="B99" s="1">
        <v>94</v>
      </c>
      <c r="C99" s="1">
        <v>5</v>
      </c>
      <c r="AL99" s="7" t="e">
        <f t="shared" si="52"/>
        <v>#DIV/0!</v>
      </c>
      <c r="AN99" s="1">
        <f t="shared" si="35"/>
        <v>0</v>
      </c>
      <c r="AO99" s="1">
        <f t="shared" si="36"/>
        <v>0</v>
      </c>
      <c r="AP99" s="1">
        <f t="shared" si="37"/>
        <v>0</v>
      </c>
      <c r="AQ99" s="18">
        <f t="shared" si="38"/>
        <v>0</v>
      </c>
      <c r="AR99" s="24" t="e">
        <f t="shared" si="53"/>
        <v>#DIV/0!</v>
      </c>
      <c r="AT99" s="20">
        <f t="shared" si="39"/>
        <v>45751</v>
      </c>
      <c r="AU99" s="21">
        <f t="shared" si="40"/>
        <v>94</v>
      </c>
      <c r="AV99" s="1">
        <f t="shared" si="41"/>
        <v>0</v>
      </c>
      <c r="AW99" s="1">
        <f t="shared" si="42"/>
        <v>0</v>
      </c>
      <c r="AX99" s="1">
        <f t="shared" si="43"/>
        <v>0</v>
      </c>
      <c r="AY99" s="1">
        <f t="shared" si="32"/>
        <v>0</v>
      </c>
      <c r="AZ99" s="1">
        <f t="shared" si="33"/>
        <v>0</v>
      </c>
      <c r="BA99" s="1">
        <f t="shared" si="54"/>
        <v>0</v>
      </c>
      <c r="BB99" s="5" t="e">
        <f t="shared" si="55"/>
        <v>#DIV/0!</v>
      </c>
      <c r="BC99" s="1">
        <f t="shared" si="44"/>
        <v>0</v>
      </c>
      <c r="BD99" s="1">
        <f t="shared" si="45"/>
        <v>0</v>
      </c>
      <c r="BE99" s="1">
        <f t="shared" si="46"/>
        <v>0</v>
      </c>
      <c r="BF99" s="5">
        <f t="shared" si="47"/>
        <v>0</v>
      </c>
      <c r="BG99" s="5">
        <f t="shared" si="48"/>
        <v>0</v>
      </c>
      <c r="BH99" s="5">
        <f t="shared" si="49"/>
        <v>0</v>
      </c>
      <c r="BI99" s="5">
        <f t="shared" si="56"/>
        <v>0</v>
      </c>
      <c r="BJ99" s="11">
        <f t="shared" si="57"/>
        <v>0</v>
      </c>
      <c r="BK99" s="11" t="e">
        <f t="shared" si="57"/>
        <v>#DIV/0!</v>
      </c>
      <c r="BM99" s="1">
        <f t="shared" si="50"/>
        <v>0</v>
      </c>
      <c r="BN99" s="1">
        <f t="shared" si="51"/>
        <v>0</v>
      </c>
    </row>
    <row r="100" spans="1:66" x14ac:dyDescent="0.2">
      <c r="A100" s="4">
        <f t="shared" si="58"/>
        <v>45752</v>
      </c>
      <c r="B100" s="1">
        <v>95</v>
      </c>
      <c r="C100" s="1">
        <v>5</v>
      </c>
      <c r="AL100" s="7" t="e">
        <f t="shared" si="52"/>
        <v>#DIV/0!</v>
      </c>
      <c r="AN100" s="1">
        <f t="shared" si="35"/>
        <v>0</v>
      </c>
      <c r="AO100" s="1">
        <f t="shared" si="36"/>
        <v>0</v>
      </c>
      <c r="AP100" s="1">
        <f t="shared" si="37"/>
        <v>0</v>
      </c>
      <c r="AQ100" s="18">
        <f t="shared" si="38"/>
        <v>0</v>
      </c>
      <c r="AR100" s="24" t="e">
        <f t="shared" si="53"/>
        <v>#DIV/0!</v>
      </c>
      <c r="AT100" s="20">
        <f t="shared" si="39"/>
        <v>45752</v>
      </c>
      <c r="AU100" s="21">
        <f t="shared" si="40"/>
        <v>95</v>
      </c>
      <c r="AV100" s="1">
        <f t="shared" si="41"/>
        <v>0</v>
      </c>
      <c r="AW100" s="1">
        <f t="shared" si="42"/>
        <v>0</v>
      </c>
      <c r="AX100" s="1">
        <f t="shared" si="43"/>
        <v>0</v>
      </c>
      <c r="AY100" s="1">
        <f t="shared" si="32"/>
        <v>0</v>
      </c>
      <c r="AZ100" s="1">
        <f t="shared" si="33"/>
        <v>0</v>
      </c>
      <c r="BA100" s="1">
        <f t="shared" si="54"/>
        <v>0</v>
      </c>
      <c r="BB100" s="5" t="e">
        <f t="shared" si="55"/>
        <v>#DIV/0!</v>
      </c>
      <c r="BC100" s="1">
        <f t="shared" si="44"/>
        <v>0</v>
      </c>
      <c r="BD100" s="1">
        <f t="shared" si="45"/>
        <v>0</v>
      </c>
      <c r="BE100" s="1">
        <f t="shared" si="46"/>
        <v>0</v>
      </c>
      <c r="BF100" s="5">
        <f t="shared" si="47"/>
        <v>0</v>
      </c>
      <c r="BG100" s="5">
        <f t="shared" si="48"/>
        <v>0</v>
      </c>
      <c r="BH100" s="5">
        <f t="shared" si="49"/>
        <v>0</v>
      </c>
      <c r="BI100" s="5">
        <f t="shared" si="56"/>
        <v>0</v>
      </c>
      <c r="BJ100" s="11">
        <f t="shared" si="57"/>
        <v>0</v>
      </c>
      <c r="BK100" s="11" t="e">
        <f t="shared" si="57"/>
        <v>#DIV/0!</v>
      </c>
      <c r="BM100" s="1">
        <f t="shared" si="50"/>
        <v>0</v>
      </c>
      <c r="BN100" s="1">
        <f t="shared" si="51"/>
        <v>0</v>
      </c>
    </row>
    <row r="101" spans="1:66" x14ac:dyDescent="0.2">
      <c r="A101" s="4">
        <f t="shared" si="58"/>
        <v>45753</v>
      </c>
      <c r="B101" s="1">
        <v>96</v>
      </c>
      <c r="C101" s="1">
        <v>5</v>
      </c>
      <c r="AL101" s="7" t="e">
        <f t="shared" si="52"/>
        <v>#DIV/0!</v>
      </c>
      <c r="AN101" s="1">
        <f t="shared" si="35"/>
        <v>0</v>
      </c>
      <c r="AO101" s="1">
        <f t="shared" si="36"/>
        <v>0</v>
      </c>
      <c r="AP101" s="1">
        <f t="shared" si="37"/>
        <v>0</v>
      </c>
      <c r="AQ101" s="18">
        <f t="shared" si="38"/>
        <v>0</v>
      </c>
      <c r="AR101" s="24" t="e">
        <f t="shared" si="53"/>
        <v>#DIV/0!</v>
      </c>
      <c r="AT101" s="20">
        <f t="shared" si="39"/>
        <v>45753</v>
      </c>
      <c r="AU101" s="21">
        <f t="shared" si="40"/>
        <v>96</v>
      </c>
      <c r="AV101" s="1">
        <f t="shared" si="41"/>
        <v>0</v>
      </c>
      <c r="AW101" s="1">
        <f t="shared" si="42"/>
        <v>0</v>
      </c>
      <c r="AX101" s="1">
        <f t="shared" si="43"/>
        <v>0</v>
      </c>
      <c r="AY101" s="1">
        <f t="shared" si="32"/>
        <v>0</v>
      </c>
      <c r="AZ101" s="1">
        <f t="shared" si="33"/>
        <v>0</v>
      </c>
      <c r="BA101" s="1">
        <f t="shared" si="54"/>
        <v>0</v>
      </c>
      <c r="BB101" s="5" t="e">
        <f t="shared" si="55"/>
        <v>#DIV/0!</v>
      </c>
      <c r="BC101" s="1">
        <f t="shared" si="44"/>
        <v>0</v>
      </c>
      <c r="BD101" s="1">
        <f t="shared" si="45"/>
        <v>0</v>
      </c>
      <c r="BE101" s="1">
        <f t="shared" si="46"/>
        <v>0</v>
      </c>
      <c r="BF101" s="5">
        <f t="shared" si="47"/>
        <v>0</v>
      </c>
      <c r="BG101" s="5">
        <f t="shared" si="48"/>
        <v>0</v>
      </c>
      <c r="BH101" s="5">
        <f t="shared" si="49"/>
        <v>0</v>
      </c>
      <c r="BI101" s="5">
        <f t="shared" si="56"/>
        <v>0</v>
      </c>
      <c r="BJ101" s="11">
        <f t="shared" si="57"/>
        <v>0</v>
      </c>
      <c r="BK101" s="11" t="e">
        <f t="shared" si="57"/>
        <v>#DIV/0!</v>
      </c>
      <c r="BM101" s="1">
        <f t="shared" si="50"/>
        <v>0</v>
      </c>
      <c r="BN101" s="1">
        <f t="shared" si="51"/>
        <v>0</v>
      </c>
    </row>
    <row r="102" spans="1:66" x14ac:dyDescent="0.2">
      <c r="A102" s="4">
        <f t="shared" si="58"/>
        <v>45754</v>
      </c>
      <c r="B102" s="1">
        <v>97</v>
      </c>
      <c r="C102" s="1">
        <v>5</v>
      </c>
      <c r="AL102" s="7" t="e">
        <f t="shared" si="52"/>
        <v>#DIV/0!</v>
      </c>
      <c r="AN102" s="1">
        <f t="shared" si="35"/>
        <v>0</v>
      </c>
      <c r="AO102" s="1">
        <f t="shared" si="36"/>
        <v>0</v>
      </c>
      <c r="AP102" s="1">
        <f t="shared" si="37"/>
        <v>0</v>
      </c>
      <c r="AQ102" s="18">
        <f t="shared" si="38"/>
        <v>0</v>
      </c>
      <c r="AR102" s="24" t="e">
        <f t="shared" si="53"/>
        <v>#DIV/0!</v>
      </c>
      <c r="AT102" s="20">
        <f t="shared" si="39"/>
        <v>45754</v>
      </c>
      <c r="AU102" s="21">
        <f t="shared" si="40"/>
        <v>97</v>
      </c>
      <c r="AV102" s="1">
        <f t="shared" si="41"/>
        <v>0</v>
      </c>
      <c r="AW102" s="1">
        <f t="shared" si="42"/>
        <v>0</v>
      </c>
      <c r="AX102" s="1">
        <f t="shared" si="43"/>
        <v>0</v>
      </c>
      <c r="AY102" s="1">
        <f t="shared" si="32"/>
        <v>0</v>
      </c>
      <c r="AZ102" s="1">
        <f t="shared" si="33"/>
        <v>0</v>
      </c>
      <c r="BA102" s="1">
        <f t="shared" si="54"/>
        <v>0</v>
      </c>
      <c r="BB102" s="5" t="e">
        <f t="shared" si="55"/>
        <v>#DIV/0!</v>
      </c>
      <c r="BC102" s="1">
        <f t="shared" si="44"/>
        <v>0</v>
      </c>
      <c r="BD102" s="1">
        <f t="shared" si="45"/>
        <v>0</v>
      </c>
      <c r="BE102" s="1">
        <f t="shared" si="46"/>
        <v>0</v>
      </c>
      <c r="BF102" s="5">
        <f t="shared" si="47"/>
        <v>0</v>
      </c>
      <c r="BG102" s="5">
        <f t="shared" si="48"/>
        <v>0</v>
      </c>
      <c r="BH102" s="5">
        <f t="shared" si="49"/>
        <v>0</v>
      </c>
      <c r="BI102" s="5">
        <f t="shared" si="56"/>
        <v>0</v>
      </c>
      <c r="BJ102" s="11">
        <f t="shared" si="57"/>
        <v>0</v>
      </c>
      <c r="BK102" s="11" t="e">
        <f t="shared" si="57"/>
        <v>#DIV/0!</v>
      </c>
      <c r="BM102" s="1">
        <f t="shared" si="50"/>
        <v>0</v>
      </c>
      <c r="BN102" s="1">
        <f t="shared" si="51"/>
        <v>0</v>
      </c>
    </row>
    <row r="103" spans="1:66" x14ac:dyDescent="0.2">
      <c r="A103" s="4">
        <f t="shared" si="58"/>
        <v>45755</v>
      </c>
      <c r="B103" s="1">
        <v>98</v>
      </c>
      <c r="C103" s="1">
        <v>5</v>
      </c>
      <c r="AL103" s="7" t="e">
        <f t="shared" si="52"/>
        <v>#DIV/0!</v>
      </c>
      <c r="AN103" s="1">
        <f t="shared" si="35"/>
        <v>0</v>
      </c>
      <c r="AO103" s="1">
        <f t="shared" si="36"/>
        <v>0</v>
      </c>
      <c r="AP103" s="1">
        <f t="shared" si="37"/>
        <v>0</v>
      </c>
      <c r="AQ103" s="18">
        <f t="shared" si="38"/>
        <v>0</v>
      </c>
      <c r="AR103" s="24" t="e">
        <f t="shared" si="53"/>
        <v>#DIV/0!</v>
      </c>
      <c r="AT103" s="20">
        <f t="shared" si="39"/>
        <v>45755</v>
      </c>
      <c r="AU103" s="21">
        <f t="shared" si="40"/>
        <v>98</v>
      </c>
      <c r="AV103" s="1">
        <f t="shared" si="41"/>
        <v>0</v>
      </c>
      <c r="AW103" s="1">
        <f t="shared" si="42"/>
        <v>0</v>
      </c>
      <c r="AX103" s="1">
        <f t="shared" si="43"/>
        <v>0</v>
      </c>
      <c r="AY103" s="1">
        <f t="shared" si="32"/>
        <v>0</v>
      </c>
      <c r="AZ103" s="1">
        <f t="shared" si="33"/>
        <v>0</v>
      </c>
      <c r="BA103" s="1">
        <f t="shared" si="54"/>
        <v>0</v>
      </c>
      <c r="BB103" s="5" t="e">
        <f t="shared" si="55"/>
        <v>#DIV/0!</v>
      </c>
      <c r="BC103" s="1">
        <f t="shared" si="44"/>
        <v>0</v>
      </c>
      <c r="BD103" s="1">
        <f t="shared" si="45"/>
        <v>0</v>
      </c>
      <c r="BE103" s="1">
        <f t="shared" si="46"/>
        <v>0</v>
      </c>
      <c r="BF103" s="5">
        <f t="shared" si="47"/>
        <v>0</v>
      </c>
      <c r="BG103" s="5">
        <f t="shared" si="48"/>
        <v>0</v>
      </c>
      <c r="BH103" s="5">
        <f t="shared" si="49"/>
        <v>0</v>
      </c>
      <c r="BI103" s="5">
        <f t="shared" si="56"/>
        <v>0</v>
      </c>
      <c r="BJ103" s="11">
        <f t="shared" si="57"/>
        <v>0</v>
      </c>
      <c r="BK103" s="11" t="e">
        <f t="shared" si="57"/>
        <v>#DIV/0!</v>
      </c>
      <c r="BM103" s="1">
        <f t="shared" si="50"/>
        <v>0</v>
      </c>
      <c r="BN103" s="1">
        <f t="shared" si="51"/>
        <v>0</v>
      </c>
    </row>
    <row r="104" spans="1:66" x14ac:dyDescent="0.2">
      <c r="A104" s="4">
        <f t="shared" si="58"/>
        <v>45756</v>
      </c>
      <c r="B104" s="1">
        <v>99</v>
      </c>
      <c r="C104" s="1">
        <v>5</v>
      </c>
      <c r="AL104" s="7" t="e">
        <f t="shared" si="52"/>
        <v>#DIV/0!</v>
      </c>
      <c r="AN104" s="1">
        <f t="shared" si="35"/>
        <v>0</v>
      </c>
      <c r="AO104" s="1">
        <f t="shared" si="36"/>
        <v>0</v>
      </c>
      <c r="AP104" s="1">
        <f t="shared" si="37"/>
        <v>0</v>
      </c>
      <c r="AQ104" s="18">
        <f t="shared" si="38"/>
        <v>0</v>
      </c>
      <c r="AR104" s="24" t="e">
        <f t="shared" si="53"/>
        <v>#DIV/0!</v>
      </c>
      <c r="AT104" s="20">
        <f t="shared" si="39"/>
        <v>45756</v>
      </c>
      <c r="AU104" s="21">
        <f t="shared" si="40"/>
        <v>99</v>
      </c>
      <c r="AV104" s="1">
        <f t="shared" si="41"/>
        <v>0</v>
      </c>
      <c r="AW104" s="1">
        <f t="shared" si="42"/>
        <v>0</v>
      </c>
      <c r="AX104" s="1">
        <f t="shared" si="43"/>
        <v>0</v>
      </c>
      <c r="AY104" s="1">
        <f t="shared" si="32"/>
        <v>0</v>
      </c>
      <c r="AZ104" s="1">
        <f t="shared" si="33"/>
        <v>0</v>
      </c>
      <c r="BA104" s="1">
        <f t="shared" si="54"/>
        <v>0</v>
      </c>
      <c r="BB104" s="5" t="e">
        <f t="shared" si="55"/>
        <v>#DIV/0!</v>
      </c>
      <c r="BC104" s="1">
        <f t="shared" si="44"/>
        <v>0</v>
      </c>
      <c r="BD104" s="1">
        <f t="shared" si="45"/>
        <v>0</v>
      </c>
      <c r="BE104" s="1">
        <f t="shared" si="46"/>
        <v>0</v>
      </c>
      <c r="BF104" s="5">
        <f t="shared" si="47"/>
        <v>0</v>
      </c>
      <c r="BG104" s="5">
        <f t="shared" si="48"/>
        <v>0</v>
      </c>
      <c r="BH104" s="5">
        <f t="shared" si="49"/>
        <v>0</v>
      </c>
      <c r="BI104" s="5">
        <f t="shared" si="56"/>
        <v>0</v>
      </c>
      <c r="BJ104" s="11">
        <f t="shared" si="57"/>
        <v>0</v>
      </c>
      <c r="BK104" s="11" t="e">
        <f t="shared" si="57"/>
        <v>#DIV/0!</v>
      </c>
      <c r="BM104" s="1">
        <f t="shared" si="50"/>
        <v>0</v>
      </c>
      <c r="BN104" s="1">
        <f t="shared" si="51"/>
        <v>0</v>
      </c>
    </row>
    <row r="105" spans="1:66" x14ac:dyDescent="0.2">
      <c r="A105" s="4">
        <f t="shared" si="58"/>
        <v>45757</v>
      </c>
      <c r="B105" s="1">
        <v>100</v>
      </c>
      <c r="C105" s="1">
        <v>5</v>
      </c>
      <c r="AL105" s="7" t="e">
        <f t="shared" si="52"/>
        <v>#DIV/0!</v>
      </c>
      <c r="AN105" s="1">
        <f t="shared" si="35"/>
        <v>0</v>
      </c>
      <c r="AO105" s="1">
        <f t="shared" si="36"/>
        <v>0</v>
      </c>
      <c r="AP105" s="1">
        <f t="shared" si="37"/>
        <v>0</v>
      </c>
      <c r="AQ105" s="18">
        <f t="shared" si="38"/>
        <v>0</v>
      </c>
      <c r="AR105" s="24" t="e">
        <f t="shared" si="53"/>
        <v>#DIV/0!</v>
      </c>
      <c r="AT105" s="20">
        <f t="shared" si="39"/>
        <v>45757</v>
      </c>
      <c r="AU105" s="21">
        <f t="shared" si="40"/>
        <v>100</v>
      </c>
      <c r="AV105" s="1">
        <f t="shared" si="41"/>
        <v>0</v>
      </c>
      <c r="AW105" s="1">
        <f t="shared" si="42"/>
        <v>0</v>
      </c>
      <c r="AX105" s="1">
        <f t="shared" si="43"/>
        <v>0</v>
      </c>
      <c r="AY105" s="1">
        <f t="shared" si="32"/>
        <v>0</v>
      </c>
      <c r="AZ105" s="1">
        <f t="shared" si="33"/>
        <v>0</v>
      </c>
      <c r="BA105" s="1">
        <f t="shared" si="54"/>
        <v>0</v>
      </c>
      <c r="BB105" s="5" t="e">
        <f t="shared" si="55"/>
        <v>#DIV/0!</v>
      </c>
      <c r="BC105" s="1">
        <f t="shared" si="44"/>
        <v>0</v>
      </c>
      <c r="BD105" s="1">
        <f t="shared" si="45"/>
        <v>0</v>
      </c>
      <c r="BE105" s="1">
        <f t="shared" si="46"/>
        <v>0</v>
      </c>
      <c r="BF105" s="5">
        <f t="shared" si="47"/>
        <v>0</v>
      </c>
      <c r="BG105" s="5">
        <f t="shared" si="48"/>
        <v>0</v>
      </c>
      <c r="BH105" s="5">
        <f t="shared" si="49"/>
        <v>0</v>
      </c>
      <c r="BI105" s="5">
        <f t="shared" si="56"/>
        <v>0</v>
      </c>
      <c r="BJ105" s="11">
        <f t="shared" si="57"/>
        <v>0</v>
      </c>
      <c r="BK105" s="11" t="e">
        <f t="shared" si="57"/>
        <v>#DIV/0!</v>
      </c>
      <c r="BM105" s="1">
        <f t="shared" si="50"/>
        <v>0</v>
      </c>
      <c r="BN105" s="1">
        <f t="shared" si="51"/>
        <v>0</v>
      </c>
    </row>
    <row r="106" spans="1:66" x14ac:dyDescent="0.2">
      <c r="A106" s="4">
        <f t="shared" si="58"/>
        <v>45758</v>
      </c>
      <c r="B106" s="1">
        <v>101</v>
      </c>
      <c r="C106" s="1">
        <v>5</v>
      </c>
      <c r="AL106" s="7" t="e">
        <f t="shared" si="52"/>
        <v>#DIV/0!</v>
      </c>
      <c r="AN106" s="1">
        <f t="shared" si="35"/>
        <v>0</v>
      </c>
      <c r="AO106" s="1">
        <f t="shared" si="36"/>
        <v>0</v>
      </c>
      <c r="AP106" s="1">
        <f t="shared" si="37"/>
        <v>0</v>
      </c>
      <c r="AQ106" s="18">
        <f t="shared" si="38"/>
        <v>0</v>
      </c>
      <c r="AR106" s="24" t="e">
        <f t="shared" si="53"/>
        <v>#DIV/0!</v>
      </c>
      <c r="AT106" s="20">
        <f t="shared" si="39"/>
        <v>45758</v>
      </c>
      <c r="AU106" s="21">
        <f t="shared" si="40"/>
        <v>101</v>
      </c>
      <c r="AV106" s="1">
        <f t="shared" si="41"/>
        <v>0</v>
      </c>
      <c r="AW106" s="1">
        <f t="shared" si="42"/>
        <v>0</v>
      </c>
      <c r="AX106" s="1">
        <f t="shared" si="43"/>
        <v>0</v>
      </c>
      <c r="AY106" s="1">
        <f t="shared" si="32"/>
        <v>0</v>
      </c>
      <c r="AZ106" s="1">
        <f t="shared" si="33"/>
        <v>0</v>
      </c>
      <c r="BA106" s="1">
        <f t="shared" si="54"/>
        <v>0</v>
      </c>
      <c r="BB106" s="5" t="e">
        <f t="shared" si="55"/>
        <v>#DIV/0!</v>
      </c>
      <c r="BC106" s="1">
        <f t="shared" si="44"/>
        <v>0</v>
      </c>
      <c r="BD106" s="1">
        <f t="shared" si="45"/>
        <v>0</v>
      </c>
      <c r="BE106" s="1">
        <f t="shared" si="46"/>
        <v>0</v>
      </c>
      <c r="BF106" s="5">
        <f t="shared" si="47"/>
        <v>0</v>
      </c>
      <c r="BG106" s="5">
        <f t="shared" si="48"/>
        <v>0</v>
      </c>
      <c r="BH106" s="5">
        <f t="shared" si="49"/>
        <v>0</v>
      </c>
      <c r="BI106" s="5">
        <f t="shared" si="56"/>
        <v>0</v>
      </c>
      <c r="BJ106" s="11">
        <f t="shared" si="57"/>
        <v>0</v>
      </c>
      <c r="BK106" s="11" t="e">
        <f t="shared" si="57"/>
        <v>#DIV/0!</v>
      </c>
      <c r="BM106" s="1">
        <f t="shared" si="50"/>
        <v>0</v>
      </c>
      <c r="BN106" s="1">
        <f t="shared" si="51"/>
        <v>0</v>
      </c>
    </row>
    <row r="107" spans="1:66" x14ac:dyDescent="0.2">
      <c r="A107" s="4">
        <f t="shared" si="58"/>
        <v>45759</v>
      </c>
      <c r="B107" s="1">
        <v>102</v>
      </c>
      <c r="C107" s="1">
        <v>5</v>
      </c>
      <c r="AL107" s="7" t="e">
        <f t="shared" si="52"/>
        <v>#DIV/0!</v>
      </c>
      <c r="AN107" s="1">
        <f t="shared" si="35"/>
        <v>0</v>
      </c>
      <c r="AO107" s="1">
        <f t="shared" si="36"/>
        <v>0</v>
      </c>
      <c r="AP107" s="1">
        <f t="shared" si="37"/>
        <v>0</v>
      </c>
      <c r="AQ107" s="18">
        <f t="shared" si="38"/>
        <v>0</v>
      </c>
      <c r="AR107" s="24" t="e">
        <f t="shared" si="53"/>
        <v>#DIV/0!</v>
      </c>
      <c r="AT107" s="20">
        <f t="shared" si="39"/>
        <v>45759</v>
      </c>
      <c r="AU107" s="21">
        <f t="shared" si="40"/>
        <v>102</v>
      </c>
      <c r="AV107" s="1">
        <f t="shared" si="41"/>
        <v>0</v>
      </c>
      <c r="AW107" s="1">
        <f t="shared" si="42"/>
        <v>0</v>
      </c>
      <c r="AX107" s="1">
        <f t="shared" si="43"/>
        <v>0</v>
      </c>
      <c r="AY107" s="1">
        <f t="shared" si="32"/>
        <v>0</v>
      </c>
      <c r="AZ107" s="1">
        <f t="shared" si="33"/>
        <v>0</v>
      </c>
      <c r="BA107" s="1">
        <f t="shared" si="54"/>
        <v>0</v>
      </c>
      <c r="BB107" s="5" t="e">
        <f t="shared" si="55"/>
        <v>#DIV/0!</v>
      </c>
      <c r="BC107" s="1">
        <f t="shared" si="44"/>
        <v>0</v>
      </c>
      <c r="BD107" s="1">
        <f t="shared" si="45"/>
        <v>0</v>
      </c>
      <c r="BE107" s="1">
        <f t="shared" si="46"/>
        <v>0</v>
      </c>
      <c r="BF107" s="5">
        <f t="shared" si="47"/>
        <v>0</v>
      </c>
      <c r="BG107" s="5">
        <f t="shared" si="48"/>
        <v>0</v>
      </c>
      <c r="BH107" s="5">
        <f t="shared" si="49"/>
        <v>0</v>
      </c>
      <c r="BI107" s="5">
        <f t="shared" si="56"/>
        <v>0</v>
      </c>
      <c r="BJ107" s="11">
        <f t="shared" si="57"/>
        <v>0</v>
      </c>
      <c r="BK107" s="11" t="e">
        <f t="shared" si="57"/>
        <v>#DIV/0!</v>
      </c>
      <c r="BM107" s="1">
        <f t="shared" si="50"/>
        <v>0</v>
      </c>
      <c r="BN107" s="1">
        <f t="shared" si="51"/>
        <v>0</v>
      </c>
    </row>
    <row r="108" spans="1:66" x14ac:dyDescent="0.2">
      <c r="A108" s="4">
        <f t="shared" si="58"/>
        <v>45760</v>
      </c>
      <c r="B108" s="1">
        <v>103</v>
      </c>
      <c r="C108" s="1">
        <v>5</v>
      </c>
      <c r="AL108" s="7" t="e">
        <f t="shared" si="52"/>
        <v>#DIV/0!</v>
      </c>
      <c r="AN108" s="1">
        <f t="shared" si="35"/>
        <v>0</v>
      </c>
      <c r="AO108" s="1">
        <f t="shared" si="36"/>
        <v>0</v>
      </c>
      <c r="AP108" s="1">
        <f t="shared" si="37"/>
        <v>0</v>
      </c>
      <c r="AQ108" s="18">
        <f t="shared" si="38"/>
        <v>0</v>
      </c>
      <c r="AR108" s="24" t="e">
        <f t="shared" si="53"/>
        <v>#DIV/0!</v>
      </c>
      <c r="AT108" s="20">
        <f t="shared" si="39"/>
        <v>45760</v>
      </c>
      <c r="AU108" s="21">
        <f t="shared" si="40"/>
        <v>103</v>
      </c>
      <c r="AV108" s="1">
        <f t="shared" si="41"/>
        <v>0</v>
      </c>
      <c r="AW108" s="1">
        <f t="shared" si="42"/>
        <v>0</v>
      </c>
      <c r="AX108" s="1">
        <f t="shared" si="43"/>
        <v>0</v>
      </c>
      <c r="AY108" s="1">
        <f t="shared" si="32"/>
        <v>0</v>
      </c>
      <c r="AZ108" s="1">
        <f t="shared" si="33"/>
        <v>0</v>
      </c>
      <c r="BA108" s="1">
        <f t="shared" si="54"/>
        <v>0</v>
      </c>
      <c r="BB108" s="5" t="e">
        <f t="shared" si="55"/>
        <v>#DIV/0!</v>
      </c>
      <c r="BC108" s="1">
        <f t="shared" si="44"/>
        <v>0</v>
      </c>
      <c r="BD108" s="1">
        <f t="shared" si="45"/>
        <v>0</v>
      </c>
      <c r="BE108" s="1">
        <f t="shared" si="46"/>
        <v>0</v>
      </c>
      <c r="BF108" s="5">
        <f t="shared" si="47"/>
        <v>0</v>
      </c>
      <c r="BG108" s="5">
        <f t="shared" si="48"/>
        <v>0</v>
      </c>
      <c r="BH108" s="5">
        <f t="shared" si="49"/>
        <v>0</v>
      </c>
      <c r="BI108" s="5">
        <f t="shared" si="56"/>
        <v>0</v>
      </c>
      <c r="BJ108" s="11">
        <f t="shared" si="57"/>
        <v>0</v>
      </c>
      <c r="BK108" s="11" t="e">
        <f t="shared" si="57"/>
        <v>#DIV/0!</v>
      </c>
      <c r="BM108" s="1">
        <f t="shared" si="50"/>
        <v>0</v>
      </c>
      <c r="BN108" s="1">
        <f t="shared" si="51"/>
        <v>0</v>
      </c>
    </row>
    <row r="109" spans="1:66" x14ac:dyDescent="0.2">
      <c r="A109" s="4">
        <f t="shared" si="58"/>
        <v>45761</v>
      </c>
      <c r="B109" s="1">
        <v>104</v>
      </c>
      <c r="C109" s="1">
        <v>5</v>
      </c>
      <c r="AL109" s="7" t="e">
        <f t="shared" si="52"/>
        <v>#DIV/0!</v>
      </c>
      <c r="AN109" s="1">
        <f t="shared" si="35"/>
        <v>0</v>
      </c>
      <c r="AO109" s="1">
        <f t="shared" si="36"/>
        <v>0</v>
      </c>
      <c r="AP109" s="1">
        <f t="shared" si="37"/>
        <v>0</v>
      </c>
      <c r="AQ109" s="18">
        <f t="shared" si="38"/>
        <v>0</v>
      </c>
      <c r="AR109" s="24" t="e">
        <f t="shared" si="53"/>
        <v>#DIV/0!</v>
      </c>
      <c r="AT109" s="20">
        <f t="shared" si="39"/>
        <v>45761</v>
      </c>
      <c r="AU109" s="21">
        <f t="shared" si="40"/>
        <v>104</v>
      </c>
      <c r="AV109" s="1">
        <f t="shared" si="41"/>
        <v>0</v>
      </c>
      <c r="AW109" s="1">
        <f t="shared" si="42"/>
        <v>0</v>
      </c>
      <c r="AX109" s="1">
        <f t="shared" si="43"/>
        <v>0</v>
      </c>
      <c r="AY109" s="1">
        <f t="shared" si="32"/>
        <v>0</v>
      </c>
      <c r="AZ109" s="1">
        <f t="shared" si="33"/>
        <v>0</v>
      </c>
      <c r="BA109" s="1">
        <f t="shared" si="54"/>
        <v>0</v>
      </c>
      <c r="BB109" s="5" t="e">
        <f t="shared" si="55"/>
        <v>#DIV/0!</v>
      </c>
      <c r="BC109" s="1">
        <f t="shared" si="44"/>
        <v>0</v>
      </c>
      <c r="BD109" s="1">
        <f t="shared" si="45"/>
        <v>0</v>
      </c>
      <c r="BE109" s="1">
        <f t="shared" si="46"/>
        <v>0</v>
      </c>
      <c r="BF109" s="5">
        <f t="shared" si="47"/>
        <v>0</v>
      </c>
      <c r="BG109" s="5">
        <f t="shared" si="48"/>
        <v>0</v>
      </c>
      <c r="BH109" s="5">
        <f t="shared" si="49"/>
        <v>0</v>
      </c>
      <c r="BI109" s="5">
        <f t="shared" si="56"/>
        <v>0</v>
      </c>
      <c r="BJ109" s="11">
        <f t="shared" si="57"/>
        <v>0</v>
      </c>
      <c r="BK109" s="11" t="e">
        <f t="shared" si="57"/>
        <v>#DIV/0!</v>
      </c>
      <c r="BM109" s="1">
        <f t="shared" si="50"/>
        <v>0</v>
      </c>
      <c r="BN109" s="1">
        <f t="shared" si="51"/>
        <v>0</v>
      </c>
    </row>
    <row r="110" spans="1:66" x14ac:dyDescent="0.2">
      <c r="A110" s="4">
        <f t="shared" si="58"/>
        <v>45762</v>
      </c>
      <c r="B110" s="1">
        <v>105</v>
      </c>
      <c r="C110" s="1">
        <v>5</v>
      </c>
      <c r="AL110" s="7" t="e">
        <f t="shared" si="52"/>
        <v>#DIV/0!</v>
      </c>
      <c r="AN110" s="1">
        <f t="shared" si="35"/>
        <v>0</v>
      </c>
      <c r="AO110" s="1">
        <f t="shared" si="36"/>
        <v>0</v>
      </c>
      <c r="AP110" s="1">
        <f t="shared" si="37"/>
        <v>0</v>
      </c>
      <c r="AQ110" s="18">
        <f t="shared" si="38"/>
        <v>0</v>
      </c>
      <c r="AR110" s="24" t="e">
        <f t="shared" si="53"/>
        <v>#DIV/0!</v>
      </c>
      <c r="AT110" s="20">
        <f t="shared" si="39"/>
        <v>45762</v>
      </c>
      <c r="AU110" s="21">
        <f t="shared" si="40"/>
        <v>105</v>
      </c>
      <c r="AV110" s="1">
        <f t="shared" si="41"/>
        <v>0</v>
      </c>
      <c r="AW110" s="1">
        <f t="shared" si="42"/>
        <v>0</v>
      </c>
      <c r="AX110" s="1">
        <f t="shared" si="43"/>
        <v>0</v>
      </c>
      <c r="AY110" s="1">
        <f t="shared" si="32"/>
        <v>0</v>
      </c>
      <c r="AZ110" s="1">
        <f t="shared" si="33"/>
        <v>0</v>
      </c>
      <c r="BA110" s="1">
        <f t="shared" si="54"/>
        <v>0</v>
      </c>
      <c r="BB110" s="5" t="e">
        <f t="shared" si="55"/>
        <v>#DIV/0!</v>
      </c>
      <c r="BC110" s="1">
        <f t="shared" si="44"/>
        <v>0</v>
      </c>
      <c r="BD110" s="1">
        <f t="shared" si="45"/>
        <v>0</v>
      </c>
      <c r="BE110" s="1">
        <f t="shared" si="46"/>
        <v>0</v>
      </c>
      <c r="BF110" s="5">
        <f t="shared" si="47"/>
        <v>0</v>
      </c>
      <c r="BG110" s="5">
        <f t="shared" si="48"/>
        <v>0</v>
      </c>
      <c r="BH110" s="5">
        <f t="shared" si="49"/>
        <v>0</v>
      </c>
      <c r="BI110" s="5">
        <f t="shared" si="56"/>
        <v>0</v>
      </c>
      <c r="BJ110" s="11">
        <f t="shared" si="57"/>
        <v>0</v>
      </c>
      <c r="BK110" s="11" t="e">
        <f t="shared" si="57"/>
        <v>#DIV/0!</v>
      </c>
      <c r="BM110" s="1">
        <f t="shared" si="50"/>
        <v>0</v>
      </c>
      <c r="BN110" s="1">
        <f t="shared" si="51"/>
        <v>0</v>
      </c>
    </row>
    <row r="111" spans="1:66" x14ac:dyDescent="0.2">
      <c r="A111" s="4">
        <f t="shared" si="58"/>
        <v>45763</v>
      </c>
      <c r="B111" s="1">
        <v>106</v>
      </c>
      <c r="C111" s="1">
        <v>5</v>
      </c>
      <c r="AL111" s="7" t="e">
        <f t="shared" si="52"/>
        <v>#DIV/0!</v>
      </c>
      <c r="AN111" s="1">
        <f t="shared" si="35"/>
        <v>0</v>
      </c>
      <c r="AO111" s="1">
        <f t="shared" si="36"/>
        <v>0</v>
      </c>
      <c r="AP111" s="1">
        <f t="shared" si="37"/>
        <v>0</v>
      </c>
      <c r="AQ111" s="18">
        <f t="shared" si="38"/>
        <v>0</v>
      </c>
      <c r="AR111" s="24" t="e">
        <f t="shared" si="53"/>
        <v>#DIV/0!</v>
      </c>
      <c r="AT111" s="20">
        <f t="shared" si="39"/>
        <v>45763</v>
      </c>
      <c r="AU111" s="21">
        <f t="shared" si="40"/>
        <v>106</v>
      </c>
      <c r="AV111" s="1">
        <f t="shared" si="41"/>
        <v>0</v>
      </c>
      <c r="AW111" s="1">
        <f t="shared" si="42"/>
        <v>0</v>
      </c>
      <c r="AX111" s="1">
        <f t="shared" si="43"/>
        <v>0</v>
      </c>
      <c r="AY111" s="1">
        <f t="shared" si="32"/>
        <v>0</v>
      </c>
      <c r="AZ111" s="1">
        <f t="shared" si="33"/>
        <v>0</v>
      </c>
      <c r="BA111" s="1">
        <f t="shared" si="54"/>
        <v>0</v>
      </c>
      <c r="BB111" s="5" t="e">
        <f t="shared" si="55"/>
        <v>#DIV/0!</v>
      </c>
      <c r="BC111" s="1">
        <f t="shared" si="44"/>
        <v>0</v>
      </c>
      <c r="BD111" s="1">
        <f t="shared" si="45"/>
        <v>0</v>
      </c>
      <c r="BE111" s="1">
        <f t="shared" si="46"/>
        <v>0</v>
      </c>
      <c r="BF111" s="5">
        <f t="shared" si="47"/>
        <v>0</v>
      </c>
      <c r="BG111" s="5">
        <f t="shared" si="48"/>
        <v>0</v>
      </c>
      <c r="BH111" s="5">
        <f t="shared" si="49"/>
        <v>0</v>
      </c>
      <c r="BI111" s="5">
        <f t="shared" si="56"/>
        <v>0</v>
      </c>
      <c r="BJ111" s="11">
        <f t="shared" si="57"/>
        <v>0</v>
      </c>
      <c r="BK111" s="11" t="e">
        <f t="shared" si="57"/>
        <v>#DIV/0!</v>
      </c>
      <c r="BM111" s="1">
        <f t="shared" si="50"/>
        <v>0</v>
      </c>
      <c r="BN111" s="1">
        <f t="shared" si="51"/>
        <v>0</v>
      </c>
    </row>
    <row r="112" spans="1:66" x14ac:dyDescent="0.2">
      <c r="A112" s="4">
        <f t="shared" si="58"/>
        <v>45764</v>
      </c>
      <c r="B112" s="1">
        <v>107</v>
      </c>
      <c r="C112" s="1">
        <v>5</v>
      </c>
      <c r="AL112" s="7" t="e">
        <f t="shared" si="52"/>
        <v>#DIV/0!</v>
      </c>
      <c r="AN112" s="1">
        <f t="shared" si="35"/>
        <v>0</v>
      </c>
      <c r="AO112" s="1">
        <f t="shared" si="36"/>
        <v>0</v>
      </c>
      <c r="AP112" s="1">
        <f t="shared" si="37"/>
        <v>0</v>
      </c>
      <c r="AQ112" s="18">
        <f t="shared" si="38"/>
        <v>0</v>
      </c>
      <c r="AR112" s="24" t="e">
        <f t="shared" si="53"/>
        <v>#DIV/0!</v>
      </c>
      <c r="AT112" s="20">
        <f t="shared" si="39"/>
        <v>45764</v>
      </c>
      <c r="AU112" s="21">
        <f t="shared" si="40"/>
        <v>107</v>
      </c>
      <c r="AV112" s="1">
        <f t="shared" si="41"/>
        <v>0</v>
      </c>
      <c r="AW112" s="1">
        <f t="shared" si="42"/>
        <v>0</v>
      </c>
      <c r="AX112" s="1">
        <f t="shared" si="43"/>
        <v>0</v>
      </c>
      <c r="AY112" s="1">
        <f t="shared" si="32"/>
        <v>0</v>
      </c>
      <c r="AZ112" s="1">
        <f t="shared" si="33"/>
        <v>0</v>
      </c>
      <c r="BA112" s="1">
        <f t="shared" si="54"/>
        <v>0</v>
      </c>
      <c r="BB112" s="5" t="e">
        <f t="shared" si="55"/>
        <v>#DIV/0!</v>
      </c>
      <c r="BC112" s="1">
        <f t="shared" si="44"/>
        <v>0</v>
      </c>
      <c r="BD112" s="1">
        <f t="shared" si="45"/>
        <v>0</v>
      </c>
      <c r="BE112" s="1">
        <f t="shared" si="46"/>
        <v>0</v>
      </c>
      <c r="BF112" s="5">
        <f t="shared" si="47"/>
        <v>0</v>
      </c>
      <c r="BG112" s="5">
        <f t="shared" si="48"/>
        <v>0</v>
      </c>
      <c r="BH112" s="5">
        <f t="shared" si="49"/>
        <v>0</v>
      </c>
      <c r="BI112" s="5">
        <f t="shared" si="56"/>
        <v>0</v>
      </c>
      <c r="BJ112" s="11">
        <f t="shared" si="57"/>
        <v>0</v>
      </c>
      <c r="BK112" s="11" t="e">
        <f t="shared" si="57"/>
        <v>#DIV/0!</v>
      </c>
      <c r="BM112" s="1">
        <f t="shared" si="50"/>
        <v>0</v>
      </c>
      <c r="BN112" s="1">
        <f t="shared" si="51"/>
        <v>0</v>
      </c>
    </row>
    <row r="113" spans="1:66" x14ac:dyDescent="0.2">
      <c r="A113" s="4">
        <f t="shared" si="58"/>
        <v>45765</v>
      </c>
      <c r="B113" s="1">
        <v>108</v>
      </c>
      <c r="C113" s="1">
        <v>5</v>
      </c>
      <c r="AL113" s="7" t="e">
        <f t="shared" si="52"/>
        <v>#DIV/0!</v>
      </c>
      <c r="AN113" s="1">
        <f t="shared" si="35"/>
        <v>0</v>
      </c>
      <c r="AO113" s="1">
        <f t="shared" si="36"/>
        <v>0</v>
      </c>
      <c r="AP113" s="1">
        <f t="shared" si="37"/>
        <v>0</v>
      </c>
      <c r="AQ113" s="18">
        <f t="shared" si="38"/>
        <v>0</v>
      </c>
      <c r="AR113" s="24" t="e">
        <f t="shared" si="53"/>
        <v>#DIV/0!</v>
      </c>
      <c r="AT113" s="20">
        <f t="shared" si="39"/>
        <v>45765</v>
      </c>
      <c r="AU113" s="21">
        <f t="shared" si="40"/>
        <v>108</v>
      </c>
      <c r="AV113" s="1">
        <f t="shared" si="41"/>
        <v>0</v>
      </c>
      <c r="AW113" s="1">
        <f t="shared" si="42"/>
        <v>0</v>
      </c>
      <c r="AX113" s="1">
        <f t="shared" si="43"/>
        <v>0</v>
      </c>
      <c r="AY113" s="1">
        <f t="shared" si="32"/>
        <v>0</v>
      </c>
      <c r="AZ113" s="1">
        <f t="shared" si="33"/>
        <v>0</v>
      </c>
      <c r="BA113" s="1">
        <f t="shared" si="54"/>
        <v>0</v>
      </c>
      <c r="BB113" s="5" t="e">
        <f t="shared" si="55"/>
        <v>#DIV/0!</v>
      </c>
      <c r="BC113" s="1">
        <f t="shared" si="44"/>
        <v>0</v>
      </c>
      <c r="BD113" s="1">
        <f t="shared" si="45"/>
        <v>0</v>
      </c>
      <c r="BE113" s="1">
        <f t="shared" si="46"/>
        <v>0</v>
      </c>
      <c r="BF113" s="5">
        <f t="shared" si="47"/>
        <v>0</v>
      </c>
      <c r="BG113" s="5">
        <f t="shared" si="48"/>
        <v>0</v>
      </c>
      <c r="BH113" s="5">
        <f t="shared" si="49"/>
        <v>0</v>
      </c>
      <c r="BI113" s="5">
        <f t="shared" si="56"/>
        <v>0</v>
      </c>
      <c r="BJ113" s="11">
        <f t="shared" si="57"/>
        <v>0</v>
      </c>
      <c r="BK113" s="11" t="e">
        <f t="shared" si="57"/>
        <v>#DIV/0!</v>
      </c>
      <c r="BM113" s="1">
        <f t="shared" si="50"/>
        <v>0</v>
      </c>
      <c r="BN113" s="1">
        <f t="shared" si="51"/>
        <v>0</v>
      </c>
    </row>
    <row r="114" spans="1:66" x14ac:dyDescent="0.2">
      <c r="A114" s="4">
        <f t="shared" si="58"/>
        <v>45766</v>
      </c>
      <c r="B114" s="1">
        <v>109</v>
      </c>
      <c r="C114" s="1">
        <v>5</v>
      </c>
      <c r="AL114" s="7" t="e">
        <f t="shared" si="52"/>
        <v>#DIV/0!</v>
      </c>
      <c r="AN114" s="1">
        <f t="shared" si="35"/>
        <v>0</v>
      </c>
      <c r="AO114" s="1">
        <f t="shared" si="36"/>
        <v>0</v>
      </c>
      <c r="AP114" s="1">
        <f t="shared" si="37"/>
        <v>0</v>
      </c>
      <c r="AQ114" s="18">
        <f t="shared" si="38"/>
        <v>0</v>
      </c>
      <c r="AR114" s="24" t="e">
        <f t="shared" si="53"/>
        <v>#DIV/0!</v>
      </c>
      <c r="AT114" s="20">
        <f t="shared" si="39"/>
        <v>45766</v>
      </c>
      <c r="AU114" s="21">
        <f t="shared" si="40"/>
        <v>109</v>
      </c>
      <c r="AV114" s="1">
        <f t="shared" si="41"/>
        <v>0</v>
      </c>
      <c r="AW114" s="1">
        <f t="shared" si="42"/>
        <v>0</v>
      </c>
      <c r="AX114" s="1">
        <f t="shared" si="43"/>
        <v>0</v>
      </c>
      <c r="AY114" s="1">
        <f t="shared" si="32"/>
        <v>0</v>
      </c>
      <c r="AZ114" s="1">
        <f t="shared" si="33"/>
        <v>0</v>
      </c>
      <c r="BA114" s="1">
        <f t="shared" si="54"/>
        <v>0</v>
      </c>
      <c r="BB114" s="5" t="e">
        <f t="shared" si="55"/>
        <v>#DIV/0!</v>
      </c>
      <c r="BC114" s="1">
        <f t="shared" si="44"/>
        <v>0</v>
      </c>
      <c r="BD114" s="1">
        <f t="shared" si="45"/>
        <v>0</v>
      </c>
      <c r="BE114" s="1">
        <f t="shared" si="46"/>
        <v>0</v>
      </c>
      <c r="BF114" s="5">
        <f t="shared" si="47"/>
        <v>0</v>
      </c>
      <c r="BG114" s="5">
        <f t="shared" si="48"/>
        <v>0</v>
      </c>
      <c r="BH114" s="5">
        <f t="shared" si="49"/>
        <v>0</v>
      </c>
      <c r="BI114" s="5">
        <f t="shared" si="56"/>
        <v>0</v>
      </c>
      <c r="BJ114" s="11">
        <f t="shared" si="57"/>
        <v>0</v>
      </c>
      <c r="BK114" s="11" t="e">
        <f t="shared" si="57"/>
        <v>#DIV/0!</v>
      </c>
      <c r="BM114" s="1">
        <f t="shared" si="50"/>
        <v>0</v>
      </c>
      <c r="BN114" s="1">
        <f t="shared" si="51"/>
        <v>0</v>
      </c>
    </row>
    <row r="115" spans="1:66" x14ac:dyDescent="0.2">
      <c r="A115" s="4">
        <f t="shared" si="58"/>
        <v>45767</v>
      </c>
      <c r="B115" s="1">
        <v>110</v>
      </c>
      <c r="C115" s="1">
        <v>5</v>
      </c>
      <c r="AL115" s="7" t="e">
        <f t="shared" si="52"/>
        <v>#DIV/0!</v>
      </c>
      <c r="AN115" s="1">
        <f t="shared" si="35"/>
        <v>0</v>
      </c>
      <c r="AO115" s="1">
        <f t="shared" si="36"/>
        <v>0</v>
      </c>
      <c r="AP115" s="1">
        <f t="shared" si="37"/>
        <v>0</v>
      </c>
      <c r="AQ115" s="18">
        <f t="shared" si="38"/>
        <v>0</v>
      </c>
      <c r="AR115" s="24" t="e">
        <f t="shared" si="53"/>
        <v>#DIV/0!</v>
      </c>
      <c r="AT115" s="20">
        <f t="shared" si="39"/>
        <v>45767</v>
      </c>
      <c r="AU115" s="21">
        <f t="shared" si="40"/>
        <v>110</v>
      </c>
      <c r="AV115" s="1">
        <f t="shared" si="41"/>
        <v>0</v>
      </c>
      <c r="AW115" s="1">
        <f t="shared" si="42"/>
        <v>0</v>
      </c>
      <c r="AX115" s="1">
        <f t="shared" si="43"/>
        <v>0</v>
      </c>
      <c r="AY115" s="1">
        <f t="shared" si="32"/>
        <v>0</v>
      </c>
      <c r="AZ115" s="1">
        <f t="shared" si="33"/>
        <v>0</v>
      </c>
      <c r="BA115" s="1">
        <f t="shared" si="54"/>
        <v>0</v>
      </c>
      <c r="BB115" s="5" t="e">
        <f t="shared" si="55"/>
        <v>#DIV/0!</v>
      </c>
      <c r="BC115" s="1">
        <f t="shared" si="44"/>
        <v>0</v>
      </c>
      <c r="BD115" s="1">
        <f t="shared" si="45"/>
        <v>0</v>
      </c>
      <c r="BE115" s="1">
        <f t="shared" si="46"/>
        <v>0</v>
      </c>
      <c r="BF115" s="5">
        <f t="shared" si="47"/>
        <v>0</v>
      </c>
      <c r="BG115" s="5">
        <f t="shared" si="48"/>
        <v>0</v>
      </c>
      <c r="BH115" s="5">
        <f t="shared" si="49"/>
        <v>0</v>
      </c>
      <c r="BI115" s="5">
        <f t="shared" si="56"/>
        <v>0</v>
      </c>
      <c r="BJ115" s="11">
        <f t="shared" si="57"/>
        <v>0</v>
      </c>
      <c r="BK115" s="11" t="e">
        <f t="shared" si="57"/>
        <v>#DIV/0!</v>
      </c>
      <c r="BM115" s="1">
        <f t="shared" si="50"/>
        <v>0</v>
      </c>
      <c r="BN115" s="1">
        <f t="shared" si="51"/>
        <v>0</v>
      </c>
    </row>
    <row r="116" spans="1:66" x14ac:dyDescent="0.2">
      <c r="A116" s="4">
        <f t="shared" si="58"/>
        <v>45768</v>
      </c>
      <c r="B116" s="1">
        <v>111</v>
      </c>
      <c r="C116" s="1">
        <v>5</v>
      </c>
      <c r="AL116" s="7" t="e">
        <f t="shared" si="52"/>
        <v>#DIV/0!</v>
      </c>
      <c r="AN116" s="1">
        <f t="shared" si="35"/>
        <v>0</v>
      </c>
      <c r="AO116" s="1">
        <f t="shared" si="36"/>
        <v>0</v>
      </c>
      <c r="AP116" s="1">
        <f t="shared" si="37"/>
        <v>0</v>
      </c>
      <c r="AQ116" s="18">
        <f t="shared" si="38"/>
        <v>0</v>
      </c>
      <c r="AR116" s="24" t="e">
        <f t="shared" si="53"/>
        <v>#DIV/0!</v>
      </c>
      <c r="AT116" s="20">
        <f t="shared" si="39"/>
        <v>45768</v>
      </c>
      <c r="AU116" s="21">
        <f t="shared" si="40"/>
        <v>111</v>
      </c>
      <c r="AV116" s="1">
        <f t="shared" si="41"/>
        <v>0</v>
      </c>
      <c r="AW116" s="1">
        <f t="shared" si="42"/>
        <v>0</v>
      </c>
      <c r="AX116" s="1">
        <f t="shared" si="43"/>
        <v>0</v>
      </c>
      <c r="AY116" s="1">
        <f t="shared" si="32"/>
        <v>0</v>
      </c>
      <c r="AZ116" s="1">
        <f t="shared" si="33"/>
        <v>0</v>
      </c>
      <c r="BA116" s="1">
        <f t="shared" si="54"/>
        <v>0</v>
      </c>
      <c r="BB116" s="5" t="e">
        <f t="shared" si="55"/>
        <v>#DIV/0!</v>
      </c>
      <c r="BC116" s="1">
        <f t="shared" si="44"/>
        <v>0</v>
      </c>
      <c r="BD116" s="1">
        <f t="shared" si="45"/>
        <v>0</v>
      </c>
      <c r="BE116" s="1">
        <f t="shared" si="46"/>
        <v>0</v>
      </c>
      <c r="BF116" s="5">
        <f t="shared" si="47"/>
        <v>0</v>
      </c>
      <c r="BG116" s="5">
        <f t="shared" si="48"/>
        <v>0</v>
      </c>
      <c r="BH116" s="5">
        <f t="shared" si="49"/>
        <v>0</v>
      </c>
      <c r="BI116" s="5">
        <f t="shared" si="56"/>
        <v>0</v>
      </c>
      <c r="BJ116" s="11">
        <f t="shared" si="57"/>
        <v>0</v>
      </c>
      <c r="BK116" s="11" t="e">
        <f t="shared" si="57"/>
        <v>#DIV/0!</v>
      </c>
      <c r="BM116" s="1">
        <f t="shared" si="50"/>
        <v>0</v>
      </c>
      <c r="BN116" s="1">
        <f t="shared" si="51"/>
        <v>0</v>
      </c>
    </row>
    <row r="117" spans="1:66" x14ac:dyDescent="0.2">
      <c r="A117" s="4">
        <f t="shared" si="58"/>
        <v>45769</v>
      </c>
      <c r="B117" s="1">
        <v>112</v>
      </c>
      <c r="C117" s="1">
        <v>5</v>
      </c>
      <c r="AL117" s="7" t="e">
        <f t="shared" si="52"/>
        <v>#DIV/0!</v>
      </c>
      <c r="AN117" s="1">
        <f t="shared" si="35"/>
        <v>0</v>
      </c>
      <c r="AO117" s="1">
        <f t="shared" si="36"/>
        <v>0</v>
      </c>
      <c r="AP117" s="1">
        <f t="shared" si="37"/>
        <v>0</v>
      </c>
      <c r="AQ117" s="18">
        <f t="shared" si="38"/>
        <v>0</v>
      </c>
      <c r="AR117" s="24" t="e">
        <f t="shared" si="53"/>
        <v>#DIV/0!</v>
      </c>
      <c r="AT117" s="20">
        <f t="shared" si="39"/>
        <v>45769</v>
      </c>
      <c r="AU117" s="21">
        <f t="shared" si="40"/>
        <v>112</v>
      </c>
      <c r="AV117" s="1">
        <f t="shared" si="41"/>
        <v>0</v>
      </c>
      <c r="AW117" s="1">
        <f t="shared" si="42"/>
        <v>0</v>
      </c>
      <c r="AX117" s="1">
        <f t="shared" si="43"/>
        <v>0</v>
      </c>
      <c r="AY117" s="1">
        <f t="shared" si="32"/>
        <v>0</v>
      </c>
      <c r="AZ117" s="1">
        <f t="shared" si="33"/>
        <v>0</v>
      </c>
      <c r="BA117" s="1">
        <f t="shared" si="54"/>
        <v>0</v>
      </c>
      <c r="BB117" s="5" t="e">
        <f t="shared" si="55"/>
        <v>#DIV/0!</v>
      </c>
      <c r="BC117" s="1">
        <f t="shared" si="44"/>
        <v>0</v>
      </c>
      <c r="BD117" s="1">
        <f t="shared" si="45"/>
        <v>0</v>
      </c>
      <c r="BE117" s="1">
        <f t="shared" si="46"/>
        <v>0</v>
      </c>
      <c r="BF117" s="5">
        <f t="shared" si="47"/>
        <v>0</v>
      </c>
      <c r="BG117" s="5">
        <f t="shared" si="48"/>
        <v>0</v>
      </c>
      <c r="BH117" s="5">
        <f t="shared" si="49"/>
        <v>0</v>
      </c>
      <c r="BI117" s="5">
        <f t="shared" si="56"/>
        <v>0</v>
      </c>
      <c r="BJ117" s="11">
        <f t="shared" si="57"/>
        <v>0</v>
      </c>
      <c r="BK117" s="11" t="e">
        <f t="shared" si="57"/>
        <v>#DIV/0!</v>
      </c>
      <c r="BM117" s="1">
        <f t="shared" si="50"/>
        <v>0</v>
      </c>
      <c r="BN117" s="1">
        <f t="shared" si="51"/>
        <v>0</v>
      </c>
    </row>
    <row r="118" spans="1:66" x14ac:dyDescent="0.2">
      <c r="A118" s="4">
        <f t="shared" si="58"/>
        <v>45770</v>
      </c>
      <c r="B118" s="1">
        <v>113</v>
      </c>
      <c r="C118" s="1">
        <v>5</v>
      </c>
      <c r="AL118" s="7" t="e">
        <f t="shared" si="52"/>
        <v>#DIV/0!</v>
      </c>
      <c r="AN118" s="1">
        <f t="shared" si="35"/>
        <v>0</v>
      </c>
      <c r="AO118" s="1">
        <f t="shared" si="36"/>
        <v>0</v>
      </c>
      <c r="AP118" s="1">
        <f t="shared" si="37"/>
        <v>0</v>
      </c>
      <c r="AQ118" s="18">
        <f t="shared" si="38"/>
        <v>0</v>
      </c>
      <c r="AR118" s="24" t="e">
        <f t="shared" si="53"/>
        <v>#DIV/0!</v>
      </c>
      <c r="AT118" s="20">
        <f t="shared" si="39"/>
        <v>45770</v>
      </c>
      <c r="AU118" s="21">
        <f t="shared" si="40"/>
        <v>113</v>
      </c>
      <c r="AV118" s="1">
        <f t="shared" si="41"/>
        <v>0</v>
      </c>
      <c r="AW118" s="1">
        <f t="shared" si="42"/>
        <v>0</v>
      </c>
      <c r="AX118" s="1">
        <f t="shared" si="43"/>
        <v>0</v>
      </c>
      <c r="AY118" s="1">
        <f t="shared" si="32"/>
        <v>0</v>
      </c>
      <c r="AZ118" s="1">
        <f t="shared" si="33"/>
        <v>0</v>
      </c>
      <c r="BA118" s="1">
        <f t="shared" si="54"/>
        <v>0</v>
      </c>
      <c r="BB118" s="5" t="e">
        <f t="shared" si="55"/>
        <v>#DIV/0!</v>
      </c>
      <c r="BC118" s="1">
        <f t="shared" si="44"/>
        <v>0</v>
      </c>
      <c r="BD118" s="1">
        <f t="shared" si="45"/>
        <v>0</v>
      </c>
      <c r="BE118" s="1">
        <f t="shared" si="46"/>
        <v>0</v>
      </c>
      <c r="BF118" s="5">
        <f t="shared" si="47"/>
        <v>0</v>
      </c>
      <c r="BG118" s="5">
        <f t="shared" si="48"/>
        <v>0</v>
      </c>
      <c r="BH118" s="5">
        <f t="shared" si="49"/>
        <v>0</v>
      </c>
      <c r="BI118" s="5">
        <f t="shared" si="56"/>
        <v>0</v>
      </c>
      <c r="BJ118" s="11">
        <f t="shared" si="57"/>
        <v>0</v>
      </c>
      <c r="BK118" s="11" t="e">
        <f t="shared" si="57"/>
        <v>#DIV/0!</v>
      </c>
      <c r="BM118" s="1">
        <f t="shared" si="50"/>
        <v>0</v>
      </c>
      <c r="BN118" s="1">
        <f t="shared" si="51"/>
        <v>0</v>
      </c>
    </row>
    <row r="119" spans="1:66" x14ac:dyDescent="0.2">
      <c r="A119" s="4">
        <f t="shared" si="58"/>
        <v>45771</v>
      </c>
      <c r="B119" s="1">
        <v>114</v>
      </c>
      <c r="C119" s="1">
        <v>5</v>
      </c>
      <c r="AL119" s="7" t="e">
        <f t="shared" si="52"/>
        <v>#DIV/0!</v>
      </c>
      <c r="AN119" s="1">
        <f t="shared" si="35"/>
        <v>0</v>
      </c>
      <c r="AO119" s="1">
        <f t="shared" si="36"/>
        <v>0</v>
      </c>
      <c r="AP119" s="1">
        <f t="shared" si="37"/>
        <v>0</v>
      </c>
      <c r="AQ119" s="18">
        <f t="shared" si="38"/>
        <v>0</v>
      </c>
      <c r="AR119" s="24" t="e">
        <f t="shared" si="53"/>
        <v>#DIV/0!</v>
      </c>
      <c r="AT119" s="20">
        <f t="shared" si="39"/>
        <v>45771</v>
      </c>
      <c r="AU119" s="21">
        <f t="shared" si="40"/>
        <v>114</v>
      </c>
      <c r="AV119" s="1">
        <f t="shared" si="41"/>
        <v>0</v>
      </c>
      <c r="AW119" s="1">
        <f t="shared" si="42"/>
        <v>0</v>
      </c>
      <c r="AX119" s="1">
        <f t="shared" si="43"/>
        <v>0</v>
      </c>
      <c r="AY119" s="1">
        <f t="shared" si="32"/>
        <v>0</v>
      </c>
      <c r="AZ119" s="1">
        <f t="shared" si="33"/>
        <v>0</v>
      </c>
      <c r="BA119" s="1">
        <f t="shared" si="54"/>
        <v>0</v>
      </c>
      <c r="BB119" s="5" t="e">
        <f t="shared" si="55"/>
        <v>#DIV/0!</v>
      </c>
      <c r="BC119" s="1">
        <f t="shared" si="44"/>
        <v>0</v>
      </c>
      <c r="BD119" s="1">
        <f t="shared" si="45"/>
        <v>0</v>
      </c>
      <c r="BE119" s="1">
        <f t="shared" si="46"/>
        <v>0</v>
      </c>
      <c r="BF119" s="5">
        <f t="shared" si="47"/>
        <v>0</v>
      </c>
      <c r="BG119" s="5">
        <f t="shared" si="48"/>
        <v>0</v>
      </c>
      <c r="BH119" s="5">
        <f t="shared" si="49"/>
        <v>0</v>
      </c>
      <c r="BI119" s="5">
        <f t="shared" si="56"/>
        <v>0</v>
      </c>
      <c r="BJ119" s="11">
        <f t="shared" si="57"/>
        <v>0</v>
      </c>
      <c r="BK119" s="11" t="e">
        <f t="shared" si="57"/>
        <v>#DIV/0!</v>
      </c>
      <c r="BM119" s="1">
        <f t="shared" si="50"/>
        <v>0</v>
      </c>
      <c r="BN119" s="1">
        <f t="shared" si="51"/>
        <v>0</v>
      </c>
    </row>
    <row r="120" spans="1:66" x14ac:dyDescent="0.2">
      <c r="A120" s="4">
        <f t="shared" si="58"/>
        <v>45772</v>
      </c>
      <c r="B120" s="1">
        <v>115</v>
      </c>
      <c r="C120" s="1">
        <v>5</v>
      </c>
      <c r="AL120" s="7" t="e">
        <f t="shared" si="52"/>
        <v>#DIV/0!</v>
      </c>
      <c r="AN120" s="1">
        <f t="shared" si="35"/>
        <v>0</v>
      </c>
      <c r="AO120" s="1">
        <f t="shared" si="36"/>
        <v>0</v>
      </c>
      <c r="AP120" s="1">
        <f t="shared" si="37"/>
        <v>0</v>
      </c>
      <c r="AQ120" s="18">
        <f t="shared" si="38"/>
        <v>0</v>
      </c>
      <c r="AR120" s="24" t="e">
        <f t="shared" si="53"/>
        <v>#DIV/0!</v>
      </c>
      <c r="AT120" s="20">
        <f t="shared" si="39"/>
        <v>45772</v>
      </c>
      <c r="AU120" s="21">
        <f t="shared" si="40"/>
        <v>115</v>
      </c>
      <c r="AV120" s="1">
        <f t="shared" si="41"/>
        <v>0</v>
      </c>
      <c r="AW120" s="1">
        <f t="shared" si="42"/>
        <v>0</v>
      </c>
      <c r="AX120" s="1">
        <f t="shared" si="43"/>
        <v>0</v>
      </c>
      <c r="AY120" s="1">
        <f t="shared" si="32"/>
        <v>0</v>
      </c>
      <c r="AZ120" s="1">
        <f t="shared" si="33"/>
        <v>0</v>
      </c>
      <c r="BA120" s="1">
        <f t="shared" si="54"/>
        <v>0</v>
      </c>
      <c r="BB120" s="5" t="e">
        <f t="shared" si="55"/>
        <v>#DIV/0!</v>
      </c>
      <c r="BC120" s="1">
        <f t="shared" si="44"/>
        <v>0</v>
      </c>
      <c r="BD120" s="1">
        <f t="shared" si="45"/>
        <v>0</v>
      </c>
      <c r="BE120" s="1">
        <f t="shared" si="46"/>
        <v>0</v>
      </c>
      <c r="BF120" s="5">
        <f t="shared" si="47"/>
        <v>0</v>
      </c>
      <c r="BG120" s="5">
        <f t="shared" si="48"/>
        <v>0</v>
      </c>
      <c r="BH120" s="5">
        <f t="shared" si="49"/>
        <v>0</v>
      </c>
      <c r="BI120" s="5">
        <f t="shared" si="56"/>
        <v>0</v>
      </c>
      <c r="BJ120" s="11">
        <f t="shared" si="57"/>
        <v>0</v>
      </c>
      <c r="BK120" s="11" t="e">
        <f t="shared" si="57"/>
        <v>#DIV/0!</v>
      </c>
      <c r="BM120" s="1">
        <f t="shared" si="50"/>
        <v>0</v>
      </c>
      <c r="BN120" s="1">
        <f t="shared" si="51"/>
        <v>0</v>
      </c>
    </row>
    <row r="121" spans="1:66" x14ac:dyDescent="0.2">
      <c r="A121" s="4">
        <f t="shared" si="58"/>
        <v>45773</v>
      </c>
      <c r="B121" s="1">
        <v>116</v>
      </c>
      <c r="C121" s="1">
        <v>5</v>
      </c>
      <c r="AL121" s="7" t="e">
        <f t="shared" si="52"/>
        <v>#DIV/0!</v>
      </c>
      <c r="AN121" s="1">
        <f t="shared" si="35"/>
        <v>0</v>
      </c>
      <c r="AO121" s="1">
        <f t="shared" si="36"/>
        <v>0</v>
      </c>
      <c r="AP121" s="1">
        <f t="shared" si="37"/>
        <v>0</v>
      </c>
      <c r="AQ121" s="18">
        <f t="shared" si="38"/>
        <v>0</v>
      </c>
      <c r="AR121" s="24" t="e">
        <f t="shared" si="53"/>
        <v>#DIV/0!</v>
      </c>
      <c r="AT121" s="20">
        <f t="shared" si="39"/>
        <v>45773</v>
      </c>
      <c r="AU121" s="21">
        <f t="shared" si="40"/>
        <v>116</v>
      </c>
      <c r="AV121" s="1">
        <f t="shared" si="41"/>
        <v>0</v>
      </c>
      <c r="AW121" s="1">
        <f t="shared" si="42"/>
        <v>0</v>
      </c>
      <c r="AX121" s="1">
        <f t="shared" si="43"/>
        <v>0</v>
      </c>
      <c r="AY121" s="1">
        <f t="shared" si="32"/>
        <v>0</v>
      </c>
      <c r="AZ121" s="1">
        <f t="shared" si="33"/>
        <v>0</v>
      </c>
      <c r="BA121" s="1">
        <f t="shared" si="54"/>
        <v>0</v>
      </c>
      <c r="BB121" s="5" t="e">
        <f t="shared" si="55"/>
        <v>#DIV/0!</v>
      </c>
      <c r="BC121" s="1">
        <f t="shared" si="44"/>
        <v>0</v>
      </c>
      <c r="BD121" s="1">
        <f t="shared" si="45"/>
        <v>0</v>
      </c>
      <c r="BE121" s="1">
        <f t="shared" si="46"/>
        <v>0</v>
      </c>
      <c r="BF121" s="5">
        <f t="shared" si="47"/>
        <v>0</v>
      </c>
      <c r="BG121" s="5">
        <f t="shared" si="48"/>
        <v>0</v>
      </c>
      <c r="BH121" s="5">
        <f t="shared" si="49"/>
        <v>0</v>
      </c>
      <c r="BI121" s="5">
        <f t="shared" si="56"/>
        <v>0</v>
      </c>
      <c r="BJ121" s="11">
        <f t="shared" si="57"/>
        <v>0</v>
      </c>
      <c r="BK121" s="11" t="e">
        <f t="shared" si="57"/>
        <v>#DIV/0!</v>
      </c>
      <c r="BM121" s="1">
        <f t="shared" si="50"/>
        <v>0</v>
      </c>
      <c r="BN121" s="1">
        <f t="shared" si="51"/>
        <v>0</v>
      </c>
    </row>
    <row r="122" spans="1:66" x14ac:dyDescent="0.2">
      <c r="A122" s="4">
        <f t="shared" si="58"/>
        <v>45774</v>
      </c>
      <c r="B122" s="1">
        <v>117</v>
      </c>
      <c r="C122" s="1">
        <v>5</v>
      </c>
      <c r="AL122" s="7" t="e">
        <f t="shared" si="52"/>
        <v>#DIV/0!</v>
      </c>
      <c r="AN122" s="1">
        <f t="shared" si="35"/>
        <v>0</v>
      </c>
      <c r="AO122" s="1">
        <f t="shared" si="36"/>
        <v>0</v>
      </c>
      <c r="AP122" s="1">
        <f t="shared" si="37"/>
        <v>0</v>
      </c>
      <c r="AQ122" s="18">
        <f t="shared" si="38"/>
        <v>0</v>
      </c>
      <c r="AR122" s="24" t="e">
        <f t="shared" si="53"/>
        <v>#DIV/0!</v>
      </c>
      <c r="AT122" s="20">
        <f t="shared" si="39"/>
        <v>45774</v>
      </c>
      <c r="AU122" s="21">
        <f t="shared" si="40"/>
        <v>117</v>
      </c>
      <c r="AV122" s="1">
        <f t="shared" si="41"/>
        <v>0</v>
      </c>
      <c r="AW122" s="1">
        <f t="shared" si="42"/>
        <v>0</v>
      </c>
      <c r="AX122" s="1">
        <f t="shared" si="43"/>
        <v>0</v>
      </c>
      <c r="AY122" s="1">
        <f t="shared" si="32"/>
        <v>0</v>
      </c>
      <c r="AZ122" s="1">
        <f t="shared" si="33"/>
        <v>0</v>
      </c>
      <c r="BA122" s="1">
        <f t="shared" si="54"/>
        <v>0</v>
      </c>
      <c r="BB122" s="5" t="e">
        <f t="shared" si="55"/>
        <v>#DIV/0!</v>
      </c>
      <c r="BC122" s="1">
        <f t="shared" si="44"/>
        <v>0</v>
      </c>
      <c r="BD122" s="1">
        <f t="shared" si="45"/>
        <v>0</v>
      </c>
      <c r="BE122" s="1">
        <f t="shared" si="46"/>
        <v>0</v>
      </c>
      <c r="BF122" s="5">
        <f t="shared" si="47"/>
        <v>0</v>
      </c>
      <c r="BG122" s="5">
        <f t="shared" si="48"/>
        <v>0</v>
      </c>
      <c r="BH122" s="5">
        <f t="shared" si="49"/>
        <v>0</v>
      </c>
      <c r="BI122" s="5">
        <f t="shared" si="56"/>
        <v>0</v>
      </c>
      <c r="BJ122" s="11">
        <f t="shared" si="57"/>
        <v>0</v>
      </c>
      <c r="BK122" s="11" t="e">
        <f t="shared" si="57"/>
        <v>#DIV/0!</v>
      </c>
      <c r="BM122" s="1">
        <f t="shared" si="50"/>
        <v>0</v>
      </c>
      <c r="BN122" s="1">
        <f t="shared" si="51"/>
        <v>0</v>
      </c>
    </row>
    <row r="123" spans="1:66" x14ac:dyDescent="0.2">
      <c r="A123" s="4">
        <f t="shared" si="58"/>
        <v>45775</v>
      </c>
      <c r="B123" s="1">
        <v>118</v>
      </c>
      <c r="C123" s="1">
        <v>5</v>
      </c>
      <c r="AL123" s="7" t="e">
        <f t="shared" si="52"/>
        <v>#DIV/0!</v>
      </c>
      <c r="AN123" s="1">
        <f t="shared" si="35"/>
        <v>0</v>
      </c>
      <c r="AO123" s="1">
        <f t="shared" si="36"/>
        <v>0</v>
      </c>
      <c r="AP123" s="1">
        <f t="shared" si="37"/>
        <v>0</v>
      </c>
      <c r="AQ123" s="18">
        <f t="shared" si="38"/>
        <v>0</v>
      </c>
      <c r="AR123" s="24" t="e">
        <f t="shared" si="53"/>
        <v>#DIV/0!</v>
      </c>
      <c r="AT123" s="20">
        <f t="shared" si="39"/>
        <v>45775</v>
      </c>
      <c r="AU123" s="21">
        <f t="shared" si="40"/>
        <v>118</v>
      </c>
      <c r="AV123" s="1">
        <f t="shared" si="41"/>
        <v>0</v>
      </c>
      <c r="AW123" s="1">
        <f t="shared" si="42"/>
        <v>0</v>
      </c>
      <c r="AX123" s="1">
        <f t="shared" si="43"/>
        <v>0</v>
      </c>
      <c r="AY123" s="1">
        <f t="shared" si="32"/>
        <v>0</v>
      </c>
      <c r="AZ123" s="1">
        <f t="shared" si="33"/>
        <v>0</v>
      </c>
      <c r="BA123" s="1">
        <f t="shared" si="54"/>
        <v>0</v>
      </c>
      <c r="BB123" s="5" t="e">
        <f t="shared" si="55"/>
        <v>#DIV/0!</v>
      </c>
      <c r="BC123" s="1">
        <f t="shared" si="44"/>
        <v>0</v>
      </c>
      <c r="BD123" s="1">
        <f t="shared" si="45"/>
        <v>0</v>
      </c>
      <c r="BE123" s="1">
        <f t="shared" si="46"/>
        <v>0</v>
      </c>
      <c r="BF123" s="5">
        <f t="shared" si="47"/>
        <v>0</v>
      </c>
      <c r="BG123" s="5">
        <f t="shared" si="48"/>
        <v>0</v>
      </c>
      <c r="BH123" s="5">
        <f t="shared" si="49"/>
        <v>0</v>
      </c>
      <c r="BI123" s="5">
        <f t="shared" si="56"/>
        <v>0</v>
      </c>
      <c r="BJ123" s="11">
        <f t="shared" si="57"/>
        <v>0</v>
      </c>
      <c r="BK123" s="11" t="e">
        <f t="shared" si="57"/>
        <v>#DIV/0!</v>
      </c>
      <c r="BM123" s="1">
        <f t="shared" si="50"/>
        <v>0</v>
      </c>
      <c r="BN123" s="1">
        <f t="shared" si="51"/>
        <v>0</v>
      </c>
    </row>
    <row r="124" spans="1:66" x14ac:dyDescent="0.2">
      <c r="A124" s="4">
        <f t="shared" si="58"/>
        <v>45776</v>
      </c>
      <c r="B124" s="1">
        <v>119</v>
      </c>
      <c r="C124" s="1">
        <v>5</v>
      </c>
      <c r="AL124" s="7" t="e">
        <f t="shared" si="52"/>
        <v>#DIV/0!</v>
      </c>
      <c r="AN124" s="1">
        <f t="shared" si="35"/>
        <v>0</v>
      </c>
      <c r="AO124" s="1">
        <f t="shared" si="36"/>
        <v>0</v>
      </c>
      <c r="AP124" s="1">
        <f t="shared" si="37"/>
        <v>0</v>
      </c>
      <c r="AQ124" s="18">
        <f t="shared" si="38"/>
        <v>0</v>
      </c>
      <c r="AR124" s="24" t="e">
        <f t="shared" si="53"/>
        <v>#DIV/0!</v>
      </c>
      <c r="AT124" s="20">
        <f t="shared" si="39"/>
        <v>45776</v>
      </c>
      <c r="AU124" s="21">
        <f t="shared" si="40"/>
        <v>119</v>
      </c>
      <c r="AV124" s="1">
        <f t="shared" si="41"/>
        <v>0</v>
      </c>
      <c r="AW124" s="1">
        <f t="shared" si="42"/>
        <v>0</v>
      </c>
      <c r="AX124" s="1">
        <f t="shared" si="43"/>
        <v>0</v>
      </c>
      <c r="AY124" s="1">
        <f t="shared" si="32"/>
        <v>0</v>
      </c>
      <c r="AZ124" s="1">
        <f t="shared" si="33"/>
        <v>0</v>
      </c>
      <c r="BA124" s="1">
        <f t="shared" si="54"/>
        <v>0</v>
      </c>
      <c r="BB124" s="5" t="e">
        <f t="shared" si="55"/>
        <v>#DIV/0!</v>
      </c>
      <c r="BC124" s="1">
        <f t="shared" si="44"/>
        <v>0</v>
      </c>
      <c r="BD124" s="1">
        <f t="shared" si="45"/>
        <v>0</v>
      </c>
      <c r="BE124" s="1">
        <f t="shared" si="46"/>
        <v>0</v>
      </c>
      <c r="BF124" s="5">
        <f t="shared" si="47"/>
        <v>0</v>
      </c>
      <c r="BG124" s="5">
        <f t="shared" si="48"/>
        <v>0</v>
      </c>
      <c r="BH124" s="5">
        <f t="shared" si="49"/>
        <v>0</v>
      </c>
      <c r="BI124" s="5">
        <f t="shared" si="56"/>
        <v>0</v>
      </c>
      <c r="BJ124" s="11">
        <f t="shared" si="57"/>
        <v>0</v>
      </c>
      <c r="BK124" s="11" t="e">
        <f t="shared" si="57"/>
        <v>#DIV/0!</v>
      </c>
      <c r="BM124" s="1">
        <f t="shared" si="50"/>
        <v>0</v>
      </c>
      <c r="BN124" s="1">
        <f t="shared" si="51"/>
        <v>0</v>
      </c>
    </row>
    <row r="125" spans="1:66" x14ac:dyDescent="0.2">
      <c r="A125" s="4">
        <f t="shared" si="58"/>
        <v>45777</v>
      </c>
      <c r="B125" s="1">
        <v>120</v>
      </c>
      <c r="C125" s="1">
        <v>5</v>
      </c>
      <c r="AL125" s="7" t="e">
        <f t="shared" si="52"/>
        <v>#DIV/0!</v>
      </c>
      <c r="AN125" s="1">
        <f t="shared" si="35"/>
        <v>0</v>
      </c>
      <c r="AO125" s="1">
        <f t="shared" si="36"/>
        <v>0</v>
      </c>
      <c r="AP125" s="1">
        <f t="shared" si="37"/>
        <v>0</v>
      </c>
      <c r="AQ125" s="18">
        <f t="shared" si="38"/>
        <v>0</v>
      </c>
      <c r="AR125" s="24" t="e">
        <f t="shared" si="53"/>
        <v>#DIV/0!</v>
      </c>
      <c r="AT125" s="20">
        <f t="shared" si="39"/>
        <v>45777</v>
      </c>
      <c r="AU125" s="21">
        <f t="shared" si="40"/>
        <v>120</v>
      </c>
      <c r="AV125" s="1">
        <f t="shared" si="41"/>
        <v>0</v>
      </c>
      <c r="AW125" s="1">
        <f t="shared" si="42"/>
        <v>0</v>
      </c>
      <c r="AX125" s="1">
        <f t="shared" si="43"/>
        <v>0</v>
      </c>
      <c r="AY125" s="1">
        <f t="shared" si="32"/>
        <v>0</v>
      </c>
      <c r="AZ125" s="1">
        <f t="shared" si="33"/>
        <v>0</v>
      </c>
      <c r="BA125" s="1">
        <f t="shared" si="54"/>
        <v>0</v>
      </c>
      <c r="BB125" s="5" t="e">
        <f t="shared" si="55"/>
        <v>#DIV/0!</v>
      </c>
      <c r="BC125" s="1">
        <f t="shared" si="44"/>
        <v>0</v>
      </c>
      <c r="BD125" s="1">
        <f t="shared" si="45"/>
        <v>0</v>
      </c>
      <c r="BE125" s="1">
        <f t="shared" si="46"/>
        <v>0</v>
      </c>
      <c r="BF125" s="5">
        <f t="shared" si="47"/>
        <v>0</v>
      </c>
      <c r="BG125" s="5">
        <f t="shared" si="48"/>
        <v>0</v>
      </c>
      <c r="BH125" s="5">
        <f t="shared" si="49"/>
        <v>0</v>
      </c>
      <c r="BI125" s="5">
        <f t="shared" si="56"/>
        <v>0</v>
      </c>
      <c r="BJ125" s="11">
        <f t="shared" si="57"/>
        <v>0</v>
      </c>
      <c r="BK125" s="11" t="e">
        <f t="shared" si="57"/>
        <v>#DIV/0!</v>
      </c>
      <c r="BM125" s="1">
        <f t="shared" si="50"/>
        <v>0</v>
      </c>
      <c r="BN125" s="1">
        <f t="shared" si="51"/>
        <v>0</v>
      </c>
    </row>
    <row r="126" spans="1:66" x14ac:dyDescent="0.2">
      <c r="A126" s="4">
        <f t="shared" si="58"/>
        <v>45778</v>
      </c>
      <c r="B126" s="1">
        <v>121</v>
      </c>
      <c r="C126" s="1">
        <v>5</v>
      </c>
      <c r="AL126" s="7" t="e">
        <f t="shared" si="52"/>
        <v>#DIV/0!</v>
      </c>
      <c r="AN126" s="1">
        <f t="shared" si="35"/>
        <v>0</v>
      </c>
      <c r="AO126" s="1">
        <f t="shared" si="36"/>
        <v>0</v>
      </c>
      <c r="AP126" s="1">
        <f t="shared" si="37"/>
        <v>0</v>
      </c>
      <c r="AQ126" s="18">
        <f t="shared" si="38"/>
        <v>0</v>
      </c>
      <c r="AR126" s="24" t="e">
        <f t="shared" si="53"/>
        <v>#DIV/0!</v>
      </c>
      <c r="AT126" s="20">
        <f t="shared" si="39"/>
        <v>45778</v>
      </c>
      <c r="AU126" s="21">
        <f t="shared" si="40"/>
        <v>121</v>
      </c>
      <c r="AV126" s="1">
        <f t="shared" si="41"/>
        <v>0</v>
      </c>
      <c r="AW126" s="1">
        <f t="shared" si="42"/>
        <v>0</v>
      </c>
      <c r="AX126" s="1">
        <f t="shared" si="43"/>
        <v>0</v>
      </c>
      <c r="AY126" s="1">
        <f t="shared" si="32"/>
        <v>0</v>
      </c>
      <c r="AZ126" s="1">
        <f t="shared" si="33"/>
        <v>0</v>
      </c>
      <c r="BA126" s="1">
        <f t="shared" si="54"/>
        <v>0</v>
      </c>
      <c r="BB126" s="5" t="e">
        <f t="shared" si="55"/>
        <v>#DIV/0!</v>
      </c>
      <c r="BC126" s="1">
        <f t="shared" si="44"/>
        <v>0</v>
      </c>
      <c r="BD126" s="1">
        <f t="shared" si="45"/>
        <v>0</v>
      </c>
      <c r="BE126" s="1">
        <f t="shared" si="46"/>
        <v>0</v>
      </c>
      <c r="BF126" s="5">
        <f t="shared" si="47"/>
        <v>0</v>
      </c>
      <c r="BG126" s="5">
        <f t="shared" si="48"/>
        <v>0</v>
      </c>
      <c r="BH126" s="5">
        <f t="shared" si="49"/>
        <v>0</v>
      </c>
      <c r="BI126" s="5">
        <f t="shared" si="56"/>
        <v>0</v>
      </c>
      <c r="BJ126" s="11">
        <f t="shared" si="57"/>
        <v>0</v>
      </c>
      <c r="BK126" s="11" t="e">
        <f t="shared" si="57"/>
        <v>#DIV/0!</v>
      </c>
      <c r="BM126" s="1">
        <f t="shared" si="50"/>
        <v>0</v>
      </c>
      <c r="BN126" s="1">
        <f t="shared" si="51"/>
        <v>0</v>
      </c>
    </row>
    <row r="127" spans="1:66" x14ac:dyDescent="0.2">
      <c r="A127" s="4">
        <f t="shared" si="58"/>
        <v>45779</v>
      </c>
      <c r="B127" s="1">
        <v>122</v>
      </c>
      <c r="C127" s="1">
        <v>5</v>
      </c>
      <c r="AL127" s="7" t="e">
        <f t="shared" si="52"/>
        <v>#DIV/0!</v>
      </c>
      <c r="AN127" s="1">
        <f t="shared" si="35"/>
        <v>0</v>
      </c>
      <c r="AO127" s="1">
        <f t="shared" si="36"/>
        <v>0</v>
      </c>
      <c r="AP127" s="1">
        <f t="shared" si="37"/>
        <v>0</v>
      </c>
      <c r="AQ127" s="18">
        <f t="shared" si="38"/>
        <v>0</v>
      </c>
      <c r="AR127" s="24" t="e">
        <f t="shared" si="53"/>
        <v>#DIV/0!</v>
      </c>
      <c r="AT127" s="20">
        <f t="shared" si="39"/>
        <v>45779</v>
      </c>
      <c r="AU127" s="21">
        <f t="shared" si="40"/>
        <v>122</v>
      </c>
      <c r="AV127" s="1">
        <f t="shared" si="41"/>
        <v>0</v>
      </c>
      <c r="AW127" s="1">
        <f t="shared" si="42"/>
        <v>0</v>
      </c>
      <c r="AX127" s="1">
        <f t="shared" si="43"/>
        <v>0</v>
      </c>
      <c r="AY127" s="1">
        <f t="shared" si="32"/>
        <v>0</v>
      </c>
      <c r="AZ127" s="1">
        <f t="shared" si="33"/>
        <v>0</v>
      </c>
      <c r="BA127" s="1">
        <f t="shared" si="54"/>
        <v>0</v>
      </c>
      <c r="BB127" s="5" t="e">
        <f t="shared" si="55"/>
        <v>#DIV/0!</v>
      </c>
      <c r="BC127" s="1">
        <f t="shared" si="44"/>
        <v>0</v>
      </c>
      <c r="BD127" s="1">
        <f t="shared" si="45"/>
        <v>0</v>
      </c>
      <c r="BE127" s="1">
        <f t="shared" si="46"/>
        <v>0</v>
      </c>
      <c r="BF127" s="5">
        <f t="shared" si="47"/>
        <v>0</v>
      </c>
      <c r="BG127" s="5">
        <f t="shared" si="48"/>
        <v>0</v>
      </c>
      <c r="BH127" s="5">
        <f t="shared" si="49"/>
        <v>0</v>
      </c>
      <c r="BI127" s="5">
        <f t="shared" si="56"/>
        <v>0</v>
      </c>
      <c r="BJ127" s="11">
        <f t="shared" si="57"/>
        <v>0</v>
      </c>
      <c r="BK127" s="11" t="e">
        <f t="shared" si="57"/>
        <v>#DIV/0!</v>
      </c>
      <c r="BM127" s="1">
        <f t="shared" si="50"/>
        <v>0</v>
      </c>
      <c r="BN127" s="1">
        <f t="shared" si="51"/>
        <v>0</v>
      </c>
    </row>
    <row r="128" spans="1:66" x14ac:dyDescent="0.2">
      <c r="A128" s="4">
        <f t="shared" si="58"/>
        <v>45780</v>
      </c>
      <c r="B128" s="1">
        <v>123</v>
      </c>
      <c r="C128" s="1">
        <v>5</v>
      </c>
      <c r="AL128" s="7" t="e">
        <f t="shared" si="52"/>
        <v>#DIV/0!</v>
      </c>
      <c r="AN128" s="1">
        <f t="shared" si="35"/>
        <v>0</v>
      </c>
      <c r="AO128" s="1">
        <f t="shared" si="36"/>
        <v>0</v>
      </c>
      <c r="AP128" s="1">
        <f t="shared" si="37"/>
        <v>0</v>
      </c>
      <c r="AQ128" s="18">
        <f t="shared" si="38"/>
        <v>0</v>
      </c>
      <c r="AR128" s="24" t="e">
        <f t="shared" si="53"/>
        <v>#DIV/0!</v>
      </c>
      <c r="AT128" s="20">
        <f t="shared" si="39"/>
        <v>45780</v>
      </c>
      <c r="AU128" s="21">
        <f t="shared" si="40"/>
        <v>123</v>
      </c>
      <c r="AV128" s="1">
        <f t="shared" si="41"/>
        <v>0</v>
      </c>
      <c r="AW128" s="1">
        <f t="shared" si="42"/>
        <v>0</v>
      </c>
      <c r="AX128" s="1">
        <f t="shared" si="43"/>
        <v>0</v>
      </c>
      <c r="AY128" s="1">
        <f t="shared" si="32"/>
        <v>0</v>
      </c>
      <c r="AZ128" s="1">
        <f t="shared" si="33"/>
        <v>0</v>
      </c>
      <c r="BA128" s="1">
        <f t="shared" si="54"/>
        <v>0</v>
      </c>
      <c r="BB128" s="5" t="e">
        <f t="shared" si="55"/>
        <v>#DIV/0!</v>
      </c>
      <c r="BC128" s="1">
        <f t="shared" si="44"/>
        <v>0</v>
      </c>
      <c r="BD128" s="1">
        <f t="shared" si="45"/>
        <v>0</v>
      </c>
      <c r="BE128" s="1">
        <f t="shared" si="46"/>
        <v>0</v>
      </c>
      <c r="BF128" s="5">
        <f t="shared" si="47"/>
        <v>0</v>
      </c>
      <c r="BG128" s="5">
        <f t="shared" si="48"/>
        <v>0</v>
      </c>
      <c r="BH128" s="5">
        <f t="shared" si="49"/>
        <v>0</v>
      </c>
      <c r="BI128" s="5">
        <f t="shared" si="56"/>
        <v>0</v>
      </c>
      <c r="BJ128" s="11">
        <f t="shared" si="57"/>
        <v>0</v>
      </c>
      <c r="BK128" s="11" t="e">
        <f t="shared" si="57"/>
        <v>#DIV/0!</v>
      </c>
      <c r="BM128" s="1">
        <f t="shared" si="50"/>
        <v>0</v>
      </c>
      <c r="BN128" s="1">
        <f t="shared" si="51"/>
        <v>0</v>
      </c>
    </row>
    <row r="129" spans="1:66" x14ac:dyDescent="0.2">
      <c r="A129" s="4">
        <f t="shared" si="58"/>
        <v>45781</v>
      </c>
      <c r="B129" s="1">
        <v>124</v>
      </c>
      <c r="C129" s="1">
        <v>5</v>
      </c>
      <c r="AL129" s="7" t="e">
        <f t="shared" si="52"/>
        <v>#DIV/0!</v>
      </c>
      <c r="AN129" s="1">
        <f t="shared" si="35"/>
        <v>0</v>
      </c>
      <c r="AO129" s="1">
        <f t="shared" si="36"/>
        <v>0</v>
      </c>
      <c r="AP129" s="1">
        <f t="shared" si="37"/>
        <v>0</v>
      </c>
      <c r="AQ129" s="18">
        <f t="shared" si="38"/>
        <v>0</v>
      </c>
      <c r="AR129" s="24" t="e">
        <f t="shared" si="53"/>
        <v>#DIV/0!</v>
      </c>
      <c r="AT129" s="20">
        <f t="shared" si="39"/>
        <v>45781</v>
      </c>
      <c r="AU129" s="21">
        <f t="shared" si="40"/>
        <v>124</v>
      </c>
      <c r="AV129" s="1">
        <f t="shared" si="41"/>
        <v>0</v>
      </c>
      <c r="AW129" s="1">
        <f t="shared" si="42"/>
        <v>0</v>
      </c>
      <c r="AX129" s="1">
        <f t="shared" si="43"/>
        <v>0</v>
      </c>
      <c r="AY129" s="1">
        <f t="shared" si="32"/>
        <v>0</v>
      </c>
      <c r="AZ129" s="1">
        <f t="shared" si="33"/>
        <v>0</v>
      </c>
      <c r="BA129" s="1">
        <f t="shared" si="54"/>
        <v>0</v>
      </c>
      <c r="BB129" s="5" t="e">
        <f t="shared" si="55"/>
        <v>#DIV/0!</v>
      </c>
      <c r="BC129" s="1">
        <f t="shared" si="44"/>
        <v>0</v>
      </c>
      <c r="BD129" s="1">
        <f t="shared" si="45"/>
        <v>0</v>
      </c>
      <c r="BE129" s="1">
        <f t="shared" si="46"/>
        <v>0</v>
      </c>
      <c r="BF129" s="5">
        <f t="shared" si="47"/>
        <v>0</v>
      </c>
      <c r="BG129" s="5">
        <f t="shared" si="48"/>
        <v>0</v>
      </c>
      <c r="BH129" s="5">
        <f t="shared" si="49"/>
        <v>0</v>
      </c>
      <c r="BI129" s="5">
        <f t="shared" si="56"/>
        <v>0</v>
      </c>
      <c r="BJ129" s="11">
        <f t="shared" si="57"/>
        <v>0</v>
      </c>
      <c r="BK129" s="11" t="e">
        <f t="shared" si="57"/>
        <v>#DIV/0!</v>
      </c>
      <c r="BM129" s="1">
        <f t="shared" si="50"/>
        <v>0</v>
      </c>
      <c r="BN129" s="1">
        <f t="shared" si="51"/>
        <v>0</v>
      </c>
    </row>
    <row r="130" spans="1:66" x14ac:dyDescent="0.2">
      <c r="A130" s="4">
        <f t="shared" si="58"/>
        <v>45782</v>
      </c>
      <c r="B130" s="1">
        <v>125</v>
      </c>
      <c r="C130" s="1">
        <v>5</v>
      </c>
      <c r="AL130" s="7" t="e">
        <f t="shared" si="52"/>
        <v>#DIV/0!</v>
      </c>
      <c r="AN130" s="1">
        <f t="shared" si="35"/>
        <v>0</v>
      </c>
      <c r="AO130" s="1">
        <f t="shared" si="36"/>
        <v>0</v>
      </c>
      <c r="AP130" s="1">
        <f t="shared" si="37"/>
        <v>0</v>
      </c>
      <c r="AQ130" s="18">
        <f t="shared" si="38"/>
        <v>0</v>
      </c>
      <c r="AR130" s="24" t="e">
        <f t="shared" si="53"/>
        <v>#DIV/0!</v>
      </c>
      <c r="AT130" s="20">
        <f t="shared" si="39"/>
        <v>45782</v>
      </c>
      <c r="AU130" s="21">
        <f t="shared" si="40"/>
        <v>125</v>
      </c>
      <c r="AV130" s="1">
        <f t="shared" si="41"/>
        <v>0</v>
      </c>
      <c r="AW130" s="1">
        <f t="shared" si="42"/>
        <v>0</v>
      </c>
      <c r="AX130" s="1">
        <f t="shared" si="43"/>
        <v>0</v>
      </c>
      <c r="AY130" s="1">
        <f t="shared" si="32"/>
        <v>0</v>
      </c>
      <c r="AZ130" s="1">
        <f t="shared" si="33"/>
        <v>0</v>
      </c>
      <c r="BA130" s="1">
        <f t="shared" si="54"/>
        <v>0</v>
      </c>
      <c r="BB130" s="5" t="e">
        <f t="shared" si="55"/>
        <v>#DIV/0!</v>
      </c>
      <c r="BC130" s="1">
        <f t="shared" si="44"/>
        <v>0</v>
      </c>
      <c r="BD130" s="1">
        <f t="shared" si="45"/>
        <v>0</v>
      </c>
      <c r="BE130" s="1">
        <f t="shared" si="46"/>
        <v>0</v>
      </c>
      <c r="BF130" s="5">
        <f t="shared" si="47"/>
        <v>0</v>
      </c>
      <c r="BG130" s="5">
        <f t="shared" si="48"/>
        <v>0</v>
      </c>
      <c r="BH130" s="5">
        <f t="shared" si="49"/>
        <v>0</v>
      </c>
      <c r="BI130" s="5">
        <f t="shared" si="56"/>
        <v>0</v>
      </c>
      <c r="BJ130" s="11">
        <f t="shared" si="57"/>
        <v>0</v>
      </c>
      <c r="BK130" s="11" t="e">
        <f t="shared" si="57"/>
        <v>#DIV/0!</v>
      </c>
      <c r="BM130" s="1">
        <f t="shared" si="50"/>
        <v>0</v>
      </c>
      <c r="BN130" s="1">
        <f t="shared" si="51"/>
        <v>0</v>
      </c>
    </row>
    <row r="131" spans="1:66" x14ac:dyDescent="0.2">
      <c r="A131" s="4">
        <f t="shared" si="58"/>
        <v>45783</v>
      </c>
      <c r="B131" s="1">
        <v>126</v>
      </c>
      <c r="C131" s="1">
        <v>5</v>
      </c>
      <c r="AL131" s="7" t="e">
        <f t="shared" si="52"/>
        <v>#DIV/0!</v>
      </c>
      <c r="AN131" s="1">
        <f t="shared" si="35"/>
        <v>0</v>
      </c>
      <c r="AO131" s="1">
        <f t="shared" si="36"/>
        <v>0</v>
      </c>
      <c r="AP131" s="1">
        <f t="shared" si="37"/>
        <v>0</v>
      </c>
      <c r="AQ131" s="18">
        <f t="shared" si="38"/>
        <v>0</v>
      </c>
      <c r="AR131" s="24" t="e">
        <f t="shared" si="53"/>
        <v>#DIV/0!</v>
      </c>
      <c r="AT131" s="20">
        <f t="shared" si="39"/>
        <v>45783</v>
      </c>
      <c r="AU131" s="21">
        <f t="shared" si="40"/>
        <v>126</v>
      </c>
      <c r="AV131" s="1">
        <f t="shared" si="41"/>
        <v>0</v>
      </c>
      <c r="AW131" s="1">
        <f t="shared" si="42"/>
        <v>0</v>
      </c>
      <c r="AX131" s="1">
        <f t="shared" si="43"/>
        <v>0</v>
      </c>
      <c r="AY131" s="1">
        <f t="shared" si="32"/>
        <v>0</v>
      </c>
      <c r="AZ131" s="1">
        <f t="shared" si="33"/>
        <v>0</v>
      </c>
      <c r="BA131" s="1">
        <f t="shared" si="54"/>
        <v>0</v>
      </c>
      <c r="BB131" s="5" t="e">
        <f t="shared" si="55"/>
        <v>#DIV/0!</v>
      </c>
      <c r="BC131" s="1">
        <f t="shared" si="44"/>
        <v>0</v>
      </c>
      <c r="BD131" s="1">
        <f t="shared" si="45"/>
        <v>0</v>
      </c>
      <c r="BE131" s="1">
        <f t="shared" si="46"/>
        <v>0</v>
      </c>
      <c r="BF131" s="5">
        <f t="shared" si="47"/>
        <v>0</v>
      </c>
      <c r="BG131" s="5">
        <f t="shared" si="48"/>
        <v>0</v>
      </c>
      <c r="BH131" s="5">
        <f t="shared" si="49"/>
        <v>0</v>
      </c>
      <c r="BI131" s="5">
        <f t="shared" si="56"/>
        <v>0</v>
      </c>
      <c r="BJ131" s="11">
        <f t="shared" si="57"/>
        <v>0</v>
      </c>
      <c r="BK131" s="11" t="e">
        <f t="shared" si="57"/>
        <v>#DIV/0!</v>
      </c>
      <c r="BM131" s="1">
        <f t="shared" si="50"/>
        <v>0</v>
      </c>
      <c r="BN131" s="1">
        <f t="shared" si="51"/>
        <v>0</v>
      </c>
    </row>
    <row r="132" spans="1:66" x14ac:dyDescent="0.2">
      <c r="A132" s="4">
        <f t="shared" si="58"/>
        <v>45784</v>
      </c>
      <c r="B132" s="1">
        <v>127</v>
      </c>
      <c r="C132" s="1">
        <v>5</v>
      </c>
      <c r="AL132" s="7" t="e">
        <f t="shared" si="52"/>
        <v>#DIV/0!</v>
      </c>
      <c r="AN132" s="1">
        <f t="shared" si="35"/>
        <v>0</v>
      </c>
      <c r="AO132" s="1">
        <f t="shared" si="36"/>
        <v>0</v>
      </c>
      <c r="AP132" s="1">
        <f t="shared" si="37"/>
        <v>0</v>
      </c>
      <c r="AQ132" s="18">
        <f t="shared" si="38"/>
        <v>0</v>
      </c>
      <c r="AR132" s="24" t="e">
        <f t="shared" si="53"/>
        <v>#DIV/0!</v>
      </c>
      <c r="AT132" s="20">
        <f t="shared" si="39"/>
        <v>45784</v>
      </c>
      <c r="AU132" s="21">
        <f t="shared" si="40"/>
        <v>127</v>
      </c>
      <c r="AV132" s="1">
        <f t="shared" si="41"/>
        <v>0</v>
      </c>
      <c r="AW132" s="1">
        <f t="shared" si="42"/>
        <v>0</v>
      </c>
      <c r="AX132" s="1">
        <f t="shared" si="43"/>
        <v>0</v>
      </c>
      <c r="AY132" s="1">
        <f t="shared" si="32"/>
        <v>0</v>
      </c>
      <c r="AZ132" s="1">
        <f t="shared" si="33"/>
        <v>0</v>
      </c>
      <c r="BA132" s="1">
        <f t="shared" si="54"/>
        <v>0</v>
      </c>
      <c r="BB132" s="5" t="e">
        <f t="shared" si="55"/>
        <v>#DIV/0!</v>
      </c>
      <c r="BC132" s="1">
        <f t="shared" si="44"/>
        <v>0</v>
      </c>
      <c r="BD132" s="1">
        <f t="shared" si="45"/>
        <v>0</v>
      </c>
      <c r="BE132" s="1">
        <f t="shared" si="46"/>
        <v>0</v>
      </c>
      <c r="BF132" s="5">
        <f t="shared" si="47"/>
        <v>0</v>
      </c>
      <c r="BG132" s="5">
        <f t="shared" si="48"/>
        <v>0</v>
      </c>
      <c r="BH132" s="5">
        <f t="shared" si="49"/>
        <v>0</v>
      </c>
      <c r="BI132" s="5">
        <f t="shared" si="56"/>
        <v>0</v>
      </c>
      <c r="BJ132" s="11">
        <f t="shared" si="57"/>
        <v>0</v>
      </c>
      <c r="BK132" s="11" t="e">
        <f t="shared" si="57"/>
        <v>#DIV/0!</v>
      </c>
      <c r="BM132" s="1">
        <f t="shared" si="50"/>
        <v>0</v>
      </c>
      <c r="BN132" s="1">
        <f t="shared" si="51"/>
        <v>0</v>
      </c>
    </row>
    <row r="133" spans="1:66" x14ac:dyDescent="0.2">
      <c r="A133" s="4">
        <f t="shared" si="58"/>
        <v>45785</v>
      </c>
      <c r="B133" s="1">
        <v>128</v>
      </c>
      <c r="C133" s="1">
        <v>5</v>
      </c>
      <c r="AL133" s="7" t="e">
        <f t="shared" si="52"/>
        <v>#DIV/0!</v>
      </c>
      <c r="AN133" s="1">
        <f t="shared" si="35"/>
        <v>0</v>
      </c>
      <c r="AO133" s="1">
        <f t="shared" si="36"/>
        <v>0</v>
      </c>
      <c r="AP133" s="1">
        <f t="shared" si="37"/>
        <v>0</v>
      </c>
      <c r="AQ133" s="18">
        <f t="shared" si="38"/>
        <v>0</v>
      </c>
      <c r="AR133" s="24" t="e">
        <f t="shared" si="53"/>
        <v>#DIV/0!</v>
      </c>
      <c r="AT133" s="20">
        <f t="shared" si="39"/>
        <v>45785</v>
      </c>
      <c r="AU133" s="21">
        <f t="shared" si="40"/>
        <v>128</v>
      </c>
      <c r="AV133" s="1">
        <f t="shared" si="41"/>
        <v>0</v>
      </c>
      <c r="AW133" s="1">
        <f t="shared" si="42"/>
        <v>0</v>
      </c>
      <c r="AX133" s="1">
        <f t="shared" si="43"/>
        <v>0</v>
      </c>
      <c r="AY133" s="1">
        <f t="shared" ref="AY133:AY196" si="59">AO133</f>
        <v>0</v>
      </c>
      <c r="AZ133" s="1">
        <f t="shared" ref="AZ133:AZ196" si="60">AP133</f>
        <v>0</v>
      </c>
      <c r="BA133" s="1">
        <f t="shared" si="54"/>
        <v>0</v>
      </c>
      <c r="BB133" s="5" t="e">
        <f t="shared" si="55"/>
        <v>#DIV/0!</v>
      </c>
      <c r="BC133" s="1">
        <f t="shared" si="44"/>
        <v>0</v>
      </c>
      <c r="BD133" s="1">
        <f t="shared" si="45"/>
        <v>0</v>
      </c>
      <c r="BE133" s="1">
        <f t="shared" si="46"/>
        <v>0</v>
      </c>
      <c r="BF133" s="5">
        <f t="shared" si="47"/>
        <v>0</v>
      </c>
      <c r="BG133" s="5">
        <f t="shared" si="48"/>
        <v>0</v>
      </c>
      <c r="BH133" s="5">
        <f t="shared" si="49"/>
        <v>0</v>
      </c>
      <c r="BI133" s="5">
        <f t="shared" si="56"/>
        <v>0</v>
      </c>
      <c r="BJ133" s="11">
        <f t="shared" si="57"/>
        <v>0</v>
      </c>
      <c r="BK133" s="11" t="e">
        <f t="shared" si="57"/>
        <v>#DIV/0!</v>
      </c>
      <c r="BM133" s="1">
        <f t="shared" si="50"/>
        <v>0</v>
      </c>
      <c r="BN133" s="1">
        <f t="shared" si="51"/>
        <v>0</v>
      </c>
    </row>
    <row r="134" spans="1:66" x14ac:dyDescent="0.2">
      <c r="A134" s="4">
        <f t="shared" si="58"/>
        <v>45786</v>
      </c>
      <c r="B134" s="1">
        <v>129</v>
      </c>
      <c r="C134" s="1">
        <v>5</v>
      </c>
      <c r="AL134" s="7" t="e">
        <f t="shared" si="52"/>
        <v>#DIV/0!</v>
      </c>
      <c r="AN134" s="1">
        <f t="shared" ref="AN134:AN197" si="61">ROUND(O134*AN$3+AO$3,1)</f>
        <v>0</v>
      </c>
      <c r="AO134" s="1">
        <f t="shared" ref="AO134:AO197" si="62">ROUND(H134*AN$3+AO$3,1)</f>
        <v>0</v>
      </c>
      <c r="AP134" s="1">
        <f t="shared" ref="AP134:AP197" si="63">ROUND(V134*AN$3+AO$3,1)</f>
        <v>0</v>
      </c>
      <c r="AQ134" s="18">
        <f t="shared" ref="AQ134:AQ197" si="64">ROUND((0.6105*(EXP((17.273*N134)/(N134+237.3))))*AP134/100,3)</f>
        <v>0</v>
      </c>
      <c r="AR134" s="24" t="e">
        <f t="shared" si="53"/>
        <v>#DIV/0!</v>
      </c>
      <c r="AT134" s="20">
        <f t="shared" ref="AT134:AT197" si="65">A134</f>
        <v>45786</v>
      </c>
      <c r="AU134" s="21">
        <f t="shared" ref="AU134:AU197" si="66">B134</f>
        <v>129</v>
      </c>
      <c r="AV134" s="1">
        <f t="shared" ref="AV134:AV197" si="67">ROUND(G134,1)</f>
        <v>0</v>
      </c>
      <c r="AW134" s="1">
        <f t="shared" ref="AW134:AW197" si="68">ROUND(N134,1)</f>
        <v>0</v>
      </c>
      <c r="AX134" s="1">
        <f t="shared" ref="AX134:AX197" si="69">ROUND(U134,1)</f>
        <v>0</v>
      </c>
      <c r="AY134" s="1">
        <f t="shared" si="59"/>
        <v>0</v>
      </c>
      <c r="AZ134" s="1">
        <f t="shared" si="60"/>
        <v>0</v>
      </c>
      <c r="BA134" s="1">
        <f t="shared" si="54"/>
        <v>0</v>
      </c>
      <c r="BB134" s="5" t="e">
        <f t="shared" si="55"/>
        <v>#DIV/0!</v>
      </c>
      <c r="BC134" s="1">
        <f t="shared" ref="BC134:BC197" si="70">ROUND(AC134,1)</f>
        <v>0</v>
      </c>
      <c r="BD134" s="1">
        <f t="shared" ref="BD134:BD197" si="71">ROUND(AD134,1)</f>
        <v>0</v>
      </c>
      <c r="BE134" s="1">
        <f t="shared" ref="BE134:BE197" si="72">ROUND(AE134,1)</f>
        <v>0</v>
      </c>
      <c r="BF134" s="5">
        <f t="shared" ref="BF134:BF197" si="73">ROUND(K134,1)</f>
        <v>0</v>
      </c>
      <c r="BG134" s="5">
        <f t="shared" ref="BG134:BG197" si="74">ROUND(L134,1)</f>
        <v>0</v>
      </c>
      <c r="BH134" s="5">
        <f t="shared" ref="BH134:BH197" si="75">ROUND(M134,1)</f>
        <v>0</v>
      </c>
      <c r="BI134" s="5">
        <f t="shared" si="56"/>
        <v>0</v>
      </c>
      <c r="BJ134" s="11">
        <f t="shared" si="57"/>
        <v>0</v>
      </c>
      <c r="BK134" s="11" t="e">
        <f t="shared" si="57"/>
        <v>#DIV/0!</v>
      </c>
      <c r="BM134" s="1">
        <f t="shared" ref="BM134:BM197" si="76">AD134-N134</f>
        <v>0</v>
      </c>
      <c r="BN134" s="1">
        <f t="shared" ref="BN134:BN197" si="77">AE134-U134</f>
        <v>0</v>
      </c>
    </row>
    <row r="135" spans="1:66" x14ac:dyDescent="0.2">
      <c r="A135" s="4">
        <f t="shared" si="58"/>
        <v>45787</v>
      </c>
      <c r="B135" s="1">
        <v>130</v>
      </c>
      <c r="C135" s="1">
        <v>5</v>
      </c>
      <c r="AL135" s="7" t="e">
        <f t="shared" ref="AL135" si="78">ROUND(AVERAGE(I135:K135),1)</f>
        <v>#DIV/0!</v>
      </c>
      <c r="AN135" s="1">
        <f t="shared" si="61"/>
        <v>0</v>
      </c>
      <c r="AO135" s="1">
        <f t="shared" si="62"/>
        <v>0</v>
      </c>
      <c r="AP135" s="1">
        <f t="shared" si="63"/>
        <v>0</v>
      </c>
      <c r="AQ135" s="18">
        <f t="shared" si="64"/>
        <v>0</v>
      </c>
      <c r="AR135" s="24" t="e">
        <f t="shared" ref="AR135:AR198" si="79">ROUND(AQ135/AP135*(100-AP135),3)</f>
        <v>#DIV/0!</v>
      </c>
      <c r="AT135" s="20">
        <f t="shared" si="65"/>
        <v>45787</v>
      </c>
      <c r="AU135" s="21">
        <f t="shared" si="66"/>
        <v>130</v>
      </c>
      <c r="AV135" s="1">
        <f t="shared" si="67"/>
        <v>0</v>
      </c>
      <c r="AW135" s="1">
        <f t="shared" si="68"/>
        <v>0</v>
      </c>
      <c r="AX135" s="1">
        <f t="shared" si="69"/>
        <v>0</v>
      </c>
      <c r="AY135" s="1">
        <f t="shared" si="59"/>
        <v>0</v>
      </c>
      <c r="AZ135" s="1">
        <f t="shared" si="60"/>
        <v>0</v>
      </c>
      <c r="BA135" s="1">
        <f t="shared" ref="BA135:BA198" si="80">AK135</f>
        <v>0</v>
      </c>
      <c r="BB135" s="5" t="e">
        <f t="shared" ref="BB135:BB142" si="81">AL135</f>
        <v>#DIV/0!</v>
      </c>
      <c r="BC135" s="1">
        <f t="shared" si="70"/>
        <v>0</v>
      </c>
      <c r="BD135" s="1">
        <f t="shared" si="71"/>
        <v>0</v>
      </c>
      <c r="BE135" s="1">
        <f t="shared" si="72"/>
        <v>0</v>
      </c>
      <c r="BF135" s="5">
        <f t="shared" si="73"/>
        <v>0</v>
      </c>
      <c r="BG135" s="5">
        <f t="shared" si="74"/>
        <v>0</v>
      </c>
      <c r="BH135" s="5">
        <f t="shared" si="75"/>
        <v>0</v>
      </c>
      <c r="BI135" s="5">
        <f t="shared" ref="BI135:BI198" si="82">IF(AH135="NAN","NAN",ROUND(AH135,3))</f>
        <v>0</v>
      </c>
      <c r="BJ135" s="11">
        <f t="shared" ref="BJ135:BK198" si="83">AQ135</f>
        <v>0</v>
      </c>
      <c r="BK135" s="11" t="e">
        <f t="shared" si="83"/>
        <v>#DIV/0!</v>
      </c>
      <c r="BM135" s="1">
        <f t="shared" si="76"/>
        <v>0</v>
      </c>
      <c r="BN135" s="1">
        <f t="shared" si="77"/>
        <v>0</v>
      </c>
    </row>
    <row r="136" spans="1:66" x14ac:dyDescent="0.2">
      <c r="A136" s="4">
        <f t="shared" ref="A136:A199" si="84">A135+1</f>
        <v>45788</v>
      </c>
      <c r="B136" s="1">
        <v>131</v>
      </c>
      <c r="C136" s="1">
        <v>5</v>
      </c>
      <c r="AL136" s="9" t="e">
        <f t="shared" ref="AL136:AL149" si="85">ROUND(AVERAGE(J136:K136),1)</f>
        <v>#DIV/0!</v>
      </c>
      <c r="AN136" s="1">
        <f t="shared" si="61"/>
        <v>0</v>
      </c>
      <c r="AO136" s="1">
        <f t="shared" si="62"/>
        <v>0</v>
      </c>
      <c r="AP136" s="1">
        <f t="shared" si="63"/>
        <v>0</v>
      </c>
      <c r="AQ136" s="18">
        <f t="shared" si="64"/>
        <v>0</v>
      </c>
      <c r="AR136" s="24" t="e">
        <f t="shared" si="79"/>
        <v>#DIV/0!</v>
      </c>
      <c r="AT136" s="20">
        <f t="shared" si="65"/>
        <v>45788</v>
      </c>
      <c r="AU136" s="21">
        <f t="shared" si="66"/>
        <v>131</v>
      </c>
      <c r="AV136" s="1">
        <f t="shared" si="67"/>
        <v>0</v>
      </c>
      <c r="AW136" s="1">
        <f t="shared" si="68"/>
        <v>0</v>
      </c>
      <c r="AX136" s="1">
        <f t="shared" si="69"/>
        <v>0</v>
      </c>
      <c r="AY136" s="1">
        <f t="shared" si="59"/>
        <v>0</v>
      </c>
      <c r="AZ136" s="1">
        <f t="shared" si="60"/>
        <v>0</v>
      </c>
      <c r="BA136" s="1">
        <f t="shared" si="80"/>
        <v>0</v>
      </c>
      <c r="BB136" s="5" t="e">
        <f t="shared" si="81"/>
        <v>#DIV/0!</v>
      </c>
      <c r="BC136" s="1">
        <f t="shared" si="70"/>
        <v>0</v>
      </c>
      <c r="BD136" s="1">
        <f t="shared" si="71"/>
        <v>0</v>
      </c>
      <c r="BE136" s="1">
        <f t="shared" si="72"/>
        <v>0</v>
      </c>
      <c r="BF136" s="5">
        <f t="shared" si="73"/>
        <v>0</v>
      </c>
      <c r="BG136" s="5">
        <f t="shared" si="74"/>
        <v>0</v>
      </c>
      <c r="BH136" s="5">
        <f t="shared" si="75"/>
        <v>0</v>
      </c>
      <c r="BI136" s="5">
        <f t="shared" si="82"/>
        <v>0</v>
      </c>
      <c r="BJ136" s="11">
        <f t="shared" si="83"/>
        <v>0</v>
      </c>
      <c r="BK136" s="11" t="e">
        <f t="shared" si="83"/>
        <v>#DIV/0!</v>
      </c>
      <c r="BM136" s="1">
        <f t="shared" si="76"/>
        <v>0</v>
      </c>
      <c r="BN136" s="1">
        <f t="shared" si="77"/>
        <v>0</v>
      </c>
    </row>
    <row r="137" spans="1:66" x14ac:dyDescent="0.2">
      <c r="A137" s="4">
        <f t="shared" si="84"/>
        <v>45789</v>
      </c>
      <c r="B137" s="1">
        <v>132</v>
      </c>
      <c r="C137" s="1">
        <v>5</v>
      </c>
      <c r="AL137" s="9" t="e">
        <f t="shared" si="85"/>
        <v>#DIV/0!</v>
      </c>
      <c r="AN137" s="1">
        <f t="shared" si="61"/>
        <v>0</v>
      </c>
      <c r="AO137" s="1">
        <f t="shared" si="62"/>
        <v>0</v>
      </c>
      <c r="AP137" s="1">
        <f t="shared" si="63"/>
        <v>0</v>
      </c>
      <c r="AQ137" s="18">
        <f t="shared" si="64"/>
        <v>0</v>
      </c>
      <c r="AR137" s="24" t="e">
        <f t="shared" si="79"/>
        <v>#DIV/0!</v>
      </c>
      <c r="AT137" s="20">
        <f t="shared" si="65"/>
        <v>45789</v>
      </c>
      <c r="AU137" s="21">
        <f t="shared" si="66"/>
        <v>132</v>
      </c>
      <c r="AV137" s="1">
        <f t="shared" si="67"/>
        <v>0</v>
      </c>
      <c r="AW137" s="1">
        <f t="shared" si="68"/>
        <v>0</v>
      </c>
      <c r="AX137" s="1">
        <f t="shared" si="69"/>
        <v>0</v>
      </c>
      <c r="AY137" s="1">
        <f t="shared" si="59"/>
        <v>0</v>
      </c>
      <c r="AZ137" s="1">
        <f t="shared" si="60"/>
        <v>0</v>
      </c>
      <c r="BA137" s="1">
        <f t="shared" si="80"/>
        <v>0</v>
      </c>
      <c r="BB137" s="5" t="e">
        <f t="shared" si="81"/>
        <v>#DIV/0!</v>
      </c>
      <c r="BC137" s="1">
        <f t="shared" si="70"/>
        <v>0</v>
      </c>
      <c r="BD137" s="1">
        <f t="shared" si="71"/>
        <v>0</v>
      </c>
      <c r="BE137" s="1">
        <f t="shared" si="72"/>
        <v>0</v>
      </c>
      <c r="BF137" s="5">
        <f t="shared" si="73"/>
        <v>0</v>
      </c>
      <c r="BG137" s="5">
        <f t="shared" si="74"/>
        <v>0</v>
      </c>
      <c r="BH137" s="5">
        <f t="shared" si="75"/>
        <v>0</v>
      </c>
      <c r="BI137" s="5">
        <f t="shared" si="82"/>
        <v>0</v>
      </c>
      <c r="BJ137" s="11">
        <f t="shared" si="83"/>
        <v>0</v>
      </c>
      <c r="BK137" s="11" t="e">
        <f t="shared" si="83"/>
        <v>#DIV/0!</v>
      </c>
      <c r="BM137" s="1">
        <f t="shared" si="76"/>
        <v>0</v>
      </c>
      <c r="BN137" s="1">
        <f t="shared" si="77"/>
        <v>0</v>
      </c>
    </row>
    <row r="138" spans="1:66" x14ac:dyDescent="0.2">
      <c r="A138" s="4">
        <f t="shared" si="84"/>
        <v>45790</v>
      </c>
      <c r="B138" s="1">
        <v>133</v>
      </c>
      <c r="C138" s="1">
        <v>5</v>
      </c>
      <c r="AL138" s="9" t="e">
        <f t="shared" si="85"/>
        <v>#DIV/0!</v>
      </c>
      <c r="AN138" s="1">
        <f t="shared" si="61"/>
        <v>0</v>
      </c>
      <c r="AO138" s="1">
        <f t="shared" si="62"/>
        <v>0</v>
      </c>
      <c r="AP138" s="1">
        <f t="shared" si="63"/>
        <v>0</v>
      </c>
      <c r="AQ138" s="18">
        <f t="shared" si="64"/>
        <v>0</v>
      </c>
      <c r="AR138" s="24" t="e">
        <f t="shared" si="79"/>
        <v>#DIV/0!</v>
      </c>
      <c r="AT138" s="20">
        <f t="shared" si="65"/>
        <v>45790</v>
      </c>
      <c r="AU138" s="21">
        <f t="shared" si="66"/>
        <v>133</v>
      </c>
      <c r="AV138" s="1">
        <f t="shared" si="67"/>
        <v>0</v>
      </c>
      <c r="AW138" s="1">
        <f t="shared" si="68"/>
        <v>0</v>
      </c>
      <c r="AX138" s="1">
        <f t="shared" si="69"/>
        <v>0</v>
      </c>
      <c r="AY138" s="1">
        <f t="shared" si="59"/>
        <v>0</v>
      </c>
      <c r="AZ138" s="1">
        <f t="shared" si="60"/>
        <v>0</v>
      </c>
      <c r="BA138" s="1">
        <f t="shared" si="80"/>
        <v>0</v>
      </c>
      <c r="BB138" s="5" t="e">
        <f t="shared" si="81"/>
        <v>#DIV/0!</v>
      </c>
      <c r="BC138" s="1">
        <f t="shared" si="70"/>
        <v>0</v>
      </c>
      <c r="BD138" s="1">
        <f t="shared" si="71"/>
        <v>0</v>
      </c>
      <c r="BE138" s="1">
        <f t="shared" si="72"/>
        <v>0</v>
      </c>
      <c r="BF138" s="5">
        <f t="shared" si="73"/>
        <v>0</v>
      </c>
      <c r="BG138" s="5">
        <f t="shared" si="74"/>
        <v>0</v>
      </c>
      <c r="BH138" s="5">
        <f t="shared" si="75"/>
        <v>0</v>
      </c>
      <c r="BI138" s="5">
        <f t="shared" si="82"/>
        <v>0</v>
      </c>
      <c r="BJ138" s="11">
        <f t="shared" si="83"/>
        <v>0</v>
      </c>
      <c r="BK138" s="11" t="e">
        <f t="shared" si="83"/>
        <v>#DIV/0!</v>
      </c>
      <c r="BM138" s="1">
        <f t="shared" si="76"/>
        <v>0</v>
      </c>
      <c r="BN138" s="1">
        <f t="shared" si="77"/>
        <v>0</v>
      </c>
    </row>
    <row r="139" spans="1:66" x14ac:dyDescent="0.2">
      <c r="A139" s="4">
        <f t="shared" si="84"/>
        <v>45791</v>
      </c>
      <c r="B139" s="1">
        <v>134</v>
      </c>
      <c r="C139" s="1">
        <v>5</v>
      </c>
      <c r="AL139" s="9" t="e">
        <f t="shared" si="85"/>
        <v>#DIV/0!</v>
      </c>
      <c r="AN139" s="1">
        <f t="shared" si="61"/>
        <v>0</v>
      </c>
      <c r="AO139" s="1">
        <f t="shared" si="62"/>
        <v>0</v>
      </c>
      <c r="AP139" s="1">
        <f t="shared" si="63"/>
        <v>0</v>
      </c>
      <c r="AQ139" s="18">
        <f t="shared" si="64"/>
        <v>0</v>
      </c>
      <c r="AR139" s="24" t="e">
        <f t="shared" si="79"/>
        <v>#DIV/0!</v>
      </c>
      <c r="AT139" s="20">
        <f t="shared" si="65"/>
        <v>45791</v>
      </c>
      <c r="AU139" s="21">
        <f t="shared" si="66"/>
        <v>134</v>
      </c>
      <c r="AV139" s="1">
        <f t="shared" si="67"/>
        <v>0</v>
      </c>
      <c r="AW139" s="1">
        <f t="shared" si="68"/>
        <v>0</v>
      </c>
      <c r="AX139" s="1">
        <f t="shared" si="69"/>
        <v>0</v>
      </c>
      <c r="AY139" s="1">
        <f t="shared" si="59"/>
        <v>0</v>
      </c>
      <c r="AZ139" s="1">
        <f t="shared" si="60"/>
        <v>0</v>
      </c>
      <c r="BA139" s="1">
        <f t="shared" si="80"/>
        <v>0</v>
      </c>
      <c r="BB139" s="5" t="e">
        <f t="shared" si="81"/>
        <v>#DIV/0!</v>
      </c>
      <c r="BC139" s="1">
        <f t="shared" si="70"/>
        <v>0</v>
      </c>
      <c r="BD139" s="1">
        <f t="shared" si="71"/>
        <v>0</v>
      </c>
      <c r="BE139" s="1">
        <f t="shared" si="72"/>
        <v>0</v>
      </c>
      <c r="BF139" s="5">
        <f t="shared" si="73"/>
        <v>0</v>
      </c>
      <c r="BG139" s="5">
        <f t="shared" si="74"/>
        <v>0</v>
      </c>
      <c r="BH139" s="5">
        <f t="shared" si="75"/>
        <v>0</v>
      </c>
      <c r="BI139" s="5">
        <f t="shared" si="82"/>
        <v>0</v>
      </c>
      <c r="BJ139" s="11">
        <f t="shared" si="83"/>
        <v>0</v>
      </c>
      <c r="BK139" s="11" t="e">
        <f t="shared" si="83"/>
        <v>#DIV/0!</v>
      </c>
      <c r="BM139" s="1">
        <f t="shared" si="76"/>
        <v>0</v>
      </c>
      <c r="BN139" s="1">
        <f t="shared" si="77"/>
        <v>0</v>
      </c>
    </row>
    <row r="140" spans="1:66" x14ac:dyDescent="0.2">
      <c r="A140" s="4">
        <f t="shared" si="84"/>
        <v>45792</v>
      </c>
      <c r="B140" s="1">
        <v>135</v>
      </c>
      <c r="C140" s="1">
        <v>5</v>
      </c>
      <c r="AL140" s="9" t="e">
        <f t="shared" si="85"/>
        <v>#DIV/0!</v>
      </c>
      <c r="AN140" s="1">
        <f t="shared" si="61"/>
        <v>0</v>
      </c>
      <c r="AO140" s="1">
        <f t="shared" si="62"/>
        <v>0</v>
      </c>
      <c r="AP140" s="1">
        <f t="shared" si="63"/>
        <v>0</v>
      </c>
      <c r="AQ140" s="18">
        <f t="shared" si="64"/>
        <v>0</v>
      </c>
      <c r="AR140" s="24" t="e">
        <f t="shared" si="79"/>
        <v>#DIV/0!</v>
      </c>
      <c r="AT140" s="20">
        <f t="shared" si="65"/>
        <v>45792</v>
      </c>
      <c r="AU140" s="21">
        <f t="shared" si="66"/>
        <v>135</v>
      </c>
      <c r="AV140" s="1">
        <f t="shared" si="67"/>
        <v>0</v>
      </c>
      <c r="AW140" s="1">
        <f t="shared" si="68"/>
        <v>0</v>
      </c>
      <c r="AX140" s="1">
        <f t="shared" si="69"/>
        <v>0</v>
      </c>
      <c r="AY140" s="1">
        <f t="shared" si="59"/>
        <v>0</v>
      </c>
      <c r="AZ140" s="1">
        <f t="shared" si="60"/>
        <v>0</v>
      </c>
      <c r="BA140" s="1">
        <f t="shared" si="80"/>
        <v>0</v>
      </c>
      <c r="BB140" s="5" t="e">
        <f t="shared" si="81"/>
        <v>#DIV/0!</v>
      </c>
      <c r="BC140" s="1">
        <f t="shared" si="70"/>
        <v>0</v>
      </c>
      <c r="BD140" s="1">
        <f t="shared" si="71"/>
        <v>0</v>
      </c>
      <c r="BE140" s="1">
        <f t="shared" si="72"/>
        <v>0</v>
      </c>
      <c r="BF140" s="5">
        <f t="shared" si="73"/>
        <v>0</v>
      </c>
      <c r="BG140" s="5">
        <f t="shared" si="74"/>
        <v>0</v>
      </c>
      <c r="BH140" s="5">
        <f t="shared" si="75"/>
        <v>0</v>
      </c>
      <c r="BI140" s="5">
        <f t="shared" si="82"/>
        <v>0</v>
      </c>
      <c r="BJ140" s="11">
        <f t="shared" si="83"/>
        <v>0</v>
      </c>
      <c r="BK140" s="11" t="e">
        <f t="shared" si="83"/>
        <v>#DIV/0!</v>
      </c>
      <c r="BM140" s="1">
        <f t="shared" si="76"/>
        <v>0</v>
      </c>
      <c r="BN140" s="1">
        <f t="shared" si="77"/>
        <v>0</v>
      </c>
    </row>
    <row r="141" spans="1:66" x14ac:dyDescent="0.2">
      <c r="A141" s="4">
        <f t="shared" si="84"/>
        <v>45793</v>
      </c>
      <c r="B141" s="1">
        <v>136</v>
      </c>
      <c r="C141" s="1">
        <v>5</v>
      </c>
      <c r="AL141" s="9" t="e">
        <f t="shared" si="85"/>
        <v>#DIV/0!</v>
      </c>
      <c r="AN141" s="1">
        <f t="shared" si="61"/>
        <v>0</v>
      </c>
      <c r="AO141" s="1">
        <f t="shared" si="62"/>
        <v>0</v>
      </c>
      <c r="AP141" s="1">
        <f t="shared" si="63"/>
        <v>0</v>
      </c>
      <c r="AQ141" s="18">
        <f t="shared" si="64"/>
        <v>0</v>
      </c>
      <c r="AR141" s="24" t="e">
        <f t="shared" si="79"/>
        <v>#DIV/0!</v>
      </c>
      <c r="AT141" s="20">
        <f t="shared" si="65"/>
        <v>45793</v>
      </c>
      <c r="AU141" s="21">
        <f t="shared" si="66"/>
        <v>136</v>
      </c>
      <c r="AV141" s="1">
        <f t="shared" si="67"/>
        <v>0</v>
      </c>
      <c r="AW141" s="1">
        <f t="shared" si="68"/>
        <v>0</v>
      </c>
      <c r="AX141" s="1">
        <f t="shared" si="69"/>
        <v>0</v>
      </c>
      <c r="AY141" s="1">
        <f t="shared" si="59"/>
        <v>0</v>
      </c>
      <c r="AZ141" s="1">
        <f t="shared" si="60"/>
        <v>0</v>
      </c>
      <c r="BA141" s="1">
        <f t="shared" si="80"/>
        <v>0</v>
      </c>
      <c r="BB141" s="5" t="e">
        <f t="shared" si="81"/>
        <v>#DIV/0!</v>
      </c>
      <c r="BC141" s="1">
        <f t="shared" si="70"/>
        <v>0</v>
      </c>
      <c r="BD141" s="1">
        <f t="shared" si="71"/>
        <v>0</v>
      </c>
      <c r="BE141" s="1">
        <f t="shared" si="72"/>
        <v>0</v>
      </c>
      <c r="BF141" s="5">
        <f t="shared" si="73"/>
        <v>0</v>
      </c>
      <c r="BG141" s="5">
        <f t="shared" si="74"/>
        <v>0</v>
      </c>
      <c r="BH141" s="5">
        <f t="shared" si="75"/>
        <v>0</v>
      </c>
      <c r="BI141" s="5">
        <f t="shared" si="82"/>
        <v>0</v>
      </c>
      <c r="BJ141" s="11">
        <f t="shared" si="83"/>
        <v>0</v>
      </c>
      <c r="BK141" s="11" t="e">
        <f t="shared" si="83"/>
        <v>#DIV/0!</v>
      </c>
      <c r="BM141" s="1">
        <f t="shared" si="76"/>
        <v>0</v>
      </c>
      <c r="BN141" s="1">
        <f t="shared" si="77"/>
        <v>0</v>
      </c>
    </row>
    <row r="142" spans="1:66" x14ac:dyDescent="0.2">
      <c r="A142" s="4">
        <f t="shared" si="84"/>
        <v>45794</v>
      </c>
      <c r="B142" s="1">
        <v>137</v>
      </c>
      <c r="C142" s="1">
        <v>5</v>
      </c>
      <c r="AL142" s="9" t="e">
        <f t="shared" si="85"/>
        <v>#DIV/0!</v>
      </c>
      <c r="AN142" s="1">
        <f t="shared" si="61"/>
        <v>0</v>
      </c>
      <c r="AO142" s="1">
        <f t="shared" si="62"/>
        <v>0</v>
      </c>
      <c r="AP142" s="1">
        <f t="shared" si="63"/>
        <v>0</v>
      </c>
      <c r="AQ142" s="18">
        <f t="shared" si="64"/>
        <v>0</v>
      </c>
      <c r="AR142" s="24" t="e">
        <f t="shared" si="79"/>
        <v>#DIV/0!</v>
      </c>
      <c r="AT142" s="20">
        <f t="shared" si="65"/>
        <v>45794</v>
      </c>
      <c r="AU142" s="21">
        <f t="shared" si="66"/>
        <v>137</v>
      </c>
      <c r="AV142" s="1">
        <f t="shared" si="67"/>
        <v>0</v>
      </c>
      <c r="AW142" s="1">
        <f t="shared" si="68"/>
        <v>0</v>
      </c>
      <c r="AX142" s="1">
        <f t="shared" si="69"/>
        <v>0</v>
      </c>
      <c r="AY142" s="1">
        <f t="shared" si="59"/>
        <v>0</v>
      </c>
      <c r="AZ142" s="1">
        <f t="shared" si="60"/>
        <v>0</v>
      </c>
      <c r="BA142" s="1">
        <f t="shared" si="80"/>
        <v>0</v>
      </c>
      <c r="BB142" s="5" t="e">
        <f t="shared" si="81"/>
        <v>#DIV/0!</v>
      </c>
      <c r="BC142" s="1">
        <f t="shared" si="70"/>
        <v>0</v>
      </c>
      <c r="BD142" s="1">
        <f t="shared" si="71"/>
        <v>0</v>
      </c>
      <c r="BE142" s="1">
        <f t="shared" si="72"/>
        <v>0</v>
      </c>
      <c r="BF142" s="5">
        <f t="shared" si="73"/>
        <v>0</v>
      </c>
      <c r="BG142" s="5">
        <f t="shared" si="74"/>
        <v>0</v>
      </c>
      <c r="BH142" s="5">
        <f t="shared" si="75"/>
        <v>0</v>
      </c>
      <c r="BI142" s="5">
        <f t="shared" si="82"/>
        <v>0</v>
      </c>
      <c r="BJ142" s="11">
        <f t="shared" si="83"/>
        <v>0</v>
      </c>
      <c r="BK142" s="11" t="e">
        <f t="shared" si="83"/>
        <v>#DIV/0!</v>
      </c>
      <c r="BM142" s="1">
        <f t="shared" si="76"/>
        <v>0</v>
      </c>
      <c r="BN142" s="1">
        <f t="shared" si="77"/>
        <v>0</v>
      </c>
    </row>
    <row r="143" spans="1:66" x14ac:dyDescent="0.2">
      <c r="A143" s="4">
        <f t="shared" si="84"/>
        <v>45795</v>
      </c>
      <c r="B143" s="1">
        <v>138</v>
      </c>
      <c r="C143" s="1">
        <v>5</v>
      </c>
      <c r="AL143" s="9" t="e">
        <f t="shared" si="85"/>
        <v>#DIV/0!</v>
      </c>
      <c r="AN143" s="1">
        <f t="shared" si="61"/>
        <v>0</v>
      </c>
      <c r="AO143" s="1">
        <f t="shared" si="62"/>
        <v>0</v>
      </c>
      <c r="AP143" s="1">
        <f t="shared" si="63"/>
        <v>0</v>
      </c>
      <c r="AQ143" s="18">
        <f t="shared" si="64"/>
        <v>0</v>
      </c>
      <c r="AR143" s="24" t="e">
        <f t="shared" si="79"/>
        <v>#DIV/0!</v>
      </c>
      <c r="AT143" s="20">
        <f t="shared" si="65"/>
        <v>45795</v>
      </c>
      <c r="AU143" s="21">
        <f t="shared" si="66"/>
        <v>138</v>
      </c>
      <c r="AV143" s="1">
        <f t="shared" si="67"/>
        <v>0</v>
      </c>
      <c r="AW143" s="1">
        <f t="shared" si="68"/>
        <v>0</v>
      </c>
      <c r="AX143" s="1">
        <f t="shared" si="69"/>
        <v>0</v>
      </c>
      <c r="AY143" s="1">
        <f t="shared" si="59"/>
        <v>0</v>
      </c>
      <c r="AZ143" s="1">
        <f t="shared" si="60"/>
        <v>0</v>
      </c>
      <c r="BA143" s="1">
        <f t="shared" si="80"/>
        <v>0</v>
      </c>
      <c r="BB143" s="5">
        <v>-999</v>
      </c>
      <c r="BC143" s="1">
        <f t="shared" si="70"/>
        <v>0</v>
      </c>
      <c r="BD143" s="1">
        <f t="shared" si="71"/>
        <v>0</v>
      </c>
      <c r="BE143" s="1">
        <f t="shared" si="72"/>
        <v>0</v>
      </c>
      <c r="BF143" s="5">
        <f t="shared" si="73"/>
        <v>0</v>
      </c>
      <c r="BG143" s="5">
        <f t="shared" si="74"/>
        <v>0</v>
      </c>
      <c r="BH143" s="5">
        <f t="shared" si="75"/>
        <v>0</v>
      </c>
      <c r="BI143" s="5">
        <f t="shared" si="82"/>
        <v>0</v>
      </c>
      <c r="BJ143" s="11">
        <f t="shared" si="83"/>
        <v>0</v>
      </c>
      <c r="BK143" s="11" t="e">
        <f t="shared" si="83"/>
        <v>#DIV/0!</v>
      </c>
      <c r="BM143" s="1">
        <f t="shared" si="76"/>
        <v>0</v>
      </c>
      <c r="BN143" s="1">
        <f t="shared" si="77"/>
        <v>0</v>
      </c>
    </row>
    <row r="144" spans="1:66" x14ac:dyDescent="0.2">
      <c r="A144" s="4">
        <f t="shared" si="84"/>
        <v>45796</v>
      </c>
      <c r="B144" s="1">
        <v>139</v>
      </c>
      <c r="C144" s="1">
        <v>5</v>
      </c>
      <c r="AL144" s="9" t="e">
        <f t="shared" si="85"/>
        <v>#DIV/0!</v>
      </c>
      <c r="AN144" s="1">
        <f t="shared" si="61"/>
        <v>0</v>
      </c>
      <c r="AO144" s="1">
        <f t="shared" si="62"/>
        <v>0</v>
      </c>
      <c r="AP144" s="1">
        <f t="shared" si="63"/>
        <v>0</v>
      </c>
      <c r="AQ144" s="18">
        <f t="shared" si="64"/>
        <v>0</v>
      </c>
      <c r="AR144" s="24" t="e">
        <f t="shared" si="79"/>
        <v>#DIV/0!</v>
      </c>
      <c r="AT144" s="20">
        <f t="shared" si="65"/>
        <v>45796</v>
      </c>
      <c r="AU144" s="21">
        <f t="shared" si="66"/>
        <v>139</v>
      </c>
      <c r="AV144" s="1">
        <f t="shared" si="67"/>
        <v>0</v>
      </c>
      <c r="AW144" s="1">
        <f t="shared" si="68"/>
        <v>0</v>
      </c>
      <c r="AX144" s="1">
        <f t="shared" si="69"/>
        <v>0</v>
      </c>
      <c r="AY144" s="1">
        <f t="shared" si="59"/>
        <v>0</v>
      </c>
      <c r="AZ144" s="1">
        <f t="shared" si="60"/>
        <v>0</v>
      </c>
      <c r="BA144" s="1">
        <f t="shared" si="80"/>
        <v>0</v>
      </c>
      <c r="BB144" s="5">
        <v>-999</v>
      </c>
      <c r="BC144" s="1">
        <f t="shared" si="70"/>
        <v>0</v>
      </c>
      <c r="BD144" s="1">
        <f t="shared" si="71"/>
        <v>0</v>
      </c>
      <c r="BE144" s="1">
        <f t="shared" si="72"/>
        <v>0</v>
      </c>
      <c r="BF144" s="5">
        <f t="shared" si="73"/>
        <v>0</v>
      </c>
      <c r="BG144" s="5">
        <f t="shared" si="74"/>
        <v>0</v>
      </c>
      <c r="BH144" s="5">
        <f t="shared" si="75"/>
        <v>0</v>
      </c>
      <c r="BI144" s="5">
        <f t="shared" si="82"/>
        <v>0</v>
      </c>
      <c r="BJ144" s="11">
        <f t="shared" si="83"/>
        <v>0</v>
      </c>
      <c r="BK144" s="11" t="e">
        <f t="shared" si="83"/>
        <v>#DIV/0!</v>
      </c>
      <c r="BM144" s="1">
        <f t="shared" si="76"/>
        <v>0</v>
      </c>
      <c r="BN144" s="1">
        <f t="shared" si="77"/>
        <v>0</v>
      </c>
    </row>
    <row r="145" spans="1:66" x14ac:dyDescent="0.2">
      <c r="A145" s="4">
        <f t="shared" si="84"/>
        <v>45797</v>
      </c>
      <c r="B145" s="1">
        <v>140</v>
      </c>
      <c r="C145" s="1">
        <v>5</v>
      </c>
      <c r="AL145" s="9" t="e">
        <f t="shared" si="85"/>
        <v>#DIV/0!</v>
      </c>
      <c r="AN145" s="1">
        <f t="shared" si="61"/>
        <v>0</v>
      </c>
      <c r="AO145" s="1">
        <f t="shared" si="62"/>
        <v>0</v>
      </c>
      <c r="AP145" s="1">
        <f t="shared" si="63"/>
        <v>0</v>
      </c>
      <c r="AQ145" s="18">
        <f t="shared" si="64"/>
        <v>0</v>
      </c>
      <c r="AR145" s="24" t="e">
        <f t="shared" si="79"/>
        <v>#DIV/0!</v>
      </c>
      <c r="AT145" s="20">
        <f t="shared" si="65"/>
        <v>45797</v>
      </c>
      <c r="AU145" s="21">
        <f t="shared" si="66"/>
        <v>140</v>
      </c>
      <c r="AV145" s="1">
        <f t="shared" si="67"/>
        <v>0</v>
      </c>
      <c r="AW145" s="1">
        <f t="shared" si="68"/>
        <v>0</v>
      </c>
      <c r="AX145" s="1">
        <f t="shared" si="69"/>
        <v>0</v>
      </c>
      <c r="AY145" s="1">
        <f t="shared" si="59"/>
        <v>0</v>
      </c>
      <c r="AZ145" s="1">
        <f t="shared" si="60"/>
        <v>0</v>
      </c>
      <c r="BA145" s="1">
        <f t="shared" si="80"/>
        <v>0</v>
      </c>
      <c r="BB145" s="5">
        <v>-999</v>
      </c>
      <c r="BC145" s="1">
        <f t="shared" si="70"/>
        <v>0</v>
      </c>
      <c r="BD145" s="1">
        <f t="shared" si="71"/>
        <v>0</v>
      </c>
      <c r="BE145" s="1">
        <f t="shared" si="72"/>
        <v>0</v>
      </c>
      <c r="BF145" s="5">
        <f t="shared" si="73"/>
        <v>0</v>
      </c>
      <c r="BG145" s="5">
        <f t="shared" si="74"/>
        <v>0</v>
      </c>
      <c r="BH145" s="5">
        <f t="shared" si="75"/>
        <v>0</v>
      </c>
      <c r="BI145" s="5">
        <f t="shared" si="82"/>
        <v>0</v>
      </c>
      <c r="BJ145" s="11">
        <f t="shared" si="83"/>
        <v>0</v>
      </c>
      <c r="BK145" s="11" t="e">
        <f t="shared" si="83"/>
        <v>#DIV/0!</v>
      </c>
      <c r="BM145" s="1">
        <f t="shared" si="76"/>
        <v>0</v>
      </c>
      <c r="BN145" s="1">
        <f t="shared" si="77"/>
        <v>0</v>
      </c>
    </row>
    <row r="146" spans="1:66" x14ac:dyDescent="0.2">
      <c r="A146" s="4">
        <f t="shared" si="84"/>
        <v>45798</v>
      </c>
      <c r="B146" s="1">
        <v>141</v>
      </c>
      <c r="C146" s="1">
        <v>5</v>
      </c>
      <c r="AL146" s="9" t="e">
        <f t="shared" si="85"/>
        <v>#DIV/0!</v>
      </c>
      <c r="AN146" s="1">
        <f t="shared" si="61"/>
        <v>0</v>
      </c>
      <c r="AO146" s="1">
        <f t="shared" si="62"/>
        <v>0</v>
      </c>
      <c r="AP146" s="1">
        <f t="shared" si="63"/>
        <v>0</v>
      </c>
      <c r="AQ146" s="18">
        <f t="shared" si="64"/>
        <v>0</v>
      </c>
      <c r="AR146" s="24" t="e">
        <f t="shared" si="79"/>
        <v>#DIV/0!</v>
      </c>
      <c r="AT146" s="20">
        <f t="shared" si="65"/>
        <v>45798</v>
      </c>
      <c r="AU146" s="21">
        <f t="shared" si="66"/>
        <v>141</v>
      </c>
      <c r="AV146" s="1">
        <f t="shared" si="67"/>
        <v>0</v>
      </c>
      <c r="AW146" s="1">
        <f t="shared" si="68"/>
        <v>0</v>
      </c>
      <c r="AX146" s="1">
        <f t="shared" si="69"/>
        <v>0</v>
      </c>
      <c r="AY146" s="1">
        <f t="shared" si="59"/>
        <v>0</v>
      </c>
      <c r="AZ146" s="1">
        <f t="shared" si="60"/>
        <v>0</v>
      </c>
      <c r="BA146" s="1">
        <f t="shared" si="80"/>
        <v>0</v>
      </c>
      <c r="BB146" s="5">
        <v>-999</v>
      </c>
      <c r="BC146" s="1">
        <f t="shared" si="70"/>
        <v>0</v>
      </c>
      <c r="BD146" s="1">
        <f t="shared" si="71"/>
        <v>0</v>
      </c>
      <c r="BE146" s="1">
        <f t="shared" si="72"/>
        <v>0</v>
      </c>
      <c r="BF146" s="5">
        <f t="shared" si="73"/>
        <v>0</v>
      </c>
      <c r="BG146" s="5">
        <f t="shared" si="74"/>
        <v>0</v>
      </c>
      <c r="BH146" s="5">
        <f t="shared" si="75"/>
        <v>0</v>
      </c>
      <c r="BI146" s="5">
        <f t="shared" si="82"/>
        <v>0</v>
      </c>
      <c r="BJ146" s="11">
        <f t="shared" si="83"/>
        <v>0</v>
      </c>
      <c r="BK146" s="11" t="e">
        <f t="shared" si="83"/>
        <v>#DIV/0!</v>
      </c>
      <c r="BM146" s="1">
        <f t="shared" si="76"/>
        <v>0</v>
      </c>
      <c r="BN146" s="1">
        <f t="shared" si="77"/>
        <v>0</v>
      </c>
    </row>
    <row r="147" spans="1:66" x14ac:dyDescent="0.2">
      <c r="A147" s="4">
        <f t="shared" si="84"/>
        <v>45799</v>
      </c>
      <c r="B147" s="1">
        <v>142</v>
      </c>
      <c r="C147" s="1">
        <v>5</v>
      </c>
      <c r="AL147" s="9" t="e">
        <f t="shared" si="85"/>
        <v>#DIV/0!</v>
      </c>
      <c r="AN147" s="1">
        <f t="shared" si="61"/>
        <v>0</v>
      </c>
      <c r="AO147" s="1">
        <f t="shared" si="62"/>
        <v>0</v>
      </c>
      <c r="AP147" s="1">
        <f t="shared" si="63"/>
        <v>0</v>
      </c>
      <c r="AQ147" s="18">
        <f t="shared" si="64"/>
        <v>0</v>
      </c>
      <c r="AR147" s="24" t="e">
        <f t="shared" si="79"/>
        <v>#DIV/0!</v>
      </c>
      <c r="AT147" s="20">
        <f t="shared" si="65"/>
        <v>45799</v>
      </c>
      <c r="AU147" s="21">
        <f t="shared" si="66"/>
        <v>142</v>
      </c>
      <c r="AV147" s="1">
        <f t="shared" si="67"/>
        <v>0</v>
      </c>
      <c r="AW147" s="1">
        <f t="shared" si="68"/>
        <v>0</v>
      </c>
      <c r="AX147" s="1">
        <f t="shared" si="69"/>
        <v>0</v>
      </c>
      <c r="AY147" s="1">
        <f t="shared" si="59"/>
        <v>0</v>
      </c>
      <c r="AZ147" s="1">
        <f t="shared" si="60"/>
        <v>0</v>
      </c>
      <c r="BA147" s="1">
        <f t="shared" si="80"/>
        <v>0</v>
      </c>
      <c r="BB147" s="5">
        <v>-999</v>
      </c>
      <c r="BC147" s="1">
        <f t="shared" si="70"/>
        <v>0</v>
      </c>
      <c r="BD147" s="1">
        <f t="shared" si="71"/>
        <v>0</v>
      </c>
      <c r="BE147" s="1">
        <f t="shared" si="72"/>
        <v>0</v>
      </c>
      <c r="BF147" s="5">
        <f t="shared" si="73"/>
        <v>0</v>
      </c>
      <c r="BG147" s="5">
        <f t="shared" si="74"/>
        <v>0</v>
      </c>
      <c r="BH147" s="5">
        <f t="shared" si="75"/>
        <v>0</v>
      </c>
      <c r="BI147" s="5">
        <f t="shared" si="82"/>
        <v>0</v>
      </c>
      <c r="BJ147" s="11">
        <f t="shared" si="83"/>
        <v>0</v>
      </c>
      <c r="BK147" s="11" t="e">
        <f t="shared" si="83"/>
        <v>#DIV/0!</v>
      </c>
      <c r="BM147" s="1">
        <f t="shared" si="76"/>
        <v>0</v>
      </c>
      <c r="BN147" s="1">
        <f t="shared" si="77"/>
        <v>0</v>
      </c>
    </row>
    <row r="148" spans="1:66" x14ac:dyDescent="0.2">
      <c r="A148" s="4">
        <f t="shared" si="84"/>
        <v>45800</v>
      </c>
      <c r="B148" s="1">
        <v>143</v>
      </c>
      <c r="C148" s="1">
        <v>5</v>
      </c>
      <c r="AL148" s="9" t="e">
        <f t="shared" si="85"/>
        <v>#DIV/0!</v>
      </c>
      <c r="AN148" s="1">
        <f t="shared" si="61"/>
        <v>0</v>
      </c>
      <c r="AO148" s="1">
        <f t="shared" si="62"/>
        <v>0</v>
      </c>
      <c r="AP148" s="1">
        <f t="shared" si="63"/>
        <v>0</v>
      </c>
      <c r="AQ148" s="18">
        <f t="shared" si="64"/>
        <v>0</v>
      </c>
      <c r="AR148" s="24" t="e">
        <f t="shared" si="79"/>
        <v>#DIV/0!</v>
      </c>
      <c r="AT148" s="20">
        <f t="shared" si="65"/>
        <v>45800</v>
      </c>
      <c r="AU148" s="21">
        <f t="shared" si="66"/>
        <v>143</v>
      </c>
      <c r="AV148" s="1">
        <f t="shared" si="67"/>
        <v>0</v>
      </c>
      <c r="AW148" s="1">
        <f t="shared" si="68"/>
        <v>0</v>
      </c>
      <c r="AX148" s="1">
        <f t="shared" si="69"/>
        <v>0</v>
      </c>
      <c r="AY148" s="1">
        <f t="shared" si="59"/>
        <v>0</v>
      </c>
      <c r="AZ148" s="1">
        <f t="shared" si="60"/>
        <v>0</v>
      </c>
      <c r="BA148" s="1">
        <f t="shared" si="80"/>
        <v>0</v>
      </c>
      <c r="BB148" s="5">
        <v>-999</v>
      </c>
      <c r="BC148" s="1">
        <f t="shared" si="70"/>
        <v>0</v>
      </c>
      <c r="BD148" s="1">
        <f t="shared" si="71"/>
        <v>0</v>
      </c>
      <c r="BE148" s="1">
        <f t="shared" si="72"/>
        <v>0</v>
      </c>
      <c r="BF148" s="5">
        <f t="shared" si="73"/>
        <v>0</v>
      </c>
      <c r="BG148" s="5">
        <f t="shared" si="74"/>
        <v>0</v>
      </c>
      <c r="BH148" s="5">
        <f t="shared" si="75"/>
        <v>0</v>
      </c>
      <c r="BI148" s="5">
        <f t="shared" si="82"/>
        <v>0</v>
      </c>
      <c r="BJ148" s="11">
        <f t="shared" si="83"/>
        <v>0</v>
      </c>
      <c r="BK148" s="11" t="e">
        <f t="shared" si="83"/>
        <v>#DIV/0!</v>
      </c>
      <c r="BM148" s="1">
        <f t="shared" si="76"/>
        <v>0</v>
      </c>
      <c r="BN148" s="1">
        <f t="shared" si="77"/>
        <v>0</v>
      </c>
    </row>
    <row r="149" spans="1:66" x14ac:dyDescent="0.2">
      <c r="A149" s="4">
        <f t="shared" si="84"/>
        <v>45801</v>
      </c>
      <c r="B149" s="1">
        <v>144</v>
      </c>
      <c r="C149" s="1">
        <v>5</v>
      </c>
      <c r="AL149" s="9" t="e">
        <f t="shared" si="85"/>
        <v>#DIV/0!</v>
      </c>
      <c r="AN149" s="1">
        <f t="shared" si="61"/>
        <v>0</v>
      </c>
      <c r="AO149" s="1">
        <f t="shared" si="62"/>
        <v>0</v>
      </c>
      <c r="AP149" s="1">
        <f t="shared" si="63"/>
        <v>0</v>
      </c>
      <c r="AQ149" s="18">
        <f t="shared" si="64"/>
        <v>0</v>
      </c>
      <c r="AR149" s="24" t="e">
        <f t="shared" si="79"/>
        <v>#DIV/0!</v>
      </c>
      <c r="AT149" s="20">
        <f t="shared" si="65"/>
        <v>45801</v>
      </c>
      <c r="AU149" s="21">
        <f t="shared" si="66"/>
        <v>144</v>
      </c>
      <c r="AV149" s="1">
        <f t="shared" si="67"/>
        <v>0</v>
      </c>
      <c r="AW149" s="1">
        <f t="shared" si="68"/>
        <v>0</v>
      </c>
      <c r="AX149" s="1">
        <f t="shared" si="69"/>
        <v>0</v>
      </c>
      <c r="AY149" s="1">
        <f t="shared" si="59"/>
        <v>0</v>
      </c>
      <c r="AZ149" s="1">
        <f t="shared" si="60"/>
        <v>0</v>
      </c>
      <c r="BA149" s="1">
        <f t="shared" si="80"/>
        <v>0</v>
      </c>
      <c r="BB149" s="5">
        <v>-999</v>
      </c>
      <c r="BC149" s="1">
        <f t="shared" si="70"/>
        <v>0</v>
      </c>
      <c r="BD149" s="1">
        <f t="shared" si="71"/>
        <v>0</v>
      </c>
      <c r="BE149" s="1">
        <f t="shared" si="72"/>
        <v>0</v>
      </c>
      <c r="BF149" s="5">
        <f t="shared" si="73"/>
        <v>0</v>
      </c>
      <c r="BG149" s="5">
        <f t="shared" si="74"/>
        <v>0</v>
      </c>
      <c r="BH149" s="5">
        <f t="shared" si="75"/>
        <v>0</v>
      </c>
      <c r="BI149" s="5">
        <f t="shared" si="82"/>
        <v>0</v>
      </c>
      <c r="BJ149" s="11">
        <f t="shared" si="83"/>
        <v>0</v>
      </c>
      <c r="BK149" s="11" t="e">
        <f t="shared" si="83"/>
        <v>#DIV/0!</v>
      </c>
      <c r="BM149" s="1">
        <f t="shared" si="76"/>
        <v>0</v>
      </c>
      <c r="BN149" s="1">
        <f t="shared" si="77"/>
        <v>0</v>
      </c>
    </row>
    <row r="150" spans="1:66" x14ac:dyDescent="0.2">
      <c r="A150" s="4">
        <f t="shared" si="84"/>
        <v>45802</v>
      </c>
      <c r="B150" s="1">
        <v>145</v>
      </c>
      <c r="C150" s="1">
        <v>5</v>
      </c>
      <c r="AL150" s="8">
        <f t="shared" ref="AL150:AL153" si="86">ROUND(K150,1)</f>
        <v>0</v>
      </c>
      <c r="AN150" s="1">
        <f t="shared" si="61"/>
        <v>0</v>
      </c>
      <c r="AO150" s="1">
        <f t="shared" si="62"/>
        <v>0</v>
      </c>
      <c r="AP150" s="1">
        <f t="shared" si="63"/>
        <v>0</v>
      </c>
      <c r="AQ150" s="18">
        <f t="shared" si="64"/>
        <v>0</v>
      </c>
      <c r="AR150" s="24" t="e">
        <f t="shared" si="79"/>
        <v>#DIV/0!</v>
      </c>
      <c r="AT150" s="20">
        <f t="shared" si="65"/>
        <v>45802</v>
      </c>
      <c r="AU150" s="21">
        <f t="shared" si="66"/>
        <v>145</v>
      </c>
      <c r="AV150" s="1">
        <f t="shared" si="67"/>
        <v>0</v>
      </c>
      <c r="AW150" s="1">
        <f t="shared" si="68"/>
        <v>0</v>
      </c>
      <c r="AX150" s="1">
        <f t="shared" si="69"/>
        <v>0</v>
      </c>
      <c r="AY150" s="1">
        <f t="shared" si="59"/>
        <v>0</v>
      </c>
      <c r="AZ150" s="1">
        <f t="shared" si="60"/>
        <v>0</v>
      </c>
      <c r="BA150" s="1">
        <f t="shared" si="80"/>
        <v>0</v>
      </c>
      <c r="BB150" s="5">
        <v>-999</v>
      </c>
      <c r="BC150" s="1">
        <f t="shared" si="70"/>
        <v>0</v>
      </c>
      <c r="BD150" s="1">
        <f t="shared" si="71"/>
        <v>0</v>
      </c>
      <c r="BE150" s="1">
        <f t="shared" si="72"/>
        <v>0</v>
      </c>
      <c r="BF150" s="5">
        <f t="shared" si="73"/>
        <v>0</v>
      </c>
      <c r="BG150" s="5">
        <f t="shared" si="74"/>
        <v>0</v>
      </c>
      <c r="BH150" s="5">
        <f t="shared" si="75"/>
        <v>0</v>
      </c>
      <c r="BI150" s="5">
        <f t="shared" si="82"/>
        <v>0</v>
      </c>
      <c r="BJ150" s="11">
        <f t="shared" si="83"/>
        <v>0</v>
      </c>
      <c r="BK150" s="11" t="e">
        <f t="shared" si="83"/>
        <v>#DIV/0!</v>
      </c>
      <c r="BM150" s="1">
        <f t="shared" si="76"/>
        <v>0</v>
      </c>
      <c r="BN150" s="1">
        <f t="shared" si="77"/>
        <v>0</v>
      </c>
    </row>
    <row r="151" spans="1:66" x14ac:dyDescent="0.2">
      <c r="A151" s="4">
        <f t="shared" si="84"/>
        <v>45803</v>
      </c>
      <c r="B151" s="1">
        <v>146</v>
      </c>
      <c r="C151" s="1">
        <v>5</v>
      </c>
      <c r="AL151" s="8">
        <f t="shared" si="86"/>
        <v>0</v>
      </c>
      <c r="AN151" s="1">
        <f t="shared" si="61"/>
        <v>0</v>
      </c>
      <c r="AO151" s="1">
        <f t="shared" si="62"/>
        <v>0</v>
      </c>
      <c r="AP151" s="1">
        <f t="shared" si="63"/>
        <v>0</v>
      </c>
      <c r="AQ151" s="18">
        <f t="shared" si="64"/>
        <v>0</v>
      </c>
      <c r="AR151" s="24" t="e">
        <f t="shared" si="79"/>
        <v>#DIV/0!</v>
      </c>
      <c r="AT151" s="20">
        <f t="shared" si="65"/>
        <v>45803</v>
      </c>
      <c r="AU151" s="21">
        <f t="shared" si="66"/>
        <v>146</v>
      </c>
      <c r="AV151" s="1">
        <f t="shared" si="67"/>
        <v>0</v>
      </c>
      <c r="AW151" s="1">
        <f t="shared" si="68"/>
        <v>0</v>
      </c>
      <c r="AX151" s="1">
        <f t="shared" si="69"/>
        <v>0</v>
      </c>
      <c r="AY151" s="1">
        <f t="shared" si="59"/>
        <v>0</v>
      </c>
      <c r="AZ151" s="1">
        <f t="shared" si="60"/>
        <v>0</v>
      </c>
      <c r="BA151" s="1">
        <f t="shared" si="80"/>
        <v>0</v>
      </c>
      <c r="BB151" s="5">
        <v>-999</v>
      </c>
      <c r="BC151" s="1">
        <f t="shared" si="70"/>
        <v>0</v>
      </c>
      <c r="BD151" s="1">
        <f t="shared" si="71"/>
        <v>0</v>
      </c>
      <c r="BE151" s="1">
        <f t="shared" si="72"/>
        <v>0</v>
      </c>
      <c r="BF151" s="5">
        <f t="shared" si="73"/>
        <v>0</v>
      </c>
      <c r="BG151" s="5">
        <f t="shared" si="74"/>
        <v>0</v>
      </c>
      <c r="BH151" s="5">
        <f t="shared" si="75"/>
        <v>0</v>
      </c>
      <c r="BI151" s="5">
        <f t="shared" si="82"/>
        <v>0</v>
      </c>
      <c r="BJ151" s="11">
        <f t="shared" si="83"/>
        <v>0</v>
      </c>
      <c r="BK151" s="11" t="e">
        <f t="shared" si="83"/>
        <v>#DIV/0!</v>
      </c>
      <c r="BM151" s="1">
        <f t="shared" si="76"/>
        <v>0</v>
      </c>
      <c r="BN151" s="1">
        <f t="shared" si="77"/>
        <v>0</v>
      </c>
    </row>
    <row r="152" spans="1:66" x14ac:dyDescent="0.2">
      <c r="A152" s="4">
        <f t="shared" si="84"/>
        <v>45804</v>
      </c>
      <c r="B152" s="1">
        <v>147</v>
      </c>
      <c r="C152" s="1">
        <v>5</v>
      </c>
      <c r="AL152" s="8">
        <f t="shared" si="86"/>
        <v>0</v>
      </c>
      <c r="AN152" s="1">
        <f t="shared" si="61"/>
        <v>0</v>
      </c>
      <c r="AO152" s="1">
        <f t="shared" si="62"/>
        <v>0</v>
      </c>
      <c r="AP152" s="1">
        <f t="shared" si="63"/>
        <v>0</v>
      </c>
      <c r="AQ152" s="18">
        <f t="shared" si="64"/>
        <v>0</v>
      </c>
      <c r="AR152" s="24" t="e">
        <f t="shared" si="79"/>
        <v>#DIV/0!</v>
      </c>
      <c r="AT152" s="20">
        <f t="shared" si="65"/>
        <v>45804</v>
      </c>
      <c r="AU152" s="21">
        <f t="shared" si="66"/>
        <v>147</v>
      </c>
      <c r="AV152" s="1">
        <f t="shared" si="67"/>
        <v>0</v>
      </c>
      <c r="AW152" s="1">
        <f t="shared" si="68"/>
        <v>0</v>
      </c>
      <c r="AX152" s="1">
        <f t="shared" si="69"/>
        <v>0</v>
      </c>
      <c r="AY152" s="1">
        <f t="shared" si="59"/>
        <v>0</v>
      </c>
      <c r="AZ152" s="1">
        <f t="shared" si="60"/>
        <v>0</v>
      </c>
      <c r="BA152" s="1">
        <f t="shared" si="80"/>
        <v>0</v>
      </c>
      <c r="BB152" s="5">
        <v>-999</v>
      </c>
      <c r="BC152" s="1">
        <f t="shared" si="70"/>
        <v>0</v>
      </c>
      <c r="BD152" s="1">
        <f t="shared" si="71"/>
        <v>0</v>
      </c>
      <c r="BE152" s="1">
        <f t="shared" si="72"/>
        <v>0</v>
      </c>
      <c r="BF152" s="5">
        <f t="shared" si="73"/>
        <v>0</v>
      </c>
      <c r="BG152" s="5">
        <f t="shared" si="74"/>
        <v>0</v>
      </c>
      <c r="BH152" s="5">
        <f t="shared" si="75"/>
        <v>0</v>
      </c>
      <c r="BI152" s="5">
        <f t="shared" si="82"/>
        <v>0</v>
      </c>
      <c r="BJ152" s="11">
        <f t="shared" si="83"/>
        <v>0</v>
      </c>
      <c r="BK152" s="11" t="e">
        <f t="shared" si="83"/>
        <v>#DIV/0!</v>
      </c>
      <c r="BM152" s="1">
        <f t="shared" si="76"/>
        <v>0</v>
      </c>
      <c r="BN152" s="1">
        <f t="shared" si="77"/>
        <v>0</v>
      </c>
    </row>
    <row r="153" spans="1:66" x14ac:dyDescent="0.2">
      <c r="A153" s="4">
        <f t="shared" si="84"/>
        <v>45805</v>
      </c>
      <c r="B153" s="1">
        <v>148</v>
      </c>
      <c r="C153" s="1">
        <v>5</v>
      </c>
      <c r="AL153" s="8">
        <f t="shared" si="86"/>
        <v>0</v>
      </c>
      <c r="AN153" s="1">
        <f t="shared" si="61"/>
        <v>0</v>
      </c>
      <c r="AO153" s="1">
        <f t="shared" si="62"/>
        <v>0</v>
      </c>
      <c r="AP153" s="1">
        <f t="shared" si="63"/>
        <v>0</v>
      </c>
      <c r="AQ153" s="18">
        <f t="shared" si="64"/>
        <v>0</v>
      </c>
      <c r="AR153" s="24" t="e">
        <f t="shared" si="79"/>
        <v>#DIV/0!</v>
      </c>
      <c r="AT153" s="20">
        <f t="shared" si="65"/>
        <v>45805</v>
      </c>
      <c r="AU153" s="21">
        <f t="shared" si="66"/>
        <v>148</v>
      </c>
      <c r="AV153" s="1">
        <f t="shared" si="67"/>
        <v>0</v>
      </c>
      <c r="AW153" s="1">
        <f t="shared" si="68"/>
        <v>0</v>
      </c>
      <c r="AX153" s="1">
        <f t="shared" si="69"/>
        <v>0</v>
      </c>
      <c r="AY153" s="1">
        <f t="shared" si="59"/>
        <v>0</v>
      </c>
      <c r="AZ153" s="1">
        <f t="shared" si="60"/>
        <v>0</v>
      </c>
      <c r="BA153" s="1">
        <f t="shared" si="80"/>
        <v>0</v>
      </c>
      <c r="BB153" s="5">
        <v>-999</v>
      </c>
      <c r="BC153" s="1">
        <f t="shared" si="70"/>
        <v>0</v>
      </c>
      <c r="BD153" s="1">
        <f t="shared" si="71"/>
        <v>0</v>
      </c>
      <c r="BE153" s="1">
        <f t="shared" si="72"/>
        <v>0</v>
      </c>
      <c r="BF153" s="5">
        <f t="shared" si="73"/>
        <v>0</v>
      </c>
      <c r="BG153" s="5">
        <f t="shared" si="74"/>
        <v>0</v>
      </c>
      <c r="BH153" s="5">
        <f t="shared" si="75"/>
        <v>0</v>
      </c>
      <c r="BI153" s="5">
        <f t="shared" si="82"/>
        <v>0</v>
      </c>
      <c r="BJ153" s="11">
        <f t="shared" si="83"/>
        <v>0</v>
      </c>
      <c r="BK153" s="11" t="e">
        <f t="shared" si="83"/>
        <v>#DIV/0!</v>
      </c>
      <c r="BM153" s="1">
        <f t="shared" si="76"/>
        <v>0</v>
      </c>
      <c r="BN153" s="1">
        <f t="shared" si="77"/>
        <v>0</v>
      </c>
    </row>
    <row r="154" spans="1:66" x14ac:dyDescent="0.2">
      <c r="A154" s="4">
        <f t="shared" si="84"/>
        <v>45806</v>
      </c>
      <c r="B154" s="1">
        <v>149</v>
      </c>
      <c r="C154" s="1">
        <v>5</v>
      </c>
      <c r="AL154" s="5"/>
      <c r="AN154" s="1">
        <f t="shared" si="61"/>
        <v>0</v>
      </c>
      <c r="AO154" s="1">
        <f t="shared" si="62"/>
        <v>0</v>
      </c>
      <c r="AP154" s="1">
        <f t="shared" si="63"/>
        <v>0</v>
      </c>
      <c r="AQ154" s="18">
        <f t="shared" si="64"/>
        <v>0</v>
      </c>
      <c r="AR154" s="24" t="e">
        <f t="shared" si="79"/>
        <v>#DIV/0!</v>
      </c>
      <c r="AT154" s="20">
        <f t="shared" si="65"/>
        <v>45806</v>
      </c>
      <c r="AU154" s="21">
        <f t="shared" si="66"/>
        <v>149</v>
      </c>
      <c r="AV154" s="1">
        <f t="shared" si="67"/>
        <v>0</v>
      </c>
      <c r="AW154" s="1">
        <f t="shared" si="68"/>
        <v>0</v>
      </c>
      <c r="AX154" s="1">
        <f t="shared" si="69"/>
        <v>0</v>
      </c>
      <c r="AY154" s="1">
        <f t="shared" si="59"/>
        <v>0</v>
      </c>
      <c r="AZ154" s="1">
        <f t="shared" si="60"/>
        <v>0</v>
      </c>
      <c r="BA154" s="1">
        <f t="shared" si="80"/>
        <v>0</v>
      </c>
      <c r="BB154" s="5">
        <v>-999</v>
      </c>
      <c r="BC154" s="1">
        <f t="shared" si="70"/>
        <v>0</v>
      </c>
      <c r="BD154" s="1">
        <f t="shared" si="71"/>
        <v>0</v>
      </c>
      <c r="BE154" s="1">
        <f t="shared" si="72"/>
        <v>0</v>
      </c>
      <c r="BF154" s="5">
        <f t="shared" si="73"/>
        <v>0</v>
      </c>
      <c r="BG154" s="5">
        <f t="shared" si="74"/>
        <v>0</v>
      </c>
      <c r="BH154" s="5">
        <f t="shared" si="75"/>
        <v>0</v>
      </c>
      <c r="BI154" s="5">
        <f t="shared" si="82"/>
        <v>0</v>
      </c>
      <c r="BJ154" s="11">
        <f t="shared" si="83"/>
        <v>0</v>
      </c>
      <c r="BK154" s="11" t="e">
        <f t="shared" si="83"/>
        <v>#DIV/0!</v>
      </c>
      <c r="BM154" s="1">
        <f t="shared" si="76"/>
        <v>0</v>
      </c>
      <c r="BN154" s="1">
        <f t="shared" si="77"/>
        <v>0</v>
      </c>
    </row>
    <row r="155" spans="1:66" x14ac:dyDescent="0.2">
      <c r="A155" s="4">
        <f t="shared" si="84"/>
        <v>45807</v>
      </c>
      <c r="B155" s="1">
        <v>150</v>
      </c>
      <c r="C155" s="1">
        <v>5</v>
      </c>
      <c r="AL155" s="5"/>
      <c r="AN155" s="1">
        <f t="shared" si="61"/>
        <v>0</v>
      </c>
      <c r="AO155" s="1">
        <f t="shared" si="62"/>
        <v>0</v>
      </c>
      <c r="AP155" s="1">
        <f t="shared" si="63"/>
        <v>0</v>
      </c>
      <c r="AQ155" s="18">
        <f t="shared" si="64"/>
        <v>0</v>
      </c>
      <c r="AR155" s="24" t="e">
        <f t="shared" si="79"/>
        <v>#DIV/0!</v>
      </c>
      <c r="AT155" s="20">
        <f t="shared" si="65"/>
        <v>45807</v>
      </c>
      <c r="AU155" s="21">
        <f t="shared" si="66"/>
        <v>150</v>
      </c>
      <c r="AV155" s="1">
        <f t="shared" si="67"/>
        <v>0</v>
      </c>
      <c r="AW155" s="1">
        <f t="shared" si="68"/>
        <v>0</v>
      </c>
      <c r="AX155" s="1">
        <f t="shared" si="69"/>
        <v>0</v>
      </c>
      <c r="AY155" s="1">
        <f t="shared" si="59"/>
        <v>0</v>
      </c>
      <c r="AZ155" s="1">
        <f t="shared" si="60"/>
        <v>0</v>
      </c>
      <c r="BA155" s="1">
        <f t="shared" si="80"/>
        <v>0</v>
      </c>
      <c r="BB155" s="5">
        <v>-999</v>
      </c>
      <c r="BC155" s="1">
        <f t="shared" si="70"/>
        <v>0</v>
      </c>
      <c r="BD155" s="1">
        <f t="shared" si="71"/>
        <v>0</v>
      </c>
      <c r="BE155" s="1">
        <f t="shared" si="72"/>
        <v>0</v>
      </c>
      <c r="BF155" s="5">
        <f t="shared" si="73"/>
        <v>0</v>
      </c>
      <c r="BG155" s="5">
        <f t="shared" si="74"/>
        <v>0</v>
      </c>
      <c r="BH155" s="5">
        <f t="shared" si="75"/>
        <v>0</v>
      </c>
      <c r="BI155" s="5">
        <f t="shared" si="82"/>
        <v>0</v>
      </c>
      <c r="BJ155" s="11">
        <f t="shared" si="83"/>
        <v>0</v>
      </c>
      <c r="BK155" s="11" t="e">
        <f t="shared" si="83"/>
        <v>#DIV/0!</v>
      </c>
      <c r="BM155" s="1">
        <f t="shared" si="76"/>
        <v>0</v>
      </c>
      <c r="BN155" s="1">
        <f t="shared" si="77"/>
        <v>0</v>
      </c>
    </row>
    <row r="156" spans="1:66" x14ac:dyDescent="0.2">
      <c r="A156" s="4">
        <f t="shared" si="84"/>
        <v>45808</v>
      </c>
      <c r="B156" s="1">
        <v>151</v>
      </c>
      <c r="C156" s="1">
        <v>5</v>
      </c>
      <c r="AL156" s="5"/>
      <c r="AN156" s="1">
        <f t="shared" si="61"/>
        <v>0</v>
      </c>
      <c r="AO156" s="1">
        <f t="shared" si="62"/>
        <v>0</v>
      </c>
      <c r="AP156" s="1">
        <f t="shared" si="63"/>
        <v>0</v>
      </c>
      <c r="AQ156" s="18">
        <f t="shared" si="64"/>
        <v>0</v>
      </c>
      <c r="AR156" s="24" t="e">
        <f t="shared" si="79"/>
        <v>#DIV/0!</v>
      </c>
      <c r="AT156" s="20">
        <f t="shared" si="65"/>
        <v>45808</v>
      </c>
      <c r="AU156" s="21">
        <f t="shared" si="66"/>
        <v>151</v>
      </c>
      <c r="AV156" s="1">
        <f t="shared" si="67"/>
        <v>0</v>
      </c>
      <c r="AW156" s="1">
        <f t="shared" si="68"/>
        <v>0</v>
      </c>
      <c r="AX156" s="1">
        <f t="shared" si="69"/>
        <v>0</v>
      </c>
      <c r="AY156" s="1">
        <f t="shared" si="59"/>
        <v>0</v>
      </c>
      <c r="AZ156" s="1">
        <f t="shared" si="60"/>
        <v>0</v>
      </c>
      <c r="BA156" s="1">
        <f t="shared" si="80"/>
        <v>0</v>
      </c>
      <c r="BB156" s="5">
        <v>-999</v>
      </c>
      <c r="BC156" s="1">
        <f t="shared" si="70"/>
        <v>0</v>
      </c>
      <c r="BD156" s="1">
        <f t="shared" si="71"/>
        <v>0</v>
      </c>
      <c r="BE156" s="1">
        <f t="shared" si="72"/>
        <v>0</v>
      </c>
      <c r="BF156" s="5">
        <f t="shared" si="73"/>
        <v>0</v>
      </c>
      <c r="BG156" s="5">
        <f t="shared" si="74"/>
        <v>0</v>
      </c>
      <c r="BH156" s="5">
        <f t="shared" si="75"/>
        <v>0</v>
      </c>
      <c r="BI156" s="5">
        <f t="shared" si="82"/>
        <v>0</v>
      </c>
      <c r="BJ156" s="11">
        <f t="shared" si="83"/>
        <v>0</v>
      </c>
      <c r="BK156" s="11" t="e">
        <f t="shared" si="83"/>
        <v>#DIV/0!</v>
      </c>
      <c r="BM156" s="1">
        <f t="shared" si="76"/>
        <v>0</v>
      </c>
      <c r="BN156" s="1">
        <f t="shared" si="77"/>
        <v>0</v>
      </c>
    </row>
    <row r="157" spans="1:66" x14ac:dyDescent="0.2">
      <c r="A157" s="4">
        <f t="shared" si="84"/>
        <v>45809</v>
      </c>
      <c r="B157" s="1">
        <v>152</v>
      </c>
      <c r="C157" s="1">
        <v>5</v>
      </c>
      <c r="AL157" s="5"/>
      <c r="AN157" s="1">
        <f t="shared" si="61"/>
        <v>0</v>
      </c>
      <c r="AO157" s="1">
        <f t="shared" si="62"/>
        <v>0</v>
      </c>
      <c r="AP157" s="1">
        <f t="shared" si="63"/>
        <v>0</v>
      </c>
      <c r="AQ157" s="18">
        <f t="shared" si="64"/>
        <v>0</v>
      </c>
      <c r="AR157" s="24" t="e">
        <f t="shared" si="79"/>
        <v>#DIV/0!</v>
      </c>
      <c r="AT157" s="20">
        <f t="shared" si="65"/>
        <v>45809</v>
      </c>
      <c r="AU157" s="21">
        <f t="shared" si="66"/>
        <v>152</v>
      </c>
      <c r="AV157" s="1">
        <f t="shared" si="67"/>
        <v>0</v>
      </c>
      <c r="AW157" s="1">
        <f t="shared" si="68"/>
        <v>0</v>
      </c>
      <c r="AX157" s="1">
        <f t="shared" si="69"/>
        <v>0</v>
      </c>
      <c r="AY157" s="1">
        <f t="shared" si="59"/>
        <v>0</v>
      </c>
      <c r="AZ157" s="1">
        <f t="shared" si="60"/>
        <v>0</v>
      </c>
      <c r="BA157" s="1">
        <f t="shared" si="80"/>
        <v>0</v>
      </c>
      <c r="BB157" s="5">
        <v>-999</v>
      </c>
      <c r="BC157" s="1">
        <f t="shared" si="70"/>
        <v>0</v>
      </c>
      <c r="BD157" s="1">
        <f t="shared" si="71"/>
        <v>0</v>
      </c>
      <c r="BE157" s="1">
        <f t="shared" si="72"/>
        <v>0</v>
      </c>
      <c r="BF157" s="5">
        <f t="shared" si="73"/>
        <v>0</v>
      </c>
      <c r="BG157" s="5">
        <f t="shared" si="74"/>
        <v>0</v>
      </c>
      <c r="BH157" s="5">
        <f t="shared" si="75"/>
        <v>0</v>
      </c>
      <c r="BI157" s="5">
        <f t="shared" si="82"/>
        <v>0</v>
      </c>
      <c r="BJ157" s="11">
        <f t="shared" si="83"/>
        <v>0</v>
      </c>
      <c r="BK157" s="11" t="e">
        <f t="shared" si="83"/>
        <v>#DIV/0!</v>
      </c>
      <c r="BM157" s="1">
        <f t="shared" si="76"/>
        <v>0</v>
      </c>
      <c r="BN157" s="1">
        <f t="shared" si="77"/>
        <v>0</v>
      </c>
    </row>
    <row r="158" spans="1:66" x14ac:dyDescent="0.2">
      <c r="A158" s="4">
        <f t="shared" si="84"/>
        <v>45810</v>
      </c>
      <c r="B158" s="1">
        <v>153</v>
      </c>
      <c r="C158" s="1">
        <v>5</v>
      </c>
      <c r="AL158" s="5"/>
      <c r="AN158" s="1">
        <f t="shared" si="61"/>
        <v>0</v>
      </c>
      <c r="AO158" s="1">
        <f t="shared" si="62"/>
        <v>0</v>
      </c>
      <c r="AP158" s="1">
        <f t="shared" si="63"/>
        <v>0</v>
      </c>
      <c r="AQ158" s="18">
        <f t="shared" si="64"/>
        <v>0</v>
      </c>
      <c r="AR158" s="24" t="e">
        <f t="shared" si="79"/>
        <v>#DIV/0!</v>
      </c>
      <c r="AT158" s="20">
        <f t="shared" si="65"/>
        <v>45810</v>
      </c>
      <c r="AU158" s="21">
        <f t="shared" si="66"/>
        <v>153</v>
      </c>
      <c r="AV158" s="1">
        <f t="shared" si="67"/>
        <v>0</v>
      </c>
      <c r="AW158" s="1">
        <f t="shared" si="68"/>
        <v>0</v>
      </c>
      <c r="AX158" s="1">
        <f t="shared" si="69"/>
        <v>0</v>
      </c>
      <c r="AY158" s="1">
        <f t="shared" si="59"/>
        <v>0</v>
      </c>
      <c r="AZ158" s="1">
        <f t="shared" si="60"/>
        <v>0</v>
      </c>
      <c r="BA158" s="1">
        <f t="shared" si="80"/>
        <v>0</v>
      </c>
      <c r="BB158" s="5">
        <v>-999</v>
      </c>
      <c r="BC158" s="1">
        <f t="shared" si="70"/>
        <v>0</v>
      </c>
      <c r="BD158" s="1">
        <f t="shared" si="71"/>
        <v>0</v>
      </c>
      <c r="BE158" s="1">
        <f t="shared" si="72"/>
        <v>0</v>
      </c>
      <c r="BF158" s="5">
        <f t="shared" si="73"/>
        <v>0</v>
      </c>
      <c r="BG158" s="5">
        <f t="shared" si="74"/>
        <v>0</v>
      </c>
      <c r="BH158" s="5">
        <f t="shared" si="75"/>
        <v>0</v>
      </c>
      <c r="BI158" s="5">
        <f t="shared" si="82"/>
        <v>0</v>
      </c>
      <c r="BJ158" s="11">
        <f t="shared" si="83"/>
        <v>0</v>
      </c>
      <c r="BK158" s="11" t="e">
        <f t="shared" si="83"/>
        <v>#DIV/0!</v>
      </c>
      <c r="BM158" s="1">
        <f t="shared" si="76"/>
        <v>0</v>
      </c>
      <c r="BN158" s="1">
        <f t="shared" si="77"/>
        <v>0</v>
      </c>
    </row>
    <row r="159" spans="1:66" x14ac:dyDescent="0.2">
      <c r="A159" s="4">
        <f t="shared" si="84"/>
        <v>45811</v>
      </c>
      <c r="B159" s="1">
        <v>154</v>
      </c>
      <c r="C159" s="1">
        <v>5</v>
      </c>
      <c r="AL159" s="5"/>
      <c r="AN159" s="1">
        <f t="shared" si="61"/>
        <v>0</v>
      </c>
      <c r="AO159" s="1">
        <f t="shared" si="62"/>
        <v>0</v>
      </c>
      <c r="AP159" s="1">
        <f t="shared" si="63"/>
        <v>0</v>
      </c>
      <c r="AQ159" s="18">
        <f t="shared" si="64"/>
        <v>0</v>
      </c>
      <c r="AR159" s="24" t="e">
        <f t="shared" si="79"/>
        <v>#DIV/0!</v>
      </c>
      <c r="AT159" s="20">
        <f t="shared" si="65"/>
        <v>45811</v>
      </c>
      <c r="AU159" s="21">
        <f t="shared" si="66"/>
        <v>154</v>
      </c>
      <c r="AV159" s="1">
        <f t="shared" si="67"/>
        <v>0</v>
      </c>
      <c r="AW159" s="1">
        <f t="shared" si="68"/>
        <v>0</v>
      </c>
      <c r="AX159" s="1">
        <f t="shared" si="69"/>
        <v>0</v>
      </c>
      <c r="AY159" s="1">
        <f t="shared" si="59"/>
        <v>0</v>
      </c>
      <c r="AZ159" s="1">
        <f t="shared" si="60"/>
        <v>0</v>
      </c>
      <c r="BA159" s="1">
        <f t="shared" si="80"/>
        <v>0</v>
      </c>
      <c r="BB159" s="5">
        <v>-999</v>
      </c>
      <c r="BC159" s="1">
        <f t="shared" si="70"/>
        <v>0</v>
      </c>
      <c r="BD159" s="1">
        <f t="shared" si="71"/>
        <v>0</v>
      </c>
      <c r="BE159" s="1">
        <f t="shared" si="72"/>
        <v>0</v>
      </c>
      <c r="BF159" s="5">
        <f t="shared" si="73"/>
        <v>0</v>
      </c>
      <c r="BG159" s="5">
        <f t="shared" si="74"/>
        <v>0</v>
      </c>
      <c r="BH159" s="5">
        <f t="shared" si="75"/>
        <v>0</v>
      </c>
      <c r="BI159" s="5">
        <f t="shared" si="82"/>
        <v>0</v>
      </c>
      <c r="BJ159" s="11">
        <f t="shared" si="83"/>
        <v>0</v>
      </c>
      <c r="BK159" s="11" t="e">
        <f t="shared" si="83"/>
        <v>#DIV/0!</v>
      </c>
      <c r="BM159" s="1">
        <f t="shared" si="76"/>
        <v>0</v>
      </c>
      <c r="BN159" s="1">
        <f t="shared" si="77"/>
        <v>0</v>
      </c>
    </row>
    <row r="160" spans="1:66" x14ac:dyDescent="0.2">
      <c r="A160" s="4">
        <f t="shared" si="84"/>
        <v>45812</v>
      </c>
      <c r="B160" s="1">
        <v>155</v>
      </c>
      <c r="C160" s="1">
        <v>5</v>
      </c>
      <c r="AL160" s="5"/>
      <c r="AN160" s="1">
        <f t="shared" si="61"/>
        <v>0</v>
      </c>
      <c r="AO160" s="1">
        <f t="shared" si="62"/>
        <v>0</v>
      </c>
      <c r="AP160" s="1">
        <f t="shared" si="63"/>
        <v>0</v>
      </c>
      <c r="AQ160" s="18">
        <f t="shared" si="64"/>
        <v>0</v>
      </c>
      <c r="AR160" s="24" t="e">
        <f t="shared" si="79"/>
        <v>#DIV/0!</v>
      </c>
      <c r="AT160" s="20">
        <f t="shared" si="65"/>
        <v>45812</v>
      </c>
      <c r="AU160" s="21">
        <f t="shared" si="66"/>
        <v>155</v>
      </c>
      <c r="AV160" s="1">
        <f t="shared" si="67"/>
        <v>0</v>
      </c>
      <c r="AW160" s="1">
        <f t="shared" si="68"/>
        <v>0</v>
      </c>
      <c r="AX160" s="1">
        <f t="shared" si="69"/>
        <v>0</v>
      </c>
      <c r="AY160" s="1">
        <f t="shared" si="59"/>
        <v>0</v>
      </c>
      <c r="AZ160" s="1">
        <f t="shared" si="60"/>
        <v>0</v>
      </c>
      <c r="BA160" s="1">
        <f t="shared" si="80"/>
        <v>0</v>
      </c>
      <c r="BB160" s="5">
        <v>-999</v>
      </c>
      <c r="BC160" s="1">
        <f t="shared" si="70"/>
        <v>0</v>
      </c>
      <c r="BD160" s="1">
        <f t="shared" si="71"/>
        <v>0</v>
      </c>
      <c r="BE160" s="1">
        <f t="shared" si="72"/>
        <v>0</v>
      </c>
      <c r="BF160" s="5">
        <f t="shared" si="73"/>
        <v>0</v>
      </c>
      <c r="BG160" s="5">
        <f t="shared" si="74"/>
        <v>0</v>
      </c>
      <c r="BH160" s="5">
        <f t="shared" si="75"/>
        <v>0</v>
      </c>
      <c r="BI160" s="5">
        <f t="shared" si="82"/>
        <v>0</v>
      </c>
      <c r="BJ160" s="11">
        <f t="shared" si="83"/>
        <v>0</v>
      </c>
      <c r="BK160" s="11" t="e">
        <f t="shared" si="83"/>
        <v>#DIV/0!</v>
      </c>
      <c r="BM160" s="1">
        <f t="shared" si="76"/>
        <v>0</v>
      </c>
      <c r="BN160" s="1">
        <f t="shared" si="77"/>
        <v>0</v>
      </c>
    </row>
    <row r="161" spans="1:66" x14ac:dyDescent="0.2">
      <c r="A161" s="4">
        <f t="shared" si="84"/>
        <v>45813</v>
      </c>
      <c r="B161" s="1">
        <v>156</v>
      </c>
      <c r="C161" s="1">
        <v>5</v>
      </c>
      <c r="AL161" s="5"/>
      <c r="AN161" s="1">
        <f t="shared" si="61"/>
        <v>0</v>
      </c>
      <c r="AO161" s="1">
        <f t="shared" si="62"/>
        <v>0</v>
      </c>
      <c r="AP161" s="1">
        <f t="shared" si="63"/>
        <v>0</v>
      </c>
      <c r="AQ161" s="18">
        <f t="shared" si="64"/>
        <v>0</v>
      </c>
      <c r="AR161" s="24" t="e">
        <f t="shared" si="79"/>
        <v>#DIV/0!</v>
      </c>
      <c r="AT161" s="20">
        <f t="shared" si="65"/>
        <v>45813</v>
      </c>
      <c r="AU161" s="21">
        <f t="shared" si="66"/>
        <v>156</v>
      </c>
      <c r="AV161" s="1">
        <f t="shared" si="67"/>
        <v>0</v>
      </c>
      <c r="AW161" s="1">
        <f t="shared" si="68"/>
        <v>0</v>
      </c>
      <c r="AX161" s="1">
        <f t="shared" si="69"/>
        <v>0</v>
      </c>
      <c r="AY161" s="1">
        <f t="shared" si="59"/>
        <v>0</v>
      </c>
      <c r="AZ161" s="1">
        <f t="shared" si="60"/>
        <v>0</v>
      </c>
      <c r="BA161" s="1">
        <f t="shared" si="80"/>
        <v>0</v>
      </c>
      <c r="BB161" s="5">
        <v>-999</v>
      </c>
      <c r="BC161" s="1">
        <f t="shared" si="70"/>
        <v>0</v>
      </c>
      <c r="BD161" s="1">
        <f t="shared" si="71"/>
        <v>0</v>
      </c>
      <c r="BE161" s="1">
        <f t="shared" si="72"/>
        <v>0</v>
      </c>
      <c r="BF161" s="5">
        <f t="shared" si="73"/>
        <v>0</v>
      </c>
      <c r="BG161" s="5">
        <f t="shared" si="74"/>
        <v>0</v>
      </c>
      <c r="BH161" s="5">
        <f t="shared" si="75"/>
        <v>0</v>
      </c>
      <c r="BI161" s="5">
        <f t="shared" si="82"/>
        <v>0</v>
      </c>
      <c r="BJ161" s="11">
        <f t="shared" si="83"/>
        <v>0</v>
      </c>
      <c r="BK161" s="11" t="e">
        <f t="shared" si="83"/>
        <v>#DIV/0!</v>
      </c>
      <c r="BM161" s="1">
        <f t="shared" si="76"/>
        <v>0</v>
      </c>
      <c r="BN161" s="1">
        <f t="shared" si="77"/>
        <v>0</v>
      </c>
    </row>
    <row r="162" spans="1:66" x14ac:dyDescent="0.2">
      <c r="A162" s="4">
        <f t="shared" si="84"/>
        <v>45814</v>
      </c>
      <c r="B162" s="1">
        <v>157</v>
      </c>
      <c r="C162" s="1">
        <v>5</v>
      </c>
      <c r="AL162" s="5"/>
      <c r="AN162" s="1">
        <f t="shared" si="61"/>
        <v>0</v>
      </c>
      <c r="AO162" s="1">
        <f t="shared" si="62"/>
        <v>0</v>
      </c>
      <c r="AP162" s="1">
        <f t="shared" si="63"/>
        <v>0</v>
      </c>
      <c r="AQ162" s="18">
        <f t="shared" si="64"/>
        <v>0</v>
      </c>
      <c r="AR162" s="24" t="e">
        <f t="shared" si="79"/>
        <v>#DIV/0!</v>
      </c>
      <c r="AT162" s="20">
        <f t="shared" si="65"/>
        <v>45814</v>
      </c>
      <c r="AU162" s="21">
        <f t="shared" si="66"/>
        <v>157</v>
      </c>
      <c r="AV162" s="1">
        <f t="shared" si="67"/>
        <v>0</v>
      </c>
      <c r="AW162" s="1">
        <f t="shared" si="68"/>
        <v>0</v>
      </c>
      <c r="AX162" s="1">
        <f t="shared" si="69"/>
        <v>0</v>
      </c>
      <c r="AY162" s="1">
        <f t="shared" si="59"/>
        <v>0</v>
      </c>
      <c r="AZ162" s="1">
        <f t="shared" si="60"/>
        <v>0</v>
      </c>
      <c r="BA162" s="1">
        <f t="shared" si="80"/>
        <v>0</v>
      </c>
      <c r="BB162" s="5">
        <v>-999</v>
      </c>
      <c r="BC162" s="1">
        <f t="shared" si="70"/>
        <v>0</v>
      </c>
      <c r="BD162" s="1">
        <f t="shared" si="71"/>
        <v>0</v>
      </c>
      <c r="BE162" s="1">
        <f t="shared" si="72"/>
        <v>0</v>
      </c>
      <c r="BF162" s="5">
        <f t="shared" si="73"/>
        <v>0</v>
      </c>
      <c r="BG162" s="5">
        <f t="shared" si="74"/>
        <v>0</v>
      </c>
      <c r="BH162" s="5">
        <f t="shared" si="75"/>
        <v>0</v>
      </c>
      <c r="BI162" s="5">
        <f t="shared" si="82"/>
        <v>0</v>
      </c>
      <c r="BJ162" s="11">
        <f t="shared" si="83"/>
        <v>0</v>
      </c>
      <c r="BK162" s="11" t="e">
        <f t="shared" si="83"/>
        <v>#DIV/0!</v>
      </c>
      <c r="BM162" s="1">
        <f t="shared" si="76"/>
        <v>0</v>
      </c>
      <c r="BN162" s="1">
        <f t="shared" si="77"/>
        <v>0</v>
      </c>
    </row>
    <row r="163" spans="1:66" x14ac:dyDescent="0.2">
      <c r="A163" s="4">
        <f t="shared" si="84"/>
        <v>45815</v>
      </c>
      <c r="B163" s="1">
        <v>158</v>
      </c>
      <c r="C163" s="1">
        <v>5</v>
      </c>
      <c r="AL163" s="5"/>
      <c r="AN163" s="1">
        <f t="shared" si="61"/>
        <v>0</v>
      </c>
      <c r="AO163" s="1">
        <f t="shared" si="62"/>
        <v>0</v>
      </c>
      <c r="AP163" s="1">
        <f t="shared" si="63"/>
        <v>0</v>
      </c>
      <c r="AQ163" s="18">
        <f t="shared" si="64"/>
        <v>0</v>
      </c>
      <c r="AR163" s="24" t="e">
        <f t="shared" si="79"/>
        <v>#DIV/0!</v>
      </c>
      <c r="AT163" s="20">
        <f t="shared" si="65"/>
        <v>45815</v>
      </c>
      <c r="AU163" s="21">
        <f t="shared" si="66"/>
        <v>158</v>
      </c>
      <c r="AV163" s="1">
        <f t="shared" si="67"/>
        <v>0</v>
      </c>
      <c r="AW163" s="1">
        <f t="shared" si="68"/>
        <v>0</v>
      </c>
      <c r="AX163" s="1">
        <f t="shared" si="69"/>
        <v>0</v>
      </c>
      <c r="AY163" s="1">
        <f t="shared" si="59"/>
        <v>0</v>
      </c>
      <c r="AZ163" s="1">
        <f t="shared" si="60"/>
        <v>0</v>
      </c>
      <c r="BA163" s="1">
        <f t="shared" si="80"/>
        <v>0</v>
      </c>
      <c r="BB163" s="5">
        <v>-999</v>
      </c>
      <c r="BC163" s="1">
        <f t="shared" si="70"/>
        <v>0</v>
      </c>
      <c r="BD163" s="1">
        <f t="shared" si="71"/>
        <v>0</v>
      </c>
      <c r="BE163" s="1">
        <f t="shared" si="72"/>
        <v>0</v>
      </c>
      <c r="BF163" s="5">
        <f t="shared" si="73"/>
        <v>0</v>
      </c>
      <c r="BG163" s="5">
        <f t="shared" si="74"/>
        <v>0</v>
      </c>
      <c r="BH163" s="5">
        <f t="shared" si="75"/>
        <v>0</v>
      </c>
      <c r="BI163" s="5">
        <f t="shared" si="82"/>
        <v>0</v>
      </c>
      <c r="BJ163" s="11">
        <f t="shared" si="83"/>
        <v>0</v>
      </c>
      <c r="BK163" s="11" t="e">
        <f t="shared" si="83"/>
        <v>#DIV/0!</v>
      </c>
      <c r="BM163" s="1">
        <f t="shared" si="76"/>
        <v>0</v>
      </c>
      <c r="BN163" s="1">
        <f t="shared" si="77"/>
        <v>0</v>
      </c>
    </row>
    <row r="164" spans="1:66" x14ac:dyDescent="0.2">
      <c r="A164" s="4">
        <f t="shared" si="84"/>
        <v>45816</v>
      </c>
      <c r="B164" s="1">
        <v>159</v>
      </c>
      <c r="C164" s="1">
        <v>5</v>
      </c>
      <c r="AL164" s="5"/>
      <c r="AN164" s="1">
        <f t="shared" si="61"/>
        <v>0</v>
      </c>
      <c r="AO164" s="1">
        <f t="shared" si="62"/>
        <v>0</v>
      </c>
      <c r="AP164" s="1">
        <f t="shared" si="63"/>
        <v>0</v>
      </c>
      <c r="AQ164" s="18">
        <f t="shared" si="64"/>
        <v>0</v>
      </c>
      <c r="AR164" s="24" t="e">
        <f t="shared" si="79"/>
        <v>#DIV/0!</v>
      </c>
      <c r="AT164" s="20">
        <f t="shared" si="65"/>
        <v>45816</v>
      </c>
      <c r="AU164" s="21">
        <f t="shared" si="66"/>
        <v>159</v>
      </c>
      <c r="AV164" s="1">
        <f t="shared" si="67"/>
        <v>0</v>
      </c>
      <c r="AW164" s="1">
        <f t="shared" si="68"/>
        <v>0</v>
      </c>
      <c r="AX164" s="1">
        <f t="shared" si="69"/>
        <v>0</v>
      </c>
      <c r="AY164" s="1">
        <f t="shared" si="59"/>
        <v>0</v>
      </c>
      <c r="AZ164" s="1">
        <f t="shared" si="60"/>
        <v>0</v>
      </c>
      <c r="BA164" s="1">
        <f t="shared" si="80"/>
        <v>0</v>
      </c>
      <c r="BB164" s="5">
        <v>-999</v>
      </c>
      <c r="BC164" s="1">
        <f t="shared" si="70"/>
        <v>0</v>
      </c>
      <c r="BD164" s="1">
        <f t="shared" si="71"/>
        <v>0</v>
      </c>
      <c r="BE164" s="1">
        <f t="shared" si="72"/>
        <v>0</v>
      </c>
      <c r="BF164" s="5">
        <f t="shared" si="73"/>
        <v>0</v>
      </c>
      <c r="BG164" s="5">
        <f t="shared" si="74"/>
        <v>0</v>
      </c>
      <c r="BH164" s="5">
        <f t="shared" si="75"/>
        <v>0</v>
      </c>
      <c r="BI164" s="5">
        <f t="shared" si="82"/>
        <v>0</v>
      </c>
      <c r="BJ164" s="11">
        <f t="shared" si="83"/>
        <v>0</v>
      </c>
      <c r="BK164" s="11" t="e">
        <f t="shared" si="83"/>
        <v>#DIV/0!</v>
      </c>
      <c r="BM164" s="1">
        <f t="shared" si="76"/>
        <v>0</v>
      </c>
      <c r="BN164" s="1">
        <f t="shared" si="77"/>
        <v>0</v>
      </c>
    </row>
    <row r="165" spans="1:66" x14ac:dyDescent="0.2">
      <c r="A165" s="4">
        <f t="shared" si="84"/>
        <v>45817</v>
      </c>
      <c r="B165" s="1">
        <v>160</v>
      </c>
      <c r="C165" s="1">
        <v>5</v>
      </c>
      <c r="AL165" s="5"/>
      <c r="AN165" s="1">
        <f t="shared" si="61"/>
        <v>0</v>
      </c>
      <c r="AO165" s="1">
        <f t="shared" si="62"/>
        <v>0</v>
      </c>
      <c r="AP165" s="1">
        <f t="shared" si="63"/>
        <v>0</v>
      </c>
      <c r="AQ165" s="18">
        <f t="shared" si="64"/>
        <v>0</v>
      </c>
      <c r="AR165" s="24" t="e">
        <f t="shared" si="79"/>
        <v>#DIV/0!</v>
      </c>
      <c r="AT165" s="20">
        <f t="shared" si="65"/>
        <v>45817</v>
      </c>
      <c r="AU165" s="21">
        <f t="shared" si="66"/>
        <v>160</v>
      </c>
      <c r="AV165" s="1">
        <f t="shared" si="67"/>
        <v>0</v>
      </c>
      <c r="AW165" s="1">
        <f t="shared" si="68"/>
        <v>0</v>
      </c>
      <c r="AX165" s="1">
        <f t="shared" si="69"/>
        <v>0</v>
      </c>
      <c r="AY165" s="1">
        <f t="shared" si="59"/>
        <v>0</v>
      </c>
      <c r="AZ165" s="1">
        <f t="shared" si="60"/>
        <v>0</v>
      </c>
      <c r="BA165" s="1">
        <f t="shared" si="80"/>
        <v>0</v>
      </c>
      <c r="BB165" s="5">
        <v>-999</v>
      </c>
      <c r="BC165" s="1">
        <f t="shared" si="70"/>
        <v>0</v>
      </c>
      <c r="BD165" s="1">
        <f t="shared" si="71"/>
        <v>0</v>
      </c>
      <c r="BE165" s="1">
        <f t="shared" si="72"/>
        <v>0</v>
      </c>
      <c r="BF165" s="5">
        <f t="shared" si="73"/>
        <v>0</v>
      </c>
      <c r="BG165" s="5">
        <f t="shared" si="74"/>
        <v>0</v>
      </c>
      <c r="BH165" s="5">
        <f t="shared" si="75"/>
        <v>0</v>
      </c>
      <c r="BI165" s="5">
        <f t="shared" si="82"/>
        <v>0</v>
      </c>
      <c r="BJ165" s="11">
        <f t="shared" si="83"/>
        <v>0</v>
      </c>
      <c r="BK165" s="11" t="e">
        <f t="shared" si="83"/>
        <v>#DIV/0!</v>
      </c>
      <c r="BM165" s="1">
        <f t="shared" si="76"/>
        <v>0</v>
      </c>
      <c r="BN165" s="1">
        <f t="shared" si="77"/>
        <v>0</v>
      </c>
    </row>
    <row r="166" spans="1:66" x14ac:dyDescent="0.2">
      <c r="A166" s="4">
        <f t="shared" si="84"/>
        <v>45818</v>
      </c>
      <c r="B166" s="1">
        <v>161</v>
      </c>
      <c r="C166" s="1">
        <v>5</v>
      </c>
      <c r="AL166" s="5"/>
      <c r="AN166" s="1">
        <f t="shared" si="61"/>
        <v>0</v>
      </c>
      <c r="AO166" s="1">
        <f t="shared" si="62"/>
        <v>0</v>
      </c>
      <c r="AP166" s="1">
        <f t="shared" si="63"/>
        <v>0</v>
      </c>
      <c r="AQ166" s="18">
        <f t="shared" si="64"/>
        <v>0</v>
      </c>
      <c r="AR166" s="24" t="e">
        <f t="shared" si="79"/>
        <v>#DIV/0!</v>
      </c>
      <c r="AT166" s="20">
        <f t="shared" si="65"/>
        <v>45818</v>
      </c>
      <c r="AU166" s="21">
        <f t="shared" si="66"/>
        <v>161</v>
      </c>
      <c r="AV166" s="1">
        <f t="shared" si="67"/>
        <v>0</v>
      </c>
      <c r="AW166" s="1">
        <f t="shared" si="68"/>
        <v>0</v>
      </c>
      <c r="AX166" s="1">
        <f t="shared" si="69"/>
        <v>0</v>
      </c>
      <c r="AY166" s="1">
        <f t="shared" si="59"/>
        <v>0</v>
      </c>
      <c r="AZ166" s="1">
        <f t="shared" si="60"/>
        <v>0</v>
      </c>
      <c r="BA166" s="1">
        <f t="shared" si="80"/>
        <v>0</v>
      </c>
      <c r="BB166" s="5">
        <v>-999</v>
      </c>
      <c r="BC166" s="1">
        <f t="shared" si="70"/>
        <v>0</v>
      </c>
      <c r="BD166" s="1">
        <f t="shared" si="71"/>
        <v>0</v>
      </c>
      <c r="BE166" s="1">
        <f t="shared" si="72"/>
        <v>0</v>
      </c>
      <c r="BF166" s="5">
        <f t="shared" si="73"/>
        <v>0</v>
      </c>
      <c r="BG166" s="5">
        <f t="shared" si="74"/>
        <v>0</v>
      </c>
      <c r="BH166" s="5">
        <f t="shared" si="75"/>
        <v>0</v>
      </c>
      <c r="BI166" s="5">
        <f t="shared" si="82"/>
        <v>0</v>
      </c>
      <c r="BJ166" s="11">
        <f t="shared" si="83"/>
        <v>0</v>
      </c>
      <c r="BK166" s="11" t="e">
        <f t="shared" si="83"/>
        <v>#DIV/0!</v>
      </c>
      <c r="BM166" s="1">
        <f t="shared" si="76"/>
        <v>0</v>
      </c>
      <c r="BN166" s="1">
        <f t="shared" si="77"/>
        <v>0</v>
      </c>
    </row>
    <row r="167" spans="1:66" x14ac:dyDescent="0.2">
      <c r="A167" s="4">
        <f t="shared" si="84"/>
        <v>45819</v>
      </c>
      <c r="B167" s="1">
        <v>162</v>
      </c>
      <c r="C167" s="1">
        <v>5</v>
      </c>
      <c r="AL167" s="5"/>
      <c r="AN167" s="1">
        <f t="shared" si="61"/>
        <v>0</v>
      </c>
      <c r="AO167" s="1">
        <f t="shared" si="62"/>
        <v>0</v>
      </c>
      <c r="AP167" s="1">
        <f t="shared" si="63"/>
        <v>0</v>
      </c>
      <c r="AQ167" s="18">
        <f t="shared" si="64"/>
        <v>0</v>
      </c>
      <c r="AR167" s="24" t="e">
        <f t="shared" si="79"/>
        <v>#DIV/0!</v>
      </c>
      <c r="AT167" s="20">
        <f t="shared" si="65"/>
        <v>45819</v>
      </c>
      <c r="AU167" s="21">
        <f t="shared" si="66"/>
        <v>162</v>
      </c>
      <c r="AV167" s="1">
        <f t="shared" si="67"/>
        <v>0</v>
      </c>
      <c r="AW167" s="1">
        <f t="shared" si="68"/>
        <v>0</v>
      </c>
      <c r="AX167" s="1">
        <f t="shared" si="69"/>
        <v>0</v>
      </c>
      <c r="AY167" s="1">
        <f t="shared" si="59"/>
        <v>0</v>
      </c>
      <c r="AZ167" s="1">
        <f t="shared" si="60"/>
        <v>0</v>
      </c>
      <c r="BA167" s="1">
        <f t="shared" si="80"/>
        <v>0</v>
      </c>
      <c r="BB167" s="5">
        <v>-999</v>
      </c>
      <c r="BC167" s="1">
        <f t="shared" si="70"/>
        <v>0</v>
      </c>
      <c r="BD167" s="1">
        <f t="shared" si="71"/>
        <v>0</v>
      </c>
      <c r="BE167" s="1">
        <f t="shared" si="72"/>
        <v>0</v>
      </c>
      <c r="BF167" s="5">
        <f t="shared" si="73"/>
        <v>0</v>
      </c>
      <c r="BG167" s="5">
        <f t="shared" si="74"/>
        <v>0</v>
      </c>
      <c r="BH167" s="5">
        <f t="shared" si="75"/>
        <v>0</v>
      </c>
      <c r="BI167" s="5">
        <f t="shared" si="82"/>
        <v>0</v>
      </c>
      <c r="BJ167" s="11">
        <f t="shared" si="83"/>
        <v>0</v>
      </c>
      <c r="BK167" s="11" t="e">
        <f t="shared" si="83"/>
        <v>#DIV/0!</v>
      </c>
      <c r="BM167" s="1">
        <f t="shared" si="76"/>
        <v>0</v>
      </c>
      <c r="BN167" s="1">
        <f t="shared" si="77"/>
        <v>0</v>
      </c>
    </row>
    <row r="168" spans="1:66" x14ac:dyDescent="0.2">
      <c r="A168" s="4">
        <f t="shared" si="84"/>
        <v>45820</v>
      </c>
      <c r="B168" s="1">
        <v>163</v>
      </c>
      <c r="C168" s="1">
        <v>5</v>
      </c>
      <c r="AL168" s="5"/>
      <c r="AN168" s="1">
        <f t="shared" si="61"/>
        <v>0</v>
      </c>
      <c r="AO168" s="1">
        <f t="shared" si="62"/>
        <v>0</v>
      </c>
      <c r="AP168" s="1">
        <f t="shared" si="63"/>
        <v>0</v>
      </c>
      <c r="AQ168" s="18">
        <f t="shared" si="64"/>
        <v>0</v>
      </c>
      <c r="AR168" s="24" t="e">
        <f t="shared" si="79"/>
        <v>#DIV/0!</v>
      </c>
      <c r="AT168" s="20">
        <f t="shared" si="65"/>
        <v>45820</v>
      </c>
      <c r="AU168" s="21">
        <f t="shared" si="66"/>
        <v>163</v>
      </c>
      <c r="AV168" s="1">
        <f t="shared" si="67"/>
        <v>0</v>
      </c>
      <c r="AW168" s="1">
        <f t="shared" si="68"/>
        <v>0</v>
      </c>
      <c r="AX168" s="1">
        <f t="shared" si="69"/>
        <v>0</v>
      </c>
      <c r="AY168" s="1">
        <f t="shared" si="59"/>
        <v>0</v>
      </c>
      <c r="AZ168" s="1">
        <f t="shared" si="60"/>
        <v>0</v>
      </c>
      <c r="BA168" s="1">
        <f t="shared" si="80"/>
        <v>0</v>
      </c>
      <c r="BB168" s="5">
        <v>-999</v>
      </c>
      <c r="BC168" s="1">
        <f t="shared" si="70"/>
        <v>0</v>
      </c>
      <c r="BD168" s="1">
        <f t="shared" si="71"/>
        <v>0</v>
      </c>
      <c r="BE168" s="1">
        <f t="shared" si="72"/>
        <v>0</v>
      </c>
      <c r="BF168" s="5">
        <f t="shared" si="73"/>
        <v>0</v>
      </c>
      <c r="BG168" s="5">
        <f t="shared" si="74"/>
        <v>0</v>
      </c>
      <c r="BH168" s="5">
        <f t="shared" si="75"/>
        <v>0</v>
      </c>
      <c r="BI168" s="5">
        <f t="shared" si="82"/>
        <v>0</v>
      </c>
      <c r="BJ168" s="11">
        <f t="shared" si="83"/>
        <v>0</v>
      </c>
      <c r="BK168" s="11" t="e">
        <f t="shared" si="83"/>
        <v>#DIV/0!</v>
      </c>
      <c r="BM168" s="1">
        <f t="shared" si="76"/>
        <v>0</v>
      </c>
      <c r="BN168" s="1">
        <f t="shared" si="77"/>
        <v>0</v>
      </c>
    </row>
    <row r="169" spans="1:66" x14ac:dyDescent="0.2">
      <c r="A169" s="4">
        <f t="shared" si="84"/>
        <v>45821</v>
      </c>
      <c r="B169" s="1">
        <v>164</v>
      </c>
      <c r="C169" s="1">
        <v>5</v>
      </c>
      <c r="AL169" s="5"/>
      <c r="AN169" s="1">
        <f t="shared" si="61"/>
        <v>0</v>
      </c>
      <c r="AO169" s="1">
        <f t="shared" si="62"/>
        <v>0</v>
      </c>
      <c r="AP169" s="1">
        <f t="shared" si="63"/>
        <v>0</v>
      </c>
      <c r="AQ169" s="18">
        <f t="shared" si="64"/>
        <v>0</v>
      </c>
      <c r="AR169" s="24" t="e">
        <f t="shared" si="79"/>
        <v>#DIV/0!</v>
      </c>
      <c r="AT169" s="20">
        <f t="shared" si="65"/>
        <v>45821</v>
      </c>
      <c r="AU169" s="21">
        <f t="shared" si="66"/>
        <v>164</v>
      </c>
      <c r="AV169" s="1">
        <f t="shared" si="67"/>
        <v>0</v>
      </c>
      <c r="AW169" s="1">
        <f t="shared" si="68"/>
        <v>0</v>
      </c>
      <c r="AX169" s="1">
        <f t="shared" si="69"/>
        <v>0</v>
      </c>
      <c r="AY169" s="1">
        <f t="shared" si="59"/>
        <v>0</v>
      </c>
      <c r="AZ169" s="1">
        <f t="shared" si="60"/>
        <v>0</v>
      </c>
      <c r="BA169" s="1">
        <f t="shared" si="80"/>
        <v>0</v>
      </c>
      <c r="BB169" s="5">
        <v>-999</v>
      </c>
      <c r="BC169" s="1">
        <f t="shared" si="70"/>
        <v>0</v>
      </c>
      <c r="BD169" s="1">
        <f t="shared" si="71"/>
        <v>0</v>
      </c>
      <c r="BE169" s="1">
        <f t="shared" si="72"/>
        <v>0</v>
      </c>
      <c r="BF169" s="5">
        <f t="shared" si="73"/>
        <v>0</v>
      </c>
      <c r="BG169" s="5">
        <f t="shared" si="74"/>
        <v>0</v>
      </c>
      <c r="BH169" s="5">
        <f t="shared" si="75"/>
        <v>0</v>
      </c>
      <c r="BI169" s="5">
        <f t="shared" si="82"/>
        <v>0</v>
      </c>
      <c r="BJ169" s="11">
        <f t="shared" si="83"/>
        <v>0</v>
      </c>
      <c r="BK169" s="11" t="e">
        <f t="shared" si="83"/>
        <v>#DIV/0!</v>
      </c>
      <c r="BM169" s="1">
        <f t="shared" si="76"/>
        <v>0</v>
      </c>
      <c r="BN169" s="1">
        <f t="shared" si="77"/>
        <v>0</v>
      </c>
    </row>
    <row r="170" spans="1:66" x14ac:dyDescent="0.2">
      <c r="A170" s="4">
        <f t="shared" si="84"/>
        <v>45822</v>
      </c>
      <c r="B170" s="1">
        <v>165</v>
      </c>
      <c r="C170" s="1">
        <v>5</v>
      </c>
      <c r="AL170" s="5"/>
      <c r="AN170" s="1">
        <f t="shared" si="61"/>
        <v>0</v>
      </c>
      <c r="AO170" s="1">
        <f t="shared" si="62"/>
        <v>0</v>
      </c>
      <c r="AP170" s="1">
        <f t="shared" si="63"/>
        <v>0</v>
      </c>
      <c r="AQ170" s="18">
        <f t="shared" si="64"/>
        <v>0</v>
      </c>
      <c r="AR170" s="24" t="e">
        <f t="shared" si="79"/>
        <v>#DIV/0!</v>
      </c>
      <c r="AT170" s="20">
        <f t="shared" si="65"/>
        <v>45822</v>
      </c>
      <c r="AU170" s="21">
        <f t="shared" si="66"/>
        <v>165</v>
      </c>
      <c r="AV170" s="1">
        <f t="shared" si="67"/>
        <v>0</v>
      </c>
      <c r="AW170" s="1">
        <f t="shared" si="68"/>
        <v>0</v>
      </c>
      <c r="AX170" s="1">
        <f t="shared" si="69"/>
        <v>0</v>
      </c>
      <c r="AY170" s="1">
        <f t="shared" si="59"/>
        <v>0</v>
      </c>
      <c r="AZ170" s="1">
        <f t="shared" si="60"/>
        <v>0</v>
      </c>
      <c r="BA170" s="1">
        <f t="shared" si="80"/>
        <v>0</v>
      </c>
      <c r="BB170" s="5">
        <v>-999</v>
      </c>
      <c r="BC170" s="1">
        <f t="shared" si="70"/>
        <v>0</v>
      </c>
      <c r="BD170" s="1">
        <f t="shared" si="71"/>
        <v>0</v>
      </c>
      <c r="BE170" s="1">
        <f t="shared" si="72"/>
        <v>0</v>
      </c>
      <c r="BF170" s="5">
        <f t="shared" si="73"/>
        <v>0</v>
      </c>
      <c r="BG170" s="5">
        <f t="shared" si="74"/>
        <v>0</v>
      </c>
      <c r="BH170" s="5">
        <f t="shared" si="75"/>
        <v>0</v>
      </c>
      <c r="BI170" s="5">
        <f t="shared" si="82"/>
        <v>0</v>
      </c>
      <c r="BJ170" s="11">
        <f t="shared" si="83"/>
        <v>0</v>
      </c>
      <c r="BK170" s="11" t="e">
        <f t="shared" si="83"/>
        <v>#DIV/0!</v>
      </c>
      <c r="BM170" s="1">
        <f t="shared" si="76"/>
        <v>0</v>
      </c>
      <c r="BN170" s="1">
        <f t="shared" si="77"/>
        <v>0</v>
      </c>
    </row>
    <row r="171" spans="1:66" x14ac:dyDescent="0.2">
      <c r="A171" s="4">
        <f t="shared" si="84"/>
        <v>45823</v>
      </c>
      <c r="B171" s="1">
        <v>166</v>
      </c>
      <c r="C171" s="1">
        <v>5</v>
      </c>
      <c r="AL171" s="5"/>
      <c r="AN171" s="1">
        <f t="shared" si="61"/>
        <v>0</v>
      </c>
      <c r="AO171" s="1">
        <f t="shared" si="62"/>
        <v>0</v>
      </c>
      <c r="AP171" s="1">
        <f t="shared" si="63"/>
        <v>0</v>
      </c>
      <c r="AQ171" s="18">
        <f t="shared" si="64"/>
        <v>0</v>
      </c>
      <c r="AR171" s="24" t="e">
        <f t="shared" si="79"/>
        <v>#DIV/0!</v>
      </c>
      <c r="AT171" s="20">
        <f t="shared" si="65"/>
        <v>45823</v>
      </c>
      <c r="AU171" s="21">
        <f t="shared" si="66"/>
        <v>166</v>
      </c>
      <c r="AV171" s="1">
        <f t="shared" si="67"/>
        <v>0</v>
      </c>
      <c r="AW171" s="1">
        <f t="shared" si="68"/>
        <v>0</v>
      </c>
      <c r="AX171" s="1">
        <f t="shared" si="69"/>
        <v>0</v>
      </c>
      <c r="AY171" s="1">
        <f t="shared" si="59"/>
        <v>0</v>
      </c>
      <c r="AZ171" s="1">
        <f t="shared" si="60"/>
        <v>0</v>
      </c>
      <c r="BA171" s="1">
        <f t="shared" si="80"/>
        <v>0</v>
      </c>
      <c r="BB171" s="5">
        <v>-999</v>
      </c>
      <c r="BC171" s="1">
        <f t="shared" si="70"/>
        <v>0</v>
      </c>
      <c r="BD171" s="1">
        <f t="shared" si="71"/>
        <v>0</v>
      </c>
      <c r="BE171" s="1">
        <f t="shared" si="72"/>
        <v>0</v>
      </c>
      <c r="BF171" s="5">
        <f t="shared" si="73"/>
        <v>0</v>
      </c>
      <c r="BG171" s="5">
        <f t="shared" si="74"/>
        <v>0</v>
      </c>
      <c r="BH171" s="5">
        <f t="shared" si="75"/>
        <v>0</v>
      </c>
      <c r="BI171" s="5">
        <f t="shared" si="82"/>
        <v>0</v>
      </c>
      <c r="BJ171" s="11">
        <f t="shared" si="83"/>
        <v>0</v>
      </c>
      <c r="BK171" s="11" t="e">
        <f t="shared" si="83"/>
        <v>#DIV/0!</v>
      </c>
      <c r="BM171" s="1">
        <f t="shared" si="76"/>
        <v>0</v>
      </c>
      <c r="BN171" s="1">
        <f t="shared" si="77"/>
        <v>0</v>
      </c>
    </row>
    <row r="172" spans="1:66" x14ac:dyDescent="0.2">
      <c r="A172" s="4">
        <f t="shared" si="84"/>
        <v>45824</v>
      </c>
      <c r="B172" s="1">
        <v>167</v>
      </c>
      <c r="C172" s="1">
        <v>5</v>
      </c>
      <c r="AN172" s="1">
        <f t="shared" si="61"/>
        <v>0</v>
      </c>
      <c r="AO172" s="1">
        <f t="shared" si="62"/>
        <v>0</v>
      </c>
      <c r="AP172" s="1">
        <f t="shared" si="63"/>
        <v>0</v>
      </c>
      <c r="AQ172" s="18">
        <f t="shared" si="64"/>
        <v>0</v>
      </c>
      <c r="AR172" s="24" t="e">
        <f t="shared" si="79"/>
        <v>#DIV/0!</v>
      </c>
      <c r="AT172" s="20">
        <f t="shared" si="65"/>
        <v>45824</v>
      </c>
      <c r="AU172" s="21">
        <f t="shared" si="66"/>
        <v>167</v>
      </c>
      <c r="AV172" s="1">
        <f t="shared" si="67"/>
        <v>0</v>
      </c>
      <c r="AW172" s="1">
        <f t="shared" si="68"/>
        <v>0</v>
      </c>
      <c r="AX172" s="1">
        <f t="shared" si="69"/>
        <v>0</v>
      </c>
      <c r="AY172" s="1">
        <f t="shared" si="59"/>
        <v>0</v>
      </c>
      <c r="AZ172" s="1">
        <f t="shared" si="60"/>
        <v>0</v>
      </c>
      <c r="BA172" s="1">
        <f t="shared" si="80"/>
        <v>0</v>
      </c>
      <c r="BB172" s="5">
        <v>-999</v>
      </c>
      <c r="BC172" s="1">
        <f t="shared" si="70"/>
        <v>0</v>
      </c>
      <c r="BD172" s="1">
        <f t="shared" si="71"/>
        <v>0</v>
      </c>
      <c r="BE172" s="1">
        <f t="shared" si="72"/>
        <v>0</v>
      </c>
      <c r="BF172" s="5">
        <f t="shared" si="73"/>
        <v>0</v>
      </c>
      <c r="BG172" s="5">
        <f t="shared" si="74"/>
        <v>0</v>
      </c>
      <c r="BH172" s="5">
        <f t="shared" si="75"/>
        <v>0</v>
      </c>
      <c r="BI172" s="5">
        <f t="shared" si="82"/>
        <v>0</v>
      </c>
      <c r="BJ172" s="11">
        <f t="shared" si="83"/>
        <v>0</v>
      </c>
      <c r="BK172" s="11" t="e">
        <f t="shared" si="83"/>
        <v>#DIV/0!</v>
      </c>
      <c r="BM172" s="1">
        <f t="shared" si="76"/>
        <v>0</v>
      </c>
      <c r="BN172" s="1">
        <f t="shared" si="77"/>
        <v>0</v>
      </c>
    </row>
    <row r="173" spans="1:66" x14ac:dyDescent="0.2">
      <c r="A173" s="4">
        <f t="shared" si="84"/>
        <v>45825</v>
      </c>
      <c r="B173" s="1">
        <v>168</v>
      </c>
      <c r="C173" s="1">
        <v>5</v>
      </c>
      <c r="AN173" s="1">
        <f t="shared" si="61"/>
        <v>0</v>
      </c>
      <c r="AO173" s="1">
        <f t="shared" si="62"/>
        <v>0</v>
      </c>
      <c r="AP173" s="1">
        <f t="shared" si="63"/>
        <v>0</v>
      </c>
      <c r="AQ173" s="18">
        <f t="shared" si="64"/>
        <v>0</v>
      </c>
      <c r="AR173" s="24" t="e">
        <f t="shared" si="79"/>
        <v>#DIV/0!</v>
      </c>
      <c r="AT173" s="20">
        <f t="shared" si="65"/>
        <v>45825</v>
      </c>
      <c r="AU173" s="21">
        <f t="shared" si="66"/>
        <v>168</v>
      </c>
      <c r="AV173" s="1">
        <f t="shared" si="67"/>
        <v>0</v>
      </c>
      <c r="AW173" s="1">
        <f t="shared" si="68"/>
        <v>0</v>
      </c>
      <c r="AX173" s="1">
        <f t="shared" si="69"/>
        <v>0</v>
      </c>
      <c r="AY173" s="1">
        <f t="shared" si="59"/>
        <v>0</v>
      </c>
      <c r="AZ173" s="1">
        <f t="shared" si="60"/>
        <v>0</v>
      </c>
      <c r="BA173" s="1">
        <f t="shared" si="80"/>
        <v>0</v>
      </c>
      <c r="BB173" s="5">
        <v>-999</v>
      </c>
      <c r="BC173" s="1">
        <f t="shared" si="70"/>
        <v>0</v>
      </c>
      <c r="BD173" s="1">
        <f t="shared" si="71"/>
        <v>0</v>
      </c>
      <c r="BE173" s="1">
        <f t="shared" si="72"/>
        <v>0</v>
      </c>
      <c r="BF173" s="5">
        <f t="shared" si="73"/>
        <v>0</v>
      </c>
      <c r="BG173" s="5">
        <f t="shared" si="74"/>
        <v>0</v>
      </c>
      <c r="BH173" s="5">
        <f t="shared" si="75"/>
        <v>0</v>
      </c>
      <c r="BI173" s="5">
        <f t="shared" si="82"/>
        <v>0</v>
      </c>
      <c r="BJ173" s="11">
        <f t="shared" si="83"/>
        <v>0</v>
      </c>
      <c r="BK173" s="11" t="e">
        <f t="shared" si="83"/>
        <v>#DIV/0!</v>
      </c>
      <c r="BM173" s="1">
        <f t="shared" si="76"/>
        <v>0</v>
      </c>
      <c r="BN173" s="1">
        <f t="shared" si="77"/>
        <v>0</v>
      </c>
    </row>
    <row r="174" spans="1:66" x14ac:dyDescent="0.2">
      <c r="A174" s="4">
        <f t="shared" si="84"/>
        <v>45826</v>
      </c>
      <c r="B174" s="1">
        <v>169</v>
      </c>
      <c r="C174" s="1">
        <v>5</v>
      </c>
      <c r="AN174" s="1">
        <f t="shared" si="61"/>
        <v>0</v>
      </c>
      <c r="AO174" s="1">
        <f t="shared" si="62"/>
        <v>0</v>
      </c>
      <c r="AP174" s="1">
        <f t="shared" si="63"/>
        <v>0</v>
      </c>
      <c r="AQ174" s="18">
        <f t="shared" si="64"/>
        <v>0</v>
      </c>
      <c r="AR174" s="24" t="e">
        <f t="shared" si="79"/>
        <v>#DIV/0!</v>
      </c>
      <c r="AT174" s="20">
        <f t="shared" si="65"/>
        <v>45826</v>
      </c>
      <c r="AU174" s="21">
        <f t="shared" si="66"/>
        <v>169</v>
      </c>
      <c r="AV174" s="1">
        <f t="shared" si="67"/>
        <v>0</v>
      </c>
      <c r="AW174" s="1">
        <f t="shared" si="68"/>
        <v>0</v>
      </c>
      <c r="AX174" s="1">
        <f t="shared" si="69"/>
        <v>0</v>
      </c>
      <c r="AY174" s="1">
        <f t="shared" si="59"/>
        <v>0</v>
      </c>
      <c r="AZ174" s="1">
        <f t="shared" si="60"/>
        <v>0</v>
      </c>
      <c r="BA174" s="1">
        <f t="shared" si="80"/>
        <v>0</v>
      </c>
      <c r="BB174" s="5">
        <v>-999</v>
      </c>
      <c r="BC174" s="1">
        <f t="shared" si="70"/>
        <v>0</v>
      </c>
      <c r="BD174" s="1">
        <f t="shared" si="71"/>
        <v>0</v>
      </c>
      <c r="BE174" s="1">
        <f t="shared" si="72"/>
        <v>0</v>
      </c>
      <c r="BF174" s="5">
        <f t="shared" si="73"/>
        <v>0</v>
      </c>
      <c r="BG174" s="5">
        <f t="shared" si="74"/>
        <v>0</v>
      </c>
      <c r="BH174" s="5">
        <f t="shared" si="75"/>
        <v>0</v>
      </c>
      <c r="BI174" s="5">
        <f t="shared" si="82"/>
        <v>0</v>
      </c>
      <c r="BJ174" s="11">
        <f t="shared" si="83"/>
        <v>0</v>
      </c>
      <c r="BK174" s="11" t="e">
        <f t="shared" si="83"/>
        <v>#DIV/0!</v>
      </c>
      <c r="BM174" s="1">
        <f t="shared" si="76"/>
        <v>0</v>
      </c>
      <c r="BN174" s="1">
        <f t="shared" si="77"/>
        <v>0</v>
      </c>
    </row>
    <row r="175" spans="1:66" x14ac:dyDescent="0.2">
      <c r="A175" s="4">
        <f t="shared" si="84"/>
        <v>45827</v>
      </c>
      <c r="B175" s="1">
        <v>170</v>
      </c>
      <c r="C175" s="1">
        <v>5</v>
      </c>
      <c r="AN175" s="1">
        <f t="shared" si="61"/>
        <v>0</v>
      </c>
      <c r="AO175" s="1">
        <f t="shared" si="62"/>
        <v>0</v>
      </c>
      <c r="AP175" s="1">
        <f t="shared" si="63"/>
        <v>0</v>
      </c>
      <c r="AQ175" s="18">
        <f t="shared" si="64"/>
        <v>0</v>
      </c>
      <c r="AR175" s="24" t="e">
        <f t="shared" si="79"/>
        <v>#DIV/0!</v>
      </c>
      <c r="AT175" s="20">
        <f t="shared" si="65"/>
        <v>45827</v>
      </c>
      <c r="AU175" s="21">
        <f t="shared" si="66"/>
        <v>170</v>
      </c>
      <c r="AV175" s="1">
        <f t="shared" si="67"/>
        <v>0</v>
      </c>
      <c r="AW175" s="1">
        <f t="shared" si="68"/>
        <v>0</v>
      </c>
      <c r="AX175" s="1">
        <f t="shared" si="69"/>
        <v>0</v>
      </c>
      <c r="AY175" s="1">
        <f t="shared" si="59"/>
        <v>0</v>
      </c>
      <c r="AZ175" s="1">
        <f t="shared" si="60"/>
        <v>0</v>
      </c>
      <c r="BA175" s="1">
        <f t="shared" si="80"/>
        <v>0</v>
      </c>
      <c r="BB175" s="5">
        <v>-999</v>
      </c>
      <c r="BC175" s="1">
        <f t="shared" si="70"/>
        <v>0</v>
      </c>
      <c r="BD175" s="1">
        <f t="shared" si="71"/>
        <v>0</v>
      </c>
      <c r="BE175" s="1">
        <f t="shared" si="72"/>
        <v>0</v>
      </c>
      <c r="BF175" s="5">
        <f t="shared" si="73"/>
        <v>0</v>
      </c>
      <c r="BG175" s="5">
        <f t="shared" si="74"/>
        <v>0</v>
      </c>
      <c r="BH175" s="5">
        <f t="shared" si="75"/>
        <v>0</v>
      </c>
      <c r="BI175" s="5">
        <f t="shared" si="82"/>
        <v>0</v>
      </c>
      <c r="BJ175" s="11">
        <f t="shared" si="83"/>
        <v>0</v>
      </c>
      <c r="BK175" s="11" t="e">
        <f t="shared" si="83"/>
        <v>#DIV/0!</v>
      </c>
      <c r="BM175" s="1">
        <f t="shared" si="76"/>
        <v>0</v>
      </c>
      <c r="BN175" s="1">
        <f t="shared" si="77"/>
        <v>0</v>
      </c>
    </row>
    <row r="176" spans="1:66" x14ac:dyDescent="0.2">
      <c r="A176" s="4">
        <f t="shared" si="84"/>
        <v>45828</v>
      </c>
      <c r="B176" s="1">
        <v>171</v>
      </c>
      <c r="C176" s="1">
        <v>5</v>
      </c>
      <c r="AN176" s="1">
        <f t="shared" si="61"/>
        <v>0</v>
      </c>
      <c r="AO176" s="1">
        <f t="shared" si="62"/>
        <v>0</v>
      </c>
      <c r="AP176" s="1">
        <f t="shared" si="63"/>
        <v>0</v>
      </c>
      <c r="AQ176" s="18">
        <f t="shared" si="64"/>
        <v>0</v>
      </c>
      <c r="AR176" s="24" t="e">
        <f t="shared" si="79"/>
        <v>#DIV/0!</v>
      </c>
      <c r="AT176" s="20">
        <f t="shared" si="65"/>
        <v>45828</v>
      </c>
      <c r="AU176" s="21">
        <f t="shared" si="66"/>
        <v>171</v>
      </c>
      <c r="AV176" s="1">
        <f t="shared" si="67"/>
        <v>0</v>
      </c>
      <c r="AW176" s="1">
        <f t="shared" si="68"/>
        <v>0</v>
      </c>
      <c r="AX176" s="1">
        <f t="shared" si="69"/>
        <v>0</v>
      </c>
      <c r="AY176" s="1">
        <f t="shared" si="59"/>
        <v>0</v>
      </c>
      <c r="AZ176" s="1">
        <f t="shared" si="60"/>
        <v>0</v>
      </c>
      <c r="BA176" s="1">
        <f t="shared" si="80"/>
        <v>0</v>
      </c>
      <c r="BB176" s="5">
        <v>-999</v>
      </c>
      <c r="BC176" s="1">
        <f t="shared" si="70"/>
        <v>0</v>
      </c>
      <c r="BD176" s="1">
        <f t="shared" si="71"/>
        <v>0</v>
      </c>
      <c r="BE176" s="1">
        <f t="shared" si="72"/>
        <v>0</v>
      </c>
      <c r="BF176" s="5">
        <f t="shared" si="73"/>
        <v>0</v>
      </c>
      <c r="BG176" s="5">
        <f t="shared" si="74"/>
        <v>0</v>
      </c>
      <c r="BH176" s="5">
        <f t="shared" si="75"/>
        <v>0</v>
      </c>
      <c r="BI176" s="5">
        <f t="shared" si="82"/>
        <v>0</v>
      </c>
      <c r="BJ176" s="11">
        <f t="shared" si="83"/>
        <v>0</v>
      </c>
      <c r="BK176" s="11" t="e">
        <f t="shared" si="83"/>
        <v>#DIV/0!</v>
      </c>
      <c r="BM176" s="1">
        <f t="shared" si="76"/>
        <v>0</v>
      </c>
      <c r="BN176" s="1">
        <f t="shared" si="77"/>
        <v>0</v>
      </c>
    </row>
    <row r="177" spans="1:66" x14ac:dyDescent="0.2">
      <c r="A177" s="4">
        <f t="shared" si="84"/>
        <v>45829</v>
      </c>
      <c r="B177" s="1">
        <v>172</v>
      </c>
      <c r="C177" s="1">
        <v>5</v>
      </c>
      <c r="AN177" s="1">
        <f t="shared" si="61"/>
        <v>0</v>
      </c>
      <c r="AO177" s="1">
        <f t="shared" si="62"/>
        <v>0</v>
      </c>
      <c r="AP177" s="1">
        <f t="shared" si="63"/>
        <v>0</v>
      </c>
      <c r="AQ177" s="18">
        <f t="shared" si="64"/>
        <v>0</v>
      </c>
      <c r="AR177" s="24" t="e">
        <f t="shared" si="79"/>
        <v>#DIV/0!</v>
      </c>
      <c r="AT177" s="20">
        <f t="shared" si="65"/>
        <v>45829</v>
      </c>
      <c r="AU177" s="21">
        <f t="shared" si="66"/>
        <v>172</v>
      </c>
      <c r="AV177" s="1">
        <f t="shared" si="67"/>
        <v>0</v>
      </c>
      <c r="AW177" s="1">
        <f t="shared" si="68"/>
        <v>0</v>
      </c>
      <c r="AX177" s="1">
        <f t="shared" si="69"/>
        <v>0</v>
      </c>
      <c r="AY177" s="1">
        <f t="shared" si="59"/>
        <v>0</v>
      </c>
      <c r="AZ177" s="1">
        <f t="shared" si="60"/>
        <v>0</v>
      </c>
      <c r="BA177" s="1">
        <f t="shared" si="80"/>
        <v>0</v>
      </c>
      <c r="BB177" s="5">
        <v>-999</v>
      </c>
      <c r="BC177" s="1">
        <f t="shared" si="70"/>
        <v>0</v>
      </c>
      <c r="BD177" s="1">
        <f t="shared" si="71"/>
        <v>0</v>
      </c>
      <c r="BE177" s="1">
        <f t="shared" si="72"/>
        <v>0</v>
      </c>
      <c r="BF177" s="5">
        <f t="shared" si="73"/>
        <v>0</v>
      </c>
      <c r="BG177" s="5">
        <f t="shared" si="74"/>
        <v>0</v>
      </c>
      <c r="BH177" s="5">
        <f t="shared" si="75"/>
        <v>0</v>
      </c>
      <c r="BI177" s="5">
        <f t="shared" si="82"/>
        <v>0</v>
      </c>
      <c r="BJ177" s="11">
        <f t="shared" si="83"/>
        <v>0</v>
      </c>
      <c r="BK177" s="11" t="e">
        <f t="shared" si="83"/>
        <v>#DIV/0!</v>
      </c>
      <c r="BM177" s="1">
        <f t="shared" si="76"/>
        <v>0</v>
      </c>
      <c r="BN177" s="1">
        <f t="shared" si="77"/>
        <v>0</v>
      </c>
    </row>
    <row r="178" spans="1:66" x14ac:dyDescent="0.2">
      <c r="A178" s="4">
        <f t="shared" si="84"/>
        <v>45830</v>
      </c>
      <c r="B178" s="1">
        <v>173</v>
      </c>
      <c r="C178" s="1">
        <v>5</v>
      </c>
      <c r="AN178" s="1">
        <f t="shared" si="61"/>
        <v>0</v>
      </c>
      <c r="AO178" s="1">
        <f t="shared" si="62"/>
        <v>0</v>
      </c>
      <c r="AP178" s="1">
        <f t="shared" si="63"/>
        <v>0</v>
      </c>
      <c r="AQ178" s="18">
        <f t="shared" si="64"/>
        <v>0</v>
      </c>
      <c r="AR178" s="24" t="e">
        <f t="shared" si="79"/>
        <v>#DIV/0!</v>
      </c>
      <c r="AT178" s="20">
        <f t="shared" si="65"/>
        <v>45830</v>
      </c>
      <c r="AU178" s="21">
        <f t="shared" si="66"/>
        <v>173</v>
      </c>
      <c r="AV178" s="1">
        <f t="shared" si="67"/>
        <v>0</v>
      </c>
      <c r="AW178" s="1">
        <f t="shared" si="68"/>
        <v>0</v>
      </c>
      <c r="AX178" s="1">
        <f t="shared" si="69"/>
        <v>0</v>
      </c>
      <c r="AY178" s="1">
        <f t="shared" si="59"/>
        <v>0</v>
      </c>
      <c r="AZ178" s="1">
        <f t="shared" si="60"/>
        <v>0</v>
      </c>
      <c r="BA178" s="1">
        <f t="shared" si="80"/>
        <v>0</v>
      </c>
      <c r="BB178" s="5">
        <v>-999</v>
      </c>
      <c r="BC178" s="1">
        <f t="shared" si="70"/>
        <v>0</v>
      </c>
      <c r="BD178" s="1">
        <f t="shared" si="71"/>
        <v>0</v>
      </c>
      <c r="BE178" s="1">
        <f t="shared" si="72"/>
        <v>0</v>
      </c>
      <c r="BF178" s="5">
        <f t="shared" si="73"/>
        <v>0</v>
      </c>
      <c r="BG178" s="5">
        <f t="shared" si="74"/>
        <v>0</v>
      </c>
      <c r="BH178" s="5">
        <f t="shared" si="75"/>
        <v>0</v>
      </c>
      <c r="BI178" s="5">
        <f t="shared" si="82"/>
        <v>0</v>
      </c>
      <c r="BJ178" s="11">
        <f t="shared" si="83"/>
        <v>0</v>
      </c>
      <c r="BK178" s="11" t="e">
        <f t="shared" si="83"/>
        <v>#DIV/0!</v>
      </c>
      <c r="BM178" s="1">
        <f t="shared" si="76"/>
        <v>0</v>
      </c>
      <c r="BN178" s="1">
        <f t="shared" si="77"/>
        <v>0</v>
      </c>
    </row>
    <row r="179" spans="1:66" x14ac:dyDescent="0.2">
      <c r="A179" s="4">
        <f t="shared" si="84"/>
        <v>45831</v>
      </c>
      <c r="B179" s="1">
        <v>174</v>
      </c>
      <c r="C179" s="1">
        <v>5</v>
      </c>
      <c r="AN179" s="1">
        <f t="shared" si="61"/>
        <v>0</v>
      </c>
      <c r="AO179" s="1">
        <f t="shared" si="62"/>
        <v>0</v>
      </c>
      <c r="AP179" s="1">
        <f t="shared" si="63"/>
        <v>0</v>
      </c>
      <c r="AQ179" s="18">
        <f t="shared" si="64"/>
        <v>0</v>
      </c>
      <c r="AR179" s="24" t="e">
        <f t="shared" si="79"/>
        <v>#DIV/0!</v>
      </c>
      <c r="AT179" s="20">
        <f t="shared" si="65"/>
        <v>45831</v>
      </c>
      <c r="AU179" s="21">
        <f t="shared" si="66"/>
        <v>174</v>
      </c>
      <c r="AV179" s="1">
        <f t="shared" si="67"/>
        <v>0</v>
      </c>
      <c r="AW179" s="1">
        <f t="shared" si="68"/>
        <v>0</v>
      </c>
      <c r="AX179" s="1">
        <f t="shared" si="69"/>
        <v>0</v>
      </c>
      <c r="AY179" s="1">
        <f t="shared" si="59"/>
        <v>0</v>
      </c>
      <c r="AZ179" s="1">
        <f t="shared" si="60"/>
        <v>0</v>
      </c>
      <c r="BA179" s="1">
        <f t="shared" si="80"/>
        <v>0</v>
      </c>
      <c r="BB179" s="5">
        <v>-999</v>
      </c>
      <c r="BC179" s="1">
        <f t="shared" si="70"/>
        <v>0</v>
      </c>
      <c r="BD179" s="1">
        <f t="shared" si="71"/>
        <v>0</v>
      </c>
      <c r="BE179" s="1">
        <f t="shared" si="72"/>
        <v>0</v>
      </c>
      <c r="BF179" s="5">
        <f t="shared" si="73"/>
        <v>0</v>
      </c>
      <c r="BG179" s="5">
        <f t="shared" si="74"/>
        <v>0</v>
      </c>
      <c r="BH179" s="5">
        <f t="shared" si="75"/>
        <v>0</v>
      </c>
      <c r="BI179" s="5">
        <f t="shared" si="82"/>
        <v>0</v>
      </c>
      <c r="BJ179" s="11">
        <f t="shared" si="83"/>
        <v>0</v>
      </c>
      <c r="BK179" s="11" t="e">
        <f t="shared" si="83"/>
        <v>#DIV/0!</v>
      </c>
      <c r="BM179" s="1">
        <f t="shared" si="76"/>
        <v>0</v>
      </c>
      <c r="BN179" s="1">
        <f t="shared" si="77"/>
        <v>0</v>
      </c>
    </row>
    <row r="180" spans="1:66" x14ac:dyDescent="0.2">
      <c r="A180" s="4">
        <f t="shared" si="84"/>
        <v>45832</v>
      </c>
      <c r="B180" s="1">
        <v>175</v>
      </c>
      <c r="C180" s="1">
        <v>5</v>
      </c>
      <c r="AN180" s="1">
        <f t="shared" si="61"/>
        <v>0</v>
      </c>
      <c r="AO180" s="1">
        <f t="shared" si="62"/>
        <v>0</v>
      </c>
      <c r="AP180" s="1">
        <f t="shared" si="63"/>
        <v>0</v>
      </c>
      <c r="AQ180" s="18">
        <f t="shared" si="64"/>
        <v>0</v>
      </c>
      <c r="AR180" s="24" t="e">
        <f t="shared" si="79"/>
        <v>#DIV/0!</v>
      </c>
      <c r="AT180" s="20">
        <f t="shared" si="65"/>
        <v>45832</v>
      </c>
      <c r="AU180" s="21">
        <f t="shared" si="66"/>
        <v>175</v>
      </c>
      <c r="AV180" s="1">
        <f t="shared" si="67"/>
        <v>0</v>
      </c>
      <c r="AW180" s="1">
        <f t="shared" si="68"/>
        <v>0</v>
      </c>
      <c r="AX180" s="1">
        <f t="shared" si="69"/>
        <v>0</v>
      </c>
      <c r="AY180" s="1">
        <f t="shared" si="59"/>
        <v>0</v>
      </c>
      <c r="AZ180" s="1">
        <f t="shared" si="60"/>
        <v>0</v>
      </c>
      <c r="BA180" s="1">
        <f t="shared" si="80"/>
        <v>0</v>
      </c>
      <c r="BB180" s="5">
        <v>-999</v>
      </c>
      <c r="BC180" s="1">
        <f t="shared" si="70"/>
        <v>0</v>
      </c>
      <c r="BD180" s="1">
        <f t="shared" si="71"/>
        <v>0</v>
      </c>
      <c r="BE180" s="1">
        <f t="shared" si="72"/>
        <v>0</v>
      </c>
      <c r="BF180" s="5">
        <f t="shared" si="73"/>
        <v>0</v>
      </c>
      <c r="BG180" s="5">
        <f t="shared" si="74"/>
        <v>0</v>
      </c>
      <c r="BH180" s="5">
        <f t="shared" si="75"/>
        <v>0</v>
      </c>
      <c r="BI180" s="5">
        <f t="shared" si="82"/>
        <v>0</v>
      </c>
      <c r="BJ180" s="11">
        <f t="shared" si="83"/>
        <v>0</v>
      </c>
      <c r="BK180" s="11" t="e">
        <f t="shared" si="83"/>
        <v>#DIV/0!</v>
      </c>
      <c r="BM180" s="1">
        <f t="shared" si="76"/>
        <v>0</v>
      </c>
      <c r="BN180" s="1">
        <f t="shared" si="77"/>
        <v>0</v>
      </c>
    </row>
    <row r="181" spans="1:66" x14ac:dyDescent="0.2">
      <c r="A181" s="4">
        <f t="shared" si="84"/>
        <v>45833</v>
      </c>
      <c r="B181" s="1">
        <v>176</v>
      </c>
      <c r="C181" s="1">
        <v>5</v>
      </c>
      <c r="AN181" s="1">
        <f t="shared" si="61"/>
        <v>0</v>
      </c>
      <c r="AO181" s="1">
        <f t="shared" si="62"/>
        <v>0</v>
      </c>
      <c r="AP181" s="1">
        <f t="shared" si="63"/>
        <v>0</v>
      </c>
      <c r="AQ181" s="18">
        <f t="shared" si="64"/>
        <v>0</v>
      </c>
      <c r="AR181" s="24" t="e">
        <f t="shared" si="79"/>
        <v>#DIV/0!</v>
      </c>
      <c r="AT181" s="20">
        <f t="shared" si="65"/>
        <v>45833</v>
      </c>
      <c r="AU181" s="21">
        <f t="shared" si="66"/>
        <v>176</v>
      </c>
      <c r="AV181" s="1">
        <f t="shared" si="67"/>
        <v>0</v>
      </c>
      <c r="AW181" s="1">
        <f t="shared" si="68"/>
        <v>0</v>
      </c>
      <c r="AX181" s="1">
        <f t="shared" si="69"/>
        <v>0</v>
      </c>
      <c r="AY181" s="1">
        <f t="shared" si="59"/>
        <v>0</v>
      </c>
      <c r="AZ181" s="1">
        <f t="shared" si="60"/>
        <v>0</v>
      </c>
      <c r="BA181" s="1">
        <f t="shared" si="80"/>
        <v>0</v>
      </c>
      <c r="BB181" s="5">
        <v>-999</v>
      </c>
      <c r="BC181" s="1">
        <f t="shared" si="70"/>
        <v>0</v>
      </c>
      <c r="BD181" s="1">
        <f t="shared" si="71"/>
        <v>0</v>
      </c>
      <c r="BE181" s="1">
        <f t="shared" si="72"/>
        <v>0</v>
      </c>
      <c r="BF181" s="5">
        <f t="shared" si="73"/>
        <v>0</v>
      </c>
      <c r="BG181" s="5">
        <f t="shared" si="74"/>
        <v>0</v>
      </c>
      <c r="BH181" s="5">
        <f t="shared" si="75"/>
        <v>0</v>
      </c>
      <c r="BI181" s="5">
        <f t="shared" si="82"/>
        <v>0</v>
      </c>
      <c r="BJ181" s="11">
        <f t="shared" si="83"/>
        <v>0</v>
      </c>
      <c r="BK181" s="11" t="e">
        <f t="shared" si="83"/>
        <v>#DIV/0!</v>
      </c>
      <c r="BM181" s="1">
        <f t="shared" si="76"/>
        <v>0</v>
      </c>
      <c r="BN181" s="1">
        <f t="shared" si="77"/>
        <v>0</v>
      </c>
    </row>
    <row r="182" spans="1:66" x14ac:dyDescent="0.2">
      <c r="A182" s="4">
        <f t="shared" si="84"/>
        <v>45834</v>
      </c>
      <c r="B182" s="1">
        <v>177</v>
      </c>
      <c r="C182" s="1">
        <v>5</v>
      </c>
      <c r="AN182" s="1">
        <f t="shared" si="61"/>
        <v>0</v>
      </c>
      <c r="AO182" s="1">
        <f t="shared" si="62"/>
        <v>0</v>
      </c>
      <c r="AP182" s="1">
        <f t="shared" si="63"/>
        <v>0</v>
      </c>
      <c r="AQ182" s="18">
        <f t="shared" si="64"/>
        <v>0</v>
      </c>
      <c r="AR182" s="24" t="e">
        <f t="shared" si="79"/>
        <v>#DIV/0!</v>
      </c>
      <c r="AT182" s="20">
        <f t="shared" si="65"/>
        <v>45834</v>
      </c>
      <c r="AU182" s="21">
        <f t="shared" si="66"/>
        <v>177</v>
      </c>
      <c r="AV182" s="1">
        <f t="shared" si="67"/>
        <v>0</v>
      </c>
      <c r="AW182" s="1">
        <f t="shared" si="68"/>
        <v>0</v>
      </c>
      <c r="AX182" s="1">
        <f t="shared" si="69"/>
        <v>0</v>
      </c>
      <c r="AY182" s="1">
        <f t="shared" si="59"/>
        <v>0</v>
      </c>
      <c r="AZ182" s="1">
        <f t="shared" si="60"/>
        <v>0</v>
      </c>
      <c r="BA182" s="1">
        <f t="shared" si="80"/>
        <v>0</v>
      </c>
      <c r="BB182" s="5">
        <v>-999</v>
      </c>
      <c r="BC182" s="1">
        <f t="shared" si="70"/>
        <v>0</v>
      </c>
      <c r="BD182" s="1">
        <f t="shared" si="71"/>
        <v>0</v>
      </c>
      <c r="BE182" s="1">
        <f t="shared" si="72"/>
        <v>0</v>
      </c>
      <c r="BF182" s="5">
        <f t="shared" si="73"/>
        <v>0</v>
      </c>
      <c r="BG182" s="5">
        <f t="shared" si="74"/>
        <v>0</v>
      </c>
      <c r="BH182" s="5">
        <f t="shared" si="75"/>
        <v>0</v>
      </c>
      <c r="BI182" s="5">
        <f t="shared" si="82"/>
        <v>0</v>
      </c>
      <c r="BJ182" s="11">
        <f t="shared" si="83"/>
        <v>0</v>
      </c>
      <c r="BK182" s="11" t="e">
        <f t="shared" si="83"/>
        <v>#DIV/0!</v>
      </c>
      <c r="BM182" s="1">
        <f t="shared" si="76"/>
        <v>0</v>
      </c>
      <c r="BN182" s="1">
        <f t="shared" si="77"/>
        <v>0</v>
      </c>
    </row>
    <row r="183" spans="1:66" x14ac:dyDescent="0.2">
      <c r="A183" s="4">
        <f t="shared" si="84"/>
        <v>45835</v>
      </c>
      <c r="B183" s="1">
        <v>178</v>
      </c>
      <c r="C183" s="1">
        <v>5</v>
      </c>
      <c r="AN183" s="1">
        <f t="shared" si="61"/>
        <v>0</v>
      </c>
      <c r="AO183" s="1">
        <f t="shared" si="62"/>
        <v>0</v>
      </c>
      <c r="AP183" s="1">
        <f t="shared" si="63"/>
        <v>0</v>
      </c>
      <c r="AQ183" s="18">
        <f t="shared" si="64"/>
        <v>0</v>
      </c>
      <c r="AR183" s="24" t="e">
        <f t="shared" si="79"/>
        <v>#DIV/0!</v>
      </c>
      <c r="AT183" s="20">
        <f t="shared" si="65"/>
        <v>45835</v>
      </c>
      <c r="AU183" s="21">
        <f t="shared" si="66"/>
        <v>178</v>
      </c>
      <c r="AV183" s="1">
        <f t="shared" si="67"/>
        <v>0</v>
      </c>
      <c r="AW183" s="1">
        <f t="shared" si="68"/>
        <v>0</v>
      </c>
      <c r="AX183" s="1">
        <f t="shared" si="69"/>
        <v>0</v>
      </c>
      <c r="AY183" s="1">
        <f t="shared" si="59"/>
        <v>0</v>
      </c>
      <c r="AZ183" s="1">
        <f t="shared" si="60"/>
        <v>0</v>
      </c>
      <c r="BA183" s="1">
        <f t="shared" si="80"/>
        <v>0</v>
      </c>
      <c r="BB183" s="5">
        <v>-999</v>
      </c>
      <c r="BC183" s="1">
        <f t="shared" si="70"/>
        <v>0</v>
      </c>
      <c r="BD183" s="1">
        <f t="shared" si="71"/>
        <v>0</v>
      </c>
      <c r="BE183" s="1">
        <f t="shared" si="72"/>
        <v>0</v>
      </c>
      <c r="BF183" s="5">
        <f t="shared" si="73"/>
        <v>0</v>
      </c>
      <c r="BG183" s="5">
        <f t="shared" si="74"/>
        <v>0</v>
      </c>
      <c r="BH183" s="5">
        <f t="shared" si="75"/>
        <v>0</v>
      </c>
      <c r="BI183" s="5">
        <f t="shared" si="82"/>
        <v>0</v>
      </c>
      <c r="BJ183" s="11">
        <f t="shared" si="83"/>
        <v>0</v>
      </c>
      <c r="BK183" s="11" t="e">
        <f t="shared" si="83"/>
        <v>#DIV/0!</v>
      </c>
      <c r="BM183" s="1">
        <f t="shared" si="76"/>
        <v>0</v>
      </c>
      <c r="BN183" s="1">
        <f t="shared" si="77"/>
        <v>0</v>
      </c>
    </row>
    <row r="184" spans="1:66" x14ac:dyDescent="0.2">
      <c r="A184" s="4">
        <f t="shared" si="84"/>
        <v>45836</v>
      </c>
      <c r="B184" s="1">
        <v>179</v>
      </c>
      <c r="C184" s="1">
        <v>5</v>
      </c>
      <c r="AN184" s="1">
        <f t="shared" si="61"/>
        <v>0</v>
      </c>
      <c r="AO184" s="1">
        <f t="shared" si="62"/>
        <v>0</v>
      </c>
      <c r="AP184" s="1">
        <f t="shared" si="63"/>
        <v>0</v>
      </c>
      <c r="AQ184" s="18">
        <f t="shared" si="64"/>
        <v>0</v>
      </c>
      <c r="AR184" s="24" t="e">
        <f t="shared" si="79"/>
        <v>#DIV/0!</v>
      </c>
      <c r="AT184" s="20">
        <f t="shared" si="65"/>
        <v>45836</v>
      </c>
      <c r="AU184" s="21">
        <f t="shared" si="66"/>
        <v>179</v>
      </c>
      <c r="AV184" s="1">
        <f t="shared" si="67"/>
        <v>0</v>
      </c>
      <c r="AW184" s="1">
        <f t="shared" si="68"/>
        <v>0</v>
      </c>
      <c r="AX184" s="1">
        <f t="shared" si="69"/>
        <v>0</v>
      </c>
      <c r="AY184" s="1">
        <f t="shared" si="59"/>
        <v>0</v>
      </c>
      <c r="AZ184" s="1">
        <f t="shared" si="60"/>
        <v>0</v>
      </c>
      <c r="BA184" s="1">
        <f t="shared" si="80"/>
        <v>0</v>
      </c>
      <c r="BB184" s="5">
        <v>-999</v>
      </c>
      <c r="BC184" s="1">
        <f t="shared" si="70"/>
        <v>0</v>
      </c>
      <c r="BD184" s="1">
        <f t="shared" si="71"/>
        <v>0</v>
      </c>
      <c r="BE184" s="1">
        <f t="shared" si="72"/>
        <v>0</v>
      </c>
      <c r="BF184" s="5">
        <f t="shared" si="73"/>
        <v>0</v>
      </c>
      <c r="BG184" s="5">
        <f t="shared" si="74"/>
        <v>0</v>
      </c>
      <c r="BH184" s="5">
        <f t="shared" si="75"/>
        <v>0</v>
      </c>
      <c r="BI184" s="5">
        <f t="shared" si="82"/>
        <v>0</v>
      </c>
      <c r="BJ184" s="11">
        <f t="shared" si="83"/>
        <v>0</v>
      </c>
      <c r="BK184" s="11" t="e">
        <f t="shared" si="83"/>
        <v>#DIV/0!</v>
      </c>
      <c r="BM184" s="1">
        <f t="shared" si="76"/>
        <v>0</v>
      </c>
      <c r="BN184" s="1">
        <f t="shared" si="77"/>
        <v>0</v>
      </c>
    </row>
    <row r="185" spans="1:66" x14ac:dyDescent="0.2">
      <c r="A185" s="4">
        <f t="shared" si="84"/>
        <v>45837</v>
      </c>
      <c r="B185" s="1">
        <v>180</v>
      </c>
      <c r="C185" s="1">
        <v>5</v>
      </c>
      <c r="AN185" s="1">
        <f t="shared" si="61"/>
        <v>0</v>
      </c>
      <c r="AO185" s="1">
        <f t="shared" si="62"/>
        <v>0</v>
      </c>
      <c r="AP185" s="1">
        <f t="shared" si="63"/>
        <v>0</v>
      </c>
      <c r="AQ185" s="18">
        <f t="shared" si="64"/>
        <v>0</v>
      </c>
      <c r="AR185" s="24" t="e">
        <f t="shared" si="79"/>
        <v>#DIV/0!</v>
      </c>
      <c r="AT185" s="20">
        <f t="shared" si="65"/>
        <v>45837</v>
      </c>
      <c r="AU185" s="21">
        <f t="shared" si="66"/>
        <v>180</v>
      </c>
      <c r="AV185" s="1">
        <f t="shared" si="67"/>
        <v>0</v>
      </c>
      <c r="AW185" s="1">
        <f t="shared" si="68"/>
        <v>0</v>
      </c>
      <c r="AX185" s="1">
        <f t="shared" si="69"/>
        <v>0</v>
      </c>
      <c r="AY185" s="1">
        <f t="shared" si="59"/>
        <v>0</v>
      </c>
      <c r="AZ185" s="1">
        <f t="shared" si="60"/>
        <v>0</v>
      </c>
      <c r="BA185" s="1">
        <f t="shared" si="80"/>
        <v>0</v>
      </c>
      <c r="BB185" s="5">
        <v>-999</v>
      </c>
      <c r="BC185" s="1">
        <f t="shared" si="70"/>
        <v>0</v>
      </c>
      <c r="BD185" s="1">
        <f t="shared" si="71"/>
        <v>0</v>
      </c>
      <c r="BE185" s="1">
        <f t="shared" si="72"/>
        <v>0</v>
      </c>
      <c r="BF185" s="5">
        <f t="shared" si="73"/>
        <v>0</v>
      </c>
      <c r="BG185" s="5">
        <f t="shared" si="74"/>
        <v>0</v>
      </c>
      <c r="BH185" s="5">
        <f t="shared" si="75"/>
        <v>0</v>
      </c>
      <c r="BI185" s="5">
        <f t="shared" si="82"/>
        <v>0</v>
      </c>
      <c r="BJ185" s="11">
        <f t="shared" si="83"/>
        <v>0</v>
      </c>
      <c r="BK185" s="11" t="e">
        <f t="shared" si="83"/>
        <v>#DIV/0!</v>
      </c>
      <c r="BM185" s="1">
        <f t="shared" si="76"/>
        <v>0</v>
      </c>
      <c r="BN185" s="1">
        <f t="shared" si="77"/>
        <v>0</v>
      </c>
    </row>
    <row r="186" spans="1:66" x14ac:dyDescent="0.2">
      <c r="A186" s="4">
        <f t="shared" si="84"/>
        <v>45838</v>
      </c>
      <c r="B186" s="1">
        <v>181</v>
      </c>
      <c r="C186" s="1">
        <v>5</v>
      </c>
      <c r="AN186" s="1">
        <f t="shared" si="61"/>
        <v>0</v>
      </c>
      <c r="AO186" s="1">
        <f t="shared" si="62"/>
        <v>0</v>
      </c>
      <c r="AP186" s="1">
        <f t="shared" si="63"/>
        <v>0</v>
      </c>
      <c r="AQ186" s="18">
        <f t="shared" si="64"/>
        <v>0</v>
      </c>
      <c r="AR186" s="24" t="e">
        <f t="shared" si="79"/>
        <v>#DIV/0!</v>
      </c>
      <c r="AT186" s="20">
        <f t="shared" si="65"/>
        <v>45838</v>
      </c>
      <c r="AU186" s="21">
        <f t="shared" si="66"/>
        <v>181</v>
      </c>
      <c r="AV186" s="1">
        <f t="shared" si="67"/>
        <v>0</v>
      </c>
      <c r="AW186" s="1">
        <f t="shared" si="68"/>
        <v>0</v>
      </c>
      <c r="AX186" s="1">
        <f t="shared" si="69"/>
        <v>0</v>
      </c>
      <c r="AY186" s="1">
        <f t="shared" si="59"/>
        <v>0</v>
      </c>
      <c r="AZ186" s="1">
        <f t="shared" si="60"/>
        <v>0</v>
      </c>
      <c r="BA186" s="1">
        <f t="shared" si="80"/>
        <v>0</v>
      </c>
      <c r="BB186" s="5">
        <v>-999</v>
      </c>
      <c r="BC186" s="1">
        <f t="shared" si="70"/>
        <v>0</v>
      </c>
      <c r="BD186" s="1">
        <f t="shared" si="71"/>
        <v>0</v>
      </c>
      <c r="BE186" s="1">
        <f t="shared" si="72"/>
        <v>0</v>
      </c>
      <c r="BF186" s="5">
        <f t="shared" si="73"/>
        <v>0</v>
      </c>
      <c r="BG186" s="5">
        <f t="shared" si="74"/>
        <v>0</v>
      </c>
      <c r="BH186" s="5">
        <f t="shared" si="75"/>
        <v>0</v>
      </c>
      <c r="BI186" s="5">
        <f t="shared" si="82"/>
        <v>0</v>
      </c>
      <c r="BJ186" s="11">
        <f t="shared" si="83"/>
        <v>0</v>
      </c>
      <c r="BK186" s="11" t="e">
        <f t="shared" si="83"/>
        <v>#DIV/0!</v>
      </c>
      <c r="BM186" s="1">
        <f t="shared" si="76"/>
        <v>0</v>
      </c>
      <c r="BN186" s="1">
        <f t="shared" si="77"/>
        <v>0</v>
      </c>
    </row>
    <row r="187" spans="1:66" x14ac:dyDescent="0.2">
      <c r="A187" s="4">
        <f t="shared" si="84"/>
        <v>45839</v>
      </c>
      <c r="B187" s="1">
        <v>182</v>
      </c>
      <c r="C187" s="1">
        <v>5</v>
      </c>
      <c r="AN187" s="1">
        <f t="shared" si="61"/>
        <v>0</v>
      </c>
      <c r="AO187" s="1">
        <f t="shared" si="62"/>
        <v>0</v>
      </c>
      <c r="AP187" s="1">
        <f t="shared" si="63"/>
        <v>0</v>
      </c>
      <c r="AQ187" s="18">
        <f t="shared" si="64"/>
        <v>0</v>
      </c>
      <c r="AR187" s="24" t="e">
        <f t="shared" si="79"/>
        <v>#DIV/0!</v>
      </c>
      <c r="AT187" s="20">
        <f t="shared" si="65"/>
        <v>45839</v>
      </c>
      <c r="AU187" s="21">
        <f t="shared" si="66"/>
        <v>182</v>
      </c>
      <c r="AV187" s="1">
        <f t="shared" si="67"/>
        <v>0</v>
      </c>
      <c r="AW187" s="1">
        <f t="shared" si="68"/>
        <v>0</v>
      </c>
      <c r="AX187" s="1">
        <f t="shared" si="69"/>
        <v>0</v>
      </c>
      <c r="AY187" s="1">
        <f t="shared" si="59"/>
        <v>0</v>
      </c>
      <c r="AZ187" s="1">
        <f t="shared" si="60"/>
        <v>0</v>
      </c>
      <c r="BA187" s="1">
        <f t="shared" si="80"/>
        <v>0</v>
      </c>
      <c r="BB187" s="5">
        <v>-999</v>
      </c>
      <c r="BC187" s="1">
        <f t="shared" si="70"/>
        <v>0</v>
      </c>
      <c r="BD187" s="1">
        <f t="shared" si="71"/>
        <v>0</v>
      </c>
      <c r="BE187" s="1">
        <f t="shared" si="72"/>
        <v>0</v>
      </c>
      <c r="BF187" s="5">
        <f t="shared" si="73"/>
        <v>0</v>
      </c>
      <c r="BG187" s="5">
        <f t="shared" si="74"/>
        <v>0</v>
      </c>
      <c r="BH187" s="5">
        <f t="shared" si="75"/>
        <v>0</v>
      </c>
      <c r="BI187" s="5">
        <f t="shared" si="82"/>
        <v>0</v>
      </c>
      <c r="BJ187" s="11">
        <f t="shared" si="83"/>
        <v>0</v>
      </c>
      <c r="BK187" s="11" t="e">
        <f t="shared" si="83"/>
        <v>#DIV/0!</v>
      </c>
      <c r="BM187" s="1">
        <f t="shared" si="76"/>
        <v>0</v>
      </c>
      <c r="BN187" s="1">
        <f t="shared" si="77"/>
        <v>0</v>
      </c>
    </row>
    <row r="188" spans="1:66" x14ac:dyDescent="0.2">
      <c r="A188" s="4">
        <f t="shared" si="84"/>
        <v>45840</v>
      </c>
      <c r="B188" s="1">
        <v>183</v>
      </c>
      <c r="C188" s="1">
        <v>5</v>
      </c>
      <c r="AN188" s="1">
        <f t="shared" si="61"/>
        <v>0</v>
      </c>
      <c r="AO188" s="1">
        <f t="shared" si="62"/>
        <v>0</v>
      </c>
      <c r="AP188" s="1">
        <f t="shared" si="63"/>
        <v>0</v>
      </c>
      <c r="AQ188" s="18">
        <f t="shared" si="64"/>
        <v>0</v>
      </c>
      <c r="AR188" s="24" t="e">
        <f t="shared" si="79"/>
        <v>#DIV/0!</v>
      </c>
      <c r="AT188" s="20">
        <f t="shared" si="65"/>
        <v>45840</v>
      </c>
      <c r="AU188" s="21">
        <f t="shared" si="66"/>
        <v>183</v>
      </c>
      <c r="AV188" s="1">
        <f t="shared" si="67"/>
        <v>0</v>
      </c>
      <c r="AW188" s="1">
        <f t="shared" si="68"/>
        <v>0</v>
      </c>
      <c r="AX188" s="1">
        <f t="shared" si="69"/>
        <v>0</v>
      </c>
      <c r="AY188" s="1">
        <f t="shared" si="59"/>
        <v>0</v>
      </c>
      <c r="AZ188" s="1">
        <f t="shared" si="60"/>
        <v>0</v>
      </c>
      <c r="BA188" s="1">
        <f t="shared" si="80"/>
        <v>0</v>
      </c>
      <c r="BB188" s="5">
        <v>-999</v>
      </c>
      <c r="BC188" s="1">
        <f t="shared" si="70"/>
        <v>0</v>
      </c>
      <c r="BD188" s="1">
        <f t="shared" si="71"/>
        <v>0</v>
      </c>
      <c r="BE188" s="1">
        <f t="shared" si="72"/>
        <v>0</v>
      </c>
      <c r="BF188" s="5">
        <f t="shared" si="73"/>
        <v>0</v>
      </c>
      <c r="BG188" s="5">
        <f t="shared" si="74"/>
        <v>0</v>
      </c>
      <c r="BH188" s="5">
        <f t="shared" si="75"/>
        <v>0</v>
      </c>
      <c r="BI188" s="5">
        <f t="shared" si="82"/>
        <v>0</v>
      </c>
      <c r="BJ188" s="11">
        <f t="shared" si="83"/>
        <v>0</v>
      </c>
      <c r="BK188" s="11" t="e">
        <f t="shared" si="83"/>
        <v>#DIV/0!</v>
      </c>
      <c r="BM188" s="1">
        <f t="shared" si="76"/>
        <v>0</v>
      </c>
      <c r="BN188" s="1">
        <f t="shared" si="77"/>
        <v>0</v>
      </c>
    </row>
    <row r="189" spans="1:66" x14ac:dyDescent="0.2">
      <c r="A189" s="4">
        <f t="shared" si="84"/>
        <v>45841</v>
      </c>
      <c r="B189" s="1">
        <v>184</v>
      </c>
      <c r="C189" s="1">
        <v>5</v>
      </c>
      <c r="AN189" s="1">
        <f t="shared" si="61"/>
        <v>0</v>
      </c>
      <c r="AO189" s="1">
        <f t="shared" si="62"/>
        <v>0</v>
      </c>
      <c r="AP189" s="1">
        <f t="shared" si="63"/>
        <v>0</v>
      </c>
      <c r="AQ189" s="18">
        <f t="shared" si="64"/>
        <v>0</v>
      </c>
      <c r="AR189" s="24" t="e">
        <f t="shared" si="79"/>
        <v>#DIV/0!</v>
      </c>
      <c r="AT189" s="20">
        <f t="shared" si="65"/>
        <v>45841</v>
      </c>
      <c r="AU189" s="21">
        <f t="shared" si="66"/>
        <v>184</v>
      </c>
      <c r="AV189" s="1">
        <f t="shared" si="67"/>
        <v>0</v>
      </c>
      <c r="AW189" s="1">
        <f t="shared" si="68"/>
        <v>0</v>
      </c>
      <c r="AX189" s="1">
        <f t="shared" si="69"/>
        <v>0</v>
      </c>
      <c r="AY189" s="1">
        <f t="shared" si="59"/>
        <v>0</v>
      </c>
      <c r="AZ189" s="1">
        <f t="shared" si="60"/>
        <v>0</v>
      </c>
      <c r="BA189" s="1">
        <f t="shared" si="80"/>
        <v>0</v>
      </c>
      <c r="BB189" s="5">
        <v>-999</v>
      </c>
      <c r="BC189" s="1">
        <f t="shared" si="70"/>
        <v>0</v>
      </c>
      <c r="BD189" s="1">
        <f t="shared" si="71"/>
        <v>0</v>
      </c>
      <c r="BE189" s="1">
        <f t="shared" si="72"/>
        <v>0</v>
      </c>
      <c r="BF189" s="5">
        <f t="shared" si="73"/>
        <v>0</v>
      </c>
      <c r="BG189" s="5">
        <f t="shared" si="74"/>
        <v>0</v>
      </c>
      <c r="BH189" s="5">
        <f t="shared" si="75"/>
        <v>0</v>
      </c>
      <c r="BI189" s="5">
        <f t="shared" si="82"/>
        <v>0</v>
      </c>
      <c r="BJ189" s="11">
        <f t="shared" si="83"/>
        <v>0</v>
      </c>
      <c r="BK189" s="11" t="e">
        <f t="shared" si="83"/>
        <v>#DIV/0!</v>
      </c>
      <c r="BM189" s="1">
        <f t="shared" si="76"/>
        <v>0</v>
      </c>
      <c r="BN189" s="1">
        <f t="shared" si="77"/>
        <v>0</v>
      </c>
    </row>
    <row r="190" spans="1:66" x14ac:dyDescent="0.2">
      <c r="A190" s="4">
        <f t="shared" si="84"/>
        <v>45842</v>
      </c>
      <c r="B190" s="1">
        <v>185</v>
      </c>
      <c r="C190" s="1">
        <v>5</v>
      </c>
      <c r="AN190" s="1">
        <f t="shared" si="61"/>
        <v>0</v>
      </c>
      <c r="AO190" s="1">
        <f t="shared" si="62"/>
        <v>0</v>
      </c>
      <c r="AP190" s="1">
        <f t="shared" si="63"/>
        <v>0</v>
      </c>
      <c r="AQ190" s="18">
        <f t="shared" si="64"/>
        <v>0</v>
      </c>
      <c r="AR190" s="24" t="e">
        <f t="shared" si="79"/>
        <v>#DIV/0!</v>
      </c>
      <c r="AT190" s="20">
        <f t="shared" si="65"/>
        <v>45842</v>
      </c>
      <c r="AU190" s="21">
        <f t="shared" si="66"/>
        <v>185</v>
      </c>
      <c r="AV190" s="1">
        <f t="shared" si="67"/>
        <v>0</v>
      </c>
      <c r="AW190" s="1">
        <f t="shared" si="68"/>
        <v>0</v>
      </c>
      <c r="AX190" s="1">
        <f t="shared" si="69"/>
        <v>0</v>
      </c>
      <c r="AY190" s="1">
        <f t="shared" si="59"/>
        <v>0</v>
      </c>
      <c r="AZ190" s="1">
        <f t="shared" si="60"/>
        <v>0</v>
      </c>
      <c r="BA190" s="1">
        <f t="shared" si="80"/>
        <v>0</v>
      </c>
      <c r="BB190" s="5">
        <v>-999</v>
      </c>
      <c r="BC190" s="1">
        <f t="shared" si="70"/>
        <v>0</v>
      </c>
      <c r="BD190" s="1">
        <f t="shared" si="71"/>
        <v>0</v>
      </c>
      <c r="BE190" s="1">
        <f t="shared" si="72"/>
        <v>0</v>
      </c>
      <c r="BF190" s="5">
        <f t="shared" si="73"/>
        <v>0</v>
      </c>
      <c r="BG190" s="5">
        <f t="shared" si="74"/>
        <v>0</v>
      </c>
      <c r="BH190" s="5">
        <f t="shared" si="75"/>
        <v>0</v>
      </c>
      <c r="BI190" s="5">
        <f t="shared" si="82"/>
        <v>0</v>
      </c>
      <c r="BJ190" s="11">
        <f t="shared" si="83"/>
        <v>0</v>
      </c>
      <c r="BK190" s="11" t="e">
        <f t="shared" si="83"/>
        <v>#DIV/0!</v>
      </c>
      <c r="BM190" s="1">
        <f t="shared" si="76"/>
        <v>0</v>
      </c>
      <c r="BN190" s="1">
        <f t="shared" si="77"/>
        <v>0</v>
      </c>
    </row>
    <row r="191" spans="1:66" x14ac:dyDescent="0.2">
      <c r="A191" s="4">
        <f t="shared" si="84"/>
        <v>45843</v>
      </c>
      <c r="B191" s="1">
        <v>186</v>
      </c>
      <c r="C191" s="1">
        <v>5</v>
      </c>
      <c r="AN191" s="1">
        <f t="shared" si="61"/>
        <v>0</v>
      </c>
      <c r="AO191" s="1">
        <f t="shared" si="62"/>
        <v>0</v>
      </c>
      <c r="AP191" s="1">
        <f t="shared" si="63"/>
        <v>0</v>
      </c>
      <c r="AQ191" s="18">
        <f t="shared" si="64"/>
        <v>0</v>
      </c>
      <c r="AR191" s="24" t="e">
        <f t="shared" si="79"/>
        <v>#DIV/0!</v>
      </c>
      <c r="AT191" s="20">
        <f t="shared" si="65"/>
        <v>45843</v>
      </c>
      <c r="AU191" s="21">
        <f t="shared" si="66"/>
        <v>186</v>
      </c>
      <c r="AV191" s="1">
        <f t="shared" si="67"/>
        <v>0</v>
      </c>
      <c r="AW191" s="1">
        <f t="shared" si="68"/>
        <v>0</v>
      </c>
      <c r="AX191" s="1">
        <f t="shared" si="69"/>
        <v>0</v>
      </c>
      <c r="AY191" s="1">
        <f t="shared" si="59"/>
        <v>0</v>
      </c>
      <c r="AZ191" s="1">
        <f t="shared" si="60"/>
        <v>0</v>
      </c>
      <c r="BA191" s="1">
        <f t="shared" si="80"/>
        <v>0</v>
      </c>
      <c r="BB191" s="5">
        <v>-999</v>
      </c>
      <c r="BC191" s="1">
        <f t="shared" si="70"/>
        <v>0</v>
      </c>
      <c r="BD191" s="1">
        <f t="shared" si="71"/>
        <v>0</v>
      </c>
      <c r="BE191" s="1">
        <f t="shared" si="72"/>
        <v>0</v>
      </c>
      <c r="BF191" s="5">
        <f t="shared" si="73"/>
        <v>0</v>
      </c>
      <c r="BG191" s="5">
        <f t="shared" si="74"/>
        <v>0</v>
      </c>
      <c r="BH191" s="5">
        <f t="shared" si="75"/>
        <v>0</v>
      </c>
      <c r="BI191" s="5">
        <f t="shared" si="82"/>
        <v>0</v>
      </c>
      <c r="BJ191" s="11">
        <f t="shared" si="83"/>
        <v>0</v>
      </c>
      <c r="BK191" s="11" t="e">
        <f t="shared" si="83"/>
        <v>#DIV/0!</v>
      </c>
      <c r="BM191" s="1">
        <f t="shared" si="76"/>
        <v>0</v>
      </c>
      <c r="BN191" s="1">
        <f t="shared" si="77"/>
        <v>0</v>
      </c>
    </row>
    <row r="192" spans="1:66" x14ac:dyDescent="0.2">
      <c r="A192" s="4">
        <f t="shared" si="84"/>
        <v>45844</v>
      </c>
      <c r="B192" s="1">
        <v>187</v>
      </c>
      <c r="C192" s="1">
        <v>5</v>
      </c>
      <c r="AN192" s="1">
        <f t="shared" si="61"/>
        <v>0</v>
      </c>
      <c r="AO192" s="1">
        <f t="shared" si="62"/>
        <v>0</v>
      </c>
      <c r="AP192" s="1">
        <f t="shared" si="63"/>
        <v>0</v>
      </c>
      <c r="AQ192" s="18">
        <f t="shared" si="64"/>
        <v>0</v>
      </c>
      <c r="AR192" s="24" t="e">
        <f t="shared" si="79"/>
        <v>#DIV/0!</v>
      </c>
      <c r="AT192" s="20">
        <f t="shared" si="65"/>
        <v>45844</v>
      </c>
      <c r="AU192" s="21">
        <f t="shared" si="66"/>
        <v>187</v>
      </c>
      <c r="AV192" s="1">
        <f t="shared" si="67"/>
        <v>0</v>
      </c>
      <c r="AW192" s="1">
        <f t="shared" si="68"/>
        <v>0</v>
      </c>
      <c r="AX192" s="1">
        <f t="shared" si="69"/>
        <v>0</v>
      </c>
      <c r="AY192" s="1">
        <f t="shared" si="59"/>
        <v>0</v>
      </c>
      <c r="AZ192" s="1">
        <f t="shared" si="60"/>
        <v>0</v>
      </c>
      <c r="BA192" s="1">
        <f t="shared" si="80"/>
        <v>0</v>
      </c>
      <c r="BB192" s="5">
        <v>-999</v>
      </c>
      <c r="BC192" s="1">
        <f t="shared" si="70"/>
        <v>0</v>
      </c>
      <c r="BD192" s="1">
        <f t="shared" si="71"/>
        <v>0</v>
      </c>
      <c r="BE192" s="1">
        <f t="shared" si="72"/>
        <v>0</v>
      </c>
      <c r="BF192" s="5">
        <f t="shared" si="73"/>
        <v>0</v>
      </c>
      <c r="BG192" s="5">
        <f t="shared" si="74"/>
        <v>0</v>
      </c>
      <c r="BH192" s="5">
        <f t="shared" si="75"/>
        <v>0</v>
      </c>
      <c r="BI192" s="5">
        <f t="shared" si="82"/>
        <v>0</v>
      </c>
      <c r="BJ192" s="11">
        <f t="shared" si="83"/>
        <v>0</v>
      </c>
      <c r="BK192" s="11" t="e">
        <f t="shared" si="83"/>
        <v>#DIV/0!</v>
      </c>
      <c r="BM192" s="1">
        <f t="shared" si="76"/>
        <v>0</v>
      </c>
      <c r="BN192" s="1">
        <f t="shared" si="77"/>
        <v>0</v>
      </c>
    </row>
    <row r="193" spans="1:66" x14ac:dyDescent="0.2">
      <c r="A193" s="4">
        <f t="shared" si="84"/>
        <v>45845</v>
      </c>
      <c r="B193" s="1">
        <v>188</v>
      </c>
      <c r="C193" s="1">
        <v>5</v>
      </c>
      <c r="AN193" s="1">
        <f t="shared" si="61"/>
        <v>0</v>
      </c>
      <c r="AO193" s="1">
        <f t="shared" si="62"/>
        <v>0</v>
      </c>
      <c r="AP193" s="1">
        <f t="shared" si="63"/>
        <v>0</v>
      </c>
      <c r="AQ193" s="18">
        <f t="shared" si="64"/>
        <v>0</v>
      </c>
      <c r="AR193" s="24" t="e">
        <f t="shared" si="79"/>
        <v>#DIV/0!</v>
      </c>
      <c r="AT193" s="20">
        <f t="shared" si="65"/>
        <v>45845</v>
      </c>
      <c r="AU193" s="21">
        <f t="shared" si="66"/>
        <v>188</v>
      </c>
      <c r="AV193" s="1">
        <f t="shared" si="67"/>
        <v>0</v>
      </c>
      <c r="AW193" s="1">
        <f t="shared" si="68"/>
        <v>0</v>
      </c>
      <c r="AX193" s="1">
        <f t="shared" si="69"/>
        <v>0</v>
      </c>
      <c r="AY193" s="1">
        <f t="shared" si="59"/>
        <v>0</v>
      </c>
      <c r="AZ193" s="1">
        <f t="shared" si="60"/>
        <v>0</v>
      </c>
      <c r="BA193" s="1">
        <f t="shared" si="80"/>
        <v>0</v>
      </c>
      <c r="BB193" s="5">
        <v>-999</v>
      </c>
      <c r="BC193" s="1">
        <f t="shared" si="70"/>
        <v>0</v>
      </c>
      <c r="BD193" s="1">
        <f t="shared" si="71"/>
        <v>0</v>
      </c>
      <c r="BE193" s="1">
        <f t="shared" si="72"/>
        <v>0</v>
      </c>
      <c r="BF193" s="5">
        <f t="shared" si="73"/>
        <v>0</v>
      </c>
      <c r="BG193" s="5">
        <f t="shared" si="74"/>
        <v>0</v>
      </c>
      <c r="BH193" s="5">
        <f t="shared" si="75"/>
        <v>0</v>
      </c>
      <c r="BI193" s="5">
        <f t="shared" si="82"/>
        <v>0</v>
      </c>
      <c r="BJ193" s="11">
        <f t="shared" si="83"/>
        <v>0</v>
      </c>
      <c r="BK193" s="11" t="e">
        <f t="shared" si="83"/>
        <v>#DIV/0!</v>
      </c>
      <c r="BM193" s="1">
        <f t="shared" si="76"/>
        <v>0</v>
      </c>
      <c r="BN193" s="1">
        <f t="shared" si="77"/>
        <v>0</v>
      </c>
    </row>
    <row r="194" spans="1:66" x14ac:dyDescent="0.2">
      <c r="A194" s="4">
        <f t="shared" si="84"/>
        <v>45846</v>
      </c>
      <c r="B194" s="1">
        <v>189</v>
      </c>
      <c r="C194" s="1">
        <v>5</v>
      </c>
      <c r="AN194" s="1">
        <f t="shared" si="61"/>
        <v>0</v>
      </c>
      <c r="AO194" s="1">
        <f t="shared" si="62"/>
        <v>0</v>
      </c>
      <c r="AP194" s="1">
        <f t="shared" si="63"/>
        <v>0</v>
      </c>
      <c r="AQ194" s="18">
        <f t="shared" si="64"/>
        <v>0</v>
      </c>
      <c r="AR194" s="24" t="e">
        <f t="shared" si="79"/>
        <v>#DIV/0!</v>
      </c>
      <c r="AT194" s="20">
        <f t="shared" si="65"/>
        <v>45846</v>
      </c>
      <c r="AU194" s="21">
        <f t="shared" si="66"/>
        <v>189</v>
      </c>
      <c r="AV194" s="1">
        <f t="shared" si="67"/>
        <v>0</v>
      </c>
      <c r="AW194" s="1">
        <f t="shared" si="68"/>
        <v>0</v>
      </c>
      <c r="AX194" s="1">
        <f t="shared" si="69"/>
        <v>0</v>
      </c>
      <c r="AY194" s="1">
        <f t="shared" si="59"/>
        <v>0</v>
      </c>
      <c r="AZ194" s="1">
        <f t="shared" si="60"/>
        <v>0</v>
      </c>
      <c r="BA194" s="1">
        <f t="shared" si="80"/>
        <v>0</v>
      </c>
      <c r="BB194" s="5">
        <v>-999</v>
      </c>
      <c r="BC194" s="1">
        <f t="shared" si="70"/>
        <v>0</v>
      </c>
      <c r="BD194" s="1">
        <f t="shared" si="71"/>
        <v>0</v>
      </c>
      <c r="BE194" s="1">
        <f t="shared" si="72"/>
        <v>0</v>
      </c>
      <c r="BF194" s="5">
        <f t="shared" si="73"/>
        <v>0</v>
      </c>
      <c r="BG194" s="5">
        <f t="shared" si="74"/>
        <v>0</v>
      </c>
      <c r="BH194" s="5">
        <f t="shared" si="75"/>
        <v>0</v>
      </c>
      <c r="BI194" s="5">
        <f t="shared" si="82"/>
        <v>0</v>
      </c>
      <c r="BJ194" s="11">
        <f t="shared" si="83"/>
        <v>0</v>
      </c>
      <c r="BK194" s="11" t="e">
        <f t="shared" si="83"/>
        <v>#DIV/0!</v>
      </c>
      <c r="BM194" s="1">
        <f t="shared" si="76"/>
        <v>0</v>
      </c>
      <c r="BN194" s="1">
        <f t="shared" si="77"/>
        <v>0</v>
      </c>
    </row>
    <row r="195" spans="1:66" x14ac:dyDescent="0.2">
      <c r="A195" s="4">
        <f t="shared" si="84"/>
        <v>45847</v>
      </c>
      <c r="B195" s="1">
        <v>190</v>
      </c>
      <c r="C195" s="1">
        <v>5</v>
      </c>
      <c r="AN195" s="1">
        <f t="shared" si="61"/>
        <v>0</v>
      </c>
      <c r="AO195" s="1">
        <f t="shared" si="62"/>
        <v>0</v>
      </c>
      <c r="AP195" s="1">
        <f t="shared" si="63"/>
        <v>0</v>
      </c>
      <c r="AQ195" s="18">
        <f t="shared" si="64"/>
        <v>0</v>
      </c>
      <c r="AR195" s="24" t="e">
        <f t="shared" si="79"/>
        <v>#DIV/0!</v>
      </c>
      <c r="AT195" s="20">
        <f t="shared" si="65"/>
        <v>45847</v>
      </c>
      <c r="AU195" s="21">
        <f t="shared" si="66"/>
        <v>190</v>
      </c>
      <c r="AV195" s="1">
        <f t="shared" si="67"/>
        <v>0</v>
      </c>
      <c r="AW195" s="1">
        <f t="shared" si="68"/>
        <v>0</v>
      </c>
      <c r="AX195" s="1">
        <f t="shared" si="69"/>
        <v>0</v>
      </c>
      <c r="AY195" s="1">
        <f t="shared" si="59"/>
        <v>0</v>
      </c>
      <c r="AZ195" s="1">
        <f t="shared" si="60"/>
        <v>0</v>
      </c>
      <c r="BA195" s="1">
        <f t="shared" si="80"/>
        <v>0</v>
      </c>
      <c r="BB195" s="5">
        <v>-999</v>
      </c>
      <c r="BC195" s="1">
        <f t="shared" si="70"/>
        <v>0</v>
      </c>
      <c r="BD195" s="1">
        <f t="shared" si="71"/>
        <v>0</v>
      </c>
      <c r="BE195" s="1">
        <f t="shared" si="72"/>
        <v>0</v>
      </c>
      <c r="BF195" s="5">
        <f t="shared" si="73"/>
        <v>0</v>
      </c>
      <c r="BG195" s="5">
        <f t="shared" si="74"/>
        <v>0</v>
      </c>
      <c r="BH195" s="5">
        <f t="shared" si="75"/>
        <v>0</v>
      </c>
      <c r="BI195" s="5">
        <f t="shared" si="82"/>
        <v>0</v>
      </c>
      <c r="BJ195" s="11">
        <f t="shared" si="83"/>
        <v>0</v>
      </c>
      <c r="BK195" s="11" t="e">
        <f t="shared" si="83"/>
        <v>#DIV/0!</v>
      </c>
      <c r="BM195" s="1">
        <f t="shared" si="76"/>
        <v>0</v>
      </c>
      <c r="BN195" s="1">
        <f t="shared" si="77"/>
        <v>0</v>
      </c>
    </row>
    <row r="196" spans="1:66" x14ac:dyDescent="0.2">
      <c r="A196" s="4">
        <f t="shared" si="84"/>
        <v>45848</v>
      </c>
      <c r="B196" s="1">
        <v>191</v>
      </c>
      <c r="C196" s="1">
        <v>5</v>
      </c>
      <c r="AN196" s="1">
        <f t="shared" si="61"/>
        <v>0</v>
      </c>
      <c r="AO196" s="1">
        <f t="shared" si="62"/>
        <v>0</v>
      </c>
      <c r="AP196" s="1">
        <f t="shared" si="63"/>
        <v>0</v>
      </c>
      <c r="AQ196" s="18">
        <f t="shared" si="64"/>
        <v>0</v>
      </c>
      <c r="AR196" s="24" t="e">
        <f t="shared" si="79"/>
        <v>#DIV/0!</v>
      </c>
      <c r="AT196" s="20">
        <f t="shared" si="65"/>
        <v>45848</v>
      </c>
      <c r="AU196" s="21">
        <f t="shared" si="66"/>
        <v>191</v>
      </c>
      <c r="AV196" s="1">
        <f t="shared" si="67"/>
        <v>0</v>
      </c>
      <c r="AW196" s="1">
        <f t="shared" si="68"/>
        <v>0</v>
      </c>
      <c r="AX196" s="1">
        <f t="shared" si="69"/>
        <v>0</v>
      </c>
      <c r="AY196" s="1">
        <f t="shared" si="59"/>
        <v>0</v>
      </c>
      <c r="AZ196" s="1">
        <f t="shared" si="60"/>
        <v>0</v>
      </c>
      <c r="BA196" s="1">
        <f t="shared" si="80"/>
        <v>0</v>
      </c>
      <c r="BB196" s="5">
        <v>-999</v>
      </c>
      <c r="BC196" s="1">
        <f t="shared" si="70"/>
        <v>0</v>
      </c>
      <c r="BD196" s="1">
        <f t="shared" si="71"/>
        <v>0</v>
      </c>
      <c r="BE196" s="1">
        <f t="shared" si="72"/>
        <v>0</v>
      </c>
      <c r="BF196" s="5">
        <f t="shared" si="73"/>
        <v>0</v>
      </c>
      <c r="BG196" s="5">
        <f t="shared" si="74"/>
        <v>0</v>
      </c>
      <c r="BH196" s="5">
        <f t="shared" si="75"/>
        <v>0</v>
      </c>
      <c r="BI196" s="5">
        <f t="shared" si="82"/>
        <v>0</v>
      </c>
      <c r="BJ196" s="11">
        <f t="shared" si="83"/>
        <v>0</v>
      </c>
      <c r="BK196" s="11" t="e">
        <f t="shared" si="83"/>
        <v>#DIV/0!</v>
      </c>
      <c r="BM196" s="1">
        <f t="shared" si="76"/>
        <v>0</v>
      </c>
      <c r="BN196" s="1">
        <f t="shared" si="77"/>
        <v>0</v>
      </c>
    </row>
    <row r="197" spans="1:66" x14ac:dyDescent="0.2">
      <c r="A197" s="4">
        <f t="shared" si="84"/>
        <v>45849</v>
      </c>
      <c r="B197" s="1">
        <v>192</v>
      </c>
      <c r="C197" s="1">
        <v>5</v>
      </c>
      <c r="AN197" s="1">
        <f t="shared" si="61"/>
        <v>0</v>
      </c>
      <c r="AO197" s="1">
        <f t="shared" si="62"/>
        <v>0</v>
      </c>
      <c r="AP197" s="1">
        <f t="shared" si="63"/>
        <v>0</v>
      </c>
      <c r="AQ197" s="18">
        <f t="shared" si="64"/>
        <v>0</v>
      </c>
      <c r="AR197" s="24" t="e">
        <f t="shared" si="79"/>
        <v>#DIV/0!</v>
      </c>
      <c r="AT197" s="20">
        <f t="shared" si="65"/>
        <v>45849</v>
      </c>
      <c r="AU197" s="21">
        <f t="shared" si="66"/>
        <v>192</v>
      </c>
      <c r="AV197" s="1">
        <f t="shared" si="67"/>
        <v>0</v>
      </c>
      <c r="AW197" s="1">
        <f t="shared" si="68"/>
        <v>0</v>
      </c>
      <c r="AX197" s="1">
        <f t="shared" si="69"/>
        <v>0</v>
      </c>
      <c r="AY197" s="1">
        <f t="shared" ref="AY197:AY260" si="87">AO197</f>
        <v>0</v>
      </c>
      <c r="AZ197" s="1">
        <f t="shared" ref="AZ197:AZ260" si="88">AP197</f>
        <v>0</v>
      </c>
      <c r="BA197" s="1">
        <f t="shared" si="80"/>
        <v>0</v>
      </c>
      <c r="BB197" s="5">
        <v>-999</v>
      </c>
      <c r="BC197" s="1">
        <f t="shared" si="70"/>
        <v>0</v>
      </c>
      <c r="BD197" s="1">
        <f t="shared" si="71"/>
        <v>0</v>
      </c>
      <c r="BE197" s="1">
        <f t="shared" si="72"/>
        <v>0</v>
      </c>
      <c r="BF197" s="5">
        <f t="shared" si="73"/>
        <v>0</v>
      </c>
      <c r="BG197" s="5">
        <f t="shared" si="74"/>
        <v>0</v>
      </c>
      <c r="BH197" s="5">
        <f t="shared" si="75"/>
        <v>0</v>
      </c>
      <c r="BI197" s="5">
        <f t="shared" si="82"/>
        <v>0</v>
      </c>
      <c r="BJ197" s="11">
        <f t="shared" si="83"/>
        <v>0</v>
      </c>
      <c r="BK197" s="11" t="e">
        <f t="shared" si="83"/>
        <v>#DIV/0!</v>
      </c>
      <c r="BM197" s="1">
        <f t="shared" si="76"/>
        <v>0</v>
      </c>
      <c r="BN197" s="1">
        <f t="shared" si="77"/>
        <v>0</v>
      </c>
    </row>
    <row r="198" spans="1:66" x14ac:dyDescent="0.2">
      <c r="A198" s="4">
        <f t="shared" si="84"/>
        <v>45850</v>
      </c>
      <c r="B198" s="1">
        <v>193</v>
      </c>
      <c r="C198" s="1">
        <v>5</v>
      </c>
      <c r="AN198" s="1">
        <f t="shared" ref="AN198:AN261" si="89">ROUND(O198*AN$3+AO$3,1)</f>
        <v>0</v>
      </c>
      <c r="AO198" s="1">
        <f t="shared" ref="AO198:AO261" si="90">ROUND(H198*AN$3+AO$3,1)</f>
        <v>0</v>
      </c>
      <c r="AP198" s="1">
        <f t="shared" ref="AP198:AP261" si="91">ROUND(V198*AN$3+AO$3,1)</f>
        <v>0</v>
      </c>
      <c r="AQ198" s="18">
        <f t="shared" ref="AQ198:AQ261" si="92">ROUND((0.6105*(EXP((17.273*N198)/(N198+237.3))))*AP198/100,3)</f>
        <v>0</v>
      </c>
      <c r="AR198" s="24" t="e">
        <f t="shared" si="79"/>
        <v>#DIV/0!</v>
      </c>
      <c r="AT198" s="20">
        <f t="shared" ref="AT198:AT261" si="93">A198</f>
        <v>45850</v>
      </c>
      <c r="AU198" s="21">
        <f t="shared" ref="AU198:AU261" si="94">B198</f>
        <v>193</v>
      </c>
      <c r="AV198" s="1">
        <f t="shared" ref="AV198:AV261" si="95">ROUND(G198,1)</f>
        <v>0</v>
      </c>
      <c r="AW198" s="1">
        <f t="shared" ref="AW198:AW261" si="96">ROUND(N198,1)</f>
        <v>0</v>
      </c>
      <c r="AX198" s="1">
        <f t="shared" ref="AX198:AX261" si="97">ROUND(U198,1)</f>
        <v>0</v>
      </c>
      <c r="AY198" s="1">
        <f t="shared" si="87"/>
        <v>0</v>
      </c>
      <c r="AZ198" s="1">
        <f t="shared" si="88"/>
        <v>0</v>
      </c>
      <c r="BA198" s="1">
        <f t="shared" si="80"/>
        <v>0</v>
      </c>
      <c r="BB198" s="5">
        <v>-999</v>
      </c>
      <c r="BC198" s="1">
        <f t="shared" ref="BC198:BC261" si="98">ROUND(AC198,1)</f>
        <v>0</v>
      </c>
      <c r="BD198" s="1">
        <f t="shared" ref="BD198:BD261" si="99">ROUND(AD198,1)</f>
        <v>0</v>
      </c>
      <c r="BE198" s="1">
        <f t="shared" ref="BE198:BE261" si="100">ROUND(AE198,1)</f>
        <v>0</v>
      </c>
      <c r="BF198" s="5">
        <f t="shared" ref="BF198:BF261" si="101">ROUND(K198,1)</f>
        <v>0</v>
      </c>
      <c r="BG198" s="5">
        <f t="shared" ref="BG198:BG261" si="102">ROUND(L198,1)</f>
        <v>0</v>
      </c>
      <c r="BH198" s="5">
        <f t="shared" ref="BH198:BH261" si="103">ROUND(M198,1)</f>
        <v>0</v>
      </c>
      <c r="BI198" s="5">
        <f t="shared" si="82"/>
        <v>0</v>
      </c>
      <c r="BJ198" s="11">
        <f t="shared" si="83"/>
        <v>0</v>
      </c>
      <c r="BK198" s="11" t="e">
        <f t="shared" si="83"/>
        <v>#DIV/0!</v>
      </c>
      <c r="BM198" s="1">
        <f t="shared" ref="BM198:BM261" si="104">AD198-N198</f>
        <v>0</v>
      </c>
      <c r="BN198" s="1">
        <f t="shared" ref="BN198:BN261" si="105">AE198-U198</f>
        <v>0</v>
      </c>
    </row>
    <row r="199" spans="1:66" x14ac:dyDescent="0.2">
      <c r="A199" s="4">
        <f t="shared" si="84"/>
        <v>45851</v>
      </c>
      <c r="B199" s="1">
        <v>194</v>
      </c>
      <c r="C199" s="1">
        <v>5</v>
      </c>
      <c r="AN199" s="1">
        <f t="shared" si="89"/>
        <v>0</v>
      </c>
      <c r="AO199" s="1">
        <f t="shared" si="90"/>
        <v>0</v>
      </c>
      <c r="AP199" s="1">
        <f t="shared" si="91"/>
        <v>0</v>
      </c>
      <c r="AQ199" s="18">
        <f t="shared" si="92"/>
        <v>0</v>
      </c>
      <c r="AR199" s="24" t="e">
        <f t="shared" ref="AR199:AR262" si="106">ROUND(AQ199/AP199*(100-AP199),3)</f>
        <v>#DIV/0!</v>
      </c>
      <c r="AT199" s="20">
        <f t="shared" si="93"/>
        <v>45851</v>
      </c>
      <c r="AU199" s="21">
        <f t="shared" si="94"/>
        <v>194</v>
      </c>
      <c r="AV199" s="1">
        <f t="shared" si="95"/>
        <v>0</v>
      </c>
      <c r="AW199" s="1">
        <f t="shared" si="96"/>
        <v>0</v>
      </c>
      <c r="AX199" s="1">
        <f t="shared" si="97"/>
        <v>0</v>
      </c>
      <c r="AY199" s="1">
        <f t="shared" si="87"/>
        <v>0</v>
      </c>
      <c r="AZ199" s="1">
        <f t="shared" si="88"/>
        <v>0</v>
      </c>
      <c r="BA199" s="1">
        <f t="shared" ref="BA199:BA262" si="107">AK199</f>
        <v>0</v>
      </c>
      <c r="BB199" s="5">
        <v>-999</v>
      </c>
      <c r="BC199" s="1">
        <f t="shared" si="98"/>
        <v>0</v>
      </c>
      <c r="BD199" s="1">
        <f t="shared" si="99"/>
        <v>0</v>
      </c>
      <c r="BE199" s="1">
        <f t="shared" si="100"/>
        <v>0</v>
      </c>
      <c r="BF199" s="5">
        <f t="shared" si="101"/>
        <v>0</v>
      </c>
      <c r="BG199" s="5">
        <f t="shared" si="102"/>
        <v>0</v>
      </c>
      <c r="BH199" s="5">
        <f t="shared" si="103"/>
        <v>0</v>
      </c>
      <c r="BI199" s="5">
        <f t="shared" ref="BI199:BI262" si="108">IF(AH199="NAN","NAN",ROUND(AH199,3))</f>
        <v>0</v>
      </c>
      <c r="BJ199" s="11">
        <f t="shared" ref="BJ199:BK262" si="109">AQ199</f>
        <v>0</v>
      </c>
      <c r="BK199" s="11" t="e">
        <f t="shared" si="109"/>
        <v>#DIV/0!</v>
      </c>
      <c r="BM199" s="1">
        <f t="shared" si="104"/>
        <v>0</v>
      </c>
      <c r="BN199" s="1">
        <f t="shared" si="105"/>
        <v>0</v>
      </c>
    </row>
    <row r="200" spans="1:66" x14ac:dyDescent="0.2">
      <c r="A200" s="4">
        <f t="shared" ref="A200:A263" si="110">A199+1</f>
        <v>45852</v>
      </c>
      <c r="B200" s="1">
        <v>195</v>
      </c>
      <c r="C200" s="1">
        <v>5</v>
      </c>
      <c r="AN200" s="1">
        <f t="shared" si="89"/>
        <v>0</v>
      </c>
      <c r="AO200" s="1">
        <f t="shared" si="90"/>
        <v>0</v>
      </c>
      <c r="AP200" s="1">
        <f t="shared" si="91"/>
        <v>0</v>
      </c>
      <c r="AQ200" s="18">
        <f t="shared" si="92"/>
        <v>0</v>
      </c>
      <c r="AR200" s="24" t="e">
        <f t="shared" si="106"/>
        <v>#DIV/0!</v>
      </c>
      <c r="AT200" s="20">
        <f t="shared" si="93"/>
        <v>45852</v>
      </c>
      <c r="AU200" s="21">
        <f t="shared" si="94"/>
        <v>195</v>
      </c>
      <c r="AV200" s="1">
        <f t="shared" si="95"/>
        <v>0</v>
      </c>
      <c r="AW200" s="1">
        <f t="shared" si="96"/>
        <v>0</v>
      </c>
      <c r="AX200" s="1">
        <f t="shared" si="97"/>
        <v>0</v>
      </c>
      <c r="AY200" s="1">
        <f t="shared" si="87"/>
        <v>0</v>
      </c>
      <c r="AZ200" s="1">
        <f t="shared" si="88"/>
        <v>0</v>
      </c>
      <c r="BA200" s="1">
        <f t="shared" si="107"/>
        <v>0</v>
      </c>
      <c r="BB200" s="5">
        <v>-999</v>
      </c>
      <c r="BC200" s="1">
        <f t="shared" si="98"/>
        <v>0</v>
      </c>
      <c r="BD200" s="1">
        <f t="shared" si="99"/>
        <v>0</v>
      </c>
      <c r="BE200" s="1">
        <f t="shared" si="100"/>
        <v>0</v>
      </c>
      <c r="BF200" s="5">
        <f t="shared" si="101"/>
        <v>0</v>
      </c>
      <c r="BG200" s="5">
        <f t="shared" si="102"/>
        <v>0</v>
      </c>
      <c r="BH200" s="5">
        <f t="shared" si="103"/>
        <v>0</v>
      </c>
      <c r="BI200" s="5">
        <f t="shared" si="108"/>
        <v>0</v>
      </c>
      <c r="BJ200" s="11">
        <f t="shared" si="109"/>
        <v>0</v>
      </c>
      <c r="BK200" s="11" t="e">
        <f t="shared" si="109"/>
        <v>#DIV/0!</v>
      </c>
      <c r="BM200" s="1">
        <f t="shared" si="104"/>
        <v>0</v>
      </c>
      <c r="BN200" s="1">
        <f t="shared" si="105"/>
        <v>0</v>
      </c>
    </row>
    <row r="201" spans="1:66" x14ac:dyDescent="0.2">
      <c r="A201" s="4">
        <f t="shared" si="110"/>
        <v>45853</v>
      </c>
      <c r="B201" s="1">
        <v>196</v>
      </c>
      <c r="C201" s="1">
        <v>5</v>
      </c>
      <c r="AN201" s="1">
        <f t="shared" si="89"/>
        <v>0</v>
      </c>
      <c r="AO201" s="1">
        <f t="shared" si="90"/>
        <v>0</v>
      </c>
      <c r="AP201" s="1">
        <f t="shared" si="91"/>
        <v>0</v>
      </c>
      <c r="AQ201" s="18">
        <f t="shared" si="92"/>
        <v>0</v>
      </c>
      <c r="AR201" s="24" t="e">
        <f t="shared" si="106"/>
        <v>#DIV/0!</v>
      </c>
      <c r="AT201" s="20">
        <f t="shared" si="93"/>
        <v>45853</v>
      </c>
      <c r="AU201" s="21">
        <f t="shared" si="94"/>
        <v>196</v>
      </c>
      <c r="AV201" s="1">
        <f t="shared" si="95"/>
        <v>0</v>
      </c>
      <c r="AW201" s="1">
        <f t="shared" si="96"/>
        <v>0</v>
      </c>
      <c r="AX201" s="1">
        <f t="shared" si="97"/>
        <v>0</v>
      </c>
      <c r="AY201" s="1">
        <f t="shared" si="87"/>
        <v>0</v>
      </c>
      <c r="AZ201" s="1">
        <f t="shared" si="88"/>
        <v>0</v>
      </c>
      <c r="BA201" s="1">
        <f t="shared" si="107"/>
        <v>0</v>
      </c>
      <c r="BB201" s="5">
        <v>-999</v>
      </c>
      <c r="BC201" s="1">
        <f t="shared" si="98"/>
        <v>0</v>
      </c>
      <c r="BD201" s="1">
        <f t="shared" si="99"/>
        <v>0</v>
      </c>
      <c r="BE201" s="1">
        <f t="shared" si="100"/>
        <v>0</v>
      </c>
      <c r="BF201" s="5">
        <f t="shared" si="101"/>
        <v>0</v>
      </c>
      <c r="BG201" s="5">
        <f t="shared" si="102"/>
        <v>0</v>
      </c>
      <c r="BH201" s="5">
        <f t="shared" si="103"/>
        <v>0</v>
      </c>
      <c r="BI201" s="5">
        <f t="shared" si="108"/>
        <v>0</v>
      </c>
      <c r="BJ201" s="11">
        <f t="shared" si="109"/>
        <v>0</v>
      </c>
      <c r="BK201" s="11" t="e">
        <f t="shared" si="109"/>
        <v>#DIV/0!</v>
      </c>
      <c r="BM201" s="1">
        <f t="shared" si="104"/>
        <v>0</v>
      </c>
      <c r="BN201" s="1">
        <f t="shared" si="105"/>
        <v>0</v>
      </c>
    </row>
    <row r="202" spans="1:66" x14ac:dyDescent="0.2">
      <c r="A202" s="4">
        <f t="shared" si="110"/>
        <v>45854</v>
      </c>
      <c r="B202" s="1">
        <v>197</v>
      </c>
      <c r="C202" s="1">
        <v>5</v>
      </c>
      <c r="AN202" s="1">
        <f t="shared" si="89"/>
        <v>0</v>
      </c>
      <c r="AO202" s="1">
        <f t="shared" si="90"/>
        <v>0</v>
      </c>
      <c r="AP202" s="1">
        <f t="shared" si="91"/>
        <v>0</v>
      </c>
      <c r="AQ202" s="18">
        <f t="shared" si="92"/>
        <v>0</v>
      </c>
      <c r="AR202" s="24" t="e">
        <f t="shared" si="106"/>
        <v>#DIV/0!</v>
      </c>
      <c r="AT202" s="20">
        <f t="shared" si="93"/>
        <v>45854</v>
      </c>
      <c r="AU202" s="21">
        <f t="shared" si="94"/>
        <v>197</v>
      </c>
      <c r="AV202" s="1">
        <f t="shared" si="95"/>
        <v>0</v>
      </c>
      <c r="AW202" s="1">
        <f t="shared" si="96"/>
        <v>0</v>
      </c>
      <c r="AX202" s="1">
        <f t="shared" si="97"/>
        <v>0</v>
      </c>
      <c r="AY202" s="1">
        <f t="shared" si="87"/>
        <v>0</v>
      </c>
      <c r="AZ202" s="1">
        <f t="shared" si="88"/>
        <v>0</v>
      </c>
      <c r="BA202" s="1">
        <f t="shared" si="107"/>
        <v>0</v>
      </c>
      <c r="BB202" s="5">
        <v>-999</v>
      </c>
      <c r="BC202" s="1">
        <f t="shared" si="98"/>
        <v>0</v>
      </c>
      <c r="BD202" s="1">
        <f t="shared" si="99"/>
        <v>0</v>
      </c>
      <c r="BE202" s="1">
        <f t="shared" si="100"/>
        <v>0</v>
      </c>
      <c r="BF202" s="5">
        <f t="shared" si="101"/>
        <v>0</v>
      </c>
      <c r="BG202" s="5">
        <f t="shared" si="102"/>
        <v>0</v>
      </c>
      <c r="BH202" s="5">
        <f t="shared" si="103"/>
        <v>0</v>
      </c>
      <c r="BI202" s="5">
        <f t="shared" si="108"/>
        <v>0</v>
      </c>
      <c r="BJ202" s="11">
        <f t="shared" si="109"/>
        <v>0</v>
      </c>
      <c r="BK202" s="11" t="e">
        <f t="shared" si="109"/>
        <v>#DIV/0!</v>
      </c>
      <c r="BM202" s="1">
        <f t="shared" si="104"/>
        <v>0</v>
      </c>
      <c r="BN202" s="1">
        <f t="shared" si="105"/>
        <v>0</v>
      </c>
    </row>
    <row r="203" spans="1:66" x14ac:dyDescent="0.2">
      <c r="A203" s="4">
        <f t="shared" si="110"/>
        <v>45855</v>
      </c>
      <c r="B203" s="1">
        <v>198</v>
      </c>
      <c r="C203" s="1">
        <v>5</v>
      </c>
      <c r="AN203" s="1">
        <f t="shared" si="89"/>
        <v>0</v>
      </c>
      <c r="AO203" s="1">
        <f t="shared" si="90"/>
        <v>0</v>
      </c>
      <c r="AP203" s="1">
        <f t="shared" si="91"/>
        <v>0</v>
      </c>
      <c r="AQ203" s="18">
        <f t="shared" si="92"/>
        <v>0</v>
      </c>
      <c r="AR203" s="24" t="e">
        <f t="shared" si="106"/>
        <v>#DIV/0!</v>
      </c>
      <c r="AT203" s="20">
        <f t="shared" si="93"/>
        <v>45855</v>
      </c>
      <c r="AU203" s="21">
        <f t="shared" si="94"/>
        <v>198</v>
      </c>
      <c r="AV203" s="1">
        <f t="shared" si="95"/>
        <v>0</v>
      </c>
      <c r="AW203" s="1">
        <f t="shared" si="96"/>
        <v>0</v>
      </c>
      <c r="AX203" s="1">
        <f t="shared" si="97"/>
        <v>0</v>
      </c>
      <c r="AY203" s="1">
        <f t="shared" si="87"/>
        <v>0</v>
      </c>
      <c r="AZ203" s="1">
        <f t="shared" si="88"/>
        <v>0</v>
      </c>
      <c r="BA203" s="1">
        <f t="shared" si="107"/>
        <v>0</v>
      </c>
      <c r="BB203" s="5">
        <v>-999</v>
      </c>
      <c r="BC203" s="1">
        <f t="shared" si="98"/>
        <v>0</v>
      </c>
      <c r="BD203" s="1">
        <f t="shared" si="99"/>
        <v>0</v>
      </c>
      <c r="BE203" s="1">
        <f t="shared" si="100"/>
        <v>0</v>
      </c>
      <c r="BF203" s="5">
        <f t="shared" si="101"/>
        <v>0</v>
      </c>
      <c r="BG203" s="5">
        <f t="shared" si="102"/>
        <v>0</v>
      </c>
      <c r="BH203" s="5">
        <f t="shared" si="103"/>
        <v>0</v>
      </c>
      <c r="BI203" s="5">
        <f t="shared" si="108"/>
        <v>0</v>
      </c>
      <c r="BJ203" s="11">
        <f t="shared" si="109"/>
        <v>0</v>
      </c>
      <c r="BK203" s="11" t="e">
        <f t="shared" si="109"/>
        <v>#DIV/0!</v>
      </c>
      <c r="BM203" s="1">
        <f t="shared" si="104"/>
        <v>0</v>
      </c>
      <c r="BN203" s="1">
        <f t="shared" si="105"/>
        <v>0</v>
      </c>
    </row>
    <row r="204" spans="1:66" x14ac:dyDescent="0.2">
      <c r="A204" s="4">
        <f t="shared" si="110"/>
        <v>45856</v>
      </c>
      <c r="B204" s="1">
        <v>199</v>
      </c>
      <c r="C204" s="1">
        <v>5</v>
      </c>
      <c r="AN204" s="1">
        <f t="shared" si="89"/>
        <v>0</v>
      </c>
      <c r="AO204" s="1">
        <f t="shared" si="90"/>
        <v>0</v>
      </c>
      <c r="AP204" s="1">
        <f t="shared" si="91"/>
        <v>0</v>
      </c>
      <c r="AQ204" s="18">
        <f t="shared" si="92"/>
        <v>0</v>
      </c>
      <c r="AR204" s="24" t="e">
        <f t="shared" si="106"/>
        <v>#DIV/0!</v>
      </c>
      <c r="AT204" s="20">
        <f t="shared" si="93"/>
        <v>45856</v>
      </c>
      <c r="AU204" s="21">
        <f t="shared" si="94"/>
        <v>199</v>
      </c>
      <c r="AV204" s="1">
        <f t="shared" si="95"/>
        <v>0</v>
      </c>
      <c r="AW204" s="1">
        <f t="shared" si="96"/>
        <v>0</v>
      </c>
      <c r="AX204" s="1">
        <f t="shared" si="97"/>
        <v>0</v>
      </c>
      <c r="AY204" s="1">
        <f t="shared" si="87"/>
        <v>0</v>
      </c>
      <c r="AZ204" s="1">
        <f t="shared" si="88"/>
        <v>0</v>
      </c>
      <c r="BA204" s="1">
        <f t="shared" si="107"/>
        <v>0</v>
      </c>
      <c r="BB204" s="5">
        <v>-999</v>
      </c>
      <c r="BC204" s="1">
        <f t="shared" si="98"/>
        <v>0</v>
      </c>
      <c r="BD204" s="1">
        <f t="shared" si="99"/>
        <v>0</v>
      </c>
      <c r="BE204" s="1">
        <f t="shared" si="100"/>
        <v>0</v>
      </c>
      <c r="BF204" s="5">
        <f t="shared" si="101"/>
        <v>0</v>
      </c>
      <c r="BG204" s="5">
        <f t="shared" si="102"/>
        <v>0</v>
      </c>
      <c r="BH204" s="5">
        <f t="shared" si="103"/>
        <v>0</v>
      </c>
      <c r="BI204" s="5">
        <f t="shared" si="108"/>
        <v>0</v>
      </c>
      <c r="BJ204" s="11">
        <f t="shared" si="109"/>
        <v>0</v>
      </c>
      <c r="BK204" s="11" t="e">
        <f t="shared" si="109"/>
        <v>#DIV/0!</v>
      </c>
      <c r="BM204" s="1">
        <f t="shared" si="104"/>
        <v>0</v>
      </c>
      <c r="BN204" s="1">
        <f t="shared" si="105"/>
        <v>0</v>
      </c>
    </row>
    <row r="205" spans="1:66" x14ac:dyDescent="0.2">
      <c r="A205" s="4">
        <f t="shared" si="110"/>
        <v>45857</v>
      </c>
      <c r="B205" s="1">
        <v>200</v>
      </c>
      <c r="C205" s="1">
        <v>5</v>
      </c>
      <c r="AN205" s="1">
        <f t="shared" si="89"/>
        <v>0</v>
      </c>
      <c r="AO205" s="1">
        <f t="shared" si="90"/>
        <v>0</v>
      </c>
      <c r="AP205" s="1">
        <f t="shared" si="91"/>
        <v>0</v>
      </c>
      <c r="AQ205" s="18">
        <f t="shared" si="92"/>
        <v>0</v>
      </c>
      <c r="AR205" s="24" t="e">
        <f t="shared" si="106"/>
        <v>#DIV/0!</v>
      </c>
      <c r="AT205" s="20">
        <f t="shared" si="93"/>
        <v>45857</v>
      </c>
      <c r="AU205" s="21">
        <f t="shared" si="94"/>
        <v>200</v>
      </c>
      <c r="AV205" s="1">
        <f t="shared" si="95"/>
        <v>0</v>
      </c>
      <c r="AW205" s="1">
        <f t="shared" si="96"/>
        <v>0</v>
      </c>
      <c r="AX205" s="1">
        <f t="shared" si="97"/>
        <v>0</v>
      </c>
      <c r="AY205" s="1">
        <f t="shared" si="87"/>
        <v>0</v>
      </c>
      <c r="AZ205" s="1">
        <f t="shared" si="88"/>
        <v>0</v>
      </c>
      <c r="BA205" s="1">
        <f t="shared" si="107"/>
        <v>0</v>
      </c>
      <c r="BB205" s="5">
        <v>-999</v>
      </c>
      <c r="BC205" s="1">
        <f t="shared" si="98"/>
        <v>0</v>
      </c>
      <c r="BD205" s="1">
        <f t="shared" si="99"/>
        <v>0</v>
      </c>
      <c r="BE205" s="1">
        <f t="shared" si="100"/>
        <v>0</v>
      </c>
      <c r="BF205" s="5">
        <f t="shared" si="101"/>
        <v>0</v>
      </c>
      <c r="BG205" s="5">
        <f t="shared" si="102"/>
        <v>0</v>
      </c>
      <c r="BH205" s="5">
        <f t="shared" si="103"/>
        <v>0</v>
      </c>
      <c r="BI205" s="5">
        <f t="shared" si="108"/>
        <v>0</v>
      </c>
      <c r="BJ205" s="11">
        <f t="shared" si="109"/>
        <v>0</v>
      </c>
      <c r="BK205" s="11" t="e">
        <f t="shared" si="109"/>
        <v>#DIV/0!</v>
      </c>
      <c r="BM205" s="1">
        <f t="shared" si="104"/>
        <v>0</v>
      </c>
      <c r="BN205" s="1">
        <f t="shared" si="105"/>
        <v>0</v>
      </c>
    </row>
    <row r="206" spans="1:66" x14ac:dyDescent="0.2">
      <c r="A206" s="4">
        <f t="shared" si="110"/>
        <v>45858</v>
      </c>
      <c r="B206" s="1">
        <v>201</v>
      </c>
      <c r="C206" s="1">
        <v>5</v>
      </c>
      <c r="AN206" s="1">
        <f t="shared" si="89"/>
        <v>0</v>
      </c>
      <c r="AO206" s="1">
        <f t="shared" si="90"/>
        <v>0</v>
      </c>
      <c r="AP206" s="1">
        <f t="shared" si="91"/>
        <v>0</v>
      </c>
      <c r="AQ206" s="18">
        <f t="shared" si="92"/>
        <v>0</v>
      </c>
      <c r="AR206" s="24" t="e">
        <f t="shared" si="106"/>
        <v>#DIV/0!</v>
      </c>
      <c r="AT206" s="20">
        <f t="shared" si="93"/>
        <v>45858</v>
      </c>
      <c r="AU206" s="21">
        <f t="shared" si="94"/>
        <v>201</v>
      </c>
      <c r="AV206" s="1">
        <f t="shared" si="95"/>
        <v>0</v>
      </c>
      <c r="AW206" s="1">
        <f t="shared" si="96"/>
        <v>0</v>
      </c>
      <c r="AX206" s="1">
        <f t="shared" si="97"/>
        <v>0</v>
      </c>
      <c r="AY206" s="1">
        <f t="shared" si="87"/>
        <v>0</v>
      </c>
      <c r="AZ206" s="1">
        <f t="shared" si="88"/>
        <v>0</v>
      </c>
      <c r="BA206" s="1">
        <f t="shared" si="107"/>
        <v>0</v>
      </c>
      <c r="BB206" s="5">
        <v>-999</v>
      </c>
      <c r="BC206" s="1">
        <f t="shared" si="98"/>
        <v>0</v>
      </c>
      <c r="BD206" s="1">
        <f t="shared" si="99"/>
        <v>0</v>
      </c>
      <c r="BE206" s="1">
        <f t="shared" si="100"/>
        <v>0</v>
      </c>
      <c r="BF206" s="5">
        <f t="shared" si="101"/>
        <v>0</v>
      </c>
      <c r="BG206" s="5">
        <f t="shared" si="102"/>
        <v>0</v>
      </c>
      <c r="BH206" s="5">
        <f t="shared" si="103"/>
        <v>0</v>
      </c>
      <c r="BI206" s="5">
        <f t="shared" si="108"/>
        <v>0</v>
      </c>
      <c r="BJ206" s="11">
        <f t="shared" si="109"/>
        <v>0</v>
      </c>
      <c r="BK206" s="11" t="e">
        <f t="shared" si="109"/>
        <v>#DIV/0!</v>
      </c>
      <c r="BM206" s="1">
        <f t="shared" si="104"/>
        <v>0</v>
      </c>
      <c r="BN206" s="1">
        <f t="shared" si="105"/>
        <v>0</v>
      </c>
    </row>
    <row r="207" spans="1:66" x14ac:dyDescent="0.2">
      <c r="A207" s="4">
        <f t="shared" si="110"/>
        <v>45859</v>
      </c>
      <c r="B207" s="1">
        <v>202</v>
      </c>
      <c r="C207" s="1">
        <v>5</v>
      </c>
      <c r="AN207" s="1">
        <f t="shared" si="89"/>
        <v>0</v>
      </c>
      <c r="AO207" s="1">
        <f t="shared" si="90"/>
        <v>0</v>
      </c>
      <c r="AP207" s="1">
        <f t="shared" si="91"/>
        <v>0</v>
      </c>
      <c r="AQ207" s="18">
        <f t="shared" si="92"/>
        <v>0</v>
      </c>
      <c r="AR207" s="24" t="e">
        <f t="shared" si="106"/>
        <v>#DIV/0!</v>
      </c>
      <c r="AT207" s="20">
        <f t="shared" si="93"/>
        <v>45859</v>
      </c>
      <c r="AU207" s="21">
        <f t="shared" si="94"/>
        <v>202</v>
      </c>
      <c r="AV207" s="1">
        <f t="shared" si="95"/>
        <v>0</v>
      </c>
      <c r="AW207" s="1">
        <f t="shared" si="96"/>
        <v>0</v>
      </c>
      <c r="AX207" s="1">
        <f t="shared" si="97"/>
        <v>0</v>
      </c>
      <c r="AY207" s="1">
        <f t="shared" si="87"/>
        <v>0</v>
      </c>
      <c r="AZ207" s="1">
        <f t="shared" si="88"/>
        <v>0</v>
      </c>
      <c r="BA207" s="1">
        <f t="shared" si="107"/>
        <v>0</v>
      </c>
      <c r="BB207" s="5">
        <v>-999</v>
      </c>
      <c r="BC207" s="1">
        <f t="shared" si="98"/>
        <v>0</v>
      </c>
      <c r="BD207" s="1">
        <f t="shared" si="99"/>
        <v>0</v>
      </c>
      <c r="BE207" s="1">
        <f t="shared" si="100"/>
        <v>0</v>
      </c>
      <c r="BF207" s="5">
        <f t="shared" si="101"/>
        <v>0</v>
      </c>
      <c r="BG207" s="5">
        <f t="shared" si="102"/>
        <v>0</v>
      </c>
      <c r="BH207" s="5">
        <f t="shared" si="103"/>
        <v>0</v>
      </c>
      <c r="BI207" s="5">
        <f t="shared" si="108"/>
        <v>0</v>
      </c>
      <c r="BJ207" s="11">
        <f t="shared" si="109"/>
        <v>0</v>
      </c>
      <c r="BK207" s="11" t="e">
        <f t="shared" si="109"/>
        <v>#DIV/0!</v>
      </c>
      <c r="BM207" s="1">
        <f t="shared" si="104"/>
        <v>0</v>
      </c>
      <c r="BN207" s="1">
        <f t="shared" si="105"/>
        <v>0</v>
      </c>
    </row>
    <row r="208" spans="1:66" x14ac:dyDescent="0.2">
      <c r="A208" s="4">
        <f t="shared" si="110"/>
        <v>45860</v>
      </c>
      <c r="B208" s="1">
        <v>203</v>
      </c>
      <c r="C208" s="1">
        <v>5</v>
      </c>
      <c r="AN208" s="1">
        <f t="shared" si="89"/>
        <v>0</v>
      </c>
      <c r="AO208" s="1">
        <f t="shared" si="90"/>
        <v>0</v>
      </c>
      <c r="AP208" s="1">
        <f t="shared" si="91"/>
        <v>0</v>
      </c>
      <c r="AQ208" s="18">
        <f t="shared" si="92"/>
        <v>0</v>
      </c>
      <c r="AR208" s="24" t="e">
        <f t="shared" si="106"/>
        <v>#DIV/0!</v>
      </c>
      <c r="AT208" s="20">
        <f t="shared" si="93"/>
        <v>45860</v>
      </c>
      <c r="AU208" s="21">
        <f t="shared" si="94"/>
        <v>203</v>
      </c>
      <c r="AV208" s="1">
        <f t="shared" si="95"/>
        <v>0</v>
      </c>
      <c r="AW208" s="1">
        <f t="shared" si="96"/>
        <v>0</v>
      </c>
      <c r="AX208" s="1">
        <f t="shared" si="97"/>
        <v>0</v>
      </c>
      <c r="AY208" s="1">
        <f t="shared" si="87"/>
        <v>0</v>
      </c>
      <c r="AZ208" s="1">
        <f t="shared" si="88"/>
        <v>0</v>
      </c>
      <c r="BA208" s="1">
        <f t="shared" si="107"/>
        <v>0</v>
      </c>
      <c r="BB208" s="5">
        <v>-999</v>
      </c>
      <c r="BC208" s="1">
        <f t="shared" si="98"/>
        <v>0</v>
      </c>
      <c r="BD208" s="1">
        <f t="shared" si="99"/>
        <v>0</v>
      </c>
      <c r="BE208" s="1">
        <f t="shared" si="100"/>
        <v>0</v>
      </c>
      <c r="BF208" s="5">
        <f t="shared" si="101"/>
        <v>0</v>
      </c>
      <c r="BG208" s="5">
        <f t="shared" si="102"/>
        <v>0</v>
      </c>
      <c r="BH208" s="5">
        <f t="shared" si="103"/>
        <v>0</v>
      </c>
      <c r="BI208" s="5">
        <f t="shared" si="108"/>
        <v>0</v>
      </c>
      <c r="BJ208" s="11">
        <f t="shared" si="109"/>
        <v>0</v>
      </c>
      <c r="BK208" s="11" t="e">
        <f t="shared" si="109"/>
        <v>#DIV/0!</v>
      </c>
      <c r="BM208" s="1">
        <f t="shared" si="104"/>
        <v>0</v>
      </c>
      <c r="BN208" s="1">
        <f t="shared" si="105"/>
        <v>0</v>
      </c>
    </row>
    <row r="209" spans="1:66" x14ac:dyDescent="0.2">
      <c r="A209" s="4">
        <f t="shared" si="110"/>
        <v>45861</v>
      </c>
      <c r="B209" s="1">
        <v>204</v>
      </c>
      <c r="C209" s="1">
        <v>5</v>
      </c>
      <c r="AN209" s="1">
        <f t="shared" si="89"/>
        <v>0</v>
      </c>
      <c r="AO209" s="1">
        <f t="shared" si="90"/>
        <v>0</v>
      </c>
      <c r="AP209" s="1">
        <f t="shared" si="91"/>
        <v>0</v>
      </c>
      <c r="AQ209" s="18">
        <f t="shared" si="92"/>
        <v>0</v>
      </c>
      <c r="AR209" s="24" t="e">
        <f t="shared" si="106"/>
        <v>#DIV/0!</v>
      </c>
      <c r="AT209" s="20">
        <f t="shared" si="93"/>
        <v>45861</v>
      </c>
      <c r="AU209" s="21">
        <f t="shared" si="94"/>
        <v>204</v>
      </c>
      <c r="AV209" s="1">
        <f t="shared" si="95"/>
        <v>0</v>
      </c>
      <c r="AW209" s="1">
        <f t="shared" si="96"/>
        <v>0</v>
      </c>
      <c r="AX209" s="1">
        <f t="shared" si="97"/>
        <v>0</v>
      </c>
      <c r="AY209" s="1">
        <f t="shared" si="87"/>
        <v>0</v>
      </c>
      <c r="AZ209" s="1">
        <f t="shared" si="88"/>
        <v>0</v>
      </c>
      <c r="BA209" s="1">
        <f t="shared" si="107"/>
        <v>0</v>
      </c>
      <c r="BB209" s="5">
        <v>-999</v>
      </c>
      <c r="BC209" s="1">
        <f t="shared" si="98"/>
        <v>0</v>
      </c>
      <c r="BD209" s="1">
        <f t="shared" si="99"/>
        <v>0</v>
      </c>
      <c r="BE209" s="1">
        <f t="shared" si="100"/>
        <v>0</v>
      </c>
      <c r="BF209" s="5">
        <f t="shared" si="101"/>
        <v>0</v>
      </c>
      <c r="BG209" s="5">
        <f t="shared" si="102"/>
        <v>0</v>
      </c>
      <c r="BH209" s="5">
        <f t="shared" si="103"/>
        <v>0</v>
      </c>
      <c r="BI209" s="5">
        <f t="shared" si="108"/>
        <v>0</v>
      </c>
      <c r="BJ209" s="11">
        <f t="shared" si="109"/>
        <v>0</v>
      </c>
      <c r="BK209" s="11" t="e">
        <f t="shared" si="109"/>
        <v>#DIV/0!</v>
      </c>
      <c r="BM209" s="1">
        <f t="shared" si="104"/>
        <v>0</v>
      </c>
      <c r="BN209" s="1">
        <f t="shared" si="105"/>
        <v>0</v>
      </c>
    </row>
    <row r="210" spans="1:66" x14ac:dyDescent="0.2">
      <c r="A210" s="4">
        <f t="shared" si="110"/>
        <v>45862</v>
      </c>
      <c r="B210" s="1">
        <v>205</v>
      </c>
      <c r="C210" s="1">
        <v>5</v>
      </c>
      <c r="AN210" s="1">
        <f t="shared" si="89"/>
        <v>0</v>
      </c>
      <c r="AO210" s="1">
        <f t="shared" si="90"/>
        <v>0</v>
      </c>
      <c r="AP210" s="1">
        <f t="shared" si="91"/>
        <v>0</v>
      </c>
      <c r="AQ210" s="18">
        <f t="shared" si="92"/>
        <v>0</v>
      </c>
      <c r="AR210" s="24" t="e">
        <f t="shared" si="106"/>
        <v>#DIV/0!</v>
      </c>
      <c r="AT210" s="20">
        <f t="shared" si="93"/>
        <v>45862</v>
      </c>
      <c r="AU210" s="21">
        <f t="shared" si="94"/>
        <v>205</v>
      </c>
      <c r="AV210" s="1">
        <f t="shared" si="95"/>
        <v>0</v>
      </c>
      <c r="AW210" s="1">
        <f t="shared" si="96"/>
        <v>0</v>
      </c>
      <c r="AX210" s="1">
        <f t="shared" si="97"/>
        <v>0</v>
      </c>
      <c r="AY210" s="1">
        <f t="shared" si="87"/>
        <v>0</v>
      </c>
      <c r="AZ210" s="1">
        <f t="shared" si="88"/>
        <v>0</v>
      </c>
      <c r="BA210" s="1">
        <f t="shared" si="107"/>
        <v>0</v>
      </c>
      <c r="BB210" s="5">
        <v>-999</v>
      </c>
      <c r="BC210" s="1">
        <f t="shared" si="98"/>
        <v>0</v>
      </c>
      <c r="BD210" s="1">
        <f t="shared" si="99"/>
        <v>0</v>
      </c>
      <c r="BE210" s="1">
        <f t="shared" si="100"/>
        <v>0</v>
      </c>
      <c r="BF210" s="5">
        <f t="shared" si="101"/>
        <v>0</v>
      </c>
      <c r="BG210" s="5">
        <f t="shared" si="102"/>
        <v>0</v>
      </c>
      <c r="BH210" s="5">
        <f t="shared" si="103"/>
        <v>0</v>
      </c>
      <c r="BI210" s="5">
        <f t="shared" si="108"/>
        <v>0</v>
      </c>
      <c r="BJ210" s="11">
        <f t="shared" si="109"/>
        <v>0</v>
      </c>
      <c r="BK210" s="11" t="e">
        <f t="shared" si="109"/>
        <v>#DIV/0!</v>
      </c>
      <c r="BM210" s="1">
        <f t="shared" si="104"/>
        <v>0</v>
      </c>
      <c r="BN210" s="1">
        <f t="shared" si="105"/>
        <v>0</v>
      </c>
    </row>
    <row r="211" spans="1:66" x14ac:dyDescent="0.2">
      <c r="A211" s="4">
        <f t="shared" si="110"/>
        <v>45863</v>
      </c>
      <c r="B211" s="1">
        <v>206</v>
      </c>
      <c r="C211" s="1">
        <v>5</v>
      </c>
      <c r="AN211" s="1">
        <f t="shared" si="89"/>
        <v>0</v>
      </c>
      <c r="AO211" s="1">
        <f t="shared" si="90"/>
        <v>0</v>
      </c>
      <c r="AP211" s="1">
        <f t="shared" si="91"/>
        <v>0</v>
      </c>
      <c r="AQ211" s="18">
        <f t="shared" si="92"/>
        <v>0</v>
      </c>
      <c r="AR211" s="24" t="e">
        <f t="shared" si="106"/>
        <v>#DIV/0!</v>
      </c>
      <c r="AT211" s="20">
        <f t="shared" si="93"/>
        <v>45863</v>
      </c>
      <c r="AU211" s="21">
        <f t="shared" si="94"/>
        <v>206</v>
      </c>
      <c r="AV211" s="1">
        <f t="shared" si="95"/>
        <v>0</v>
      </c>
      <c r="AW211" s="1">
        <f t="shared" si="96"/>
        <v>0</v>
      </c>
      <c r="AX211" s="1">
        <f t="shared" si="97"/>
        <v>0</v>
      </c>
      <c r="AY211" s="1">
        <f t="shared" si="87"/>
        <v>0</v>
      </c>
      <c r="AZ211" s="1">
        <f t="shared" si="88"/>
        <v>0</v>
      </c>
      <c r="BA211" s="1">
        <f t="shared" si="107"/>
        <v>0</v>
      </c>
      <c r="BB211" s="5">
        <v>-999</v>
      </c>
      <c r="BC211" s="1">
        <f t="shared" si="98"/>
        <v>0</v>
      </c>
      <c r="BD211" s="1">
        <f t="shared" si="99"/>
        <v>0</v>
      </c>
      <c r="BE211" s="1">
        <f t="shared" si="100"/>
        <v>0</v>
      </c>
      <c r="BF211" s="5">
        <f t="shared" si="101"/>
        <v>0</v>
      </c>
      <c r="BG211" s="5">
        <f t="shared" si="102"/>
        <v>0</v>
      </c>
      <c r="BH211" s="5">
        <f t="shared" si="103"/>
        <v>0</v>
      </c>
      <c r="BI211" s="5">
        <f t="shared" si="108"/>
        <v>0</v>
      </c>
      <c r="BJ211" s="11">
        <f t="shared" si="109"/>
        <v>0</v>
      </c>
      <c r="BK211" s="11" t="e">
        <f t="shared" si="109"/>
        <v>#DIV/0!</v>
      </c>
      <c r="BM211" s="1">
        <f t="shared" si="104"/>
        <v>0</v>
      </c>
      <c r="BN211" s="1">
        <f t="shared" si="105"/>
        <v>0</v>
      </c>
    </row>
    <row r="212" spans="1:66" x14ac:dyDescent="0.2">
      <c r="A212" s="4">
        <f t="shared" si="110"/>
        <v>45864</v>
      </c>
      <c r="B212" s="1">
        <v>207</v>
      </c>
      <c r="C212" s="1">
        <v>5</v>
      </c>
      <c r="AN212" s="1">
        <f t="shared" si="89"/>
        <v>0</v>
      </c>
      <c r="AO212" s="1">
        <f t="shared" si="90"/>
        <v>0</v>
      </c>
      <c r="AP212" s="1">
        <f t="shared" si="91"/>
        <v>0</v>
      </c>
      <c r="AQ212" s="18">
        <f t="shared" si="92"/>
        <v>0</v>
      </c>
      <c r="AR212" s="24" t="e">
        <f t="shared" si="106"/>
        <v>#DIV/0!</v>
      </c>
      <c r="AT212" s="20">
        <f t="shared" si="93"/>
        <v>45864</v>
      </c>
      <c r="AU212" s="21">
        <f t="shared" si="94"/>
        <v>207</v>
      </c>
      <c r="AV212" s="1">
        <f t="shared" si="95"/>
        <v>0</v>
      </c>
      <c r="AW212" s="1">
        <f t="shared" si="96"/>
        <v>0</v>
      </c>
      <c r="AX212" s="1">
        <f t="shared" si="97"/>
        <v>0</v>
      </c>
      <c r="AY212" s="1">
        <f t="shared" si="87"/>
        <v>0</v>
      </c>
      <c r="AZ212" s="1">
        <f t="shared" si="88"/>
        <v>0</v>
      </c>
      <c r="BA212" s="1">
        <f t="shared" si="107"/>
        <v>0</v>
      </c>
      <c r="BB212" s="5">
        <v>-999</v>
      </c>
      <c r="BC212" s="1">
        <f t="shared" si="98"/>
        <v>0</v>
      </c>
      <c r="BD212" s="1">
        <f t="shared" si="99"/>
        <v>0</v>
      </c>
      <c r="BE212" s="1">
        <f t="shared" si="100"/>
        <v>0</v>
      </c>
      <c r="BF212" s="5">
        <f t="shared" si="101"/>
        <v>0</v>
      </c>
      <c r="BG212" s="5">
        <f t="shared" si="102"/>
        <v>0</v>
      </c>
      <c r="BH212" s="5">
        <f t="shared" si="103"/>
        <v>0</v>
      </c>
      <c r="BI212" s="5">
        <f t="shared" si="108"/>
        <v>0</v>
      </c>
      <c r="BJ212" s="11">
        <f t="shared" si="109"/>
        <v>0</v>
      </c>
      <c r="BK212" s="11" t="e">
        <f t="shared" si="109"/>
        <v>#DIV/0!</v>
      </c>
      <c r="BM212" s="1">
        <f t="shared" si="104"/>
        <v>0</v>
      </c>
      <c r="BN212" s="1">
        <f t="shared" si="105"/>
        <v>0</v>
      </c>
    </row>
    <row r="213" spans="1:66" x14ac:dyDescent="0.2">
      <c r="A213" s="4">
        <f t="shared" si="110"/>
        <v>45865</v>
      </c>
      <c r="B213" s="1">
        <v>208</v>
      </c>
      <c r="C213" s="1">
        <v>5</v>
      </c>
      <c r="AN213" s="1">
        <f t="shared" si="89"/>
        <v>0</v>
      </c>
      <c r="AO213" s="1">
        <f t="shared" si="90"/>
        <v>0</v>
      </c>
      <c r="AP213" s="1">
        <f t="shared" si="91"/>
        <v>0</v>
      </c>
      <c r="AQ213" s="18">
        <f t="shared" si="92"/>
        <v>0</v>
      </c>
      <c r="AR213" s="24" t="e">
        <f t="shared" si="106"/>
        <v>#DIV/0!</v>
      </c>
      <c r="AT213" s="20">
        <f t="shared" si="93"/>
        <v>45865</v>
      </c>
      <c r="AU213" s="21">
        <f t="shared" si="94"/>
        <v>208</v>
      </c>
      <c r="AV213" s="1">
        <f t="shared" si="95"/>
        <v>0</v>
      </c>
      <c r="AW213" s="1">
        <f t="shared" si="96"/>
        <v>0</v>
      </c>
      <c r="AX213" s="1">
        <f t="shared" si="97"/>
        <v>0</v>
      </c>
      <c r="AY213" s="1">
        <f t="shared" si="87"/>
        <v>0</v>
      </c>
      <c r="AZ213" s="1">
        <f t="shared" si="88"/>
        <v>0</v>
      </c>
      <c r="BA213" s="1">
        <f t="shared" si="107"/>
        <v>0</v>
      </c>
      <c r="BB213" s="5">
        <v>-999</v>
      </c>
      <c r="BC213" s="1">
        <f t="shared" si="98"/>
        <v>0</v>
      </c>
      <c r="BD213" s="1">
        <f t="shared" si="99"/>
        <v>0</v>
      </c>
      <c r="BE213" s="1">
        <f t="shared" si="100"/>
        <v>0</v>
      </c>
      <c r="BF213" s="5">
        <f t="shared" si="101"/>
        <v>0</v>
      </c>
      <c r="BG213" s="5">
        <f t="shared" si="102"/>
        <v>0</v>
      </c>
      <c r="BH213" s="5">
        <f t="shared" si="103"/>
        <v>0</v>
      </c>
      <c r="BI213" s="5">
        <f t="shared" si="108"/>
        <v>0</v>
      </c>
      <c r="BJ213" s="11">
        <f t="shared" si="109"/>
        <v>0</v>
      </c>
      <c r="BK213" s="11" t="e">
        <f t="shared" si="109"/>
        <v>#DIV/0!</v>
      </c>
      <c r="BM213" s="1">
        <f t="shared" si="104"/>
        <v>0</v>
      </c>
      <c r="BN213" s="1">
        <f t="shared" si="105"/>
        <v>0</v>
      </c>
    </row>
    <row r="214" spans="1:66" x14ac:dyDescent="0.2">
      <c r="A214" s="4">
        <f t="shared" si="110"/>
        <v>45866</v>
      </c>
      <c r="B214" s="1">
        <v>209</v>
      </c>
      <c r="C214" s="1">
        <v>5</v>
      </c>
      <c r="AN214" s="1">
        <f t="shared" si="89"/>
        <v>0</v>
      </c>
      <c r="AO214" s="1">
        <f t="shared" si="90"/>
        <v>0</v>
      </c>
      <c r="AP214" s="1">
        <f t="shared" si="91"/>
        <v>0</v>
      </c>
      <c r="AQ214" s="18">
        <f t="shared" si="92"/>
        <v>0</v>
      </c>
      <c r="AR214" s="24" t="e">
        <f t="shared" si="106"/>
        <v>#DIV/0!</v>
      </c>
      <c r="AT214" s="20">
        <f t="shared" si="93"/>
        <v>45866</v>
      </c>
      <c r="AU214" s="21">
        <f t="shared" si="94"/>
        <v>209</v>
      </c>
      <c r="AV214" s="1">
        <f t="shared" si="95"/>
        <v>0</v>
      </c>
      <c r="AW214" s="1">
        <f t="shared" si="96"/>
        <v>0</v>
      </c>
      <c r="AX214" s="1">
        <f t="shared" si="97"/>
        <v>0</v>
      </c>
      <c r="AY214" s="1">
        <f t="shared" si="87"/>
        <v>0</v>
      </c>
      <c r="AZ214" s="1">
        <f t="shared" si="88"/>
        <v>0</v>
      </c>
      <c r="BA214" s="1">
        <f t="shared" si="107"/>
        <v>0</v>
      </c>
      <c r="BB214" s="5">
        <v>-999</v>
      </c>
      <c r="BC214" s="1">
        <f t="shared" si="98"/>
        <v>0</v>
      </c>
      <c r="BD214" s="1">
        <f t="shared" si="99"/>
        <v>0</v>
      </c>
      <c r="BE214" s="1">
        <f t="shared" si="100"/>
        <v>0</v>
      </c>
      <c r="BF214" s="5">
        <f t="shared" si="101"/>
        <v>0</v>
      </c>
      <c r="BG214" s="5">
        <f t="shared" si="102"/>
        <v>0</v>
      </c>
      <c r="BH214" s="5">
        <f t="shared" si="103"/>
        <v>0</v>
      </c>
      <c r="BI214" s="5">
        <f t="shared" si="108"/>
        <v>0</v>
      </c>
      <c r="BJ214" s="11">
        <f t="shared" si="109"/>
        <v>0</v>
      </c>
      <c r="BK214" s="11" t="e">
        <f t="shared" si="109"/>
        <v>#DIV/0!</v>
      </c>
      <c r="BM214" s="1">
        <f t="shared" si="104"/>
        <v>0</v>
      </c>
      <c r="BN214" s="1">
        <f t="shared" si="105"/>
        <v>0</v>
      </c>
    </row>
    <row r="215" spans="1:66" x14ac:dyDescent="0.2">
      <c r="A215" s="4">
        <f t="shared" si="110"/>
        <v>45867</v>
      </c>
      <c r="B215" s="1">
        <v>210</v>
      </c>
      <c r="C215" s="1">
        <v>5</v>
      </c>
      <c r="AN215" s="1">
        <f t="shared" si="89"/>
        <v>0</v>
      </c>
      <c r="AO215" s="1">
        <f t="shared" si="90"/>
        <v>0</v>
      </c>
      <c r="AP215" s="1">
        <f t="shared" si="91"/>
        <v>0</v>
      </c>
      <c r="AQ215" s="18">
        <f t="shared" si="92"/>
        <v>0</v>
      </c>
      <c r="AR215" s="24" t="e">
        <f t="shared" si="106"/>
        <v>#DIV/0!</v>
      </c>
      <c r="AT215" s="20">
        <f t="shared" si="93"/>
        <v>45867</v>
      </c>
      <c r="AU215" s="21">
        <f t="shared" si="94"/>
        <v>210</v>
      </c>
      <c r="AV215" s="1">
        <f t="shared" si="95"/>
        <v>0</v>
      </c>
      <c r="AW215" s="1">
        <f t="shared" si="96"/>
        <v>0</v>
      </c>
      <c r="AX215" s="1">
        <f t="shared" si="97"/>
        <v>0</v>
      </c>
      <c r="AY215" s="1">
        <f t="shared" si="87"/>
        <v>0</v>
      </c>
      <c r="AZ215" s="1">
        <f t="shared" si="88"/>
        <v>0</v>
      </c>
      <c r="BA215" s="1">
        <f t="shared" si="107"/>
        <v>0</v>
      </c>
      <c r="BB215" s="5">
        <v>-999</v>
      </c>
      <c r="BC215" s="1">
        <f t="shared" si="98"/>
        <v>0</v>
      </c>
      <c r="BD215" s="1">
        <f t="shared" si="99"/>
        <v>0</v>
      </c>
      <c r="BE215" s="1">
        <f t="shared" si="100"/>
        <v>0</v>
      </c>
      <c r="BF215" s="5">
        <f t="shared" si="101"/>
        <v>0</v>
      </c>
      <c r="BG215" s="5">
        <f t="shared" si="102"/>
        <v>0</v>
      </c>
      <c r="BH215" s="5">
        <f t="shared" si="103"/>
        <v>0</v>
      </c>
      <c r="BI215" s="5">
        <f t="shared" si="108"/>
        <v>0</v>
      </c>
      <c r="BJ215" s="11">
        <f t="shared" si="109"/>
        <v>0</v>
      </c>
      <c r="BK215" s="11" t="e">
        <f t="shared" si="109"/>
        <v>#DIV/0!</v>
      </c>
      <c r="BM215" s="1">
        <f t="shared" si="104"/>
        <v>0</v>
      </c>
      <c r="BN215" s="1">
        <f t="shared" si="105"/>
        <v>0</v>
      </c>
    </row>
    <row r="216" spans="1:66" x14ac:dyDescent="0.2">
      <c r="A216" s="4">
        <f t="shared" si="110"/>
        <v>45868</v>
      </c>
      <c r="B216" s="1">
        <v>211</v>
      </c>
      <c r="C216" s="1">
        <v>5</v>
      </c>
      <c r="AN216" s="1">
        <f t="shared" si="89"/>
        <v>0</v>
      </c>
      <c r="AO216" s="1">
        <f t="shared" si="90"/>
        <v>0</v>
      </c>
      <c r="AP216" s="1">
        <f t="shared" si="91"/>
        <v>0</v>
      </c>
      <c r="AQ216" s="18">
        <f t="shared" si="92"/>
        <v>0</v>
      </c>
      <c r="AR216" s="24" t="e">
        <f t="shared" si="106"/>
        <v>#DIV/0!</v>
      </c>
      <c r="AT216" s="20">
        <f t="shared" si="93"/>
        <v>45868</v>
      </c>
      <c r="AU216" s="21">
        <f t="shared" si="94"/>
        <v>211</v>
      </c>
      <c r="AV216" s="1">
        <f t="shared" si="95"/>
        <v>0</v>
      </c>
      <c r="AW216" s="1">
        <f t="shared" si="96"/>
        <v>0</v>
      </c>
      <c r="AX216" s="1">
        <f t="shared" si="97"/>
        <v>0</v>
      </c>
      <c r="AY216" s="1">
        <f t="shared" si="87"/>
        <v>0</v>
      </c>
      <c r="AZ216" s="1">
        <f t="shared" si="88"/>
        <v>0</v>
      </c>
      <c r="BA216" s="1">
        <f t="shared" si="107"/>
        <v>0</v>
      </c>
      <c r="BB216" s="5">
        <v>-999</v>
      </c>
      <c r="BC216" s="1">
        <f t="shared" si="98"/>
        <v>0</v>
      </c>
      <c r="BD216" s="1">
        <f t="shared" si="99"/>
        <v>0</v>
      </c>
      <c r="BE216" s="1">
        <f t="shared" si="100"/>
        <v>0</v>
      </c>
      <c r="BF216" s="5">
        <f t="shared" si="101"/>
        <v>0</v>
      </c>
      <c r="BG216" s="5">
        <f t="shared" si="102"/>
        <v>0</v>
      </c>
      <c r="BH216" s="5">
        <f t="shared" si="103"/>
        <v>0</v>
      </c>
      <c r="BI216" s="5">
        <f t="shared" si="108"/>
        <v>0</v>
      </c>
      <c r="BJ216" s="11">
        <f t="shared" si="109"/>
        <v>0</v>
      </c>
      <c r="BK216" s="11" t="e">
        <f t="shared" si="109"/>
        <v>#DIV/0!</v>
      </c>
      <c r="BM216" s="1">
        <f t="shared" si="104"/>
        <v>0</v>
      </c>
      <c r="BN216" s="1">
        <f t="shared" si="105"/>
        <v>0</v>
      </c>
    </row>
    <row r="217" spans="1:66" x14ac:dyDescent="0.2">
      <c r="A217" s="4">
        <f t="shared" si="110"/>
        <v>45869</v>
      </c>
      <c r="B217" s="1">
        <v>212</v>
      </c>
      <c r="C217" s="1">
        <v>5</v>
      </c>
      <c r="AN217" s="1">
        <f t="shared" si="89"/>
        <v>0</v>
      </c>
      <c r="AO217" s="1">
        <f t="shared" si="90"/>
        <v>0</v>
      </c>
      <c r="AP217" s="1">
        <f t="shared" si="91"/>
        <v>0</v>
      </c>
      <c r="AQ217" s="18">
        <f t="shared" si="92"/>
        <v>0</v>
      </c>
      <c r="AR217" s="24" t="e">
        <f t="shared" si="106"/>
        <v>#DIV/0!</v>
      </c>
      <c r="AT217" s="20">
        <f t="shared" si="93"/>
        <v>45869</v>
      </c>
      <c r="AU217" s="21">
        <f t="shared" si="94"/>
        <v>212</v>
      </c>
      <c r="AV217" s="1">
        <f t="shared" si="95"/>
        <v>0</v>
      </c>
      <c r="AW217" s="1">
        <f t="shared" si="96"/>
        <v>0</v>
      </c>
      <c r="AX217" s="1">
        <f t="shared" si="97"/>
        <v>0</v>
      </c>
      <c r="AY217" s="1">
        <f t="shared" si="87"/>
        <v>0</v>
      </c>
      <c r="AZ217" s="1">
        <f t="shared" si="88"/>
        <v>0</v>
      </c>
      <c r="BA217" s="1">
        <f t="shared" si="107"/>
        <v>0</v>
      </c>
      <c r="BB217" s="5">
        <v>-999</v>
      </c>
      <c r="BC217" s="1">
        <f t="shared" si="98"/>
        <v>0</v>
      </c>
      <c r="BD217" s="1">
        <f t="shared" si="99"/>
        <v>0</v>
      </c>
      <c r="BE217" s="1">
        <f t="shared" si="100"/>
        <v>0</v>
      </c>
      <c r="BF217" s="5">
        <f t="shared" si="101"/>
        <v>0</v>
      </c>
      <c r="BG217" s="5">
        <f t="shared" si="102"/>
        <v>0</v>
      </c>
      <c r="BH217" s="5">
        <f t="shared" si="103"/>
        <v>0</v>
      </c>
      <c r="BI217" s="5">
        <f t="shared" si="108"/>
        <v>0</v>
      </c>
      <c r="BJ217" s="11">
        <f t="shared" si="109"/>
        <v>0</v>
      </c>
      <c r="BK217" s="11" t="e">
        <f t="shared" si="109"/>
        <v>#DIV/0!</v>
      </c>
      <c r="BM217" s="1">
        <f t="shared" si="104"/>
        <v>0</v>
      </c>
      <c r="BN217" s="1">
        <f t="shared" si="105"/>
        <v>0</v>
      </c>
    </row>
    <row r="218" spans="1:66" x14ac:dyDescent="0.2">
      <c r="A218" s="4">
        <f t="shared" si="110"/>
        <v>45870</v>
      </c>
      <c r="B218" s="1">
        <v>213</v>
      </c>
      <c r="C218" s="1">
        <v>5</v>
      </c>
      <c r="AN218" s="1">
        <f t="shared" si="89"/>
        <v>0</v>
      </c>
      <c r="AO218" s="1">
        <f t="shared" si="90"/>
        <v>0</v>
      </c>
      <c r="AP218" s="1">
        <f t="shared" si="91"/>
        <v>0</v>
      </c>
      <c r="AQ218" s="18">
        <f t="shared" si="92"/>
        <v>0</v>
      </c>
      <c r="AR218" s="24" t="e">
        <f t="shared" si="106"/>
        <v>#DIV/0!</v>
      </c>
      <c r="AT218" s="20">
        <f t="shared" si="93"/>
        <v>45870</v>
      </c>
      <c r="AU218" s="21">
        <f t="shared" si="94"/>
        <v>213</v>
      </c>
      <c r="AV218" s="1">
        <f t="shared" si="95"/>
        <v>0</v>
      </c>
      <c r="AW218" s="1">
        <f t="shared" si="96"/>
        <v>0</v>
      </c>
      <c r="AX218" s="1">
        <f t="shared" si="97"/>
        <v>0</v>
      </c>
      <c r="AY218" s="1">
        <f t="shared" si="87"/>
        <v>0</v>
      </c>
      <c r="AZ218" s="1">
        <f t="shared" si="88"/>
        <v>0</v>
      </c>
      <c r="BA218" s="1">
        <f t="shared" si="107"/>
        <v>0</v>
      </c>
      <c r="BB218" s="5">
        <v>-999</v>
      </c>
      <c r="BC218" s="1">
        <f t="shared" si="98"/>
        <v>0</v>
      </c>
      <c r="BD218" s="1">
        <f t="shared" si="99"/>
        <v>0</v>
      </c>
      <c r="BE218" s="1">
        <f t="shared" si="100"/>
        <v>0</v>
      </c>
      <c r="BF218" s="5">
        <f t="shared" si="101"/>
        <v>0</v>
      </c>
      <c r="BG218" s="5">
        <f t="shared" si="102"/>
        <v>0</v>
      </c>
      <c r="BH218" s="5">
        <f t="shared" si="103"/>
        <v>0</v>
      </c>
      <c r="BI218" s="5">
        <f t="shared" si="108"/>
        <v>0</v>
      </c>
      <c r="BJ218" s="11">
        <f t="shared" si="109"/>
        <v>0</v>
      </c>
      <c r="BK218" s="11" t="e">
        <f t="shared" si="109"/>
        <v>#DIV/0!</v>
      </c>
      <c r="BM218" s="1">
        <f t="shared" si="104"/>
        <v>0</v>
      </c>
      <c r="BN218" s="1">
        <f t="shared" si="105"/>
        <v>0</v>
      </c>
    </row>
    <row r="219" spans="1:66" x14ac:dyDescent="0.2">
      <c r="A219" s="4">
        <f t="shared" si="110"/>
        <v>45871</v>
      </c>
      <c r="B219" s="1">
        <v>214</v>
      </c>
      <c r="C219" s="1">
        <v>5</v>
      </c>
      <c r="AN219" s="1">
        <f t="shared" si="89"/>
        <v>0</v>
      </c>
      <c r="AO219" s="1">
        <f t="shared" si="90"/>
        <v>0</v>
      </c>
      <c r="AP219" s="1">
        <f t="shared" si="91"/>
        <v>0</v>
      </c>
      <c r="AQ219" s="18">
        <f t="shared" si="92"/>
        <v>0</v>
      </c>
      <c r="AR219" s="24" t="e">
        <f t="shared" si="106"/>
        <v>#DIV/0!</v>
      </c>
      <c r="AT219" s="20">
        <f t="shared" si="93"/>
        <v>45871</v>
      </c>
      <c r="AU219" s="21">
        <f t="shared" si="94"/>
        <v>214</v>
      </c>
      <c r="AV219" s="1">
        <f t="shared" si="95"/>
        <v>0</v>
      </c>
      <c r="AW219" s="1">
        <f t="shared" si="96"/>
        <v>0</v>
      </c>
      <c r="AX219" s="1">
        <f t="shared" si="97"/>
        <v>0</v>
      </c>
      <c r="AY219" s="1">
        <f t="shared" si="87"/>
        <v>0</v>
      </c>
      <c r="AZ219" s="1">
        <f t="shared" si="88"/>
        <v>0</v>
      </c>
      <c r="BA219" s="1">
        <f t="shared" si="107"/>
        <v>0</v>
      </c>
      <c r="BB219" s="5">
        <v>-999</v>
      </c>
      <c r="BC219" s="1">
        <f t="shared" si="98"/>
        <v>0</v>
      </c>
      <c r="BD219" s="1">
        <f t="shared" si="99"/>
        <v>0</v>
      </c>
      <c r="BE219" s="1">
        <f t="shared" si="100"/>
        <v>0</v>
      </c>
      <c r="BF219" s="5">
        <f t="shared" si="101"/>
        <v>0</v>
      </c>
      <c r="BG219" s="5">
        <f t="shared" si="102"/>
        <v>0</v>
      </c>
      <c r="BH219" s="5">
        <f t="shared" si="103"/>
        <v>0</v>
      </c>
      <c r="BI219" s="5">
        <f t="shared" si="108"/>
        <v>0</v>
      </c>
      <c r="BJ219" s="11">
        <f t="shared" si="109"/>
        <v>0</v>
      </c>
      <c r="BK219" s="11" t="e">
        <f t="shared" si="109"/>
        <v>#DIV/0!</v>
      </c>
      <c r="BM219" s="1">
        <f t="shared" si="104"/>
        <v>0</v>
      </c>
      <c r="BN219" s="1">
        <f t="shared" si="105"/>
        <v>0</v>
      </c>
    </row>
    <row r="220" spans="1:66" x14ac:dyDescent="0.2">
      <c r="A220" s="4">
        <f t="shared" si="110"/>
        <v>45872</v>
      </c>
      <c r="B220" s="1">
        <v>215</v>
      </c>
      <c r="C220" s="1">
        <v>5</v>
      </c>
      <c r="AN220" s="1">
        <f t="shared" si="89"/>
        <v>0</v>
      </c>
      <c r="AO220" s="1">
        <f t="shared" si="90"/>
        <v>0</v>
      </c>
      <c r="AP220" s="1">
        <f t="shared" si="91"/>
        <v>0</v>
      </c>
      <c r="AQ220" s="18">
        <f t="shared" si="92"/>
        <v>0</v>
      </c>
      <c r="AR220" s="24" t="e">
        <f t="shared" si="106"/>
        <v>#DIV/0!</v>
      </c>
      <c r="AT220" s="20">
        <f t="shared" si="93"/>
        <v>45872</v>
      </c>
      <c r="AU220" s="21">
        <f t="shared" si="94"/>
        <v>215</v>
      </c>
      <c r="AV220" s="1">
        <f t="shared" si="95"/>
        <v>0</v>
      </c>
      <c r="AW220" s="1">
        <f t="shared" si="96"/>
        <v>0</v>
      </c>
      <c r="AX220" s="1">
        <f t="shared" si="97"/>
        <v>0</v>
      </c>
      <c r="AY220" s="1">
        <f t="shared" si="87"/>
        <v>0</v>
      </c>
      <c r="AZ220" s="1">
        <f t="shared" si="88"/>
        <v>0</v>
      </c>
      <c r="BA220" s="1">
        <f t="shared" si="107"/>
        <v>0</v>
      </c>
      <c r="BB220" s="5">
        <v>-999</v>
      </c>
      <c r="BC220" s="1">
        <f t="shared" si="98"/>
        <v>0</v>
      </c>
      <c r="BD220" s="1">
        <f t="shared" si="99"/>
        <v>0</v>
      </c>
      <c r="BE220" s="1">
        <f t="shared" si="100"/>
        <v>0</v>
      </c>
      <c r="BF220" s="5">
        <f t="shared" si="101"/>
        <v>0</v>
      </c>
      <c r="BG220" s="5">
        <f t="shared" si="102"/>
        <v>0</v>
      </c>
      <c r="BH220" s="5">
        <f t="shared" si="103"/>
        <v>0</v>
      </c>
      <c r="BI220" s="5">
        <f t="shared" si="108"/>
        <v>0</v>
      </c>
      <c r="BJ220" s="11">
        <f t="shared" si="109"/>
        <v>0</v>
      </c>
      <c r="BK220" s="11" t="e">
        <f t="shared" si="109"/>
        <v>#DIV/0!</v>
      </c>
      <c r="BM220" s="1">
        <f t="shared" si="104"/>
        <v>0</v>
      </c>
      <c r="BN220" s="1">
        <f t="shared" si="105"/>
        <v>0</v>
      </c>
    </row>
    <row r="221" spans="1:66" x14ac:dyDescent="0.2">
      <c r="A221" s="4">
        <f t="shared" si="110"/>
        <v>45873</v>
      </c>
      <c r="B221" s="1">
        <v>216</v>
      </c>
      <c r="C221" s="1">
        <v>5</v>
      </c>
      <c r="AN221" s="1">
        <f t="shared" si="89"/>
        <v>0</v>
      </c>
      <c r="AO221" s="1">
        <f t="shared" si="90"/>
        <v>0</v>
      </c>
      <c r="AP221" s="1">
        <f t="shared" si="91"/>
        <v>0</v>
      </c>
      <c r="AQ221" s="18">
        <f t="shared" si="92"/>
        <v>0</v>
      </c>
      <c r="AR221" s="24" t="e">
        <f t="shared" si="106"/>
        <v>#DIV/0!</v>
      </c>
      <c r="AT221" s="20">
        <f t="shared" si="93"/>
        <v>45873</v>
      </c>
      <c r="AU221" s="21">
        <f t="shared" si="94"/>
        <v>216</v>
      </c>
      <c r="AV221" s="1">
        <f t="shared" si="95"/>
        <v>0</v>
      </c>
      <c r="AW221" s="1">
        <f t="shared" si="96"/>
        <v>0</v>
      </c>
      <c r="AX221" s="1">
        <f t="shared" si="97"/>
        <v>0</v>
      </c>
      <c r="AY221" s="1">
        <f t="shared" si="87"/>
        <v>0</v>
      </c>
      <c r="AZ221" s="1">
        <f t="shared" si="88"/>
        <v>0</v>
      </c>
      <c r="BA221" s="1">
        <f t="shared" si="107"/>
        <v>0</v>
      </c>
      <c r="BB221" s="5">
        <v>-999</v>
      </c>
      <c r="BC221" s="1">
        <f t="shared" si="98"/>
        <v>0</v>
      </c>
      <c r="BD221" s="1">
        <f t="shared" si="99"/>
        <v>0</v>
      </c>
      <c r="BE221" s="1">
        <f t="shared" si="100"/>
        <v>0</v>
      </c>
      <c r="BF221" s="5">
        <f t="shared" si="101"/>
        <v>0</v>
      </c>
      <c r="BG221" s="5">
        <f t="shared" si="102"/>
        <v>0</v>
      </c>
      <c r="BH221" s="5">
        <f t="shared" si="103"/>
        <v>0</v>
      </c>
      <c r="BI221" s="5">
        <f t="shared" si="108"/>
        <v>0</v>
      </c>
      <c r="BJ221" s="11">
        <f t="shared" si="109"/>
        <v>0</v>
      </c>
      <c r="BK221" s="11" t="e">
        <f t="shared" si="109"/>
        <v>#DIV/0!</v>
      </c>
      <c r="BM221" s="1">
        <f t="shared" si="104"/>
        <v>0</v>
      </c>
      <c r="BN221" s="1">
        <f t="shared" si="105"/>
        <v>0</v>
      </c>
    </row>
    <row r="222" spans="1:66" x14ac:dyDescent="0.2">
      <c r="A222" s="4">
        <f t="shared" si="110"/>
        <v>45874</v>
      </c>
      <c r="B222" s="1">
        <v>217</v>
      </c>
      <c r="C222" s="1">
        <v>5</v>
      </c>
      <c r="AN222" s="1">
        <f t="shared" si="89"/>
        <v>0</v>
      </c>
      <c r="AO222" s="1">
        <f t="shared" si="90"/>
        <v>0</v>
      </c>
      <c r="AP222" s="1">
        <f t="shared" si="91"/>
        <v>0</v>
      </c>
      <c r="AQ222" s="18">
        <f t="shared" si="92"/>
        <v>0</v>
      </c>
      <c r="AR222" s="24" t="e">
        <f t="shared" si="106"/>
        <v>#DIV/0!</v>
      </c>
      <c r="AT222" s="20">
        <f t="shared" si="93"/>
        <v>45874</v>
      </c>
      <c r="AU222" s="21">
        <f t="shared" si="94"/>
        <v>217</v>
      </c>
      <c r="AV222" s="1">
        <f t="shared" si="95"/>
        <v>0</v>
      </c>
      <c r="AW222" s="1">
        <f t="shared" si="96"/>
        <v>0</v>
      </c>
      <c r="AX222" s="1">
        <f t="shared" si="97"/>
        <v>0</v>
      </c>
      <c r="AY222" s="1">
        <f t="shared" si="87"/>
        <v>0</v>
      </c>
      <c r="AZ222" s="1">
        <f t="shared" si="88"/>
        <v>0</v>
      </c>
      <c r="BA222" s="1">
        <f t="shared" si="107"/>
        <v>0</v>
      </c>
      <c r="BB222" s="5">
        <v>-999</v>
      </c>
      <c r="BC222" s="1">
        <f t="shared" si="98"/>
        <v>0</v>
      </c>
      <c r="BD222" s="1">
        <f t="shared" si="99"/>
        <v>0</v>
      </c>
      <c r="BE222" s="1">
        <f t="shared" si="100"/>
        <v>0</v>
      </c>
      <c r="BF222" s="5">
        <f t="shared" si="101"/>
        <v>0</v>
      </c>
      <c r="BG222" s="5">
        <f t="shared" si="102"/>
        <v>0</v>
      </c>
      <c r="BH222" s="5">
        <f t="shared" si="103"/>
        <v>0</v>
      </c>
      <c r="BI222" s="5">
        <f t="shared" si="108"/>
        <v>0</v>
      </c>
      <c r="BJ222" s="11">
        <f t="shared" si="109"/>
        <v>0</v>
      </c>
      <c r="BK222" s="11" t="e">
        <f t="shared" si="109"/>
        <v>#DIV/0!</v>
      </c>
      <c r="BM222" s="1">
        <f t="shared" si="104"/>
        <v>0</v>
      </c>
      <c r="BN222" s="1">
        <f t="shared" si="105"/>
        <v>0</v>
      </c>
    </row>
    <row r="223" spans="1:66" x14ac:dyDescent="0.2">
      <c r="A223" s="4">
        <f t="shared" si="110"/>
        <v>45875</v>
      </c>
      <c r="B223" s="1">
        <v>218</v>
      </c>
      <c r="C223" s="1">
        <v>5</v>
      </c>
      <c r="AN223" s="1">
        <f t="shared" si="89"/>
        <v>0</v>
      </c>
      <c r="AO223" s="1">
        <f t="shared" si="90"/>
        <v>0</v>
      </c>
      <c r="AP223" s="1">
        <f t="shared" si="91"/>
        <v>0</v>
      </c>
      <c r="AQ223" s="18">
        <f t="shared" si="92"/>
        <v>0</v>
      </c>
      <c r="AR223" s="24" t="e">
        <f t="shared" si="106"/>
        <v>#DIV/0!</v>
      </c>
      <c r="AT223" s="20">
        <f t="shared" si="93"/>
        <v>45875</v>
      </c>
      <c r="AU223" s="21">
        <f t="shared" si="94"/>
        <v>218</v>
      </c>
      <c r="AV223" s="1">
        <f t="shared" si="95"/>
        <v>0</v>
      </c>
      <c r="AW223" s="1">
        <f t="shared" si="96"/>
        <v>0</v>
      </c>
      <c r="AX223" s="1">
        <f t="shared" si="97"/>
        <v>0</v>
      </c>
      <c r="AY223" s="1">
        <f t="shared" si="87"/>
        <v>0</v>
      </c>
      <c r="AZ223" s="1">
        <f t="shared" si="88"/>
        <v>0</v>
      </c>
      <c r="BA223" s="1">
        <f t="shared" si="107"/>
        <v>0</v>
      </c>
      <c r="BB223" s="5">
        <v>-999</v>
      </c>
      <c r="BC223" s="1">
        <f t="shared" si="98"/>
        <v>0</v>
      </c>
      <c r="BD223" s="1">
        <f t="shared" si="99"/>
        <v>0</v>
      </c>
      <c r="BE223" s="1">
        <f t="shared" si="100"/>
        <v>0</v>
      </c>
      <c r="BF223" s="5">
        <f t="shared" si="101"/>
        <v>0</v>
      </c>
      <c r="BG223" s="5">
        <f t="shared" si="102"/>
        <v>0</v>
      </c>
      <c r="BH223" s="5">
        <f t="shared" si="103"/>
        <v>0</v>
      </c>
      <c r="BI223" s="5">
        <f t="shared" si="108"/>
        <v>0</v>
      </c>
      <c r="BJ223" s="11">
        <f t="shared" si="109"/>
        <v>0</v>
      </c>
      <c r="BK223" s="11" t="e">
        <f t="shared" si="109"/>
        <v>#DIV/0!</v>
      </c>
      <c r="BM223" s="1">
        <f t="shared" si="104"/>
        <v>0</v>
      </c>
      <c r="BN223" s="1">
        <f t="shared" si="105"/>
        <v>0</v>
      </c>
    </row>
    <row r="224" spans="1:66" x14ac:dyDescent="0.2">
      <c r="A224" s="4">
        <f t="shared" si="110"/>
        <v>45876</v>
      </c>
      <c r="B224" s="1">
        <v>219</v>
      </c>
      <c r="C224" s="1">
        <v>5</v>
      </c>
      <c r="AN224" s="1">
        <f t="shared" si="89"/>
        <v>0</v>
      </c>
      <c r="AO224" s="1">
        <f t="shared" si="90"/>
        <v>0</v>
      </c>
      <c r="AP224" s="1">
        <f t="shared" si="91"/>
        <v>0</v>
      </c>
      <c r="AQ224" s="18">
        <f t="shared" si="92"/>
        <v>0</v>
      </c>
      <c r="AR224" s="24" t="e">
        <f t="shared" si="106"/>
        <v>#DIV/0!</v>
      </c>
      <c r="AT224" s="20">
        <f t="shared" si="93"/>
        <v>45876</v>
      </c>
      <c r="AU224" s="21">
        <f t="shared" si="94"/>
        <v>219</v>
      </c>
      <c r="AV224" s="1">
        <f t="shared" si="95"/>
        <v>0</v>
      </c>
      <c r="AW224" s="1">
        <f t="shared" si="96"/>
        <v>0</v>
      </c>
      <c r="AX224" s="1">
        <f t="shared" si="97"/>
        <v>0</v>
      </c>
      <c r="AY224" s="1">
        <f t="shared" si="87"/>
        <v>0</v>
      </c>
      <c r="AZ224" s="1">
        <f t="shared" si="88"/>
        <v>0</v>
      </c>
      <c r="BA224" s="1">
        <f t="shared" si="107"/>
        <v>0</v>
      </c>
      <c r="BB224" s="5">
        <v>-999</v>
      </c>
      <c r="BC224" s="1">
        <f t="shared" si="98"/>
        <v>0</v>
      </c>
      <c r="BD224" s="1">
        <f t="shared" si="99"/>
        <v>0</v>
      </c>
      <c r="BE224" s="1">
        <f t="shared" si="100"/>
        <v>0</v>
      </c>
      <c r="BF224" s="5">
        <f t="shared" si="101"/>
        <v>0</v>
      </c>
      <c r="BG224" s="5">
        <f t="shared" si="102"/>
        <v>0</v>
      </c>
      <c r="BH224" s="5">
        <f t="shared" si="103"/>
        <v>0</v>
      </c>
      <c r="BI224" s="5">
        <f t="shared" si="108"/>
        <v>0</v>
      </c>
      <c r="BJ224" s="11">
        <f t="shared" si="109"/>
        <v>0</v>
      </c>
      <c r="BK224" s="11" t="e">
        <f t="shared" si="109"/>
        <v>#DIV/0!</v>
      </c>
      <c r="BM224" s="1">
        <f t="shared" si="104"/>
        <v>0</v>
      </c>
      <c r="BN224" s="1">
        <f t="shared" si="105"/>
        <v>0</v>
      </c>
    </row>
    <row r="225" spans="1:66" x14ac:dyDescent="0.2">
      <c r="A225" s="4">
        <f t="shared" si="110"/>
        <v>45877</v>
      </c>
      <c r="B225" s="1">
        <v>220</v>
      </c>
      <c r="C225" s="1">
        <v>5</v>
      </c>
      <c r="AN225" s="1">
        <f t="shared" si="89"/>
        <v>0</v>
      </c>
      <c r="AO225" s="1">
        <f t="shared" si="90"/>
        <v>0</v>
      </c>
      <c r="AP225" s="1">
        <f t="shared" si="91"/>
        <v>0</v>
      </c>
      <c r="AQ225" s="18">
        <f t="shared" si="92"/>
        <v>0</v>
      </c>
      <c r="AR225" s="24" t="e">
        <f t="shared" si="106"/>
        <v>#DIV/0!</v>
      </c>
      <c r="AT225" s="20">
        <f t="shared" si="93"/>
        <v>45877</v>
      </c>
      <c r="AU225" s="21">
        <f t="shared" si="94"/>
        <v>220</v>
      </c>
      <c r="AV225" s="1">
        <f t="shared" si="95"/>
        <v>0</v>
      </c>
      <c r="AW225" s="1">
        <f t="shared" si="96"/>
        <v>0</v>
      </c>
      <c r="AX225" s="1">
        <f t="shared" si="97"/>
        <v>0</v>
      </c>
      <c r="AY225" s="1">
        <f t="shared" si="87"/>
        <v>0</v>
      </c>
      <c r="AZ225" s="1">
        <f t="shared" si="88"/>
        <v>0</v>
      </c>
      <c r="BA225" s="1">
        <f t="shared" si="107"/>
        <v>0</v>
      </c>
      <c r="BB225" s="5">
        <v>-999</v>
      </c>
      <c r="BC225" s="1">
        <f t="shared" si="98"/>
        <v>0</v>
      </c>
      <c r="BD225" s="1">
        <f t="shared" si="99"/>
        <v>0</v>
      </c>
      <c r="BE225" s="1">
        <f t="shared" si="100"/>
        <v>0</v>
      </c>
      <c r="BF225" s="5">
        <f t="shared" si="101"/>
        <v>0</v>
      </c>
      <c r="BG225" s="5">
        <f t="shared" si="102"/>
        <v>0</v>
      </c>
      <c r="BH225" s="5">
        <f t="shared" si="103"/>
        <v>0</v>
      </c>
      <c r="BI225" s="5">
        <f t="shared" si="108"/>
        <v>0</v>
      </c>
      <c r="BJ225" s="11">
        <f t="shared" si="109"/>
        <v>0</v>
      </c>
      <c r="BK225" s="11" t="e">
        <f t="shared" si="109"/>
        <v>#DIV/0!</v>
      </c>
      <c r="BM225" s="1">
        <f t="shared" si="104"/>
        <v>0</v>
      </c>
      <c r="BN225" s="1">
        <f t="shared" si="105"/>
        <v>0</v>
      </c>
    </row>
    <row r="226" spans="1:66" x14ac:dyDescent="0.2">
      <c r="A226" s="4">
        <f t="shared" si="110"/>
        <v>45878</v>
      </c>
      <c r="B226" s="1">
        <v>221</v>
      </c>
      <c r="C226" s="1">
        <v>5</v>
      </c>
      <c r="AN226" s="1">
        <f t="shared" si="89"/>
        <v>0</v>
      </c>
      <c r="AO226" s="1">
        <f t="shared" si="90"/>
        <v>0</v>
      </c>
      <c r="AP226" s="1">
        <f t="shared" si="91"/>
        <v>0</v>
      </c>
      <c r="AQ226" s="18">
        <f t="shared" si="92"/>
        <v>0</v>
      </c>
      <c r="AR226" s="24" t="e">
        <f t="shared" si="106"/>
        <v>#DIV/0!</v>
      </c>
      <c r="AT226" s="20">
        <f t="shared" si="93"/>
        <v>45878</v>
      </c>
      <c r="AU226" s="21">
        <f t="shared" si="94"/>
        <v>221</v>
      </c>
      <c r="AV226" s="1">
        <f t="shared" si="95"/>
        <v>0</v>
      </c>
      <c r="AW226" s="1">
        <f t="shared" si="96"/>
        <v>0</v>
      </c>
      <c r="AX226" s="1">
        <f t="shared" si="97"/>
        <v>0</v>
      </c>
      <c r="AY226" s="1">
        <f t="shared" si="87"/>
        <v>0</v>
      </c>
      <c r="AZ226" s="1">
        <f t="shared" si="88"/>
        <v>0</v>
      </c>
      <c r="BA226" s="1">
        <f t="shared" si="107"/>
        <v>0</v>
      </c>
      <c r="BB226" s="5">
        <v>-999</v>
      </c>
      <c r="BC226" s="1">
        <f t="shared" si="98"/>
        <v>0</v>
      </c>
      <c r="BD226" s="1">
        <f t="shared" si="99"/>
        <v>0</v>
      </c>
      <c r="BE226" s="1">
        <f t="shared" si="100"/>
        <v>0</v>
      </c>
      <c r="BF226" s="5">
        <f t="shared" si="101"/>
        <v>0</v>
      </c>
      <c r="BG226" s="5">
        <f t="shared" si="102"/>
        <v>0</v>
      </c>
      <c r="BH226" s="5">
        <f t="shared" si="103"/>
        <v>0</v>
      </c>
      <c r="BI226" s="5">
        <f t="shared" si="108"/>
        <v>0</v>
      </c>
      <c r="BJ226" s="11">
        <f t="shared" si="109"/>
        <v>0</v>
      </c>
      <c r="BK226" s="11" t="e">
        <f t="shared" si="109"/>
        <v>#DIV/0!</v>
      </c>
      <c r="BM226" s="1">
        <f t="shared" si="104"/>
        <v>0</v>
      </c>
      <c r="BN226" s="1">
        <f t="shared" si="105"/>
        <v>0</v>
      </c>
    </row>
    <row r="227" spans="1:66" x14ac:dyDescent="0.2">
      <c r="A227" s="4">
        <f t="shared" si="110"/>
        <v>45879</v>
      </c>
      <c r="B227" s="1">
        <v>222</v>
      </c>
      <c r="C227" s="1">
        <v>5</v>
      </c>
      <c r="AN227" s="1">
        <f t="shared" si="89"/>
        <v>0</v>
      </c>
      <c r="AO227" s="1">
        <f t="shared" si="90"/>
        <v>0</v>
      </c>
      <c r="AP227" s="1">
        <f t="shared" si="91"/>
        <v>0</v>
      </c>
      <c r="AQ227" s="18">
        <f t="shared" si="92"/>
        <v>0</v>
      </c>
      <c r="AR227" s="24" t="e">
        <f t="shared" si="106"/>
        <v>#DIV/0!</v>
      </c>
      <c r="AT227" s="20">
        <f t="shared" si="93"/>
        <v>45879</v>
      </c>
      <c r="AU227" s="21">
        <f t="shared" si="94"/>
        <v>222</v>
      </c>
      <c r="AV227" s="1">
        <f t="shared" si="95"/>
        <v>0</v>
      </c>
      <c r="AW227" s="1">
        <f t="shared" si="96"/>
        <v>0</v>
      </c>
      <c r="AX227" s="1">
        <f t="shared" si="97"/>
        <v>0</v>
      </c>
      <c r="AY227" s="1">
        <f t="shared" si="87"/>
        <v>0</v>
      </c>
      <c r="AZ227" s="1">
        <f t="shared" si="88"/>
        <v>0</v>
      </c>
      <c r="BA227" s="1">
        <f t="shared" si="107"/>
        <v>0</v>
      </c>
      <c r="BB227" s="5">
        <v>-999</v>
      </c>
      <c r="BC227" s="1">
        <f t="shared" si="98"/>
        <v>0</v>
      </c>
      <c r="BD227" s="1">
        <f t="shared" si="99"/>
        <v>0</v>
      </c>
      <c r="BE227" s="1">
        <f t="shared" si="100"/>
        <v>0</v>
      </c>
      <c r="BF227" s="5">
        <f t="shared" si="101"/>
        <v>0</v>
      </c>
      <c r="BG227" s="5">
        <f t="shared" si="102"/>
        <v>0</v>
      </c>
      <c r="BH227" s="5">
        <f t="shared" si="103"/>
        <v>0</v>
      </c>
      <c r="BI227" s="5">
        <f t="shared" si="108"/>
        <v>0</v>
      </c>
      <c r="BJ227" s="11">
        <f t="shared" si="109"/>
        <v>0</v>
      </c>
      <c r="BK227" s="11" t="e">
        <f t="shared" si="109"/>
        <v>#DIV/0!</v>
      </c>
      <c r="BM227" s="1">
        <f t="shared" si="104"/>
        <v>0</v>
      </c>
      <c r="BN227" s="1">
        <f t="shared" si="105"/>
        <v>0</v>
      </c>
    </row>
    <row r="228" spans="1:66" x14ac:dyDescent="0.2">
      <c r="A228" s="4">
        <f t="shared" si="110"/>
        <v>45880</v>
      </c>
      <c r="B228" s="1">
        <v>223</v>
      </c>
      <c r="C228" s="1">
        <v>5</v>
      </c>
      <c r="AN228" s="1">
        <f t="shared" si="89"/>
        <v>0</v>
      </c>
      <c r="AO228" s="1">
        <f t="shared" si="90"/>
        <v>0</v>
      </c>
      <c r="AP228" s="1">
        <f t="shared" si="91"/>
        <v>0</v>
      </c>
      <c r="AQ228" s="18">
        <f t="shared" si="92"/>
        <v>0</v>
      </c>
      <c r="AR228" s="24" t="e">
        <f t="shared" si="106"/>
        <v>#DIV/0!</v>
      </c>
      <c r="AT228" s="20">
        <f t="shared" si="93"/>
        <v>45880</v>
      </c>
      <c r="AU228" s="21">
        <f t="shared" si="94"/>
        <v>223</v>
      </c>
      <c r="AV228" s="1">
        <f t="shared" si="95"/>
        <v>0</v>
      </c>
      <c r="AW228" s="1">
        <f t="shared" si="96"/>
        <v>0</v>
      </c>
      <c r="AX228" s="1">
        <f t="shared" si="97"/>
        <v>0</v>
      </c>
      <c r="AY228" s="1">
        <f t="shared" si="87"/>
        <v>0</v>
      </c>
      <c r="AZ228" s="1">
        <f t="shared" si="88"/>
        <v>0</v>
      </c>
      <c r="BA228" s="1">
        <f t="shared" si="107"/>
        <v>0</v>
      </c>
      <c r="BB228" s="5">
        <v>-999</v>
      </c>
      <c r="BC228" s="1">
        <f t="shared" si="98"/>
        <v>0</v>
      </c>
      <c r="BD228" s="1">
        <f t="shared" si="99"/>
        <v>0</v>
      </c>
      <c r="BE228" s="1">
        <f t="shared" si="100"/>
        <v>0</v>
      </c>
      <c r="BF228" s="5">
        <f t="shared" si="101"/>
        <v>0</v>
      </c>
      <c r="BG228" s="5">
        <f t="shared" si="102"/>
        <v>0</v>
      </c>
      <c r="BH228" s="5">
        <f t="shared" si="103"/>
        <v>0</v>
      </c>
      <c r="BI228" s="5">
        <f t="shared" si="108"/>
        <v>0</v>
      </c>
      <c r="BJ228" s="11">
        <f t="shared" si="109"/>
        <v>0</v>
      </c>
      <c r="BK228" s="11" t="e">
        <f t="shared" si="109"/>
        <v>#DIV/0!</v>
      </c>
      <c r="BM228" s="1">
        <f t="shared" si="104"/>
        <v>0</v>
      </c>
      <c r="BN228" s="1">
        <f t="shared" si="105"/>
        <v>0</v>
      </c>
    </row>
    <row r="229" spans="1:66" x14ac:dyDescent="0.2">
      <c r="A229" s="4">
        <f t="shared" si="110"/>
        <v>45881</v>
      </c>
      <c r="B229" s="1">
        <v>224</v>
      </c>
      <c r="C229" s="1">
        <v>5</v>
      </c>
      <c r="AN229" s="1">
        <f t="shared" si="89"/>
        <v>0</v>
      </c>
      <c r="AO229" s="1">
        <f t="shared" si="90"/>
        <v>0</v>
      </c>
      <c r="AP229" s="1">
        <f t="shared" si="91"/>
        <v>0</v>
      </c>
      <c r="AQ229" s="18">
        <f t="shared" si="92"/>
        <v>0</v>
      </c>
      <c r="AR229" s="24" t="e">
        <f t="shared" si="106"/>
        <v>#DIV/0!</v>
      </c>
      <c r="AT229" s="20">
        <f t="shared" si="93"/>
        <v>45881</v>
      </c>
      <c r="AU229" s="21">
        <f t="shared" si="94"/>
        <v>224</v>
      </c>
      <c r="AV229" s="1">
        <f t="shared" si="95"/>
        <v>0</v>
      </c>
      <c r="AW229" s="1">
        <f t="shared" si="96"/>
        <v>0</v>
      </c>
      <c r="AX229" s="1">
        <f t="shared" si="97"/>
        <v>0</v>
      </c>
      <c r="AY229" s="1">
        <f t="shared" si="87"/>
        <v>0</v>
      </c>
      <c r="AZ229" s="1">
        <f t="shared" si="88"/>
        <v>0</v>
      </c>
      <c r="BA229" s="1">
        <f t="shared" si="107"/>
        <v>0</v>
      </c>
      <c r="BB229" s="5">
        <v>-999</v>
      </c>
      <c r="BC229" s="1">
        <f t="shared" si="98"/>
        <v>0</v>
      </c>
      <c r="BD229" s="1">
        <f t="shared" si="99"/>
        <v>0</v>
      </c>
      <c r="BE229" s="1">
        <f t="shared" si="100"/>
        <v>0</v>
      </c>
      <c r="BF229" s="5">
        <f t="shared" si="101"/>
        <v>0</v>
      </c>
      <c r="BG229" s="5">
        <f t="shared" si="102"/>
        <v>0</v>
      </c>
      <c r="BH229" s="5">
        <f t="shared" si="103"/>
        <v>0</v>
      </c>
      <c r="BI229" s="5">
        <f t="shared" si="108"/>
        <v>0</v>
      </c>
      <c r="BJ229" s="11">
        <f t="shared" si="109"/>
        <v>0</v>
      </c>
      <c r="BK229" s="11" t="e">
        <f t="shared" si="109"/>
        <v>#DIV/0!</v>
      </c>
      <c r="BM229" s="1">
        <f t="shared" si="104"/>
        <v>0</v>
      </c>
      <c r="BN229" s="1">
        <f t="shared" si="105"/>
        <v>0</v>
      </c>
    </row>
    <row r="230" spans="1:66" x14ac:dyDescent="0.2">
      <c r="A230" s="4">
        <f t="shared" si="110"/>
        <v>45882</v>
      </c>
      <c r="B230" s="1">
        <v>225</v>
      </c>
      <c r="C230" s="1">
        <v>5</v>
      </c>
      <c r="AN230" s="1">
        <f t="shared" si="89"/>
        <v>0</v>
      </c>
      <c r="AO230" s="1">
        <f t="shared" si="90"/>
        <v>0</v>
      </c>
      <c r="AP230" s="1">
        <f t="shared" si="91"/>
        <v>0</v>
      </c>
      <c r="AQ230" s="18">
        <f t="shared" si="92"/>
        <v>0</v>
      </c>
      <c r="AR230" s="24" t="e">
        <f t="shared" si="106"/>
        <v>#DIV/0!</v>
      </c>
      <c r="AT230" s="20">
        <f t="shared" si="93"/>
        <v>45882</v>
      </c>
      <c r="AU230" s="21">
        <f t="shared" si="94"/>
        <v>225</v>
      </c>
      <c r="AV230" s="1">
        <f t="shared" si="95"/>
        <v>0</v>
      </c>
      <c r="AW230" s="1">
        <f t="shared" si="96"/>
        <v>0</v>
      </c>
      <c r="AX230" s="1">
        <f t="shared" si="97"/>
        <v>0</v>
      </c>
      <c r="AY230" s="1">
        <f t="shared" si="87"/>
        <v>0</v>
      </c>
      <c r="AZ230" s="1">
        <f t="shared" si="88"/>
        <v>0</v>
      </c>
      <c r="BA230" s="1">
        <f t="shared" si="107"/>
        <v>0</v>
      </c>
      <c r="BB230" s="5">
        <v>-999</v>
      </c>
      <c r="BC230" s="1">
        <f t="shared" si="98"/>
        <v>0</v>
      </c>
      <c r="BD230" s="1">
        <f t="shared" si="99"/>
        <v>0</v>
      </c>
      <c r="BE230" s="1">
        <f t="shared" si="100"/>
        <v>0</v>
      </c>
      <c r="BF230" s="5">
        <f t="shared" si="101"/>
        <v>0</v>
      </c>
      <c r="BG230" s="5">
        <f t="shared" si="102"/>
        <v>0</v>
      </c>
      <c r="BH230" s="5">
        <f t="shared" si="103"/>
        <v>0</v>
      </c>
      <c r="BI230" s="5">
        <f t="shared" si="108"/>
        <v>0</v>
      </c>
      <c r="BJ230" s="11">
        <f t="shared" si="109"/>
        <v>0</v>
      </c>
      <c r="BK230" s="11" t="e">
        <f t="shared" si="109"/>
        <v>#DIV/0!</v>
      </c>
      <c r="BM230" s="1">
        <f t="shared" si="104"/>
        <v>0</v>
      </c>
      <c r="BN230" s="1">
        <f t="shared" si="105"/>
        <v>0</v>
      </c>
    </row>
    <row r="231" spans="1:66" x14ac:dyDescent="0.2">
      <c r="A231" s="4">
        <f t="shared" si="110"/>
        <v>45883</v>
      </c>
      <c r="B231" s="1">
        <v>226</v>
      </c>
      <c r="C231" s="1">
        <v>5</v>
      </c>
      <c r="AN231" s="1">
        <f t="shared" si="89"/>
        <v>0</v>
      </c>
      <c r="AO231" s="1">
        <f t="shared" si="90"/>
        <v>0</v>
      </c>
      <c r="AP231" s="1">
        <f t="shared" si="91"/>
        <v>0</v>
      </c>
      <c r="AQ231" s="18">
        <f t="shared" si="92"/>
        <v>0</v>
      </c>
      <c r="AR231" s="24" t="e">
        <f t="shared" si="106"/>
        <v>#DIV/0!</v>
      </c>
      <c r="AT231" s="20">
        <f t="shared" si="93"/>
        <v>45883</v>
      </c>
      <c r="AU231" s="21">
        <f t="shared" si="94"/>
        <v>226</v>
      </c>
      <c r="AV231" s="1">
        <f t="shared" si="95"/>
        <v>0</v>
      </c>
      <c r="AW231" s="1">
        <f t="shared" si="96"/>
        <v>0</v>
      </c>
      <c r="AX231" s="1">
        <f t="shared" si="97"/>
        <v>0</v>
      </c>
      <c r="AY231" s="1">
        <f t="shared" si="87"/>
        <v>0</v>
      </c>
      <c r="AZ231" s="1">
        <f t="shared" si="88"/>
        <v>0</v>
      </c>
      <c r="BA231" s="1">
        <f t="shared" si="107"/>
        <v>0</v>
      </c>
      <c r="BB231" s="5">
        <v>-999</v>
      </c>
      <c r="BC231" s="1">
        <f t="shared" si="98"/>
        <v>0</v>
      </c>
      <c r="BD231" s="1">
        <f t="shared" si="99"/>
        <v>0</v>
      </c>
      <c r="BE231" s="1">
        <f t="shared" si="100"/>
        <v>0</v>
      </c>
      <c r="BF231" s="5">
        <f t="shared" si="101"/>
        <v>0</v>
      </c>
      <c r="BG231" s="5">
        <f t="shared" si="102"/>
        <v>0</v>
      </c>
      <c r="BH231" s="5">
        <f t="shared" si="103"/>
        <v>0</v>
      </c>
      <c r="BI231" s="5">
        <f t="shared" si="108"/>
        <v>0</v>
      </c>
      <c r="BJ231" s="11">
        <f t="shared" si="109"/>
        <v>0</v>
      </c>
      <c r="BK231" s="11" t="e">
        <f t="shared" si="109"/>
        <v>#DIV/0!</v>
      </c>
      <c r="BM231" s="1">
        <f t="shared" si="104"/>
        <v>0</v>
      </c>
      <c r="BN231" s="1">
        <f t="shared" si="105"/>
        <v>0</v>
      </c>
    </row>
    <row r="232" spans="1:66" x14ac:dyDescent="0.2">
      <c r="A232" s="4">
        <f t="shared" si="110"/>
        <v>45884</v>
      </c>
      <c r="B232" s="1">
        <v>227</v>
      </c>
      <c r="C232" s="1">
        <v>5</v>
      </c>
      <c r="AN232" s="1">
        <f t="shared" si="89"/>
        <v>0</v>
      </c>
      <c r="AO232" s="1">
        <f t="shared" si="90"/>
        <v>0</v>
      </c>
      <c r="AP232" s="1">
        <f t="shared" si="91"/>
        <v>0</v>
      </c>
      <c r="AQ232" s="18">
        <f t="shared" si="92"/>
        <v>0</v>
      </c>
      <c r="AR232" s="24" t="e">
        <f t="shared" si="106"/>
        <v>#DIV/0!</v>
      </c>
      <c r="AT232" s="20">
        <f t="shared" si="93"/>
        <v>45884</v>
      </c>
      <c r="AU232" s="21">
        <f t="shared" si="94"/>
        <v>227</v>
      </c>
      <c r="AV232" s="1">
        <f t="shared" si="95"/>
        <v>0</v>
      </c>
      <c r="AW232" s="1">
        <f t="shared" si="96"/>
        <v>0</v>
      </c>
      <c r="AX232" s="1">
        <f t="shared" si="97"/>
        <v>0</v>
      </c>
      <c r="AY232" s="1">
        <f t="shared" si="87"/>
        <v>0</v>
      </c>
      <c r="AZ232" s="1">
        <f t="shared" si="88"/>
        <v>0</v>
      </c>
      <c r="BA232" s="1">
        <f t="shared" si="107"/>
        <v>0</v>
      </c>
      <c r="BB232" s="5">
        <v>-999</v>
      </c>
      <c r="BC232" s="1">
        <f t="shared" si="98"/>
        <v>0</v>
      </c>
      <c r="BD232" s="1">
        <f t="shared" si="99"/>
        <v>0</v>
      </c>
      <c r="BE232" s="1">
        <f t="shared" si="100"/>
        <v>0</v>
      </c>
      <c r="BF232" s="5">
        <f t="shared" si="101"/>
        <v>0</v>
      </c>
      <c r="BG232" s="5">
        <f t="shared" si="102"/>
        <v>0</v>
      </c>
      <c r="BH232" s="5">
        <f t="shared" si="103"/>
        <v>0</v>
      </c>
      <c r="BI232" s="5">
        <f t="shared" si="108"/>
        <v>0</v>
      </c>
      <c r="BJ232" s="11">
        <f t="shared" si="109"/>
        <v>0</v>
      </c>
      <c r="BK232" s="11" t="e">
        <f t="shared" si="109"/>
        <v>#DIV/0!</v>
      </c>
      <c r="BM232" s="1">
        <f t="shared" si="104"/>
        <v>0</v>
      </c>
      <c r="BN232" s="1">
        <f t="shared" si="105"/>
        <v>0</v>
      </c>
    </row>
    <row r="233" spans="1:66" x14ac:dyDescent="0.2">
      <c r="A233" s="4">
        <f t="shared" si="110"/>
        <v>45885</v>
      </c>
      <c r="B233" s="1">
        <v>228</v>
      </c>
      <c r="C233" s="1">
        <v>5</v>
      </c>
      <c r="AN233" s="1">
        <f t="shared" si="89"/>
        <v>0</v>
      </c>
      <c r="AO233" s="1">
        <f t="shared" si="90"/>
        <v>0</v>
      </c>
      <c r="AP233" s="1">
        <f t="shared" si="91"/>
        <v>0</v>
      </c>
      <c r="AQ233" s="18">
        <f t="shared" si="92"/>
        <v>0</v>
      </c>
      <c r="AR233" s="24" t="e">
        <f t="shared" si="106"/>
        <v>#DIV/0!</v>
      </c>
      <c r="AT233" s="20">
        <f t="shared" si="93"/>
        <v>45885</v>
      </c>
      <c r="AU233" s="21">
        <f t="shared" si="94"/>
        <v>228</v>
      </c>
      <c r="AV233" s="1">
        <f t="shared" si="95"/>
        <v>0</v>
      </c>
      <c r="AW233" s="1">
        <f t="shared" si="96"/>
        <v>0</v>
      </c>
      <c r="AX233" s="1">
        <f t="shared" si="97"/>
        <v>0</v>
      </c>
      <c r="AY233" s="1">
        <f t="shared" si="87"/>
        <v>0</v>
      </c>
      <c r="AZ233" s="1">
        <f t="shared" si="88"/>
        <v>0</v>
      </c>
      <c r="BA233" s="1">
        <f t="shared" si="107"/>
        <v>0</v>
      </c>
      <c r="BB233" s="5">
        <v>-999</v>
      </c>
      <c r="BC233" s="1">
        <f t="shared" si="98"/>
        <v>0</v>
      </c>
      <c r="BD233" s="1">
        <f t="shared" si="99"/>
        <v>0</v>
      </c>
      <c r="BE233" s="1">
        <f t="shared" si="100"/>
        <v>0</v>
      </c>
      <c r="BF233" s="5">
        <f t="shared" si="101"/>
        <v>0</v>
      </c>
      <c r="BG233" s="5">
        <f t="shared" si="102"/>
        <v>0</v>
      </c>
      <c r="BH233" s="5">
        <f t="shared" si="103"/>
        <v>0</v>
      </c>
      <c r="BI233" s="5">
        <f t="shared" si="108"/>
        <v>0</v>
      </c>
      <c r="BJ233" s="11">
        <f t="shared" si="109"/>
        <v>0</v>
      </c>
      <c r="BK233" s="11" t="e">
        <f t="shared" si="109"/>
        <v>#DIV/0!</v>
      </c>
      <c r="BM233" s="1">
        <f t="shared" si="104"/>
        <v>0</v>
      </c>
      <c r="BN233" s="1">
        <f t="shared" si="105"/>
        <v>0</v>
      </c>
    </row>
    <row r="234" spans="1:66" x14ac:dyDescent="0.2">
      <c r="A234" s="4">
        <f t="shared" si="110"/>
        <v>45886</v>
      </c>
      <c r="B234" s="1">
        <v>229</v>
      </c>
      <c r="C234" s="1">
        <v>5</v>
      </c>
      <c r="AN234" s="1">
        <f t="shared" si="89"/>
        <v>0</v>
      </c>
      <c r="AO234" s="1">
        <f t="shared" si="90"/>
        <v>0</v>
      </c>
      <c r="AP234" s="1">
        <f t="shared" si="91"/>
        <v>0</v>
      </c>
      <c r="AQ234" s="18">
        <f t="shared" si="92"/>
        <v>0</v>
      </c>
      <c r="AR234" s="24" t="e">
        <f t="shared" si="106"/>
        <v>#DIV/0!</v>
      </c>
      <c r="AT234" s="20">
        <f t="shared" si="93"/>
        <v>45886</v>
      </c>
      <c r="AU234" s="21">
        <f t="shared" si="94"/>
        <v>229</v>
      </c>
      <c r="AV234" s="1">
        <f t="shared" si="95"/>
        <v>0</v>
      </c>
      <c r="AW234" s="1">
        <f t="shared" si="96"/>
        <v>0</v>
      </c>
      <c r="AX234" s="1">
        <f t="shared" si="97"/>
        <v>0</v>
      </c>
      <c r="AY234" s="1">
        <f t="shared" si="87"/>
        <v>0</v>
      </c>
      <c r="AZ234" s="1">
        <f t="shared" si="88"/>
        <v>0</v>
      </c>
      <c r="BA234" s="1">
        <f t="shared" si="107"/>
        <v>0</v>
      </c>
      <c r="BB234" s="5">
        <v>-999</v>
      </c>
      <c r="BC234" s="1">
        <f t="shared" si="98"/>
        <v>0</v>
      </c>
      <c r="BD234" s="1">
        <f t="shared" si="99"/>
        <v>0</v>
      </c>
      <c r="BE234" s="1">
        <f t="shared" si="100"/>
        <v>0</v>
      </c>
      <c r="BF234" s="5">
        <f t="shared" si="101"/>
        <v>0</v>
      </c>
      <c r="BG234" s="5">
        <f t="shared" si="102"/>
        <v>0</v>
      </c>
      <c r="BH234" s="5">
        <f t="shared" si="103"/>
        <v>0</v>
      </c>
      <c r="BI234" s="5">
        <f t="shared" si="108"/>
        <v>0</v>
      </c>
      <c r="BJ234" s="11">
        <f t="shared" si="109"/>
        <v>0</v>
      </c>
      <c r="BK234" s="11" t="e">
        <f t="shared" si="109"/>
        <v>#DIV/0!</v>
      </c>
      <c r="BM234" s="1">
        <f t="shared" si="104"/>
        <v>0</v>
      </c>
      <c r="BN234" s="1">
        <f t="shared" si="105"/>
        <v>0</v>
      </c>
    </row>
    <row r="235" spans="1:66" x14ac:dyDescent="0.2">
      <c r="A235" s="4">
        <f t="shared" si="110"/>
        <v>45887</v>
      </c>
      <c r="B235" s="1">
        <v>230</v>
      </c>
      <c r="C235" s="1">
        <v>5</v>
      </c>
      <c r="AN235" s="1">
        <f t="shared" si="89"/>
        <v>0</v>
      </c>
      <c r="AO235" s="1">
        <f t="shared" si="90"/>
        <v>0</v>
      </c>
      <c r="AP235" s="1">
        <f t="shared" si="91"/>
        <v>0</v>
      </c>
      <c r="AQ235" s="18">
        <f t="shared" si="92"/>
        <v>0</v>
      </c>
      <c r="AR235" s="24" t="e">
        <f t="shared" si="106"/>
        <v>#DIV/0!</v>
      </c>
      <c r="AT235" s="20">
        <f t="shared" si="93"/>
        <v>45887</v>
      </c>
      <c r="AU235" s="21">
        <f t="shared" si="94"/>
        <v>230</v>
      </c>
      <c r="AV235" s="1">
        <f t="shared" si="95"/>
        <v>0</v>
      </c>
      <c r="AW235" s="1">
        <f t="shared" si="96"/>
        <v>0</v>
      </c>
      <c r="AX235" s="1">
        <f t="shared" si="97"/>
        <v>0</v>
      </c>
      <c r="AY235" s="1">
        <f t="shared" si="87"/>
        <v>0</v>
      </c>
      <c r="AZ235" s="1">
        <f t="shared" si="88"/>
        <v>0</v>
      </c>
      <c r="BA235" s="1">
        <f t="shared" si="107"/>
        <v>0</v>
      </c>
      <c r="BB235" s="5">
        <v>-999</v>
      </c>
      <c r="BC235" s="1">
        <f t="shared" si="98"/>
        <v>0</v>
      </c>
      <c r="BD235" s="1">
        <f t="shared" si="99"/>
        <v>0</v>
      </c>
      <c r="BE235" s="1">
        <f t="shared" si="100"/>
        <v>0</v>
      </c>
      <c r="BF235" s="5">
        <f t="shared" si="101"/>
        <v>0</v>
      </c>
      <c r="BG235" s="5">
        <f t="shared" si="102"/>
        <v>0</v>
      </c>
      <c r="BH235" s="5">
        <f t="shared" si="103"/>
        <v>0</v>
      </c>
      <c r="BI235" s="5">
        <f t="shared" si="108"/>
        <v>0</v>
      </c>
      <c r="BJ235" s="11">
        <f t="shared" si="109"/>
        <v>0</v>
      </c>
      <c r="BK235" s="11" t="e">
        <f t="shared" si="109"/>
        <v>#DIV/0!</v>
      </c>
      <c r="BM235" s="1">
        <f t="shared" si="104"/>
        <v>0</v>
      </c>
      <c r="BN235" s="1">
        <f t="shared" si="105"/>
        <v>0</v>
      </c>
    </row>
    <row r="236" spans="1:66" x14ac:dyDescent="0.2">
      <c r="A236" s="4">
        <f t="shared" si="110"/>
        <v>45888</v>
      </c>
      <c r="B236" s="1">
        <v>231</v>
      </c>
      <c r="C236" s="1">
        <v>5</v>
      </c>
      <c r="AN236" s="1">
        <f t="shared" si="89"/>
        <v>0</v>
      </c>
      <c r="AO236" s="1">
        <f t="shared" si="90"/>
        <v>0</v>
      </c>
      <c r="AP236" s="1">
        <f t="shared" si="91"/>
        <v>0</v>
      </c>
      <c r="AQ236" s="18">
        <f t="shared" si="92"/>
        <v>0</v>
      </c>
      <c r="AR236" s="24" t="e">
        <f t="shared" si="106"/>
        <v>#DIV/0!</v>
      </c>
      <c r="AT236" s="20">
        <f t="shared" si="93"/>
        <v>45888</v>
      </c>
      <c r="AU236" s="21">
        <f t="shared" si="94"/>
        <v>231</v>
      </c>
      <c r="AV236" s="1">
        <f t="shared" si="95"/>
        <v>0</v>
      </c>
      <c r="AW236" s="1">
        <f t="shared" si="96"/>
        <v>0</v>
      </c>
      <c r="AX236" s="1">
        <f t="shared" si="97"/>
        <v>0</v>
      </c>
      <c r="AY236" s="1">
        <f t="shared" si="87"/>
        <v>0</v>
      </c>
      <c r="AZ236" s="1">
        <f t="shared" si="88"/>
        <v>0</v>
      </c>
      <c r="BA236" s="1">
        <f t="shared" si="107"/>
        <v>0</v>
      </c>
      <c r="BB236" s="5">
        <v>-999</v>
      </c>
      <c r="BC236" s="1">
        <f t="shared" si="98"/>
        <v>0</v>
      </c>
      <c r="BD236" s="1">
        <f t="shared" si="99"/>
        <v>0</v>
      </c>
      <c r="BE236" s="1">
        <f t="shared" si="100"/>
        <v>0</v>
      </c>
      <c r="BF236" s="5">
        <f t="shared" si="101"/>
        <v>0</v>
      </c>
      <c r="BG236" s="5">
        <f t="shared" si="102"/>
        <v>0</v>
      </c>
      <c r="BH236" s="5">
        <f t="shared" si="103"/>
        <v>0</v>
      </c>
      <c r="BI236" s="5">
        <f t="shared" si="108"/>
        <v>0</v>
      </c>
      <c r="BJ236" s="11">
        <f t="shared" si="109"/>
        <v>0</v>
      </c>
      <c r="BK236" s="11" t="e">
        <f t="shared" si="109"/>
        <v>#DIV/0!</v>
      </c>
      <c r="BM236" s="1">
        <f t="shared" si="104"/>
        <v>0</v>
      </c>
      <c r="BN236" s="1">
        <f t="shared" si="105"/>
        <v>0</v>
      </c>
    </row>
    <row r="237" spans="1:66" x14ac:dyDescent="0.2">
      <c r="A237" s="4">
        <f t="shared" si="110"/>
        <v>45889</v>
      </c>
      <c r="B237" s="1">
        <v>232</v>
      </c>
      <c r="C237" s="1">
        <v>5</v>
      </c>
      <c r="AN237" s="1">
        <f t="shared" si="89"/>
        <v>0</v>
      </c>
      <c r="AO237" s="1">
        <f t="shared" si="90"/>
        <v>0</v>
      </c>
      <c r="AP237" s="1">
        <f t="shared" si="91"/>
        <v>0</v>
      </c>
      <c r="AQ237" s="18">
        <f t="shared" si="92"/>
        <v>0</v>
      </c>
      <c r="AR237" s="24" t="e">
        <f t="shared" si="106"/>
        <v>#DIV/0!</v>
      </c>
      <c r="AT237" s="20">
        <f t="shared" si="93"/>
        <v>45889</v>
      </c>
      <c r="AU237" s="21">
        <f t="shared" si="94"/>
        <v>232</v>
      </c>
      <c r="AV237" s="1">
        <f t="shared" si="95"/>
        <v>0</v>
      </c>
      <c r="AW237" s="1">
        <f t="shared" si="96"/>
        <v>0</v>
      </c>
      <c r="AX237" s="1">
        <f t="shared" si="97"/>
        <v>0</v>
      </c>
      <c r="AY237" s="1">
        <f t="shared" si="87"/>
        <v>0</v>
      </c>
      <c r="AZ237" s="1">
        <f t="shared" si="88"/>
        <v>0</v>
      </c>
      <c r="BA237" s="1">
        <f t="shared" si="107"/>
        <v>0</v>
      </c>
      <c r="BB237" s="5">
        <v>-999</v>
      </c>
      <c r="BC237" s="1">
        <f t="shared" si="98"/>
        <v>0</v>
      </c>
      <c r="BD237" s="1">
        <f t="shared" si="99"/>
        <v>0</v>
      </c>
      <c r="BE237" s="1">
        <f t="shared" si="100"/>
        <v>0</v>
      </c>
      <c r="BF237" s="5">
        <f t="shared" si="101"/>
        <v>0</v>
      </c>
      <c r="BG237" s="5">
        <f t="shared" si="102"/>
        <v>0</v>
      </c>
      <c r="BH237" s="5">
        <f t="shared" si="103"/>
        <v>0</v>
      </c>
      <c r="BI237" s="5">
        <f t="shared" si="108"/>
        <v>0</v>
      </c>
      <c r="BJ237" s="11">
        <f t="shared" si="109"/>
        <v>0</v>
      </c>
      <c r="BK237" s="11" t="e">
        <f t="shared" si="109"/>
        <v>#DIV/0!</v>
      </c>
      <c r="BM237" s="1">
        <f t="shared" si="104"/>
        <v>0</v>
      </c>
      <c r="BN237" s="1">
        <f t="shared" si="105"/>
        <v>0</v>
      </c>
    </row>
    <row r="238" spans="1:66" x14ac:dyDescent="0.2">
      <c r="A238" s="4">
        <f t="shared" si="110"/>
        <v>45890</v>
      </c>
      <c r="B238" s="1">
        <v>233</v>
      </c>
      <c r="C238" s="1">
        <v>5</v>
      </c>
      <c r="AN238" s="1">
        <f t="shared" si="89"/>
        <v>0</v>
      </c>
      <c r="AO238" s="1">
        <f t="shared" si="90"/>
        <v>0</v>
      </c>
      <c r="AP238" s="1">
        <f t="shared" si="91"/>
        <v>0</v>
      </c>
      <c r="AQ238" s="18">
        <f t="shared" si="92"/>
        <v>0</v>
      </c>
      <c r="AR238" s="24" t="e">
        <f t="shared" si="106"/>
        <v>#DIV/0!</v>
      </c>
      <c r="AT238" s="20">
        <f t="shared" si="93"/>
        <v>45890</v>
      </c>
      <c r="AU238" s="21">
        <f t="shared" si="94"/>
        <v>233</v>
      </c>
      <c r="AV238" s="1">
        <f t="shared" si="95"/>
        <v>0</v>
      </c>
      <c r="AW238" s="1">
        <f t="shared" si="96"/>
        <v>0</v>
      </c>
      <c r="AX238" s="1">
        <f t="shared" si="97"/>
        <v>0</v>
      </c>
      <c r="AY238" s="1">
        <f t="shared" si="87"/>
        <v>0</v>
      </c>
      <c r="AZ238" s="1">
        <f t="shared" si="88"/>
        <v>0</v>
      </c>
      <c r="BA238" s="1">
        <f t="shared" si="107"/>
        <v>0</v>
      </c>
      <c r="BB238" s="5">
        <v>-999</v>
      </c>
      <c r="BC238" s="1">
        <f t="shared" si="98"/>
        <v>0</v>
      </c>
      <c r="BD238" s="1">
        <f t="shared" si="99"/>
        <v>0</v>
      </c>
      <c r="BE238" s="1">
        <f t="shared" si="100"/>
        <v>0</v>
      </c>
      <c r="BF238" s="5">
        <f t="shared" si="101"/>
        <v>0</v>
      </c>
      <c r="BG238" s="5">
        <f t="shared" si="102"/>
        <v>0</v>
      </c>
      <c r="BH238" s="5">
        <f t="shared" si="103"/>
        <v>0</v>
      </c>
      <c r="BI238" s="5">
        <f t="shared" si="108"/>
        <v>0</v>
      </c>
      <c r="BJ238" s="11">
        <f t="shared" si="109"/>
        <v>0</v>
      </c>
      <c r="BK238" s="11" t="e">
        <f t="shared" si="109"/>
        <v>#DIV/0!</v>
      </c>
      <c r="BM238" s="1">
        <f t="shared" si="104"/>
        <v>0</v>
      </c>
      <c r="BN238" s="1">
        <f t="shared" si="105"/>
        <v>0</v>
      </c>
    </row>
    <row r="239" spans="1:66" x14ac:dyDescent="0.2">
      <c r="A239" s="4">
        <f t="shared" si="110"/>
        <v>45891</v>
      </c>
      <c r="B239" s="1">
        <v>234</v>
      </c>
      <c r="C239" s="1">
        <v>5</v>
      </c>
      <c r="AN239" s="1">
        <f t="shared" si="89"/>
        <v>0</v>
      </c>
      <c r="AO239" s="1">
        <f t="shared" si="90"/>
        <v>0</v>
      </c>
      <c r="AP239" s="1">
        <f t="shared" si="91"/>
        <v>0</v>
      </c>
      <c r="AQ239" s="18">
        <f t="shared" si="92"/>
        <v>0</v>
      </c>
      <c r="AR239" s="24" t="e">
        <f t="shared" si="106"/>
        <v>#DIV/0!</v>
      </c>
      <c r="AT239" s="20">
        <f t="shared" si="93"/>
        <v>45891</v>
      </c>
      <c r="AU239" s="21">
        <f t="shared" si="94"/>
        <v>234</v>
      </c>
      <c r="AV239" s="1">
        <f t="shared" si="95"/>
        <v>0</v>
      </c>
      <c r="AW239" s="1">
        <f t="shared" si="96"/>
        <v>0</v>
      </c>
      <c r="AX239" s="1">
        <f t="shared" si="97"/>
        <v>0</v>
      </c>
      <c r="AY239" s="1">
        <f t="shared" si="87"/>
        <v>0</v>
      </c>
      <c r="AZ239" s="1">
        <f t="shared" si="88"/>
        <v>0</v>
      </c>
      <c r="BA239" s="1">
        <f t="shared" si="107"/>
        <v>0</v>
      </c>
      <c r="BB239" s="5">
        <v>-999</v>
      </c>
      <c r="BC239" s="1">
        <f t="shared" si="98"/>
        <v>0</v>
      </c>
      <c r="BD239" s="1">
        <f t="shared" si="99"/>
        <v>0</v>
      </c>
      <c r="BE239" s="1">
        <f t="shared" si="100"/>
        <v>0</v>
      </c>
      <c r="BF239" s="5">
        <f t="shared" si="101"/>
        <v>0</v>
      </c>
      <c r="BG239" s="5">
        <f t="shared" si="102"/>
        <v>0</v>
      </c>
      <c r="BH239" s="5">
        <f t="shared" si="103"/>
        <v>0</v>
      </c>
      <c r="BI239" s="5">
        <f t="shared" si="108"/>
        <v>0</v>
      </c>
      <c r="BJ239" s="11">
        <f t="shared" si="109"/>
        <v>0</v>
      </c>
      <c r="BK239" s="11" t="e">
        <f t="shared" si="109"/>
        <v>#DIV/0!</v>
      </c>
      <c r="BM239" s="1">
        <f t="shared" si="104"/>
        <v>0</v>
      </c>
      <c r="BN239" s="1">
        <f t="shared" si="105"/>
        <v>0</v>
      </c>
    </row>
    <row r="240" spans="1:66" x14ac:dyDescent="0.2">
      <c r="A240" s="4">
        <f t="shared" si="110"/>
        <v>45892</v>
      </c>
      <c r="B240" s="1">
        <v>235</v>
      </c>
      <c r="C240" s="1">
        <v>5</v>
      </c>
      <c r="AN240" s="1">
        <f t="shared" si="89"/>
        <v>0</v>
      </c>
      <c r="AO240" s="1">
        <f t="shared" si="90"/>
        <v>0</v>
      </c>
      <c r="AP240" s="1">
        <f t="shared" si="91"/>
        <v>0</v>
      </c>
      <c r="AQ240" s="18">
        <f t="shared" si="92"/>
        <v>0</v>
      </c>
      <c r="AR240" s="24" t="e">
        <f t="shared" si="106"/>
        <v>#DIV/0!</v>
      </c>
      <c r="AT240" s="20">
        <f t="shared" si="93"/>
        <v>45892</v>
      </c>
      <c r="AU240" s="21">
        <f t="shared" si="94"/>
        <v>235</v>
      </c>
      <c r="AV240" s="1">
        <f t="shared" si="95"/>
        <v>0</v>
      </c>
      <c r="AW240" s="1">
        <f t="shared" si="96"/>
        <v>0</v>
      </c>
      <c r="AX240" s="1">
        <f t="shared" si="97"/>
        <v>0</v>
      </c>
      <c r="AY240" s="1">
        <f t="shared" si="87"/>
        <v>0</v>
      </c>
      <c r="AZ240" s="1">
        <f t="shared" si="88"/>
        <v>0</v>
      </c>
      <c r="BA240" s="1">
        <f t="shared" si="107"/>
        <v>0</v>
      </c>
      <c r="BB240" s="5">
        <v>-999</v>
      </c>
      <c r="BC240" s="1">
        <f t="shared" si="98"/>
        <v>0</v>
      </c>
      <c r="BD240" s="1">
        <f t="shared" si="99"/>
        <v>0</v>
      </c>
      <c r="BE240" s="1">
        <f t="shared" si="100"/>
        <v>0</v>
      </c>
      <c r="BF240" s="5">
        <f t="shared" si="101"/>
        <v>0</v>
      </c>
      <c r="BG240" s="5">
        <f t="shared" si="102"/>
        <v>0</v>
      </c>
      <c r="BH240" s="5">
        <f t="shared" si="103"/>
        <v>0</v>
      </c>
      <c r="BI240" s="5">
        <f t="shared" si="108"/>
        <v>0</v>
      </c>
      <c r="BJ240" s="11">
        <f t="shared" si="109"/>
        <v>0</v>
      </c>
      <c r="BK240" s="11" t="e">
        <f t="shared" si="109"/>
        <v>#DIV/0!</v>
      </c>
      <c r="BM240" s="1">
        <f t="shared" si="104"/>
        <v>0</v>
      </c>
      <c r="BN240" s="1">
        <f t="shared" si="105"/>
        <v>0</v>
      </c>
    </row>
    <row r="241" spans="1:66" x14ac:dyDescent="0.2">
      <c r="A241" s="4">
        <f t="shared" si="110"/>
        <v>45893</v>
      </c>
      <c r="B241" s="1">
        <v>236</v>
      </c>
      <c r="C241" s="1">
        <v>5</v>
      </c>
      <c r="AN241" s="1">
        <f t="shared" si="89"/>
        <v>0</v>
      </c>
      <c r="AO241" s="1">
        <f t="shared" si="90"/>
        <v>0</v>
      </c>
      <c r="AP241" s="1">
        <f t="shared" si="91"/>
        <v>0</v>
      </c>
      <c r="AQ241" s="18">
        <f t="shared" si="92"/>
        <v>0</v>
      </c>
      <c r="AR241" s="24" t="e">
        <f t="shared" si="106"/>
        <v>#DIV/0!</v>
      </c>
      <c r="AT241" s="20">
        <f t="shared" si="93"/>
        <v>45893</v>
      </c>
      <c r="AU241" s="21">
        <f t="shared" si="94"/>
        <v>236</v>
      </c>
      <c r="AV241" s="1">
        <f t="shared" si="95"/>
        <v>0</v>
      </c>
      <c r="AW241" s="1">
        <f t="shared" si="96"/>
        <v>0</v>
      </c>
      <c r="AX241" s="1">
        <f t="shared" si="97"/>
        <v>0</v>
      </c>
      <c r="AY241" s="1">
        <f t="shared" si="87"/>
        <v>0</v>
      </c>
      <c r="AZ241" s="1">
        <f t="shared" si="88"/>
        <v>0</v>
      </c>
      <c r="BA241" s="1">
        <f t="shared" si="107"/>
        <v>0</v>
      </c>
      <c r="BB241" s="5">
        <v>-999</v>
      </c>
      <c r="BC241" s="1">
        <f t="shared" si="98"/>
        <v>0</v>
      </c>
      <c r="BD241" s="1">
        <f t="shared" si="99"/>
        <v>0</v>
      </c>
      <c r="BE241" s="1">
        <f t="shared" si="100"/>
        <v>0</v>
      </c>
      <c r="BF241" s="5">
        <f t="shared" si="101"/>
        <v>0</v>
      </c>
      <c r="BG241" s="5">
        <f t="shared" si="102"/>
        <v>0</v>
      </c>
      <c r="BH241" s="5">
        <f t="shared" si="103"/>
        <v>0</v>
      </c>
      <c r="BI241" s="5">
        <f t="shared" si="108"/>
        <v>0</v>
      </c>
      <c r="BJ241" s="11">
        <f t="shared" si="109"/>
        <v>0</v>
      </c>
      <c r="BK241" s="11" t="e">
        <f t="shared" si="109"/>
        <v>#DIV/0!</v>
      </c>
      <c r="BM241" s="1">
        <f t="shared" si="104"/>
        <v>0</v>
      </c>
      <c r="BN241" s="1">
        <f t="shared" si="105"/>
        <v>0</v>
      </c>
    </row>
    <row r="242" spans="1:66" x14ac:dyDescent="0.2">
      <c r="A242" s="4">
        <f t="shared" si="110"/>
        <v>45894</v>
      </c>
      <c r="B242" s="1">
        <v>237</v>
      </c>
      <c r="C242" s="1">
        <v>5</v>
      </c>
      <c r="AN242" s="1">
        <f t="shared" si="89"/>
        <v>0</v>
      </c>
      <c r="AO242" s="1">
        <f t="shared" si="90"/>
        <v>0</v>
      </c>
      <c r="AP242" s="1">
        <f t="shared" si="91"/>
        <v>0</v>
      </c>
      <c r="AQ242" s="18">
        <f t="shared" si="92"/>
        <v>0</v>
      </c>
      <c r="AR242" s="24" t="e">
        <f t="shared" si="106"/>
        <v>#DIV/0!</v>
      </c>
      <c r="AT242" s="20">
        <f t="shared" si="93"/>
        <v>45894</v>
      </c>
      <c r="AU242" s="21">
        <f t="shared" si="94"/>
        <v>237</v>
      </c>
      <c r="AV242" s="1">
        <f t="shared" si="95"/>
        <v>0</v>
      </c>
      <c r="AW242" s="1">
        <f t="shared" si="96"/>
        <v>0</v>
      </c>
      <c r="AX242" s="1">
        <f t="shared" si="97"/>
        <v>0</v>
      </c>
      <c r="AY242" s="1">
        <f t="shared" si="87"/>
        <v>0</v>
      </c>
      <c r="AZ242" s="1">
        <f t="shared" si="88"/>
        <v>0</v>
      </c>
      <c r="BA242" s="1">
        <f t="shared" si="107"/>
        <v>0</v>
      </c>
      <c r="BB242" s="5">
        <v>-999</v>
      </c>
      <c r="BC242" s="1">
        <f t="shared" si="98"/>
        <v>0</v>
      </c>
      <c r="BD242" s="1">
        <f t="shared" si="99"/>
        <v>0</v>
      </c>
      <c r="BE242" s="1">
        <f t="shared" si="100"/>
        <v>0</v>
      </c>
      <c r="BF242" s="5">
        <f t="shared" si="101"/>
        <v>0</v>
      </c>
      <c r="BG242" s="5">
        <f t="shared" si="102"/>
        <v>0</v>
      </c>
      <c r="BH242" s="5">
        <f t="shared" si="103"/>
        <v>0</v>
      </c>
      <c r="BI242" s="5">
        <f t="shared" si="108"/>
        <v>0</v>
      </c>
      <c r="BJ242" s="11">
        <f t="shared" si="109"/>
        <v>0</v>
      </c>
      <c r="BK242" s="11" t="e">
        <f t="shared" si="109"/>
        <v>#DIV/0!</v>
      </c>
      <c r="BM242" s="1">
        <f t="shared" si="104"/>
        <v>0</v>
      </c>
      <c r="BN242" s="1">
        <f t="shared" si="105"/>
        <v>0</v>
      </c>
    </row>
    <row r="243" spans="1:66" x14ac:dyDescent="0.2">
      <c r="A243" s="4">
        <f t="shared" si="110"/>
        <v>45895</v>
      </c>
      <c r="B243" s="1">
        <v>238</v>
      </c>
      <c r="C243" s="1">
        <v>5</v>
      </c>
      <c r="AN243" s="1">
        <f t="shared" si="89"/>
        <v>0</v>
      </c>
      <c r="AO243" s="1">
        <f t="shared" si="90"/>
        <v>0</v>
      </c>
      <c r="AP243" s="1">
        <f t="shared" si="91"/>
        <v>0</v>
      </c>
      <c r="AQ243" s="18">
        <f t="shared" si="92"/>
        <v>0</v>
      </c>
      <c r="AR243" s="24" t="e">
        <f t="shared" si="106"/>
        <v>#DIV/0!</v>
      </c>
      <c r="AT243" s="20">
        <f t="shared" si="93"/>
        <v>45895</v>
      </c>
      <c r="AU243" s="21">
        <f t="shared" si="94"/>
        <v>238</v>
      </c>
      <c r="AV243" s="1">
        <f t="shared" si="95"/>
        <v>0</v>
      </c>
      <c r="AW243" s="1">
        <f t="shared" si="96"/>
        <v>0</v>
      </c>
      <c r="AX243" s="1">
        <f t="shared" si="97"/>
        <v>0</v>
      </c>
      <c r="AY243" s="1">
        <f t="shared" si="87"/>
        <v>0</v>
      </c>
      <c r="AZ243" s="1">
        <f t="shared" si="88"/>
        <v>0</v>
      </c>
      <c r="BA243" s="1">
        <f t="shared" si="107"/>
        <v>0</v>
      </c>
      <c r="BB243" s="5">
        <v>-999</v>
      </c>
      <c r="BC243" s="1">
        <f t="shared" si="98"/>
        <v>0</v>
      </c>
      <c r="BD243" s="1">
        <f t="shared" si="99"/>
        <v>0</v>
      </c>
      <c r="BE243" s="1">
        <f t="shared" si="100"/>
        <v>0</v>
      </c>
      <c r="BF243" s="5">
        <f t="shared" si="101"/>
        <v>0</v>
      </c>
      <c r="BG243" s="5">
        <f t="shared" si="102"/>
        <v>0</v>
      </c>
      <c r="BH243" s="5">
        <f t="shared" si="103"/>
        <v>0</v>
      </c>
      <c r="BI243" s="5">
        <f t="shared" si="108"/>
        <v>0</v>
      </c>
      <c r="BJ243" s="11">
        <f t="shared" si="109"/>
        <v>0</v>
      </c>
      <c r="BK243" s="11" t="e">
        <f t="shared" si="109"/>
        <v>#DIV/0!</v>
      </c>
      <c r="BM243" s="1">
        <f t="shared" si="104"/>
        <v>0</v>
      </c>
      <c r="BN243" s="1">
        <f t="shared" si="105"/>
        <v>0</v>
      </c>
    </row>
    <row r="244" spans="1:66" x14ac:dyDescent="0.2">
      <c r="A244" s="4">
        <f t="shared" si="110"/>
        <v>45896</v>
      </c>
      <c r="B244" s="1">
        <v>239</v>
      </c>
      <c r="C244" s="1">
        <v>5</v>
      </c>
      <c r="AN244" s="1">
        <f t="shared" si="89"/>
        <v>0</v>
      </c>
      <c r="AO244" s="1">
        <f t="shared" si="90"/>
        <v>0</v>
      </c>
      <c r="AP244" s="1">
        <f t="shared" si="91"/>
        <v>0</v>
      </c>
      <c r="AQ244" s="18">
        <f t="shared" si="92"/>
        <v>0</v>
      </c>
      <c r="AR244" s="24" t="e">
        <f t="shared" si="106"/>
        <v>#DIV/0!</v>
      </c>
      <c r="AT244" s="20">
        <f t="shared" si="93"/>
        <v>45896</v>
      </c>
      <c r="AU244" s="21">
        <f t="shared" si="94"/>
        <v>239</v>
      </c>
      <c r="AV244" s="1">
        <f t="shared" si="95"/>
        <v>0</v>
      </c>
      <c r="AW244" s="1">
        <f t="shared" si="96"/>
        <v>0</v>
      </c>
      <c r="AX244" s="1">
        <f t="shared" si="97"/>
        <v>0</v>
      </c>
      <c r="AY244" s="1">
        <f t="shared" si="87"/>
        <v>0</v>
      </c>
      <c r="AZ244" s="1">
        <f t="shared" si="88"/>
        <v>0</v>
      </c>
      <c r="BA244" s="1">
        <f t="shared" si="107"/>
        <v>0</v>
      </c>
      <c r="BB244" s="5">
        <v>-999</v>
      </c>
      <c r="BC244" s="1">
        <f t="shared" si="98"/>
        <v>0</v>
      </c>
      <c r="BD244" s="1">
        <f t="shared" si="99"/>
        <v>0</v>
      </c>
      <c r="BE244" s="1">
        <f t="shared" si="100"/>
        <v>0</v>
      </c>
      <c r="BF244" s="5">
        <f t="shared" si="101"/>
        <v>0</v>
      </c>
      <c r="BG244" s="5">
        <f t="shared" si="102"/>
        <v>0</v>
      </c>
      <c r="BH244" s="5">
        <f t="shared" si="103"/>
        <v>0</v>
      </c>
      <c r="BI244" s="5">
        <f t="shared" si="108"/>
        <v>0</v>
      </c>
      <c r="BJ244" s="11">
        <f t="shared" si="109"/>
        <v>0</v>
      </c>
      <c r="BK244" s="11" t="e">
        <f t="shared" si="109"/>
        <v>#DIV/0!</v>
      </c>
      <c r="BM244" s="1">
        <f t="shared" si="104"/>
        <v>0</v>
      </c>
      <c r="BN244" s="1">
        <f t="shared" si="105"/>
        <v>0</v>
      </c>
    </row>
    <row r="245" spans="1:66" x14ac:dyDescent="0.2">
      <c r="A245" s="4">
        <f t="shared" si="110"/>
        <v>45897</v>
      </c>
      <c r="B245" s="1">
        <v>240</v>
      </c>
      <c r="C245" s="1">
        <v>5</v>
      </c>
      <c r="AN245" s="1">
        <f t="shared" si="89"/>
        <v>0</v>
      </c>
      <c r="AO245" s="1">
        <f t="shared" si="90"/>
        <v>0</v>
      </c>
      <c r="AP245" s="1">
        <f t="shared" si="91"/>
        <v>0</v>
      </c>
      <c r="AQ245" s="18">
        <f t="shared" si="92"/>
        <v>0</v>
      </c>
      <c r="AR245" s="24" t="e">
        <f t="shared" si="106"/>
        <v>#DIV/0!</v>
      </c>
      <c r="AT245" s="20">
        <f t="shared" si="93"/>
        <v>45897</v>
      </c>
      <c r="AU245" s="21">
        <f t="shared" si="94"/>
        <v>240</v>
      </c>
      <c r="AV245" s="1">
        <f t="shared" si="95"/>
        <v>0</v>
      </c>
      <c r="AW245" s="1">
        <f t="shared" si="96"/>
        <v>0</v>
      </c>
      <c r="AX245" s="1">
        <f t="shared" si="97"/>
        <v>0</v>
      </c>
      <c r="AY245" s="1">
        <f t="shared" si="87"/>
        <v>0</v>
      </c>
      <c r="AZ245" s="1">
        <f t="shared" si="88"/>
        <v>0</v>
      </c>
      <c r="BA245" s="1">
        <f t="shared" si="107"/>
        <v>0</v>
      </c>
      <c r="BB245" s="5">
        <v>-999</v>
      </c>
      <c r="BC245" s="1">
        <f t="shared" si="98"/>
        <v>0</v>
      </c>
      <c r="BD245" s="1">
        <f t="shared" si="99"/>
        <v>0</v>
      </c>
      <c r="BE245" s="1">
        <f t="shared" si="100"/>
        <v>0</v>
      </c>
      <c r="BF245" s="5">
        <f t="shared" si="101"/>
        <v>0</v>
      </c>
      <c r="BG245" s="5">
        <f t="shared" si="102"/>
        <v>0</v>
      </c>
      <c r="BH245" s="5">
        <f t="shared" si="103"/>
        <v>0</v>
      </c>
      <c r="BI245" s="5">
        <f t="shared" si="108"/>
        <v>0</v>
      </c>
      <c r="BJ245" s="11">
        <f t="shared" si="109"/>
        <v>0</v>
      </c>
      <c r="BK245" s="11" t="e">
        <f t="shared" si="109"/>
        <v>#DIV/0!</v>
      </c>
      <c r="BM245" s="1">
        <f t="shared" si="104"/>
        <v>0</v>
      </c>
      <c r="BN245" s="1">
        <f t="shared" si="105"/>
        <v>0</v>
      </c>
    </row>
    <row r="246" spans="1:66" x14ac:dyDescent="0.2">
      <c r="A246" s="4">
        <f t="shared" si="110"/>
        <v>45898</v>
      </c>
      <c r="B246" s="1">
        <v>241</v>
      </c>
      <c r="C246" s="1">
        <v>5</v>
      </c>
      <c r="AN246" s="1">
        <f t="shared" si="89"/>
        <v>0</v>
      </c>
      <c r="AO246" s="1">
        <f t="shared" si="90"/>
        <v>0</v>
      </c>
      <c r="AP246" s="1">
        <f t="shared" si="91"/>
        <v>0</v>
      </c>
      <c r="AQ246" s="18">
        <f t="shared" si="92"/>
        <v>0</v>
      </c>
      <c r="AR246" s="24" t="e">
        <f t="shared" si="106"/>
        <v>#DIV/0!</v>
      </c>
      <c r="AT246" s="20">
        <f t="shared" si="93"/>
        <v>45898</v>
      </c>
      <c r="AU246" s="21">
        <f t="shared" si="94"/>
        <v>241</v>
      </c>
      <c r="AV246" s="1">
        <f t="shared" si="95"/>
        <v>0</v>
      </c>
      <c r="AW246" s="1">
        <f t="shared" si="96"/>
        <v>0</v>
      </c>
      <c r="AX246" s="1">
        <f t="shared" si="97"/>
        <v>0</v>
      </c>
      <c r="AY246" s="1">
        <f t="shared" si="87"/>
        <v>0</v>
      </c>
      <c r="AZ246" s="1">
        <f t="shared" si="88"/>
        <v>0</v>
      </c>
      <c r="BA246" s="1">
        <f t="shared" si="107"/>
        <v>0</v>
      </c>
      <c r="BB246" s="5">
        <v>-999</v>
      </c>
      <c r="BC246" s="1">
        <f t="shared" si="98"/>
        <v>0</v>
      </c>
      <c r="BD246" s="1">
        <f t="shared" si="99"/>
        <v>0</v>
      </c>
      <c r="BE246" s="1">
        <f t="shared" si="100"/>
        <v>0</v>
      </c>
      <c r="BF246" s="5">
        <f t="shared" si="101"/>
        <v>0</v>
      </c>
      <c r="BG246" s="5">
        <f t="shared" si="102"/>
        <v>0</v>
      </c>
      <c r="BH246" s="5">
        <f t="shared" si="103"/>
        <v>0</v>
      </c>
      <c r="BI246" s="5">
        <f t="shared" si="108"/>
        <v>0</v>
      </c>
      <c r="BJ246" s="11">
        <f t="shared" si="109"/>
        <v>0</v>
      </c>
      <c r="BK246" s="11" t="e">
        <f t="shared" si="109"/>
        <v>#DIV/0!</v>
      </c>
      <c r="BM246" s="1">
        <f t="shared" si="104"/>
        <v>0</v>
      </c>
      <c r="BN246" s="1">
        <f t="shared" si="105"/>
        <v>0</v>
      </c>
    </row>
    <row r="247" spans="1:66" x14ac:dyDescent="0.2">
      <c r="A247" s="4">
        <f t="shared" si="110"/>
        <v>45899</v>
      </c>
      <c r="B247" s="1">
        <v>242</v>
      </c>
      <c r="C247" s="1">
        <v>5</v>
      </c>
      <c r="AN247" s="1">
        <f t="shared" si="89"/>
        <v>0</v>
      </c>
      <c r="AO247" s="1">
        <f t="shared" si="90"/>
        <v>0</v>
      </c>
      <c r="AP247" s="1">
        <f t="shared" si="91"/>
        <v>0</v>
      </c>
      <c r="AQ247" s="18">
        <f t="shared" si="92"/>
        <v>0</v>
      </c>
      <c r="AR247" s="24" t="e">
        <f t="shared" si="106"/>
        <v>#DIV/0!</v>
      </c>
      <c r="AT247" s="20">
        <f t="shared" si="93"/>
        <v>45899</v>
      </c>
      <c r="AU247" s="21">
        <f t="shared" si="94"/>
        <v>242</v>
      </c>
      <c r="AV247" s="1">
        <f t="shared" si="95"/>
        <v>0</v>
      </c>
      <c r="AW247" s="1">
        <f t="shared" si="96"/>
        <v>0</v>
      </c>
      <c r="AX247" s="1">
        <f t="shared" si="97"/>
        <v>0</v>
      </c>
      <c r="AY247" s="1">
        <f t="shared" si="87"/>
        <v>0</v>
      </c>
      <c r="AZ247" s="1">
        <f t="shared" si="88"/>
        <v>0</v>
      </c>
      <c r="BA247" s="1">
        <f t="shared" si="107"/>
        <v>0</v>
      </c>
      <c r="BB247" s="5">
        <v>-999</v>
      </c>
      <c r="BC247" s="1">
        <f t="shared" si="98"/>
        <v>0</v>
      </c>
      <c r="BD247" s="1">
        <f t="shared" si="99"/>
        <v>0</v>
      </c>
      <c r="BE247" s="1">
        <f t="shared" si="100"/>
        <v>0</v>
      </c>
      <c r="BF247" s="5">
        <f t="shared" si="101"/>
        <v>0</v>
      </c>
      <c r="BG247" s="5">
        <f t="shared" si="102"/>
        <v>0</v>
      </c>
      <c r="BH247" s="5">
        <f t="shared" si="103"/>
        <v>0</v>
      </c>
      <c r="BI247" s="5">
        <f t="shared" si="108"/>
        <v>0</v>
      </c>
      <c r="BJ247" s="11">
        <f t="shared" si="109"/>
        <v>0</v>
      </c>
      <c r="BK247" s="11" t="e">
        <f t="shared" si="109"/>
        <v>#DIV/0!</v>
      </c>
      <c r="BM247" s="1">
        <f t="shared" si="104"/>
        <v>0</v>
      </c>
      <c r="BN247" s="1">
        <f t="shared" si="105"/>
        <v>0</v>
      </c>
    </row>
    <row r="248" spans="1:66" x14ac:dyDescent="0.2">
      <c r="A248" s="4">
        <f t="shared" si="110"/>
        <v>45900</v>
      </c>
      <c r="B248" s="1">
        <v>243</v>
      </c>
      <c r="C248" s="1">
        <v>5</v>
      </c>
      <c r="AN248" s="1">
        <f t="shared" si="89"/>
        <v>0</v>
      </c>
      <c r="AO248" s="1">
        <f t="shared" si="90"/>
        <v>0</v>
      </c>
      <c r="AP248" s="1">
        <f t="shared" si="91"/>
        <v>0</v>
      </c>
      <c r="AQ248" s="18">
        <f t="shared" si="92"/>
        <v>0</v>
      </c>
      <c r="AR248" s="24" t="e">
        <f t="shared" si="106"/>
        <v>#DIV/0!</v>
      </c>
      <c r="AT248" s="20">
        <f t="shared" si="93"/>
        <v>45900</v>
      </c>
      <c r="AU248" s="21">
        <f t="shared" si="94"/>
        <v>243</v>
      </c>
      <c r="AV248" s="1">
        <f t="shared" si="95"/>
        <v>0</v>
      </c>
      <c r="AW248" s="1">
        <f t="shared" si="96"/>
        <v>0</v>
      </c>
      <c r="AX248" s="1">
        <f t="shared" si="97"/>
        <v>0</v>
      </c>
      <c r="AY248" s="1">
        <f t="shared" si="87"/>
        <v>0</v>
      </c>
      <c r="AZ248" s="1">
        <f t="shared" si="88"/>
        <v>0</v>
      </c>
      <c r="BA248" s="1">
        <f t="shared" si="107"/>
        <v>0</v>
      </c>
      <c r="BB248" s="5">
        <v>-999</v>
      </c>
      <c r="BC248" s="1">
        <f t="shared" si="98"/>
        <v>0</v>
      </c>
      <c r="BD248" s="1">
        <f t="shared" si="99"/>
        <v>0</v>
      </c>
      <c r="BE248" s="1">
        <f t="shared" si="100"/>
        <v>0</v>
      </c>
      <c r="BF248" s="5">
        <f t="shared" si="101"/>
        <v>0</v>
      </c>
      <c r="BG248" s="5">
        <f t="shared" si="102"/>
        <v>0</v>
      </c>
      <c r="BH248" s="5">
        <f t="shared" si="103"/>
        <v>0</v>
      </c>
      <c r="BI248" s="5">
        <f t="shared" si="108"/>
        <v>0</v>
      </c>
      <c r="BJ248" s="11">
        <f t="shared" si="109"/>
        <v>0</v>
      </c>
      <c r="BK248" s="11" t="e">
        <f t="shared" si="109"/>
        <v>#DIV/0!</v>
      </c>
      <c r="BM248" s="1">
        <f t="shared" si="104"/>
        <v>0</v>
      </c>
      <c r="BN248" s="1">
        <f t="shared" si="105"/>
        <v>0</v>
      </c>
    </row>
    <row r="249" spans="1:66" x14ac:dyDescent="0.2">
      <c r="A249" s="4">
        <f t="shared" si="110"/>
        <v>45901</v>
      </c>
      <c r="B249" s="1">
        <v>244</v>
      </c>
      <c r="C249" s="1">
        <v>5</v>
      </c>
      <c r="AN249" s="1">
        <f t="shared" si="89"/>
        <v>0</v>
      </c>
      <c r="AO249" s="1">
        <f t="shared" si="90"/>
        <v>0</v>
      </c>
      <c r="AP249" s="1">
        <f t="shared" si="91"/>
        <v>0</v>
      </c>
      <c r="AQ249" s="18">
        <f t="shared" si="92"/>
        <v>0</v>
      </c>
      <c r="AR249" s="24" t="e">
        <f t="shared" si="106"/>
        <v>#DIV/0!</v>
      </c>
      <c r="AT249" s="20">
        <f t="shared" si="93"/>
        <v>45901</v>
      </c>
      <c r="AU249" s="21">
        <f t="shared" si="94"/>
        <v>244</v>
      </c>
      <c r="AV249" s="1">
        <f t="shared" si="95"/>
        <v>0</v>
      </c>
      <c r="AW249" s="1">
        <f t="shared" si="96"/>
        <v>0</v>
      </c>
      <c r="AX249" s="1">
        <f t="shared" si="97"/>
        <v>0</v>
      </c>
      <c r="AY249" s="1">
        <f t="shared" si="87"/>
        <v>0</v>
      </c>
      <c r="AZ249" s="1">
        <f t="shared" si="88"/>
        <v>0</v>
      </c>
      <c r="BA249" s="1">
        <f t="shared" si="107"/>
        <v>0</v>
      </c>
      <c r="BB249" s="5">
        <f t="shared" ref="BB249:BB262" si="111">AL249</f>
        <v>0</v>
      </c>
      <c r="BC249" s="1">
        <f t="shared" si="98"/>
        <v>0</v>
      </c>
      <c r="BD249" s="1">
        <f t="shared" si="99"/>
        <v>0</v>
      </c>
      <c r="BE249" s="1">
        <f t="shared" si="100"/>
        <v>0</v>
      </c>
      <c r="BF249" s="5">
        <f t="shared" si="101"/>
        <v>0</v>
      </c>
      <c r="BG249" s="5">
        <f t="shared" si="102"/>
        <v>0</v>
      </c>
      <c r="BH249" s="5">
        <f t="shared" si="103"/>
        <v>0</v>
      </c>
      <c r="BI249" s="5">
        <f t="shared" si="108"/>
        <v>0</v>
      </c>
      <c r="BJ249" s="11">
        <f t="shared" si="109"/>
        <v>0</v>
      </c>
      <c r="BK249" s="11" t="e">
        <f t="shared" si="109"/>
        <v>#DIV/0!</v>
      </c>
      <c r="BM249" s="1">
        <f t="shared" si="104"/>
        <v>0</v>
      </c>
      <c r="BN249" s="1">
        <f t="shared" si="105"/>
        <v>0</v>
      </c>
    </row>
    <row r="250" spans="1:66" x14ac:dyDescent="0.2">
      <c r="A250" s="4">
        <f t="shared" si="110"/>
        <v>45902</v>
      </c>
      <c r="B250" s="1">
        <v>245</v>
      </c>
      <c r="C250" s="1">
        <v>5</v>
      </c>
      <c r="AN250" s="1">
        <f t="shared" si="89"/>
        <v>0</v>
      </c>
      <c r="AO250" s="1">
        <f t="shared" si="90"/>
        <v>0</v>
      </c>
      <c r="AP250" s="1">
        <f t="shared" si="91"/>
        <v>0</v>
      </c>
      <c r="AQ250" s="18">
        <f t="shared" si="92"/>
        <v>0</v>
      </c>
      <c r="AR250" s="24" t="e">
        <f t="shared" si="106"/>
        <v>#DIV/0!</v>
      </c>
      <c r="AT250" s="20">
        <f t="shared" si="93"/>
        <v>45902</v>
      </c>
      <c r="AU250" s="21">
        <f t="shared" si="94"/>
        <v>245</v>
      </c>
      <c r="AV250" s="1">
        <f t="shared" si="95"/>
        <v>0</v>
      </c>
      <c r="AW250" s="1">
        <f t="shared" si="96"/>
        <v>0</v>
      </c>
      <c r="AX250" s="1">
        <f t="shared" si="97"/>
        <v>0</v>
      </c>
      <c r="AY250" s="1">
        <f t="shared" si="87"/>
        <v>0</v>
      </c>
      <c r="AZ250" s="1">
        <f t="shared" si="88"/>
        <v>0</v>
      </c>
      <c r="BA250" s="1">
        <f t="shared" si="107"/>
        <v>0</v>
      </c>
      <c r="BB250" s="5">
        <f t="shared" si="111"/>
        <v>0</v>
      </c>
      <c r="BC250" s="1">
        <f t="shared" si="98"/>
        <v>0</v>
      </c>
      <c r="BD250" s="1">
        <f t="shared" si="99"/>
        <v>0</v>
      </c>
      <c r="BE250" s="1">
        <f t="shared" si="100"/>
        <v>0</v>
      </c>
      <c r="BF250" s="5">
        <f t="shared" si="101"/>
        <v>0</v>
      </c>
      <c r="BG250" s="5">
        <f t="shared" si="102"/>
        <v>0</v>
      </c>
      <c r="BH250" s="5">
        <f t="shared" si="103"/>
        <v>0</v>
      </c>
      <c r="BI250" s="5">
        <f t="shared" si="108"/>
        <v>0</v>
      </c>
      <c r="BJ250" s="11">
        <f t="shared" si="109"/>
        <v>0</v>
      </c>
      <c r="BK250" s="11" t="e">
        <f t="shared" si="109"/>
        <v>#DIV/0!</v>
      </c>
      <c r="BM250" s="1">
        <f t="shared" si="104"/>
        <v>0</v>
      </c>
      <c r="BN250" s="1">
        <f t="shared" si="105"/>
        <v>0</v>
      </c>
    </row>
    <row r="251" spans="1:66" x14ac:dyDescent="0.2">
      <c r="A251" s="4">
        <f t="shared" si="110"/>
        <v>45903</v>
      </c>
      <c r="B251" s="1">
        <v>246</v>
      </c>
      <c r="C251" s="1">
        <v>5</v>
      </c>
      <c r="AN251" s="1">
        <f t="shared" si="89"/>
        <v>0</v>
      </c>
      <c r="AO251" s="1">
        <f t="shared" si="90"/>
        <v>0</v>
      </c>
      <c r="AP251" s="1">
        <f t="shared" si="91"/>
        <v>0</v>
      </c>
      <c r="AQ251" s="18">
        <f t="shared" si="92"/>
        <v>0</v>
      </c>
      <c r="AR251" s="24" t="e">
        <f t="shared" si="106"/>
        <v>#DIV/0!</v>
      </c>
      <c r="AT251" s="20">
        <f t="shared" si="93"/>
        <v>45903</v>
      </c>
      <c r="AU251" s="21">
        <f t="shared" si="94"/>
        <v>246</v>
      </c>
      <c r="AV251" s="1">
        <f t="shared" si="95"/>
        <v>0</v>
      </c>
      <c r="AW251" s="1">
        <f t="shared" si="96"/>
        <v>0</v>
      </c>
      <c r="AX251" s="1">
        <f t="shared" si="97"/>
        <v>0</v>
      </c>
      <c r="AY251" s="1">
        <f t="shared" si="87"/>
        <v>0</v>
      </c>
      <c r="AZ251" s="1">
        <f t="shared" si="88"/>
        <v>0</v>
      </c>
      <c r="BA251" s="1">
        <f t="shared" si="107"/>
        <v>0</v>
      </c>
      <c r="BB251" s="5">
        <f t="shared" si="111"/>
        <v>0</v>
      </c>
      <c r="BC251" s="1">
        <f t="shared" si="98"/>
        <v>0</v>
      </c>
      <c r="BD251" s="1">
        <f t="shared" si="99"/>
        <v>0</v>
      </c>
      <c r="BE251" s="1">
        <f t="shared" si="100"/>
        <v>0</v>
      </c>
      <c r="BF251" s="5">
        <f t="shared" si="101"/>
        <v>0</v>
      </c>
      <c r="BG251" s="5">
        <f t="shared" si="102"/>
        <v>0</v>
      </c>
      <c r="BH251" s="5">
        <f t="shared" si="103"/>
        <v>0</v>
      </c>
      <c r="BI251" s="5">
        <f t="shared" si="108"/>
        <v>0</v>
      </c>
      <c r="BJ251" s="11">
        <f t="shared" si="109"/>
        <v>0</v>
      </c>
      <c r="BK251" s="11" t="e">
        <f t="shared" si="109"/>
        <v>#DIV/0!</v>
      </c>
      <c r="BM251" s="1">
        <f t="shared" si="104"/>
        <v>0</v>
      </c>
      <c r="BN251" s="1">
        <f t="shared" si="105"/>
        <v>0</v>
      </c>
    </row>
    <row r="252" spans="1:66" x14ac:dyDescent="0.2">
      <c r="A252" s="4">
        <f t="shared" si="110"/>
        <v>45904</v>
      </c>
      <c r="B252" s="1">
        <v>247</v>
      </c>
      <c r="C252" s="1">
        <v>5</v>
      </c>
      <c r="AN252" s="1">
        <f t="shared" si="89"/>
        <v>0</v>
      </c>
      <c r="AO252" s="1">
        <f t="shared" si="90"/>
        <v>0</v>
      </c>
      <c r="AP252" s="1">
        <f t="shared" si="91"/>
        <v>0</v>
      </c>
      <c r="AQ252" s="18">
        <f t="shared" si="92"/>
        <v>0</v>
      </c>
      <c r="AR252" s="24" t="e">
        <f t="shared" si="106"/>
        <v>#DIV/0!</v>
      </c>
      <c r="AT252" s="20">
        <f t="shared" si="93"/>
        <v>45904</v>
      </c>
      <c r="AU252" s="21">
        <f t="shared" si="94"/>
        <v>247</v>
      </c>
      <c r="AV252" s="1">
        <f t="shared" si="95"/>
        <v>0</v>
      </c>
      <c r="AW252" s="1">
        <f t="shared" si="96"/>
        <v>0</v>
      </c>
      <c r="AX252" s="1">
        <f t="shared" si="97"/>
        <v>0</v>
      </c>
      <c r="AY252" s="1">
        <f t="shared" si="87"/>
        <v>0</v>
      </c>
      <c r="AZ252" s="1">
        <f t="shared" si="88"/>
        <v>0</v>
      </c>
      <c r="BA252" s="1">
        <f t="shared" si="107"/>
        <v>0</v>
      </c>
      <c r="BB252" s="5">
        <f t="shared" si="111"/>
        <v>0</v>
      </c>
      <c r="BC252" s="1">
        <f t="shared" si="98"/>
        <v>0</v>
      </c>
      <c r="BD252" s="1">
        <f t="shared" si="99"/>
        <v>0</v>
      </c>
      <c r="BE252" s="1">
        <f t="shared" si="100"/>
        <v>0</v>
      </c>
      <c r="BF252" s="5">
        <f t="shared" si="101"/>
        <v>0</v>
      </c>
      <c r="BG252" s="5">
        <f t="shared" si="102"/>
        <v>0</v>
      </c>
      <c r="BH252" s="5">
        <f t="shared" si="103"/>
        <v>0</v>
      </c>
      <c r="BI252" s="5">
        <f t="shared" si="108"/>
        <v>0</v>
      </c>
      <c r="BJ252" s="11">
        <f t="shared" si="109"/>
        <v>0</v>
      </c>
      <c r="BK252" s="11" t="e">
        <f t="shared" si="109"/>
        <v>#DIV/0!</v>
      </c>
      <c r="BM252" s="1">
        <f t="shared" si="104"/>
        <v>0</v>
      </c>
      <c r="BN252" s="1">
        <f t="shared" si="105"/>
        <v>0</v>
      </c>
    </row>
    <row r="253" spans="1:66" x14ac:dyDescent="0.2">
      <c r="A253" s="4">
        <f t="shared" si="110"/>
        <v>45905</v>
      </c>
      <c r="B253" s="1">
        <v>248</v>
      </c>
      <c r="C253" s="1">
        <v>5</v>
      </c>
      <c r="AN253" s="1">
        <f t="shared" si="89"/>
        <v>0</v>
      </c>
      <c r="AO253" s="1">
        <f t="shared" si="90"/>
        <v>0</v>
      </c>
      <c r="AP253" s="1">
        <f t="shared" si="91"/>
        <v>0</v>
      </c>
      <c r="AQ253" s="18">
        <f t="shared" si="92"/>
        <v>0</v>
      </c>
      <c r="AR253" s="24" t="e">
        <f t="shared" si="106"/>
        <v>#DIV/0!</v>
      </c>
      <c r="AT253" s="20">
        <f t="shared" si="93"/>
        <v>45905</v>
      </c>
      <c r="AU253" s="21">
        <f t="shared" si="94"/>
        <v>248</v>
      </c>
      <c r="AV253" s="1">
        <f t="shared" si="95"/>
        <v>0</v>
      </c>
      <c r="AW253" s="1">
        <f t="shared" si="96"/>
        <v>0</v>
      </c>
      <c r="AX253" s="1">
        <f t="shared" si="97"/>
        <v>0</v>
      </c>
      <c r="AY253" s="1">
        <f t="shared" si="87"/>
        <v>0</v>
      </c>
      <c r="AZ253" s="1">
        <f t="shared" si="88"/>
        <v>0</v>
      </c>
      <c r="BA253" s="1">
        <f t="shared" si="107"/>
        <v>0</v>
      </c>
      <c r="BB253" s="5">
        <f t="shared" si="111"/>
        <v>0</v>
      </c>
      <c r="BC253" s="1">
        <f t="shared" si="98"/>
        <v>0</v>
      </c>
      <c r="BD253" s="1">
        <f t="shared" si="99"/>
        <v>0</v>
      </c>
      <c r="BE253" s="1">
        <f t="shared" si="100"/>
        <v>0</v>
      </c>
      <c r="BF253" s="5">
        <f t="shared" si="101"/>
        <v>0</v>
      </c>
      <c r="BG253" s="5">
        <f t="shared" si="102"/>
        <v>0</v>
      </c>
      <c r="BH253" s="5">
        <f t="shared" si="103"/>
        <v>0</v>
      </c>
      <c r="BI253" s="5">
        <f t="shared" si="108"/>
        <v>0</v>
      </c>
      <c r="BJ253" s="11">
        <f t="shared" si="109"/>
        <v>0</v>
      </c>
      <c r="BK253" s="11" t="e">
        <f t="shared" si="109"/>
        <v>#DIV/0!</v>
      </c>
      <c r="BM253" s="1">
        <f t="shared" si="104"/>
        <v>0</v>
      </c>
      <c r="BN253" s="1">
        <f t="shared" si="105"/>
        <v>0</v>
      </c>
    </row>
    <row r="254" spans="1:66" x14ac:dyDescent="0.2">
      <c r="A254" s="4">
        <f t="shared" si="110"/>
        <v>45906</v>
      </c>
      <c r="B254" s="1">
        <v>249</v>
      </c>
      <c r="C254" s="1">
        <v>5</v>
      </c>
      <c r="AN254" s="1">
        <f t="shared" si="89"/>
        <v>0</v>
      </c>
      <c r="AO254" s="1">
        <f t="shared" si="90"/>
        <v>0</v>
      </c>
      <c r="AP254" s="1">
        <f t="shared" si="91"/>
        <v>0</v>
      </c>
      <c r="AQ254" s="18">
        <f t="shared" si="92"/>
        <v>0</v>
      </c>
      <c r="AR254" s="24" t="e">
        <f t="shared" si="106"/>
        <v>#DIV/0!</v>
      </c>
      <c r="AT254" s="20">
        <f t="shared" si="93"/>
        <v>45906</v>
      </c>
      <c r="AU254" s="21">
        <f t="shared" si="94"/>
        <v>249</v>
      </c>
      <c r="AV254" s="1">
        <f t="shared" si="95"/>
        <v>0</v>
      </c>
      <c r="AW254" s="1">
        <f t="shared" si="96"/>
        <v>0</v>
      </c>
      <c r="AX254" s="1">
        <f t="shared" si="97"/>
        <v>0</v>
      </c>
      <c r="AY254" s="1">
        <f t="shared" si="87"/>
        <v>0</v>
      </c>
      <c r="AZ254" s="1">
        <f t="shared" si="88"/>
        <v>0</v>
      </c>
      <c r="BA254" s="1">
        <f t="shared" si="107"/>
        <v>0</v>
      </c>
      <c r="BB254" s="5">
        <f t="shared" si="111"/>
        <v>0</v>
      </c>
      <c r="BC254" s="1">
        <f t="shared" si="98"/>
        <v>0</v>
      </c>
      <c r="BD254" s="1">
        <f t="shared" si="99"/>
        <v>0</v>
      </c>
      <c r="BE254" s="1">
        <f t="shared" si="100"/>
        <v>0</v>
      </c>
      <c r="BF254" s="5">
        <f t="shared" si="101"/>
        <v>0</v>
      </c>
      <c r="BG254" s="5">
        <f t="shared" si="102"/>
        <v>0</v>
      </c>
      <c r="BH254" s="5">
        <f t="shared" si="103"/>
        <v>0</v>
      </c>
      <c r="BI254" s="5">
        <f t="shared" si="108"/>
        <v>0</v>
      </c>
      <c r="BJ254" s="11">
        <f t="shared" si="109"/>
        <v>0</v>
      </c>
      <c r="BK254" s="11" t="e">
        <f t="shared" si="109"/>
        <v>#DIV/0!</v>
      </c>
      <c r="BM254" s="1">
        <f t="shared" si="104"/>
        <v>0</v>
      </c>
      <c r="BN254" s="1">
        <f t="shared" si="105"/>
        <v>0</v>
      </c>
    </row>
    <row r="255" spans="1:66" x14ac:dyDescent="0.2">
      <c r="A255" s="4">
        <f t="shared" si="110"/>
        <v>45907</v>
      </c>
      <c r="B255" s="1">
        <v>250</v>
      </c>
      <c r="C255" s="1">
        <v>5</v>
      </c>
      <c r="AN255" s="1">
        <f t="shared" si="89"/>
        <v>0</v>
      </c>
      <c r="AO255" s="1">
        <f t="shared" si="90"/>
        <v>0</v>
      </c>
      <c r="AP255" s="1">
        <f t="shared" si="91"/>
        <v>0</v>
      </c>
      <c r="AQ255" s="18">
        <f t="shared" si="92"/>
        <v>0</v>
      </c>
      <c r="AR255" s="24" t="e">
        <f t="shared" si="106"/>
        <v>#DIV/0!</v>
      </c>
      <c r="AT255" s="20">
        <f t="shared" si="93"/>
        <v>45907</v>
      </c>
      <c r="AU255" s="21">
        <f t="shared" si="94"/>
        <v>250</v>
      </c>
      <c r="AV255" s="1">
        <f t="shared" si="95"/>
        <v>0</v>
      </c>
      <c r="AW255" s="1">
        <f t="shared" si="96"/>
        <v>0</v>
      </c>
      <c r="AX255" s="1">
        <f t="shared" si="97"/>
        <v>0</v>
      </c>
      <c r="AY255" s="1">
        <f t="shared" si="87"/>
        <v>0</v>
      </c>
      <c r="AZ255" s="1">
        <f t="shared" si="88"/>
        <v>0</v>
      </c>
      <c r="BA255" s="1">
        <f t="shared" si="107"/>
        <v>0</v>
      </c>
      <c r="BB255" s="5">
        <f t="shared" si="111"/>
        <v>0</v>
      </c>
      <c r="BC255" s="1">
        <f t="shared" si="98"/>
        <v>0</v>
      </c>
      <c r="BD255" s="1">
        <f t="shared" si="99"/>
        <v>0</v>
      </c>
      <c r="BE255" s="1">
        <f t="shared" si="100"/>
        <v>0</v>
      </c>
      <c r="BF255" s="5">
        <f t="shared" si="101"/>
        <v>0</v>
      </c>
      <c r="BG255" s="5">
        <f t="shared" si="102"/>
        <v>0</v>
      </c>
      <c r="BH255" s="5">
        <f t="shared" si="103"/>
        <v>0</v>
      </c>
      <c r="BI255" s="5">
        <f t="shared" si="108"/>
        <v>0</v>
      </c>
      <c r="BJ255" s="11">
        <f t="shared" si="109"/>
        <v>0</v>
      </c>
      <c r="BK255" s="11" t="e">
        <f t="shared" si="109"/>
        <v>#DIV/0!</v>
      </c>
      <c r="BM255" s="1">
        <f t="shared" si="104"/>
        <v>0</v>
      </c>
      <c r="BN255" s="1">
        <f t="shared" si="105"/>
        <v>0</v>
      </c>
    </row>
    <row r="256" spans="1:66" x14ac:dyDescent="0.2">
      <c r="A256" s="4">
        <f t="shared" si="110"/>
        <v>45908</v>
      </c>
      <c r="B256" s="1">
        <v>251</v>
      </c>
      <c r="C256" s="1">
        <v>5</v>
      </c>
      <c r="AN256" s="1">
        <f t="shared" si="89"/>
        <v>0</v>
      </c>
      <c r="AO256" s="1">
        <f t="shared" si="90"/>
        <v>0</v>
      </c>
      <c r="AP256" s="1">
        <f t="shared" si="91"/>
        <v>0</v>
      </c>
      <c r="AQ256" s="18">
        <f t="shared" si="92"/>
        <v>0</v>
      </c>
      <c r="AR256" s="24" t="e">
        <f t="shared" si="106"/>
        <v>#DIV/0!</v>
      </c>
      <c r="AT256" s="20">
        <f t="shared" si="93"/>
        <v>45908</v>
      </c>
      <c r="AU256" s="21">
        <f t="shared" si="94"/>
        <v>251</v>
      </c>
      <c r="AV256" s="1">
        <f t="shared" si="95"/>
        <v>0</v>
      </c>
      <c r="AW256" s="1">
        <f t="shared" si="96"/>
        <v>0</v>
      </c>
      <c r="AX256" s="1">
        <f t="shared" si="97"/>
        <v>0</v>
      </c>
      <c r="AY256" s="1">
        <f t="shared" si="87"/>
        <v>0</v>
      </c>
      <c r="AZ256" s="1">
        <f t="shared" si="88"/>
        <v>0</v>
      </c>
      <c r="BA256" s="1">
        <f t="shared" si="107"/>
        <v>0</v>
      </c>
      <c r="BB256" s="5">
        <f t="shared" si="111"/>
        <v>0</v>
      </c>
      <c r="BC256" s="1">
        <f t="shared" si="98"/>
        <v>0</v>
      </c>
      <c r="BD256" s="1">
        <f t="shared" si="99"/>
        <v>0</v>
      </c>
      <c r="BE256" s="1">
        <f t="shared" si="100"/>
        <v>0</v>
      </c>
      <c r="BF256" s="5">
        <f t="shared" si="101"/>
        <v>0</v>
      </c>
      <c r="BG256" s="5">
        <f t="shared" si="102"/>
        <v>0</v>
      </c>
      <c r="BH256" s="5">
        <f t="shared" si="103"/>
        <v>0</v>
      </c>
      <c r="BI256" s="5">
        <f t="shared" si="108"/>
        <v>0</v>
      </c>
      <c r="BJ256" s="11">
        <f t="shared" si="109"/>
        <v>0</v>
      </c>
      <c r="BK256" s="11" t="e">
        <f t="shared" si="109"/>
        <v>#DIV/0!</v>
      </c>
      <c r="BM256" s="1">
        <f t="shared" si="104"/>
        <v>0</v>
      </c>
      <c r="BN256" s="1">
        <f t="shared" si="105"/>
        <v>0</v>
      </c>
    </row>
    <row r="257" spans="1:66" x14ac:dyDescent="0.2">
      <c r="A257" s="4">
        <f t="shared" si="110"/>
        <v>45909</v>
      </c>
      <c r="B257" s="1">
        <v>252</v>
      </c>
      <c r="C257" s="1">
        <v>5</v>
      </c>
      <c r="AN257" s="1">
        <f t="shared" si="89"/>
        <v>0</v>
      </c>
      <c r="AO257" s="1">
        <f t="shared" si="90"/>
        <v>0</v>
      </c>
      <c r="AP257" s="1">
        <f t="shared" si="91"/>
        <v>0</v>
      </c>
      <c r="AQ257" s="18">
        <f t="shared" si="92"/>
        <v>0</v>
      </c>
      <c r="AR257" s="24" t="e">
        <f t="shared" si="106"/>
        <v>#DIV/0!</v>
      </c>
      <c r="AT257" s="20">
        <f t="shared" si="93"/>
        <v>45909</v>
      </c>
      <c r="AU257" s="21">
        <f t="shared" si="94"/>
        <v>252</v>
      </c>
      <c r="AV257" s="1">
        <f t="shared" si="95"/>
        <v>0</v>
      </c>
      <c r="AW257" s="1">
        <f t="shared" si="96"/>
        <v>0</v>
      </c>
      <c r="AX257" s="1">
        <f t="shared" si="97"/>
        <v>0</v>
      </c>
      <c r="AY257" s="1">
        <f t="shared" si="87"/>
        <v>0</v>
      </c>
      <c r="AZ257" s="1">
        <f t="shared" si="88"/>
        <v>0</v>
      </c>
      <c r="BA257" s="1">
        <f t="shared" si="107"/>
        <v>0</v>
      </c>
      <c r="BB257" s="5">
        <f t="shared" si="111"/>
        <v>0</v>
      </c>
      <c r="BC257" s="1">
        <f t="shared" si="98"/>
        <v>0</v>
      </c>
      <c r="BD257" s="1">
        <f t="shared" si="99"/>
        <v>0</v>
      </c>
      <c r="BE257" s="1">
        <f t="shared" si="100"/>
        <v>0</v>
      </c>
      <c r="BF257" s="5">
        <f t="shared" si="101"/>
        <v>0</v>
      </c>
      <c r="BG257" s="5">
        <f t="shared" si="102"/>
        <v>0</v>
      </c>
      <c r="BH257" s="5">
        <f t="shared" si="103"/>
        <v>0</v>
      </c>
      <c r="BI257" s="5">
        <f t="shared" si="108"/>
        <v>0</v>
      </c>
      <c r="BJ257" s="11">
        <f t="shared" si="109"/>
        <v>0</v>
      </c>
      <c r="BK257" s="11" t="e">
        <f t="shared" si="109"/>
        <v>#DIV/0!</v>
      </c>
      <c r="BM257" s="1">
        <f t="shared" si="104"/>
        <v>0</v>
      </c>
      <c r="BN257" s="1">
        <f t="shared" si="105"/>
        <v>0</v>
      </c>
    </row>
    <row r="258" spans="1:66" x14ac:dyDescent="0.2">
      <c r="A258" s="4">
        <f t="shared" si="110"/>
        <v>45910</v>
      </c>
      <c r="B258" s="1">
        <v>253</v>
      </c>
      <c r="C258" s="1">
        <v>5</v>
      </c>
      <c r="AN258" s="1">
        <f t="shared" si="89"/>
        <v>0</v>
      </c>
      <c r="AO258" s="1">
        <f t="shared" si="90"/>
        <v>0</v>
      </c>
      <c r="AP258" s="1">
        <f t="shared" si="91"/>
        <v>0</v>
      </c>
      <c r="AQ258" s="18">
        <f t="shared" si="92"/>
        <v>0</v>
      </c>
      <c r="AR258" s="24" t="e">
        <f t="shared" si="106"/>
        <v>#DIV/0!</v>
      </c>
      <c r="AT258" s="20">
        <f t="shared" si="93"/>
        <v>45910</v>
      </c>
      <c r="AU258" s="21">
        <f t="shared" si="94"/>
        <v>253</v>
      </c>
      <c r="AV258" s="1">
        <f t="shared" si="95"/>
        <v>0</v>
      </c>
      <c r="AW258" s="1">
        <f t="shared" si="96"/>
        <v>0</v>
      </c>
      <c r="AX258" s="1">
        <f t="shared" si="97"/>
        <v>0</v>
      </c>
      <c r="AY258" s="1">
        <f t="shared" si="87"/>
        <v>0</v>
      </c>
      <c r="AZ258" s="1">
        <f t="shared" si="88"/>
        <v>0</v>
      </c>
      <c r="BA258" s="1">
        <f t="shared" si="107"/>
        <v>0</v>
      </c>
      <c r="BB258" s="5">
        <f t="shared" si="111"/>
        <v>0</v>
      </c>
      <c r="BC258" s="1">
        <f t="shared" si="98"/>
        <v>0</v>
      </c>
      <c r="BD258" s="1">
        <f t="shared" si="99"/>
        <v>0</v>
      </c>
      <c r="BE258" s="1">
        <f t="shared" si="100"/>
        <v>0</v>
      </c>
      <c r="BF258" s="5">
        <f t="shared" si="101"/>
        <v>0</v>
      </c>
      <c r="BG258" s="5">
        <f t="shared" si="102"/>
        <v>0</v>
      </c>
      <c r="BH258" s="5">
        <f t="shared" si="103"/>
        <v>0</v>
      </c>
      <c r="BI258" s="5">
        <f t="shared" si="108"/>
        <v>0</v>
      </c>
      <c r="BJ258" s="11">
        <f t="shared" si="109"/>
        <v>0</v>
      </c>
      <c r="BK258" s="11" t="e">
        <f t="shared" si="109"/>
        <v>#DIV/0!</v>
      </c>
      <c r="BM258" s="1">
        <f t="shared" si="104"/>
        <v>0</v>
      </c>
      <c r="BN258" s="1">
        <f t="shared" si="105"/>
        <v>0</v>
      </c>
    </row>
    <row r="259" spans="1:66" x14ac:dyDescent="0.2">
      <c r="A259" s="4">
        <f t="shared" si="110"/>
        <v>45911</v>
      </c>
      <c r="B259" s="1">
        <v>254</v>
      </c>
      <c r="C259" s="1">
        <v>5</v>
      </c>
      <c r="AN259" s="1">
        <f t="shared" si="89"/>
        <v>0</v>
      </c>
      <c r="AO259" s="1">
        <f t="shared" si="90"/>
        <v>0</v>
      </c>
      <c r="AP259" s="1">
        <f t="shared" si="91"/>
        <v>0</v>
      </c>
      <c r="AQ259" s="18">
        <f t="shared" si="92"/>
        <v>0</v>
      </c>
      <c r="AR259" s="24" t="e">
        <f t="shared" si="106"/>
        <v>#DIV/0!</v>
      </c>
      <c r="AT259" s="20">
        <f t="shared" si="93"/>
        <v>45911</v>
      </c>
      <c r="AU259" s="21">
        <f t="shared" si="94"/>
        <v>254</v>
      </c>
      <c r="AV259" s="1">
        <f t="shared" si="95"/>
        <v>0</v>
      </c>
      <c r="AW259" s="1">
        <f t="shared" si="96"/>
        <v>0</v>
      </c>
      <c r="AX259" s="1">
        <f t="shared" si="97"/>
        <v>0</v>
      </c>
      <c r="AY259" s="1">
        <f t="shared" si="87"/>
        <v>0</v>
      </c>
      <c r="AZ259" s="1">
        <f t="shared" si="88"/>
        <v>0</v>
      </c>
      <c r="BA259" s="1">
        <f t="shared" si="107"/>
        <v>0</v>
      </c>
      <c r="BB259" s="5">
        <f t="shared" si="111"/>
        <v>0</v>
      </c>
      <c r="BC259" s="1">
        <f t="shared" si="98"/>
        <v>0</v>
      </c>
      <c r="BD259" s="1">
        <f t="shared" si="99"/>
        <v>0</v>
      </c>
      <c r="BE259" s="1">
        <f t="shared" si="100"/>
        <v>0</v>
      </c>
      <c r="BF259" s="5">
        <f t="shared" si="101"/>
        <v>0</v>
      </c>
      <c r="BG259" s="5">
        <f t="shared" si="102"/>
        <v>0</v>
      </c>
      <c r="BH259" s="5">
        <f t="shared" si="103"/>
        <v>0</v>
      </c>
      <c r="BI259" s="5">
        <f t="shared" si="108"/>
        <v>0</v>
      </c>
      <c r="BJ259" s="11">
        <f t="shared" si="109"/>
        <v>0</v>
      </c>
      <c r="BK259" s="11" t="e">
        <f t="shared" si="109"/>
        <v>#DIV/0!</v>
      </c>
      <c r="BM259" s="1">
        <f t="shared" si="104"/>
        <v>0</v>
      </c>
      <c r="BN259" s="1">
        <f t="shared" si="105"/>
        <v>0</v>
      </c>
    </row>
    <row r="260" spans="1:66" x14ac:dyDescent="0.2">
      <c r="A260" s="4">
        <f t="shared" si="110"/>
        <v>45912</v>
      </c>
      <c r="B260" s="1">
        <v>255</v>
      </c>
      <c r="C260" s="1">
        <v>5</v>
      </c>
      <c r="AN260" s="1">
        <f t="shared" si="89"/>
        <v>0</v>
      </c>
      <c r="AO260" s="1">
        <f t="shared" si="90"/>
        <v>0</v>
      </c>
      <c r="AP260" s="1">
        <f t="shared" si="91"/>
        <v>0</v>
      </c>
      <c r="AQ260" s="18">
        <f t="shared" si="92"/>
        <v>0</v>
      </c>
      <c r="AR260" s="24" t="e">
        <f t="shared" si="106"/>
        <v>#DIV/0!</v>
      </c>
      <c r="AT260" s="20">
        <f t="shared" si="93"/>
        <v>45912</v>
      </c>
      <c r="AU260" s="21">
        <f t="shared" si="94"/>
        <v>255</v>
      </c>
      <c r="AV260" s="1">
        <f t="shared" si="95"/>
        <v>0</v>
      </c>
      <c r="AW260" s="1">
        <f t="shared" si="96"/>
        <v>0</v>
      </c>
      <c r="AX260" s="1">
        <f t="shared" si="97"/>
        <v>0</v>
      </c>
      <c r="AY260" s="1">
        <f t="shared" si="87"/>
        <v>0</v>
      </c>
      <c r="AZ260" s="1">
        <f t="shared" si="88"/>
        <v>0</v>
      </c>
      <c r="BA260" s="1">
        <f t="shared" si="107"/>
        <v>0</v>
      </c>
      <c r="BB260" s="5">
        <f t="shared" si="111"/>
        <v>0</v>
      </c>
      <c r="BC260" s="1">
        <f t="shared" si="98"/>
        <v>0</v>
      </c>
      <c r="BD260" s="1">
        <f t="shared" si="99"/>
        <v>0</v>
      </c>
      <c r="BE260" s="1">
        <f t="shared" si="100"/>
        <v>0</v>
      </c>
      <c r="BF260" s="5">
        <f t="shared" si="101"/>
        <v>0</v>
      </c>
      <c r="BG260" s="5">
        <f t="shared" si="102"/>
        <v>0</v>
      </c>
      <c r="BH260" s="5">
        <f t="shared" si="103"/>
        <v>0</v>
      </c>
      <c r="BI260" s="5">
        <f t="shared" si="108"/>
        <v>0</v>
      </c>
      <c r="BJ260" s="11">
        <f t="shared" si="109"/>
        <v>0</v>
      </c>
      <c r="BK260" s="11" t="e">
        <f t="shared" si="109"/>
        <v>#DIV/0!</v>
      </c>
      <c r="BM260" s="1">
        <f t="shared" si="104"/>
        <v>0</v>
      </c>
      <c r="BN260" s="1">
        <f t="shared" si="105"/>
        <v>0</v>
      </c>
    </row>
    <row r="261" spans="1:66" x14ac:dyDescent="0.2">
      <c r="A261" s="4">
        <f t="shared" si="110"/>
        <v>45913</v>
      </c>
      <c r="B261" s="1">
        <v>256</v>
      </c>
      <c r="C261" s="1">
        <v>5</v>
      </c>
      <c r="AN261" s="1">
        <f t="shared" si="89"/>
        <v>0</v>
      </c>
      <c r="AO261" s="1">
        <f t="shared" si="90"/>
        <v>0</v>
      </c>
      <c r="AP261" s="1">
        <f t="shared" si="91"/>
        <v>0</v>
      </c>
      <c r="AQ261" s="18">
        <f t="shared" si="92"/>
        <v>0</v>
      </c>
      <c r="AR261" s="24" t="e">
        <f t="shared" si="106"/>
        <v>#DIV/0!</v>
      </c>
      <c r="AT261" s="20">
        <f t="shared" si="93"/>
        <v>45913</v>
      </c>
      <c r="AU261" s="21">
        <f t="shared" si="94"/>
        <v>256</v>
      </c>
      <c r="AV261" s="1">
        <f t="shared" si="95"/>
        <v>0</v>
      </c>
      <c r="AW261" s="1">
        <f t="shared" si="96"/>
        <v>0</v>
      </c>
      <c r="AX261" s="1">
        <f t="shared" si="97"/>
        <v>0</v>
      </c>
      <c r="AY261" s="1">
        <f t="shared" ref="AY261:AY293" si="112">AO261</f>
        <v>0</v>
      </c>
      <c r="AZ261" s="1">
        <f t="shared" ref="AZ261:AZ293" si="113">AP261</f>
        <v>0</v>
      </c>
      <c r="BA261" s="1">
        <f t="shared" si="107"/>
        <v>0</v>
      </c>
      <c r="BB261" s="5">
        <f t="shared" si="111"/>
        <v>0</v>
      </c>
      <c r="BC261" s="1">
        <f t="shared" si="98"/>
        <v>0</v>
      </c>
      <c r="BD261" s="1">
        <f t="shared" si="99"/>
        <v>0</v>
      </c>
      <c r="BE261" s="1">
        <f t="shared" si="100"/>
        <v>0</v>
      </c>
      <c r="BF261" s="5">
        <f t="shared" si="101"/>
        <v>0</v>
      </c>
      <c r="BG261" s="5">
        <f t="shared" si="102"/>
        <v>0</v>
      </c>
      <c r="BH261" s="5">
        <f t="shared" si="103"/>
        <v>0</v>
      </c>
      <c r="BI261" s="5">
        <f t="shared" si="108"/>
        <v>0</v>
      </c>
      <c r="BJ261" s="11">
        <f t="shared" si="109"/>
        <v>0</v>
      </c>
      <c r="BK261" s="11" t="e">
        <f t="shared" si="109"/>
        <v>#DIV/0!</v>
      </c>
      <c r="BM261" s="1">
        <f t="shared" si="104"/>
        <v>0</v>
      </c>
      <c r="BN261" s="1">
        <f t="shared" si="105"/>
        <v>0</v>
      </c>
    </row>
    <row r="262" spans="1:66" x14ac:dyDescent="0.2">
      <c r="A262" s="4">
        <f t="shared" si="110"/>
        <v>45914</v>
      </c>
      <c r="B262" s="1">
        <v>257</v>
      </c>
      <c r="C262" s="1">
        <v>5</v>
      </c>
      <c r="AN262" s="1">
        <f t="shared" ref="AN262:AN325" si="114">ROUND(O262*AN$3+AO$3,1)</f>
        <v>0</v>
      </c>
      <c r="AO262" s="1">
        <f t="shared" ref="AO262:AO325" si="115">ROUND(H262*AN$3+AO$3,1)</f>
        <v>0</v>
      </c>
      <c r="AP262" s="1">
        <f t="shared" ref="AP262:AP325" si="116">ROUND(V262*AN$3+AO$3,1)</f>
        <v>0</v>
      </c>
      <c r="AQ262" s="18">
        <f t="shared" ref="AQ262:AQ325" si="117">ROUND((0.6105*(EXP((17.273*N262)/(N262+237.3))))*AP262/100,3)</f>
        <v>0</v>
      </c>
      <c r="AR262" s="24" t="e">
        <f t="shared" si="106"/>
        <v>#DIV/0!</v>
      </c>
      <c r="AT262" s="20">
        <f t="shared" ref="AT262:AT325" si="118">A262</f>
        <v>45914</v>
      </c>
      <c r="AU262" s="21">
        <f t="shared" ref="AU262:AU325" si="119">B262</f>
        <v>257</v>
      </c>
      <c r="AV262" s="1">
        <f t="shared" ref="AV262:AV325" si="120">ROUND(G262,1)</f>
        <v>0</v>
      </c>
      <c r="AW262" s="1">
        <f t="shared" ref="AW262:AW325" si="121">ROUND(N262,1)</f>
        <v>0</v>
      </c>
      <c r="AX262" s="1">
        <f t="shared" ref="AX262:AX325" si="122">ROUND(U262,1)</f>
        <v>0</v>
      </c>
      <c r="AY262" s="1">
        <f t="shared" si="112"/>
        <v>0</v>
      </c>
      <c r="AZ262" s="1">
        <f t="shared" si="113"/>
        <v>0</v>
      </c>
      <c r="BA262" s="1">
        <f t="shared" si="107"/>
        <v>0</v>
      </c>
      <c r="BB262" s="5">
        <f t="shared" si="111"/>
        <v>0</v>
      </c>
      <c r="BC262" s="1">
        <f t="shared" ref="BC262:BC325" si="123">ROUND(AC262,1)</f>
        <v>0</v>
      </c>
      <c r="BD262" s="1">
        <f t="shared" ref="BD262:BD325" si="124">ROUND(AD262,1)</f>
        <v>0</v>
      </c>
      <c r="BE262" s="1">
        <f t="shared" ref="BE262:BE325" si="125">ROUND(AE262,1)</f>
        <v>0</v>
      </c>
      <c r="BF262" s="5">
        <f t="shared" ref="BF262:BF325" si="126">ROUND(K262,1)</f>
        <v>0</v>
      </c>
      <c r="BG262" s="5">
        <f t="shared" ref="BG262:BG325" si="127">ROUND(L262,1)</f>
        <v>0</v>
      </c>
      <c r="BH262" s="5">
        <f t="shared" ref="BH262:BH325" si="128">ROUND(M262,1)</f>
        <v>0</v>
      </c>
      <c r="BI262" s="5">
        <f t="shared" si="108"/>
        <v>0</v>
      </c>
      <c r="BJ262" s="11">
        <f t="shared" si="109"/>
        <v>0</v>
      </c>
      <c r="BK262" s="11" t="e">
        <f t="shared" si="109"/>
        <v>#DIV/0!</v>
      </c>
      <c r="BM262" s="1">
        <f t="shared" ref="BM262:BM325" si="129">AD262-N262</f>
        <v>0</v>
      </c>
      <c r="BN262" s="1">
        <f t="shared" ref="BN262:BN325" si="130">AE262-U262</f>
        <v>0</v>
      </c>
    </row>
    <row r="263" spans="1:66" x14ac:dyDescent="0.2">
      <c r="A263" s="4">
        <f t="shared" si="110"/>
        <v>45915</v>
      </c>
      <c r="B263" s="1">
        <v>258</v>
      </c>
      <c r="C263" s="1">
        <v>5</v>
      </c>
      <c r="AN263" s="1">
        <f t="shared" si="114"/>
        <v>0</v>
      </c>
      <c r="AO263" s="1">
        <f t="shared" si="115"/>
        <v>0</v>
      </c>
      <c r="AP263" s="1">
        <f t="shared" si="116"/>
        <v>0</v>
      </c>
      <c r="AQ263" s="18">
        <f t="shared" si="117"/>
        <v>0</v>
      </c>
      <c r="AR263" s="24" t="e">
        <f t="shared" ref="AR263:AR326" si="131">ROUND(AQ263/AP263*(100-AP263),3)</f>
        <v>#DIV/0!</v>
      </c>
      <c r="AT263" s="20">
        <f t="shared" si="118"/>
        <v>45915</v>
      </c>
      <c r="AU263" s="21">
        <f t="shared" si="119"/>
        <v>258</v>
      </c>
      <c r="AV263" s="1">
        <f t="shared" si="120"/>
        <v>0</v>
      </c>
      <c r="AW263" s="1">
        <f t="shared" si="121"/>
        <v>0</v>
      </c>
      <c r="AX263" s="1">
        <f t="shared" si="122"/>
        <v>0</v>
      </c>
      <c r="AY263" s="1">
        <f t="shared" si="112"/>
        <v>0</v>
      </c>
      <c r="AZ263" s="1">
        <f t="shared" si="113"/>
        <v>0</v>
      </c>
      <c r="BA263" s="1">
        <f t="shared" ref="BA263:BA326" si="132">AK263</f>
        <v>0</v>
      </c>
      <c r="BB263" s="5">
        <f t="shared" ref="BB263:BB293" si="133">AL263</f>
        <v>0</v>
      </c>
      <c r="BC263" s="1">
        <f t="shared" si="123"/>
        <v>0</v>
      </c>
      <c r="BD263" s="1">
        <f t="shared" si="124"/>
        <v>0</v>
      </c>
      <c r="BE263" s="1">
        <f t="shared" si="125"/>
        <v>0</v>
      </c>
      <c r="BF263" s="5">
        <f t="shared" si="126"/>
        <v>0</v>
      </c>
      <c r="BG263" s="5">
        <f t="shared" si="127"/>
        <v>0</v>
      </c>
      <c r="BH263" s="5">
        <f t="shared" si="128"/>
        <v>0</v>
      </c>
      <c r="BI263" s="5">
        <f t="shared" ref="BI263:BI326" si="134">IF(AH263="NAN","NAN",ROUND(AH263,3))</f>
        <v>0</v>
      </c>
      <c r="BJ263" s="11">
        <f t="shared" ref="BJ263:BK326" si="135">AQ263</f>
        <v>0</v>
      </c>
      <c r="BK263" s="11" t="e">
        <f t="shared" si="135"/>
        <v>#DIV/0!</v>
      </c>
      <c r="BM263" s="1">
        <f t="shared" si="129"/>
        <v>0</v>
      </c>
      <c r="BN263" s="1">
        <f t="shared" si="130"/>
        <v>0</v>
      </c>
    </row>
    <row r="264" spans="1:66" x14ac:dyDescent="0.2">
      <c r="A264" s="4">
        <f t="shared" ref="A264:A327" si="136">A263+1</f>
        <v>45916</v>
      </c>
      <c r="B264" s="1">
        <v>259</v>
      </c>
      <c r="C264" s="1">
        <v>5</v>
      </c>
      <c r="AN264" s="1">
        <f t="shared" si="114"/>
        <v>0</v>
      </c>
      <c r="AO264" s="1">
        <f t="shared" si="115"/>
        <v>0</v>
      </c>
      <c r="AP264" s="1">
        <f t="shared" si="116"/>
        <v>0</v>
      </c>
      <c r="AQ264" s="18">
        <f t="shared" si="117"/>
        <v>0</v>
      </c>
      <c r="AR264" s="24" t="e">
        <f t="shared" si="131"/>
        <v>#DIV/0!</v>
      </c>
      <c r="AT264" s="20">
        <f t="shared" si="118"/>
        <v>45916</v>
      </c>
      <c r="AU264" s="21">
        <f t="shared" si="119"/>
        <v>259</v>
      </c>
      <c r="AV264" s="1">
        <f t="shared" si="120"/>
        <v>0</v>
      </c>
      <c r="AW264" s="1">
        <f t="shared" si="121"/>
        <v>0</v>
      </c>
      <c r="AX264" s="1">
        <f t="shared" si="122"/>
        <v>0</v>
      </c>
      <c r="AY264" s="1">
        <f t="shared" si="112"/>
        <v>0</v>
      </c>
      <c r="AZ264" s="1">
        <f t="shared" si="113"/>
        <v>0</v>
      </c>
      <c r="BA264" s="1">
        <f t="shared" si="132"/>
        <v>0</v>
      </c>
      <c r="BB264" s="5">
        <f t="shared" si="133"/>
        <v>0</v>
      </c>
      <c r="BC264" s="1">
        <f t="shared" si="123"/>
        <v>0</v>
      </c>
      <c r="BD264" s="1">
        <f t="shared" si="124"/>
        <v>0</v>
      </c>
      <c r="BE264" s="1">
        <f t="shared" si="125"/>
        <v>0</v>
      </c>
      <c r="BF264" s="5">
        <f t="shared" si="126"/>
        <v>0</v>
      </c>
      <c r="BG264" s="5">
        <f t="shared" si="127"/>
        <v>0</v>
      </c>
      <c r="BH264" s="5">
        <f t="shared" si="128"/>
        <v>0</v>
      </c>
      <c r="BI264" s="5">
        <f t="shared" si="134"/>
        <v>0</v>
      </c>
      <c r="BJ264" s="11">
        <f t="shared" si="135"/>
        <v>0</v>
      </c>
      <c r="BK264" s="11" t="e">
        <f t="shared" si="135"/>
        <v>#DIV/0!</v>
      </c>
      <c r="BM264" s="1">
        <f t="shared" si="129"/>
        <v>0</v>
      </c>
      <c r="BN264" s="1">
        <f t="shared" si="130"/>
        <v>0</v>
      </c>
    </row>
    <row r="265" spans="1:66" x14ac:dyDescent="0.2">
      <c r="A265" s="4">
        <f t="shared" si="136"/>
        <v>45917</v>
      </c>
      <c r="B265" s="1">
        <v>260</v>
      </c>
      <c r="C265" s="1">
        <v>5</v>
      </c>
      <c r="AN265" s="1">
        <f t="shared" si="114"/>
        <v>0</v>
      </c>
      <c r="AO265" s="1">
        <f t="shared" si="115"/>
        <v>0</v>
      </c>
      <c r="AP265" s="1">
        <f t="shared" si="116"/>
        <v>0</v>
      </c>
      <c r="AQ265" s="18">
        <f t="shared" si="117"/>
        <v>0</v>
      </c>
      <c r="AR265" s="24" t="e">
        <f t="shared" si="131"/>
        <v>#DIV/0!</v>
      </c>
      <c r="AT265" s="20">
        <f t="shared" si="118"/>
        <v>45917</v>
      </c>
      <c r="AU265" s="21">
        <f t="shared" si="119"/>
        <v>260</v>
      </c>
      <c r="AV265" s="1">
        <f t="shared" si="120"/>
        <v>0</v>
      </c>
      <c r="AW265" s="1">
        <f t="shared" si="121"/>
        <v>0</v>
      </c>
      <c r="AX265" s="1">
        <f t="shared" si="122"/>
        <v>0</v>
      </c>
      <c r="AY265" s="1">
        <f t="shared" si="112"/>
        <v>0</v>
      </c>
      <c r="AZ265" s="1">
        <f t="shared" si="113"/>
        <v>0</v>
      </c>
      <c r="BA265" s="1">
        <f t="shared" si="132"/>
        <v>0</v>
      </c>
      <c r="BB265" s="5">
        <f t="shared" si="133"/>
        <v>0</v>
      </c>
      <c r="BC265" s="1">
        <f t="shared" si="123"/>
        <v>0</v>
      </c>
      <c r="BD265" s="1">
        <f t="shared" si="124"/>
        <v>0</v>
      </c>
      <c r="BE265" s="1">
        <f t="shared" si="125"/>
        <v>0</v>
      </c>
      <c r="BF265" s="5">
        <f t="shared" si="126"/>
        <v>0</v>
      </c>
      <c r="BG265" s="5">
        <f t="shared" si="127"/>
        <v>0</v>
      </c>
      <c r="BH265" s="5">
        <f t="shared" si="128"/>
        <v>0</v>
      </c>
      <c r="BI265" s="5">
        <f t="shared" si="134"/>
        <v>0</v>
      </c>
      <c r="BJ265" s="11">
        <f t="shared" si="135"/>
        <v>0</v>
      </c>
      <c r="BK265" s="11" t="e">
        <f t="shared" si="135"/>
        <v>#DIV/0!</v>
      </c>
      <c r="BM265" s="1">
        <f t="shared" si="129"/>
        <v>0</v>
      </c>
      <c r="BN265" s="1">
        <f t="shared" si="130"/>
        <v>0</v>
      </c>
    </row>
    <row r="266" spans="1:66" x14ac:dyDescent="0.2">
      <c r="A266" s="4">
        <f t="shared" si="136"/>
        <v>45918</v>
      </c>
      <c r="B266" s="1">
        <v>261</v>
      </c>
      <c r="C266" s="1">
        <v>5</v>
      </c>
      <c r="AN266" s="1">
        <f t="shared" si="114"/>
        <v>0</v>
      </c>
      <c r="AO266" s="1">
        <f t="shared" si="115"/>
        <v>0</v>
      </c>
      <c r="AP266" s="1">
        <f t="shared" si="116"/>
        <v>0</v>
      </c>
      <c r="AQ266" s="18">
        <f t="shared" si="117"/>
        <v>0</v>
      </c>
      <c r="AR266" s="24" t="e">
        <f t="shared" si="131"/>
        <v>#DIV/0!</v>
      </c>
      <c r="AT266" s="20">
        <f t="shared" si="118"/>
        <v>45918</v>
      </c>
      <c r="AU266" s="21">
        <f t="shared" si="119"/>
        <v>261</v>
      </c>
      <c r="AV266" s="1">
        <f t="shared" si="120"/>
        <v>0</v>
      </c>
      <c r="AW266" s="1">
        <f t="shared" si="121"/>
        <v>0</v>
      </c>
      <c r="AX266" s="1">
        <f t="shared" si="122"/>
        <v>0</v>
      </c>
      <c r="AY266" s="1">
        <f t="shared" si="112"/>
        <v>0</v>
      </c>
      <c r="AZ266" s="1">
        <f t="shared" si="113"/>
        <v>0</v>
      </c>
      <c r="BA266" s="1">
        <f t="shared" si="132"/>
        <v>0</v>
      </c>
      <c r="BB266" s="5">
        <f t="shared" si="133"/>
        <v>0</v>
      </c>
      <c r="BC266" s="1">
        <f t="shared" si="123"/>
        <v>0</v>
      </c>
      <c r="BD266" s="1">
        <f t="shared" si="124"/>
        <v>0</v>
      </c>
      <c r="BE266" s="1">
        <f t="shared" si="125"/>
        <v>0</v>
      </c>
      <c r="BF266" s="5">
        <f t="shared" si="126"/>
        <v>0</v>
      </c>
      <c r="BG266" s="5">
        <f t="shared" si="127"/>
        <v>0</v>
      </c>
      <c r="BH266" s="5">
        <f t="shared" si="128"/>
        <v>0</v>
      </c>
      <c r="BI266" s="5">
        <f t="shared" si="134"/>
        <v>0</v>
      </c>
      <c r="BJ266" s="11">
        <f t="shared" si="135"/>
        <v>0</v>
      </c>
      <c r="BK266" s="11" t="e">
        <f t="shared" si="135"/>
        <v>#DIV/0!</v>
      </c>
      <c r="BM266" s="1">
        <f t="shared" si="129"/>
        <v>0</v>
      </c>
      <c r="BN266" s="1">
        <f t="shared" si="130"/>
        <v>0</v>
      </c>
    </row>
    <row r="267" spans="1:66" x14ac:dyDescent="0.2">
      <c r="A267" s="4">
        <f t="shared" si="136"/>
        <v>45919</v>
      </c>
      <c r="B267" s="1">
        <v>262</v>
      </c>
      <c r="C267" s="1">
        <v>5</v>
      </c>
      <c r="AN267" s="1">
        <f t="shared" si="114"/>
        <v>0</v>
      </c>
      <c r="AO267" s="1">
        <f t="shared" si="115"/>
        <v>0</v>
      </c>
      <c r="AP267" s="1">
        <f t="shared" si="116"/>
        <v>0</v>
      </c>
      <c r="AQ267" s="18">
        <f t="shared" si="117"/>
        <v>0</v>
      </c>
      <c r="AR267" s="24" t="e">
        <f t="shared" si="131"/>
        <v>#DIV/0!</v>
      </c>
      <c r="AT267" s="20">
        <f t="shared" si="118"/>
        <v>45919</v>
      </c>
      <c r="AU267" s="21">
        <f t="shared" si="119"/>
        <v>262</v>
      </c>
      <c r="AV267" s="1">
        <f t="shared" si="120"/>
        <v>0</v>
      </c>
      <c r="AW267" s="1">
        <f t="shared" si="121"/>
        <v>0</v>
      </c>
      <c r="AX267" s="1">
        <f t="shared" si="122"/>
        <v>0</v>
      </c>
      <c r="AY267" s="1">
        <f t="shared" si="112"/>
        <v>0</v>
      </c>
      <c r="AZ267" s="1">
        <f t="shared" si="113"/>
        <v>0</v>
      </c>
      <c r="BA267" s="1">
        <f t="shared" si="132"/>
        <v>0</v>
      </c>
      <c r="BB267" s="5">
        <f t="shared" si="133"/>
        <v>0</v>
      </c>
      <c r="BC267" s="1">
        <f t="shared" si="123"/>
        <v>0</v>
      </c>
      <c r="BD267" s="1">
        <f t="shared" si="124"/>
        <v>0</v>
      </c>
      <c r="BE267" s="1">
        <f t="shared" si="125"/>
        <v>0</v>
      </c>
      <c r="BF267" s="5">
        <f t="shared" si="126"/>
        <v>0</v>
      </c>
      <c r="BG267" s="5">
        <f t="shared" si="127"/>
        <v>0</v>
      </c>
      <c r="BH267" s="5">
        <f t="shared" si="128"/>
        <v>0</v>
      </c>
      <c r="BI267" s="5">
        <f t="shared" si="134"/>
        <v>0</v>
      </c>
      <c r="BJ267" s="11">
        <f t="shared" si="135"/>
        <v>0</v>
      </c>
      <c r="BK267" s="11" t="e">
        <f t="shared" si="135"/>
        <v>#DIV/0!</v>
      </c>
      <c r="BM267" s="1">
        <f t="shared" si="129"/>
        <v>0</v>
      </c>
      <c r="BN267" s="1">
        <f t="shared" si="130"/>
        <v>0</v>
      </c>
    </row>
    <row r="268" spans="1:66" x14ac:dyDescent="0.2">
      <c r="A268" s="4">
        <f t="shared" si="136"/>
        <v>45920</v>
      </c>
      <c r="B268" s="1">
        <v>263</v>
      </c>
      <c r="C268" s="1">
        <v>5</v>
      </c>
      <c r="AN268" s="1">
        <f t="shared" si="114"/>
        <v>0</v>
      </c>
      <c r="AO268" s="1">
        <f t="shared" si="115"/>
        <v>0</v>
      </c>
      <c r="AP268" s="1">
        <f t="shared" si="116"/>
        <v>0</v>
      </c>
      <c r="AQ268" s="18">
        <f t="shared" si="117"/>
        <v>0</v>
      </c>
      <c r="AR268" s="24" t="e">
        <f t="shared" si="131"/>
        <v>#DIV/0!</v>
      </c>
      <c r="AT268" s="20">
        <f t="shared" si="118"/>
        <v>45920</v>
      </c>
      <c r="AU268" s="21">
        <f t="shared" si="119"/>
        <v>263</v>
      </c>
      <c r="AV268" s="1">
        <f t="shared" si="120"/>
        <v>0</v>
      </c>
      <c r="AW268" s="1">
        <f t="shared" si="121"/>
        <v>0</v>
      </c>
      <c r="AX268" s="1">
        <f t="shared" si="122"/>
        <v>0</v>
      </c>
      <c r="AY268" s="1">
        <f t="shared" si="112"/>
        <v>0</v>
      </c>
      <c r="AZ268" s="1">
        <f t="shared" si="113"/>
        <v>0</v>
      </c>
      <c r="BA268" s="1">
        <f t="shared" si="132"/>
        <v>0</v>
      </c>
      <c r="BB268" s="5">
        <f t="shared" si="133"/>
        <v>0</v>
      </c>
      <c r="BC268" s="1">
        <f t="shared" si="123"/>
        <v>0</v>
      </c>
      <c r="BD268" s="1">
        <f t="shared" si="124"/>
        <v>0</v>
      </c>
      <c r="BE268" s="1">
        <f t="shared" si="125"/>
        <v>0</v>
      </c>
      <c r="BF268" s="5">
        <f t="shared" si="126"/>
        <v>0</v>
      </c>
      <c r="BG268" s="5">
        <f t="shared" si="127"/>
        <v>0</v>
      </c>
      <c r="BH268" s="5">
        <f t="shared" si="128"/>
        <v>0</v>
      </c>
      <c r="BI268" s="5">
        <f t="shared" si="134"/>
        <v>0</v>
      </c>
      <c r="BJ268" s="11">
        <f t="shared" si="135"/>
        <v>0</v>
      </c>
      <c r="BK268" s="11" t="e">
        <f t="shared" si="135"/>
        <v>#DIV/0!</v>
      </c>
      <c r="BM268" s="1">
        <f t="shared" si="129"/>
        <v>0</v>
      </c>
      <c r="BN268" s="1">
        <f t="shared" si="130"/>
        <v>0</v>
      </c>
    </row>
    <row r="269" spans="1:66" x14ac:dyDescent="0.2">
      <c r="A269" s="4">
        <f t="shared" si="136"/>
        <v>45921</v>
      </c>
      <c r="B269" s="1">
        <v>264</v>
      </c>
      <c r="C269" s="1">
        <v>5</v>
      </c>
      <c r="AN269" s="1">
        <f t="shared" si="114"/>
        <v>0</v>
      </c>
      <c r="AO269" s="1">
        <f t="shared" si="115"/>
        <v>0</v>
      </c>
      <c r="AP269" s="1">
        <f t="shared" si="116"/>
        <v>0</v>
      </c>
      <c r="AQ269" s="18">
        <f t="shared" si="117"/>
        <v>0</v>
      </c>
      <c r="AR269" s="24" t="e">
        <f t="shared" si="131"/>
        <v>#DIV/0!</v>
      </c>
      <c r="AT269" s="20">
        <f t="shared" si="118"/>
        <v>45921</v>
      </c>
      <c r="AU269" s="21">
        <f t="shared" si="119"/>
        <v>264</v>
      </c>
      <c r="AV269" s="1">
        <f t="shared" si="120"/>
        <v>0</v>
      </c>
      <c r="AW269" s="1">
        <f t="shared" si="121"/>
        <v>0</v>
      </c>
      <c r="AX269" s="1">
        <f t="shared" si="122"/>
        <v>0</v>
      </c>
      <c r="AY269" s="1">
        <f t="shared" si="112"/>
        <v>0</v>
      </c>
      <c r="AZ269" s="1">
        <f t="shared" si="113"/>
        <v>0</v>
      </c>
      <c r="BA269" s="1">
        <f t="shared" si="132"/>
        <v>0</v>
      </c>
      <c r="BB269" s="5">
        <f t="shared" si="133"/>
        <v>0</v>
      </c>
      <c r="BC269" s="1">
        <f t="shared" si="123"/>
        <v>0</v>
      </c>
      <c r="BD269" s="1">
        <f t="shared" si="124"/>
        <v>0</v>
      </c>
      <c r="BE269" s="1">
        <f t="shared" si="125"/>
        <v>0</v>
      </c>
      <c r="BF269" s="5">
        <f t="shared" si="126"/>
        <v>0</v>
      </c>
      <c r="BG269" s="5">
        <f t="shared" si="127"/>
        <v>0</v>
      </c>
      <c r="BH269" s="5">
        <f t="shared" si="128"/>
        <v>0</v>
      </c>
      <c r="BI269" s="5">
        <f t="shared" si="134"/>
        <v>0</v>
      </c>
      <c r="BJ269" s="11">
        <f t="shared" si="135"/>
        <v>0</v>
      </c>
      <c r="BK269" s="11" t="e">
        <f t="shared" si="135"/>
        <v>#DIV/0!</v>
      </c>
      <c r="BM269" s="1">
        <f t="shared" si="129"/>
        <v>0</v>
      </c>
      <c r="BN269" s="1">
        <f t="shared" si="130"/>
        <v>0</v>
      </c>
    </row>
    <row r="270" spans="1:66" x14ac:dyDescent="0.2">
      <c r="A270" s="4">
        <f t="shared" si="136"/>
        <v>45922</v>
      </c>
      <c r="B270" s="1">
        <v>265</v>
      </c>
      <c r="C270" s="1">
        <v>5</v>
      </c>
      <c r="AN270" s="1">
        <f t="shared" si="114"/>
        <v>0</v>
      </c>
      <c r="AO270" s="1">
        <f t="shared" si="115"/>
        <v>0</v>
      </c>
      <c r="AP270" s="1">
        <f t="shared" si="116"/>
        <v>0</v>
      </c>
      <c r="AQ270" s="18">
        <f t="shared" si="117"/>
        <v>0</v>
      </c>
      <c r="AR270" s="24" t="e">
        <f t="shared" si="131"/>
        <v>#DIV/0!</v>
      </c>
      <c r="AT270" s="20">
        <f t="shared" si="118"/>
        <v>45922</v>
      </c>
      <c r="AU270" s="21">
        <f t="shared" si="119"/>
        <v>265</v>
      </c>
      <c r="AV270" s="1">
        <f t="shared" si="120"/>
        <v>0</v>
      </c>
      <c r="AW270" s="1">
        <f t="shared" si="121"/>
        <v>0</v>
      </c>
      <c r="AX270" s="1">
        <f t="shared" si="122"/>
        <v>0</v>
      </c>
      <c r="AY270" s="1">
        <f t="shared" si="112"/>
        <v>0</v>
      </c>
      <c r="AZ270" s="1">
        <f t="shared" si="113"/>
        <v>0</v>
      </c>
      <c r="BA270" s="1">
        <f t="shared" si="132"/>
        <v>0</v>
      </c>
      <c r="BB270" s="5">
        <f t="shared" si="133"/>
        <v>0</v>
      </c>
      <c r="BC270" s="1">
        <f t="shared" si="123"/>
        <v>0</v>
      </c>
      <c r="BD270" s="1">
        <f t="shared" si="124"/>
        <v>0</v>
      </c>
      <c r="BE270" s="1">
        <f t="shared" si="125"/>
        <v>0</v>
      </c>
      <c r="BF270" s="5">
        <f t="shared" si="126"/>
        <v>0</v>
      </c>
      <c r="BG270" s="5">
        <f t="shared" si="127"/>
        <v>0</v>
      </c>
      <c r="BH270" s="5">
        <f t="shared" si="128"/>
        <v>0</v>
      </c>
      <c r="BI270" s="5">
        <f t="shared" si="134"/>
        <v>0</v>
      </c>
      <c r="BJ270" s="11">
        <f t="shared" si="135"/>
        <v>0</v>
      </c>
      <c r="BK270" s="11" t="e">
        <f t="shared" si="135"/>
        <v>#DIV/0!</v>
      </c>
      <c r="BM270" s="1">
        <f t="shared" si="129"/>
        <v>0</v>
      </c>
      <c r="BN270" s="1">
        <f t="shared" si="130"/>
        <v>0</v>
      </c>
    </row>
    <row r="271" spans="1:66" x14ac:dyDescent="0.2">
      <c r="A271" s="4">
        <f t="shared" si="136"/>
        <v>45923</v>
      </c>
      <c r="B271" s="1">
        <v>266</v>
      </c>
      <c r="C271" s="1">
        <v>5</v>
      </c>
      <c r="AN271" s="1">
        <f t="shared" si="114"/>
        <v>0</v>
      </c>
      <c r="AO271" s="1">
        <f t="shared" si="115"/>
        <v>0</v>
      </c>
      <c r="AP271" s="1">
        <f t="shared" si="116"/>
        <v>0</v>
      </c>
      <c r="AQ271" s="18">
        <f t="shared" si="117"/>
        <v>0</v>
      </c>
      <c r="AR271" s="24" t="e">
        <f t="shared" si="131"/>
        <v>#DIV/0!</v>
      </c>
      <c r="AT271" s="20">
        <f t="shared" si="118"/>
        <v>45923</v>
      </c>
      <c r="AU271" s="21">
        <f t="shared" si="119"/>
        <v>266</v>
      </c>
      <c r="AV271" s="1">
        <f t="shared" si="120"/>
        <v>0</v>
      </c>
      <c r="AW271" s="1">
        <f t="shared" si="121"/>
        <v>0</v>
      </c>
      <c r="AX271" s="1">
        <f t="shared" si="122"/>
        <v>0</v>
      </c>
      <c r="AY271" s="1">
        <f t="shared" si="112"/>
        <v>0</v>
      </c>
      <c r="AZ271" s="1">
        <f t="shared" si="113"/>
        <v>0</v>
      </c>
      <c r="BA271" s="1">
        <f t="shared" si="132"/>
        <v>0</v>
      </c>
      <c r="BB271" s="5">
        <f t="shared" si="133"/>
        <v>0</v>
      </c>
      <c r="BC271" s="1">
        <f t="shared" si="123"/>
        <v>0</v>
      </c>
      <c r="BD271" s="1">
        <f t="shared" si="124"/>
        <v>0</v>
      </c>
      <c r="BE271" s="1">
        <f t="shared" si="125"/>
        <v>0</v>
      </c>
      <c r="BF271" s="5">
        <f t="shared" si="126"/>
        <v>0</v>
      </c>
      <c r="BG271" s="5">
        <f t="shared" si="127"/>
        <v>0</v>
      </c>
      <c r="BH271" s="5">
        <f t="shared" si="128"/>
        <v>0</v>
      </c>
      <c r="BI271" s="5">
        <f t="shared" si="134"/>
        <v>0</v>
      </c>
      <c r="BJ271" s="11">
        <f t="shared" si="135"/>
        <v>0</v>
      </c>
      <c r="BK271" s="11" t="e">
        <f t="shared" si="135"/>
        <v>#DIV/0!</v>
      </c>
      <c r="BM271" s="1">
        <f t="shared" si="129"/>
        <v>0</v>
      </c>
      <c r="BN271" s="1">
        <f t="shared" si="130"/>
        <v>0</v>
      </c>
    </row>
    <row r="272" spans="1:66" x14ac:dyDescent="0.2">
      <c r="A272" s="4">
        <f t="shared" si="136"/>
        <v>45924</v>
      </c>
      <c r="B272" s="1">
        <v>267</v>
      </c>
      <c r="C272" s="1">
        <v>5</v>
      </c>
      <c r="AN272" s="1">
        <f t="shared" si="114"/>
        <v>0</v>
      </c>
      <c r="AO272" s="1">
        <f t="shared" si="115"/>
        <v>0</v>
      </c>
      <c r="AP272" s="1">
        <f t="shared" si="116"/>
        <v>0</v>
      </c>
      <c r="AQ272" s="18">
        <f t="shared" si="117"/>
        <v>0</v>
      </c>
      <c r="AR272" s="24" t="e">
        <f t="shared" si="131"/>
        <v>#DIV/0!</v>
      </c>
      <c r="AT272" s="20">
        <f t="shared" si="118"/>
        <v>45924</v>
      </c>
      <c r="AU272" s="21">
        <f t="shared" si="119"/>
        <v>267</v>
      </c>
      <c r="AV272" s="1">
        <f t="shared" si="120"/>
        <v>0</v>
      </c>
      <c r="AW272" s="1">
        <f t="shared" si="121"/>
        <v>0</v>
      </c>
      <c r="AX272" s="1">
        <f t="shared" si="122"/>
        <v>0</v>
      </c>
      <c r="AY272" s="1">
        <f t="shared" si="112"/>
        <v>0</v>
      </c>
      <c r="AZ272" s="1">
        <f t="shared" si="113"/>
        <v>0</v>
      </c>
      <c r="BA272" s="1">
        <f t="shared" si="132"/>
        <v>0</v>
      </c>
      <c r="BB272" s="5">
        <f t="shared" si="133"/>
        <v>0</v>
      </c>
      <c r="BC272" s="1">
        <f t="shared" si="123"/>
        <v>0</v>
      </c>
      <c r="BD272" s="1">
        <f t="shared" si="124"/>
        <v>0</v>
      </c>
      <c r="BE272" s="1">
        <f t="shared" si="125"/>
        <v>0</v>
      </c>
      <c r="BF272" s="5">
        <f t="shared" si="126"/>
        <v>0</v>
      </c>
      <c r="BG272" s="5">
        <f t="shared" si="127"/>
        <v>0</v>
      </c>
      <c r="BH272" s="5">
        <f t="shared" si="128"/>
        <v>0</v>
      </c>
      <c r="BI272" s="5">
        <f t="shared" si="134"/>
        <v>0</v>
      </c>
      <c r="BJ272" s="11">
        <f t="shared" si="135"/>
        <v>0</v>
      </c>
      <c r="BK272" s="11" t="e">
        <f t="shared" si="135"/>
        <v>#DIV/0!</v>
      </c>
      <c r="BM272" s="1">
        <f t="shared" si="129"/>
        <v>0</v>
      </c>
      <c r="BN272" s="1">
        <f t="shared" si="130"/>
        <v>0</v>
      </c>
    </row>
    <row r="273" spans="1:66" x14ac:dyDescent="0.2">
      <c r="A273" s="4">
        <f t="shared" si="136"/>
        <v>45925</v>
      </c>
      <c r="B273" s="1">
        <v>268</v>
      </c>
      <c r="C273" s="1">
        <v>5</v>
      </c>
      <c r="AN273" s="1">
        <f t="shared" si="114"/>
        <v>0</v>
      </c>
      <c r="AO273" s="1">
        <f t="shared" si="115"/>
        <v>0</v>
      </c>
      <c r="AP273" s="1">
        <f t="shared" si="116"/>
        <v>0</v>
      </c>
      <c r="AQ273" s="18">
        <f t="shared" si="117"/>
        <v>0</v>
      </c>
      <c r="AR273" s="24" t="e">
        <f t="shared" si="131"/>
        <v>#DIV/0!</v>
      </c>
      <c r="AT273" s="20">
        <f t="shared" si="118"/>
        <v>45925</v>
      </c>
      <c r="AU273" s="21">
        <f t="shared" si="119"/>
        <v>268</v>
      </c>
      <c r="AV273" s="1">
        <f t="shared" si="120"/>
        <v>0</v>
      </c>
      <c r="AW273" s="1">
        <f t="shared" si="121"/>
        <v>0</v>
      </c>
      <c r="AX273" s="1">
        <f t="shared" si="122"/>
        <v>0</v>
      </c>
      <c r="AY273" s="1">
        <f t="shared" si="112"/>
        <v>0</v>
      </c>
      <c r="AZ273" s="1">
        <f t="shared" si="113"/>
        <v>0</v>
      </c>
      <c r="BA273" s="1">
        <f t="shared" si="132"/>
        <v>0</v>
      </c>
      <c r="BB273" s="5">
        <f t="shared" si="133"/>
        <v>0</v>
      </c>
      <c r="BC273" s="1">
        <f t="shared" si="123"/>
        <v>0</v>
      </c>
      <c r="BD273" s="1">
        <f t="shared" si="124"/>
        <v>0</v>
      </c>
      <c r="BE273" s="1">
        <f t="shared" si="125"/>
        <v>0</v>
      </c>
      <c r="BF273" s="5">
        <f t="shared" si="126"/>
        <v>0</v>
      </c>
      <c r="BG273" s="5">
        <f t="shared" si="127"/>
        <v>0</v>
      </c>
      <c r="BH273" s="5">
        <f t="shared" si="128"/>
        <v>0</v>
      </c>
      <c r="BI273" s="5">
        <f t="shared" si="134"/>
        <v>0</v>
      </c>
      <c r="BJ273" s="11">
        <f t="shared" si="135"/>
        <v>0</v>
      </c>
      <c r="BK273" s="11" t="e">
        <f t="shared" si="135"/>
        <v>#DIV/0!</v>
      </c>
      <c r="BM273" s="1">
        <f t="shared" si="129"/>
        <v>0</v>
      </c>
      <c r="BN273" s="1">
        <f t="shared" si="130"/>
        <v>0</v>
      </c>
    </row>
    <row r="274" spans="1:66" x14ac:dyDescent="0.2">
      <c r="A274" s="4">
        <f t="shared" si="136"/>
        <v>45926</v>
      </c>
      <c r="B274" s="1">
        <v>269</v>
      </c>
      <c r="C274" s="1">
        <v>5</v>
      </c>
      <c r="AN274" s="1">
        <f t="shared" si="114"/>
        <v>0</v>
      </c>
      <c r="AO274" s="1">
        <f t="shared" si="115"/>
        <v>0</v>
      </c>
      <c r="AP274" s="1">
        <f t="shared" si="116"/>
        <v>0</v>
      </c>
      <c r="AQ274" s="18">
        <f t="shared" si="117"/>
        <v>0</v>
      </c>
      <c r="AR274" s="24" t="e">
        <f t="shared" si="131"/>
        <v>#DIV/0!</v>
      </c>
      <c r="AT274" s="20">
        <f t="shared" si="118"/>
        <v>45926</v>
      </c>
      <c r="AU274" s="21">
        <f t="shared" si="119"/>
        <v>269</v>
      </c>
      <c r="AV274" s="1">
        <f t="shared" si="120"/>
        <v>0</v>
      </c>
      <c r="AW274" s="1">
        <f t="shared" si="121"/>
        <v>0</v>
      </c>
      <c r="AX274" s="1">
        <f t="shared" si="122"/>
        <v>0</v>
      </c>
      <c r="AY274" s="1">
        <f t="shared" si="112"/>
        <v>0</v>
      </c>
      <c r="AZ274" s="1">
        <f t="shared" si="113"/>
        <v>0</v>
      </c>
      <c r="BA274" s="1">
        <f t="shared" si="132"/>
        <v>0</v>
      </c>
      <c r="BB274" s="5">
        <f t="shared" si="133"/>
        <v>0</v>
      </c>
      <c r="BC274" s="1">
        <f t="shared" si="123"/>
        <v>0</v>
      </c>
      <c r="BD274" s="1">
        <f t="shared" si="124"/>
        <v>0</v>
      </c>
      <c r="BE274" s="1">
        <f t="shared" si="125"/>
        <v>0</v>
      </c>
      <c r="BF274" s="5">
        <f t="shared" si="126"/>
        <v>0</v>
      </c>
      <c r="BG274" s="5">
        <f t="shared" si="127"/>
        <v>0</v>
      </c>
      <c r="BH274" s="5">
        <f t="shared" si="128"/>
        <v>0</v>
      </c>
      <c r="BI274" s="5">
        <f t="shared" si="134"/>
        <v>0</v>
      </c>
      <c r="BJ274" s="11">
        <f t="shared" si="135"/>
        <v>0</v>
      </c>
      <c r="BK274" s="11" t="e">
        <f t="shared" si="135"/>
        <v>#DIV/0!</v>
      </c>
      <c r="BM274" s="1">
        <f t="shared" si="129"/>
        <v>0</v>
      </c>
      <c r="BN274" s="1">
        <f t="shared" si="130"/>
        <v>0</v>
      </c>
    </row>
    <row r="275" spans="1:66" x14ac:dyDescent="0.2">
      <c r="A275" s="4">
        <f t="shared" si="136"/>
        <v>45927</v>
      </c>
      <c r="B275" s="1">
        <v>270</v>
      </c>
      <c r="C275" s="1">
        <v>5</v>
      </c>
      <c r="AN275" s="1">
        <f t="shared" si="114"/>
        <v>0</v>
      </c>
      <c r="AO275" s="1">
        <f t="shared" si="115"/>
        <v>0</v>
      </c>
      <c r="AP275" s="1">
        <f t="shared" si="116"/>
        <v>0</v>
      </c>
      <c r="AQ275" s="18">
        <f t="shared" si="117"/>
        <v>0</v>
      </c>
      <c r="AR275" s="24" t="e">
        <f t="shared" si="131"/>
        <v>#DIV/0!</v>
      </c>
      <c r="AT275" s="20">
        <f t="shared" si="118"/>
        <v>45927</v>
      </c>
      <c r="AU275" s="21">
        <f t="shared" si="119"/>
        <v>270</v>
      </c>
      <c r="AV275" s="1">
        <f t="shared" si="120"/>
        <v>0</v>
      </c>
      <c r="AW275" s="1">
        <f t="shared" si="121"/>
        <v>0</v>
      </c>
      <c r="AX275" s="1">
        <f t="shared" si="122"/>
        <v>0</v>
      </c>
      <c r="AY275" s="1">
        <f t="shared" si="112"/>
        <v>0</v>
      </c>
      <c r="AZ275" s="1">
        <f t="shared" si="113"/>
        <v>0</v>
      </c>
      <c r="BA275" s="1">
        <f t="shared" si="132"/>
        <v>0</v>
      </c>
      <c r="BB275" s="5">
        <f t="shared" si="133"/>
        <v>0</v>
      </c>
      <c r="BC275" s="1">
        <f t="shared" si="123"/>
        <v>0</v>
      </c>
      <c r="BD275" s="1">
        <f t="shared" si="124"/>
        <v>0</v>
      </c>
      <c r="BE275" s="1">
        <f t="shared" si="125"/>
        <v>0</v>
      </c>
      <c r="BF275" s="5">
        <f t="shared" si="126"/>
        <v>0</v>
      </c>
      <c r="BG275" s="5">
        <f t="shared" si="127"/>
        <v>0</v>
      </c>
      <c r="BH275" s="5">
        <f t="shared" si="128"/>
        <v>0</v>
      </c>
      <c r="BI275" s="5">
        <f t="shared" si="134"/>
        <v>0</v>
      </c>
      <c r="BJ275" s="11">
        <f t="shared" si="135"/>
        <v>0</v>
      </c>
      <c r="BK275" s="11" t="e">
        <f t="shared" si="135"/>
        <v>#DIV/0!</v>
      </c>
      <c r="BM275" s="1">
        <f t="shared" si="129"/>
        <v>0</v>
      </c>
      <c r="BN275" s="1">
        <f t="shared" si="130"/>
        <v>0</v>
      </c>
    </row>
    <row r="276" spans="1:66" x14ac:dyDescent="0.2">
      <c r="A276" s="4">
        <f t="shared" si="136"/>
        <v>45928</v>
      </c>
      <c r="B276" s="1">
        <v>271</v>
      </c>
      <c r="C276" s="1">
        <v>5</v>
      </c>
      <c r="AN276" s="1">
        <f t="shared" si="114"/>
        <v>0</v>
      </c>
      <c r="AO276" s="1">
        <f t="shared" si="115"/>
        <v>0</v>
      </c>
      <c r="AP276" s="1">
        <f t="shared" si="116"/>
        <v>0</v>
      </c>
      <c r="AQ276" s="18">
        <f t="shared" si="117"/>
        <v>0</v>
      </c>
      <c r="AR276" s="24" t="e">
        <f t="shared" si="131"/>
        <v>#DIV/0!</v>
      </c>
      <c r="AT276" s="20">
        <f t="shared" si="118"/>
        <v>45928</v>
      </c>
      <c r="AU276" s="21">
        <f t="shared" si="119"/>
        <v>271</v>
      </c>
      <c r="AV276" s="1">
        <f t="shared" si="120"/>
        <v>0</v>
      </c>
      <c r="AW276" s="1">
        <f t="shared" si="121"/>
        <v>0</v>
      </c>
      <c r="AX276" s="1">
        <f t="shared" si="122"/>
        <v>0</v>
      </c>
      <c r="AY276" s="1">
        <f t="shared" si="112"/>
        <v>0</v>
      </c>
      <c r="AZ276" s="1">
        <f t="shared" si="113"/>
        <v>0</v>
      </c>
      <c r="BA276" s="1">
        <f t="shared" si="132"/>
        <v>0</v>
      </c>
      <c r="BB276" s="5">
        <f t="shared" si="133"/>
        <v>0</v>
      </c>
      <c r="BC276" s="1">
        <f t="shared" si="123"/>
        <v>0</v>
      </c>
      <c r="BD276" s="1">
        <f t="shared" si="124"/>
        <v>0</v>
      </c>
      <c r="BE276" s="1">
        <f t="shared" si="125"/>
        <v>0</v>
      </c>
      <c r="BF276" s="5">
        <f t="shared" si="126"/>
        <v>0</v>
      </c>
      <c r="BG276" s="5">
        <f t="shared" si="127"/>
        <v>0</v>
      </c>
      <c r="BH276" s="5">
        <f t="shared" si="128"/>
        <v>0</v>
      </c>
      <c r="BI276" s="5">
        <f t="shared" si="134"/>
        <v>0</v>
      </c>
      <c r="BJ276" s="11">
        <f t="shared" si="135"/>
        <v>0</v>
      </c>
      <c r="BK276" s="11" t="e">
        <f t="shared" si="135"/>
        <v>#DIV/0!</v>
      </c>
      <c r="BM276" s="1">
        <f t="shared" si="129"/>
        <v>0</v>
      </c>
      <c r="BN276" s="1">
        <f t="shared" si="130"/>
        <v>0</v>
      </c>
    </row>
    <row r="277" spans="1:66" x14ac:dyDescent="0.2">
      <c r="A277" s="4">
        <f t="shared" si="136"/>
        <v>45929</v>
      </c>
      <c r="B277" s="1">
        <v>272</v>
      </c>
      <c r="C277" s="1">
        <v>5</v>
      </c>
      <c r="AN277" s="1">
        <f t="shared" si="114"/>
        <v>0</v>
      </c>
      <c r="AO277" s="1">
        <f t="shared" si="115"/>
        <v>0</v>
      </c>
      <c r="AP277" s="1">
        <f t="shared" si="116"/>
        <v>0</v>
      </c>
      <c r="AQ277" s="18">
        <f t="shared" si="117"/>
        <v>0</v>
      </c>
      <c r="AR277" s="24" t="e">
        <f t="shared" si="131"/>
        <v>#DIV/0!</v>
      </c>
      <c r="AT277" s="20">
        <f t="shared" si="118"/>
        <v>45929</v>
      </c>
      <c r="AU277" s="21">
        <f t="shared" si="119"/>
        <v>272</v>
      </c>
      <c r="AV277" s="1">
        <f t="shared" si="120"/>
        <v>0</v>
      </c>
      <c r="AW277" s="1">
        <f t="shared" si="121"/>
        <v>0</v>
      </c>
      <c r="AX277" s="1">
        <f t="shared" si="122"/>
        <v>0</v>
      </c>
      <c r="AY277" s="1">
        <f t="shared" si="112"/>
        <v>0</v>
      </c>
      <c r="AZ277" s="1">
        <f t="shared" si="113"/>
        <v>0</v>
      </c>
      <c r="BA277" s="1">
        <f t="shared" si="132"/>
        <v>0</v>
      </c>
      <c r="BB277" s="5">
        <f t="shared" si="133"/>
        <v>0</v>
      </c>
      <c r="BC277" s="1">
        <f t="shared" si="123"/>
        <v>0</v>
      </c>
      <c r="BD277" s="1">
        <f t="shared" si="124"/>
        <v>0</v>
      </c>
      <c r="BE277" s="1">
        <f t="shared" si="125"/>
        <v>0</v>
      </c>
      <c r="BF277" s="5">
        <f t="shared" si="126"/>
        <v>0</v>
      </c>
      <c r="BG277" s="5">
        <f t="shared" si="127"/>
        <v>0</v>
      </c>
      <c r="BH277" s="5">
        <f t="shared" si="128"/>
        <v>0</v>
      </c>
      <c r="BI277" s="5">
        <f t="shared" si="134"/>
        <v>0</v>
      </c>
      <c r="BJ277" s="11">
        <f t="shared" si="135"/>
        <v>0</v>
      </c>
      <c r="BK277" s="11" t="e">
        <f t="shared" si="135"/>
        <v>#DIV/0!</v>
      </c>
      <c r="BM277" s="1">
        <f t="shared" si="129"/>
        <v>0</v>
      </c>
      <c r="BN277" s="1">
        <f t="shared" si="130"/>
        <v>0</v>
      </c>
    </row>
    <row r="278" spans="1:66" x14ac:dyDescent="0.2">
      <c r="A278" s="4">
        <f t="shared" si="136"/>
        <v>45930</v>
      </c>
      <c r="B278" s="1">
        <v>273</v>
      </c>
      <c r="C278" s="1">
        <v>5</v>
      </c>
      <c r="AN278" s="1">
        <f t="shared" si="114"/>
        <v>0</v>
      </c>
      <c r="AO278" s="1">
        <f t="shared" si="115"/>
        <v>0</v>
      </c>
      <c r="AP278" s="1">
        <f t="shared" si="116"/>
        <v>0</v>
      </c>
      <c r="AQ278" s="18">
        <f t="shared" si="117"/>
        <v>0</v>
      </c>
      <c r="AR278" s="24" t="e">
        <f t="shared" si="131"/>
        <v>#DIV/0!</v>
      </c>
      <c r="AT278" s="20">
        <f t="shared" si="118"/>
        <v>45930</v>
      </c>
      <c r="AU278" s="21">
        <f t="shared" si="119"/>
        <v>273</v>
      </c>
      <c r="AV278" s="1">
        <f t="shared" si="120"/>
        <v>0</v>
      </c>
      <c r="AW278" s="1">
        <f t="shared" si="121"/>
        <v>0</v>
      </c>
      <c r="AX278" s="1">
        <f t="shared" si="122"/>
        <v>0</v>
      </c>
      <c r="AY278" s="1">
        <f t="shared" si="112"/>
        <v>0</v>
      </c>
      <c r="AZ278" s="1">
        <f t="shared" si="113"/>
        <v>0</v>
      </c>
      <c r="BA278" s="1">
        <f t="shared" si="132"/>
        <v>0</v>
      </c>
      <c r="BB278" s="5">
        <f t="shared" si="133"/>
        <v>0</v>
      </c>
      <c r="BC278" s="1">
        <f t="shared" si="123"/>
        <v>0</v>
      </c>
      <c r="BD278" s="1">
        <f t="shared" si="124"/>
        <v>0</v>
      </c>
      <c r="BE278" s="1">
        <f t="shared" si="125"/>
        <v>0</v>
      </c>
      <c r="BF278" s="5">
        <f t="shared" si="126"/>
        <v>0</v>
      </c>
      <c r="BG278" s="5">
        <f t="shared" si="127"/>
        <v>0</v>
      </c>
      <c r="BH278" s="5">
        <f t="shared" si="128"/>
        <v>0</v>
      </c>
      <c r="BI278" s="5">
        <f t="shared" si="134"/>
        <v>0</v>
      </c>
      <c r="BJ278" s="11">
        <f t="shared" si="135"/>
        <v>0</v>
      </c>
      <c r="BK278" s="11" t="e">
        <f t="shared" si="135"/>
        <v>#DIV/0!</v>
      </c>
      <c r="BM278" s="1">
        <f t="shared" si="129"/>
        <v>0</v>
      </c>
      <c r="BN278" s="1">
        <f t="shared" si="130"/>
        <v>0</v>
      </c>
    </row>
    <row r="279" spans="1:66" x14ac:dyDescent="0.2">
      <c r="A279" s="4">
        <f t="shared" si="136"/>
        <v>45931</v>
      </c>
      <c r="B279" s="1">
        <v>274</v>
      </c>
      <c r="C279" s="1">
        <v>5</v>
      </c>
      <c r="AN279" s="1">
        <f t="shared" si="114"/>
        <v>0</v>
      </c>
      <c r="AO279" s="1">
        <f t="shared" si="115"/>
        <v>0</v>
      </c>
      <c r="AP279" s="1">
        <f t="shared" si="116"/>
        <v>0</v>
      </c>
      <c r="AQ279" s="18">
        <f t="shared" si="117"/>
        <v>0</v>
      </c>
      <c r="AR279" s="24" t="e">
        <f t="shared" si="131"/>
        <v>#DIV/0!</v>
      </c>
      <c r="AT279" s="20">
        <f t="shared" si="118"/>
        <v>45931</v>
      </c>
      <c r="AU279" s="21">
        <f t="shared" si="119"/>
        <v>274</v>
      </c>
      <c r="AV279" s="1">
        <f t="shared" si="120"/>
        <v>0</v>
      </c>
      <c r="AW279" s="1">
        <f t="shared" si="121"/>
        <v>0</v>
      </c>
      <c r="AX279" s="1">
        <f t="shared" si="122"/>
        <v>0</v>
      </c>
      <c r="AY279" s="1">
        <f t="shared" si="112"/>
        <v>0</v>
      </c>
      <c r="AZ279" s="1">
        <f t="shared" si="113"/>
        <v>0</v>
      </c>
      <c r="BA279" s="1">
        <f t="shared" si="132"/>
        <v>0</v>
      </c>
      <c r="BB279" s="5">
        <f t="shared" si="133"/>
        <v>0</v>
      </c>
      <c r="BC279" s="1">
        <f t="shared" si="123"/>
        <v>0</v>
      </c>
      <c r="BD279" s="1">
        <f t="shared" si="124"/>
        <v>0</v>
      </c>
      <c r="BE279" s="1">
        <f t="shared" si="125"/>
        <v>0</v>
      </c>
      <c r="BF279" s="5">
        <f t="shared" si="126"/>
        <v>0</v>
      </c>
      <c r="BG279" s="5">
        <f t="shared" si="127"/>
        <v>0</v>
      </c>
      <c r="BH279" s="5">
        <f t="shared" si="128"/>
        <v>0</v>
      </c>
      <c r="BI279" s="5">
        <f t="shared" si="134"/>
        <v>0</v>
      </c>
      <c r="BJ279" s="11">
        <f t="shared" si="135"/>
        <v>0</v>
      </c>
      <c r="BK279" s="11" t="e">
        <f t="shared" si="135"/>
        <v>#DIV/0!</v>
      </c>
      <c r="BM279" s="1">
        <f t="shared" si="129"/>
        <v>0</v>
      </c>
      <c r="BN279" s="1">
        <f t="shared" si="130"/>
        <v>0</v>
      </c>
    </row>
    <row r="280" spans="1:66" x14ac:dyDescent="0.2">
      <c r="A280" s="4">
        <f t="shared" si="136"/>
        <v>45932</v>
      </c>
      <c r="B280" s="1">
        <v>275</v>
      </c>
      <c r="C280" s="1">
        <v>5</v>
      </c>
      <c r="AN280" s="1">
        <f t="shared" si="114"/>
        <v>0</v>
      </c>
      <c r="AO280" s="1">
        <f t="shared" si="115"/>
        <v>0</v>
      </c>
      <c r="AP280" s="1">
        <f t="shared" si="116"/>
        <v>0</v>
      </c>
      <c r="AQ280" s="18">
        <f t="shared" si="117"/>
        <v>0</v>
      </c>
      <c r="AR280" s="24" t="e">
        <f t="shared" si="131"/>
        <v>#DIV/0!</v>
      </c>
      <c r="AT280" s="20">
        <f t="shared" si="118"/>
        <v>45932</v>
      </c>
      <c r="AU280" s="21">
        <f t="shared" si="119"/>
        <v>275</v>
      </c>
      <c r="AV280" s="1">
        <f t="shared" si="120"/>
        <v>0</v>
      </c>
      <c r="AW280" s="1">
        <f t="shared" si="121"/>
        <v>0</v>
      </c>
      <c r="AX280" s="1">
        <f t="shared" si="122"/>
        <v>0</v>
      </c>
      <c r="AY280" s="1">
        <f t="shared" si="112"/>
        <v>0</v>
      </c>
      <c r="AZ280" s="1">
        <f t="shared" si="113"/>
        <v>0</v>
      </c>
      <c r="BA280" s="1">
        <f t="shared" si="132"/>
        <v>0</v>
      </c>
      <c r="BB280" s="5">
        <f t="shared" si="133"/>
        <v>0</v>
      </c>
      <c r="BC280" s="1">
        <f t="shared" si="123"/>
        <v>0</v>
      </c>
      <c r="BD280" s="1">
        <f t="shared" si="124"/>
        <v>0</v>
      </c>
      <c r="BE280" s="1">
        <f t="shared" si="125"/>
        <v>0</v>
      </c>
      <c r="BF280" s="5">
        <f t="shared" si="126"/>
        <v>0</v>
      </c>
      <c r="BG280" s="5">
        <f t="shared" si="127"/>
        <v>0</v>
      </c>
      <c r="BH280" s="5">
        <f t="shared" si="128"/>
        <v>0</v>
      </c>
      <c r="BI280" s="5">
        <f t="shared" si="134"/>
        <v>0</v>
      </c>
      <c r="BJ280" s="11">
        <f t="shared" si="135"/>
        <v>0</v>
      </c>
      <c r="BK280" s="11" t="e">
        <f t="shared" si="135"/>
        <v>#DIV/0!</v>
      </c>
      <c r="BM280" s="1">
        <f t="shared" si="129"/>
        <v>0</v>
      </c>
      <c r="BN280" s="1">
        <f t="shared" si="130"/>
        <v>0</v>
      </c>
    </row>
    <row r="281" spans="1:66" x14ac:dyDescent="0.2">
      <c r="A281" s="4">
        <f t="shared" si="136"/>
        <v>45933</v>
      </c>
      <c r="B281" s="1">
        <v>276</v>
      </c>
      <c r="C281" s="1">
        <v>5</v>
      </c>
      <c r="AN281" s="1">
        <f t="shared" si="114"/>
        <v>0</v>
      </c>
      <c r="AO281" s="1">
        <f t="shared" si="115"/>
        <v>0</v>
      </c>
      <c r="AP281" s="1">
        <f t="shared" si="116"/>
        <v>0</v>
      </c>
      <c r="AQ281" s="18">
        <f t="shared" si="117"/>
        <v>0</v>
      </c>
      <c r="AR281" s="24" t="e">
        <f t="shared" si="131"/>
        <v>#DIV/0!</v>
      </c>
      <c r="AT281" s="20">
        <f t="shared" si="118"/>
        <v>45933</v>
      </c>
      <c r="AU281" s="21">
        <f t="shared" si="119"/>
        <v>276</v>
      </c>
      <c r="AV281" s="1">
        <f t="shared" si="120"/>
        <v>0</v>
      </c>
      <c r="AW281" s="1">
        <f t="shared" si="121"/>
        <v>0</v>
      </c>
      <c r="AX281" s="1">
        <f t="shared" si="122"/>
        <v>0</v>
      </c>
      <c r="AY281" s="1">
        <f t="shared" si="112"/>
        <v>0</v>
      </c>
      <c r="AZ281" s="1">
        <f t="shared" si="113"/>
        <v>0</v>
      </c>
      <c r="BA281" s="1">
        <f t="shared" si="132"/>
        <v>0</v>
      </c>
      <c r="BB281" s="5">
        <f t="shared" si="133"/>
        <v>0</v>
      </c>
      <c r="BC281" s="1">
        <f t="shared" si="123"/>
        <v>0</v>
      </c>
      <c r="BD281" s="1">
        <f t="shared" si="124"/>
        <v>0</v>
      </c>
      <c r="BE281" s="1">
        <f t="shared" si="125"/>
        <v>0</v>
      </c>
      <c r="BF281" s="5">
        <f t="shared" si="126"/>
        <v>0</v>
      </c>
      <c r="BG281" s="5">
        <f t="shared" si="127"/>
        <v>0</v>
      </c>
      <c r="BH281" s="5">
        <f t="shared" si="128"/>
        <v>0</v>
      </c>
      <c r="BI281" s="5">
        <f t="shared" si="134"/>
        <v>0</v>
      </c>
      <c r="BJ281" s="11">
        <f t="shared" si="135"/>
        <v>0</v>
      </c>
      <c r="BK281" s="11" t="e">
        <f t="shared" si="135"/>
        <v>#DIV/0!</v>
      </c>
      <c r="BM281" s="1">
        <f t="shared" si="129"/>
        <v>0</v>
      </c>
      <c r="BN281" s="1">
        <f t="shared" si="130"/>
        <v>0</v>
      </c>
    </row>
    <row r="282" spans="1:66" x14ac:dyDescent="0.2">
      <c r="A282" s="4">
        <f t="shared" si="136"/>
        <v>45934</v>
      </c>
      <c r="B282" s="1">
        <v>277</v>
      </c>
      <c r="C282" s="1">
        <v>5</v>
      </c>
      <c r="AN282" s="1">
        <f t="shared" si="114"/>
        <v>0</v>
      </c>
      <c r="AO282" s="1">
        <f t="shared" si="115"/>
        <v>0</v>
      </c>
      <c r="AP282" s="1">
        <f t="shared" si="116"/>
        <v>0</v>
      </c>
      <c r="AQ282" s="18">
        <f t="shared" si="117"/>
        <v>0</v>
      </c>
      <c r="AR282" s="24" t="e">
        <f t="shared" si="131"/>
        <v>#DIV/0!</v>
      </c>
      <c r="AT282" s="20">
        <f t="shared" si="118"/>
        <v>45934</v>
      </c>
      <c r="AU282" s="21">
        <f t="shared" si="119"/>
        <v>277</v>
      </c>
      <c r="AV282" s="1">
        <f t="shared" si="120"/>
        <v>0</v>
      </c>
      <c r="AW282" s="1">
        <f t="shared" si="121"/>
        <v>0</v>
      </c>
      <c r="AX282" s="1">
        <f t="shared" si="122"/>
        <v>0</v>
      </c>
      <c r="AY282" s="1">
        <f t="shared" si="112"/>
        <v>0</v>
      </c>
      <c r="AZ282" s="1">
        <f t="shared" si="113"/>
        <v>0</v>
      </c>
      <c r="BA282" s="1">
        <f t="shared" si="132"/>
        <v>0</v>
      </c>
      <c r="BB282" s="5">
        <f t="shared" si="133"/>
        <v>0</v>
      </c>
      <c r="BC282" s="1">
        <f t="shared" si="123"/>
        <v>0</v>
      </c>
      <c r="BD282" s="1">
        <f t="shared" si="124"/>
        <v>0</v>
      </c>
      <c r="BE282" s="1">
        <f t="shared" si="125"/>
        <v>0</v>
      </c>
      <c r="BF282" s="5">
        <f t="shared" si="126"/>
        <v>0</v>
      </c>
      <c r="BG282" s="5">
        <f t="shared" si="127"/>
        <v>0</v>
      </c>
      <c r="BH282" s="5">
        <f t="shared" si="128"/>
        <v>0</v>
      </c>
      <c r="BI282" s="5">
        <f t="shared" si="134"/>
        <v>0</v>
      </c>
      <c r="BJ282" s="11">
        <f t="shared" si="135"/>
        <v>0</v>
      </c>
      <c r="BK282" s="11" t="e">
        <f t="shared" si="135"/>
        <v>#DIV/0!</v>
      </c>
      <c r="BM282" s="1">
        <f t="shared" si="129"/>
        <v>0</v>
      </c>
      <c r="BN282" s="1">
        <f t="shared" si="130"/>
        <v>0</v>
      </c>
    </row>
    <row r="283" spans="1:66" x14ac:dyDescent="0.2">
      <c r="A283" s="4">
        <f t="shared" si="136"/>
        <v>45935</v>
      </c>
      <c r="B283" s="1">
        <v>278</v>
      </c>
      <c r="C283" s="1">
        <v>5</v>
      </c>
      <c r="AN283" s="1">
        <f t="shared" si="114"/>
        <v>0</v>
      </c>
      <c r="AO283" s="1">
        <f t="shared" si="115"/>
        <v>0</v>
      </c>
      <c r="AP283" s="1">
        <f t="shared" si="116"/>
        <v>0</v>
      </c>
      <c r="AQ283" s="18">
        <f t="shared" si="117"/>
        <v>0</v>
      </c>
      <c r="AR283" s="24" t="e">
        <f t="shared" si="131"/>
        <v>#DIV/0!</v>
      </c>
      <c r="AT283" s="20">
        <f t="shared" si="118"/>
        <v>45935</v>
      </c>
      <c r="AU283" s="21">
        <f t="shared" si="119"/>
        <v>278</v>
      </c>
      <c r="AV283" s="1">
        <f t="shared" si="120"/>
        <v>0</v>
      </c>
      <c r="AW283" s="1">
        <f t="shared" si="121"/>
        <v>0</v>
      </c>
      <c r="AX283" s="1">
        <f t="shared" si="122"/>
        <v>0</v>
      </c>
      <c r="AY283" s="1">
        <f t="shared" si="112"/>
        <v>0</v>
      </c>
      <c r="AZ283" s="1">
        <f t="shared" si="113"/>
        <v>0</v>
      </c>
      <c r="BA283" s="1">
        <f t="shared" si="132"/>
        <v>0</v>
      </c>
      <c r="BB283" s="5">
        <f t="shared" si="133"/>
        <v>0</v>
      </c>
      <c r="BC283" s="1">
        <f t="shared" si="123"/>
        <v>0</v>
      </c>
      <c r="BD283" s="1">
        <f t="shared" si="124"/>
        <v>0</v>
      </c>
      <c r="BE283" s="1">
        <f t="shared" si="125"/>
        <v>0</v>
      </c>
      <c r="BF283" s="5">
        <f t="shared" si="126"/>
        <v>0</v>
      </c>
      <c r="BG283" s="5">
        <f t="shared" si="127"/>
        <v>0</v>
      </c>
      <c r="BH283" s="5">
        <f t="shared" si="128"/>
        <v>0</v>
      </c>
      <c r="BI283" s="5">
        <f t="shared" si="134"/>
        <v>0</v>
      </c>
      <c r="BJ283" s="11">
        <f t="shared" si="135"/>
        <v>0</v>
      </c>
      <c r="BK283" s="11" t="e">
        <f t="shared" si="135"/>
        <v>#DIV/0!</v>
      </c>
      <c r="BM283" s="1">
        <f t="shared" si="129"/>
        <v>0</v>
      </c>
      <c r="BN283" s="1">
        <f t="shared" si="130"/>
        <v>0</v>
      </c>
    </row>
    <row r="284" spans="1:66" x14ac:dyDescent="0.2">
      <c r="A284" s="4">
        <f t="shared" si="136"/>
        <v>45936</v>
      </c>
      <c r="B284" s="1">
        <v>279</v>
      </c>
      <c r="C284" s="1">
        <v>5</v>
      </c>
      <c r="AN284" s="1">
        <f t="shared" si="114"/>
        <v>0</v>
      </c>
      <c r="AO284" s="1">
        <f t="shared" si="115"/>
        <v>0</v>
      </c>
      <c r="AP284" s="1">
        <f t="shared" si="116"/>
        <v>0</v>
      </c>
      <c r="AQ284" s="18">
        <f t="shared" si="117"/>
        <v>0</v>
      </c>
      <c r="AR284" s="24" t="e">
        <f t="shared" si="131"/>
        <v>#DIV/0!</v>
      </c>
      <c r="AT284" s="20">
        <f t="shared" si="118"/>
        <v>45936</v>
      </c>
      <c r="AU284" s="21">
        <f t="shared" si="119"/>
        <v>279</v>
      </c>
      <c r="AV284" s="1">
        <f t="shared" si="120"/>
        <v>0</v>
      </c>
      <c r="AW284" s="1">
        <f t="shared" si="121"/>
        <v>0</v>
      </c>
      <c r="AX284" s="1">
        <f t="shared" si="122"/>
        <v>0</v>
      </c>
      <c r="AY284" s="1">
        <f t="shared" si="112"/>
        <v>0</v>
      </c>
      <c r="AZ284" s="1">
        <f t="shared" si="113"/>
        <v>0</v>
      </c>
      <c r="BA284" s="1">
        <f t="shared" si="132"/>
        <v>0</v>
      </c>
      <c r="BB284" s="5">
        <f t="shared" si="133"/>
        <v>0</v>
      </c>
      <c r="BC284" s="1">
        <f t="shared" si="123"/>
        <v>0</v>
      </c>
      <c r="BD284" s="1">
        <f t="shared" si="124"/>
        <v>0</v>
      </c>
      <c r="BE284" s="1">
        <f t="shared" si="125"/>
        <v>0</v>
      </c>
      <c r="BF284" s="5">
        <f t="shared" si="126"/>
        <v>0</v>
      </c>
      <c r="BG284" s="5">
        <f t="shared" si="127"/>
        <v>0</v>
      </c>
      <c r="BH284" s="5">
        <f t="shared" si="128"/>
        <v>0</v>
      </c>
      <c r="BI284" s="5">
        <f t="shared" si="134"/>
        <v>0</v>
      </c>
      <c r="BJ284" s="11">
        <f t="shared" si="135"/>
        <v>0</v>
      </c>
      <c r="BK284" s="11" t="e">
        <f t="shared" si="135"/>
        <v>#DIV/0!</v>
      </c>
      <c r="BM284" s="1">
        <f t="shared" si="129"/>
        <v>0</v>
      </c>
      <c r="BN284" s="1">
        <f t="shared" si="130"/>
        <v>0</v>
      </c>
    </row>
    <row r="285" spans="1:66" x14ac:dyDescent="0.2">
      <c r="A285" s="4">
        <f t="shared" si="136"/>
        <v>45937</v>
      </c>
      <c r="B285" s="1">
        <v>280</v>
      </c>
      <c r="C285" s="1">
        <v>5</v>
      </c>
      <c r="AN285" s="1">
        <f t="shared" si="114"/>
        <v>0</v>
      </c>
      <c r="AO285" s="1">
        <f t="shared" si="115"/>
        <v>0</v>
      </c>
      <c r="AP285" s="1">
        <f t="shared" si="116"/>
        <v>0</v>
      </c>
      <c r="AQ285" s="18">
        <f t="shared" si="117"/>
        <v>0</v>
      </c>
      <c r="AR285" s="24" t="e">
        <f t="shared" si="131"/>
        <v>#DIV/0!</v>
      </c>
      <c r="AT285" s="20">
        <f t="shared" si="118"/>
        <v>45937</v>
      </c>
      <c r="AU285" s="21">
        <f t="shared" si="119"/>
        <v>280</v>
      </c>
      <c r="AV285" s="1">
        <f t="shared" si="120"/>
        <v>0</v>
      </c>
      <c r="AW285" s="1">
        <f t="shared" si="121"/>
        <v>0</v>
      </c>
      <c r="AX285" s="1">
        <f t="shared" si="122"/>
        <v>0</v>
      </c>
      <c r="AY285" s="1">
        <f t="shared" si="112"/>
        <v>0</v>
      </c>
      <c r="AZ285" s="1">
        <f t="shared" si="113"/>
        <v>0</v>
      </c>
      <c r="BA285" s="1">
        <f t="shared" si="132"/>
        <v>0</v>
      </c>
      <c r="BB285" s="5">
        <f t="shared" si="133"/>
        <v>0</v>
      </c>
      <c r="BC285" s="1">
        <f t="shared" si="123"/>
        <v>0</v>
      </c>
      <c r="BD285" s="1">
        <f t="shared" si="124"/>
        <v>0</v>
      </c>
      <c r="BE285" s="1">
        <f t="shared" si="125"/>
        <v>0</v>
      </c>
      <c r="BF285" s="5">
        <f t="shared" si="126"/>
        <v>0</v>
      </c>
      <c r="BG285" s="5">
        <f t="shared" si="127"/>
        <v>0</v>
      </c>
      <c r="BH285" s="5">
        <f t="shared" si="128"/>
        <v>0</v>
      </c>
      <c r="BI285" s="5">
        <f t="shared" si="134"/>
        <v>0</v>
      </c>
      <c r="BJ285" s="11">
        <f t="shared" si="135"/>
        <v>0</v>
      </c>
      <c r="BK285" s="11" t="e">
        <f t="shared" si="135"/>
        <v>#DIV/0!</v>
      </c>
      <c r="BM285" s="1">
        <f t="shared" si="129"/>
        <v>0</v>
      </c>
      <c r="BN285" s="1">
        <f t="shared" si="130"/>
        <v>0</v>
      </c>
    </row>
    <row r="286" spans="1:66" x14ac:dyDescent="0.2">
      <c r="A286" s="4">
        <f t="shared" si="136"/>
        <v>45938</v>
      </c>
      <c r="B286" s="1">
        <v>281</v>
      </c>
      <c r="C286" s="1">
        <v>5</v>
      </c>
      <c r="AN286" s="1">
        <f t="shared" si="114"/>
        <v>0</v>
      </c>
      <c r="AO286" s="1">
        <f t="shared" si="115"/>
        <v>0</v>
      </c>
      <c r="AP286" s="1">
        <f t="shared" si="116"/>
        <v>0</v>
      </c>
      <c r="AQ286" s="18">
        <f t="shared" si="117"/>
        <v>0</v>
      </c>
      <c r="AR286" s="24" t="e">
        <f t="shared" si="131"/>
        <v>#DIV/0!</v>
      </c>
      <c r="AT286" s="20">
        <f t="shared" si="118"/>
        <v>45938</v>
      </c>
      <c r="AU286" s="21">
        <f t="shared" si="119"/>
        <v>281</v>
      </c>
      <c r="AV286" s="1">
        <f t="shared" si="120"/>
        <v>0</v>
      </c>
      <c r="AW286" s="1">
        <f t="shared" si="121"/>
        <v>0</v>
      </c>
      <c r="AX286" s="1">
        <f t="shared" si="122"/>
        <v>0</v>
      </c>
      <c r="AY286" s="1">
        <f t="shared" si="112"/>
        <v>0</v>
      </c>
      <c r="AZ286" s="1">
        <f t="shared" si="113"/>
        <v>0</v>
      </c>
      <c r="BA286" s="1">
        <f t="shared" si="132"/>
        <v>0</v>
      </c>
      <c r="BB286" s="5">
        <f t="shared" si="133"/>
        <v>0</v>
      </c>
      <c r="BC286" s="1">
        <f t="shared" si="123"/>
        <v>0</v>
      </c>
      <c r="BD286" s="1">
        <f t="shared" si="124"/>
        <v>0</v>
      </c>
      <c r="BE286" s="1">
        <f t="shared" si="125"/>
        <v>0</v>
      </c>
      <c r="BF286" s="5">
        <f t="shared" si="126"/>
        <v>0</v>
      </c>
      <c r="BG286" s="5">
        <f t="shared" si="127"/>
        <v>0</v>
      </c>
      <c r="BH286" s="5">
        <f t="shared" si="128"/>
        <v>0</v>
      </c>
      <c r="BI286" s="5">
        <f t="shared" si="134"/>
        <v>0</v>
      </c>
      <c r="BJ286" s="11">
        <f t="shared" si="135"/>
        <v>0</v>
      </c>
      <c r="BK286" s="11" t="e">
        <f t="shared" si="135"/>
        <v>#DIV/0!</v>
      </c>
      <c r="BM286" s="1">
        <f t="shared" si="129"/>
        <v>0</v>
      </c>
      <c r="BN286" s="1">
        <f t="shared" si="130"/>
        <v>0</v>
      </c>
    </row>
    <row r="287" spans="1:66" x14ac:dyDescent="0.2">
      <c r="A287" s="4">
        <f t="shared" si="136"/>
        <v>45939</v>
      </c>
      <c r="B287" s="1">
        <v>282</v>
      </c>
      <c r="C287" s="1">
        <v>5</v>
      </c>
      <c r="AN287" s="1">
        <f t="shared" si="114"/>
        <v>0</v>
      </c>
      <c r="AO287" s="1">
        <f t="shared" si="115"/>
        <v>0</v>
      </c>
      <c r="AP287" s="1">
        <f t="shared" si="116"/>
        <v>0</v>
      </c>
      <c r="AQ287" s="18">
        <f t="shared" si="117"/>
        <v>0</v>
      </c>
      <c r="AR287" s="24" t="e">
        <f t="shared" si="131"/>
        <v>#DIV/0!</v>
      </c>
      <c r="AT287" s="20">
        <f t="shared" si="118"/>
        <v>45939</v>
      </c>
      <c r="AU287" s="21">
        <f t="shared" si="119"/>
        <v>282</v>
      </c>
      <c r="AV287" s="1">
        <f t="shared" si="120"/>
        <v>0</v>
      </c>
      <c r="AW287" s="1">
        <f t="shared" si="121"/>
        <v>0</v>
      </c>
      <c r="AX287" s="1">
        <f t="shared" si="122"/>
        <v>0</v>
      </c>
      <c r="AY287" s="1">
        <f t="shared" si="112"/>
        <v>0</v>
      </c>
      <c r="AZ287" s="1">
        <f t="shared" si="113"/>
        <v>0</v>
      </c>
      <c r="BA287" s="1">
        <f t="shared" si="132"/>
        <v>0</v>
      </c>
      <c r="BB287" s="5">
        <f t="shared" si="133"/>
        <v>0</v>
      </c>
      <c r="BC287" s="1">
        <f t="shared" si="123"/>
        <v>0</v>
      </c>
      <c r="BD287" s="1">
        <f t="shared" si="124"/>
        <v>0</v>
      </c>
      <c r="BE287" s="1">
        <f t="shared" si="125"/>
        <v>0</v>
      </c>
      <c r="BF287" s="5">
        <f t="shared" si="126"/>
        <v>0</v>
      </c>
      <c r="BG287" s="5">
        <f t="shared" si="127"/>
        <v>0</v>
      </c>
      <c r="BH287" s="5">
        <f t="shared" si="128"/>
        <v>0</v>
      </c>
      <c r="BI287" s="5">
        <f t="shared" si="134"/>
        <v>0</v>
      </c>
      <c r="BJ287" s="11">
        <f t="shared" si="135"/>
        <v>0</v>
      </c>
      <c r="BK287" s="11" t="e">
        <f t="shared" si="135"/>
        <v>#DIV/0!</v>
      </c>
      <c r="BM287" s="1">
        <f t="shared" si="129"/>
        <v>0</v>
      </c>
      <c r="BN287" s="1">
        <f t="shared" si="130"/>
        <v>0</v>
      </c>
    </row>
    <row r="288" spans="1:66" x14ac:dyDescent="0.2">
      <c r="A288" s="4">
        <f t="shared" si="136"/>
        <v>45940</v>
      </c>
      <c r="B288" s="1">
        <v>283</v>
      </c>
      <c r="C288" s="1">
        <v>5</v>
      </c>
      <c r="AN288" s="1">
        <f t="shared" si="114"/>
        <v>0</v>
      </c>
      <c r="AO288" s="1">
        <f t="shared" si="115"/>
        <v>0</v>
      </c>
      <c r="AP288" s="1">
        <f t="shared" si="116"/>
        <v>0</v>
      </c>
      <c r="AQ288" s="18">
        <f t="shared" si="117"/>
        <v>0</v>
      </c>
      <c r="AR288" s="24" t="e">
        <f t="shared" si="131"/>
        <v>#DIV/0!</v>
      </c>
      <c r="AT288" s="20">
        <f t="shared" si="118"/>
        <v>45940</v>
      </c>
      <c r="AU288" s="21">
        <f t="shared" si="119"/>
        <v>283</v>
      </c>
      <c r="AV288" s="1">
        <f t="shared" si="120"/>
        <v>0</v>
      </c>
      <c r="AW288" s="1">
        <f t="shared" si="121"/>
        <v>0</v>
      </c>
      <c r="AX288" s="1">
        <f t="shared" si="122"/>
        <v>0</v>
      </c>
      <c r="AY288" s="1">
        <f t="shared" si="112"/>
        <v>0</v>
      </c>
      <c r="AZ288" s="1">
        <f t="shared" si="113"/>
        <v>0</v>
      </c>
      <c r="BA288" s="1">
        <f t="shared" si="132"/>
        <v>0</v>
      </c>
      <c r="BB288" s="5">
        <f t="shared" si="133"/>
        <v>0</v>
      </c>
      <c r="BC288" s="1">
        <f t="shared" si="123"/>
        <v>0</v>
      </c>
      <c r="BD288" s="1">
        <f t="shared" si="124"/>
        <v>0</v>
      </c>
      <c r="BE288" s="1">
        <f t="shared" si="125"/>
        <v>0</v>
      </c>
      <c r="BF288" s="5">
        <f t="shared" si="126"/>
        <v>0</v>
      </c>
      <c r="BG288" s="5">
        <f t="shared" si="127"/>
        <v>0</v>
      </c>
      <c r="BH288" s="5">
        <f t="shared" si="128"/>
        <v>0</v>
      </c>
      <c r="BI288" s="5">
        <f t="shared" si="134"/>
        <v>0</v>
      </c>
      <c r="BJ288" s="11">
        <f t="shared" si="135"/>
        <v>0</v>
      </c>
      <c r="BK288" s="11" t="e">
        <f t="shared" si="135"/>
        <v>#DIV/0!</v>
      </c>
      <c r="BM288" s="1">
        <f t="shared" si="129"/>
        <v>0</v>
      </c>
      <c r="BN288" s="1">
        <f t="shared" si="130"/>
        <v>0</v>
      </c>
    </row>
    <row r="289" spans="1:66" x14ac:dyDescent="0.2">
      <c r="A289" s="4">
        <f t="shared" si="136"/>
        <v>45941</v>
      </c>
      <c r="B289" s="1">
        <v>284</v>
      </c>
      <c r="C289" s="1">
        <v>5</v>
      </c>
      <c r="AN289" s="1">
        <f t="shared" si="114"/>
        <v>0</v>
      </c>
      <c r="AO289" s="1">
        <f t="shared" si="115"/>
        <v>0</v>
      </c>
      <c r="AP289" s="1">
        <f t="shared" si="116"/>
        <v>0</v>
      </c>
      <c r="AQ289" s="18">
        <f t="shared" si="117"/>
        <v>0</v>
      </c>
      <c r="AR289" s="24" t="e">
        <f t="shared" si="131"/>
        <v>#DIV/0!</v>
      </c>
      <c r="AT289" s="20">
        <f t="shared" si="118"/>
        <v>45941</v>
      </c>
      <c r="AU289" s="21">
        <f t="shared" si="119"/>
        <v>284</v>
      </c>
      <c r="AV289" s="1">
        <f t="shared" si="120"/>
        <v>0</v>
      </c>
      <c r="AW289" s="1">
        <f t="shared" si="121"/>
        <v>0</v>
      </c>
      <c r="AX289" s="1">
        <f t="shared" si="122"/>
        <v>0</v>
      </c>
      <c r="AY289" s="1">
        <f t="shared" si="112"/>
        <v>0</v>
      </c>
      <c r="AZ289" s="1">
        <f t="shared" si="113"/>
        <v>0</v>
      </c>
      <c r="BA289" s="1">
        <f t="shared" si="132"/>
        <v>0</v>
      </c>
      <c r="BB289" s="5">
        <f t="shared" si="133"/>
        <v>0</v>
      </c>
      <c r="BC289" s="1">
        <f t="shared" si="123"/>
        <v>0</v>
      </c>
      <c r="BD289" s="1">
        <f t="shared" si="124"/>
        <v>0</v>
      </c>
      <c r="BE289" s="1">
        <f t="shared" si="125"/>
        <v>0</v>
      </c>
      <c r="BF289" s="5">
        <f t="shared" si="126"/>
        <v>0</v>
      </c>
      <c r="BG289" s="5">
        <f t="shared" si="127"/>
        <v>0</v>
      </c>
      <c r="BH289" s="5">
        <f t="shared" si="128"/>
        <v>0</v>
      </c>
      <c r="BI289" s="5">
        <f t="shared" si="134"/>
        <v>0</v>
      </c>
      <c r="BJ289" s="11">
        <f t="shared" si="135"/>
        <v>0</v>
      </c>
      <c r="BK289" s="11" t="e">
        <f t="shared" si="135"/>
        <v>#DIV/0!</v>
      </c>
      <c r="BM289" s="1">
        <f t="shared" si="129"/>
        <v>0</v>
      </c>
      <c r="BN289" s="1">
        <f t="shared" si="130"/>
        <v>0</v>
      </c>
    </row>
    <row r="290" spans="1:66" x14ac:dyDescent="0.2">
      <c r="A290" s="4">
        <f t="shared" si="136"/>
        <v>45942</v>
      </c>
      <c r="B290" s="1">
        <v>285</v>
      </c>
      <c r="C290" s="1">
        <v>5</v>
      </c>
      <c r="AL290" s="5"/>
      <c r="AN290" s="1">
        <f t="shared" si="114"/>
        <v>0</v>
      </c>
      <c r="AO290" s="1">
        <f t="shared" si="115"/>
        <v>0</v>
      </c>
      <c r="AP290" s="1">
        <f t="shared" si="116"/>
        <v>0</v>
      </c>
      <c r="AQ290" s="18">
        <f t="shared" si="117"/>
        <v>0</v>
      </c>
      <c r="AR290" s="24" t="e">
        <f t="shared" si="131"/>
        <v>#DIV/0!</v>
      </c>
      <c r="AT290" s="20">
        <f t="shared" si="118"/>
        <v>45942</v>
      </c>
      <c r="AU290" s="21">
        <f t="shared" si="119"/>
        <v>285</v>
      </c>
      <c r="AV290" s="1">
        <f t="shared" si="120"/>
        <v>0</v>
      </c>
      <c r="AW290" s="1">
        <f t="shared" si="121"/>
        <v>0</v>
      </c>
      <c r="AX290" s="1">
        <f t="shared" si="122"/>
        <v>0</v>
      </c>
      <c r="AY290" s="1">
        <f t="shared" si="112"/>
        <v>0</v>
      </c>
      <c r="AZ290" s="1">
        <f t="shared" si="113"/>
        <v>0</v>
      </c>
      <c r="BA290" s="1">
        <f t="shared" si="132"/>
        <v>0</v>
      </c>
      <c r="BB290" s="5">
        <f t="shared" si="133"/>
        <v>0</v>
      </c>
      <c r="BC290" s="1">
        <f t="shared" si="123"/>
        <v>0</v>
      </c>
      <c r="BD290" s="1">
        <f t="shared" si="124"/>
        <v>0</v>
      </c>
      <c r="BE290" s="1">
        <f t="shared" si="125"/>
        <v>0</v>
      </c>
      <c r="BF290" s="5">
        <f t="shared" si="126"/>
        <v>0</v>
      </c>
      <c r="BG290" s="5">
        <f t="shared" si="127"/>
        <v>0</v>
      </c>
      <c r="BH290" s="5">
        <f t="shared" si="128"/>
        <v>0</v>
      </c>
      <c r="BI290" s="5">
        <f t="shared" si="134"/>
        <v>0</v>
      </c>
      <c r="BJ290" s="11">
        <f t="shared" si="135"/>
        <v>0</v>
      </c>
      <c r="BK290" s="11" t="e">
        <f t="shared" si="135"/>
        <v>#DIV/0!</v>
      </c>
      <c r="BM290" s="1">
        <f t="shared" si="129"/>
        <v>0</v>
      </c>
      <c r="BN290" s="1">
        <f t="shared" si="130"/>
        <v>0</v>
      </c>
    </row>
    <row r="291" spans="1:66" x14ac:dyDescent="0.2">
      <c r="A291" s="4">
        <f t="shared" si="136"/>
        <v>45943</v>
      </c>
      <c r="B291" s="1">
        <v>286</v>
      </c>
      <c r="C291" s="1">
        <v>5</v>
      </c>
      <c r="AL291" s="5"/>
      <c r="AN291" s="1">
        <f t="shared" si="114"/>
        <v>0</v>
      </c>
      <c r="AO291" s="1">
        <f t="shared" si="115"/>
        <v>0</v>
      </c>
      <c r="AP291" s="1">
        <f t="shared" si="116"/>
        <v>0</v>
      </c>
      <c r="AQ291" s="18">
        <f t="shared" si="117"/>
        <v>0</v>
      </c>
      <c r="AR291" s="24" t="e">
        <f t="shared" si="131"/>
        <v>#DIV/0!</v>
      </c>
      <c r="AT291" s="20">
        <f t="shared" si="118"/>
        <v>45943</v>
      </c>
      <c r="AU291" s="21">
        <f t="shared" si="119"/>
        <v>286</v>
      </c>
      <c r="AV291" s="1">
        <f t="shared" si="120"/>
        <v>0</v>
      </c>
      <c r="AW291" s="1">
        <f t="shared" si="121"/>
        <v>0</v>
      </c>
      <c r="AX291" s="1">
        <f t="shared" si="122"/>
        <v>0</v>
      </c>
      <c r="AY291" s="1">
        <f t="shared" si="112"/>
        <v>0</v>
      </c>
      <c r="AZ291" s="1">
        <f t="shared" si="113"/>
        <v>0</v>
      </c>
      <c r="BA291" s="1">
        <f t="shared" si="132"/>
        <v>0</v>
      </c>
      <c r="BB291" s="5">
        <f t="shared" si="133"/>
        <v>0</v>
      </c>
      <c r="BC291" s="1">
        <f t="shared" si="123"/>
        <v>0</v>
      </c>
      <c r="BD291" s="1">
        <f t="shared" si="124"/>
        <v>0</v>
      </c>
      <c r="BE291" s="1">
        <f t="shared" si="125"/>
        <v>0</v>
      </c>
      <c r="BF291" s="5">
        <f t="shared" si="126"/>
        <v>0</v>
      </c>
      <c r="BG291" s="5">
        <f t="shared" si="127"/>
        <v>0</v>
      </c>
      <c r="BH291" s="5">
        <f t="shared" si="128"/>
        <v>0</v>
      </c>
      <c r="BI291" s="5">
        <f t="shared" si="134"/>
        <v>0</v>
      </c>
      <c r="BJ291" s="11">
        <f t="shared" si="135"/>
        <v>0</v>
      </c>
      <c r="BK291" s="11" t="e">
        <f t="shared" si="135"/>
        <v>#DIV/0!</v>
      </c>
      <c r="BM291" s="1">
        <f t="shared" si="129"/>
        <v>0</v>
      </c>
      <c r="BN291" s="1">
        <f t="shared" si="130"/>
        <v>0</v>
      </c>
    </row>
    <row r="292" spans="1:66" x14ac:dyDescent="0.2">
      <c r="A292" s="4">
        <f t="shared" si="136"/>
        <v>45944</v>
      </c>
      <c r="B292" s="1">
        <v>287</v>
      </c>
      <c r="C292" s="1">
        <v>5</v>
      </c>
      <c r="AL292" s="5"/>
      <c r="AN292" s="1">
        <f t="shared" si="114"/>
        <v>0</v>
      </c>
      <c r="AO292" s="1">
        <f t="shared" si="115"/>
        <v>0</v>
      </c>
      <c r="AP292" s="1">
        <f t="shared" si="116"/>
        <v>0</v>
      </c>
      <c r="AQ292" s="18">
        <f t="shared" si="117"/>
        <v>0</v>
      </c>
      <c r="AR292" s="24" t="e">
        <f t="shared" si="131"/>
        <v>#DIV/0!</v>
      </c>
      <c r="AT292" s="20">
        <f t="shared" si="118"/>
        <v>45944</v>
      </c>
      <c r="AU292" s="21">
        <f t="shared" si="119"/>
        <v>287</v>
      </c>
      <c r="AV292" s="1">
        <f t="shared" si="120"/>
        <v>0</v>
      </c>
      <c r="AW292" s="1">
        <f t="shared" si="121"/>
        <v>0</v>
      </c>
      <c r="AX292" s="1">
        <f t="shared" si="122"/>
        <v>0</v>
      </c>
      <c r="AY292" s="1">
        <f t="shared" si="112"/>
        <v>0</v>
      </c>
      <c r="AZ292" s="1">
        <f t="shared" si="113"/>
        <v>0</v>
      </c>
      <c r="BA292" s="1">
        <f t="shared" si="132"/>
        <v>0</v>
      </c>
      <c r="BB292" s="5">
        <f t="shared" si="133"/>
        <v>0</v>
      </c>
      <c r="BC292" s="1">
        <f t="shared" si="123"/>
        <v>0</v>
      </c>
      <c r="BD292" s="1">
        <f t="shared" si="124"/>
        <v>0</v>
      </c>
      <c r="BE292" s="1">
        <f t="shared" si="125"/>
        <v>0</v>
      </c>
      <c r="BF292" s="5">
        <f t="shared" si="126"/>
        <v>0</v>
      </c>
      <c r="BG292" s="5">
        <f t="shared" si="127"/>
        <v>0</v>
      </c>
      <c r="BH292" s="5">
        <f t="shared" si="128"/>
        <v>0</v>
      </c>
      <c r="BI292" s="5">
        <f t="shared" si="134"/>
        <v>0</v>
      </c>
      <c r="BJ292" s="11">
        <f t="shared" si="135"/>
        <v>0</v>
      </c>
      <c r="BK292" s="11" t="e">
        <f t="shared" si="135"/>
        <v>#DIV/0!</v>
      </c>
      <c r="BM292" s="1">
        <f t="shared" si="129"/>
        <v>0</v>
      </c>
      <c r="BN292" s="1">
        <f t="shared" si="130"/>
        <v>0</v>
      </c>
    </row>
    <row r="293" spans="1:66" x14ac:dyDescent="0.2">
      <c r="A293" s="4">
        <f t="shared" si="136"/>
        <v>45945</v>
      </c>
      <c r="B293" s="1">
        <v>288</v>
      </c>
      <c r="C293" s="1">
        <v>5</v>
      </c>
      <c r="AL293" s="5"/>
      <c r="AN293" s="1">
        <f t="shared" si="114"/>
        <v>0</v>
      </c>
      <c r="AO293" s="1">
        <f t="shared" si="115"/>
        <v>0</v>
      </c>
      <c r="AP293" s="1">
        <f t="shared" si="116"/>
        <v>0</v>
      </c>
      <c r="AQ293" s="18">
        <f t="shared" si="117"/>
        <v>0</v>
      </c>
      <c r="AR293" s="24" t="e">
        <f t="shared" si="131"/>
        <v>#DIV/0!</v>
      </c>
      <c r="AT293" s="20">
        <f t="shared" si="118"/>
        <v>45945</v>
      </c>
      <c r="AU293" s="21">
        <f t="shared" si="119"/>
        <v>288</v>
      </c>
      <c r="AV293" s="1">
        <f t="shared" si="120"/>
        <v>0</v>
      </c>
      <c r="AW293" s="1">
        <f t="shared" si="121"/>
        <v>0</v>
      </c>
      <c r="AX293" s="1">
        <f t="shared" si="122"/>
        <v>0</v>
      </c>
      <c r="AY293" s="1">
        <f t="shared" si="112"/>
        <v>0</v>
      </c>
      <c r="AZ293" s="1">
        <f t="shared" si="113"/>
        <v>0</v>
      </c>
      <c r="BA293" s="1">
        <f t="shared" si="132"/>
        <v>0</v>
      </c>
      <c r="BB293" s="5">
        <f t="shared" si="133"/>
        <v>0</v>
      </c>
      <c r="BC293" s="1">
        <f t="shared" si="123"/>
        <v>0</v>
      </c>
      <c r="BD293" s="1">
        <f t="shared" si="124"/>
        <v>0</v>
      </c>
      <c r="BE293" s="1">
        <f t="shared" si="125"/>
        <v>0</v>
      </c>
      <c r="BF293" s="5">
        <f t="shared" si="126"/>
        <v>0</v>
      </c>
      <c r="BG293" s="5">
        <f t="shared" si="127"/>
        <v>0</v>
      </c>
      <c r="BH293" s="5">
        <f t="shared" si="128"/>
        <v>0</v>
      </c>
      <c r="BI293" s="5">
        <f t="shared" si="134"/>
        <v>0</v>
      </c>
      <c r="BJ293" s="11">
        <f t="shared" si="135"/>
        <v>0</v>
      </c>
      <c r="BK293" s="11" t="e">
        <f t="shared" si="135"/>
        <v>#DIV/0!</v>
      </c>
      <c r="BM293" s="1">
        <f t="shared" si="129"/>
        <v>0</v>
      </c>
      <c r="BN293" s="1">
        <f t="shared" si="130"/>
        <v>0</v>
      </c>
    </row>
    <row r="294" spans="1:66" x14ac:dyDescent="0.2">
      <c r="A294" s="4">
        <f t="shared" si="136"/>
        <v>45946</v>
      </c>
      <c r="B294" s="1">
        <v>289</v>
      </c>
      <c r="C294" s="1">
        <v>5</v>
      </c>
      <c r="AL294" s="5"/>
      <c r="AN294" s="1">
        <f t="shared" si="114"/>
        <v>0</v>
      </c>
      <c r="AO294" s="1">
        <f t="shared" si="115"/>
        <v>0</v>
      </c>
      <c r="AP294" s="1">
        <f t="shared" si="116"/>
        <v>0</v>
      </c>
      <c r="AQ294" s="18">
        <f t="shared" si="117"/>
        <v>0</v>
      </c>
      <c r="AR294" s="24" t="e">
        <f t="shared" si="131"/>
        <v>#DIV/0!</v>
      </c>
      <c r="AT294" s="20">
        <f t="shared" si="118"/>
        <v>45946</v>
      </c>
      <c r="AU294" s="21">
        <f t="shared" si="119"/>
        <v>289</v>
      </c>
      <c r="AV294" s="1">
        <f t="shared" si="120"/>
        <v>0</v>
      </c>
      <c r="AW294" s="1">
        <f t="shared" si="121"/>
        <v>0</v>
      </c>
      <c r="AX294" s="1">
        <f t="shared" si="122"/>
        <v>0</v>
      </c>
      <c r="AY294" s="1">
        <f t="shared" ref="AY294:AY338" si="137">AO294</f>
        <v>0</v>
      </c>
      <c r="AZ294" s="1">
        <f t="shared" ref="AZ294:AZ338" si="138">AP294</f>
        <v>0</v>
      </c>
      <c r="BA294" s="1">
        <f t="shared" si="132"/>
        <v>0</v>
      </c>
      <c r="BB294" s="5">
        <f t="shared" ref="BB294:BB338" si="139">AL294</f>
        <v>0</v>
      </c>
      <c r="BC294" s="1">
        <f t="shared" si="123"/>
        <v>0</v>
      </c>
      <c r="BD294" s="1">
        <f t="shared" si="124"/>
        <v>0</v>
      </c>
      <c r="BE294" s="1">
        <f t="shared" si="125"/>
        <v>0</v>
      </c>
      <c r="BF294" s="5">
        <f t="shared" si="126"/>
        <v>0</v>
      </c>
      <c r="BG294" s="5">
        <f t="shared" si="127"/>
        <v>0</v>
      </c>
      <c r="BH294" s="5">
        <f t="shared" si="128"/>
        <v>0</v>
      </c>
      <c r="BI294" s="5">
        <f t="shared" si="134"/>
        <v>0</v>
      </c>
      <c r="BJ294" s="11">
        <f t="shared" si="135"/>
        <v>0</v>
      </c>
      <c r="BK294" s="11" t="e">
        <f t="shared" si="135"/>
        <v>#DIV/0!</v>
      </c>
      <c r="BM294" s="1">
        <f t="shared" si="129"/>
        <v>0</v>
      </c>
      <c r="BN294" s="1">
        <f t="shared" si="130"/>
        <v>0</v>
      </c>
    </row>
    <row r="295" spans="1:66" x14ac:dyDescent="0.2">
      <c r="A295" s="4">
        <f t="shared" si="136"/>
        <v>45947</v>
      </c>
      <c r="B295" s="1">
        <v>290</v>
      </c>
      <c r="C295" s="1">
        <v>5</v>
      </c>
      <c r="AL295" s="5"/>
      <c r="AN295" s="1">
        <f t="shared" si="114"/>
        <v>0</v>
      </c>
      <c r="AO295" s="1">
        <f t="shared" si="115"/>
        <v>0</v>
      </c>
      <c r="AP295" s="1">
        <f t="shared" si="116"/>
        <v>0</v>
      </c>
      <c r="AQ295" s="18">
        <f t="shared" si="117"/>
        <v>0</v>
      </c>
      <c r="AR295" s="24" t="e">
        <f t="shared" si="131"/>
        <v>#DIV/0!</v>
      </c>
      <c r="AT295" s="20">
        <f t="shared" si="118"/>
        <v>45947</v>
      </c>
      <c r="AU295" s="21">
        <f t="shared" si="119"/>
        <v>290</v>
      </c>
      <c r="AV295" s="1">
        <f t="shared" si="120"/>
        <v>0</v>
      </c>
      <c r="AW295" s="1">
        <f t="shared" si="121"/>
        <v>0</v>
      </c>
      <c r="AX295" s="1">
        <f t="shared" si="122"/>
        <v>0</v>
      </c>
      <c r="AY295" s="1">
        <f t="shared" si="137"/>
        <v>0</v>
      </c>
      <c r="AZ295" s="1">
        <f t="shared" si="138"/>
        <v>0</v>
      </c>
      <c r="BA295" s="1">
        <f t="shared" si="132"/>
        <v>0</v>
      </c>
      <c r="BB295" s="5">
        <f t="shared" si="139"/>
        <v>0</v>
      </c>
      <c r="BC295" s="1">
        <f t="shared" si="123"/>
        <v>0</v>
      </c>
      <c r="BD295" s="1">
        <f t="shared" si="124"/>
        <v>0</v>
      </c>
      <c r="BE295" s="1">
        <f t="shared" si="125"/>
        <v>0</v>
      </c>
      <c r="BF295" s="5">
        <f t="shared" si="126"/>
        <v>0</v>
      </c>
      <c r="BG295" s="5">
        <f t="shared" si="127"/>
        <v>0</v>
      </c>
      <c r="BH295" s="5">
        <f t="shared" si="128"/>
        <v>0</v>
      </c>
      <c r="BI295" s="5">
        <f t="shared" si="134"/>
        <v>0</v>
      </c>
      <c r="BJ295" s="11">
        <f t="shared" si="135"/>
        <v>0</v>
      </c>
      <c r="BK295" s="11" t="e">
        <f t="shared" si="135"/>
        <v>#DIV/0!</v>
      </c>
      <c r="BM295" s="1">
        <f t="shared" si="129"/>
        <v>0</v>
      </c>
      <c r="BN295" s="1">
        <f t="shared" si="130"/>
        <v>0</v>
      </c>
    </row>
    <row r="296" spans="1:66" x14ac:dyDescent="0.2">
      <c r="A296" s="4">
        <f t="shared" si="136"/>
        <v>45948</v>
      </c>
      <c r="B296" s="1">
        <v>291</v>
      </c>
      <c r="C296" s="1">
        <v>5</v>
      </c>
      <c r="AL296" s="5"/>
      <c r="AN296" s="1">
        <f t="shared" si="114"/>
        <v>0</v>
      </c>
      <c r="AO296" s="1">
        <f t="shared" si="115"/>
        <v>0</v>
      </c>
      <c r="AP296" s="1">
        <f t="shared" si="116"/>
        <v>0</v>
      </c>
      <c r="AQ296" s="18">
        <f t="shared" si="117"/>
        <v>0</v>
      </c>
      <c r="AR296" s="24" t="e">
        <f t="shared" si="131"/>
        <v>#DIV/0!</v>
      </c>
      <c r="AT296" s="20">
        <f t="shared" si="118"/>
        <v>45948</v>
      </c>
      <c r="AU296" s="21">
        <f t="shared" si="119"/>
        <v>291</v>
      </c>
      <c r="AV296" s="1">
        <f t="shared" si="120"/>
        <v>0</v>
      </c>
      <c r="AW296" s="1">
        <f t="shared" si="121"/>
        <v>0</v>
      </c>
      <c r="AX296" s="1">
        <f t="shared" si="122"/>
        <v>0</v>
      </c>
      <c r="AY296" s="1">
        <f t="shared" si="137"/>
        <v>0</v>
      </c>
      <c r="AZ296" s="1">
        <f t="shared" si="138"/>
        <v>0</v>
      </c>
      <c r="BA296" s="1">
        <f t="shared" si="132"/>
        <v>0</v>
      </c>
      <c r="BB296" s="5">
        <f t="shared" si="139"/>
        <v>0</v>
      </c>
      <c r="BC296" s="1">
        <f t="shared" si="123"/>
        <v>0</v>
      </c>
      <c r="BD296" s="1">
        <f t="shared" si="124"/>
        <v>0</v>
      </c>
      <c r="BE296" s="1">
        <f t="shared" si="125"/>
        <v>0</v>
      </c>
      <c r="BF296" s="5">
        <f t="shared" si="126"/>
        <v>0</v>
      </c>
      <c r="BG296" s="5">
        <f t="shared" si="127"/>
        <v>0</v>
      </c>
      <c r="BH296" s="5">
        <f t="shared" si="128"/>
        <v>0</v>
      </c>
      <c r="BI296" s="5">
        <f t="shared" si="134"/>
        <v>0</v>
      </c>
      <c r="BJ296" s="11">
        <f t="shared" si="135"/>
        <v>0</v>
      </c>
      <c r="BK296" s="11" t="e">
        <f t="shared" si="135"/>
        <v>#DIV/0!</v>
      </c>
      <c r="BM296" s="1">
        <f t="shared" si="129"/>
        <v>0</v>
      </c>
      <c r="BN296" s="1">
        <f t="shared" si="130"/>
        <v>0</v>
      </c>
    </row>
    <row r="297" spans="1:66" x14ac:dyDescent="0.2">
      <c r="A297" s="4">
        <f t="shared" si="136"/>
        <v>45949</v>
      </c>
      <c r="B297" s="1">
        <v>292</v>
      </c>
      <c r="C297" s="1">
        <v>5</v>
      </c>
      <c r="AL297" s="5"/>
      <c r="AN297" s="1">
        <f t="shared" si="114"/>
        <v>0</v>
      </c>
      <c r="AO297" s="1">
        <f t="shared" si="115"/>
        <v>0</v>
      </c>
      <c r="AP297" s="1">
        <f t="shared" si="116"/>
        <v>0</v>
      </c>
      <c r="AQ297" s="18">
        <f t="shared" si="117"/>
        <v>0</v>
      </c>
      <c r="AR297" s="24" t="e">
        <f t="shared" si="131"/>
        <v>#DIV/0!</v>
      </c>
      <c r="AT297" s="20">
        <f t="shared" si="118"/>
        <v>45949</v>
      </c>
      <c r="AU297" s="21">
        <f t="shared" si="119"/>
        <v>292</v>
      </c>
      <c r="AV297" s="1">
        <f t="shared" si="120"/>
        <v>0</v>
      </c>
      <c r="AW297" s="1">
        <f t="shared" si="121"/>
        <v>0</v>
      </c>
      <c r="AX297" s="1">
        <f t="shared" si="122"/>
        <v>0</v>
      </c>
      <c r="AY297" s="1">
        <f t="shared" si="137"/>
        <v>0</v>
      </c>
      <c r="AZ297" s="1">
        <f t="shared" si="138"/>
        <v>0</v>
      </c>
      <c r="BA297" s="1">
        <f t="shared" si="132"/>
        <v>0</v>
      </c>
      <c r="BB297" s="5">
        <f t="shared" si="139"/>
        <v>0</v>
      </c>
      <c r="BC297" s="1">
        <f t="shared" si="123"/>
        <v>0</v>
      </c>
      <c r="BD297" s="1">
        <f t="shared" si="124"/>
        <v>0</v>
      </c>
      <c r="BE297" s="1">
        <f t="shared" si="125"/>
        <v>0</v>
      </c>
      <c r="BF297" s="5">
        <f t="shared" si="126"/>
        <v>0</v>
      </c>
      <c r="BG297" s="5">
        <f t="shared" si="127"/>
        <v>0</v>
      </c>
      <c r="BH297" s="5">
        <f t="shared" si="128"/>
        <v>0</v>
      </c>
      <c r="BI297" s="5">
        <f t="shared" si="134"/>
        <v>0</v>
      </c>
      <c r="BJ297" s="11">
        <f t="shared" si="135"/>
        <v>0</v>
      </c>
      <c r="BK297" s="11" t="e">
        <f t="shared" si="135"/>
        <v>#DIV/0!</v>
      </c>
      <c r="BM297" s="1">
        <f t="shared" si="129"/>
        <v>0</v>
      </c>
      <c r="BN297" s="1">
        <f t="shared" si="130"/>
        <v>0</v>
      </c>
    </row>
    <row r="298" spans="1:66" x14ac:dyDescent="0.2">
      <c r="A298" s="4">
        <f t="shared" si="136"/>
        <v>45950</v>
      </c>
      <c r="B298" s="1">
        <v>293</v>
      </c>
      <c r="C298" s="1">
        <v>5</v>
      </c>
      <c r="AL298" s="5"/>
      <c r="AN298" s="1">
        <f t="shared" si="114"/>
        <v>0</v>
      </c>
      <c r="AO298" s="1">
        <f t="shared" si="115"/>
        <v>0</v>
      </c>
      <c r="AP298" s="1">
        <f t="shared" si="116"/>
        <v>0</v>
      </c>
      <c r="AQ298" s="18">
        <f t="shared" si="117"/>
        <v>0</v>
      </c>
      <c r="AR298" s="24" t="e">
        <f t="shared" si="131"/>
        <v>#DIV/0!</v>
      </c>
      <c r="AT298" s="20">
        <f t="shared" si="118"/>
        <v>45950</v>
      </c>
      <c r="AU298" s="21">
        <f t="shared" si="119"/>
        <v>293</v>
      </c>
      <c r="AV298" s="1">
        <f t="shared" si="120"/>
        <v>0</v>
      </c>
      <c r="AW298" s="1">
        <f t="shared" si="121"/>
        <v>0</v>
      </c>
      <c r="AX298" s="1">
        <f t="shared" si="122"/>
        <v>0</v>
      </c>
      <c r="AY298" s="1">
        <f t="shared" si="137"/>
        <v>0</v>
      </c>
      <c r="AZ298" s="1">
        <f t="shared" si="138"/>
        <v>0</v>
      </c>
      <c r="BA298" s="1">
        <f t="shared" si="132"/>
        <v>0</v>
      </c>
      <c r="BB298" s="5">
        <f t="shared" si="139"/>
        <v>0</v>
      </c>
      <c r="BC298" s="1">
        <f t="shared" si="123"/>
        <v>0</v>
      </c>
      <c r="BD298" s="1">
        <f t="shared" si="124"/>
        <v>0</v>
      </c>
      <c r="BE298" s="1">
        <f t="shared" si="125"/>
        <v>0</v>
      </c>
      <c r="BF298" s="5">
        <f t="shared" si="126"/>
        <v>0</v>
      </c>
      <c r="BG298" s="5">
        <f t="shared" si="127"/>
        <v>0</v>
      </c>
      <c r="BH298" s="5">
        <f t="shared" si="128"/>
        <v>0</v>
      </c>
      <c r="BI298" s="5">
        <f t="shared" si="134"/>
        <v>0</v>
      </c>
      <c r="BJ298" s="11">
        <f t="shared" si="135"/>
        <v>0</v>
      </c>
      <c r="BK298" s="11" t="e">
        <f t="shared" si="135"/>
        <v>#DIV/0!</v>
      </c>
      <c r="BM298" s="1">
        <f t="shared" si="129"/>
        <v>0</v>
      </c>
      <c r="BN298" s="1">
        <f t="shared" si="130"/>
        <v>0</v>
      </c>
    </row>
    <row r="299" spans="1:66" x14ac:dyDescent="0.2">
      <c r="A299" s="4">
        <f t="shared" si="136"/>
        <v>45951</v>
      </c>
      <c r="B299" s="1">
        <v>294</v>
      </c>
      <c r="C299" s="1">
        <v>5</v>
      </c>
      <c r="AL299" s="5"/>
      <c r="AN299" s="1">
        <f t="shared" si="114"/>
        <v>0</v>
      </c>
      <c r="AO299" s="1">
        <f t="shared" si="115"/>
        <v>0</v>
      </c>
      <c r="AP299" s="1">
        <f t="shared" si="116"/>
        <v>0</v>
      </c>
      <c r="AQ299" s="18">
        <f t="shared" si="117"/>
        <v>0</v>
      </c>
      <c r="AR299" s="24" t="e">
        <f t="shared" si="131"/>
        <v>#DIV/0!</v>
      </c>
      <c r="AT299" s="20">
        <f t="shared" si="118"/>
        <v>45951</v>
      </c>
      <c r="AU299" s="21">
        <f t="shared" si="119"/>
        <v>294</v>
      </c>
      <c r="AV299" s="1">
        <f t="shared" si="120"/>
        <v>0</v>
      </c>
      <c r="AW299" s="1">
        <f t="shared" si="121"/>
        <v>0</v>
      </c>
      <c r="AX299" s="1">
        <f t="shared" si="122"/>
        <v>0</v>
      </c>
      <c r="AY299" s="1">
        <f t="shared" si="137"/>
        <v>0</v>
      </c>
      <c r="AZ299" s="1">
        <f t="shared" si="138"/>
        <v>0</v>
      </c>
      <c r="BA299" s="1">
        <f t="shared" si="132"/>
        <v>0</v>
      </c>
      <c r="BB299" s="5">
        <f t="shared" si="139"/>
        <v>0</v>
      </c>
      <c r="BC299" s="1">
        <f t="shared" si="123"/>
        <v>0</v>
      </c>
      <c r="BD299" s="1">
        <f t="shared" si="124"/>
        <v>0</v>
      </c>
      <c r="BE299" s="1">
        <f t="shared" si="125"/>
        <v>0</v>
      </c>
      <c r="BF299" s="5">
        <f t="shared" si="126"/>
        <v>0</v>
      </c>
      <c r="BG299" s="5">
        <f t="shared" si="127"/>
        <v>0</v>
      </c>
      <c r="BH299" s="5">
        <f t="shared" si="128"/>
        <v>0</v>
      </c>
      <c r="BI299" s="5">
        <f t="shared" si="134"/>
        <v>0</v>
      </c>
      <c r="BJ299" s="11">
        <f t="shared" si="135"/>
        <v>0</v>
      </c>
      <c r="BK299" s="11" t="e">
        <f t="shared" si="135"/>
        <v>#DIV/0!</v>
      </c>
      <c r="BM299" s="1">
        <f t="shared" si="129"/>
        <v>0</v>
      </c>
      <c r="BN299" s="1">
        <f t="shared" si="130"/>
        <v>0</v>
      </c>
    </row>
    <row r="300" spans="1:66" x14ac:dyDescent="0.2">
      <c r="A300" s="4">
        <f t="shared" si="136"/>
        <v>45952</v>
      </c>
      <c r="B300" s="1">
        <v>295</v>
      </c>
      <c r="C300" s="1">
        <v>5</v>
      </c>
      <c r="AL300" s="5"/>
      <c r="AN300" s="1">
        <f t="shared" si="114"/>
        <v>0</v>
      </c>
      <c r="AO300" s="1">
        <f t="shared" si="115"/>
        <v>0</v>
      </c>
      <c r="AP300" s="1">
        <f t="shared" si="116"/>
        <v>0</v>
      </c>
      <c r="AQ300" s="18">
        <f t="shared" si="117"/>
        <v>0</v>
      </c>
      <c r="AR300" s="24" t="e">
        <f t="shared" si="131"/>
        <v>#DIV/0!</v>
      </c>
      <c r="AT300" s="20">
        <f t="shared" si="118"/>
        <v>45952</v>
      </c>
      <c r="AU300" s="21">
        <f t="shared" si="119"/>
        <v>295</v>
      </c>
      <c r="AV300" s="1">
        <f t="shared" si="120"/>
        <v>0</v>
      </c>
      <c r="AW300" s="1">
        <f t="shared" si="121"/>
        <v>0</v>
      </c>
      <c r="AX300" s="1">
        <f t="shared" si="122"/>
        <v>0</v>
      </c>
      <c r="AY300" s="1">
        <f t="shared" si="137"/>
        <v>0</v>
      </c>
      <c r="AZ300" s="1">
        <f t="shared" si="138"/>
        <v>0</v>
      </c>
      <c r="BA300" s="1">
        <f t="shared" si="132"/>
        <v>0</v>
      </c>
      <c r="BB300" s="5">
        <f t="shared" si="139"/>
        <v>0</v>
      </c>
      <c r="BC300" s="1">
        <f t="shared" si="123"/>
        <v>0</v>
      </c>
      <c r="BD300" s="1">
        <f t="shared" si="124"/>
        <v>0</v>
      </c>
      <c r="BE300" s="1">
        <f t="shared" si="125"/>
        <v>0</v>
      </c>
      <c r="BF300" s="5">
        <f t="shared" si="126"/>
        <v>0</v>
      </c>
      <c r="BG300" s="5">
        <f t="shared" si="127"/>
        <v>0</v>
      </c>
      <c r="BH300" s="5">
        <f t="shared" si="128"/>
        <v>0</v>
      </c>
      <c r="BI300" s="5">
        <f t="shared" si="134"/>
        <v>0</v>
      </c>
      <c r="BJ300" s="11">
        <f t="shared" si="135"/>
        <v>0</v>
      </c>
      <c r="BK300" s="11" t="e">
        <f t="shared" si="135"/>
        <v>#DIV/0!</v>
      </c>
      <c r="BM300" s="1">
        <f t="shared" si="129"/>
        <v>0</v>
      </c>
      <c r="BN300" s="1">
        <f t="shared" si="130"/>
        <v>0</v>
      </c>
    </row>
    <row r="301" spans="1:66" x14ac:dyDescent="0.2">
      <c r="A301" s="4">
        <f t="shared" si="136"/>
        <v>45953</v>
      </c>
      <c r="B301" s="1">
        <v>296</v>
      </c>
      <c r="C301" s="1">
        <v>5</v>
      </c>
      <c r="AL301" s="5"/>
      <c r="AN301" s="1">
        <f t="shared" si="114"/>
        <v>0</v>
      </c>
      <c r="AO301" s="1">
        <f t="shared" si="115"/>
        <v>0</v>
      </c>
      <c r="AP301" s="1">
        <f t="shared" si="116"/>
        <v>0</v>
      </c>
      <c r="AQ301" s="18">
        <f t="shared" si="117"/>
        <v>0</v>
      </c>
      <c r="AR301" s="24" t="e">
        <f t="shared" si="131"/>
        <v>#DIV/0!</v>
      </c>
      <c r="AT301" s="20">
        <f t="shared" si="118"/>
        <v>45953</v>
      </c>
      <c r="AU301" s="21">
        <f t="shared" si="119"/>
        <v>296</v>
      </c>
      <c r="AV301" s="1">
        <f t="shared" si="120"/>
        <v>0</v>
      </c>
      <c r="AW301" s="1">
        <f t="shared" si="121"/>
        <v>0</v>
      </c>
      <c r="AX301" s="1">
        <f t="shared" si="122"/>
        <v>0</v>
      </c>
      <c r="AY301" s="1">
        <f t="shared" si="137"/>
        <v>0</v>
      </c>
      <c r="AZ301" s="1">
        <f t="shared" si="138"/>
        <v>0</v>
      </c>
      <c r="BA301" s="1">
        <f t="shared" si="132"/>
        <v>0</v>
      </c>
      <c r="BB301" s="5">
        <f t="shared" si="139"/>
        <v>0</v>
      </c>
      <c r="BC301" s="1">
        <f t="shared" si="123"/>
        <v>0</v>
      </c>
      <c r="BD301" s="1">
        <f t="shared" si="124"/>
        <v>0</v>
      </c>
      <c r="BE301" s="1">
        <f t="shared" si="125"/>
        <v>0</v>
      </c>
      <c r="BF301" s="5">
        <f t="shared" si="126"/>
        <v>0</v>
      </c>
      <c r="BG301" s="5">
        <f t="shared" si="127"/>
        <v>0</v>
      </c>
      <c r="BH301" s="5">
        <f t="shared" si="128"/>
        <v>0</v>
      </c>
      <c r="BI301" s="5">
        <f t="shared" si="134"/>
        <v>0</v>
      </c>
      <c r="BJ301" s="11">
        <f t="shared" si="135"/>
        <v>0</v>
      </c>
      <c r="BK301" s="11" t="e">
        <f t="shared" si="135"/>
        <v>#DIV/0!</v>
      </c>
      <c r="BM301" s="1">
        <f t="shared" si="129"/>
        <v>0</v>
      </c>
      <c r="BN301" s="1">
        <f t="shared" si="130"/>
        <v>0</v>
      </c>
    </row>
    <row r="302" spans="1:66" x14ac:dyDescent="0.2">
      <c r="A302" s="4">
        <f t="shared" si="136"/>
        <v>45954</v>
      </c>
      <c r="B302" s="1">
        <v>297</v>
      </c>
      <c r="C302" s="1">
        <v>5</v>
      </c>
      <c r="AL302" s="5"/>
      <c r="AN302" s="1">
        <f t="shared" si="114"/>
        <v>0</v>
      </c>
      <c r="AO302" s="1">
        <f t="shared" si="115"/>
        <v>0</v>
      </c>
      <c r="AP302" s="1">
        <f t="shared" si="116"/>
        <v>0</v>
      </c>
      <c r="AQ302" s="18">
        <f t="shared" si="117"/>
        <v>0</v>
      </c>
      <c r="AR302" s="24" t="e">
        <f t="shared" si="131"/>
        <v>#DIV/0!</v>
      </c>
      <c r="AT302" s="20">
        <f t="shared" si="118"/>
        <v>45954</v>
      </c>
      <c r="AU302" s="21">
        <f t="shared" si="119"/>
        <v>297</v>
      </c>
      <c r="AV302" s="1">
        <f t="shared" si="120"/>
        <v>0</v>
      </c>
      <c r="AW302" s="1">
        <f t="shared" si="121"/>
        <v>0</v>
      </c>
      <c r="AX302" s="1">
        <f t="shared" si="122"/>
        <v>0</v>
      </c>
      <c r="AY302" s="1">
        <f t="shared" si="137"/>
        <v>0</v>
      </c>
      <c r="AZ302" s="1">
        <f t="shared" si="138"/>
        <v>0</v>
      </c>
      <c r="BA302" s="1">
        <f t="shared" si="132"/>
        <v>0</v>
      </c>
      <c r="BB302" s="5">
        <f t="shared" si="139"/>
        <v>0</v>
      </c>
      <c r="BC302" s="1">
        <f t="shared" si="123"/>
        <v>0</v>
      </c>
      <c r="BD302" s="1">
        <f t="shared" si="124"/>
        <v>0</v>
      </c>
      <c r="BE302" s="1">
        <f t="shared" si="125"/>
        <v>0</v>
      </c>
      <c r="BF302" s="5">
        <f t="shared" si="126"/>
        <v>0</v>
      </c>
      <c r="BG302" s="5">
        <f t="shared" si="127"/>
        <v>0</v>
      </c>
      <c r="BH302" s="5">
        <f t="shared" si="128"/>
        <v>0</v>
      </c>
      <c r="BI302" s="5">
        <f t="shared" si="134"/>
        <v>0</v>
      </c>
      <c r="BJ302" s="11">
        <f t="shared" si="135"/>
        <v>0</v>
      </c>
      <c r="BK302" s="11" t="e">
        <f t="shared" si="135"/>
        <v>#DIV/0!</v>
      </c>
      <c r="BM302" s="1">
        <f t="shared" si="129"/>
        <v>0</v>
      </c>
      <c r="BN302" s="1">
        <f t="shared" si="130"/>
        <v>0</v>
      </c>
    </row>
    <row r="303" spans="1:66" x14ac:dyDescent="0.2">
      <c r="A303" s="4">
        <f t="shared" si="136"/>
        <v>45955</v>
      </c>
      <c r="B303" s="1">
        <v>298</v>
      </c>
      <c r="C303" s="1">
        <v>5</v>
      </c>
      <c r="AL303" s="5"/>
      <c r="AN303" s="1">
        <f t="shared" si="114"/>
        <v>0</v>
      </c>
      <c r="AO303" s="1">
        <f t="shared" si="115"/>
        <v>0</v>
      </c>
      <c r="AP303" s="1">
        <f t="shared" si="116"/>
        <v>0</v>
      </c>
      <c r="AQ303" s="18">
        <f t="shared" si="117"/>
        <v>0</v>
      </c>
      <c r="AR303" s="24" t="e">
        <f t="shared" si="131"/>
        <v>#DIV/0!</v>
      </c>
      <c r="AT303" s="20">
        <f t="shared" si="118"/>
        <v>45955</v>
      </c>
      <c r="AU303" s="21">
        <f t="shared" si="119"/>
        <v>298</v>
      </c>
      <c r="AV303" s="1">
        <f t="shared" si="120"/>
        <v>0</v>
      </c>
      <c r="AW303" s="1">
        <f t="shared" si="121"/>
        <v>0</v>
      </c>
      <c r="AX303" s="1">
        <f t="shared" si="122"/>
        <v>0</v>
      </c>
      <c r="AY303" s="1">
        <f t="shared" si="137"/>
        <v>0</v>
      </c>
      <c r="AZ303" s="1">
        <f t="shared" si="138"/>
        <v>0</v>
      </c>
      <c r="BA303" s="1">
        <f t="shared" si="132"/>
        <v>0</v>
      </c>
      <c r="BB303" s="5">
        <f t="shared" si="139"/>
        <v>0</v>
      </c>
      <c r="BC303" s="1">
        <f t="shared" si="123"/>
        <v>0</v>
      </c>
      <c r="BD303" s="1">
        <f t="shared" si="124"/>
        <v>0</v>
      </c>
      <c r="BE303" s="1">
        <f t="shared" si="125"/>
        <v>0</v>
      </c>
      <c r="BF303" s="5">
        <f t="shared" si="126"/>
        <v>0</v>
      </c>
      <c r="BG303" s="5">
        <f t="shared" si="127"/>
        <v>0</v>
      </c>
      <c r="BH303" s="5">
        <f t="shared" si="128"/>
        <v>0</v>
      </c>
      <c r="BI303" s="5">
        <f t="shared" si="134"/>
        <v>0</v>
      </c>
      <c r="BJ303" s="11">
        <f t="shared" si="135"/>
        <v>0</v>
      </c>
      <c r="BK303" s="11" t="e">
        <f t="shared" si="135"/>
        <v>#DIV/0!</v>
      </c>
      <c r="BM303" s="1">
        <f t="shared" si="129"/>
        <v>0</v>
      </c>
      <c r="BN303" s="1">
        <f t="shared" si="130"/>
        <v>0</v>
      </c>
    </row>
    <row r="304" spans="1:66" x14ac:dyDescent="0.2">
      <c r="A304" s="4">
        <f t="shared" si="136"/>
        <v>45956</v>
      </c>
      <c r="B304" s="1">
        <v>299</v>
      </c>
      <c r="C304" s="1">
        <v>5</v>
      </c>
      <c r="AL304" s="5"/>
      <c r="AN304" s="1">
        <f t="shared" si="114"/>
        <v>0</v>
      </c>
      <c r="AO304" s="1">
        <f t="shared" si="115"/>
        <v>0</v>
      </c>
      <c r="AP304" s="1">
        <f t="shared" si="116"/>
        <v>0</v>
      </c>
      <c r="AQ304" s="18">
        <f t="shared" si="117"/>
        <v>0</v>
      </c>
      <c r="AR304" s="24" t="e">
        <f t="shared" si="131"/>
        <v>#DIV/0!</v>
      </c>
      <c r="AT304" s="20">
        <f t="shared" si="118"/>
        <v>45956</v>
      </c>
      <c r="AU304" s="21">
        <f t="shared" si="119"/>
        <v>299</v>
      </c>
      <c r="AV304" s="1">
        <f t="shared" si="120"/>
        <v>0</v>
      </c>
      <c r="AW304" s="1">
        <f t="shared" si="121"/>
        <v>0</v>
      </c>
      <c r="AX304" s="1">
        <f t="shared" si="122"/>
        <v>0</v>
      </c>
      <c r="AY304" s="1">
        <f t="shared" si="137"/>
        <v>0</v>
      </c>
      <c r="AZ304" s="1">
        <f t="shared" si="138"/>
        <v>0</v>
      </c>
      <c r="BA304" s="1">
        <f t="shared" si="132"/>
        <v>0</v>
      </c>
      <c r="BB304" s="5">
        <f t="shared" si="139"/>
        <v>0</v>
      </c>
      <c r="BC304" s="1">
        <f t="shared" si="123"/>
        <v>0</v>
      </c>
      <c r="BD304" s="1">
        <f t="shared" si="124"/>
        <v>0</v>
      </c>
      <c r="BE304" s="1">
        <f t="shared" si="125"/>
        <v>0</v>
      </c>
      <c r="BF304" s="5">
        <f t="shared" si="126"/>
        <v>0</v>
      </c>
      <c r="BG304" s="5">
        <f t="shared" si="127"/>
        <v>0</v>
      </c>
      <c r="BH304" s="5">
        <f t="shared" si="128"/>
        <v>0</v>
      </c>
      <c r="BI304" s="5">
        <f t="shared" si="134"/>
        <v>0</v>
      </c>
      <c r="BJ304" s="11">
        <f t="shared" si="135"/>
        <v>0</v>
      </c>
      <c r="BK304" s="11" t="e">
        <f t="shared" si="135"/>
        <v>#DIV/0!</v>
      </c>
      <c r="BM304" s="1">
        <f t="shared" si="129"/>
        <v>0</v>
      </c>
      <c r="BN304" s="1">
        <f t="shared" si="130"/>
        <v>0</v>
      </c>
    </row>
    <row r="305" spans="1:66" x14ac:dyDescent="0.2">
      <c r="A305" s="4">
        <f t="shared" si="136"/>
        <v>45957</v>
      </c>
      <c r="B305" s="1">
        <v>300</v>
      </c>
      <c r="C305" s="1">
        <v>5</v>
      </c>
      <c r="AL305" s="5"/>
      <c r="AN305" s="1">
        <f t="shared" si="114"/>
        <v>0</v>
      </c>
      <c r="AO305" s="1">
        <f t="shared" si="115"/>
        <v>0</v>
      </c>
      <c r="AP305" s="1">
        <f t="shared" si="116"/>
        <v>0</v>
      </c>
      <c r="AQ305" s="18">
        <f t="shared" si="117"/>
        <v>0</v>
      </c>
      <c r="AR305" s="24" t="e">
        <f t="shared" si="131"/>
        <v>#DIV/0!</v>
      </c>
      <c r="AT305" s="20">
        <f t="shared" si="118"/>
        <v>45957</v>
      </c>
      <c r="AU305" s="21">
        <f t="shared" si="119"/>
        <v>300</v>
      </c>
      <c r="AV305" s="1">
        <f t="shared" si="120"/>
        <v>0</v>
      </c>
      <c r="AW305" s="1">
        <f t="shared" si="121"/>
        <v>0</v>
      </c>
      <c r="AX305" s="1">
        <f t="shared" si="122"/>
        <v>0</v>
      </c>
      <c r="AY305" s="1">
        <f t="shared" si="137"/>
        <v>0</v>
      </c>
      <c r="AZ305" s="1">
        <f t="shared" si="138"/>
        <v>0</v>
      </c>
      <c r="BA305" s="1">
        <f t="shared" si="132"/>
        <v>0</v>
      </c>
      <c r="BB305" s="5">
        <f t="shared" si="139"/>
        <v>0</v>
      </c>
      <c r="BC305" s="1">
        <f t="shared" si="123"/>
        <v>0</v>
      </c>
      <c r="BD305" s="1">
        <f t="shared" si="124"/>
        <v>0</v>
      </c>
      <c r="BE305" s="1">
        <f t="shared" si="125"/>
        <v>0</v>
      </c>
      <c r="BF305" s="5">
        <f t="shared" si="126"/>
        <v>0</v>
      </c>
      <c r="BG305" s="5">
        <f t="shared" si="127"/>
        <v>0</v>
      </c>
      <c r="BH305" s="5">
        <f t="shared" si="128"/>
        <v>0</v>
      </c>
      <c r="BI305" s="5">
        <f t="shared" si="134"/>
        <v>0</v>
      </c>
      <c r="BJ305" s="11">
        <f t="shared" si="135"/>
        <v>0</v>
      </c>
      <c r="BK305" s="11" t="e">
        <f t="shared" si="135"/>
        <v>#DIV/0!</v>
      </c>
      <c r="BM305" s="1">
        <f t="shared" si="129"/>
        <v>0</v>
      </c>
      <c r="BN305" s="1">
        <f t="shared" si="130"/>
        <v>0</v>
      </c>
    </row>
    <row r="306" spans="1:66" x14ac:dyDescent="0.2">
      <c r="A306" s="4">
        <f t="shared" si="136"/>
        <v>45958</v>
      </c>
      <c r="B306" s="1">
        <v>301</v>
      </c>
      <c r="C306" s="1">
        <v>5</v>
      </c>
      <c r="AL306" s="5"/>
      <c r="AN306" s="1">
        <f t="shared" si="114"/>
        <v>0</v>
      </c>
      <c r="AO306" s="1">
        <f t="shared" si="115"/>
        <v>0</v>
      </c>
      <c r="AP306" s="1">
        <f t="shared" si="116"/>
        <v>0</v>
      </c>
      <c r="AQ306" s="18">
        <f t="shared" si="117"/>
        <v>0</v>
      </c>
      <c r="AR306" s="24" t="e">
        <f t="shared" si="131"/>
        <v>#DIV/0!</v>
      </c>
      <c r="AT306" s="20">
        <f t="shared" si="118"/>
        <v>45958</v>
      </c>
      <c r="AU306" s="21">
        <f t="shared" si="119"/>
        <v>301</v>
      </c>
      <c r="AV306" s="1">
        <f t="shared" si="120"/>
        <v>0</v>
      </c>
      <c r="AW306" s="1">
        <f t="shared" si="121"/>
        <v>0</v>
      </c>
      <c r="AX306" s="1">
        <f t="shared" si="122"/>
        <v>0</v>
      </c>
      <c r="AY306" s="1">
        <f t="shared" si="137"/>
        <v>0</v>
      </c>
      <c r="AZ306" s="1">
        <f t="shared" si="138"/>
        <v>0</v>
      </c>
      <c r="BA306" s="1">
        <f t="shared" si="132"/>
        <v>0</v>
      </c>
      <c r="BB306" s="5">
        <f t="shared" si="139"/>
        <v>0</v>
      </c>
      <c r="BC306" s="1">
        <f t="shared" si="123"/>
        <v>0</v>
      </c>
      <c r="BD306" s="1">
        <f t="shared" si="124"/>
        <v>0</v>
      </c>
      <c r="BE306" s="1">
        <f t="shared" si="125"/>
        <v>0</v>
      </c>
      <c r="BF306" s="5">
        <f t="shared" si="126"/>
        <v>0</v>
      </c>
      <c r="BG306" s="5">
        <f t="shared" si="127"/>
        <v>0</v>
      </c>
      <c r="BH306" s="5">
        <f t="shared" si="128"/>
        <v>0</v>
      </c>
      <c r="BI306" s="5">
        <f t="shared" si="134"/>
        <v>0</v>
      </c>
      <c r="BJ306" s="11">
        <f t="shared" si="135"/>
        <v>0</v>
      </c>
      <c r="BK306" s="11" t="e">
        <f t="shared" si="135"/>
        <v>#DIV/0!</v>
      </c>
      <c r="BM306" s="1">
        <f t="shared" si="129"/>
        <v>0</v>
      </c>
      <c r="BN306" s="1">
        <f t="shared" si="130"/>
        <v>0</v>
      </c>
    </row>
    <row r="307" spans="1:66" x14ac:dyDescent="0.2">
      <c r="A307" s="4">
        <f t="shared" si="136"/>
        <v>45959</v>
      </c>
      <c r="B307" s="1">
        <v>302</v>
      </c>
      <c r="C307" s="1">
        <v>5</v>
      </c>
      <c r="AL307" s="5"/>
      <c r="AN307" s="1">
        <f t="shared" si="114"/>
        <v>0</v>
      </c>
      <c r="AO307" s="1">
        <f t="shared" si="115"/>
        <v>0</v>
      </c>
      <c r="AP307" s="1">
        <f t="shared" si="116"/>
        <v>0</v>
      </c>
      <c r="AQ307" s="18">
        <f t="shared" si="117"/>
        <v>0</v>
      </c>
      <c r="AR307" s="24" t="e">
        <f t="shared" si="131"/>
        <v>#DIV/0!</v>
      </c>
      <c r="AT307" s="20">
        <f t="shared" si="118"/>
        <v>45959</v>
      </c>
      <c r="AU307" s="21">
        <f t="shared" si="119"/>
        <v>302</v>
      </c>
      <c r="AV307" s="1">
        <f t="shared" si="120"/>
        <v>0</v>
      </c>
      <c r="AW307" s="1">
        <f t="shared" si="121"/>
        <v>0</v>
      </c>
      <c r="AX307" s="1">
        <f t="shared" si="122"/>
        <v>0</v>
      </c>
      <c r="AY307" s="1">
        <f t="shared" si="137"/>
        <v>0</v>
      </c>
      <c r="AZ307" s="1">
        <f t="shared" si="138"/>
        <v>0</v>
      </c>
      <c r="BA307" s="1">
        <f t="shared" si="132"/>
        <v>0</v>
      </c>
      <c r="BB307" s="5">
        <f t="shared" si="139"/>
        <v>0</v>
      </c>
      <c r="BC307" s="1">
        <f t="shared" si="123"/>
        <v>0</v>
      </c>
      <c r="BD307" s="1">
        <f t="shared" si="124"/>
        <v>0</v>
      </c>
      <c r="BE307" s="1">
        <f t="shared" si="125"/>
        <v>0</v>
      </c>
      <c r="BF307" s="5">
        <f t="shared" si="126"/>
        <v>0</v>
      </c>
      <c r="BG307" s="5">
        <f t="shared" si="127"/>
        <v>0</v>
      </c>
      <c r="BH307" s="5">
        <f t="shared" si="128"/>
        <v>0</v>
      </c>
      <c r="BI307" s="5">
        <f t="shared" si="134"/>
        <v>0</v>
      </c>
      <c r="BJ307" s="11">
        <f t="shared" si="135"/>
        <v>0</v>
      </c>
      <c r="BK307" s="11" t="e">
        <f t="shared" si="135"/>
        <v>#DIV/0!</v>
      </c>
      <c r="BM307" s="1">
        <f t="shared" si="129"/>
        <v>0</v>
      </c>
      <c r="BN307" s="1">
        <f t="shared" si="130"/>
        <v>0</v>
      </c>
    </row>
    <row r="308" spans="1:66" x14ac:dyDescent="0.2">
      <c r="A308" s="4">
        <f t="shared" si="136"/>
        <v>45960</v>
      </c>
      <c r="B308" s="1">
        <v>303</v>
      </c>
      <c r="C308" s="1">
        <v>5</v>
      </c>
      <c r="AL308" s="5"/>
      <c r="AN308" s="1">
        <f t="shared" si="114"/>
        <v>0</v>
      </c>
      <c r="AO308" s="1">
        <f t="shared" si="115"/>
        <v>0</v>
      </c>
      <c r="AP308" s="1">
        <f t="shared" si="116"/>
        <v>0</v>
      </c>
      <c r="AQ308" s="18">
        <f t="shared" si="117"/>
        <v>0</v>
      </c>
      <c r="AR308" s="24" t="e">
        <f t="shared" si="131"/>
        <v>#DIV/0!</v>
      </c>
      <c r="AT308" s="20">
        <f t="shared" si="118"/>
        <v>45960</v>
      </c>
      <c r="AU308" s="21">
        <f t="shared" si="119"/>
        <v>303</v>
      </c>
      <c r="AV308" s="1">
        <f t="shared" si="120"/>
        <v>0</v>
      </c>
      <c r="AW308" s="1">
        <f t="shared" si="121"/>
        <v>0</v>
      </c>
      <c r="AX308" s="1">
        <f t="shared" si="122"/>
        <v>0</v>
      </c>
      <c r="AY308" s="1">
        <f t="shared" si="137"/>
        <v>0</v>
      </c>
      <c r="AZ308" s="1">
        <f t="shared" si="138"/>
        <v>0</v>
      </c>
      <c r="BA308" s="1">
        <f t="shared" si="132"/>
        <v>0</v>
      </c>
      <c r="BB308" s="5">
        <f t="shared" si="139"/>
        <v>0</v>
      </c>
      <c r="BC308" s="1">
        <f t="shared" si="123"/>
        <v>0</v>
      </c>
      <c r="BD308" s="1">
        <f t="shared" si="124"/>
        <v>0</v>
      </c>
      <c r="BE308" s="1">
        <f t="shared" si="125"/>
        <v>0</v>
      </c>
      <c r="BF308" s="5">
        <f t="shared" si="126"/>
        <v>0</v>
      </c>
      <c r="BG308" s="5">
        <f t="shared" si="127"/>
        <v>0</v>
      </c>
      <c r="BH308" s="5">
        <f t="shared" si="128"/>
        <v>0</v>
      </c>
      <c r="BI308" s="5">
        <f t="shared" si="134"/>
        <v>0</v>
      </c>
      <c r="BJ308" s="11">
        <f t="shared" si="135"/>
        <v>0</v>
      </c>
      <c r="BK308" s="11" t="e">
        <f t="shared" si="135"/>
        <v>#DIV/0!</v>
      </c>
      <c r="BM308" s="1">
        <f t="shared" si="129"/>
        <v>0</v>
      </c>
      <c r="BN308" s="1">
        <f t="shared" si="130"/>
        <v>0</v>
      </c>
    </row>
    <row r="309" spans="1:66" x14ac:dyDescent="0.2">
      <c r="A309" s="4">
        <f t="shared" si="136"/>
        <v>45961</v>
      </c>
      <c r="B309" s="1">
        <v>304</v>
      </c>
      <c r="C309" s="1">
        <v>5</v>
      </c>
      <c r="AL309" s="5"/>
      <c r="AN309" s="1">
        <f t="shared" si="114"/>
        <v>0</v>
      </c>
      <c r="AO309" s="1">
        <f t="shared" si="115"/>
        <v>0</v>
      </c>
      <c r="AP309" s="1">
        <f t="shared" si="116"/>
        <v>0</v>
      </c>
      <c r="AQ309" s="18">
        <f t="shared" si="117"/>
        <v>0</v>
      </c>
      <c r="AR309" s="24" t="e">
        <f t="shared" si="131"/>
        <v>#DIV/0!</v>
      </c>
      <c r="AT309" s="20">
        <f t="shared" si="118"/>
        <v>45961</v>
      </c>
      <c r="AU309" s="21">
        <f t="shared" si="119"/>
        <v>304</v>
      </c>
      <c r="AV309" s="1">
        <f t="shared" si="120"/>
        <v>0</v>
      </c>
      <c r="AW309" s="1">
        <f t="shared" si="121"/>
        <v>0</v>
      </c>
      <c r="AX309" s="1">
        <f t="shared" si="122"/>
        <v>0</v>
      </c>
      <c r="AY309" s="1">
        <f t="shared" si="137"/>
        <v>0</v>
      </c>
      <c r="AZ309" s="1">
        <f t="shared" si="138"/>
        <v>0</v>
      </c>
      <c r="BA309" s="1">
        <f t="shared" si="132"/>
        <v>0</v>
      </c>
      <c r="BB309" s="5">
        <f t="shared" si="139"/>
        <v>0</v>
      </c>
      <c r="BC309" s="1">
        <f t="shared" si="123"/>
        <v>0</v>
      </c>
      <c r="BD309" s="1">
        <f t="shared" si="124"/>
        <v>0</v>
      </c>
      <c r="BE309" s="1">
        <f t="shared" si="125"/>
        <v>0</v>
      </c>
      <c r="BF309" s="5">
        <f t="shared" si="126"/>
        <v>0</v>
      </c>
      <c r="BG309" s="5">
        <f t="shared" si="127"/>
        <v>0</v>
      </c>
      <c r="BH309" s="5">
        <f t="shared" si="128"/>
        <v>0</v>
      </c>
      <c r="BI309" s="5">
        <f t="shared" si="134"/>
        <v>0</v>
      </c>
      <c r="BJ309" s="11">
        <f t="shared" si="135"/>
        <v>0</v>
      </c>
      <c r="BK309" s="11" t="e">
        <f t="shared" si="135"/>
        <v>#DIV/0!</v>
      </c>
      <c r="BM309" s="1">
        <f t="shared" si="129"/>
        <v>0</v>
      </c>
      <c r="BN309" s="1">
        <f t="shared" si="130"/>
        <v>0</v>
      </c>
    </row>
    <row r="310" spans="1:66" x14ac:dyDescent="0.2">
      <c r="A310" s="4">
        <f t="shared" si="136"/>
        <v>45962</v>
      </c>
      <c r="B310" s="1">
        <v>305</v>
      </c>
      <c r="C310" s="1">
        <v>5</v>
      </c>
      <c r="AL310" s="5"/>
      <c r="AN310" s="1">
        <f t="shared" si="114"/>
        <v>0</v>
      </c>
      <c r="AO310" s="1">
        <f t="shared" si="115"/>
        <v>0</v>
      </c>
      <c r="AP310" s="1">
        <f t="shared" si="116"/>
        <v>0</v>
      </c>
      <c r="AQ310" s="18">
        <f t="shared" si="117"/>
        <v>0</v>
      </c>
      <c r="AR310" s="24" t="e">
        <f t="shared" si="131"/>
        <v>#DIV/0!</v>
      </c>
      <c r="AT310" s="20">
        <f t="shared" si="118"/>
        <v>45962</v>
      </c>
      <c r="AU310" s="21">
        <f t="shared" si="119"/>
        <v>305</v>
      </c>
      <c r="AV310" s="1">
        <f t="shared" si="120"/>
        <v>0</v>
      </c>
      <c r="AW310" s="1">
        <f t="shared" si="121"/>
        <v>0</v>
      </c>
      <c r="AX310" s="1">
        <f t="shared" si="122"/>
        <v>0</v>
      </c>
      <c r="AY310" s="1">
        <f t="shared" si="137"/>
        <v>0</v>
      </c>
      <c r="AZ310" s="1">
        <f t="shared" si="138"/>
        <v>0</v>
      </c>
      <c r="BA310" s="1">
        <f t="shared" si="132"/>
        <v>0</v>
      </c>
      <c r="BB310" s="5">
        <f t="shared" si="139"/>
        <v>0</v>
      </c>
      <c r="BC310" s="1">
        <f t="shared" si="123"/>
        <v>0</v>
      </c>
      <c r="BD310" s="1">
        <f t="shared" si="124"/>
        <v>0</v>
      </c>
      <c r="BE310" s="1">
        <f t="shared" si="125"/>
        <v>0</v>
      </c>
      <c r="BF310" s="5">
        <f t="shared" si="126"/>
        <v>0</v>
      </c>
      <c r="BG310" s="5">
        <f t="shared" si="127"/>
        <v>0</v>
      </c>
      <c r="BH310" s="5">
        <f t="shared" si="128"/>
        <v>0</v>
      </c>
      <c r="BI310" s="5">
        <f t="shared" si="134"/>
        <v>0</v>
      </c>
      <c r="BJ310" s="11">
        <f t="shared" si="135"/>
        <v>0</v>
      </c>
      <c r="BK310" s="11" t="e">
        <f t="shared" si="135"/>
        <v>#DIV/0!</v>
      </c>
      <c r="BM310" s="1">
        <f t="shared" si="129"/>
        <v>0</v>
      </c>
      <c r="BN310" s="1">
        <f t="shared" si="130"/>
        <v>0</v>
      </c>
    </row>
    <row r="311" spans="1:66" x14ac:dyDescent="0.2">
      <c r="A311" s="4">
        <f t="shared" si="136"/>
        <v>45963</v>
      </c>
      <c r="B311" s="1">
        <v>306</v>
      </c>
      <c r="C311" s="1">
        <v>5</v>
      </c>
      <c r="AL311" s="5"/>
      <c r="AN311" s="1">
        <f t="shared" si="114"/>
        <v>0</v>
      </c>
      <c r="AO311" s="1">
        <f t="shared" si="115"/>
        <v>0</v>
      </c>
      <c r="AP311" s="1">
        <f t="shared" si="116"/>
        <v>0</v>
      </c>
      <c r="AQ311" s="18">
        <f t="shared" si="117"/>
        <v>0</v>
      </c>
      <c r="AR311" s="24" t="e">
        <f t="shared" si="131"/>
        <v>#DIV/0!</v>
      </c>
      <c r="AT311" s="20">
        <f t="shared" si="118"/>
        <v>45963</v>
      </c>
      <c r="AU311" s="21">
        <f t="shared" si="119"/>
        <v>306</v>
      </c>
      <c r="AV311" s="1">
        <f t="shared" si="120"/>
        <v>0</v>
      </c>
      <c r="AW311" s="1">
        <f t="shared" si="121"/>
        <v>0</v>
      </c>
      <c r="AX311" s="1">
        <f t="shared" si="122"/>
        <v>0</v>
      </c>
      <c r="AY311" s="1">
        <f t="shared" si="137"/>
        <v>0</v>
      </c>
      <c r="AZ311" s="1">
        <f t="shared" si="138"/>
        <v>0</v>
      </c>
      <c r="BA311" s="1">
        <f t="shared" si="132"/>
        <v>0</v>
      </c>
      <c r="BB311" s="5">
        <f t="shared" si="139"/>
        <v>0</v>
      </c>
      <c r="BC311" s="1">
        <f t="shared" si="123"/>
        <v>0</v>
      </c>
      <c r="BD311" s="1">
        <f t="shared" si="124"/>
        <v>0</v>
      </c>
      <c r="BE311" s="1">
        <f t="shared" si="125"/>
        <v>0</v>
      </c>
      <c r="BF311" s="5">
        <f t="shared" si="126"/>
        <v>0</v>
      </c>
      <c r="BG311" s="5">
        <f t="shared" si="127"/>
        <v>0</v>
      </c>
      <c r="BH311" s="5">
        <f t="shared" si="128"/>
        <v>0</v>
      </c>
      <c r="BI311" s="5">
        <f t="shared" si="134"/>
        <v>0</v>
      </c>
      <c r="BJ311" s="11">
        <f t="shared" si="135"/>
        <v>0</v>
      </c>
      <c r="BK311" s="11" t="e">
        <f t="shared" si="135"/>
        <v>#DIV/0!</v>
      </c>
      <c r="BM311" s="1">
        <f t="shared" si="129"/>
        <v>0</v>
      </c>
      <c r="BN311" s="1">
        <f t="shared" si="130"/>
        <v>0</v>
      </c>
    </row>
    <row r="312" spans="1:66" x14ac:dyDescent="0.2">
      <c r="A312" s="4">
        <f t="shared" si="136"/>
        <v>45964</v>
      </c>
      <c r="B312" s="1">
        <v>307</v>
      </c>
      <c r="C312" s="1">
        <v>5</v>
      </c>
      <c r="AL312" s="5"/>
      <c r="AN312" s="1">
        <f t="shared" si="114"/>
        <v>0</v>
      </c>
      <c r="AO312" s="1">
        <f t="shared" si="115"/>
        <v>0</v>
      </c>
      <c r="AP312" s="1">
        <f t="shared" si="116"/>
        <v>0</v>
      </c>
      <c r="AQ312" s="18">
        <f t="shared" si="117"/>
        <v>0</v>
      </c>
      <c r="AR312" s="24" t="e">
        <f t="shared" si="131"/>
        <v>#DIV/0!</v>
      </c>
      <c r="AT312" s="20">
        <f t="shared" si="118"/>
        <v>45964</v>
      </c>
      <c r="AU312" s="21">
        <f t="shared" si="119"/>
        <v>307</v>
      </c>
      <c r="AV312" s="1">
        <f t="shared" si="120"/>
        <v>0</v>
      </c>
      <c r="AW312" s="1">
        <f t="shared" si="121"/>
        <v>0</v>
      </c>
      <c r="AX312" s="1">
        <f t="shared" si="122"/>
        <v>0</v>
      </c>
      <c r="AY312" s="1">
        <f t="shared" si="137"/>
        <v>0</v>
      </c>
      <c r="AZ312" s="1">
        <f t="shared" si="138"/>
        <v>0</v>
      </c>
      <c r="BA312" s="1">
        <f t="shared" si="132"/>
        <v>0</v>
      </c>
      <c r="BB312" s="5">
        <f t="shared" si="139"/>
        <v>0</v>
      </c>
      <c r="BC312" s="1">
        <f t="shared" si="123"/>
        <v>0</v>
      </c>
      <c r="BD312" s="1">
        <f t="shared" si="124"/>
        <v>0</v>
      </c>
      <c r="BE312" s="1">
        <f t="shared" si="125"/>
        <v>0</v>
      </c>
      <c r="BF312" s="5">
        <f t="shared" si="126"/>
        <v>0</v>
      </c>
      <c r="BG312" s="5">
        <f t="shared" si="127"/>
        <v>0</v>
      </c>
      <c r="BH312" s="5">
        <f t="shared" si="128"/>
        <v>0</v>
      </c>
      <c r="BI312" s="5">
        <f t="shared" si="134"/>
        <v>0</v>
      </c>
      <c r="BJ312" s="11">
        <f t="shared" si="135"/>
        <v>0</v>
      </c>
      <c r="BK312" s="11" t="e">
        <f t="shared" si="135"/>
        <v>#DIV/0!</v>
      </c>
      <c r="BM312" s="1">
        <f t="shared" si="129"/>
        <v>0</v>
      </c>
      <c r="BN312" s="1">
        <f t="shared" si="130"/>
        <v>0</v>
      </c>
    </row>
    <row r="313" spans="1:66" x14ac:dyDescent="0.2">
      <c r="A313" s="4">
        <f t="shared" si="136"/>
        <v>45965</v>
      </c>
      <c r="B313" s="1">
        <v>308</v>
      </c>
      <c r="C313" s="1">
        <v>5</v>
      </c>
      <c r="AL313" s="5"/>
      <c r="AN313" s="1">
        <f t="shared" si="114"/>
        <v>0</v>
      </c>
      <c r="AO313" s="1">
        <f t="shared" si="115"/>
        <v>0</v>
      </c>
      <c r="AP313" s="1">
        <f t="shared" si="116"/>
        <v>0</v>
      </c>
      <c r="AQ313" s="18">
        <f t="shared" si="117"/>
        <v>0</v>
      </c>
      <c r="AR313" s="24" t="e">
        <f t="shared" si="131"/>
        <v>#DIV/0!</v>
      </c>
      <c r="AT313" s="20">
        <f t="shared" si="118"/>
        <v>45965</v>
      </c>
      <c r="AU313" s="21">
        <f t="shared" si="119"/>
        <v>308</v>
      </c>
      <c r="AV313" s="1">
        <f t="shared" si="120"/>
        <v>0</v>
      </c>
      <c r="AW313" s="1">
        <f t="shared" si="121"/>
        <v>0</v>
      </c>
      <c r="AX313" s="1">
        <f t="shared" si="122"/>
        <v>0</v>
      </c>
      <c r="AY313" s="1">
        <f t="shared" si="137"/>
        <v>0</v>
      </c>
      <c r="AZ313" s="1">
        <f t="shared" si="138"/>
        <v>0</v>
      </c>
      <c r="BA313" s="1">
        <f t="shared" si="132"/>
        <v>0</v>
      </c>
      <c r="BB313" s="5">
        <f t="shared" si="139"/>
        <v>0</v>
      </c>
      <c r="BC313" s="1">
        <f t="shared" si="123"/>
        <v>0</v>
      </c>
      <c r="BD313" s="1">
        <f t="shared" si="124"/>
        <v>0</v>
      </c>
      <c r="BE313" s="1">
        <f t="shared" si="125"/>
        <v>0</v>
      </c>
      <c r="BF313" s="5">
        <f t="shared" si="126"/>
        <v>0</v>
      </c>
      <c r="BG313" s="5">
        <f t="shared" si="127"/>
        <v>0</v>
      </c>
      <c r="BH313" s="5">
        <f t="shared" si="128"/>
        <v>0</v>
      </c>
      <c r="BI313" s="5">
        <f t="shared" si="134"/>
        <v>0</v>
      </c>
      <c r="BJ313" s="11">
        <f t="shared" si="135"/>
        <v>0</v>
      </c>
      <c r="BK313" s="11" t="e">
        <f t="shared" si="135"/>
        <v>#DIV/0!</v>
      </c>
      <c r="BM313" s="1">
        <f t="shared" si="129"/>
        <v>0</v>
      </c>
      <c r="BN313" s="1">
        <f t="shared" si="130"/>
        <v>0</v>
      </c>
    </row>
    <row r="314" spans="1:66" x14ac:dyDescent="0.2">
      <c r="A314" s="4">
        <f t="shared" si="136"/>
        <v>45966</v>
      </c>
      <c r="B314" s="1">
        <v>309</v>
      </c>
      <c r="C314" s="1">
        <v>5</v>
      </c>
      <c r="AL314" s="5"/>
      <c r="AN314" s="1">
        <f t="shared" si="114"/>
        <v>0</v>
      </c>
      <c r="AO314" s="1">
        <f t="shared" si="115"/>
        <v>0</v>
      </c>
      <c r="AP314" s="1">
        <f t="shared" si="116"/>
        <v>0</v>
      </c>
      <c r="AQ314" s="18">
        <f t="shared" si="117"/>
        <v>0</v>
      </c>
      <c r="AR314" s="24" t="e">
        <f t="shared" si="131"/>
        <v>#DIV/0!</v>
      </c>
      <c r="AT314" s="20">
        <f t="shared" si="118"/>
        <v>45966</v>
      </c>
      <c r="AU314" s="21">
        <f t="shared" si="119"/>
        <v>309</v>
      </c>
      <c r="AV314" s="1">
        <f t="shared" si="120"/>
        <v>0</v>
      </c>
      <c r="AW314" s="1">
        <f t="shared" si="121"/>
        <v>0</v>
      </c>
      <c r="AX314" s="1">
        <f t="shared" si="122"/>
        <v>0</v>
      </c>
      <c r="AY314" s="1">
        <f t="shared" si="137"/>
        <v>0</v>
      </c>
      <c r="AZ314" s="1">
        <f t="shared" si="138"/>
        <v>0</v>
      </c>
      <c r="BA314" s="1">
        <f t="shared" si="132"/>
        <v>0</v>
      </c>
      <c r="BB314" s="5">
        <f t="shared" si="139"/>
        <v>0</v>
      </c>
      <c r="BC314" s="1">
        <f t="shared" si="123"/>
        <v>0</v>
      </c>
      <c r="BD314" s="1">
        <f t="shared" si="124"/>
        <v>0</v>
      </c>
      <c r="BE314" s="1">
        <f t="shared" si="125"/>
        <v>0</v>
      </c>
      <c r="BF314" s="5">
        <f t="shared" si="126"/>
        <v>0</v>
      </c>
      <c r="BG314" s="5">
        <f t="shared" si="127"/>
        <v>0</v>
      </c>
      <c r="BH314" s="5">
        <f t="shared" si="128"/>
        <v>0</v>
      </c>
      <c r="BI314" s="5">
        <f t="shared" si="134"/>
        <v>0</v>
      </c>
      <c r="BJ314" s="11">
        <f t="shared" si="135"/>
        <v>0</v>
      </c>
      <c r="BK314" s="11" t="e">
        <f t="shared" si="135"/>
        <v>#DIV/0!</v>
      </c>
      <c r="BM314" s="1">
        <f t="shared" si="129"/>
        <v>0</v>
      </c>
      <c r="BN314" s="1">
        <f t="shared" si="130"/>
        <v>0</v>
      </c>
    </row>
    <row r="315" spans="1:66" x14ac:dyDescent="0.2">
      <c r="A315" s="4">
        <f t="shared" si="136"/>
        <v>45967</v>
      </c>
      <c r="B315" s="1">
        <v>310</v>
      </c>
      <c r="C315" s="1">
        <v>5</v>
      </c>
      <c r="AL315" s="5"/>
      <c r="AN315" s="1">
        <f t="shared" si="114"/>
        <v>0</v>
      </c>
      <c r="AO315" s="1">
        <f t="shared" si="115"/>
        <v>0</v>
      </c>
      <c r="AP315" s="1">
        <f t="shared" si="116"/>
        <v>0</v>
      </c>
      <c r="AQ315" s="18">
        <f t="shared" si="117"/>
        <v>0</v>
      </c>
      <c r="AR315" s="24" t="e">
        <f t="shared" si="131"/>
        <v>#DIV/0!</v>
      </c>
      <c r="AT315" s="20">
        <f t="shared" si="118"/>
        <v>45967</v>
      </c>
      <c r="AU315" s="21">
        <f t="shared" si="119"/>
        <v>310</v>
      </c>
      <c r="AV315" s="1">
        <f t="shared" si="120"/>
        <v>0</v>
      </c>
      <c r="AW315" s="1">
        <f t="shared" si="121"/>
        <v>0</v>
      </c>
      <c r="AX315" s="1">
        <f t="shared" si="122"/>
        <v>0</v>
      </c>
      <c r="AY315" s="1">
        <f t="shared" si="137"/>
        <v>0</v>
      </c>
      <c r="AZ315" s="1">
        <f t="shared" si="138"/>
        <v>0</v>
      </c>
      <c r="BA315" s="1">
        <f t="shared" si="132"/>
        <v>0</v>
      </c>
      <c r="BB315" s="5">
        <f t="shared" si="139"/>
        <v>0</v>
      </c>
      <c r="BC315" s="1">
        <f t="shared" si="123"/>
        <v>0</v>
      </c>
      <c r="BD315" s="1">
        <f t="shared" si="124"/>
        <v>0</v>
      </c>
      <c r="BE315" s="1">
        <f t="shared" si="125"/>
        <v>0</v>
      </c>
      <c r="BF315" s="5">
        <f t="shared" si="126"/>
        <v>0</v>
      </c>
      <c r="BG315" s="5">
        <f t="shared" si="127"/>
        <v>0</v>
      </c>
      <c r="BH315" s="5">
        <f t="shared" si="128"/>
        <v>0</v>
      </c>
      <c r="BI315" s="5">
        <f t="shared" si="134"/>
        <v>0</v>
      </c>
      <c r="BJ315" s="11">
        <f t="shared" si="135"/>
        <v>0</v>
      </c>
      <c r="BK315" s="11" t="e">
        <f t="shared" si="135"/>
        <v>#DIV/0!</v>
      </c>
      <c r="BM315" s="1">
        <f t="shared" si="129"/>
        <v>0</v>
      </c>
      <c r="BN315" s="1">
        <f t="shared" si="130"/>
        <v>0</v>
      </c>
    </row>
    <row r="316" spans="1:66" x14ac:dyDescent="0.2">
      <c r="A316" s="4">
        <f t="shared" si="136"/>
        <v>45968</v>
      </c>
      <c r="B316" s="1">
        <v>311</v>
      </c>
      <c r="C316" s="1">
        <v>5</v>
      </c>
      <c r="AL316" s="5"/>
      <c r="AN316" s="1">
        <f t="shared" si="114"/>
        <v>0</v>
      </c>
      <c r="AO316" s="1">
        <f t="shared" si="115"/>
        <v>0</v>
      </c>
      <c r="AP316" s="1">
        <f t="shared" si="116"/>
        <v>0</v>
      </c>
      <c r="AQ316" s="18">
        <f t="shared" si="117"/>
        <v>0</v>
      </c>
      <c r="AR316" s="24" t="e">
        <f t="shared" si="131"/>
        <v>#DIV/0!</v>
      </c>
      <c r="AT316" s="20">
        <f t="shared" si="118"/>
        <v>45968</v>
      </c>
      <c r="AU316" s="21">
        <f t="shared" si="119"/>
        <v>311</v>
      </c>
      <c r="AV316" s="1">
        <f t="shared" si="120"/>
        <v>0</v>
      </c>
      <c r="AW316" s="1">
        <f t="shared" si="121"/>
        <v>0</v>
      </c>
      <c r="AX316" s="1">
        <f t="shared" si="122"/>
        <v>0</v>
      </c>
      <c r="AY316" s="1">
        <f t="shared" si="137"/>
        <v>0</v>
      </c>
      <c r="AZ316" s="1">
        <f t="shared" si="138"/>
        <v>0</v>
      </c>
      <c r="BA316" s="1">
        <f t="shared" si="132"/>
        <v>0</v>
      </c>
      <c r="BB316" s="5">
        <f t="shared" si="139"/>
        <v>0</v>
      </c>
      <c r="BC316" s="1">
        <f t="shared" si="123"/>
        <v>0</v>
      </c>
      <c r="BD316" s="1">
        <f t="shared" si="124"/>
        <v>0</v>
      </c>
      <c r="BE316" s="1">
        <f t="shared" si="125"/>
        <v>0</v>
      </c>
      <c r="BF316" s="5">
        <f t="shared" si="126"/>
        <v>0</v>
      </c>
      <c r="BG316" s="5">
        <f t="shared" si="127"/>
        <v>0</v>
      </c>
      <c r="BH316" s="5">
        <f t="shared" si="128"/>
        <v>0</v>
      </c>
      <c r="BI316" s="5">
        <f t="shared" si="134"/>
        <v>0</v>
      </c>
      <c r="BJ316" s="11">
        <f t="shared" si="135"/>
        <v>0</v>
      </c>
      <c r="BK316" s="11" t="e">
        <f t="shared" si="135"/>
        <v>#DIV/0!</v>
      </c>
      <c r="BM316" s="1">
        <f t="shared" si="129"/>
        <v>0</v>
      </c>
      <c r="BN316" s="1">
        <f t="shared" si="130"/>
        <v>0</v>
      </c>
    </row>
    <row r="317" spans="1:66" x14ac:dyDescent="0.2">
      <c r="A317" s="4">
        <f t="shared" si="136"/>
        <v>45969</v>
      </c>
      <c r="B317" s="1">
        <v>312</v>
      </c>
      <c r="C317" s="1">
        <v>5</v>
      </c>
      <c r="AL317" s="5"/>
      <c r="AN317" s="1">
        <f t="shared" si="114"/>
        <v>0</v>
      </c>
      <c r="AO317" s="1">
        <f t="shared" si="115"/>
        <v>0</v>
      </c>
      <c r="AP317" s="1">
        <f t="shared" si="116"/>
        <v>0</v>
      </c>
      <c r="AQ317" s="18">
        <f t="shared" si="117"/>
        <v>0</v>
      </c>
      <c r="AR317" s="24" t="e">
        <f t="shared" si="131"/>
        <v>#DIV/0!</v>
      </c>
      <c r="AT317" s="20">
        <f t="shared" si="118"/>
        <v>45969</v>
      </c>
      <c r="AU317" s="21">
        <f t="shared" si="119"/>
        <v>312</v>
      </c>
      <c r="AV317" s="1">
        <f t="shared" si="120"/>
        <v>0</v>
      </c>
      <c r="AW317" s="1">
        <f t="shared" si="121"/>
        <v>0</v>
      </c>
      <c r="AX317" s="1">
        <f t="shared" si="122"/>
        <v>0</v>
      </c>
      <c r="AY317" s="1">
        <f t="shared" si="137"/>
        <v>0</v>
      </c>
      <c r="AZ317" s="1">
        <f t="shared" si="138"/>
        <v>0</v>
      </c>
      <c r="BA317" s="1">
        <f t="shared" si="132"/>
        <v>0</v>
      </c>
      <c r="BB317" s="5">
        <f t="shared" si="139"/>
        <v>0</v>
      </c>
      <c r="BC317" s="1">
        <f t="shared" si="123"/>
        <v>0</v>
      </c>
      <c r="BD317" s="1">
        <f t="shared" si="124"/>
        <v>0</v>
      </c>
      <c r="BE317" s="1">
        <f t="shared" si="125"/>
        <v>0</v>
      </c>
      <c r="BF317" s="5">
        <f t="shared" si="126"/>
        <v>0</v>
      </c>
      <c r="BG317" s="5">
        <f t="shared" si="127"/>
        <v>0</v>
      </c>
      <c r="BH317" s="5">
        <f t="shared" si="128"/>
        <v>0</v>
      </c>
      <c r="BI317" s="5">
        <f t="shared" si="134"/>
        <v>0</v>
      </c>
      <c r="BJ317" s="11">
        <f t="shared" si="135"/>
        <v>0</v>
      </c>
      <c r="BK317" s="11" t="e">
        <f t="shared" si="135"/>
        <v>#DIV/0!</v>
      </c>
      <c r="BM317" s="1">
        <f t="shared" si="129"/>
        <v>0</v>
      </c>
      <c r="BN317" s="1">
        <f t="shared" si="130"/>
        <v>0</v>
      </c>
    </row>
    <row r="318" spans="1:66" x14ac:dyDescent="0.2">
      <c r="A318" s="4">
        <f t="shared" si="136"/>
        <v>45970</v>
      </c>
      <c r="B318" s="1">
        <v>313</v>
      </c>
      <c r="C318" s="1">
        <v>5</v>
      </c>
      <c r="AL318" s="5"/>
      <c r="AN318" s="1">
        <f t="shared" si="114"/>
        <v>0</v>
      </c>
      <c r="AO318" s="1">
        <f t="shared" si="115"/>
        <v>0</v>
      </c>
      <c r="AP318" s="1">
        <f t="shared" si="116"/>
        <v>0</v>
      </c>
      <c r="AQ318" s="18">
        <f t="shared" si="117"/>
        <v>0</v>
      </c>
      <c r="AR318" s="24" t="e">
        <f t="shared" si="131"/>
        <v>#DIV/0!</v>
      </c>
      <c r="AT318" s="20">
        <f t="shared" si="118"/>
        <v>45970</v>
      </c>
      <c r="AU318" s="21">
        <f t="shared" si="119"/>
        <v>313</v>
      </c>
      <c r="AV318" s="1">
        <f t="shared" si="120"/>
        <v>0</v>
      </c>
      <c r="AW318" s="1">
        <f t="shared" si="121"/>
        <v>0</v>
      </c>
      <c r="AX318" s="1">
        <f t="shared" si="122"/>
        <v>0</v>
      </c>
      <c r="AY318" s="1">
        <f t="shared" si="137"/>
        <v>0</v>
      </c>
      <c r="AZ318" s="1">
        <f t="shared" si="138"/>
        <v>0</v>
      </c>
      <c r="BA318" s="1">
        <f t="shared" si="132"/>
        <v>0</v>
      </c>
      <c r="BB318" s="5">
        <f t="shared" si="139"/>
        <v>0</v>
      </c>
      <c r="BC318" s="1">
        <f t="shared" si="123"/>
        <v>0</v>
      </c>
      <c r="BD318" s="1">
        <f t="shared" si="124"/>
        <v>0</v>
      </c>
      <c r="BE318" s="1">
        <f t="shared" si="125"/>
        <v>0</v>
      </c>
      <c r="BF318" s="5">
        <f t="shared" si="126"/>
        <v>0</v>
      </c>
      <c r="BG318" s="5">
        <f t="shared" si="127"/>
        <v>0</v>
      </c>
      <c r="BH318" s="5">
        <f t="shared" si="128"/>
        <v>0</v>
      </c>
      <c r="BI318" s="5">
        <f t="shared" si="134"/>
        <v>0</v>
      </c>
      <c r="BJ318" s="11">
        <f t="shared" si="135"/>
        <v>0</v>
      </c>
      <c r="BK318" s="11" t="e">
        <f t="shared" si="135"/>
        <v>#DIV/0!</v>
      </c>
      <c r="BM318" s="1">
        <f t="shared" si="129"/>
        <v>0</v>
      </c>
      <c r="BN318" s="1">
        <f t="shared" si="130"/>
        <v>0</v>
      </c>
    </row>
    <row r="319" spans="1:66" x14ac:dyDescent="0.2">
      <c r="A319" s="4">
        <f t="shared" si="136"/>
        <v>45971</v>
      </c>
      <c r="B319" s="1">
        <v>314</v>
      </c>
      <c r="C319" s="1">
        <v>5</v>
      </c>
      <c r="AL319" s="5"/>
      <c r="AN319" s="1">
        <f t="shared" si="114"/>
        <v>0</v>
      </c>
      <c r="AO319" s="1">
        <f t="shared" si="115"/>
        <v>0</v>
      </c>
      <c r="AP319" s="1">
        <f t="shared" si="116"/>
        <v>0</v>
      </c>
      <c r="AQ319" s="18">
        <f t="shared" si="117"/>
        <v>0</v>
      </c>
      <c r="AR319" s="24" t="e">
        <f t="shared" si="131"/>
        <v>#DIV/0!</v>
      </c>
      <c r="AT319" s="20">
        <f t="shared" si="118"/>
        <v>45971</v>
      </c>
      <c r="AU319" s="21">
        <f t="shared" si="119"/>
        <v>314</v>
      </c>
      <c r="AV319" s="1">
        <f t="shared" si="120"/>
        <v>0</v>
      </c>
      <c r="AW319" s="1">
        <f t="shared" si="121"/>
        <v>0</v>
      </c>
      <c r="AX319" s="1">
        <f t="shared" si="122"/>
        <v>0</v>
      </c>
      <c r="AY319" s="1">
        <f t="shared" si="137"/>
        <v>0</v>
      </c>
      <c r="AZ319" s="1">
        <f t="shared" si="138"/>
        <v>0</v>
      </c>
      <c r="BA319" s="1">
        <f t="shared" si="132"/>
        <v>0</v>
      </c>
      <c r="BB319" s="5">
        <f t="shared" si="139"/>
        <v>0</v>
      </c>
      <c r="BC319" s="1">
        <f t="shared" si="123"/>
        <v>0</v>
      </c>
      <c r="BD319" s="1">
        <f t="shared" si="124"/>
        <v>0</v>
      </c>
      <c r="BE319" s="1">
        <f t="shared" si="125"/>
        <v>0</v>
      </c>
      <c r="BF319" s="5">
        <f t="shared" si="126"/>
        <v>0</v>
      </c>
      <c r="BG319" s="5">
        <f t="shared" si="127"/>
        <v>0</v>
      </c>
      <c r="BH319" s="5">
        <f t="shared" si="128"/>
        <v>0</v>
      </c>
      <c r="BI319" s="5">
        <f t="shared" si="134"/>
        <v>0</v>
      </c>
      <c r="BJ319" s="11">
        <f t="shared" si="135"/>
        <v>0</v>
      </c>
      <c r="BK319" s="11" t="e">
        <f t="shared" si="135"/>
        <v>#DIV/0!</v>
      </c>
      <c r="BM319" s="1">
        <f t="shared" si="129"/>
        <v>0</v>
      </c>
      <c r="BN319" s="1">
        <f t="shared" si="130"/>
        <v>0</v>
      </c>
    </row>
    <row r="320" spans="1:66" x14ac:dyDescent="0.2">
      <c r="A320" s="4">
        <f t="shared" si="136"/>
        <v>45972</v>
      </c>
      <c r="B320" s="1">
        <v>315</v>
      </c>
      <c r="C320" s="1">
        <v>5</v>
      </c>
      <c r="AL320" s="5"/>
      <c r="AN320" s="1">
        <f t="shared" si="114"/>
        <v>0</v>
      </c>
      <c r="AO320" s="1">
        <f t="shared" si="115"/>
        <v>0</v>
      </c>
      <c r="AP320" s="1">
        <f t="shared" si="116"/>
        <v>0</v>
      </c>
      <c r="AQ320" s="18">
        <f t="shared" si="117"/>
        <v>0</v>
      </c>
      <c r="AR320" s="24" t="e">
        <f t="shared" si="131"/>
        <v>#DIV/0!</v>
      </c>
      <c r="AT320" s="20">
        <f t="shared" si="118"/>
        <v>45972</v>
      </c>
      <c r="AU320" s="21">
        <f t="shared" si="119"/>
        <v>315</v>
      </c>
      <c r="AV320" s="1">
        <f t="shared" si="120"/>
        <v>0</v>
      </c>
      <c r="AW320" s="1">
        <f t="shared" si="121"/>
        <v>0</v>
      </c>
      <c r="AX320" s="1">
        <f t="shared" si="122"/>
        <v>0</v>
      </c>
      <c r="AY320" s="1">
        <f t="shared" si="137"/>
        <v>0</v>
      </c>
      <c r="AZ320" s="1">
        <f t="shared" si="138"/>
        <v>0</v>
      </c>
      <c r="BA320" s="1">
        <f t="shared" si="132"/>
        <v>0</v>
      </c>
      <c r="BB320" s="5">
        <f t="shared" si="139"/>
        <v>0</v>
      </c>
      <c r="BC320" s="1">
        <f t="shared" si="123"/>
        <v>0</v>
      </c>
      <c r="BD320" s="1">
        <f t="shared" si="124"/>
        <v>0</v>
      </c>
      <c r="BE320" s="1">
        <f t="shared" si="125"/>
        <v>0</v>
      </c>
      <c r="BF320" s="5">
        <f t="shared" si="126"/>
        <v>0</v>
      </c>
      <c r="BG320" s="5">
        <f t="shared" si="127"/>
        <v>0</v>
      </c>
      <c r="BH320" s="5">
        <f t="shared" si="128"/>
        <v>0</v>
      </c>
      <c r="BI320" s="5">
        <f t="shared" si="134"/>
        <v>0</v>
      </c>
      <c r="BJ320" s="11">
        <f t="shared" si="135"/>
        <v>0</v>
      </c>
      <c r="BK320" s="11" t="e">
        <f t="shared" si="135"/>
        <v>#DIV/0!</v>
      </c>
      <c r="BM320" s="1">
        <f t="shared" si="129"/>
        <v>0</v>
      </c>
      <c r="BN320" s="1">
        <f t="shared" si="130"/>
        <v>0</v>
      </c>
    </row>
    <row r="321" spans="1:66" x14ac:dyDescent="0.2">
      <c r="A321" s="4">
        <f t="shared" si="136"/>
        <v>45973</v>
      </c>
      <c r="B321" s="1">
        <v>316</v>
      </c>
      <c r="C321" s="1">
        <v>5</v>
      </c>
      <c r="AL321" s="5"/>
      <c r="AN321" s="1">
        <f t="shared" si="114"/>
        <v>0</v>
      </c>
      <c r="AO321" s="1">
        <f t="shared" si="115"/>
        <v>0</v>
      </c>
      <c r="AP321" s="1">
        <f t="shared" si="116"/>
        <v>0</v>
      </c>
      <c r="AQ321" s="18">
        <f t="shared" si="117"/>
        <v>0</v>
      </c>
      <c r="AR321" s="24" t="e">
        <f t="shared" si="131"/>
        <v>#DIV/0!</v>
      </c>
      <c r="AT321" s="20">
        <f t="shared" si="118"/>
        <v>45973</v>
      </c>
      <c r="AU321" s="21">
        <f t="shared" si="119"/>
        <v>316</v>
      </c>
      <c r="AV321" s="1">
        <f t="shared" si="120"/>
        <v>0</v>
      </c>
      <c r="AW321" s="1">
        <f t="shared" si="121"/>
        <v>0</v>
      </c>
      <c r="AX321" s="1">
        <f t="shared" si="122"/>
        <v>0</v>
      </c>
      <c r="AY321" s="1">
        <f t="shared" si="137"/>
        <v>0</v>
      </c>
      <c r="AZ321" s="1">
        <f t="shared" si="138"/>
        <v>0</v>
      </c>
      <c r="BA321" s="1">
        <f t="shared" si="132"/>
        <v>0</v>
      </c>
      <c r="BB321" s="5">
        <f t="shared" si="139"/>
        <v>0</v>
      </c>
      <c r="BC321" s="1">
        <f t="shared" si="123"/>
        <v>0</v>
      </c>
      <c r="BD321" s="1">
        <f t="shared" si="124"/>
        <v>0</v>
      </c>
      <c r="BE321" s="1">
        <f t="shared" si="125"/>
        <v>0</v>
      </c>
      <c r="BF321" s="5">
        <f t="shared" si="126"/>
        <v>0</v>
      </c>
      <c r="BG321" s="5">
        <f t="shared" si="127"/>
        <v>0</v>
      </c>
      <c r="BH321" s="5">
        <f t="shared" si="128"/>
        <v>0</v>
      </c>
      <c r="BI321" s="5">
        <f t="shared" si="134"/>
        <v>0</v>
      </c>
      <c r="BJ321" s="11">
        <f t="shared" si="135"/>
        <v>0</v>
      </c>
      <c r="BK321" s="11" t="e">
        <f t="shared" si="135"/>
        <v>#DIV/0!</v>
      </c>
      <c r="BM321" s="1">
        <f t="shared" si="129"/>
        <v>0</v>
      </c>
      <c r="BN321" s="1">
        <f t="shared" si="130"/>
        <v>0</v>
      </c>
    </row>
    <row r="322" spans="1:66" x14ac:dyDescent="0.2">
      <c r="A322" s="4">
        <f t="shared" si="136"/>
        <v>45974</v>
      </c>
      <c r="B322" s="1">
        <v>317</v>
      </c>
      <c r="C322" s="1">
        <v>5</v>
      </c>
      <c r="AL322" s="5"/>
      <c r="AN322" s="1">
        <f t="shared" si="114"/>
        <v>0</v>
      </c>
      <c r="AO322" s="1">
        <f t="shared" si="115"/>
        <v>0</v>
      </c>
      <c r="AP322" s="1">
        <f t="shared" si="116"/>
        <v>0</v>
      </c>
      <c r="AQ322" s="18">
        <f t="shared" si="117"/>
        <v>0</v>
      </c>
      <c r="AR322" s="24" t="e">
        <f t="shared" si="131"/>
        <v>#DIV/0!</v>
      </c>
      <c r="AT322" s="20">
        <f t="shared" si="118"/>
        <v>45974</v>
      </c>
      <c r="AU322" s="21">
        <f t="shared" si="119"/>
        <v>317</v>
      </c>
      <c r="AV322" s="1">
        <f t="shared" si="120"/>
        <v>0</v>
      </c>
      <c r="AW322" s="1">
        <f t="shared" si="121"/>
        <v>0</v>
      </c>
      <c r="AX322" s="1">
        <f t="shared" si="122"/>
        <v>0</v>
      </c>
      <c r="AY322" s="1">
        <f t="shared" si="137"/>
        <v>0</v>
      </c>
      <c r="AZ322" s="1">
        <f t="shared" si="138"/>
        <v>0</v>
      </c>
      <c r="BA322" s="1">
        <f t="shared" si="132"/>
        <v>0</v>
      </c>
      <c r="BB322" s="5">
        <f t="shared" si="139"/>
        <v>0</v>
      </c>
      <c r="BC322" s="1">
        <f t="shared" si="123"/>
        <v>0</v>
      </c>
      <c r="BD322" s="1">
        <f t="shared" si="124"/>
        <v>0</v>
      </c>
      <c r="BE322" s="1">
        <f t="shared" si="125"/>
        <v>0</v>
      </c>
      <c r="BF322" s="5">
        <f t="shared" si="126"/>
        <v>0</v>
      </c>
      <c r="BG322" s="5">
        <f t="shared" si="127"/>
        <v>0</v>
      </c>
      <c r="BH322" s="5">
        <f t="shared" si="128"/>
        <v>0</v>
      </c>
      <c r="BI322" s="5">
        <f t="shared" si="134"/>
        <v>0</v>
      </c>
      <c r="BJ322" s="11">
        <f t="shared" si="135"/>
        <v>0</v>
      </c>
      <c r="BK322" s="11" t="e">
        <f t="shared" si="135"/>
        <v>#DIV/0!</v>
      </c>
      <c r="BM322" s="1">
        <f t="shared" si="129"/>
        <v>0</v>
      </c>
      <c r="BN322" s="1">
        <f t="shared" si="130"/>
        <v>0</v>
      </c>
    </row>
    <row r="323" spans="1:66" x14ac:dyDescent="0.2">
      <c r="A323" s="4">
        <f t="shared" si="136"/>
        <v>45975</v>
      </c>
      <c r="B323" s="1">
        <v>318</v>
      </c>
      <c r="C323" s="1">
        <v>5</v>
      </c>
      <c r="AL323" s="5"/>
      <c r="AN323" s="1">
        <f t="shared" si="114"/>
        <v>0</v>
      </c>
      <c r="AO323" s="1">
        <f t="shared" si="115"/>
        <v>0</v>
      </c>
      <c r="AP323" s="1">
        <f t="shared" si="116"/>
        <v>0</v>
      </c>
      <c r="AQ323" s="18">
        <f t="shared" si="117"/>
        <v>0</v>
      </c>
      <c r="AR323" s="24" t="e">
        <f t="shared" si="131"/>
        <v>#DIV/0!</v>
      </c>
      <c r="AT323" s="20">
        <f t="shared" si="118"/>
        <v>45975</v>
      </c>
      <c r="AU323" s="21">
        <f t="shared" si="119"/>
        <v>318</v>
      </c>
      <c r="AV323" s="1">
        <f t="shared" si="120"/>
        <v>0</v>
      </c>
      <c r="AW323" s="1">
        <f t="shared" si="121"/>
        <v>0</v>
      </c>
      <c r="AX323" s="1">
        <f t="shared" si="122"/>
        <v>0</v>
      </c>
      <c r="AY323" s="1">
        <f t="shared" si="137"/>
        <v>0</v>
      </c>
      <c r="AZ323" s="1">
        <f t="shared" si="138"/>
        <v>0</v>
      </c>
      <c r="BA323" s="1">
        <f t="shared" si="132"/>
        <v>0</v>
      </c>
      <c r="BB323" s="5">
        <f t="shared" si="139"/>
        <v>0</v>
      </c>
      <c r="BC323" s="1">
        <f t="shared" si="123"/>
        <v>0</v>
      </c>
      <c r="BD323" s="1">
        <f t="shared" si="124"/>
        <v>0</v>
      </c>
      <c r="BE323" s="1">
        <f t="shared" si="125"/>
        <v>0</v>
      </c>
      <c r="BF323" s="5">
        <f t="shared" si="126"/>
        <v>0</v>
      </c>
      <c r="BG323" s="5">
        <f t="shared" si="127"/>
        <v>0</v>
      </c>
      <c r="BH323" s="5">
        <f t="shared" si="128"/>
        <v>0</v>
      </c>
      <c r="BI323" s="5">
        <f t="shared" si="134"/>
        <v>0</v>
      </c>
      <c r="BJ323" s="11">
        <f t="shared" si="135"/>
        <v>0</v>
      </c>
      <c r="BK323" s="11" t="e">
        <f t="shared" si="135"/>
        <v>#DIV/0!</v>
      </c>
      <c r="BM323" s="1">
        <f t="shared" si="129"/>
        <v>0</v>
      </c>
      <c r="BN323" s="1">
        <f t="shared" si="130"/>
        <v>0</v>
      </c>
    </row>
    <row r="324" spans="1:66" x14ac:dyDescent="0.2">
      <c r="A324" s="4">
        <f t="shared" si="136"/>
        <v>45976</v>
      </c>
      <c r="B324" s="1">
        <v>319</v>
      </c>
      <c r="C324" s="1">
        <v>5</v>
      </c>
      <c r="AL324" s="5"/>
      <c r="AN324" s="1">
        <f t="shared" si="114"/>
        <v>0</v>
      </c>
      <c r="AO324" s="1">
        <f t="shared" si="115"/>
        <v>0</v>
      </c>
      <c r="AP324" s="1">
        <f t="shared" si="116"/>
        <v>0</v>
      </c>
      <c r="AQ324" s="18">
        <f t="shared" si="117"/>
        <v>0</v>
      </c>
      <c r="AR324" s="24" t="e">
        <f t="shared" si="131"/>
        <v>#DIV/0!</v>
      </c>
      <c r="AT324" s="20">
        <f t="shared" si="118"/>
        <v>45976</v>
      </c>
      <c r="AU324" s="21">
        <f t="shared" si="119"/>
        <v>319</v>
      </c>
      <c r="AV324" s="1">
        <f t="shared" si="120"/>
        <v>0</v>
      </c>
      <c r="AW324" s="1">
        <f t="shared" si="121"/>
        <v>0</v>
      </c>
      <c r="AX324" s="1">
        <f t="shared" si="122"/>
        <v>0</v>
      </c>
      <c r="AY324" s="1">
        <f t="shared" si="137"/>
        <v>0</v>
      </c>
      <c r="AZ324" s="1">
        <f t="shared" si="138"/>
        <v>0</v>
      </c>
      <c r="BA324" s="1">
        <f t="shared" si="132"/>
        <v>0</v>
      </c>
      <c r="BB324" s="5">
        <f t="shared" si="139"/>
        <v>0</v>
      </c>
      <c r="BC324" s="1">
        <f t="shared" si="123"/>
        <v>0</v>
      </c>
      <c r="BD324" s="1">
        <f t="shared" si="124"/>
        <v>0</v>
      </c>
      <c r="BE324" s="1">
        <f t="shared" si="125"/>
        <v>0</v>
      </c>
      <c r="BF324" s="5">
        <f t="shared" si="126"/>
        <v>0</v>
      </c>
      <c r="BG324" s="5">
        <f t="shared" si="127"/>
        <v>0</v>
      </c>
      <c r="BH324" s="5">
        <f t="shared" si="128"/>
        <v>0</v>
      </c>
      <c r="BI324" s="5">
        <f t="shared" si="134"/>
        <v>0</v>
      </c>
      <c r="BJ324" s="11">
        <f t="shared" si="135"/>
        <v>0</v>
      </c>
      <c r="BK324" s="11" t="e">
        <f t="shared" si="135"/>
        <v>#DIV/0!</v>
      </c>
      <c r="BM324" s="1">
        <f t="shared" si="129"/>
        <v>0</v>
      </c>
      <c r="BN324" s="1">
        <f t="shared" si="130"/>
        <v>0</v>
      </c>
    </row>
    <row r="325" spans="1:66" x14ac:dyDescent="0.2">
      <c r="A325" s="4">
        <f t="shared" si="136"/>
        <v>45977</v>
      </c>
      <c r="B325" s="1">
        <v>320</v>
      </c>
      <c r="C325" s="1">
        <v>5</v>
      </c>
      <c r="AL325" s="5"/>
      <c r="AN325" s="1">
        <f t="shared" si="114"/>
        <v>0</v>
      </c>
      <c r="AO325" s="1">
        <f t="shared" si="115"/>
        <v>0</v>
      </c>
      <c r="AP325" s="1">
        <f t="shared" si="116"/>
        <v>0</v>
      </c>
      <c r="AQ325" s="18">
        <f t="shared" si="117"/>
        <v>0</v>
      </c>
      <c r="AR325" s="24" t="e">
        <f t="shared" si="131"/>
        <v>#DIV/0!</v>
      </c>
      <c r="AT325" s="20">
        <f t="shared" si="118"/>
        <v>45977</v>
      </c>
      <c r="AU325" s="21">
        <f t="shared" si="119"/>
        <v>320</v>
      </c>
      <c r="AV325" s="1">
        <f t="shared" si="120"/>
        <v>0</v>
      </c>
      <c r="AW325" s="1">
        <f t="shared" si="121"/>
        <v>0</v>
      </c>
      <c r="AX325" s="1">
        <f t="shared" si="122"/>
        <v>0</v>
      </c>
      <c r="AY325" s="1">
        <f t="shared" si="137"/>
        <v>0</v>
      </c>
      <c r="AZ325" s="1">
        <f t="shared" si="138"/>
        <v>0</v>
      </c>
      <c r="BA325" s="1">
        <f t="shared" si="132"/>
        <v>0</v>
      </c>
      <c r="BB325" s="5">
        <f t="shared" si="139"/>
        <v>0</v>
      </c>
      <c r="BC325" s="1">
        <f t="shared" si="123"/>
        <v>0</v>
      </c>
      <c r="BD325" s="1">
        <f t="shared" si="124"/>
        <v>0</v>
      </c>
      <c r="BE325" s="1">
        <f t="shared" si="125"/>
        <v>0</v>
      </c>
      <c r="BF325" s="5">
        <f t="shared" si="126"/>
        <v>0</v>
      </c>
      <c r="BG325" s="5">
        <f t="shared" si="127"/>
        <v>0</v>
      </c>
      <c r="BH325" s="5">
        <f t="shared" si="128"/>
        <v>0</v>
      </c>
      <c r="BI325" s="5">
        <f t="shared" si="134"/>
        <v>0</v>
      </c>
      <c r="BJ325" s="11">
        <f t="shared" si="135"/>
        <v>0</v>
      </c>
      <c r="BK325" s="11" t="e">
        <f t="shared" si="135"/>
        <v>#DIV/0!</v>
      </c>
      <c r="BM325" s="1">
        <f t="shared" si="129"/>
        <v>0</v>
      </c>
      <c r="BN325" s="1">
        <f t="shared" si="130"/>
        <v>0</v>
      </c>
    </row>
    <row r="326" spans="1:66" x14ac:dyDescent="0.2">
      <c r="A326" s="4">
        <f t="shared" si="136"/>
        <v>45978</v>
      </c>
      <c r="B326" s="1">
        <v>321</v>
      </c>
      <c r="C326" s="1">
        <v>5</v>
      </c>
      <c r="AL326" s="5"/>
      <c r="AN326" s="1">
        <f t="shared" ref="AN326:AN370" si="140">ROUND(O326*AN$3+AO$3,1)</f>
        <v>0</v>
      </c>
      <c r="AO326" s="1">
        <f t="shared" ref="AO326:AO370" si="141">ROUND(H326*AN$3+AO$3,1)</f>
        <v>0</v>
      </c>
      <c r="AP326" s="1">
        <f t="shared" ref="AP326:AP370" si="142">ROUND(V326*AN$3+AO$3,1)</f>
        <v>0</v>
      </c>
      <c r="AQ326" s="18">
        <f t="shared" ref="AQ326:AQ370" si="143">ROUND((0.6105*(EXP((17.273*N326)/(N326+237.3))))*AP326/100,3)</f>
        <v>0</v>
      </c>
      <c r="AR326" s="24" t="e">
        <f t="shared" si="131"/>
        <v>#DIV/0!</v>
      </c>
      <c r="AT326" s="20">
        <f t="shared" ref="AT326:AT370" si="144">A326</f>
        <v>45978</v>
      </c>
      <c r="AU326" s="21">
        <f t="shared" ref="AU326:AU370" si="145">B326</f>
        <v>321</v>
      </c>
      <c r="AV326" s="1">
        <f t="shared" ref="AV326:AV370" si="146">ROUND(G326,1)</f>
        <v>0</v>
      </c>
      <c r="AW326" s="1">
        <f t="shared" ref="AW326:AW370" si="147">ROUND(N326,1)</f>
        <v>0</v>
      </c>
      <c r="AX326" s="1">
        <f t="shared" ref="AX326:AX370" si="148">ROUND(U326,1)</f>
        <v>0</v>
      </c>
      <c r="AY326" s="1">
        <f t="shared" si="137"/>
        <v>0</v>
      </c>
      <c r="AZ326" s="1">
        <f t="shared" si="138"/>
        <v>0</v>
      </c>
      <c r="BA326" s="1">
        <f t="shared" si="132"/>
        <v>0</v>
      </c>
      <c r="BB326" s="5">
        <f t="shared" si="139"/>
        <v>0</v>
      </c>
      <c r="BC326" s="1">
        <f t="shared" ref="BC326:BC370" si="149">ROUND(AC326,1)</f>
        <v>0</v>
      </c>
      <c r="BD326" s="1">
        <f t="shared" ref="BD326:BD370" si="150">ROUND(AD326,1)</f>
        <v>0</v>
      </c>
      <c r="BE326" s="1">
        <f t="shared" ref="BE326:BE370" si="151">ROUND(AE326,1)</f>
        <v>0</v>
      </c>
      <c r="BF326" s="5">
        <f t="shared" ref="BF326:BF370" si="152">ROUND(K326,1)</f>
        <v>0</v>
      </c>
      <c r="BG326" s="5">
        <f t="shared" ref="BG326:BG370" si="153">ROUND(L326,1)</f>
        <v>0</v>
      </c>
      <c r="BH326" s="5">
        <f t="shared" ref="BH326:BH370" si="154">ROUND(M326,1)</f>
        <v>0</v>
      </c>
      <c r="BI326" s="5">
        <f t="shared" si="134"/>
        <v>0</v>
      </c>
      <c r="BJ326" s="11">
        <f t="shared" si="135"/>
        <v>0</v>
      </c>
      <c r="BK326" s="11" t="e">
        <f t="shared" si="135"/>
        <v>#DIV/0!</v>
      </c>
      <c r="BM326" s="1">
        <f t="shared" ref="BM326:BM370" si="155">AD326-N326</f>
        <v>0</v>
      </c>
      <c r="BN326" s="1">
        <f t="shared" ref="BN326:BN370" si="156">AE326-U326</f>
        <v>0</v>
      </c>
    </row>
    <row r="327" spans="1:66" x14ac:dyDescent="0.2">
      <c r="A327" s="4">
        <f t="shared" si="136"/>
        <v>45979</v>
      </c>
      <c r="B327" s="1">
        <v>322</v>
      </c>
      <c r="C327" s="1">
        <v>5</v>
      </c>
      <c r="AL327" s="5"/>
      <c r="AN327" s="1">
        <f t="shared" si="140"/>
        <v>0</v>
      </c>
      <c r="AO327" s="1">
        <f t="shared" si="141"/>
        <v>0</v>
      </c>
      <c r="AP327" s="1">
        <f t="shared" si="142"/>
        <v>0</v>
      </c>
      <c r="AQ327" s="18">
        <f t="shared" si="143"/>
        <v>0</v>
      </c>
      <c r="AR327" s="24" t="e">
        <f t="shared" ref="AR327:AR370" si="157">ROUND(AQ327/AP327*(100-AP327),3)</f>
        <v>#DIV/0!</v>
      </c>
      <c r="AT327" s="20">
        <f t="shared" si="144"/>
        <v>45979</v>
      </c>
      <c r="AU327" s="21">
        <f t="shared" si="145"/>
        <v>322</v>
      </c>
      <c r="AV327" s="1">
        <f t="shared" si="146"/>
        <v>0</v>
      </c>
      <c r="AW327" s="1">
        <f t="shared" si="147"/>
        <v>0</v>
      </c>
      <c r="AX327" s="1">
        <f t="shared" si="148"/>
        <v>0</v>
      </c>
      <c r="AY327" s="1">
        <f t="shared" si="137"/>
        <v>0</v>
      </c>
      <c r="AZ327" s="1">
        <f t="shared" si="138"/>
        <v>0</v>
      </c>
      <c r="BA327" s="1">
        <f t="shared" ref="BA327:BA370" si="158">AK327</f>
        <v>0</v>
      </c>
      <c r="BB327" s="5">
        <f t="shared" si="139"/>
        <v>0</v>
      </c>
      <c r="BC327" s="1">
        <f t="shared" si="149"/>
        <v>0</v>
      </c>
      <c r="BD327" s="1">
        <f t="shared" si="150"/>
        <v>0</v>
      </c>
      <c r="BE327" s="1">
        <f t="shared" si="151"/>
        <v>0</v>
      </c>
      <c r="BF327" s="5">
        <f t="shared" si="152"/>
        <v>0</v>
      </c>
      <c r="BG327" s="5">
        <f t="shared" si="153"/>
        <v>0</v>
      </c>
      <c r="BH327" s="5">
        <f t="shared" si="154"/>
        <v>0</v>
      </c>
      <c r="BI327" s="5">
        <f t="shared" ref="BI327:BI370" si="159">IF(AH327="NAN","NAN",ROUND(AH327,3))</f>
        <v>0</v>
      </c>
      <c r="BJ327" s="11">
        <f t="shared" ref="BJ327:BK370" si="160">AQ327</f>
        <v>0</v>
      </c>
      <c r="BK327" s="11" t="e">
        <f t="shared" si="160"/>
        <v>#DIV/0!</v>
      </c>
      <c r="BM327" s="1">
        <f t="shared" si="155"/>
        <v>0</v>
      </c>
      <c r="BN327" s="1">
        <f t="shared" si="156"/>
        <v>0</v>
      </c>
    </row>
    <row r="328" spans="1:66" x14ac:dyDescent="0.2">
      <c r="A328" s="4">
        <f t="shared" ref="A328:A370" si="161">A327+1</f>
        <v>45980</v>
      </c>
      <c r="B328" s="1">
        <v>323</v>
      </c>
      <c r="C328" s="1">
        <v>5</v>
      </c>
      <c r="AL328" s="5"/>
      <c r="AN328" s="1">
        <f t="shared" si="140"/>
        <v>0</v>
      </c>
      <c r="AO328" s="1">
        <f t="shared" si="141"/>
        <v>0</v>
      </c>
      <c r="AP328" s="1">
        <f t="shared" si="142"/>
        <v>0</v>
      </c>
      <c r="AQ328" s="18">
        <f t="shared" si="143"/>
        <v>0</v>
      </c>
      <c r="AR328" s="24" t="e">
        <f t="shared" si="157"/>
        <v>#DIV/0!</v>
      </c>
      <c r="AT328" s="20">
        <f t="shared" si="144"/>
        <v>45980</v>
      </c>
      <c r="AU328" s="21">
        <f t="shared" si="145"/>
        <v>323</v>
      </c>
      <c r="AV328" s="1">
        <f t="shared" si="146"/>
        <v>0</v>
      </c>
      <c r="AW328" s="1">
        <f t="shared" si="147"/>
        <v>0</v>
      </c>
      <c r="AX328" s="1">
        <f t="shared" si="148"/>
        <v>0</v>
      </c>
      <c r="AY328" s="1">
        <f t="shared" si="137"/>
        <v>0</v>
      </c>
      <c r="AZ328" s="1">
        <f t="shared" si="138"/>
        <v>0</v>
      </c>
      <c r="BA328" s="1">
        <f t="shared" si="158"/>
        <v>0</v>
      </c>
      <c r="BB328" s="5">
        <f t="shared" si="139"/>
        <v>0</v>
      </c>
      <c r="BC328" s="1">
        <f t="shared" si="149"/>
        <v>0</v>
      </c>
      <c r="BD328" s="1">
        <f t="shared" si="150"/>
        <v>0</v>
      </c>
      <c r="BE328" s="1">
        <f t="shared" si="151"/>
        <v>0</v>
      </c>
      <c r="BF328" s="5">
        <f t="shared" si="152"/>
        <v>0</v>
      </c>
      <c r="BG328" s="5">
        <f t="shared" si="153"/>
        <v>0</v>
      </c>
      <c r="BH328" s="5">
        <f t="shared" si="154"/>
        <v>0</v>
      </c>
      <c r="BI328" s="5">
        <f t="shared" si="159"/>
        <v>0</v>
      </c>
      <c r="BJ328" s="11">
        <f t="shared" si="160"/>
        <v>0</v>
      </c>
      <c r="BK328" s="11" t="e">
        <f t="shared" si="160"/>
        <v>#DIV/0!</v>
      </c>
      <c r="BM328" s="1">
        <f t="shared" si="155"/>
        <v>0</v>
      </c>
      <c r="BN328" s="1">
        <f t="shared" si="156"/>
        <v>0</v>
      </c>
    </row>
    <row r="329" spans="1:66" x14ac:dyDescent="0.2">
      <c r="A329" s="4">
        <f t="shared" si="161"/>
        <v>45981</v>
      </c>
      <c r="B329" s="1">
        <v>324</v>
      </c>
      <c r="C329" s="1">
        <v>5</v>
      </c>
      <c r="AL329" s="5"/>
      <c r="AN329" s="1">
        <f t="shared" si="140"/>
        <v>0</v>
      </c>
      <c r="AO329" s="1">
        <f t="shared" si="141"/>
        <v>0</v>
      </c>
      <c r="AP329" s="1">
        <f t="shared" si="142"/>
        <v>0</v>
      </c>
      <c r="AQ329" s="18">
        <f t="shared" si="143"/>
        <v>0</v>
      </c>
      <c r="AR329" s="24" t="e">
        <f t="shared" si="157"/>
        <v>#DIV/0!</v>
      </c>
      <c r="AT329" s="20">
        <f t="shared" si="144"/>
        <v>45981</v>
      </c>
      <c r="AU329" s="21">
        <f t="shared" si="145"/>
        <v>324</v>
      </c>
      <c r="AV329" s="1">
        <f t="shared" si="146"/>
        <v>0</v>
      </c>
      <c r="AW329" s="1">
        <f t="shared" si="147"/>
        <v>0</v>
      </c>
      <c r="AX329" s="1">
        <f t="shared" si="148"/>
        <v>0</v>
      </c>
      <c r="AY329" s="1">
        <f t="shared" si="137"/>
        <v>0</v>
      </c>
      <c r="AZ329" s="1">
        <f t="shared" si="138"/>
        <v>0</v>
      </c>
      <c r="BA329" s="1">
        <f t="shared" si="158"/>
        <v>0</v>
      </c>
      <c r="BB329" s="5">
        <f t="shared" si="139"/>
        <v>0</v>
      </c>
      <c r="BC329" s="1">
        <f t="shared" si="149"/>
        <v>0</v>
      </c>
      <c r="BD329" s="1">
        <f t="shared" si="150"/>
        <v>0</v>
      </c>
      <c r="BE329" s="1">
        <f t="shared" si="151"/>
        <v>0</v>
      </c>
      <c r="BF329" s="5">
        <f t="shared" si="152"/>
        <v>0</v>
      </c>
      <c r="BG329" s="5">
        <f t="shared" si="153"/>
        <v>0</v>
      </c>
      <c r="BH329" s="5">
        <f t="shared" si="154"/>
        <v>0</v>
      </c>
      <c r="BI329" s="5">
        <f t="shared" si="159"/>
        <v>0</v>
      </c>
      <c r="BJ329" s="11">
        <f t="shared" si="160"/>
        <v>0</v>
      </c>
      <c r="BK329" s="11" t="e">
        <f t="shared" si="160"/>
        <v>#DIV/0!</v>
      </c>
      <c r="BM329" s="1">
        <f t="shared" si="155"/>
        <v>0</v>
      </c>
      <c r="BN329" s="1">
        <f t="shared" si="156"/>
        <v>0</v>
      </c>
    </row>
    <row r="330" spans="1:66" x14ac:dyDescent="0.2">
      <c r="A330" s="4">
        <f t="shared" si="161"/>
        <v>45982</v>
      </c>
      <c r="B330" s="1">
        <v>325</v>
      </c>
      <c r="C330" s="1">
        <v>5</v>
      </c>
      <c r="AL330" s="5"/>
      <c r="AN330" s="1">
        <f t="shared" si="140"/>
        <v>0</v>
      </c>
      <c r="AO330" s="1">
        <f t="shared" si="141"/>
        <v>0</v>
      </c>
      <c r="AP330" s="1">
        <f t="shared" si="142"/>
        <v>0</v>
      </c>
      <c r="AQ330" s="18">
        <f t="shared" si="143"/>
        <v>0</v>
      </c>
      <c r="AR330" s="24" t="e">
        <f t="shared" si="157"/>
        <v>#DIV/0!</v>
      </c>
      <c r="AT330" s="20">
        <f t="shared" si="144"/>
        <v>45982</v>
      </c>
      <c r="AU330" s="21">
        <f t="shared" si="145"/>
        <v>325</v>
      </c>
      <c r="AV330" s="1">
        <f t="shared" si="146"/>
        <v>0</v>
      </c>
      <c r="AW330" s="1">
        <f t="shared" si="147"/>
        <v>0</v>
      </c>
      <c r="AX330" s="1">
        <f t="shared" si="148"/>
        <v>0</v>
      </c>
      <c r="AY330" s="1">
        <f t="shared" si="137"/>
        <v>0</v>
      </c>
      <c r="AZ330" s="1">
        <f t="shared" si="138"/>
        <v>0</v>
      </c>
      <c r="BA330" s="1">
        <f t="shared" si="158"/>
        <v>0</v>
      </c>
      <c r="BB330" s="5">
        <f t="shared" si="139"/>
        <v>0</v>
      </c>
      <c r="BC330" s="1">
        <f t="shared" si="149"/>
        <v>0</v>
      </c>
      <c r="BD330" s="1">
        <f t="shared" si="150"/>
        <v>0</v>
      </c>
      <c r="BE330" s="1">
        <f t="shared" si="151"/>
        <v>0</v>
      </c>
      <c r="BF330" s="5">
        <f t="shared" si="152"/>
        <v>0</v>
      </c>
      <c r="BG330" s="5">
        <f t="shared" si="153"/>
        <v>0</v>
      </c>
      <c r="BH330" s="5">
        <f t="shared" si="154"/>
        <v>0</v>
      </c>
      <c r="BI330" s="5">
        <f t="shared" si="159"/>
        <v>0</v>
      </c>
      <c r="BJ330" s="11">
        <f t="shared" si="160"/>
        <v>0</v>
      </c>
      <c r="BK330" s="11" t="e">
        <f t="shared" si="160"/>
        <v>#DIV/0!</v>
      </c>
      <c r="BM330" s="1">
        <f t="shared" si="155"/>
        <v>0</v>
      </c>
      <c r="BN330" s="1">
        <f t="shared" si="156"/>
        <v>0</v>
      </c>
    </row>
    <row r="331" spans="1:66" x14ac:dyDescent="0.2">
      <c r="A331" s="4">
        <f t="shared" si="161"/>
        <v>45983</v>
      </c>
      <c r="B331" s="1">
        <v>326</v>
      </c>
      <c r="C331" s="1">
        <v>5</v>
      </c>
      <c r="AL331" s="5"/>
      <c r="AN331" s="1">
        <f t="shared" si="140"/>
        <v>0</v>
      </c>
      <c r="AO331" s="1">
        <f t="shared" si="141"/>
        <v>0</v>
      </c>
      <c r="AP331" s="1">
        <f t="shared" si="142"/>
        <v>0</v>
      </c>
      <c r="AQ331" s="18">
        <f t="shared" si="143"/>
        <v>0</v>
      </c>
      <c r="AR331" s="24" t="e">
        <f t="shared" si="157"/>
        <v>#DIV/0!</v>
      </c>
      <c r="AT331" s="20">
        <f t="shared" si="144"/>
        <v>45983</v>
      </c>
      <c r="AU331" s="21">
        <f t="shared" si="145"/>
        <v>326</v>
      </c>
      <c r="AV331" s="1">
        <f t="shared" si="146"/>
        <v>0</v>
      </c>
      <c r="AW331" s="1">
        <f t="shared" si="147"/>
        <v>0</v>
      </c>
      <c r="AX331" s="1">
        <f t="shared" si="148"/>
        <v>0</v>
      </c>
      <c r="AY331" s="1">
        <f t="shared" si="137"/>
        <v>0</v>
      </c>
      <c r="AZ331" s="1">
        <f t="shared" si="138"/>
        <v>0</v>
      </c>
      <c r="BA331" s="1">
        <f t="shared" si="158"/>
        <v>0</v>
      </c>
      <c r="BB331" s="5">
        <f t="shared" si="139"/>
        <v>0</v>
      </c>
      <c r="BC331" s="1">
        <f t="shared" si="149"/>
        <v>0</v>
      </c>
      <c r="BD331" s="1">
        <f t="shared" si="150"/>
        <v>0</v>
      </c>
      <c r="BE331" s="1">
        <f t="shared" si="151"/>
        <v>0</v>
      </c>
      <c r="BF331" s="5">
        <f t="shared" si="152"/>
        <v>0</v>
      </c>
      <c r="BG331" s="5">
        <f t="shared" si="153"/>
        <v>0</v>
      </c>
      <c r="BH331" s="5">
        <f t="shared" si="154"/>
        <v>0</v>
      </c>
      <c r="BI331" s="5">
        <f t="shared" si="159"/>
        <v>0</v>
      </c>
      <c r="BJ331" s="11">
        <f t="shared" si="160"/>
        <v>0</v>
      </c>
      <c r="BK331" s="11" t="e">
        <f t="shared" si="160"/>
        <v>#DIV/0!</v>
      </c>
      <c r="BM331" s="1">
        <f t="shared" si="155"/>
        <v>0</v>
      </c>
      <c r="BN331" s="1">
        <f t="shared" si="156"/>
        <v>0</v>
      </c>
    </row>
    <row r="332" spans="1:66" x14ac:dyDescent="0.2">
      <c r="A332" s="4">
        <f t="shared" si="161"/>
        <v>45984</v>
      </c>
      <c r="B332" s="1">
        <v>327</v>
      </c>
      <c r="C332" s="1">
        <v>5</v>
      </c>
      <c r="AL332" s="5"/>
      <c r="AN332" s="1">
        <f t="shared" si="140"/>
        <v>0</v>
      </c>
      <c r="AO332" s="1">
        <f t="shared" si="141"/>
        <v>0</v>
      </c>
      <c r="AP332" s="1">
        <f t="shared" si="142"/>
        <v>0</v>
      </c>
      <c r="AQ332" s="18">
        <f t="shared" si="143"/>
        <v>0</v>
      </c>
      <c r="AR332" s="24" t="e">
        <f t="shared" si="157"/>
        <v>#DIV/0!</v>
      </c>
      <c r="AT332" s="20">
        <f t="shared" si="144"/>
        <v>45984</v>
      </c>
      <c r="AU332" s="21">
        <f t="shared" si="145"/>
        <v>327</v>
      </c>
      <c r="AV332" s="1">
        <f t="shared" si="146"/>
        <v>0</v>
      </c>
      <c r="AW332" s="1">
        <f t="shared" si="147"/>
        <v>0</v>
      </c>
      <c r="AX332" s="1">
        <f t="shared" si="148"/>
        <v>0</v>
      </c>
      <c r="AY332" s="1">
        <f t="shared" si="137"/>
        <v>0</v>
      </c>
      <c r="AZ332" s="1">
        <f t="shared" si="138"/>
        <v>0</v>
      </c>
      <c r="BA332" s="1">
        <f t="shared" si="158"/>
        <v>0</v>
      </c>
      <c r="BB332" s="5">
        <f t="shared" si="139"/>
        <v>0</v>
      </c>
      <c r="BC332" s="1">
        <f t="shared" si="149"/>
        <v>0</v>
      </c>
      <c r="BD332" s="1">
        <f t="shared" si="150"/>
        <v>0</v>
      </c>
      <c r="BE332" s="1">
        <f t="shared" si="151"/>
        <v>0</v>
      </c>
      <c r="BF332" s="5">
        <f t="shared" si="152"/>
        <v>0</v>
      </c>
      <c r="BG332" s="5">
        <f t="shared" si="153"/>
        <v>0</v>
      </c>
      <c r="BH332" s="5">
        <f t="shared" si="154"/>
        <v>0</v>
      </c>
      <c r="BI332" s="5">
        <f t="shared" si="159"/>
        <v>0</v>
      </c>
      <c r="BJ332" s="11">
        <f t="shared" si="160"/>
        <v>0</v>
      </c>
      <c r="BK332" s="11" t="e">
        <f t="shared" si="160"/>
        <v>#DIV/0!</v>
      </c>
      <c r="BM332" s="1">
        <f t="shared" si="155"/>
        <v>0</v>
      </c>
      <c r="BN332" s="1">
        <f t="shared" si="156"/>
        <v>0</v>
      </c>
    </row>
    <row r="333" spans="1:66" x14ac:dyDescent="0.2">
      <c r="A333" s="4">
        <f t="shared" si="161"/>
        <v>45985</v>
      </c>
      <c r="B333" s="1">
        <v>328</v>
      </c>
      <c r="C333" s="1">
        <v>5</v>
      </c>
      <c r="AL333" s="5"/>
      <c r="AN333" s="1">
        <f t="shared" si="140"/>
        <v>0</v>
      </c>
      <c r="AO333" s="1">
        <f t="shared" si="141"/>
        <v>0</v>
      </c>
      <c r="AP333" s="1">
        <f t="shared" si="142"/>
        <v>0</v>
      </c>
      <c r="AQ333" s="18">
        <f t="shared" si="143"/>
        <v>0</v>
      </c>
      <c r="AR333" s="24" t="e">
        <f t="shared" si="157"/>
        <v>#DIV/0!</v>
      </c>
      <c r="AT333" s="20">
        <f t="shared" si="144"/>
        <v>45985</v>
      </c>
      <c r="AU333" s="21">
        <f t="shared" si="145"/>
        <v>328</v>
      </c>
      <c r="AV333" s="1">
        <f t="shared" si="146"/>
        <v>0</v>
      </c>
      <c r="AW333" s="1">
        <f t="shared" si="147"/>
        <v>0</v>
      </c>
      <c r="AX333" s="1">
        <f t="shared" si="148"/>
        <v>0</v>
      </c>
      <c r="AY333" s="1">
        <f t="shared" si="137"/>
        <v>0</v>
      </c>
      <c r="AZ333" s="1">
        <f t="shared" si="138"/>
        <v>0</v>
      </c>
      <c r="BA333" s="1">
        <f t="shared" si="158"/>
        <v>0</v>
      </c>
      <c r="BB333" s="5">
        <f t="shared" si="139"/>
        <v>0</v>
      </c>
      <c r="BC333" s="1">
        <f t="shared" si="149"/>
        <v>0</v>
      </c>
      <c r="BD333" s="1">
        <f t="shared" si="150"/>
        <v>0</v>
      </c>
      <c r="BE333" s="1">
        <f t="shared" si="151"/>
        <v>0</v>
      </c>
      <c r="BF333" s="5">
        <f t="shared" si="152"/>
        <v>0</v>
      </c>
      <c r="BG333" s="5">
        <f t="shared" si="153"/>
        <v>0</v>
      </c>
      <c r="BH333" s="5">
        <f t="shared" si="154"/>
        <v>0</v>
      </c>
      <c r="BI333" s="5">
        <f t="shared" si="159"/>
        <v>0</v>
      </c>
      <c r="BJ333" s="11">
        <f t="shared" si="160"/>
        <v>0</v>
      </c>
      <c r="BK333" s="11" t="e">
        <f t="shared" si="160"/>
        <v>#DIV/0!</v>
      </c>
      <c r="BM333" s="1">
        <f t="shared" si="155"/>
        <v>0</v>
      </c>
      <c r="BN333" s="1">
        <f t="shared" si="156"/>
        <v>0</v>
      </c>
    </row>
    <row r="334" spans="1:66" x14ac:dyDescent="0.2">
      <c r="A334" s="4">
        <f t="shared" si="161"/>
        <v>45986</v>
      </c>
      <c r="B334" s="1">
        <v>329</v>
      </c>
      <c r="C334" s="1">
        <v>5</v>
      </c>
      <c r="AL334" s="5"/>
      <c r="AN334" s="1">
        <f t="shared" si="140"/>
        <v>0</v>
      </c>
      <c r="AO334" s="1">
        <f t="shared" si="141"/>
        <v>0</v>
      </c>
      <c r="AP334" s="1">
        <f t="shared" si="142"/>
        <v>0</v>
      </c>
      <c r="AQ334" s="18">
        <f t="shared" si="143"/>
        <v>0</v>
      </c>
      <c r="AR334" s="24" t="e">
        <f t="shared" si="157"/>
        <v>#DIV/0!</v>
      </c>
      <c r="AT334" s="20">
        <f t="shared" si="144"/>
        <v>45986</v>
      </c>
      <c r="AU334" s="21">
        <f t="shared" si="145"/>
        <v>329</v>
      </c>
      <c r="AV334" s="1">
        <f t="shared" si="146"/>
        <v>0</v>
      </c>
      <c r="AW334" s="1">
        <f t="shared" si="147"/>
        <v>0</v>
      </c>
      <c r="AX334" s="1">
        <f t="shared" si="148"/>
        <v>0</v>
      </c>
      <c r="AY334" s="1">
        <f t="shared" si="137"/>
        <v>0</v>
      </c>
      <c r="AZ334" s="1">
        <f t="shared" si="138"/>
        <v>0</v>
      </c>
      <c r="BA334" s="1">
        <f t="shared" si="158"/>
        <v>0</v>
      </c>
      <c r="BB334" s="5">
        <f t="shared" si="139"/>
        <v>0</v>
      </c>
      <c r="BC334" s="1">
        <f t="shared" si="149"/>
        <v>0</v>
      </c>
      <c r="BD334" s="1">
        <f t="shared" si="150"/>
        <v>0</v>
      </c>
      <c r="BE334" s="1">
        <f t="shared" si="151"/>
        <v>0</v>
      </c>
      <c r="BF334" s="5">
        <f t="shared" si="152"/>
        <v>0</v>
      </c>
      <c r="BG334" s="5">
        <f t="shared" si="153"/>
        <v>0</v>
      </c>
      <c r="BH334" s="5">
        <f t="shared" si="154"/>
        <v>0</v>
      </c>
      <c r="BI334" s="5">
        <f t="shared" si="159"/>
        <v>0</v>
      </c>
      <c r="BJ334" s="11">
        <f t="shared" si="160"/>
        <v>0</v>
      </c>
      <c r="BK334" s="11" t="e">
        <f t="shared" si="160"/>
        <v>#DIV/0!</v>
      </c>
      <c r="BM334" s="1">
        <f t="shared" si="155"/>
        <v>0</v>
      </c>
      <c r="BN334" s="1">
        <f t="shared" si="156"/>
        <v>0</v>
      </c>
    </row>
    <row r="335" spans="1:66" x14ac:dyDescent="0.2">
      <c r="A335" s="4">
        <f t="shared" si="161"/>
        <v>45987</v>
      </c>
      <c r="B335" s="1">
        <v>330</v>
      </c>
      <c r="C335" s="1">
        <v>5</v>
      </c>
      <c r="AL335" s="5"/>
      <c r="AN335" s="1">
        <f t="shared" si="140"/>
        <v>0</v>
      </c>
      <c r="AO335" s="1">
        <f t="shared" si="141"/>
        <v>0</v>
      </c>
      <c r="AP335" s="1">
        <f t="shared" si="142"/>
        <v>0</v>
      </c>
      <c r="AQ335" s="18">
        <f t="shared" si="143"/>
        <v>0</v>
      </c>
      <c r="AR335" s="24" t="e">
        <f t="shared" si="157"/>
        <v>#DIV/0!</v>
      </c>
      <c r="AT335" s="20">
        <f t="shared" si="144"/>
        <v>45987</v>
      </c>
      <c r="AU335" s="21">
        <f t="shared" si="145"/>
        <v>330</v>
      </c>
      <c r="AV335" s="1">
        <f t="shared" si="146"/>
        <v>0</v>
      </c>
      <c r="AW335" s="1">
        <f t="shared" si="147"/>
        <v>0</v>
      </c>
      <c r="AX335" s="1">
        <f t="shared" si="148"/>
        <v>0</v>
      </c>
      <c r="AY335" s="1">
        <f t="shared" si="137"/>
        <v>0</v>
      </c>
      <c r="AZ335" s="1">
        <f t="shared" si="138"/>
        <v>0</v>
      </c>
      <c r="BA335" s="1">
        <f t="shared" si="158"/>
        <v>0</v>
      </c>
      <c r="BB335" s="5">
        <f t="shared" si="139"/>
        <v>0</v>
      </c>
      <c r="BC335" s="1">
        <f t="shared" si="149"/>
        <v>0</v>
      </c>
      <c r="BD335" s="1">
        <f t="shared" si="150"/>
        <v>0</v>
      </c>
      <c r="BE335" s="1">
        <f t="shared" si="151"/>
        <v>0</v>
      </c>
      <c r="BF335" s="5">
        <f t="shared" si="152"/>
        <v>0</v>
      </c>
      <c r="BG335" s="5">
        <f t="shared" si="153"/>
        <v>0</v>
      </c>
      <c r="BH335" s="5">
        <f t="shared" si="154"/>
        <v>0</v>
      </c>
      <c r="BI335" s="5">
        <f t="shared" si="159"/>
        <v>0</v>
      </c>
      <c r="BJ335" s="11">
        <f t="shared" si="160"/>
        <v>0</v>
      </c>
      <c r="BK335" s="11" t="e">
        <f t="shared" si="160"/>
        <v>#DIV/0!</v>
      </c>
      <c r="BM335" s="1">
        <f t="shared" si="155"/>
        <v>0</v>
      </c>
      <c r="BN335" s="1">
        <f t="shared" si="156"/>
        <v>0</v>
      </c>
    </row>
    <row r="336" spans="1:66" x14ac:dyDescent="0.2">
      <c r="A336" s="4">
        <f t="shared" si="161"/>
        <v>45988</v>
      </c>
      <c r="B336" s="1">
        <v>331</v>
      </c>
      <c r="C336" s="1">
        <v>5</v>
      </c>
      <c r="AL336" s="5"/>
      <c r="AN336" s="1">
        <f t="shared" si="140"/>
        <v>0</v>
      </c>
      <c r="AO336" s="1">
        <f t="shared" si="141"/>
        <v>0</v>
      </c>
      <c r="AP336" s="1">
        <f t="shared" si="142"/>
        <v>0</v>
      </c>
      <c r="AQ336" s="18">
        <f t="shared" si="143"/>
        <v>0</v>
      </c>
      <c r="AR336" s="24" t="e">
        <f t="shared" si="157"/>
        <v>#DIV/0!</v>
      </c>
      <c r="AT336" s="20">
        <f t="shared" si="144"/>
        <v>45988</v>
      </c>
      <c r="AU336" s="21">
        <f t="shared" si="145"/>
        <v>331</v>
      </c>
      <c r="AV336" s="1">
        <f t="shared" si="146"/>
        <v>0</v>
      </c>
      <c r="AW336" s="1">
        <f t="shared" si="147"/>
        <v>0</v>
      </c>
      <c r="AX336" s="1">
        <f t="shared" si="148"/>
        <v>0</v>
      </c>
      <c r="AY336" s="1">
        <f t="shared" si="137"/>
        <v>0</v>
      </c>
      <c r="AZ336" s="1">
        <f t="shared" si="138"/>
        <v>0</v>
      </c>
      <c r="BA336" s="1">
        <f t="shared" si="158"/>
        <v>0</v>
      </c>
      <c r="BB336" s="5">
        <f t="shared" si="139"/>
        <v>0</v>
      </c>
      <c r="BC336" s="1">
        <f t="shared" si="149"/>
        <v>0</v>
      </c>
      <c r="BD336" s="1">
        <f t="shared" si="150"/>
        <v>0</v>
      </c>
      <c r="BE336" s="1">
        <f t="shared" si="151"/>
        <v>0</v>
      </c>
      <c r="BF336" s="5">
        <f t="shared" si="152"/>
        <v>0</v>
      </c>
      <c r="BG336" s="5">
        <f t="shared" si="153"/>
        <v>0</v>
      </c>
      <c r="BH336" s="5">
        <f t="shared" si="154"/>
        <v>0</v>
      </c>
      <c r="BI336" s="5">
        <f t="shared" si="159"/>
        <v>0</v>
      </c>
      <c r="BJ336" s="11">
        <f t="shared" si="160"/>
        <v>0</v>
      </c>
      <c r="BK336" s="11" t="e">
        <f t="shared" si="160"/>
        <v>#DIV/0!</v>
      </c>
      <c r="BM336" s="1">
        <f t="shared" si="155"/>
        <v>0</v>
      </c>
      <c r="BN336" s="1">
        <f t="shared" si="156"/>
        <v>0</v>
      </c>
    </row>
    <row r="337" spans="1:66" x14ac:dyDescent="0.2">
      <c r="A337" s="4">
        <f t="shared" si="161"/>
        <v>45989</v>
      </c>
      <c r="B337" s="1">
        <v>332</v>
      </c>
      <c r="C337" s="1">
        <v>5</v>
      </c>
      <c r="AL337" s="5"/>
      <c r="AN337" s="1">
        <f t="shared" si="140"/>
        <v>0</v>
      </c>
      <c r="AO337" s="1">
        <f t="shared" si="141"/>
        <v>0</v>
      </c>
      <c r="AP337" s="1">
        <f t="shared" si="142"/>
        <v>0</v>
      </c>
      <c r="AQ337" s="18">
        <f t="shared" si="143"/>
        <v>0</v>
      </c>
      <c r="AR337" s="24" t="e">
        <f t="shared" si="157"/>
        <v>#DIV/0!</v>
      </c>
      <c r="AT337" s="20">
        <f t="shared" si="144"/>
        <v>45989</v>
      </c>
      <c r="AU337" s="21">
        <f t="shared" si="145"/>
        <v>332</v>
      </c>
      <c r="AV337" s="1">
        <f t="shared" si="146"/>
        <v>0</v>
      </c>
      <c r="AW337" s="1">
        <f t="shared" si="147"/>
        <v>0</v>
      </c>
      <c r="AX337" s="1">
        <f t="shared" si="148"/>
        <v>0</v>
      </c>
      <c r="AY337" s="1">
        <f t="shared" si="137"/>
        <v>0</v>
      </c>
      <c r="AZ337" s="1">
        <f t="shared" si="138"/>
        <v>0</v>
      </c>
      <c r="BA337" s="1">
        <f t="shared" si="158"/>
        <v>0</v>
      </c>
      <c r="BB337" s="5">
        <f t="shared" si="139"/>
        <v>0</v>
      </c>
      <c r="BC337" s="1">
        <f t="shared" si="149"/>
        <v>0</v>
      </c>
      <c r="BD337" s="1">
        <f t="shared" si="150"/>
        <v>0</v>
      </c>
      <c r="BE337" s="1">
        <f t="shared" si="151"/>
        <v>0</v>
      </c>
      <c r="BF337" s="5">
        <f t="shared" si="152"/>
        <v>0</v>
      </c>
      <c r="BG337" s="5">
        <f t="shared" si="153"/>
        <v>0</v>
      </c>
      <c r="BH337" s="5">
        <f t="shared" si="154"/>
        <v>0</v>
      </c>
      <c r="BI337" s="5">
        <f t="shared" si="159"/>
        <v>0</v>
      </c>
      <c r="BJ337" s="11">
        <f t="shared" si="160"/>
        <v>0</v>
      </c>
      <c r="BK337" s="11" t="e">
        <f t="shared" si="160"/>
        <v>#DIV/0!</v>
      </c>
      <c r="BM337" s="1">
        <f t="shared" si="155"/>
        <v>0</v>
      </c>
      <c r="BN337" s="1">
        <f t="shared" si="156"/>
        <v>0</v>
      </c>
    </row>
    <row r="338" spans="1:66" x14ac:dyDescent="0.2">
      <c r="A338" s="4">
        <f t="shared" si="161"/>
        <v>45990</v>
      </c>
      <c r="B338" s="1">
        <v>333</v>
      </c>
      <c r="C338" s="1">
        <v>5</v>
      </c>
      <c r="AL338" s="5"/>
      <c r="AN338" s="1">
        <f t="shared" si="140"/>
        <v>0</v>
      </c>
      <c r="AO338" s="1">
        <f t="shared" si="141"/>
        <v>0</v>
      </c>
      <c r="AP338" s="1">
        <f t="shared" si="142"/>
        <v>0</v>
      </c>
      <c r="AQ338" s="18">
        <f t="shared" si="143"/>
        <v>0</v>
      </c>
      <c r="AR338" s="24" t="e">
        <f t="shared" si="157"/>
        <v>#DIV/0!</v>
      </c>
      <c r="AT338" s="20">
        <f t="shared" si="144"/>
        <v>45990</v>
      </c>
      <c r="AU338" s="21">
        <f t="shared" si="145"/>
        <v>333</v>
      </c>
      <c r="AV338" s="1">
        <f t="shared" si="146"/>
        <v>0</v>
      </c>
      <c r="AW338" s="1">
        <f t="shared" si="147"/>
        <v>0</v>
      </c>
      <c r="AX338" s="1">
        <f t="shared" si="148"/>
        <v>0</v>
      </c>
      <c r="AY338" s="1">
        <f t="shared" si="137"/>
        <v>0</v>
      </c>
      <c r="AZ338" s="1">
        <f t="shared" si="138"/>
        <v>0</v>
      </c>
      <c r="BA338" s="1">
        <f t="shared" si="158"/>
        <v>0</v>
      </c>
      <c r="BB338" s="5">
        <f t="shared" si="139"/>
        <v>0</v>
      </c>
      <c r="BC338" s="1">
        <f t="shared" si="149"/>
        <v>0</v>
      </c>
      <c r="BD338" s="1">
        <f t="shared" si="150"/>
        <v>0</v>
      </c>
      <c r="BE338" s="1">
        <f t="shared" si="151"/>
        <v>0</v>
      </c>
      <c r="BF338" s="5">
        <f t="shared" si="152"/>
        <v>0</v>
      </c>
      <c r="BG338" s="5">
        <f t="shared" si="153"/>
        <v>0</v>
      </c>
      <c r="BH338" s="5">
        <f t="shared" si="154"/>
        <v>0</v>
      </c>
      <c r="BI338" s="5">
        <f t="shared" si="159"/>
        <v>0</v>
      </c>
      <c r="BJ338" s="11">
        <f t="shared" si="160"/>
        <v>0</v>
      </c>
      <c r="BK338" s="11" t="e">
        <f t="shared" si="160"/>
        <v>#DIV/0!</v>
      </c>
      <c r="BM338" s="1">
        <f t="shared" si="155"/>
        <v>0</v>
      </c>
      <c r="BN338" s="1">
        <f t="shared" si="156"/>
        <v>0</v>
      </c>
    </row>
    <row r="339" spans="1:66" x14ac:dyDescent="0.2">
      <c r="A339" s="4">
        <f t="shared" si="161"/>
        <v>45991</v>
      </c>
      <c r="B339" s="1">
        <v>334</v>
      </c>
      <c r="C339" s="1">
        <v>5</v>
      </c>
      <c r="AL339" s="5"/>
      <c r="AN339" s="1">
        <f t="shared" si="140"/>
        <v>0</v>
      </c>
      <c r="AO339" s="1">
        <f t="shared" si="141"/>
        <v>0</v>
      </c>
      <c r="AP339" s="1">
        <f t="shared" si="142"/>
        <v>0</v>
      </c>
      <c r="AQ339" s="18">
        <f t="shared" si="143"/>
        <v>0</v>
      </c>
      <c r="AR339" s="24" t="e">
        <f t="shared" si="157"/>
        <v>#DIV/0!</v>
      </c>
      <c r="AT339" s="20">
        <f t="shared" si="144"/>
        <v>45991</v>
      </c>
      <c r="AU339" s="21">
        <f t="shared" si="145"/>
        <v>334</v>
      </c>
      <c r="AV339" s="1">
        <f t="shared" si="146"/>
        <v>0</v>
      </c>
      <c r="AW339" s="1">
        <f t="shared" si="147"/>
        <v>0</v>
      </c>
      <c r="AX339" s="1">
        <f t="shared" si="148"/>
        <v>0</v>
      </c>
      <c r="AY339" s="1">
        <f t="shared" ref="AY339:AY370" si="162">AO339</f>
        <v>0</v>
      </c>
      <c r="AZ339" s="1">
        <f t="shared" ref="AZ339:AZ370" si="163">AP339</f>
        <v>0</v>
      </c>
      <c r="BA339" s="1">
        <f t="shared" si="158"/>
        <v>0</v>
      </c>
      <c r="BB339" s="5">
        <f t="shared" ref="BB339:BB370" si="164">AL339</f>
        <v>0</v>
      </c>
      <c r="BC339" s="1">
        <f t="shared" si="149"/>
        <v>0</v>
      </c>
      <c r="BD339" s="1">
        <f t="shared" si="150"/>
        <v>0</v>
      </c>
      <c r="BE339" s="1">
        <f t="shared" si="151"/>
        <v>0</v>
      </c>
      <c r="BF339" s="5">
        <f t="shared" si="152"/>
        <v>0</v>
      </c>
      <c r="BG339" s="5">
        <f t="shared" si="153"/>
        <v>0</v>
      </c>
      <c r="BH339" s="5">
        <f t="shared" si="154"/>
        <v>0</v>
      </c>
      <c r="BI339" s="5">
        <f t="shared" si="159"/>
        <v>0</v>
      </c>
      <c r="BJ339" s="11">
        <f t="shared" si="160"/>
        <v>0</v>
      </c>
      <c r="BK339" s="11" t="e">
        <f t="shared" si="160"/>
        <v>#DIV/0!</v>
      </c>
      <c r="BM339" s="1">
        <f t="shared" si="155"/>
        <v>0</v>
      </c>
      <c r="BN339" s="1">
        <f t="shared" si="156"/>
        <v>0</v>
      </c>
    </row>
    <row r="340" spans="1:66" x14ac:dyDescent="0.2">
      <c r="A340" s="4">
        <f t="shared" si="161"/>
        <v>45992</v>
      </c>
      <c r="B340" s="1">
        <v>335</v>
      </c>
      <c r="C340" s="1">
        <v>5</v>
      </c>
      <c r="AL340" s="5"/>
      <c r="AN340" s="1">
        <f t="shared" si="140"/>
        <v>0</v>
      </c>
      <c r="AO340" s="1">
        <f t="shared" si="141"/>
        <v>0</v>
      </c>
      <c r="AP340" s="1">
        <f t="shared" si="142"/>
        <v>0</v>
      </c>
      <c r="AQ340" s="18">
        <f t="shared" si="143"/>
        <v>0</v>
      </c>
      <c r="AR340" s="24" t="e">
        <f t="shared" si="157"/>
        <v>#DIV/0!</v>
      </c>
      <c r="AT340" s="20">
        <f t="shared" si="144"/>
        <v>45992</v>
      </c>
      <c r="AU340" s="21">
        <f t="shared" si="145"/>
        <v>335</v>
      </c>
      <c r="AV340" s="1">
        <f t="shared" si="146"/>
        <v>0</v>
      </c>
      <c r="AW340" s="1">
        <f t="shared" si="147"/>
        <v>0</v>
      </c>
      <c r="AX340" s="1">
        <f t="shared" si="148"/>
        <v>0</v>
      </c>
      <c r="AY340" s="1">
        <f t="shared" si="162"/>
        <v>0</v>
      </c>
      <c r="AZ340" s="1">
        <f t="shared" si="163"/>
        <v>0</v>
      </c>
      <c r="BA340" s="1">
        <f t="shared" si="158"/>
        <v>0</v>
      </c>
      <c r="BB340" s="5">
        <f t="shared" si="164"/>
        <v>0</v>
      </c>
      <c r="BC340" s="1">
        <f t="shared" si="149"/>
        <v>0</v>
      </c>
      <c r="BD340" s="1">
        <f t="shared" si="150"/>
        <v>0</v>
      </c>
      <c r="BE340" s="1">
        <f t="shared" si="151"/>
        <v>0</v>
      </c>
      <c r="BF340" s="5">
        <f t="shared" si="152"/>
        <v>0</v>
      </c>
      <c r="BG340" s="5">
        <f t="shared" si="153"/>
        <v>0</v>
      </c>
      <c r="BH340" s="5">
        <f t="shared" si="154"/>
        <v>0</v>
      </c>
      <c r="BI340" s="5">
        <f t="shared" si="159"/>
        <v>0</v>
      </c>
      <c r="BJ340" s="11">
        <f t="shared" si="160"/>
        <v>0</v>
      </c>
      <c r="BK340" s="11" t="e">
        <f t="shared" si="160"/>
        <v>#DIV/0!</v>
      </c>
      <c r="BM340" s="1">
        <f t="shared" si="155"/>
        <v>0</v>
      </c>
      <c r="BN340" s="1">
        <f t="shared" si="156"/>
        <v>0</v>
      </c>
    </row>
    <row r="341" spans="1:66" x14ac:dyDescent="0.2">
      <c r="A341" s="4">
        <f t="shared" si="161"/>
        <v>45993</v>
      </c>
      <c r="B341" s="1">
        <v>336</v>
      </c>
      <c r="C341" s="1">
        <v>5</v>
      </c>
      <c r="AL341" s="5"/>
      <c r="AN341" s="1">
        <f t="shared" si="140"/>
        <v>0</v>
      </c>
      <c r="AO341" s="1">
        <f t="shared" si="141"/>
        <v>0</v>
      </c>
      <c r="AP341" s="1">
        <f t="shared" si="142"/>
        <v>0</v>
      </c>
      <c r="AQ341" s="18">
        <f t="shared" si="143"/>
        <v>0</v>
      </c>
      <c r="AR341" s="24" t="e">
        <f t="shared" si="157"/>
        <v>#DIV/0!</v>
      </c>
      <c r="AT341" s="20">
        <f t="shared" si="144"/>
        <v>45993</v>
      </c>
      <c r="AU341" s="21">
        <f t="shared" si="145"/>
        <v>336</v>
      </c>
      <c r="AV341" s="1">
        <f t="shared" si="146"/>
        <v>0</v>
      </c>
      <c r="AW341" s="1">
        <f t="shared" si="147"/>
        <v>0</v>
      </c>
      <c r="AX341" s="1">
        <f t="shared" si="148"/>
        <v>0</v>
      </c>
      <c r="AY341" s="1">
        <f t="shared" si="162"/>
        <v>0</v>
      </c>
      <c r="AZ341" s="1">
        <f t="shared" si="163"/>
        <v>0</v>
      </c>
      <c r="BA341" s="1">
        <f t="shared" si="158"/>
        <v>0</v>
      </c>
      <c r="BB341" s="5">
        <f t="shared" si="164"/>
        <v>0</v>
      </c>
      <c r="BC341" s="1">
        <f t="shared" si="149"/>
        <v>0</v>
      </c>
      <c r="BD341" s="1">
        <f t="shared" si="150"/>
        <v>0</v>
      </c>
      <c r="BE341" s="1">
        <f t="shared" si="151"/>
        <v>0</v>
      </c>
      <c r="BF341" s="5">
        <f t="shared" si="152"/>
        <v>0</v>
      </c>
      <c r="BG341" s="5">
        <f t="shared" si="153"/>
        <v>0</v>
      </c>
      <c r="BH341" s="5">
        <f t="shared" si="154"/>
        <v>0</v>
      </c>
      <c r="BI341" s="5">
        <f t="shared" si="159"/>
        <v>0</v>
      </c>
      <c r="BJ341" s="11">
        <f t="shared" si="160"/>
        <v>0</v>
      </c>
      <c r="BK341" s="11" t="e">
        <f t="shared" si="160"/>
        <v>#DIV/0!</v>
      </c>
      <c r="BM341" s="1">
        <f t="shared" si="155"/>
        <v>0</v>
      </c>
      <c r="BN341" s="1">
        <f t="shared" si="156"/>
        <v>0</v>
      </c>
    </row>
    <row r="342" spans="1:66" x14ac:dyDescent="0.2">
      <c r="A342" s="4">
        <f t="shared" si="161"/>
        <v>45994</v>
      </c>
      <c r="B342" s="1">
        <v>337</v>
      </c>
      <c r="C342" s="1">
        <v>5</v>
      </c>
      <c r="AL342" s="5"/>
      <c r="AN342" s="1">
        <f t="shared" si="140"/>
        <v>0</v>
      </c>
      <c r="AO342" s="1">
        <f t="shared" si="141"/>
        <v>0</v>
      </c>
      <c r="AP342" s="1">
        <f t="shared" si="142"/>
        <v>0</v>
      </c>
      <c r="AQ342" s="18">
        <f t="shared" si="143"/>
        <v>0</v>
      </c>
      <c r="AR342" s="24" t="e">
        <f t="shared" si="157"/>
        <v>#DIV/0!</v>
      </c>
      <c r="AT342" s="20">
        <f t="shared" si="144"/>
        <v>45994</v>
      </c>
      <c r="AU342" s="21">
        <f t="shared" si="145"/>
        <v>337</v>
      </c>
      <c r="AV342" s="1">
        <f t="shared" si="146"/>
        <v>0</v>
      </c>
      <c r="AW342" s="1">
        <f t="shared" si="147"/>
        <v>0</v>
      </c>
      <c r="AX342" s="1">
        <f t="shared" si="148"/>
        <v>0</v>
      </c>
      <c r="AY342" s="1">
        <f t="shared" si="162"/>
        <v>0</v>
      </c>
      <c r="AZ342" s="1">
        <f t="shared" si="163"/>
        <v>0</v>
      </c>
      <c r="BA342" s="1">
        <f t="shared" si="158"/>
        <v>0</v>
      </c>
      <c r="BB342" s="5">
        <f t="shared" si="164"/>
        <v>0</v>
      </c>
      <c r="BC342" s="1">
        <f t="shared" si="149"/>
        <v>0</v>
      </c>
      <c r="BD342" s="1">
        <f t="shared" si="150"/>
        <v>0</v>
      </c>
      <c r="BE342" s="1">
        <f t="shared" si="151"/>
        <v>0</v>
      </c>
      <c r="BF342" s="5">
        <f t="shared" si="152"/>
        <v>0</v>
      </c>
      <c r="BG342" s="5">
        <f t="shared" si="153"/>
        <v>0</v>
      </c>
      <c r="BH342" s="5">
        <f t="shared" si="154"/>
        <v>0</v>
      </c>
      <c r="BI342" s="5">
        <f t="shared" si="159"/>
        <v>0</v>
      </c>
      <c r="BJ342" s="11">
        <f t="shared" si="160"/>
        <v>0</v>
      </c>
      <c r="BK342" s="11" t="e">
        <f t="shared" si="160"/>
        <v>#DIV/0!</v>
      </c>
      <c r="BM342" s="1">
        <f t="shared" si="155"/>
        <v>0</v>
      </c>
      <c r="BN342" s="1">
        <f t="shared" si="156"/>
        <v>0</v>
      </c>
    </row>
    <row r="343" spans="1:66" x14ac:dyDescent="0.2">
      <c r="A343" s="4">
        <f t="shared" si="161"/>
        <v>45995</v>
      </c>
      <c r="B343" s="1">
        <v>338</v>
      </c>
      <c r="C343" s="1">
        <v>5</v>
      </c>
      <c r="AL343" s="5"/>
      <c r="AN343" s="1">
        <f t="shared" si="140"/>
        <v>0</v>
      </c>
      <c r="AO343" s="1">
        <f t="shared" si="141"/>
        <v>0</v>
      </c>
      <c r="AP343" s="1">
        <f t="shared" si="142"/>
        <v>0</v>
      </c>
      <c r="AQ343" s="18">
        <f t="shared" si="143"/>
        <v>0</v>
      </c>
      <c r="AR343" s="24" t="e">
        <f t="shared" si="157"/>
        <v>#DIV/0!</v>
      </c>
      <c r="AT343" s="20">
        <f t="shared" si="144"/>
        <v>45995</v>
      </c>
      <c r="AU343" s="21">
        <f t="shared" si="145"/>
        <v>338</v>
      </c>
      <c r="AV343" s="1">
        <f t="shared" si="146"/>
        <v>0</v>
      </c>
      <c r="AW343" s="1">
        <f t="shared" si="147"/>
        <v>0</v>
      </c>
      <c r="AX343" s="1">
        <f t="shared" si="148"/>
        <v>0</v>
      </c>
      <c r="AY343" s="1">
        <f t="shared" si="162"/>
        <v>0</v>
      </c>
      <c r="AZ343" s="1">
        <f t="shared" si="163"/>
        <v>0</v>
      </c>
      <c r="BA343" s="1">
        <f t="shared" si="158"/>
        <v>0</v>
      </c>
      <c r="BB343" s="5">
        <f t="shared" si="164"/>
        <v>0</v>
      </c>
      <c r="BC343" s="1">
        <f t="shared" si="149"/>
        <v>0</v>
      </c>
      <c r="BD343" s="1">
        <f t="shared" si="150"/>
        <v>0</v>
      </c>
      <c r="BE343" s="1">
        <f t="shared" si="151"/>
        <v>0</v>
      </c>
      <c r="BF343" s="5">
        <f t="shared" si="152"/>
        <v>0</v>
      </c>
      <c r="BG343" s="5">
        <f t="shared" si="153"/>
        <v>0</v>
      </c>
      <c r="BH343" s="5">
        <f t="shared" si="154"/>
        <v>0</v>
      </c>
      <c r="BI343" s="5">
        <f t="shared" si="159"/>
        <v>0</v>
      </c>
      <c r="BJ343" s="11">
        <f t="shared" si="160"/>
        <v>0</v>
      </c>
      <c r="BK343" s="11" t="e">
        <f t="shared" si="160"/>
        <v>#DIV/0!</v>
      </c>
      <c r="BM343" s="1">
        <f t="shared" si="155"/>
        <v>0</v>
      </c>
      <c r="BN343" s="1">
        <f t="shared" si="156"/>
        <v>0</v>
      </c>
    </row>
    <row r="344" spans="1:66" x14ac:dyDescent="0.2">
      <c r="A344" s="4">
        <f t="shared" si="161"/>
        <v>45996</v>
      </c>
      <c r="B344" s="1">
        <v>339</v>
      </c>
      <c r="C344" s="1">
        <v>5</v>
      </c>
      <c r="AL344" s="5"/>
      <c r="AN344" s="1">
        <f t="shared" si="140"/>
        <v>0</v>
      </c>
      <c r="AO344" s="1">
        <f t="shared" si="141"/>
        <v>0</v>
      </c>
      <c r="AP344" s="1">
        <f t="shared" si="142"/>
        <v>0</v>
      </c>
      <c r="AQ344" s="18">
        <f t="shared" si="143"/>
        <v>0</v>
      </c>
      <c r="AR344" s="24" t="e">
        <f t="shared" si="157"/>
        <v>#DIV/0!</v>
      </c>
      <c r="AT344" s="20">
        <f t="shared" si="144"/>
        <v>45996</v>
      </c>
      <c r="AU344" s="21">
        <f t="shared" si="145"/>
        <v>339</v>
      </c>
      <c r="AV344" s="1">
        <f t="shared" si="146"/>
        <v>0</v>
      </c>
      <c r="AW344" s="1">
        <f t="shared" si="147"/>
        <v>0</v>
      </c>
      <c r="AX344" s="1">
        <f t="shared" si="148"/>
        <v>0</v>
      </c>
      <c r="AY344" s="1">
        <f t="shared" si="162"/>
        <v>0</v>
      </c>
      <c r="AZ344" s="1">
        <f t="shared" si="163"/>
        <v>0</v>
      </c>
      <c r="BA344" s="1">
        <f t="shared" si="158"/>
        <v>0</v>
      </c>
      <c r="BB344" s="5">
        <f t="shared" si="164"/>
        <v>0</v>
      </c>
      <c r="BC344" s="1">
        <f t="shared" si="149"/>
        <v>0</v>
      </c>
      <c r="BD344" s="1">
        <f t="shared" si="150"/>
        <v>0</v>
      </c>
      <c r="BE344" s="1">
        <f t="shared" si="151"/>
        <v>0</v>
      </c>
      <c r="BF344" s="5">
        <f t="shared" si="152"/>
        <v>0</v>
      </c>
      <c r="BG344" s="5">
        <f t="shared" si="153"/>
        <v>0</v>
      </c>
      <c r="BH344" s="5">
        <f t="shared" si="154"/>
        <v>0</v>
      </c>
      <c r="BI344" s="5">
        <f t="shared" si="159"/>
        <v>0</v>
      </c>
      <c r="BJ344" s="11">
        <f t="shared" si="160"/>
        <v>0</v>
      </c>
      <c r="BK344" s="11" t="e">
        <f t="shared" si="160"/>
        <v>#DIV/0!</v>
      </c>
      <c r="BM344" s="1">
        <f t="shared" si="155"/>
        <v>0</v>
      </c>
      <c r="BN344" s="1">
        <f t="shared" si="156"/>
        <v>0</v>
      </c>
    </row>
    <row r="345" spans="1:66" x14ac:dyDescent="0.2">
      <c r="A345" s="4">
        <f t="shared" si="161"/>
        <v>45997</v>
      </c>
      <c r="B345" s="1">
        <v>340</v>
      </c>
      <c r="C345" s="1">
        <v>5</v>
      </c>
      <c r="AL345" s="5"/>
      <c r="AN345" s="1">
        <f t="shared" si="140"/>
        <v>0</v>
      </c>
      <c r="AO345" s="1">
        <f t="shared" si="141"/>
        <v>0</v>
      </c>
      <c r="AP345" s="1">
        <f t="shared" si="142"/>
        <v>0</v>
      </c>
      <c r="AQ345" s="18">
        <f t="shared" si="143"/>
        <v>0</v>
      </c>
      <c r="AR345" s="24" t="e">
        <f t="shared" si="157"/>
        <v>#DIV/0!</v>
      </c>
      <c r="AT345" s="20">
        <f t="shared" si="144"/>
        <v>45997</v>
      </c>
      <c r="AU345" s="21">
        <f t="shared" si="145"/>
        <v>340</v>
      </c>
      <c r="AV345" s="1">
        <f t="shared" si="146"/>
        <v>0</v>
      </c>
      <c r="AW345" s="1">
        <f t="shared" si="147"/>
        <v>0</v>
      </c>
      <c r="AX345" s="1">
        <f t="shared" si="148"/>
        <v>0</v>
      </c>
      <c r="AY345" s="1">
        <f t="shared" si="162"/>
        <v>0</v>
      </c>
      <c r="AZ345" s="1">
        <f t="shared" si="163"/>
        <v>0</v>
      </c>
      <c r="BA345" s="1">
        <f t="shared" si="158"/>
        <v>0</v>
      </c>
      <c r="BB345" s="5">
        <f t="shared" si="164"/>
        <v>0</v>
      </c>
      <c r="BC345" s="1">
        <f t="shared" si="149"/>
        <v>0</v>
      </c>
      <c r="BD345" s="1">
        <f t="shared" si="150"/>
        <v>0</v>
      </c>
      <c r="BE345" s="1">
        <f t="shared" si="151"/>
        <v>0</v>
      </c>
      <c r="BF345" s="5">
        <f t="shared" si="152"/>
        <v>0</v>
      </c>
      <c r="BG345" s="5">
        <f t="shared" si="153"/>
        <v>0</v>
      </c>
      <c r="BH345" s="5">
        <f t="shared" si="154"/>
        <v>0</v>
      </c>
      <c r="BI345" s="5">
        <f t="shared" si="159"/>
        <v>0</v>
      </c>
      <c r="BJ345" s="11">
        <f t="shared" si="160"/>
        <v>0</v>
      </c>
      <c r="BK345" s="11" t="e">
        <f t="shared" si="160"/>
        <v>#DIV/0!</v>
      </c>
      <c r="BM345" s="1">
        <f t="shared" si="155"/>
        <v>0</v>
      </c>
      <c r="BN345" s="1">
        <f t="shared" si="156"/>
        <v>0</v>
      </c>
    </row>
    <row r="346" spans="1:66" x14ac:dyDescent="0.2">
      <c r="A346" s="4">
        <f t="shared" si="161"/>
        <v>45998</v>
      </c>
      <c r="B346" s="1">
        <v>341</v>
      </c>
      <c r="C346" s="1">
        <v>5</v>
      </c>
      <c r="AL346" s="5"/>
      <c r="AN346" s="1">
        <f t="shared" si="140"/>
        <v>0</v>
      </c>
      <c r="AO346" s="1">
        <f t="shared" si="141"/>
        <v>0</v>
      </c>
      <c r="AP346" s="1">
        <f t="shared" si="142"/>
        <v>0</v>
      </c>
      <c r="AQ346" s="18">
        <f t="shared" si="143"/>
        <v>0</v>
      </c>
      <c r="AR346" s="24" t="e">
        <f t="shared" si="157"/>
        <v>#DIV/0!</v>
      </c>
      <c r="AT346" s="20">
        <f t="shared" si="144"/>
        <v>45998</v>
      </c>
      <c r="AU346" s="21">
        <f t="shared" si="145"/>
        <v>341</v>
      </c>
      <c r="AV346" s="1">
        <f t="shared" si="146"/>
        <v>0</v>
      </c>
      <c r="AW346" s="1">
        <f t="shared" si="147"/>
        <v>0</v>
      </c>
      <c r="AX346" s="1">
        <f t="shared" si="148"/>
        <v>0</v>
      </c>
      <c r="AY346" s="1">
        <f t="shared" si="162"/>
        <v>0</v>
      </c>
      <c r="AZ346" s="1">
        <f t="shared" si="163"/>
        <v>0</v>
      </c>
      <c r="BA346" s="1">
        <f t="shared" si="158"/>
        <v>0</v>
      </c>
      <c r="BB346" s="5">
        <f t="shared" si="164"/>
        <v>0</v>
      </c>
      <c r="BC346" s="1">
        <f t="shared" si="149"/>
        <v>0</v>
      </c>
      <c r="BD346" s="1">
        <f t="shared" si="150"/>
        <v>0</v>
      </c>
      <c r="BE346" s="1">
        <f t="shared" si="151"/>
        <v>0</v>
      </c>
      <c r="BF346" s="5">
        <f t="shared" si="152"/>
        <v>0</v>
      </c>
      <c r="BG346" s="5">
        <f t="shared" si="153"/>
        <v>0</v>
      </c>
      <c r="BH346" s="5">
        <f t="shared" si="154"/>
        <v>0</v>
      </c>
      <c r="BI346" s="5">
        <f t="shared" si="159"/>
        <v>0</v>
      </c>
      <c r="BJ346" s="11">
        <f t="shared" si="160"/>
        <v>0</v>
      </c>
      <c r="BK346" s="11" t="e">
        <f t="shared" si="160"/>
        <v>#DIV/0!</v>
      </c>
      <c r="BM346" s="1">
        <f t="shared" si="155"/>
        <v>0</v>
      </c>
      <c r="BN346" s="1">
        <f t="shared" si="156"/>
        <v>0</v>
      </c>
    </row>
    <row r="347" spans="1:66" x14ac:dyDescent="0.2">
      <c r="A347" s="4">
        <f t="shared" si="161"/>
        <v>45999</v>
      </c>
      <c r="B347" s="1">
        <v>342</v>
      </c>
      <c r="C347" s="1">
        <v>5</v>
      </c>
      <c r="AL347" s="5"/>
      <c r="AN347" s="1">
        <f t="shared" si="140"/>
        <v>0</v>
      </c>
      <c r="AO347" s="1">
        <f t="shared" si="141"/>
        <v>0</v>
      </c>
      <c r="AP347" s="1">
        <f t="shared" si="142"/>
        <v>0</v>
      </c>
      <c r="AQ347" s="18">
        <f t="shared" si="143"/>
        <v>0</v>
      </c>
      <c r="AR347" s="24" t="e">
        <f t="shared" si="157"/>
        <v>#DIV/0!</v>
      </c>
      <c r="AT347" s="20">
        <f t="shared" si="144"/>
        <v>45999</v>
      </c>
      <c r="AU347" s="21">
        <f t="shared" si="145"/>
        <v>342</v>
      </c>
      <c r="AV347" s="1">
        <f t="shared" si="146"/>
        <v>0</v>
      </c>
      <c r="AW347" s="1">
        <f t="shared" si="147"/>
        <v>0</v>
      </c>
      <c r="AX347" s="1">
        <f t="shared" si="148"/>
        <v>0</v>
      </c>
      <c r="AY347" s="1">
        <f t="shared" si="162"/>
        <v>0</v>
      </c>
      <c r="AZ347" s="1">
        <f t="shared" si="163"/>
        <v>0</v>
      </c>
      <c r="BA347" s="1">
        <f t="shared" si="158"/>
        <v>0</v>
      </c>
      <c r="BB347" s="5">
        <f t="shared" si="164"/>
        <v>0</v>
      </c>
      <c r="BC347" s="1">
        <f t="shared" si="149"/>
        <v>0</v>
      </c>
      <c r="BD347" s="1">
        <f t="shared" si="150"/>
        <v>0</v>
      </c>
      <c r="BE347" s="1">
        <f t="shared" si="151"/>
        <v>0</v>
      </c>
      <c r="BF347" s="5">
        <f t="shared" si="152"/>
        <v>0</v>
      </c>
      <c r="BG347" s="5">
        <f t="shared" si="153"/>
        <v>0</v>
      </c>
      <c r="BH347" s="5">
        <f t="shared" si="154"/>
        <v>0</v>
      </c>
      <c r="BI347" s="5">
        <f t="shared" si="159"/>
        <v>0</v>
      </c>
      <c r="BJ347" s="11">
        <f t="shared" si="160"/>
        <v>0</v>
      </c>
      <c r="BK347" s="11" t="e">
        <f t="shared" si="160"/>
        <v>#DIV/0!</v>
      </c>
      <c r="BM347" s="1">
        <f t="shared" si="155"/>
        <v>0</v>
      </c>
      <c r="BN347" s="1">
        <f t="shared" si="156"/>
        <v>0</v>
      </c>
    </row>
    <row r="348" spans="1:66" x14ac:dyDescent="0.2">
      <c r="A348" s="4">
        <f t="shared" si="161"/>
        <v>46000</v>
      </c>
      <c r="B348" s="1">
        <v>343</v>
      </c>
      <c r="C348" s="1">
        <v>5</v>
      </c>
      <c r="AL348" s="5"/>
      <c r="AN348" s="1">
        <f t="shared" si="140"/>
        <v>0</v>
      </c>
      <c r="AO348" s="1">
        <f t="shared" si="141"/>
        <v>0</v>
      </c>
      <c r="AP348" s="1">
        <f t="shared" si="142"/>
        <v>0</v>
      </c>
      <c r="AQ348" s="18">
        <f t="shared" si="143"/>
        <v>0</v>
      </c>
      <c r="AR348" s="24" t="e">
        <f t="shared" si="157"/>
        <v>#DIV/0!</v>
      </c>
      <c r="AT348" s="20">
        <f t="shared" si="144"/>
        <v>46000</v>
      </c>
      <c r="AU348" s="21">
        <f t="shared" si="145"/>
        <v>343</v>
      </c>
      <c r="AV348" s="1">
        <f t="shared" si="146"/>
        <v>0</v>
      </c>
      <c r="AW348" s="1">
        <f t="shared" si="147"/>
        <v>0</v>
      </c>
      <c r="AX348" s="1">
        <f t="shared" si="148"/>
        <v>0</v>
      </c>
      <c r="AY348" s="1">
        <f t="shared" si="162"/>
        <v>0</v>
      </c>
      <c r="AZ348" s="1">
        <f t="shared" si="163"/>
        <v>0</v>
      </c>
      <c r="BA348" s="1">
        <f t="shared" si="158"/>
        <v>0</v>
      </c>
      <c r="BB348" s="5">
        <f t="shared" si="164"/>
        <v>0</v>
      </c>
      <c r="BC348" s="1">
        <f t="shared" si="149"/>
        <v>0</v>
      </c>
      <c r="BD348" s="1">
        <f t="shared" si="150"/>
        <v>0</v>
      </c>
      <c r="BE348" s="1">
        <f t="shared" si="151"/>
        <v>0</v>
      </c>
      <c r="BF348" s="5">
        <f t="shared" si="152"/>
        <v>0</v>
      </c>
      <c r="BG348" s="5">
        <f t="shared" si="153"/>
        <v>0</v>
      </c>
      <c r="BH348" s="5">
        <f t="shared" si="154"/>
        <v>0</v>
      </c>
      <c r="BI348" s="5">
        <f t="shared" si="159"/>
        <v>0</v>
      </c>
      <c r="BJ348" s="11">
        <f t="shared" si="160"/>
        <v>0</v>
      </c>
      <c r="BK348" s="11" t="e">
        <f t="shared" si="160"/>
        <v>#DIV/0!</v>
      </c>
      <c r="BM348" s="1">
        <f t="shared" si="155"/>
        <v>0</v>
      </c>
      <c r="BN348" s="1">
        <f t="shared" si="156"/>
        <v>0</v>
      </c>
    </row>
    <row r="349" spans="1:66" x14ac:dyDescent="0.2">
      <c r="A349" s="4">
        <f t="shared" si="161"/>
        <v>46001</v>
      </c>
      <c r="B349" s="1">
        <v>344</v>
      </c>
      <c r="C349" s="1">
        <v>5</v>
      </c>
      <c r="AL349" s="5"/>
      <c r="AN349" s="1">
        <f t="shared" si="140"/>
        <v>0</v>
      </c>
      <c r="AO349" s="1">
        <f t="shared" si="141"/>
        <v>0</v>
      </c>
      <c r="AP349" s="1">
        <f t="shared" si="142"/>
        <v>0</v>
      </c>
      <c r="AQ349" s="18">
        <f t="shared" si="143"/>
        <v>0</v>
      </c>
      <c r="AR349" s="24" t="e">
        <f t="shared" si="157"/>
        <v>#DIV/0!</v>
      </c>
      <c r="AT349" s="20">
        <f t="shared" si="144"/>
        <v>46001</v>
      </c>
      <c r="AU349" s="21">
        <f t="shared" si="145"/>
        <v>344</v>
      </c>
      <c r="AV349" s="1">
        <f t="shared" si="146"/>
        <v>0</v>
      </c>
      <c r="AW349" s="1">
        <f t="shared" si="147"/>
        <v>0</v>
      </c>
      <c r="AX349" s="1">
        <f t="shared" si="148"/>
        <v>0</v>
      </c>
      <c r="AY349" s="1">
        <f t="shared" si="162"/>
        <v>0</v>
      </c>
      <c r="AZ349" s="1">
        <f t="shared" si="163"/>
        <v>0</v>
      </c>
      <c r="BA349" s="1">
        <f t="shared" si="158"/>
        <v>0</v>
      </c>
      <c r="BB349" s="5">
        <f t="shared" si="164"/>
        <v>0</v>
      </c>
      <c r="BC349" s="1">
        <f t="shared" si="149"/>
        <v>0</v>
      </c>
      <c r="BD349" s="1">
        <f t="shared" si="150"/>
        <v>0</v>
      </c>
      <c r="BE349" s="1">
        <f t="shared" si="151"/>
        <v>0</v>
      </c>
      <c r="BF349" s="5">
        <f t="shared" si="152"/>
        <v>0</v>
      </c>
      <c r="BG349" s="5">
        <f t="shared" si="153"/>
        <v>0</v>
      </c>
      <c r="BH349" s="5">
        <f t="shared" si="154"/>
        <v>0</v>
      </c>
      <c r="BI349" s="5">
        <f t="shared" si="159"/>
        <v>0</v>
      </c>
      <c r="BJ349" s="11">
        <f t="shared" si="160"/>
        <v>0</v>
      </c>
      <c r="BK349" s="11" t="e">
        <f t="shared" si="160"/>
        <v>#DIV/0!</v>
      </c>
      <c r="BM349" s="1">
        <f t="shared" si="155"/>
        <v>0</v>
      </c>
      <c r="BN349" s="1">
        <f t="shared" si="156"/>
        <v>0</v>
      </c>
    </row>
    <row r="350" spans="1:66" x14ac:dyDescent="0.2">
      <c r="A350" s="4">
        <f t="shared" si="161"/>
        <v>46002</v>
      </c>
      <c r="B350" s="1">
        <v>345</v>
      </c>
      <c r="C350" s="1">
        <v>5</v>
      </c>
      <c r="AL350" s="5"/>
      <c r="AN350" s="1">
        <f t="shared" si="140"/>
        <v>0</v>
      </c>
      <c r="AO350" s="1">
        <f t="shared" si="141"/>
        <v>0</v>
      </c>
      <c r="AP350" s="1">
        <f t="shared" si="142"/>
        <v>0</v>
      </c>
      <c r="AQ350" s="18">
        <f t="shared" si="143"/>
        <v>0</v>
      </c>
      <c r="AR350" s="24" t="e">
        <f t="shared" si="157"/>
        <v>#DIV/0!</v>
      </c>
      <c r="AT350" s="20">
        <f t="shared" si="144"/>
        <v>46002</v>
      </c>
      <c r="AU350" s="21">
        <f t="shared" si="145"/>
        <v>345</v>
      </c>
      <c r="AV350" s="1">
        <f t="shared" si="146"/>
        <v>0</v>
      </c>
      <c r="AW350" s="1">
        <f t="shared" si="147"/>
        <v>0</v>
      </c>
      <c r="AX350" s="1">
        <f t="shared" si="148"/>
        <v>0</v>
      </c>
      <c r="AY350" s="1">
        <f t="shared" si="162"/>
        <v>0</v>
      </c>
      <c r="AZ350" s="1">
        <f t="shared" si="163"/>
        <v>0</v>
      </c>
      <c r="BA350" s="1">
        <f t="shared" si="158"/>
        <v>0</v>
      </c>
      <c r="BB350" s="5">
        <f t="shared" si="164"/>
        <v>0</v>
      </c>
      <c r="BC350" s="1">
        <f t="shared" si="149"/>
        <v>0</v>
      </c>
      <c r="BD350" s="1">
        <f t="shared" si="150"/>
        <v>0</v>
      </c>
      <c r="BE350" s="1">
        <f t="shared" si="151"/>
        <v>0</v>
      </c>
      <c r="BF350" s="5">
        <f t="shared" si="152"/>
        <v>0</v>
      </c>
      <c r="BG350" s="5">
        <f t="shared" si="153"/>
        <v>0</v>
      </c>
      <c r="BH350" s="5">
        <f t="shared" si="154"/>
        <v>0</v>
      </c>
      <c r="BI350" s="5">
        <f t="shared" si="159"/>
        <v>0</v>
      </c>
      <c r="BJ350" s="11">
        <f t="shared" si="160"/>
        <v>0</v>
      </c>
      <c r="BK350" s="11" t="e">
        <f t="shared" si="160"/>
        <v>#DIV/0!</v>
      </c>
      <c r="BM350" s="1">
        <f t="shared" si="155"/>
        <v>0</v>
      </c>
      <c r="BN350" s="1">
        <f t="shared" si="156"/>
        <v>0</v>
      </c>
    </row>
    <row r="351" spans="1:66" x14ac:dyDescent="0.2">
      <c r="A351" s="4">
        <f t="shared" si="161"/>
        <v>46003</v>
      </c>
      <c r="B351" s="1">
        <v>346</v>
      </c>
      <c r="C351" s="1">
        <v>5</v>
      </c>
      <c r="AL351" s="5"/>
      <c r="AN351" s="1">
        <f t="shared" si="140"/>
        <v>0</v>
      </c>
      <c r="AO351" s="1">
        <f t="shared" si="141"/>
        <v>0</v>
      </c>
      <c r="AP351" s="1">
        <f t="shared" si="142"/>
        <v>0</v>
      </c>
      <c r="AQ351" s="18">
        <f t="shared" si="143"/>
        <v>0</v>
      </c>
      <c r="AR351" s="24" t="e">
        <f t="shared" si="157"/>
        <v>#DIV/0!</v>
      </c>
      <c r="AT351" s="20">
        <f t="shared" si="144"/>
        <v>46003</v>
      </c>
      <c r="AU351" s="21">
        <f t="shared" si="145"/>
        <v>346</v>
      </c>
      <c r="AV351" s="1">
        <f t="shared" si="146"/>
        <v>0</v>
      </c>
      <c r="AW351" s="1">
        <f t="shared" si="147"/>
        <v>0</v>
      </c>
      <c r="AX351" s="1">
        <f t="shared" si="148"/>
        <v>0</v>
      </c>
      <c r="AY351" s="1">
        <f t="shared" si="162"/>
        <v>0</v>
      </c>
      <c r="AZ351" s="1">
        <f t="shared" si="163"/>
        <v>0</v>
      </c>
      <c r="BA351" s="1">
        <f t="shared" si="158"/>
        <v>0</v>
      </c>
      <c r="BB351" s="5">
        <f t="shared" si="164"/>
        <v>0</v>
      </c>
      <c r="BC351" s="1">
        <f t="shared" si="149"/>
        <v>0</v>
      </c>
      <c r="BD351" s="1">
        <f t="shared" si="150"/>
        <v>0</v>
      </c>
      <c r="BE351" s="1">
        <f t="shared" si="151"/>
        <v>0</v>
      </c>
      <c r="BF351" s="5">
        <f t="shared" si="152"/>
        <v>0</v>
      </c>
      <c r="BG351" s="5">
        <f t="shared" si="153"/>
        <v>0</v>
      </c>
      <c r="BH351" s="5">
        <f t="shared" si="154"/>
        <v>0</v>
      </c>
      <c r="BI351" s="5">
        <f t="shared" si="159"/>
        <v>0</v>
      </c>
      <c r="BJ351" s="11">
        <f t="shared" si="160"/>
        <v>0</v>
      </c>
      <c r="BK351" s="11" t="e">
        <f t="shared" si="160"/>
        <v>#DIV/0!</v>
      </c>
      <c r="BM351" s="1">
        <f t="shared" si="155"/>
        <v>0</v>
      </c>
      <c r="BN351" s="1">
        <f t="shared" si="156"/>
        <v>0</v>
      </c>
    </row>
    <row r="352" spans="1:66" x14ac:dyDescent="0.2">
      <c r="A352" s="4">
        <f t="shared" si="161"/>
        <v>46004</v>
      </c>
      <c r="B352" s="1">
        <v>347</v>
      </c>
      <c r="C352" s="1">
        <v>5</v>
      </c>
      <c r="AL352" s="5"/>
      <c r="AN352" s="1">
        <f t="shared" si="140"/>
        <v>0</v>
      </c>
      <c r="AO352" s="1">
        <f t="shared" si="141"/>
        <v>0</v>
      </c>
      <c r="AP352" s="1">
        <f t="shared" si="142"/>
        <v>0</v>
      </c>
      <c r="AQ352" s="18">
        <f t="shared" si="143"/>
        <v>0</v>
      </c>
      <c r="AR352" s="24" t="e">
        <f t="shared" si="157"/>
        <v>#DIV/0!</v>
      </c>
      <c r="AT352" s="20">
        <f t="shared" si="144"/>
        <v>46004</v>
      </c>
      <c r="AU352" s="21">
        <f t="shared" si="145"/>
        <v>347</v>
      </c>
      <c r="AV352" s="1">
        <f t="shared" si="146"/>
        <v>0</v>
      </c>
      <c r="AW352" s="1">
        <f t="shared" si="147"/>
        <v>0</v>
      </c>
      <c r="AX352" s="1">
        <f t="shared" si="148"/>
        <v>0</v>
      </c>
      <c r="AY352" s="1">
        <f t="shared" si="162"/>
        <v>0</v>
      </c>
      <c r="AZ352" s="1">
        <f t="shared" si="163"/>
        <v>0</v>
      </c>
      <c r="BA352" s="1">
        <f t="shared" si="158"/>
        <v>0</v>
      </c>
      <c r="BB352" s="5">
        <f t="shared" si="164"/>
        <v>0</v>
      </c>
      <c r="BC352" s="1">
        <f t="shared" si="149"/>
        <v>0</v>
      </c>
      <c r="BD352" s="1">
        <f t="shared" si="150"/>
        <v>0</v>
      </c>
      <c r="BE352" s="1">
        <f t="shared" si="151"/>
        <v>0</v>
      </c>
      <c r="BF352" s="5">
        <f t="shared" si="152"/>
        <v>0</v>
      </c>
      <c r="BG352" s="5">
        <f t="shared" si="153"/>
        <v>0</v>
      </c>
      <c r="BH352" s="5">
        <f t="shared" si="154"/>
        <v>0</v>
      </c>
      <c r="BI352" s="5">
        <f t="shared" si="159"/>
        <v>0</v>
      </c>
      <c r="BJ352" s="11">
        <f t="shared" si="160"/>
        <v>0</v>
      </c>
      <c r="BK352" s="11" t="e">
        <f t="shared" si="160"/>
        <v>#DIV/0!</v>
      </c>
      <c r="BM352" s="1">
        <f t="shared" si="155"/>
        <v>0</v>
      </c>
      <c r="BN352" s="1">
        <f t="shared" si="156"/>
        <v>0</v>
      </c>
    </row>
    <row r="353" spans="1:66" x14ac:dyDescent="0.2">
      <c r="A353" s="4">
        <f t="shared" si="161"/>
        <v>46005</v>
      </c>
      <c r="B353" s="1">
        <v>348</v>
      </c>
      <c r="C353" s="1">
        <v>5</v>
      </c>
      <c r="AL353" s="5"/>
      <c r="AN353" s="1">
        <f t="shared" si="140"/>
        <v>0</v>
      </c>
      <c r="AO353" s="1">
        <f t="shared" si="141"/>
        <v>0</v>
      </c>
      <c r="AP353" s="1">
        <f t="shared" si="142"/>
        <v>0</v>
      </c>
      <c r="AQ353" s="18">
        <f t="shared" si="143"/>
        <v>0</v>
      </c>
      <c r="AR353" s="24" t="e">
        <f t="shared" si="157"/>
        <v>#DIV/0!</v>
      </c>
      <c r="AT353" s="20">
        <f t="shared" si="144"/>
        <v>46005</v>
      </c>
      <c r="AU353" s="21">
        <f t="shared" si="145"/>
        <v>348</v>
      </c>
      <c r="AV353" s="1">
        <f t="shared" si="146"/>
        <v>0</v>
      </c>
      <c r="AW353" s="1">
        <f t="shared" si="147"/>
        <v>0</v>
      </c>
      <c r="AX353" s="1">
        <f t="shared" si="148"/>
        <v>0</v>
      </c>
      <c r="AY353" s="1">
        <f t="shared" si="162"/>
        <v>0</v>
      </c>
      <c r="AZ353" s="1">
        <f t="shared" si="163"/>
        <v>0</v>
      </c>
      <c r="BA353" s="1">
        <f t="shared" si="158"/>
        <v>0</v>
      </c>
      <c r="BB353" s="5">
        <f t="shared" si="164"/>
        <v>0</v>
      </c>
      <c r="BC353" s="1">
        <f t="shared" si="149"/>
        <v>0</v>
      </c>
      <c r="BD353" s="1">
        <f t="shared" si="150"/>
        <v>0</v>
      </c>
      <c r="BE353" s="1">
        <f t="shared" si="151"/>
        <v>0</v>
      </c>
      <c r="BF353" s="5">
        <f t="shared" si="152"/>
        <v>0</v>
      </c>
      <c r="BG353" s="5">
        <f t="shared" si="153"/>
        <v>0</v>
      </c>
      <c r="BH353" s="5">
        <f t="shared" si="154"/>
        <v>0</v>
      </c>
      <c r="BI353" s="5">
        <f t="shared" si="159"/>
        <v>0</v>
      </c>
      <c r="BJ353" s="11">
        <f t="shared" si="160"/>
        <v>0</v>
      </c>
      <c r="BK353" s="11" t="e">
        <f t="shared" si="160"/>
        <v>#DIV/0!</v>
      </c>
      <c r="BM353" s="1">
        <f t="shared" si="155"/>
        <v>0</v>
      </c>
      <c r="BN353" s="1">
        <f t="shared" si="156"/>
        <v>0</v>
      </c>
    </row>
    <row r="354" spans="1:66" x14ac:dyDescent="0.2">
      <c r="A354" s="4">
        <f t="shared" si="161"/>
        <v>46006</v>
      </c>
      <c r="B354" s="1">
        <v>349</v>
      </c>
      <c r="C354" s="1">
        <v>5</v>
      </c>
      <c r="AL354" s="5"/>
      <c r="AN354" s="1">
        <f t="shared" si="140"/>
        <v>0</v>
      </c>
      <c r="AO354" s="1">
        <f t="shared" si="141"/>
        <v>0</v>
      </c>
      <c r="AP354" s="1">
        <f t="shared" si="142"/>
        <v>0</v>
      </c>
      <c r="AQ354" s="18">
        <f t="shared" si="143"/>
        <v>0</v>
      </c>
      <c r="AR354" s="24" t="e">
        <f t="shared" si="157"/>
        <v>#DIV/0!</v>
      </c>
      <c r="AT354" s="20">
        <f t="shared" si="144"/>
        <v>46006</v>
      </c>
      <c r="AU354" s="21">
        <f t="shared" si="145"/>
        <v>349</v>
      </c>
      <c r="AV354" s="1">
        <f t="shared" si="146"/>
        <v>0</v>
      </c>
      <c r="AW354" s="1">
        <f t="shared" si="147"/>
        <v>0</v>
      </c>
      <c r="AX354" s="1">
        <f t="shared" si="148"/>
        <v>0</v>
      </c>
      <c r="AY354" s="1">
        <f t="shared" si="162"/>
        <v>0</v>
      </c>
      <c r="AZ354" s="1">
        <f t="shared" si="163"/>
        <v>0</v>
      </c>
      <c r="BA354" s="1">
        <f t="shared" si="158"/>
        <v>0</v>
      </c>
      <c r="BB354" s="5">
        <f t="shared" si="164"/>
        <v>0</v>
      </c>
      <c r="BC354" s="1">
        <f t="shared" si="149"/>
        <v>0</v>
      </c>
      <c r="BD354" s="1">
        <f t="shared" si="150"/>
        <v>0</v>
      </c>
      <c r="BE354" s="1">
        <f t="shared" si="151"/>
        <v>0</v>
      </c>
      <c r="BF354" s="5">
        <f t="shared" si="152"/>
        <v>0</v>
      </c>
      <c r="BG354" s="5">
        <f t="shared" si="153"/>
        <v>0</v>
      </c>
      <c r="BH354" s="5">
        <f t="shared" si="154"/>
        <v>0</v>
      </c>
      <c r="BI354" s="5">
        <f t="shared" si="159"/>
        <v>0</v>
      </c>
      <c r="BJ354" s="11">
        <f t="shared" si="160"/>
        <v>0</v>
      </c>
      <c r="BK354" s="11" t="e">
        <f t="shared" si="160"/>
        <v>#DIV/0!</v>
      </c>
      <c r="BM354" s="1">
        <f t="shared" si="155"/>
        <v>0</v>
      </c>
      <c r="BN354" s="1">
        <f t="shared" si="156"/>
        <v>0</v>
      </c>
    </row>
    <row r="355" spans="1:66" x14ac:dyDescent="0.2">
      <c r="A355" s="4">
        <f t="shared" si="161"/>
        <v>46007</v>
      </c>
      <c r="B355" s="1">
        <v>350</v>
      </c>
      <c r="C355" s="1">
        <v>5</v>
      </c>
      <c r="AL355" s="5"/>
      <c r="AN355" s="1">
        <f t="shared" si="140"/>
        <v>0</v>
      </c>
      <c r="AO355" s="1">
        <f t="shared" si="141"/>
        <v>0</v>
      </c>
      <c r="AP355" s="1">
        <f t="shared" si="142"/>
        <v>0</v>
      </c>
      <c r="AQ355" s="18">
        <f t="shared" si="143"/>
        <v>0</v>
      </c>
      <c r="AR355" s="24" t="e">
        <f t="shared" si="157"/>
        <v>#DIV/0!</v>
      </c>
      <c r="AT355" s="20">
        <f t="shared" si="144"/>
        <v>46007</v>
      </c>
      <c r="AU355" s="21">
        <f t="shared" si="145"/>
        <v>350</v>
      </c>
      <c r="AV355" s="1">
        <f t="shared" si="146"/>
        <v>0</v>
      </c>
      <c r="AW355" s="1">
        <f t="shared" si="147"/>
        <v>0</v>
      </c>
      <c r="AX355" s="1">
        <f t="shared" si="148"/>
        <v>0</v>
      </c>
      <c r="AY355" s="1">
        <f t="shared" si="162"/>
        <v>0</v>
      </c>
      <c r="AZ355" s="1">
        <f t="shared" si="163"/>
        <v>0</v>
      </c>
      <c r="BA355" s="1">
        <f t="shared" si="158"/>
        <v>0</v>
      </c>
      <c r="BB355" s="5">
        <f t="shared" si="164"/>
        <v>0</v>
      </c>
      <c r="BC355" s="1">
        <f t="shared" si="149"/>
        <v>0</v>
      </c>
      <c r="BD355" s="1">
        <f t="shared" si="150"/>
        <v>0</v>
      </c>
      <c r="BE355" s="1">
        <f t="shared" si="151"/>
        <v>0</v>
      </c>
      <c r="BF355" s="5">
        <f t="shared" si="152"/>
        <v>0</v>
      </c>
      <c r="BG355" s="5">
        <f t="shared" si="153"/>
        <v>0</v>
      </c>
      <c r="BH355" s="5">
        <f t="shared" si="154"/>
        <v>0</v>
      </c>
      <c r="BI355" s="5">
        <f t="shared" si="159"/>
        <v>0</v>
      </c>
      <c r="BJ355" s="11">
        <f t="shared" si="160"/>
        <v>0</v>
      </c>
      <c r="BK355" s="11" t="e">
        <f t="shared" si="160"/>
        <v>#DIV/0!</v>
      </c>
      <c r="BM355" s="1">
        <f t="shared" si="155"/>
        <v>0</v>
      </c>
      <c r="BN355" s="1">
        <f t="shared" si="156"/>
        <v>0</v>
      </c>
    </row>
    <row r="356" spans="1:66" x14ac:dyDescent="0.2">
      <c r="A356" s="4">
        <f t="shared" si="161"/>
        <v>46008</v>
      </c>
      <c r="B356" s="1">
        <v>351</v>
      </c>
      <c r="C356" s="1">
        <v>5</v>
      </c>
      <c r="AL356" s="5"/>
      <c r="AN356" s="1">
        <f t="shared" si="140"/>
        <v>0</v>
      </c>
      <c r="AO356" s="1">
        <f t="shared" si="141"/>
        <v>0</v>
      </c>
      <c r="AP356" s="1">
        <f t="shared" si="142"/>
        <v>0</v>
      </c>
      <c r="AQ356" s="18">
        <f t="shared" si="143"/>
        <v>0</v>
      </c>
      <c r="AR356" s="24" t="e">
        <f t="shared" si="157"/>
        <v>#DIV/0!</v>
      </c>
      <c r="AT356" s="20">
        <f t="shared" si="144"/>
        <v>46008</v>
      </c>
      <c r="AU356" s="21">
        <f t="shared" si="145"/>
        <v>351</v>
      </c>
      <c r="AV356" s="1">
        <f t="shared" si="146"/>
        <v>0</v>
      </c>
      <c r="AW356" s="1">
        <f t="shared" si="147"/>
        <v>0</v>
      </c>
      <c r="AX356" s="1">
        <f t="shared" si="148"/>
        <v>0</v>
      </c>
      <c r="AY356" s="1">
        <f t="shared" si="162"/>
        <v>0</v>
      </c>
      <c r="AZ356" s="1">
        <f t="shared" si="163"/>
        <v>0</v>
      </c>
      <c r="BA356" s="1">
        <f t="shared" si="158"/>
        <v>0</v>
      </c>
      <c r="BB356" s="5">
        <f t="shared" si="164"/>
        <v>0</v>
      </c>
      <c r="BC356" s="1">
        <f t="shared" si="149"/>
        <v>0</v>
      </c>
      <c r="BD356" s="1">
        <f t="shared" si="150"/>
        <v>0</v>
      </c>
      <c r="BE356" s="1">
        <f t="shared" si="151"/>
        <v>0</v>
      </c>
      <c r="BF356" s="5">
        <f t="shared" si="152"/>
        <v>0</v>
      </c>
      <c r="BG356" s="5">
        <f t="shared" si="153"/>
        <v>0</v>
      </c>
      <c r="BH356" s="5">
        <f t="shared" si="154"/>
        <v>0</v>
      </c>
      <c r="BI356" s="5">
        <f t="shared" si="159"/>
        <v>0</v>
      </c>
      <c r="BJ356" s="11">
        <f t="shared" si="160"/>
        <v>0</v>
      </c>
      <c r="BK356" s="11" t="e">
        <f t="shared" si="160"/>
        <v>#DIV/0!</v>
      </c>
      <c r="BM356" s="1">
        <f t="shared" si="155"/>
        <v>0</v>
      </c>
      <c r="BN356" s="1">
        <f t="shared" si="156"/>
        <v>0</v>
      </c>
    </row>
    <row r="357" spans="1:66" x14ac:dyDescent="0.2">
      <c r="A357" s="4">
        <f t="shared" si="161"/>
        <v>46009</v>
      </c>
      <c r="B357" s="1">
        <v>352</v>
      </c>
      <c r="C357" s="1">
        <v>5</v>
      </c>
      <c r="AL357" s="5"/>
      <c r="AN357" s="1">
        <f t="shared" si="140"/>
        <v>0</v>
      </c>
      <c r="AO357" s="1">
        <f t="shared" si="141"/>
        <v>0</v>
      </c>
      <c r="AP357" s="1">
        <f t="shared" si="142"/>
        <v>0</v>
      </c>
      <c r="AQ357" s="18">
        <f t="shared" si="143"/>
        <v>0</v>
      </c>
      <c r="AR357" s="24" t="e">
        <f t="shared" si="157"/>
        <v>#DIV/0!</v>
      </c>
      <c r="AT357" s="20">
        <f t="shared" si="144"/>
        <v>46009</v>
      </c>
      <c r="AU357" s="21">
        <f t="shared" si="145"/>
        <v>352</v>
      </c>
      <c r="AV357" s="1">
        <f t="shared" si="146"/>
        <v>0</v>
      </c>
      <c r="AW357" s="1">
        <f t="shared" si="147"/>
        <v>0</v>
      </c>
      <c r="AX357" s="1">
        <f t="shared" si="148"/>
        <v>0</v>
      </c>
      <c r="AY357" s="1">
        <f t="shared" si="162"/>
        <v>0</v>
      </c>
      <c r="AZ357" s="1">
        <f t="shared" si="163"/>
        <v>0</v>
      </c>
      <c r="BA357" s="1">
        <f t="shared" si="158"/>
        <v>0</v>
      </c>
      <c r="BB357" s="5">
        <f t="shared" si="164"/>
        <v>0</v>
      </c>
      <c r="BC357" s="1">
        <f t="shared" si="149"/>
        <v>0</v>
      </c>
      <c r="BD357" s="1">
        <f t="shared" si="150"/>
        <v>0</v>
      </c>
      <c r="BE357" s="1">
        <f t="shared" si="151"/>
        <v>0</v>
      </c>
      <c r="BF357" s="5">
        <f t="shared" si="152"/>
        <v>0</v>
      </c>
      <c r="BG357" s="5">
        <f t="shared" si="153"/>
        <v>0</v>
      </c>
      <c r="BH357" s="5">
        <f t="shared" si="154"/>
        <v>0</v>
      </c>
      <c r="BI357" s="5">
        <f t="shared" si="159"/>
        <v>0</v>
      </c>
      <c r="BJ357" s="11">
        <f t="shared" si="160"/>
        <v>0</v>
      </c>
      <c r="BK357" s="11" t="e">
        <f t="shared" si="160"/>
        <v>#DIV/0!</v>
      </c>
      <c r="BM357" s="1">
        <f t="shared" si="155"/>
        <v>0</v>
      </c>
      <c r="BN357" s="1">
        <f t="shared" si="156"/>
        <v>0</v>
      </c>
    </row>
    <row r="358" spans="1:66" x14ac:dyDescent="0.2">
      <c r="A358" s="4">
        <f t="shared" si="161"/>
        <v>46010</v>
      </c>
      <c r="B358" s="1">
        <v>353</v>
      </c>
      <c r="C358" s="1">
        <v>5</v>
      </c>
      <c r="AL358" s="5"/>
      <c r="AN358" s="1">
        <f t="shared" si="140"/>
        <v>0</v>
      </c>
      <c r="AO358" s="1">
        <f t="shared" si="141"/>
        <v>0</v>
      </c>
      <c r="AP358" s="1">
        <f t="shared" si="142"/>
        <v>0</v>
      </c>
      <c r="AQ358" s="18">
        <f t="shared" si="143"/>
        <v>0</v>
      </c>
      <c r="AR358" s="24" t="e">
        <f t="shared" si="157"/>
        <v>#DIV/0!</v>
      </c>
      <c r="AT358" s="20">
        <f t="shared" si="144"/>
        <v>46010</v>
      </c>
      <c r="AU358" s="21">
        <f t="shared" si="145"/>
        <v>353</v>
      </c>
      <c r="AV358" s="1">
        <f t="shared" si="146"/>
        <v>0</v>
      </c>
      <c r="AW358" s="1">
        <f t="shared" si="147"/>
        <v>0</v>
      </c>
      <c r="AX358" s="1">
        <f t="shared" si="148"/>
        <v>0</v>
      </c>
      <c r="AY358" s="1">
        <f t="shared" si="162"/>
        <v>0</v>
      </c>
      <c r="AZ358" s="1">
        <f t="shared" si="163"/>
        <v>0</v>
      </c>
      <c r="BA358" s="1">
        <f t="shared" si="158"/>
        <v>0</v>
      </c>
      <c r="BB358" s="5">
        <f t="shared" si="164"/>
        <v>0</v>
      </c>
      <c r="BC358" s="1">
        <f t="shared" si="149"/>
        <v>0</v>
      </c>
      <c r="BD358" s="1">
        <f t="shared" si="150"/>
        <v>0</v>
      </c>
      <c r="BE358" s="1">
        <f t="shared" si="151"/>
        <v>0</v>
      </c>
      <c r="BF358" s="5">
        <f t="shared" si="152"/>
        <v>0</v>
      </c>
      <c r="BG358" s="5">
        <f t="shared" si="153"/>
        <v>0</v>
      </c>
      <c r="BH358" s="5">
        <f t="shared" si="154"/>
        <v>0</v>
      </c>
      <c r="BI358" s="5">
        <f t="shared" si="159"/>
        <v>0</v>
      </c>
      <c r="BJ358" s="11">
        <f t="shared" si="160"/>
        <v>0</v>
      </c>
      <c r="BK358" s="11" t="e">
        <f t="shared" si="160"/>
        <v>#DIV/0!</v>
      </c>
      <c r="BM358" s="1">
        <f t="shared" si="155"/>
        <v>0</v>
      </c>
      <c r="BN358" s="1">
        <f t="shared" si="156"/>
        <v>0</v>
      </c>
    </row>
    <row r="359" spans="1:66" x14ac:dyDescent="0.2">
      <c r="A359" s="4">
        <f t="shared" si="161"/>
        <v>46011</v>
      </c>
      <c r="B359" s="1">
        <v>354</v>
      </c>
      <c r="C359" s="1">
        <v>5</v>
      </c>
      <c r="AL359" s="5"/>
      <c r="AN359" s="1">
        <f t="shared" si="140"/>
        <v>0</v>
      </c>
      <c r="AO359" s="1">
        <f t="shared" si="141"/>
        <v>0</v>
      </c>
      <c r="AP359" s="1">
        <f t="shared" si="142"/>
        <v>0</v>
      </c>
      <c r="AQ359" s="18">
        <f t="shared" si="143"/>
        <v>0</v>
      </c>
      <c r="AR359" s="24" t="e">
        <f t="shared" si="157"/>
        <v>#DIV/0!</v>
      </c>
      <c r="AT359" s="20">
        <f t="shared" si="144"/>
        <v>46011</v>
      </c>
      <c r="AU359" s="21">
        <f t="shared" si="145"/>
        <v>354</v>
      </c>
      <c r="AV359" s="1">
        <f t="shared" si="146"/>
        <v>0</v>
      </c>
      <c r="AW359" s="1">
        <f t="shared" si="147"/>
        <v>0</v>
      </c>
      <c r="AX359" s="1">
        <f t="shared" si="148"/>
        <v>0</v>
      </c>
      <c r="AY359" s="1">
        <f t="shared" si="162"/>
        <v>0</v>
      </c>
      <c r="AZ359" s="1">
        <f t="shared" si="163"/>
        <v>0</v>
      </c>
      <c r="BA359" s="1">
        <f t="shared" si="158"/>
        <v>0</v>
      </c>
      <c r="BB359" s="5">
        <f t="shared" si="164"/>
        <v>0</v>
      </c>
      <c r="BC359" s="1">
        <f t="shared" si="149"/>
        <v>0</v>
      </c>
      <c r="BD359" s="1">
        <f t="shared" si="150"/>
        <v>0</v>
      </c>
      <c r="BE359" s="1">
        <f t="shared" si="151"/>
        <v>0</v>
      </c>
      <c r="BF359" s="5">
        <f t="shared" si="152"/>
        <v>0</v>
      </c>
      <c r="BG359" s="5">
        <f t="shared" si="153"/>
        <v>0</v>
      </c>
      <c r="BH359" s="5">
        <f t="shared" si="154"/>
        <v>0</v>
      </c>
      <c r="BI359" s="5">
        <f t="shared" si="159"/>
        <v>0</v>
      </c>
      <c r="BJ359" s="11">
        <f t="shared" si="160"/>
        <v>0</v>
      </c>
      <c r="BK359" s="11" t="e">
        <f t="shared" si="160"/>
        <v>#DIV/0!</v>
      </c>
      <c r="BM359" s="1">
        <f t="shared" si="155"/>
        <v>0</v>
      </c>
      <c r="BN359" s="1">
        <f t="shared" si="156"/>
        <v>0</v>
      </c>
    </row>
    <row r="360" spans="1:66" x14ac:dyDescent="0.2">
      <c r="A360" s="4">
        <f t="shared" si="161"/>
        <v>46012</v>
      </c>
      <c r="B360" s="1">
        <v>355</v>
      </c>
      <c r="C360" s="1">
        <v>5</v>
      </c>
      <c r="AL360" s="5"/>
      <c r="AN360" s="1">
        <f t="shared" si="140"/>
        <v>0</v>
      </c>
      <c r="AO360" s="1">
        <f t="shared" si="141"/>
        <v>0</v>
      </c>
      <c r="AP360" s="1">
        <f t="shared" si="142"/>
        <v>0</v>
      </c>
      <c r="AQ360" s="18">
        <f t="shared" si="143"/>
        <v>0</v>
      </c>
      <c r="AR360" s="24" t="e">
        <f t="shared" si="157"/>
        <v>#DIV/0!</v>
      </c>
      <c r="AT360" s="20">
        <f t="shared" si="144"/>
        <v>46012</v>
      </c>
      <c r="AU360" s="21">
        <f t="shared" si="145"/>
        <v>355</v>
      </c>
      <c r="AV360" s="1">
        <f t="shared" si="146"/>
        <v>0</v>
      </c>
      <c r="AW360" s="1">
        <f t="shared" si="147"/>
        <v>0</v>
      </c>
      <c r="AX360" s="1">
        <f t="shared" si="148"/>
        <v>0</v>
      </c>
      <c r="AY360" s="1">
        <f t="shared" si="162"/>
        <v>0</v>
      </c>
      <c r="AZ360" s="1">
        <f t="shared" si="163"/>
        <v>0</v>
      </c>
      <c r="BA360" s="1">
        <f t="shared" si="158"/>
        <v>0</v>
      </c>
      <c r="BB360" s="5">
        <f t="shared" si="164"/>
        <v>0</v>
      </c>
      <c r="BC360" s="1">
        <f t="shared" si="149"/>
        <v>0</v>
      </c>
      <c r="BD360" s="1">
        <f t="shared" si="150"/>
        <v>0</v>
      </c>
      <c r="BE360" s="1">
        <f t="shared" si="151"/>
        <v>0</v>
      </c>
      <c r="BF360" s="5">
        <f t="shared" si="152"/>
        <v>0</v>
      </c>
      <c r="BG360" s="5">
        <f t="shared" si="153"/>
        <v>0</v>
      </c>
      <c r="BH360" s="5">
        <f t="shared" si="154"/>
        <v>0</v>
      </c>
      <c r="BI360" s="5">
        <f t="shared" si="159"/>
        <v>0</v>
      </c>
      <c r="BJ360" s="11">
        <f t="shared" si="160"/>
        <v>0</v>
      </c>
      <c r="BK360" s="11" t="e">
        <f t="shared" si="160"/>
        <v>#DIV/0!</v>
      </c>
      <c r="BM360" s="1">
        <f t="shared" si="155"/>
        <v>0</v>
      </c>
      <c r="BN360" s="1">
        <f t="shared" si="156"/>
        <v>0</v>
      </c>
    </row>
    <row r="361" spans="1:66" x14ac:dyDescent="0.2">
      <c r="A361" s="4">
        <f t="shared" si="161"/>
        <v>46013</v>
      </c>
      <c r="B361" s="1">
        <v>356</v>
      </c>
      <c r="C361" s="1">
        <v>5</v>
      </c>
      <c r="AL361" s="5"/>
      <c r="AN361" s="1">
        <f t="shared" si="140"/>
        <v>0</v>
      </c>
      <c r="AO361" s="1">
        <f t="shared" si="141"/>
        <v>0</v>
      </c>
      <c r="AP361" s="1">
        <f t="shared" si="142"/>
        <v>0</v>
      </c>
      <c r="AQ361" s="18">
        <f t="shared" si="143"/>
        <v>0</v>
      </c>
      <c r="AR361" s="24" t="e">
        <f t="shared" si="157"/>
        <v>#DIV/0!</v>
      </c>
      <c r="AT361" s="20">
        <f t="shared" si="144"/>
        <v>46013</v>
      </c>
      <c r="AU361" s="21">
        <f t="shared" si="145"/>
        <v>356</v>
      </c>
      <c r="AV361" s="1">
        <f t="shared" si="146"/>
        <v>0</v>
      </c>
      <c r="AW361" s="1">
        <f t="shared" si="147"/>
        <v>0</v>
      </c>
      <c r="AX361" s="1">
        <f t="shared" si="148"/>
        <v>0</v>
      </c>
      <c r="AY361" s="1">
        <f t="shared" si="162"/>
        <v>0</v>
      </c>
      <c r="AZ361" s="1">
        <f t="shared" si="163"/>
        <v>0</v>
      </c>
      <c r="BA361" s="1">
        <f t="shared" si="158"/>
        <v>0</v>
      </c>
      <c r="BB361" s="5">
        <f t="shared" si="164"/>
        <v>0</v>
      </c>
      <c r="BC361" s="1">
        <f t="shared" si="149"/>
        <v>0</v>
      </c>
      <c r="BD361" s="1">
        <f t="shared" si="150"/>
        <v>0</v>
      </c>
      <c r="BE361" s="1">
        <f t="shared" si="151"/>
        <v>0</v>
      </c>
      <c r="BF361" s="5">
        <f t="shared" si="152"/>
        <v>0</v>
      </c>
      <c r="BG361" s="5">
        <f t="shared" si="153"/>
        <v>0</v>
      </c>
      <c r="BH361" s="5">
        <f t="shared" si="154"/>
        <v>0</v>
      </c>
      <c r="BI361" s="5">
        <f t="shared" si="159"/>
        <v>0</v>
      </c>
      <c r="BJ361" s="11">
        <f t="shared" si="160"/>
        <v>0</v>
      </c>
      <c r="BK361" s="11" t="e">
        <f t="shared" si="160"/>
        <v>#DIV/0!</v>
      </c>
      <c r="BM361" s="1">
        <f t="shared" si="155"/>
        <v>0</v>
      </c>
      <c r="BN361" s="1">
        <f t="shared" si="156"/>
        <v>0</v>
      </c>
    </row>
    <row r="362" spans="1:66" x14ac:dyDescent="0.2">
      <c r="A362" s="4">
        <f t="shared" si="161"/>
        <v>46014</v>
      </c>
      <c r="B362" s="1">
        <v>357</v>
      </c>
      <c r="C362" s="1">
        <v>5</v>
      </c>
      <c r="AL362" s="5"/>
      <c r="AN362" s="1">
        <f t="shared" si="140"/>
        <v>0</v>
      </c>
      <c r="AO362" s="1">
        <f t="shared" si="141"/>
        <v>0</v>
      </c>
      <c r="AP362" s="1">
        <f t="shared" si="142"/>
        <v>0</v>
      </c>
      <c r="AQ362" s="18">
        <f t="shared" si="143"/>
        <v>0</v>
      </c>
      <c r="AR362" s="24" t="e">
        <f t="shared" si="157"/>
        <v>#DIV/0!</v>
      </c>
      <c r="AT362" s="20">
        <f t="shared" si="144"/>
        <v>46014</v>
      </c>
      <c r="AU362" s="21">
        <f t="shared" si="145"/>
        <v>357</v>
      </c>
      <c r="AV362" s="1">
        <f t="shared" si="146"/>
        <v>0</v>
      </c>
      <c r="AW362" s="1">
        <f t="shared" si="147"/>
        <v>0</v>
      </c>
      <c r="AX362" s="1">
        <f t="shared" si="148"/>
        <v>0</v>
      </c>
      <c r="AY362" s="1">
        <f t="shared" si="162"/>
        <v>0</v>
      </c>
      <c r="AZ362" s="1">
        <f t="shared" si="163"/>
        <v>0</v>
      </c>
      <c r="BA362" s="1">
        <f t="shared" si="158"/>
        <v>0</v>
      </c>
      <c r="BB362" s="5">
        <f t="shared" si="164"/>
        <v>0</v>
      </c>
      <c r="BC362" s="1">
        <f t="shared" si="149"/>
        <v>0</v>
      </c>
      <c r="BD362" s="1">
        <f t="shared" si="150"/>
        <v>0</v>
      </c>
      <c r="BE362" s="1">
        <f t="shared" si="151"/>
        <v>0</v>
      </c>
      <c r="BF362" s="5">
        <f t="shared" si="152"/>
        <v>0</v>
      </c>
      <c r="BG362" s="5">
        <f t="shared" si="153"/>
        <v>0</v>
      </c>
      <c r="BH362" s="5">
        <f t="shared" si="154"/>
        <v>0</v>
      </c>
      <c r="BI362" s="5">
        <f t="shared" si="159"/>
        <v>0</v>
      </c>
      <c r="BJ362" s="11">
        <f t="shared" si="160"/>
        <v>0</v>
      </c>
      <c r="BK362" s="11" t="e">
        <f t="shared" si="160"/>
        <v>#DIV/0!</v>
      </c>
      <c r="BM362" s="1">
        <f t="shared" si="155"/>
        <v>0</v>
      </c>
      <c r="BN362" s="1">
        <f t="shared" si="156"/>
        <v>0</v>
      </c>
    </row>
    <row r="363" spans="1:66" x14ac:dyDescent="0.2">
      <c r="A363" s="4">
        <f t="shared" si="161"/>
        <v>46015</v>
      </c>
      <c r="B363" s="1">
        <v>358</v>
      </c>
      <c r="C363" s="1">
        <v>5</v>
      </c>
      <c r="AL363" s="5"/>
      <c r="AN363" s="1">
        <f t="shared" si="140"/>
        <v>0</v>
      </c>
      <c r="AO363" s="1">
        <f t="shared" si="141"/>
        <v>0</v>
      </c>
      <c r="AP363" s="1">
        <f t="shared" si="142"/>
        <v>0</v>
      </c>
      <c r="AQ363" s="18">
        <f t="shared" si="143"/>
        <v>0</v>
      </c>
      <c r="AR363" s="24" t="e">
        <f t="shared" si="157"/>
        <v>#DIV/0!</v>
      </c>
      <c r="AT363" s="20">
        <f t="shared" si="144"/>
        <v>46015</v>
      </c>
      <c r="AU363" s="21">
        <f t="shared" si="145"/>
        <v>358</v>
      </c>
      <c r="AV363" s="1">
        <f t="shared" si="146"/>
        <v>0</v>
      </c>
      <c r="AW363" s="1">
        <f t="shared" si="147"/>
        <v>0</v>
      </c>
      <c r="AX363" s="1">
        <f t="shared" si="148"/>
        <v>0</v>
      </c>
      <c r="AY363" s="1">
        <f t="shared" si="162"/>
        <v>0</v>
      </c>
      <c r="AZ363" s="1">
        <f t="shared" si="163"/>
        <v>0</v>
      </c>
      <c r="BA363" s="1">
        <f t="shared" si="158"/>
        <v>0</v>
      </c>
      <c r="BB363" s="5">
        <f t="shared" si="164"/>
        <v>0</v>
      </c>
      <c r="BC363" s="1">
        <f t="shared" si="149"/>
        <v>0</v>
      </c>
      <c r="BD363" s="1">
        <f t="shared" si="150"/>
        <v>0</v>
      </c>
      <c r="BE363" s="1">
        <f t="shared" si="151"/>
        <v>0</v>
      </c>
      <c r="BF363" s="5">
        <f t="shared" si="152"/>
        <v>0</v>
      </c>
      <c r="BG363" s="5">
        <f t="shared" si="153"/>
        <v>0</v>
      </c>
      <c r="BH363" s="5">
        <f t="shared" si="154"/>
        <v>0</v>
      </c>
      <c r="BI363" s="5">
        <f t="shared" si="159"/>
        <v>0</v>
      </c>
      <c r="BJ363" s="11">
        <f t="shared" si="160"/>
        <v>0</v>
      </c>
      <c r="BK363" s="11" t="e">
        <f t="shared" si="160"/>
        <v>#DIV/0!</v>
      </c>
      <c r="BM363" s="1">
        <f t="shared" si="155"/>
        <v>0</v>
      </c>
      <c r="BN363" s="1">
        <f t="shared" si="156"/>
        <v>0</v>
      </c>
    </row>
    <row r="364" spans="1:66" x14ac:dyDescent="0.2">
      <c r="A364" s="4">
        <f t="shared" si="161"/>
        <v>46016</v>
      </c>
      <c r="B364" s="1">
        <v>359</v>
      </c>
      <c r="C364" s="1">
        <v>5</v>
      </c>
      <c r="AL364" s="5"/>
      <c r="AN364" s="1">
        <f t="shared" si="140"/>
        <v>0</v>
      </c>
      <c r="AO364" s="1">
        <f t="shared" si="141"/>
        <v>0</v>
      </c>
      <c r="AP364" s="1">
        <f t="shared" si="142"/>
        <v>0</v>
      </c>
      <c r="AQ364" s="18">
        <f t="shared" si="143"/>
        <v>0</v>
      </c>
      <c r="AR364" s="24" t="e">
        <f t="shared" si="157"/>
        <v>#DIV/0!</v>
      </c>
      <c r="AT364" s="20">
        <f t="shared" si="144"/>
        <v>46016</v>
      </c>
      <c r="AU364" s="21">
        <f t="shared" si="145"/>
        <v>359</v>
      </c>
      <c r="AV364" s="1">
        <f t="shared" si="146"/>
        <v>0</v>
      </c>
      <c r="AW364" s="1">
        <f t="shared" si="147"/>
        <v>0</v>
      </c>
      <c r="AX364" s="1">
        <f t="shared" si="148"/>
        <v>0</v>
      </c>
      <c r="AY364" s="1">
        <f t="shared" si="162"/>
        <v>0</v>
      </c>
      <c r="AZ364" s="1">
        <f t="shared" si="163"/>
        <v>0</v>
      </c>
      <c r="BA364" s="1">
        <f t="shared" si="158"/>
        <v>0</v>
      </c>
      <c r="BB364" s="5">
        <f t="shared" si="164"/>
        <v>0</v>
      </c>
      <c r="BC364" s="1">
        <f t="shared" si="149"/>
        <v>0</v>
      </c>
      <c r="BD364" s="1">
        <f t="shared" si="150"/>
        <v>0</v>
      </c>
      <c r="BE364" s="1">
        <f t="shared" si="151"/>
        <v>0</v>
      </c>
      <c r="BF364" s="5">
        <f t="shared" si="152"/>
        <v>0</v>
      </c>
      <c r="BG364" s="5">
        <f t="shared" si="153"/>
        <v>0</v>
      </c>
      <c r="BH364" s="5">
        <f t="shared" si="154"/>
        <v>0</v>
      </c>
      <c r="BI364" s="5">
        <f t="shared" si="159"/>
        <v>0</v>
      </c>
      <c r="BJ364" s="11">
        <f t="shared" si="160"/>
        <v>0</v>
      </c>
      <c r="BK364" s="11" t="e">
        <f t="shared" si="160"/>
        <v>#DIV/0!</v>
      </c>
      <c r="BM364" s="1">
        <f t="shared" si="155"/>
        <v>0</v>
      </c>
      <c r="BN364" s="1">
        <f t="shared" si="156"/>
        <v>0</v>
      </c>
    </row>
    <row r="365" spans="1:66" x14ac:dyDescent="0.2">
      <c r="A365" s="4">
        <f t="shared" si="161"/>
        <v>46017</v>
      </c>
      <c r="B365" s="1">
        <v>360</v>
      </c>
      <c r="C365" s="1">
        <v>5</v>
      </c>
      <c r="AL365" s="5"/>
      <c r="AN365" s="1">
        <f t="shared" si="140"/>
        <v>0</v>
      </c>
      <c r="AO365" s="1">
        <f t="shared" si="141"/>
        <v>0</v>
      </c>
      <c r="AP365" s="1">
        <f t="shared" si="142"/>
        <v>0</v>
      </c>
      <c r="AQ365" s="18">
        <f t="shared" si="143"/>
        <v>0</v>
      </c>
      <c r="AR365" s="24" t="e">
        <f t="shared" si="157"/>
        <v>#DIV/0!</v>
      </c>
      <c r="AT365" s="20">
        <f t="shared" si="144"/>
        <v>46017</v>
      </c>
      <c r="AU365" s="21">
        <f t="shared" si="145"/>
        <v>360</v>
      </c>
      <c r="AV365" s="1">
        <f t="shared" si="146"/>
        <v>0</v>
      </c>
      <c r="AW365" s="1">
        <f t="shared" si="147"/>
        <v>0</v>
      </c>
      <c r="AX365" s="1">
        <f t="shared" si="148"/>
        <v>0</v>
      </c>
      <c r="AY365" s="1">
        <f t="shared" si="162"/>
        <v>0</v>
      </c>
      <c r="AZ365" s="1">
        <f t="shared" si="163"/>
        <v>0</v>
      </c>
      <c r="BA365" s="1">
        <f t="shared" si="158"/>
        <v>0</v>
      </c>
      <c r="BB365" s="5">
        <f t="shared" si="164"/>
        <v>0</v>
      </c>
      <c r="BC365" s="1">
        <f t="shared" si="149"/>
        <v>0</v>
      </c>
      <c r="BD365" s="1">
        <f t="shared" si="150"/>
        <v>0</v>
      </c>
      <c r="BE365" s="1">
        <f t="shared" si="151"/>
        <v>0</v>
      </c>
      <c r="BF365" s="5">
        <f t="shared" si="152"/>
        <v>0</v>
      </c>
      <c r="BG365" s="5">
        <f t="shared" si="153"/>
        <v>0</v>
      </c>
      <c r="BH365" s="5">
        <f t="shared" si="154"/>
        <v>0</v>
      </c>
      <c r="BI365" s="5">
        <f t="shared" si="159"/>
        <v>0</v>
      </c>
      <c r="BJ365" s="11">
        <f t="shared" si="160"/>
        <v>0</v>
      </c>
      <c r="BK365" s="11" t="e">
        <f t="shared" si="160"/>
        <v>#DIV/0!</v>
      </c>
      <c r="BM365" s="1">
        <f t="shared" si="155"/>
        <v>0</v>
      </c>
      <c r="BN365" s="1">
        <f t="shared" si="156"/>
        <v>0</v>
      </c>
    </row>
    <row r="366" spans="1:66" x14ac:dyDescent="0.2">
      <c r="A366" s="4">
        <f t="shared" si="161"/>
        <v>46018</v>
      </c>
      <c r="B366" s="1">
        <v>361</v>
      </c>
      <c r="C366" s="1">
        <v>5</v>
      </c>
      <c r="AL366" s="5"/>
      <c r="AN366" s="1">
        <f t="shared" si="140"/>
        <v>0</v>
      </c>
      <c r="AO366" s="1">
        <f t="shared" si="141"/>
        <v>0</v>
      </c>
      <c r="AP366" s="1">
        <f t="shared" si="142"/>
        <v>0</v>
      </c>
      <c r="AQ366" s="18">
        <f t="shared" si="143"/>
        <v>0</v>
      </c>
      <c r="AR366" s="24" t="e">
        <f t="shared" si="157"/>
        <v>#DIV/0!</v>
      </c>
      <c r="AT366" s="20">
        <f t="shared" si="144"/>
        <v>46018</v>
      </c>
      <c r="AU366" s="21">
        <f t="shared" si="145"/>
        <v>361</v>
      </c>
      <c r="AV366" s="1">
        <f t="shared" si="146"/>
        <v>0</v>
      </c>
      <c r="AW366" s="1">
        <f t="shared" si="147"/>
        <v>0</v>
      </c>
      <c r="AX366" s="1">
        <f t="shared" si="148"/>
        <v>0</v>
      </c>
      <c r="AY366" s="1">
        <f t="shared" si="162"/>
        <v>0</v>
      </c>
      <c r="AZ366" s="1">
        <f t="shared" si="163"/>
        <v>0</v>
      </c>
      <c r="BA366" s="1">
        <f t="shared" si="158"/>
        <v>0</v>
      </c>
      <c r="BB366" s="5">
        <f t="shared" si="164"/>
        <v>0</v>
      </c>
      <c r="BC366" s="1">
        <f t="shared" si="149"/>
        <v>0</v>
      </c>
      <c r="BD366" s="1">
        <f t="shared" si="150"/>
        <v>0</v>
      </c>
      <c r="BE366" s="1">
        <f t="shared" si="151"/>
        <v>0</v>
      </c>
      <c r="BF366" s="5">
        <f t="shared" si="152"/>
        <v>0</v>
      </c>
      <c r="BG366" s="5">
        <f t="shared" si="153"/>
        <v>0</v>
      </c>
      <c r="BH366" s="5">
        <f t="shared" si="154"/>
        <v>0</v>
      </c>
      <c r="BI366" s="5">
        <f t="shared" si="159"/>
        <v>0</v>
      </c>
      <c r="BJ366" s="11">
        <f t="shared" si="160"/>
        <v>0</v>
      </c>
      <c r="BK366" s="11" t="e">
        <f t="shared" si="160"/>
        <v>#DIV/0!</v>
      </c>
      <c r="BM366" s="1">
        <f t="shared" si="155"/>
        <v>0</v>
      </c>
      <c r="BN366" s="1">
        <f t="shared" si="156"/>
        <v>0</v>
      </c>
    </row>
    <row r="367" spans="1:66" x14ac:dyDescent="0.2">
      <c r="A367" s="4">
        <f t="shared" si="161"/>
        <v>46019</v>
      </c>
      <c r="B367" s="1">
        <v>362</v>
      </c>
      <c r="C367" s="1">
        <v>5</v>
      </c>
      <c r="AL367" s="5"/>
      <c r="AN367" s="1">
        <f t="shared" si="140"/>
        <v>0</v>
      </c>
      <c r="AO367" s="1">
        <f t="shared" si="141"/>
        <v>0</v>
      </c>
      <c r="AP367" s="1">
        <f t="shared" si="142"/>
        <v>0</v>
      </c>
      <c r="AQ367" s="18">
        <f t="shared" si="143"/>
        <v>0</v>
      </c>
      <c r="AR367" s="24" t="e">
        <f t="shared" si="157"/>
        <v>#DIV/0!</v>
      </c>
      <c r="AT367" s="20">
        <f t="shared" si="144"/>
        <v>46019</v>
      </c>
      <c r="AU367" s="21">
        <f t="shared" si="145"/>
        <v>362</v>
      </c>
      <c r="AV367" s="1">
        <f t="shared" si="146"/>
        <v>0</v>
      </c>
      <c r="AW367" s="1">
        <f t="shared" si="147"/>
        <v>0</v>
      </c>
      <c r="AX367" s="1">
        <f t="shared" si="148"/>
        <v>0</v>
      </c>
      <c r="AY367" s="1">
        <f t="shared" si="162"/>
        <v>0</v>
      </c>
      <c r="AZ367" s="1">
        <f t="shared" si="163"/>
        <v>0</v>
      </c>
      <c r="BA367" s="1">
        <f t="shared" si="158"/>
        <v>0</v>
      </c>
      <c r="BB367" s="5">
        <f t="shared" si="164"/>
        <v>0</v>
      </c>
      <c r="BC367" s="1">
        <f t="shared" si="149"/>
        <v>0</v>
      </c>
      <c r="BD367" s="1">
        <f t="shared" si="150"/>
        <v>0</v>
      </c>
      <c r="BE367" s="1">
        <f t="shared" si="151"/>
        <v>0</v>
      </c>
      <c r="BF367" s="5">
        <f t="shared" si="152"/>
        <v>0</v>
      </c>
      <c r="BG367" s="5">
        <f t="shared" si="153"/>
        <v>0</v>
      </c>
      <c r="BH367" s="5">
        <f t="shared" si="154"/>
        <v>0</v>
      </c>
      <c r="BI367" s="5">
        <f t="shared" si="159"/>
        <v>0</v>
      </c>
      <c r="BJ367" s="11">
        <f t="shared" si="160"/>
        <v>0</v>
      </c>
      <c r="BK367" s="11" t="e">
        <f t="shared" si="160"/>
        <v>#DIV/0!</v>
      </c>
      <c r="BM367" s="1">
        <f t="shared" si="155"/>
        <v>0</v>
      </c>
      <c r="BN367" s="1">
        <f t="shared" si="156"/>
        <v>0</v>
      </c>
    </row>
    <row r="368" spans="1:66" x14ac:dyDescent="0.2">
      <c r="A368" s="4">
        <f t="shared" si="161"/>
        <v>46020</v>
      </c>
      <c r="B368" s="1">
        <v>363</v>
      </c>
      <c r="C368" s="1">
        <v>5</v>
      </c>
      <c r="AL368" s="5"/>
      <c r="AN368" s="1">
        <f t="shared" si="140"/>
        <v>0</v>
      </c>
      <c r="AO368" s="1">
        <f t="shared" si="141"/>
        <v>0</v>
      </c>
      <c r="AP368" s="1">
        <f t="shared" si="142"/>
        <v>0</v>
      </c>
      <c r="AQ368" s="18">
        <f t="shared" si="143"/>
        <v>0</v>
      </c>
      <c r="AR368" s="24" t="e">
        <f t="shared" si="157"/>
        <v>#DIV/0!</v>
      </c>
      <c r="AT368" s="20">
        <f t="shared" si="144"/>
        <v>46020</v>
      </c>
      <c r="AU368" s="21">
        <f t="shared" si="145"/>
        <v>363</v>
      </c>
      <c r="AV368" s="1">
        <f t="shared" si="146"/>
        <v>0</v>
      </c>
      <c r="AW368" s="1">
        <f t="shared" si="147"/>
        <v>0</v>
      </c>
      <c r="AX368" s="1">
        <f t="shared" si="148"/>
        <v>0</v>
      </c>
      <c r="AY368" s="1">
        <f t="shared" si="162"/>
        <v>0</v>
      </c>
      <c r="AZ368" s="1">
        <f t="shared" si="163"/>
        <v>0</v>
      </c>
      <c r="BA368" s="1">
        <f t="shared" si="158"/>
        <v>0</v>
      </c>
      <c r="BB368" s="5">
        <f t="shared" si="164"/>
        <v>0</v>
      </c>
      <c r="BC368" s="1">
        <f t="shared" si="149"/>
        <v>0</v>
      </c>
      <c r="BD368" s="1">
        <f t="shared" si="150"/>
        <v>0</v>
      </c>
      <c r="BE368" s="1">
        <f t="shared" si="151"/>
        <v>0</v>
      </c>
      <c r="BF368" s="5">
        <f t="shared" si="152"/>
        <v>0</v>
      </c>
      <c r="BG368" s="5">
        <f t="shared" si="153"/>
        <v>0</v>
      </c>
      <c r="BH368" s="5">
        <f t="shared" si="154"/>
        <v>0</v>
      </c>
      <c r="BI368" s="5">
        <f t="shared" si="159"/>
        <v>0</v>
      </c>
      <c r="BJ368" s="11">
        <f t="shared" si="160"/>
        <v>0</v>
      </c>
      <c r="BK368" s="11" t="e">
        <f t="shared" si="160"/>
        <v>#DIV/0!</v>
      </c>
      <c r="BM368" s="1">
        <f t="shared" si="155"/>
        <v>0</v>
      </c>
      <c r="BN368" s="1">
        <f t="shared" si="156"/>
        <v>0</v>
      </c>
    </row>
    <row r="369" spans="1:66" x14ac:dyDescent="0.2">
      <c r="A369" s="4">
        <f t="shared" si="161"/>
        <v>46021</v>
      </c>
      <c r="B369" s="1">
        <v>364</v>
      </c>
      <c r="C369" s="1">
        <v>5</v>
      </c>
      <c r="AL369" s="5"/>
      <c r="AN369" s="1">
        <f t="shared" si="140"/>
        <v>0</v>
      </c>
      <c r="AO369" s="1">
        <f t="shared" si="141"/>
        <v>0</v>
      </c>
      <c r="AP369" s="1">
        <f t="shared" si="142"/>
        <v>0</v>
      </c>
      <c r="AQ369" s="18">
        <f t="shared" si="143"/>
        <v>0</v>
      </c>
      <c r="AR369" s="24" t="e">
        <f t="shared" si="157"/>
        <v>#DIV/0!</v>
      </c>
      <c r="AT369" s="20">
        <f t="shared" si="144"/>
        <v>46021</v>
      </c>
      <c r="AU369" s="21">
        <f t="shared" si="145"/>
        <v>364</v>
      </c>
      <c r="AV369" s="1">
        <f t="shared" si="146"/>
        <v>0</v>
      </c>
      <c r="AW369" s="1">
        <f t="shared" si="147"/>
        <v>0</v>
      </c>
      <c r="AX369" s="1">
        <f t="shared" si="148"/>
        <v>0</v>
      </c>
      <c r="AY369" s="1">
        <f t="shared" si="162"/>
        <v>0</v>
      </c>
      <c r="AZ369" s="1">
        <f t="shared" si="163"/>
        <v>0</v>
      </c>
      <c r="BA369" s="1">
        <f t="shared" si="158"/>
        <v>0</v>
      </c>
      <c r="BB369" s="5">
        <f t="shared" si="164"/>
        <v>0</v>
      </c>
      <c r="BC369" s="1">
        <f t="shared" si="149"/>
        <v>0</v>
      </c>
      <c r="BD369" s="1">
        <f t="shared" si="150"/>
        <v>0</v>
      </c>
      <c r="BE369" s="1">
        <f t="shared" si="151"/>
        <v>0</v>
      </c>
      <c r="BF369" s="5">
        <f t="shared" si="152"/>
        <v>0</v>
      </c>
      <c r="BG369" s="5">
        <f t="shared" si="153"/>
        <v>0</v>
      </c>
      <c r="BH369" s="5">
        <f t="shared" si="154"/>
        <v>0</v>
      </c>
      <c r="BI369" s="5">
        <f t="shared" si="159"/>
        <v>0</v>
      </c>
      <c r="BJ369" s="11">
        <f t="shared" si="160"/>
        <v>0</v>
      </c>
      <c r="BK369" s="11" t="e">
        <f t="shared" si="160"/>
        <v>#DIV/0!</v>
      </c>
      <c r="BM369" s="1">
        <f t="shared" si="155"/>
        <v>0</v>
      </c>
      <c r="BN369" s="1">
        <f t="shared" si="156"/>
        <v>0</v>
      </c>
    </row>
    <row r="370" spans="1:66" x14ac:dyDescent="0.2">
      <c r="A370" s="4">
        <f t="shared" si="161"/>
        <v>46022</v>
      </c>
      <c r="B370" s="1">
        <v>365</v>
      </c>
      <c r="C370" s="1">
        <v>5</v>
      </c>
      <c r="AL370" s="5"/>
      <c r="AN370" s="1">
        <f t="shared" si="140"/>
        <v>0</v>
      </c>
      <c r="AO370" s="1">
        <f t="shared" si="141"/>
        <v>0</v>
      </c>
      <c r="AP370" s="1">
        <f t="shared" si="142"/>
        <v>0</v>
      </c>
      <c r="AQ370" s="18">
        <f t="shared" si="143"/>
        <v>0</v>
      </c>
      <c r="AR370" s="24" t="e">
        <f t="shared" si="157"/>
        <v>#DIV/0!</v>
      </c>
      <c r="AT370" s="20">
        <f t="shared" si="144"/>
        <v>46022</v>
      </c>
      <c r="AU370" s="21">
        <f t="shared" si="145"/>
        <v>365</v>
      </c>
      <c r="AV370" s="1">
        <f t="shared" si="146"/>
        <v>0</v>
      </c>
      <c r="AW370" s="1">
        <f t="shared" si="147"/>
        <v>0</v>
      </c>
      <c r="AX370" s="1">
        <f t="shared" si="148"/>
        <v>0</v>
      </c>
      <c r="AY370" s="1">
        <f t="shared" si="162"/>
        <v>0</v>
      </c>
      <c r="AZ370" s="1">
        <f t="shared" si="163"/>
        <v>0</v>
      </c>
      <c r="BA370" s="1">
        <f t="shared" si="158"/>
        <v>0</v>
      </c>
      <c r="BB370" s="5">
        <f t="shared" si="164"/>
        <v>0</v>
      </c>
      <c r="BC370" s="1">
        <f t="shared" si="149"/>
        <v>0</v>
      </c>
      <c r="BD370" s="1">
        <f t="shared" si="150"/>
        <v>0</v>
      </c>
      <c r="BE370" s="1">
        <f t="shared" si="151"/>
        <v>0</v>
      </c>
      <c r="BF370" s="5">
        <f t="shared" si="152"/>
        <v>0</v>
      </c>
      <c r="BG370" s="5">
        <f t="shared" si="153"/>
        <v>0</v>
      </c>
      <c r="BH370" s="5">
        <f t="shared" si="154"/>
        <v>0</v>
      </c>
      <c r="BI370" s="5">
        <f t="shared" si="159"/>
        <v>0</v>
      </c>
      <c r="BJ370" s="11">
        <f t="shared" si="160"/>
        <v>0</v>
      </c>
      <c r="BK370" s="11" t="e">
        <f t="shared" si="160"/>
        <v>#DIV/0!</v>
      </c>
      <c r="BM370" s="1">
        <f t="shared" si="155"/>
        <v>0</v>
      </c>
      <c r="BN370" s="1">
        <f t="shared" si="156"/>
        <v>0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10" t="s">
        <v>33</v>
      </c>
      <c r="H374" s="1"/>
      <c r="I374" s="10"/>
      <c r="J374" s="1"/>
      <c r="K374" s="2" t="s">
        <v>34</v>
      </c>
      <c r="L374" s="10" t="s">
        <v>35</v>
      </c>
      <c r="M374" s="10" t="s">
        <v>36</v>
      </c>
      <c r="N374" s="10" t="s">
        <v>37</v>
      </c>
      <c r="O374" s="10" t="s">
        <v>38</v>
      </c>
      <c r="P374" s="10"/>
      <c r="Q374" s="10"/>
      <c r="R374" s="2" t="s">
        <v>39</v>
      </c>
      <c r="S374" s="1"/>
      <c r="T374" s="10"/>
      <c r="U374" s="10" t="s">
        <v>40</v>
      </c>
      <c r="V374" s="10" t="s">
        <v>41</v>
      </c>
      <c r="W374" s="10"/>
      <c r="X374" s="10"/>
      <c r="Y374" s="2" t="s">
        <v>42</v>
      </c>
      <c r="Z374" s="1"/>
      <c r="AA374" s="1"/>
      <c r="AB374" s="1"/>
      <c r="AC374" s="5" t="s">
        <v>43</v>
      </c>
      <c r="AD374" s="5" t="s">
        <v>44</v>
      </c>
      <c r="AE374" s="5" t="s">
        <v>45</v>
      </c>
      <c r="AK374" s="11" t="s">
        <v>46</v>
      </c>
      <c r="AL374" s="10" t="s">
        <v>63</v>
      </c>
      <c r="AM374" s="10"/>
      <c r="AN374" s="10"/>
      <c r="AO374" s="10" t="s">
        <v>47</v>
      </c>
      <c r="AP374" s="10" t="s">
        <v>48</v>
      </c>
      <c r="AQ374" s="10" t="s">
        <v>49</v>
      </c>
      <c r="AR374" s="1" t="s">
        <v>50</v>
      </c>
      <c r="AS374" s="1" t="s">
        <v>104</v>
      </c>
      <c r="BA374" s="11" t="s">
        <v>46</v>
      </c>
      <c r="BB374" s="10" t="s">
        <v>63</v>
      </c>
    </row>
    <row r="375" spans="1:66" x14ac:dyDescent="0.2">
      <c r="A375" s="1" t="s">
        <v>51</v>
      </c>
      <c r="D375" s="1"/>
      <c r="E375" s="1"/>
      <c r="F375" s="1"/>
      <c r="G375" s="12">
        <f>ROUND(AVERAGE(G6:G36),1)</f>
        <v>-7.2</v>
      </c>
      <c r="H375" s="1"/>
      <c r="I375" s="12"/>
      <c r="J375" s="1"/>
      <c r="K375" s="12">
        <f>ROUND(AVERAGE(K6:K36),1)</f>
        <v>0.2</v>
      </c>
      <c r="L375" s="12">
        <f>ROUND(AVERAGE(L6:L36),1)</f>
        <v>0.9</v>
      </c>
      <c r="M375" s="12">
        <f>ROUND(AVERAGE(M6:M36),1)</f>
        <v>1.6</v>
      </c>
      <c r="N375" s="12">
        <f>ROUND(AVERAGE(N6:N36),1)</f>
        <v>-3.2</v>
      </c>
      <c r="O375" s="12">
        <f>ROUND(MAX(N6:N36),1)</f>
        <v>4.0999999999999996</v>
      </c>
      <c r="P375" s="12"/>
      <c r="Q375" s="12"/>
      <c r="R375" s="12">
        <f>ROUND(AVERAGE(R6:R36),1)</f>
        <v>0.3</v>
      </c>
      <c r="S375" s="1"/>
      <c r="T375" s="12"/>
      <c r="U375" s="12">
        <f>ROUND(AVERAGE(U6:U36),1)</f>
        <v>-10.9</v>
      </c>
      <c r="V375" s="12">
        <f>ROUND(MIN(U6:U36),1)</f>
        <v>-21.4</v>
      </c>
      <c r="W375" s="12"/>
      <c r="X375" s="12"/>
      <c r="Y375" s="12">
        <f>ROUND(AVERAGE(Y6:Y36),1)</f>
        <v>0.1</v>
      </c>
      <c r="Z375" s="1"/>
      <c r="AA375" s="1"/>
      <c r="AB375" s="1"/>
      <c r="AC375" s="12">
        <f>ROUND(AVERAGE(AC6:AC36),1)</f>
        <v>-7.8</v>
      </c>
      <c r="AD375" s="12">
        <f>ROUND(AVERAGE(AD6:AD36),1)</f>
        <v>-4.2</v>
      </c>
      <c r="AE375" s="12">
        <f>ROUND(AVERAGE(AE6:AE36),1)</f>
        <v>-11.4</v>
      </c>
      <c r="AF375" s="12"/>
      <c r="AG375" s="12"/>
      <c r="AH375" s="12"/>
      <c r="AI375" s="12"/>
      <c r="AJ375" s="12"/>
      <c r="AK375" s="22">
        <f>AK36*1000</f>
        <v>585</v>
      </c>
      <c r="AL375" s="12">
        <f>ROUND(AVERAGE(AL6:AL36),1)</f>
        <v>-0.7</v>
      </c>
      <c r="AM375" s="12"/>
      <c r="AN375" s="12"/>
      <c r="AO375" s="12">
        <f>ROUND(AVERAGE(AO6:AO36),1)</f>
        <v>88.9</v>
      </c>
      <c r="AP375" s="12">
        <f>ROUND(AVERAGE(AP6:AP36),1)</f>
        <v>72.8</v>
      </c>
      <c r="AQ375" s="12">
        <f>ROUND(MIN(AP6:AP36),1)</f>
        <v>26.9</v>
      </c>
      <c r="AR375" s="13">
        <f>ROUND(AVERAGE(AQ6:AQ36),2)</f>
        <v>0.35</v>
      </c>
      <c r="AS375" s="13">
        <f>ROUND(MAX(AR5:AR35),2)</f>
        <v>0.57999999999999996</v>
      </c>
      <c r="AT375" s="13"/>
      <c r="AU375" s="13"/>
      <c r="AW375" s="13"/>
      <c r="BA375" s="11">
        <f>BA36</f>
        <v>0.58499999999999996</v>
      </c>
      <c r="BB375" s="12">
        <f>ROUND(AVERAGE(BB6:BB36),1)</f>
        <v>-0.7</v>
      </c>
    </row>
    <row r="376" spans="1:66" x14ac:dyDescent="0.2">
      <c r="A376" s="1" t="s">
        <v>52</v>
      </c>
      <c r="D376" s="1"/>
      <c r="E376" s="1"/>
      <c r="F376" s="1"/>
      <c r="G376" s="12">
        <f>ROUND(AVERAGE(G37:G64),1)</f>
        <v>-9.5</v>
      </c>
      <c r="H376" s="1"/>
      <c r="I376" s="12"/>
      <c r="J376" s="1"/>
      <c r="K376" s="12">
        <f>ROUND(AVERAGE(K37:K64),1)</f>
        <v>0</v>
      </c>
      <c r="L376" s="12">
        <f>ROUND(AVERAGE(L37:L64),1)</f>
        <v>0.7</v>
      </c>
      <c r="M376" s="12">
        <f>ROUND(AVERAGE(M37:M64),1)</f>
        <v>1.3</v>
      </c>
      <c r="N376" s="12">
        <f>ROUND(AVERAGE(N37:N64),1)</f>
        <v>-5.7</v>
      </c>
      <c r="O376" s="12">
        <f>ROUND(MAX(N37:N64),1)</f>
        <v>5</v>
      </c>
      <c r="P376" s="12"/>
      <c r="Q376" s="12"/>
      <c r="R376" s="12">
        <f>ROUND(AVERAGE(R37:R64),1)</f>
        <v>0.1</v>
      </c>
      <c r="S376" s="1"/>
      <c r="T376" s="12"/>
      <c r="U376" s="12">
        <f>ROUND(AVERAGE(U37:U64),1)</f>
        <v>-13.1</v>
      </c>
      <c r="V376" s="12">
        <f>ROUND(MIN(U37:U64),1)</f>
        <v>-26.2</v>
      </c>
      <c r="W376" s="12"/>
      <c r="X376" s="12"/>
      <c r="Y376" s="12">
        <f>ROUND(AVERAGE(Y37:Y64),1)</f>
        <v>-0.1</v>
      </c>
      <c r="Z376" s="1"/>
      <c r="AA376" s="1"/>
      <c r="AB376" s="1"/>
      <c r="AC376" s="12">
        <f>ROUND(AVERAGE(AC37:AC64),1)</f>
        <v>-9.9</v>
      </c>
      <c r="AD376" s="12">
        <f>ROUND(AVERAGE(AD37:AD64),1)</f>
        <v>-6.1</v>
      </c>
      <c r="AE376" s="12">
        <f>ROUND(AVERAGE(AE37:AE64),1)</f>
        <v>-13.5</v>
      </c>
      <c r="AF376" s="12"/>
      <c r="AG376" s="12"/>
      <c r="AH376" s="12"/>
      <c r="AI376" s="12"/>
      <c r="AJ376" s="12"/>
      <c r="AK376" s="22">
        <f>AK64*1000</f>
        <v>733.00000000000011</v>
      </c>
      <c r="AL376" s="12">
        <f>ROUND(AVERAGE(AL37:AL64),1)</f>
        <v>-0.9</v>
      </c>
      <c r="AM376" s="12"/>
      <c r="AN376" s="12"/>
      <c r="AO376" s="12">
        <f>ROUND(AVERAGE(AO37:AO64),1)</f>
        <v>86.1</v>
      </c>
      <c r="AP376" s="12">
        <f>ROUND(AVERAGE(AP37:AP64),1)</f>
        <v>71.599999999999994</v>
      </c>
      <c r="AQ376" s="12">
        <f>ROUND(MIN(AP37:AP64),1)</f>
        <v>35.200000000000003</v>
      </c>
      <c r="AR376" s="13">
        <f>ROUND(AVERAGE(AQ37:AQ64),2)</f>
        <v>0.32</v>
      </c>
      <c r="AS376" s="13">
        <f>ROUND(MAX(AR36:AR63),2)</f>
        <v>0.27</v>
      </c>
      <c r="AT376" s="13"/>
      <c r="AU376" s="13"/>
      <c r="AW376" s="13"/>
      <c r="BA376" s="11">
        <f>BA64</f>
        <v>0.7330000000000001</v>
      </c>
      <c r="BB376" s="12">
        <f>ROUND(AVERAGE(BB37:BB64),1)</f>
        <v>-0.9</v>
      </c>
    </row>
    <row r="377" spans="1:66" x14ac:dyDescent="0.2">
      <c r="A377" s="1" t="s">
        <v>53</v>
      </c>
      <c r="D377" s="1"/>
      <c r="E377" s="1"/>
      <c r="F377" s="1"/>
      <c r="G377" s="12">
        <f>ROUND(AVERAGE(G65:G95),1)</f>
        <v>-3.6</v>
      </c>
      <c r="H377" s="1"/>
      <c r="I377" s="12"/>
      <c r="J377" s="1"/>
      <c r="K377" s="12">
        <f t="shared" ref="K377:L377" si="165">ROUND(AVERAGE(K65:K95),1)</f>
        <v>0.2</v>
      </c>
      <c r="L377" s="12">
        <f t="shared" si="165"/>
        <v>0.7</v>
      </c>
      <c r="M377" s="12">
        <f>ROUND(AVERAGE(M65:M95),1)</f>
        <v>1.2</v>
      </c>
      <c r="N377" s="12">
        <f>ROUND(AVERAGE(N65:N95),1)</f>
        <v>1.7</v>
      </c>
      <c r="O377" s="12">
        <f>ROUND(MAX(N65:N95),1)</f>
        <v>11.3</v>
      </c>
      <c r="P377" s="12"/>
      <c r="Q377" s="12"/>
      <c r="R377" s="12">
        <f>ROUND(AVERAGE(R65:R95),1)</f>
        <v>0.3</v>
      </c>
      <c r="S377" s="1"/>
      <c r="T377" s="12"/>
      <c r="U377" s="12">
        <f>ROUND(AVERAGE(U65:U95),1)</f>
        <v>-12.1</v>
      </c>
      <c r="V377" s="12">
        <f>ROUND(MIN(U65:U95),1)</f>
        <v>-79.400000000000006</v>
      </c>
      <c r="W377" s="12"/>
      <c r="X377" s="12"/>
      <c r="Y377" s="12">
        <f>ROUND(AVERAGE(Y65:Y95),1)</f>
        <v>0.1</v>
      </c>
      <c r="Z377" s="1"/>
      <c r="AA377" s="1"/>
      <c r="AB377" s="1"/>
      <c r="AC377" s="12">
        <f t="shared" ref="AC377:AE377" si="166">ROUND(AVERAGE(AC65:AC95),1)</f>
        <v>-3.7</v>
      </c>
      <c r="AD377" s="12">
        <f t="shared" si="166"/>
        <v>0.3</v>
      </c>
      <c r="AE377" s="12">
        <f t="shared" si="166"/>
        <v>-7.7</v>
      </c>
      <c r="AF377" s="12"/>
      <c r="AG377" s="12"/>
      <c r="AH377" s="12"/>
      <c r="AI377" s="12"/>
      <c r="AJ377" s="12"/>
      <c r="AK377" s="16">
        <f>AK95*1000</f>
        <v>823.00000000000023</v>
      </c>
      <c r="AL377" s="12">
        <f t="shared" ref="AL377" si="167">ROUND(AVERAGE(AL65:AL95),1)</f>
        <v>-0.1</v>
      </c>
      <c r="AM377" s="12"/>
      <c r="AN377" s="12"/>
      <c r="AO377" s="12">
        <f>ROUND(AVERAGE(AO65:AO95),1)</f>
        <v>81.599999999999994</v>
      </c>
      <c r="AP377" s="12">
        <f>ROUND(AVERAGE(AP65:AP95),1)</f>
        <v>53.6</v>
      </c>
      <c r="AQ377" s="12">
        <f>ROUND(MIN(AP65:AP95),1)</f>
        <v>0.4</v>
      </c>
      <c r="AR377" s="13">
        <f>ROUND(AVERAGE(AQ65:AQ95),2)</f>
        <v>0.35</v>
      </c>
      <c r="AS377" s="13">
        <f>ROUND(MAX(AR64:AR94),2)</f>
        <v>1.25</v>
      </c>
      <c r="AT377" s="13"/>
      <c r="AU377" s="13"/>
      <c r="AW377" s="13"/>
      <c r="BA377" s="11">
        <f>BA95</f>
        <v>0.82300000000000018</v>
      </c>
      <c r="BB377" s="12">
        <f t="shared" ref="BB377" si="168">ROUND(AVERAGE(BB65:BB95),1)</f>
        <v>-0.1</v>
      </c>
    </row>
    <row r="378" spans="1:66" x14ac:dyDescent="0.2">
      <c r="A378" s="1" t="s">
        <v>54</v>
      </c>
      <c r="D378" s="1"/>
      <c r="E378" s="1"/>
      <c r="F378" s="1"/>
      <c r="G378" s="12">
        <f>ROUND(AVERAGE(G96:G125),1)</f>
        <v>-1.9</v>
      </c>
      <c r="H378" s="1"/>
      <c r="I378" s="12"/>
      <c r="J378" s="1"/>
      <c r="K378" s="12">
        <f t="shared" ref="K378:L378" si="169">ROUND(AVERAGE(K96:K125),1)</f>
        <v>0.2</v>
      </c>
      <c r="L378" s="12">
        <f t="shared" si="169"/>
        <v>0.7</v>
      </c>
      <c r="M378" s="12">
        <f>ROUND(AVERAGE(M96:M125),1)</f>
        <v>1.2</v>
      </c>
      <c r="N378" s="12">
        <f>ROUND(AVERAGE(N96:N125),1)</f>
        <v>2</v>
      </c>
      <c r="O378" s="12">
        <f>ROUND(MAX(N96:N125),1)</f>
        <v>2.5</v>
      </c>
      <c r="P378" s="12"/>
      <c r="Q378" s="12"/>
      <c r="R378" s="12">
        <f>ROUND(AVERAGE(R96:R125),1)</f>
        <v>0.3</v>
      </c>
      <c r="S378" s="1"/>
      <c r="T378" s="12"/>
      <c r="U378" s="12">
        <f>ROUND(AVERAGE(U96:U125),1)</f>
        <v>-4.8</v>
      </c>
      <c r="V378" s="12">
        <f>ROUND(MIN(U96:U125),1)</f>
        <v>-8.1999999999999993</v>
      </c>
      <c r="W378" s="12"/>
      <c r="X378" s="12"/>
      <c r="Y378" s="12">
        <f>ROUND(AVERAGE(Y96:Y125),1)</f>
        <v>0.1</v>
      </c>
      <c r="Z378" s="1"/>
      <c r="AA378" s="1"/>
      <c r="AB378" s="1"/>
      <c r="AC378" s="12">
        <f t="shared" ref="AC378:AE378" si="170">ROUND(AVERAGE(AC96:AC125),1)</f>
        <v>-2.2000000000000002</v>
      </c>
      <c r="AD378" s="12">
        <f t="shared" si="170"/>
        <v>2.1</v>
      </c>
      <c r="AE378" s="12">
        <f t="shared" si="170"/>
        <v>-5.0999999999999996</v>
      </c>
      <c r="AF378" s="12"/>
      <c r="AG378" s="12"/>
      <c r="AH378" s="12"/>
      <c r="AI378" s="12"/>
      <c r="AJ378" s="12"/>
      <c r="AK378" s="16">
        <f>AK125*1000</f>
        <v>0</v>
      </c>
      <c r="AL378" s="12" t="e">
        <f t="shared" ref="AL378" si="171">ROUND(AVERAGE(AL96:AL125),1)</f>
        <v>#DIV/0!</v>
      </c>
      <c r="AM378" s="12"/>
      <c r="AN378" s="12"/>
      <c r="AO378" s="12">
        <f>ROUND(AVERAGE(AO96:AO125),1)</f>
        <v>7.9</v>
      </c>
      <c r="AP378" s="12">
        <f>ROUND(AVERAGE(AP96:AP125),1)</f>
        <v>5.4</v>
      </c>
      <c r="AQ378" s="12">
        <f>ROUND(MIN(AP96:AP125),1)</f>
        <v>0</v>
      </c>
      <c r="AR378" s="13">
        <f>ROUND(AVERAGE(AQ96:AQ125),2)</f>
        <v>0.04</v>
      </c>
      <c r="AS378" s="13" t="e">
        <f>ROUND(MAX(AR95:AR124),2)</f>
        <v>#DIV/0!</v>
      </c>
      <c r="AT378" s="13"/>
      <c r="AU378" s="13"/>
      <c r="AW378" s="13"/>
      <c r="BA378" s="11">
        <f>BA125</f>
        <v>0</v>
      </c>
      <c r="BB378" s="12" t="e">
        <f t="shared" ref="BB378" si="172">ROUND(AVERAGE(BB96:BB125),1)</f>
        <v>#DIV/0!</v>
      </c>
    </row>
    <row r="379" spans="1:66" x14ac:dyDescent="0.2">
      <c r="A379" s="1" t="s">
        <v>55</v>
      </c>
      <c r="D379" s="1"/>
      <c r="E379" s="1"/>
      <c r="F379" s="1"/>
      <c r="G379" s="12" t="e">
        <f>ROUND(AVERAGE(G126:G156),1)</f>
        <v>#DIV/0!</v>
      </c>
      <c r="H379" s="1"/>
      <c r="I379" s="12"/>
      <c r="J379" s="1"/>
      <c r="K379" s="12" t="e">
        <f t="shared" ref="K379:L379" si="173">ROUND(AVERAGE(K126:K156),1)</f>
        <v>#DIV/0!</v>
      </c>
      <c r="L379" s="12" t="e">
        <f t="shared" si="173"/>
        <v>#DIV/0!</v>
      </c>
      <c r="M379" s="12" t="e">
        <f>ROUND(AVERAGE(M126:M156),1)</f>
        <v>#DIV/0!</v>
      </c>
      <c r="N379" s="12" t="e">
        <f>ROUND(AVERAGE(N126:N156),1)</f>
        <v>#DIV/0!</v>
      </c>
      <c r="O379" s="12">
        <f>ROUND(MAX(N126:N156),1)</f>
        <v>0</v>
      </c>
      <c r="P379" s="12"/>
      <c r="Q379" s="12"/>
      <c r="R379" s="12" t="e">
        <f>ROUND(AVERAGE(R126:R156),1)</f>
        <v>#DIV/0!</v>
      </c>
      <c r="S379" s="1"/>
      <c r="T379" s="12"/>
      <c r="U379" s="12" t="e">
        <f>ROUND(AVERAGE(U126:U156),1)</f>
        <v>#DIV/0!</v>
      </c>
      <c r="V379" s="12">
        <f>ROUND(MIN(U126:U156),1)</f>
        <v>0</v>
      </c>
      <c r="W379" s="12"/>
      <c r="X379" s="12"/>
      <c r="Y379" s="12" t="e">
        <f>ROUND(AVERAGE(Y126:Y156),1)</f>
        <v>#DIV/0!</v>
      </c>
      <c r="Z379" s="1"/>
      <c r="AA379" s="1"/>
      <c r="AB379" s="1"/>
      <c r="AC379" s="12" t="e">
        <f t="shared" ref="AC379:AE379" si="174">ROUND(AVERAGE(AC126:AC156),1)</f>
        <v>#DIV/0!</v>
      </c>
      <c r="AD379" s="12" t="e">
        <f t="shared" si="174"/>
        <v>#DIV/0!</v>
      </c>
      <c r="AE379" s="12" t="e">
        <f t="shared" si="174"/>
        <v>#DIV/0!</v>
      </c>
      <c r="AF379" s="12"/>
      <c r="AG379" s="12"/>
      <c r="AH379" s="12"/>
      <c r="AI379" s="12"/>
      <c r="AJ379" s="12"/>
      <c r="AK379" s="16">
        <f>AK156*1000</f>
        <v>0</v>
      </c>
      <c r="AL379" s="12" t="e">
        <f t="shared" ref="AL379" si="175">ROUND(AVERAGE(AL126:AL156),1)</f>
        <v>#DIV/0!</v>
      </c>
      <c r="AM379" s="12"/>
      <c r="AN379" s="12"/>
      <c r="AO379" s="12">
        <f>ROUND(AVERAGE(AO126:AO156),1)</f>
        <v>0</v>
      </c>
      <c r="AP379" s="12">
        <f>ROUND(AVERAGE(AP126:AP156),1)</f>
        <v>0</v>
      </c>
      <c r="AQ379" s="12">
        <f>ROUND(MIN(AP126:AP156),1)</f>
        <v>0</v>
      </c>
      <c r="AR379" s="13">
        <f>ROUND(AVERAGE(AQ126:AQ156),2)</f>
        <v>0</v>
      </c>
      <c r="AS379" s="13" t="e">
        <f>ROUND(MAX(AR125:AR155),2)</f>
        <v>#DIV/0!</v>
      </c>
      <c r="AT379" s="13"/>
      <c r="AU379" s="13"/>
      <c r="AW379" s="13"/>
      <c r="BA379" s="11">
        <f>BA156</f>
        <v>0</v>
      </c>
      <c r="BB379" s="12" t="e">
        <f t="shared" ref="BB379" si="176">ROUND(AVERAGE(BB126:BB156),1)</f>
        <v>#DIV/0!</v>
      </c>
    </row>
    <row r="380" spans="1:66" x14ac:dyDescent="0.2">
      <c r="A380" s="1" t="s">
        <v>56</v>
      </c>
      <c r="D380" s="1"/>
      <c r="E380" s="1"/>
      <c r="F380" s="1"/>
      <c r="G380" s="12" t="e">
        <f>ROUND(AVERAGE(G157:G186),1)</f>
        <v>#DIV/0!</v>
      </c>
      <c r="H380" s="1"/>
      <c r="I380" s="12"/>
      <c r="J380" s="1"/>
      <c r="K380" s="12" t="e">
        <f t="shared" ref="K380:L380" si="177">ROUND(AVERAGE(K157:K186),1)</f>
        <v>#DIV/0!</v>
      </c>
      <c r="L380" s="12" t="e">
        <f t="shared" si="177"/>
        <v>#DIV/0!</v>
      </c>
      <c r="M380" s="12" t="e">
        <f>ROUND(AVERAGE(M157:M186),1)</f>
        <v>#DIV/0!</v>
      </c>
      <c r="N380" s="12" t="e">
        <f>ROUND(AVERAGE(N157:N186),1)</f>
        <v>#DIV/0!</v>
      </c>
      <c r="O380" s="12">
        <f>ROUND(MAX(N157:N186),1)</f>
        <v>0</v>
      </c>
      <c r="P380" s="12"/>
      <c r="Q380" s="12"/>
      <c r="R380" s="12" t="e">
        <f>ROUND(AVERAGE(R157:R186),1)</f>
        <v>#DIV/0!</v>
      </c>
      <c r="S380" s="1"/>
      <c r="T380" s="12"/>
      <c r="U380" s="12" t="e">
        <f>ROUND(AVERAGE(U157:U186),1)</f>
        <v>#DIV/0!</v>
      </c>
      <c r="V380" s="12">
        <f>ROUND(MIN(U157:U186),1)</f>
        <v>0</v>
      </c>
      <c r="W380" s="12"/>
      <c r="X380" s="12"/>
      <c r="Y380" s="12" t="e">
        <f>ROUND(AVERAGE(Y157:Y186),1)</f>
        <v>#DIV/0!</v>
      </c>
      <c r="Z380" s="1"/>
      <c r="AA380" s="1"/>
      <c r="AB380" s="1"/>
      <c r="AC380" s="12" t="e">
        <f t="shared" ref="AC380:AE380" si="178">ROUND(AVERAGE(AC157:AC186),1)</f>
        <v>#DIV/0!</v>
      </c>
      <c r="AD380" s="12" t="e">
        <f t="shared" si="178"/>
        <v>#DIV/0!</v>
      </c>
      <c r="AE380" s="12" t="e">
        <f t="shared" si="178"/>
        <v>#DIV/0!</v>
      </c>
      <c r="AF380" s="12"/>
      <c r="AG380" s="12"/>
      <c r="AH380" s="12"/>
      <c r="AI380" s="12"/>
      <c r="AJ380" s="12"/>
      <c r="AK380" s="16">
        <f>AK186*1000</f>
        <v>0</v>
      </c>
      <c r="AL380" s="12" t="e">
        <f t="shared" ref="AL380" si="179">ROUND(AVERAGE(AL157:AL186),1)</f>
        <v>#DIV/0!</v>
      </c>
      <c r="AM380" s="12"/>
      <c r="AN380" s="12"/>
      <c r="AO380" s="12">
        <f>ROUND(AVERAGE(AO157:AO186),1)</f>
        <v>0</v>
      </c>
      <c r="AP380" s="12">
        <f>ROUND(AVERAGE(AP157:AP186),1)</f>
        <v>0</v>
      </c>
      <c r="AQ380" s="12">
        <f>ROUND(MIN(AP157:AP186),1)</f>
        <v>0</v>
      </c>
      <c r="AR380" s="13">
        <f>ROUND(AVERAGE(AQ157:AQ186),2)</f>
        <v>0</v>
      </c>
      <c r="AS380" s="13" t="e">
        <f>ROUND(MAX(AR156:AR185),2)</f>
        <v>#DIV/0!</v>
      </c>
      <c r="AT380" s="13"/>
      <c r="AU380" s="13"/>
      <c r="AW380" s="13"/>
      <c r="BA380" s="11">
        <f>BA187</f>
        <v>0</v>
      </c>
      <c r="BB380" s="12">
        <f t="shared" ref="BB380" si="180">ROUND(AVERAGE(BB157:BB186),1)</f>
        <v>-999</v>
      </c>
    </row>
    <row r="381" spans="1:66" x14ac:dyDescent="0.2">
      <c r="A381" s="1" t="s">
        <v>57</v>
      </c>
      <c r="D381" s="1"/>
      <c r="E381" s="1"/>
      <c r="F381" s="1"/>
      <c r="G381" s="12" t="e">
        <f>ROUND(AVERAGE(G187:G217),1)</f>
        <v>#DIV/0!</v>
      </c>
      <c r="H381" s="1"/>
      <c r="I381" s="12"/>
      <c r="J381" s="1"/>
      <c r="K381" s="12" t="e">
        <f t="shared" ref="K381:L381" si="181">ROUND(AVERAGE(K187:K217),1)</f>
        <v>#DIV/0!</v>
      </c>
      <c r="L381" s="12" t="e">
        <f t="shared" si="181"/>
        <v>#DIV/0!</v>
      </c>
      <c r="M381" s="12" t="e">
        <f>ROUND(AVERAGE(M187:M217),1)</f>
        <v>#DIV/0!</v>
      </c>
      <c r="N381" s="12" t="e">
        <f>ROUND(AVERAGE(N187:N217),1)</f>
        <v>#DIV/0!</v>
      </c>
      <c r="O381" s="12">
        <f>ROUND(MAX(N187:N217),1)</f>
        <v>0</v>
      </c>
      <c r="P381" s="12"/>
      <c r="Q381" s="12"/>
      <c r="R381" s="12" t="e">
        <f>ROUND(AVERAGE(R187:R217),1)</f>
        <v>#DIV/0!</v>
      </c>
      <c r="S381" s="1"/>
      <c r="T381" s="12"/>
      <c r="U381" s="12" t="e">
        <f>ROUND(AVERAGE(U187:U217),1)</f>
        <v>#DIV/0!</v>
      </c>
      <c r="V381" s="12">
        <f>ROUND(MIN(U187:U217),1)</f>
        <v>0</v>
      </c>
      <c r="W381" s="12"/>
      <c r="X381" s="12"/>
      <c r="Y381" s="12" t="e">
        <f>ROUND(AVERAGE(Y187:Y217),1)</f>
        <v>#DIV/0!</v>
      </c>
      <c r="Z381" s="1"/>
      <c r="AA381" s="1"/>
      <c r="AB381" s="1"/>
      <c r="AC381" s="12" t="e">
        <f t="shared" ref="AC381:AE381" si="182">ROUND(AVERAGE(AC187:AC217),1)</f>
        <v>#DIV/0!</v>
      </c>
      <c r="AD381" s="12" t="e">
        <f t="shared" si="182"/>
        <v>#DIV/0!</v>
      </c>
      <c r="AE381" s="12" t="e">
        <f t="shared" si="182"/>
        <v>#DIV/0!</v>
      </c>
      <c r="AF381" s="12"/>
      <c r="AG381" s="12"/>
      <c r="AH381" s="12"/>
      <c r="AI381" s="12"/>
      <c r="AJ381" s="12"/>
      <c r="AK381" s="16">
        <f>AK217*1000</f>
        <v>0</v>
      </c>
      <c r="AL381" s="12" t="e">
        <f t="shared" ref="AL381" si="183">ROUND(AVERAGE(AL187:AL217),1)</f>
        <v>#DIV/0!</v>
      </c>
      <c r="AM381" s="12"/>
      <c r="AN381" s="12"/>
      <c r="AO381" s="12">
        <f>ROUND(AVERAGE(AO187:AO217),1)</f>
        <v>0</v>
      </c>
      <c r="AP381" s="12">
        <f>ROUND(AVERAGE(AP187:AP217),1)</f>
        <v>0</v>
      </c>
      <c r="AQ381" s="12">
        <f>ROUND(MIN(AP187:AP217),1)</f>
        <v>0</v>
      </c>
      <c r="AR381" s="13">
        <f>ROUND(AVERAGE(AQ187:AQ217),2)</f>
        <v>0</v>
      </c>
      <c r="AS381" s="13" t="e">
        <f>ROUND(MAX(AR186:AR216),2)</f>
        <v>#DIV/0!</v>
      </c>
      <c r="AT381" s="13"/>
      <c r="AU381" s="13"/>
      <c r="AW381" s="13"/>
      <c r="BA381" s="11">
        <f>BA217</f>
        <v>0</v>
      </c>
      <c r="BB381" s="12">
        <f t="shared" ref="BB381" si="184">ROUND(AVERAGE(BB187:BB217),1)</f>
        <v>-999</v>
      </c>
    </row>
    <row r="382" spans="1:66" x14ac:dyDescent="0.2">
      <c r="A382" s="1" t="s">
        <v>58</v>
      </c>
      <c r="D382" s="1"/>
      <c r="E382" s="1"/>
      <c r="F382" s="1"/>
      <c r="G382" s="12" t="e">
        <f>ROUND(AVERAGE(G218:G248),1)</f>
        <v>#DIV/0!</v>
      </c>
      <c r="H382" s="1"/>
      <c r="I382" s="12"/>
      <c r="J382" s="1"/>
      <c r="K382" s="12" t="e">
        <f t="shared" ref="K382:L382" si="185">ROUND(AVERAGE(K218:K248),1)</f>
        <v>#DIV/0!</v>
      </c>
      <c r="L382" s="12" t="e">
        <f t="shared" si="185"/>
        <v>#DIV/0!</v>
      </c>
      <c r="M382" s="12" t="e">
        <f>ROUND(AVERAGE(M218:M248),1)</f>
        <v>#DIV/0!</v>
      </c>
      <c r="N382" s="12" t="e">
        <f>ROUND(AVERAGE(N218:N248),1)</f>
        <v>#DIV/0!</v>
      </c>
      <c r="O382" s="12">
        <f>ROUND(MAX(N218:N248),1)</f>
        <v>0</v>
      </c>
      <c r="P382" s="12"/>
      <c r="Q382" s="12"/>
      <c r="R382" s="12" t="e">
        <f>ROUND(AVERAGE(R218:R248),1)</f>
        <v>#DIV/0!</v>
      </c>
      <c r="S382" s="1"/>
      <c r="T382" s="12"/>
      <c r="U382" s="12" t="e">
        <f>ROUND(AVERAGE(U218:U248),1)</f>
        <v>#DIV/0!</v>
      </c>
      <c r="V382" s="12">
        <f>ROUND(MIN(U218:U248),1)</f>
        <v>0</v>
      </c>
      <c r="W382" s="12"/>
      <c r="X382" s="12"/>
      <c r="Y382" s="12" t="e">
        <f>ROUND(AVERAGE(Y218:Y248),1)</f>
        <v>#DIV/0!</v>
      </c>
      <c r="Z382" s="1"/>
      <c r="AA382" s="1"/>
      <c r="AB382" s="1"/>
      <c r="AC382" s="12" t="e">
        <f t="shared" ref="AC382:AE382" si="186">ROUND(AVERAGE(AC218:AC248),1)</f>
        <v>#DIV/0!</v>
      </c>
      <c r="AD382" s="12" t="e">
        <f t="shared" si="186"/>
        <v>#DIV/0!</v>
      </c>
      <c r="AE382" s="12" t="e">
        <f t="shared" si="186"/>
        <v>#DIV/0!</v>
      </c>
      <c r="AF382" s="12"/>
      <c r="AG382" s="12"/>
      <c r="AH382" s="12"/>
      <c r="AI382" s="12"/>
      <c r="AJ382" s="12"/>
      <c r="AK382" s="16">
        <f>AK248*1000</f>
        <v>0</v>
      </c>
      <c r="AL382" s="12" t="e">
        <f t="shared" ref="AL382" si="187">ROUND(AVERAGE(AL218:AL248),1)</f>
        <v>#DIV/0!</v>
      </c>
      <c r="AM382" s="12"/>
      <c r="AN382" s="12"/>
      <c r="AO382" s="12">
        <f>ROUND(AVERAGE(AO218:AO248),1)</f>
        <v>0</v>
      </c>
      <c r="AP382" s="12">
        <f>ROUND(AVERAGE(AP218:AP248),1)</f>
        <v>0</v>
      </c>
      <c r="AQ382" s="12">
        <f>ROUND(MIN(AP218:AP248),1)</f>
        <v>0</v>
      </c>
      <c r="AR382" s="13">
        <f>ROUND(AVERAGE(AQ218:AQ248),2)</f>
        <v>0</v>
      </c>
      <c r="AS382" s="13" t="e">
        <f>ROUND(MAX(AR217:AR247),2)</f>
        <v>#DIV/0!</v>
      </c>
      <c r="AT382" s="13"/>
      <c r="AU382" s="13"/>
      <c r="AW382" s="13"/>
      <c r="BA382" s="11">
        <f>BA248</f>
        <v>0</v>
      </c>
      <c r="BB382" s="12">
        <f t="shared" ref="BB382" si="188">ROUND(AVERAGE(BB218:BB248),1)</f>
        <v>-999</v>
      </c>
    </row>
    <row r="383" spans="1:66" x14ac:dyDescent="0.2">
      <c r="A383" s="1" t="s">
        <v>59</v>
      </c>
      <c r="D383" s="1"/>
      <c r="E383" s="1"/>
      <c r="F383" s="1"/>
      <c r="G383" s="12" t="e">
        <f>ROUND(AVERAGE(G249:G278),1)</f>
        <v>#DIV/0!</v>
      </c>
      <c r="H383" s="1"/>
      <c r="I383" s="12"/>
      <c r="J383" s="1"/>
      <c r="K383" s="12" t="e">
        <f t="shared" ref="K383:L383" si="189">ROUND(AVERAGE(K249:K278),1)</f>
        <v>#DIV/0!</v>
      </c>
      <c r="L383" s="12" t="e">
        <f t="shared" si="189"/>
        <v>#DIV/0!</v>
      </c>
      <c r="M383" s="12" t="e">
        <f>ROUND(AVERAGE(M249:M278),1)</f>
        <v>#DIV/0!</v>
      </c>
      <c r="N383" s="12" t="e">
        <f>ROUND(AVERAGE(N249:N278),1)</f>
        <v>#DIV/0!</v>
      </c>
      <c r="O383" s="12">
        <f>ROUND(MAX(N249:N278),1)</f>
        <v>0</v>
      </c>
      <c r="P383" s="12"/>
      <c r="Q383" s="12"/>
      <c r="R383" s="12" t="e">
        <f>ROUND(AVERAGE(R249:R278),1)</f>
        <v>#DIV/0!</v>
      </c>
      <c r="S383" s="1"/>
      <c r="T383" s="12"/>
      <c r="U383" s="12" t="e">
        <f>ROUND(AVERAGE(U249:U278),1)</f>
        <v>#DIV/0!</v>
      </c>
      <c r="V383" s="12">
        <f>ROUND(MIN(U249:U278),1)</f>
        <v>0</v>
      </c>
      <c r="W383" s="12"/>
      <c r="X383" s="12"/>
      <c r="Y383" s="12" t="e">
        <f>ROUND(AVERAGE(Y249:Y278),1)</f>
        <v>#DIV/0!</v>
      </c>
      <c r="Z383" s="1"/>
      <c r="AA383" s="1"/>
      <c r="AB383" s="1"/>
      <c r="AC383" s="12" t="e">
        <f t="shared" ref="AC383:AE383" si="190">ROUND(AVERAGE(AC249:AC278),1)</f>
        <v>#DIV/0!</v>
      </c>
      <c r="AD383" s="12" t="e">
        <f t="shared" si="190"/>
        <v>#DIV/0!</v>
      </c>
      <c r="AE383" s="12" t="e">
        <f t="shared" si="190"/>
        <v>#DIV/0!</v>
      </c>
      <c r="AF383" s="12"/>
      <c r="AG383" s="12"/>
      <c r="AH383" s="12"/>
      <c r="AI383" s="12"/>
      <c r="AJ383" s="12"/>
      <c r="AK383" s="16">
        <f>AK278*1000</f>
        <v>0</v>
      </c>
      <c r="AL383" s="12" t="e">
        <f t="shared" ref="AL383" si="191">ROUND(AVERAGE(AL249:AL278),1)</f>
        <v>#DIV/0!</v>
      </c>
      <c r="AM383" s="12"/>
      <c r="AN383" s="12"/>
      <c r="AO383" s="12">
        <f>ROUND(AVERAGE(AO249:AO278),1)</f>
        <v>0</v>
      </c>
      <c r="AP383" s="12">
        <f>ROUND(AVERAGE(AP249:AP278),1)</f>
        <v>0</v>
      </c>
      <c r="AQ383" s="12">
        <f>ROUND(MIN(AP249:AP278),1)</f>
        <v>0</v>
      </c>
      <c r="AR383" s="13">
        <f>ROUND(AVERAGE(AQ249:AQ278),2)</f>
        <v>0</v>
      </c>
      <c r="AS383" s="13" t="e">
        <f>ROUND(MAX(AR248:AR277),2)</f>
        <v>#DIV/0!</v>
      </c>
      <c r="AT383" s="13"/>
      <c r="AU383" s="13"/>
      <c r="AW383" s="13"/>
      <c r="BA383" s="11">
        <f>BA278</f>
        <v>0</v>
      </c>
      <c r="BB383" s="12">
        <f t="shared" ref="BB383" si="192">ROUND(AVERAGE(BB249:BB278),1)</f>
        <v>0</v>
      </c>
    </row>
    <row r="384" spans="1:66" x14ac:dyDescent="0.2">
      <c r="A384" s="1" t="s">
        <v>60</v>
      </c>
      <c r="D384" s="1"/>
      <c r="E384" s="1"/>
      <c r="F384" s="1"/>
      <c r="G384" s="12" t="e">
        <f>ROUND(AVERAGE(G279:G309),1)</f>
        <v>#DIV/0!</v>
      </c>
      <c r="H384" s="1"/>
      <c r="I384" s="12"/>
      <c r="J384" s="1"/>
      <c r="K384" s="12" t="e">
        <f t="shared" ref="K384:L384" si="193">ROUND(AVERAGE(K279:K309),1)</f>
        <v>#DIV/0!</v>
      </c>
      <c r="L384" s="12" t="e">
        <f t="shared" si="193"/>
        <v>#DIV/0!</v>
      </c>
      <c r="M384" s="12" t="e">
        <f>ROUND(AVERAGE(M279:M309),1)</f>
        <v>#DIV/0!</v>
      </c>
      <c r="N384" s="12" t="e">
        <f>ROUND(AVERAGE(N279:N309),1)</f>
        <v>#DIV/0!</v>
      </c>
      <c r="O384" s="12">
        <f>ROUND(MAX(N279:N309),1)</f>
        <v>0</v>
      </c>
      <c r="P384" s="12"/>
      <c r="Q384" s="12"/>
      <c r="R384" s="12" t="e">
        <f>ROUND(AVERAGE(R279:R309),1)</f>
        <v>#DIV/0!</v>
      </c>
      <c r="S384" s="1"/>
      <c r="T384" s="12"/>
      <c r="U384" s="12" t="e">
        <f>ROUND(AVERAGE(U279:U309),1)</f>
        <v>#DIV/0!</v>
      </c>
      <c r="V384" s="12">
        <f>ROUND(MIN(U279:U309),1)</f>
        <v>0</v>
      </c>
      <c r="W384" s="12"/>
      <c r="X384" s="12"/>
      <c r="Y384" s="12" t="e">
        <f>ROUND(AVERAGE(Y279:Y309),1)</f>
        <v>#DIV/0!</v>
      </c>
      <c r="Z384" s="1"/>
      <c r="AA384" s="1"/>
      <c r="AB384" s="1"/>
      <c r="AC384" s="12" t="e">
        <f t="shared" ref="AC384:AE384" si="194">ROUND(AVERAGE(AC279:AC309),1)</f>
        <v>#DIV/0!</v>
      </c>
      <c r="AD384" s="12" t="e">
        <f t="shared" si="194"/>
        <v>#DIV/0!</v>
      </c>
      <c r="AE384" s="12" t="e">
        <f t="shared" si="194"/>
        <v>#DIV/0!</v>
      </c>
      <c r="AF384" s="12"/>
      <c r="AG384" s="12"/>
      <c r="AH384" s="12"/>
      <c r="AI384" s="12"/>
      <c r="AJ384" s="12"/>
      <c r="AK384" s="16">
        <f>AK309*1000</f>
        <v>0</v>
      </c>
      <c r="AL384" s="12" t="e">
        <f t="shared" ref="AL384" si="195">ROUND(AVERAGE(AL279:AL309),1)</f>
        <v>#DIV/0!</v>
      </c>
      <c r="AM384" s="12"/>
      <c r="AN384" s="12"/>
      <c r="AO384" s="12">
        <f>ROUND(AVERAGE(AO279:AO309),1)</f>
        <v>0</v>
      </c>
      <c r="AP384" s="12">
        <f>ROUND(AVERAGE(AP279:AP309),1)</f>
        <v>0</v>
      </c>
      <c r="AQ384" s="12">
        <f>ROUND(MIN(AP279:AP309),1)</f>
        <v>0</v>
      </c>
      <c r="AR384" s="13">
        <f>ROUND(AVERAGE(AQ279:AQ309),2)</f>
        <v>0</v>
      </c>
      <c r="AS384" s="25" t="e">
        <f>ROUND(MAX(AR278:AR308),2)</f>
        <v>#DIV/0!</v>
      </c>
      <c r="AT384" s="13"/>
      <c r="AU384" s="13"/>
      <c r="AW384" s="13"/>
      <c r="BA384" s="11">
        <f>BA309</f>
        <v>0</v>
      </c>
      <c r="BB384" s="12">
        <f t="shared" ref="BB384" si="196">ROUND(AVERAGE(BB279:BB309),1)</f>
        <v>0</v>
      </c>
    </row>
    <row r="385" spans="1:54" x14ac:dyDescent="0.2">
      <c r="A385" s="1" t="s">
        <v>61</v>
      </c>
      <c r="D385" s="1"/>
      <c r="E385" s="1"/>
      <c r="F385" s="1"/>
      <c r="G385" s="14" t="e">
        <f>ROUND(AVERAGE(G310:G339),1)</f>
        <v>#DIV/0!</v>
      </c>
      <c r="H385" s="1"/>
      <c r="I385" s="14"/>
      <c r="J385" s="1"/>
      <c r="K385" s="14" t="e">
        <f t="shared" ref="K385:L385" si="197">ROUND(AVERAGE(K310:K339),1)</f>
        <v>#DIV/0!</v>
      </c>
      <c r="L385" s="14" t="e">
        <f t="shared" si="197"/>
        <v>#DIV/0!</v>
      </c>
      <c r="M385" s="14" t="e">
        <f>ROUND(AVERAGE(M310:M339),1)</f>
        <v>#DIV/0!</v>
      </c>
      <c r="N385" s="14" t="e">
        <f>ROUND(AVERAGE(N310:N339),1)</f>
        <v>#DIV/0!</v>
      </c>
      <c r="O385" s="12">
        <f>ROUND(MAX(N310:N339),1)</f>
        <v>0</v>
      </c>
      <c r="P385" s="14"/>
      <c r="Q385" s="12"/>
      <c r="R385" s="14" t="e">
        <f>ROUND(AVERAGE(R310:R339),1)</f>
        <v>#DIV/0!</v>
      </c>
      <c r="S385" s="1"/>
      <c r="T385" s="14"/>
      <c r="U385" s="14" t="e">
        <f>ROUND(AVERAGE(U310:U339),1)</f>
        <v>#DIV/0!</v>
      </c>
      <c r="V385" s="12">
        <f>ROUND(MIN(U310:U339),1)</f>
        <v>0</v>
      </c>
      <c r="W385" s="14"/>
      <c r="X385" s="12"/>
      <c r="Y385" s="14" t="e">
        <f>ROUND(AVERAGE(Y310:Y339),1)</f>
        <v>#DIV/0!</v>
      </c>
      <c r="Z385" s="1"/>
      <c r="AA385" s="1"/>
      <c r="AB385" s="1"/>
      <c r="AC385" s="14" t="e">
        <f t="shared" ref="AC385:AE385" si="198">ROUND(AVERAGE(AC310:AC339),1)</f>
        <v>#DIV/0!</v>
      </c>
      <c r="AD385" s="14" t="e">
        <f t="shared" si="198"/>
        <v>#DIV/0!</v>
      </c>
      <c r="AE385" s="14" t="e">
        <f t="shared" si="198"/>
        <v>#DIV/0!</v>
      </c>
      <c r="AF385" s="12"/>
      <c r="AG385" s="12"/>
      <c r="AH385" s="12"/>
      <c r="AI385" s="12"/>
      <c r="AJ385" s="12"/>
      <c r="AK385" s="16">
        <f>AK339*1000</f>
        <v>0</v>
      </c>
      <c r="AL385" s="14" t="e">
        <f t="shared" ref="AL385" si="199">ROUND(AVERAGE(AL310:AL339),1)</f>
        <v>#DIV/0!</v>
      </c>
      <c r="AM385" s="14"/>
      <c r="AN385" s="14"/>
      <c r="AO385" s="14">
        <f>ROUND(AVERAGE(AO310:AO339),1)</f>
        <v>0</v>
      </c>
      <c r="AP385" s="14">
        <f>ROUND(AVERAGE(AP310:AP339),1)</f>
        <v>0</v>
      </c>
      <c r="AQ385" s="12">
        <f>ROUND(MIN(AP310:AP339),1)</f>
        <v>0</v>
      </c>
      <c r="AR385" s="15">
        <f>ROUND(AVERAGE(AQ310:AQ339),2)</f>
        <v>0</v>
      </c>
      <c r="AS385" s="13" t="e">
        <f>ROUND(MAX(AR309:AR338),2)</f>
        <v>#DIV/0!</v>
      </c>
      <c r="AT385" s="15"/>
      <c r="AU385" s="15"/>
      <c r="AW385" s="15"/>
      <c r="BA385" s="11">
        <f>BA339</f>
        <v>0</v>
      </c>
      <c r="BB385" s="14">
        <f t="shared" ref="BB385" si="200">ROUND(AVERAGE(BB310:BB339),1)</f>
        <v>0</v>
      </c>
    </row>
    <row r="386" spans="1:54" x14ac:dyDescent="0.2">
      <c r="A386" s="1" t="s">
        <v>62</v>
      </c>
      <c r="D386" s="1"/>
      <c r="E386" s="1"/>
      <c r="F386" s="1"/>
      <c r="G386" s="12" t="e">
        <f>ROUND(AVERAGE(G340:G370),1)</f>
        <v>#DIV/0!</v>
      </c>
      <c r="H386" s="1"/>
      <c r="I386" s="12"/>
      <c r="J386" s="1"/>
      <c r="K386" s="12" t="e">
        <f t="shared" ref="K386:L386" si="201">ROUND(AVERAGE(K340:K370),1)</f>
        <v>#DIV/0!</v>
      </c>
      <c r="L386" s="12" t="e">
        <f t="shared" si="201"/>
        <v>#DIV/0!</v>
      </c>
      <c r="M386" s="12" t="e">
        <f>ROUND(AVERAGE(M340:M370),1)</f>
        <v>#DIV/0!</v>
      </c>
      <c r="N386" s="12" t="e">
        <f>ROUND(AVERAGE(N340:N370),1)</f>
        <v>#DIV/0!</v>
      </c>
      <c r="O386" s="12">
        <f>ROUND(MAX(N340:N370),1)</f>
        <v>0</v>
      </c>
      <c r="P386" s="12"/>
      <c r="Q386" s="12"/>
      <c r="R386" s="12" t="e">
        <f>ROUND(AVERAGE(R340:R370),1)</f>
        <v>#DIV/0!</v>
      </c>
      <c r="S386" s="1"/>
      <c r="T386" s="12"/>
      <c r="U386" s="12" t="e">
        <f>ROUND(AVERAGE(U340:U370),1)</f>
        <v>#DIV/0!</v>
      </c>
      <c r="V386" s="12">
        <f>ROUND(MIN(U340:U370),1)</f>
        <v>0</v>
      </c>
      <c r="W386" s="12"/>
      <c r="X386" s="12"/>
      <c r="Y386" s="12" t="e">
        <f>ROUND(AVERAGE(Y340:Y370),1)</f>
        <v>#DIV/0!</v>
      </c>
      <c r="Z386" s="1"/>
      <c r="AA386" s="1"/>
      <c r="AB386" s="1"/>
      <c r="AC386" s="12" t="e">
        <f t="shared" ref="AC386:AE386" si="202">ROUND(AVERAGE(AC340:AC370),1)</f>
        <v>#DIV/0!</v>
      </c>
      <c r="AD386" s="12" t="e">
        <f t="shared" si="202"/>
        <v>#DIV/0!</v>
      </c>
      <c r="AE386" s="12" t="e">
        <f t="shared" si="202"/>
        <v>#DIV/0!</v>
      </c>
      <c r="AF386" s="12"/>
      <c r="AG386" s="12"/>
      <c r="AH386" s="12"/>
      <c r="AI386" s="12"/>
      <c r="AJ386" s="12"/>
      <c r="AK386" s="16">
        <f>AK370*1000</f>
        <v>0</v>
      </c>
      <c r="AL386" s="12" t="e">
        <f t="shared" ref="AL386" si="203">ROUND(AVERAGE(AL340:AL370),1)</f>
        <v>#DIV/0!</v>
      </c>
      <c r="AM386" s="12"/>
      <c r="AN386" s="12"/>
      <c r="AO386" s="12">
        <f>ROUND(AVERAGE(AO340:AO370),1)</f>
        <v>0</v>
      </c>
      <c r="AP386" s="12">
        <f>ROUND(AVERAGE(AP340:AP370),1)</f>
        <v>0</v>
      </c>
      <c r="AQ386" s="12">
        <f>ROUND(MIN(AP340:AP370),1)</f>
        <v>0</v>
      </c>
      <c r="AR386" s="13">
        <f>ROUND(AVERAGE(AQ340:AQ370),2)</f>
        <v>0</v>
      </c>
      <c r="AS386" s="13" t="e">
        <f>ROUND(MAX(AR339:AR369),2)</f>
        <v>#DIV/0!</v>
      </c>
      <c r="AT386" s="13"/>
      <c r="AU386" s="13"/>
      <c r="AW386" s="13"/>
      <c r="BA386" s="11">
        <f>BA370</f>
        <v>0</v>
      </c>
      <c r="BB386" s="12">
        <f t="shared" ref="BB386" si="204">ROUND(AVERAGE(BB340:BB370),1)</f>
        <v>0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51</v>
      </c>
      <c r="C390" s="16"/>
      <c r="D390" s="16"/>
      <c r="E390" s="1"/>
      <c r="F390" s="16"/>
      <c r="G390" s="16">
        <f>COUNT(G6:G36)</f>
        <v>31</v>
      </c>
      <c r="H390" s="16"/>
      <c r="I390" s="16"/>
      <c r="J390" s="1"/>
      <c r="K390" s="16">
        <f>COUNT(K6:K36)</f>
        <v>31</v>
      </c>
      <c r="L390" s="16">
        <f>COUNT(L6:L36)</f>
        <v>31</v>
      </c>
      <c r="M390" s="16">
        <f>COUNT(M6:M36)</f>
        <v>31</v>
      </c>
      <c r="N390" s="16">
        <f>COUNT(N6:N36)</f>
        <v>31</v>
      </c>
      <c r="O390" s="16">
        <f>COUNT(O6:O36)</f>
        <v>31</v>
      </c>
      <c r="P390" s="16"/>
      <c r="Q390" s="16"/>
      <c r="R390" s="16">
        <f>COUNT(R6:R36)</f>
        <v>31</v>
      </c>
      <c r="S390" s="16"/>
      <c r="T390" s="16"/>
      <c r="U390" s="16">
        <f>COUNT(U6:U36)</f>
        <v>31</v>
      </c>
      <c r="V390" s="16">
        <f>COUNT(V6:V36)</f>
        <v>31</v>
      </c>
      <c r="W390" s="16"/>
      <c r="X390" s="16"/>
      <c r="Y390" s="16">
        <f>COUNT(Y6:Y36)</f>
        <v>31</v>
      </c>
      <c r="Z390" s="16"/>
      <c r="AA390" s="17"/>
      <c r="AB390" s="16"/>
      <c r="AC390" s="16">
        <f>COUNT(AC6:AC36)</f>
        <v>31</v>
      </c>
      <c r="AD390" s="16">
        <f>COUNT(AD6:AD36)</f>
        <v>31</v>
      </c>
      <c r="AE390" s="16">
        <f>COUNT(AE6:AE36)</f>
        <v>31</v>
      </c>
      <c r="AF390" s="16"/>
      <c r="AG390" s="16"/>
      <c r="AH390" s="16"/>
      <c r="AI390" s="16"/>
      <c r="AJ390" s="16"/>
      <c r="AK390" s="16">
        <f>COUNT(AK6:AK36)</f>
        <v>31</v>
      </c>
      <c r="AL390" s="16">
        <f>COUNT(AL6:AL36)</f>
        <v>31</v>
      </c>
      <c r="AM390" s="16"/>
      <c r="AN390" s="16"/>
      <c r="AO390" s="16">
        <f>COUNT(AO6:AO36)</f>
        <v>31</v>
      </c>
      <c r="AP390" s="16">
        <f>COUNT(AP6:AP36)</f>
        <v>31</v>
      </c>
      <c r="AQ390" s="17"/>
      <c r="AR390" s="26"/>
      <c r="AS390" s="26"/>
      <c r="AT390" s="17"/>
      <c r="AU390" s="17"/>
      <c r="AW390" s="17"/>
      <c r="BA390" s="16">
        <f>COUNT(BA6:BA36)</f>
        <v>31</v>
      </c>
      <c r="BB390" s="16">
        <f>COUNT(BB6:BB36)</f>
        <v>31</v>
      </c>
    </row>
    <row r="391" spans="1:54" ht="15" x14ac:dyDescent="0.25">
      <c r="A391" s="1" t="s">
        <v>52</v>
      </c>
      <c r="C391" s="16"/>
      <c r="D391" s="16"/>
      <c r="E391" s="1"/>
      <c r="F391" s="16"/>
      <c r="G391" s="16">
        <f>COUNT(G37:G64)</f>
        <v>28</v>
      </c>
      <c r="H391" s="16"/>
      <c r="I391" s="16"/>
      <c r="J391" s="1"/>
      <c r="K391" s="16">
        <f>COUNT(K37:K64)</f>
        <v>28</v>
      </c>
      <c r="L391" s="16">
        <f>COUNT(L37:L64)</f>
        <v>28</v>
      </c>
      <c r="M391" s="16">
        <f>COUNT(M37:M64)</f>
        <v>28</v>
      </c>
      <c r="N391" s="16">
        <f>COUNT(N37:N64)</f>
        <v>28</v>
      </c>
      <c r="O391" s="16">
        <f>COUNT(O37:O64)</f>
        <v>28</v>
      </c>
      <c r="P391" s="16"/>
      <c r="Q391" s="16"/>
      <c r="R391" s="16">
        <f>COUNT(R37:R64)</f>
        <v>28</v>
      </c>
      <c r="S391" s="16"/>
      <c r="T391" s="16"/>
      <c r="U391" s="16">
        <f>COUNT(U37:U64)</f>
        <v>28</v>
      </c>
      <c r="V391" s="16">
        <f>COUNT(V37:V64)</f>
        <v>28</v>
      </c>
      <c r="W391" s="16"/>
      <c r="X391" s="16"/>
      <c r="Y391" s="16">
        <f>COUNT(Y37:Y64)</f>
        <v>28</v>
      </c>
      <c r="Z391" s="16"/>
      <c r="AA391" s="17"/>
      <c r="AB391" s="16"/>
      <c r="AC391" s="16">
        <f>COUNT(AC37:AC64)</f>
        <v>28</v>
      </c>
      <c r="AD391" s="16">
        <f>COUNT(AD37:AD64)</f>
        <v>28</v>
      </c>
      <c r="AE391" s="16">
        <f>COUNT(AE37:AE64)</f>
        <v>28</v>
      </c>
      <c r="AF391" s="16"/>
      <c r="AG391" s="16"/>
      <c r="AH391" s="16"/>
      <c r="AI391" s="16"/>
      <c r="AJ391" s="16"/>
      <c r="AK391" s="16">
        <f>COUNT(AK37:AK64)</f>
        <v>28</v>
      </c>
      <c r="AL391" s="16">
        <f>COUNT(AL37:AL64)</f>
        <v>28</v>
      </c>
      <c r="AM391" s="16"/>
      <c r="AN391" s="16"/>
      <c r="AO391" s="16">
        <f>COUNT(AO37:AO64)</f>
        <v>28</v>
      </c>
      <c r="AP391" s="16">
        <f>COUNT(AP37:AP64)</f>
        <v>28</v>
      </c>
      <c r="AQ391" s="17"/>
      <c r="AR391" s="26"/>
      <c r="AS391" s="26"/>
      <c r="AT391" s="17"/>
      <c r="AU391" s="17"/>
      <c r="AW391" s="17"/>
      <c r="BA391" s="16">
        <f>COUNT(BA37:BA64)</f>
        <v>28</v>
      </c>
      <c r="BB391" s="16">
        <f>COUNT(BB37:BB64)</f>
        <v>28</v>
      </c>
    </row>
    <row r="392" spans="1:54" ht="15" x14ac:dyDescent="0.25">
      <c r="A392" s="1" t="s">
        <v>53</v>
      </c>
      <c r="C392" s="16"/>
      <c r="D392" s="16"/>
      <c r="E392" s="1"/>
      <c r="F392" s="16"/>
      <c r="G392" s="16">
        <f t="shared" ref="G392" si="205">COUNT(G65:G95)</f>
        <v>31</v>
      </c>
      <c r="H392" s="16"/>
      <c r="I392" s="16"/>
      <c r="J392" s="1"/>
      <c r="K392" s="16">
        <f t="shared" ref="K392:O392" si="206">COUNT(K65:K95)</f>
        <v>31</v>
      </c>
      <c r="L392" s="16">
        <f t="shared" si="206"/>
        <v>31</v>
      </c>
      <c r="M392" s="16">
        <f t="shared" si="206"/>
        <v>31</v>
      </c>
      <c r="N392" s="16">
        <f t="shared" si="206"/>
        <v>31</v>
      </c>
      <c r="O392" s="16">
        <f t="shared" si="206"/>
        <v>31</v>
      </c>
      <c r="P392" s="16"/>
      <c r="Q392" s="16"/>
      <c r="R392" s="16">
        <f t="shared" ref="R392" si="207">COUNT(R65:R95)</f>
        <v>31</v>
      </c>
      <c r="S392" s="16"/>
      <c r="T392" s="16"/>
      <c r="U392" s="16">
        <f t="shared" ref="U392:V392" si="208">COUNT(U65:U95)</f>
        <v>31</v>
      </c>
      <c r="V392" s="16">
        <f t="shared" si="208"/>
        <v>31</v>
      </c>
      <c r="W392" s="16"/>
      <c r="X392" s="16"/>
      <c r="Y392" s="16">
        <f t="shared" ref="Y392" si="209">COUNT(Y65:Y95)</f>
        <v>31</v>
      </c>
      <c r="Z392" s="16"/>
      <c r="AA392" s="17"/>
      <c r="AB392" s="16"/>
      <c r="AC392" s="16">
        <f t="shared" ref="AC392:AE392" si="210">COUNT(AC65:AC95)</f>
        <v>31</v>
      </c>
      <c r="AD392" s="16">
        <f t="shared" si="210"/>
        <v>31</v>
      </c>
      <c r="AE392" s="16">
        <f t="shared" si="210"/>
        <v>31</v>
      </c>
      <c r="AF392" s="16"/>
      <c r="AG392" s="16"/>
      <c r="AH392" s="16"/>
      <c r="AI392" s="16"/>
      <c r="AJ392" s="16"/>
      <c r="AK392" s="16">
        <f t="shared" ref="AK392:AL392" si="211">COUNT(AK65:AK95)</f>
        <v>31</v>
      </c>
      <c r="AL392" s="16">
        <f t="shared" si="211"/>
        <v>31</v>
      </c>
      <c r="AM392" s="16"/>
      <c r="AN392" s="16"/>
      <c r="AO392" s="16">
        <f t="shared" ref="AO392:AP392" si="212">COUNT(AO65:AO95)</f>
        <v>31</v>
      </c>
      <c r="AP392" s="16">
        <f t="shared" si="212"/>
        <v>31</v>
      </c>
      <c r="AQ392" s="17"/>
      <c r="AR392" s="26"/>
      <c r="AS392" s="26"/>
      <c r="AT392" s="17"/>
      <c r="AU392" s="17"/>
      <c r="AW392" s="17"/>
      <c r="BA392" s="16">
        <f t="shared" ref="BA392:BB392" si="213">COUNT(BA65:BA95)</f>
        <v>31</v>
      </c>
      <c r="BB392" s="16">
        <f t="shared" si="213"/>
        <v>31</v>
      </c>
    </row>
    <row r="393" spans="1:54" ht="15" x14ac:dyDescent="0.25">
      <c r="A393" s="1" t="s">
        <v>54</v>
      </c>
      <c r="C393" s="16"/>
      <c r="D393" s="16"/>
      <c r="E393" s="1"/>
      <c r="F393" s="16"/>
      <c r="G393" s="16">
        <f t="shared" ref="G393" si="214">COUNT(G96:G125)</f>
        <v>3</v>
      </c>
      <c r="H393" s="16"/>
      <c r="I393" s="16"/>
      <c r="J393" s="1"/>
      <c r="K393" s="16">
        <f t="shared" ref="K393:O393" si="215">COUNT(K96:K125)</f>
        <v>3</v>
      </c>
      <c r="L393" s="16">
        <f t="shared" si="215"/>
        <v>3</v>
      </c>
      <c r="M393" s="16">
        <f t="shared" si="215"/>
        <v>3</v>
      </c>
      <c r="N393" s="16">
        <f t="shared" si="215"/>
        <v>3</v>
      </c>
      <c r="O393" s="16">
        <f t="shared" si="215"/>
        <v>3</v>
      </c>
      <c r="P393" s="16"/>
      <c r="Q393" s="16"/>
      <c r="R393" s="16">
        <f t="shared" ref="R393" si="216">COUNT(R96:R125)</f>
        <v>3</v>
      </c>
      <c r="S393" s="16"/>
      <c r="T393" s="16"/>
      <c r="U393" s="16">
        <f t="shared" ref="U393:V393" si="217">COUNT(U96:U125)</f>
        <v>3</v>
      </c>
      <c r="V393" s="16">
        <f t="shared" si="217"/>
        <v>3</v>
      </c>
      <c r="W393" s="16"/>
      <c r="X393" s="16"/>
      <c r="Y393" s="16">
        <f t="shared" ref="Y393" si="218">COUNT(Y96:Y125)</f>
        <v>3</v>
      </c>
      <c r="Z393" s="16"/>
      <c r="AA393" s="17"/>
      <c r="AB393" s="16"/>
      <c r="AC393" s="16">
        <f t="shared" ref="AC393:AE393" si="219">COUNT(AC96:AC125)</f>
        <v>3</v>
      </c>
      <c r="AD393" s="16">
        <f t="shared" si="219"/>
        <v>3</v>
      </c>
      <c r="AE393" s="16">
        <f t="shared" si="219"/>
        <v>3</v>
      </c>
      <c r="AF393" s="16"/>
      <c r="AG393" s="16"/>
      <c r="AH393" s="16"/>
      <c r="AI393" s="16"/>
      <c r="AJ393" s="16"/>
      <c r="AK393" s="16">
        <f t="shared" ref="AK393:AL393" si="220">COUNT(AK96:AK125)</f>
        <v>3</v>
      </c>
      <c r="AL393" s="16">
        <f t="shared" si="220"/>
        <v>3</v>
      </c>
      <c r="AM393" s="16"/>
      <c r="AN393" s="16"/>
      <c r="AO393" s="16">
        <f t="shared" ref="AO393:AP393" si="221">COUNT(AO96:AO125)</f>
        <v>30</v>
      </c>
      <c r="AP393" s="16">
        <f t="shared" si="221"/>
        <v>30</v>
      </c>
      <c r="AQ393" s="17"/>
      <c r="AR393" s="26"/>
      <c r="AS393" s="26"/>
      <c r="AT393" s="17"/>
      <c r="AU393" s="17"/>
      <c r="AW393" s="17"/>
      <c r="BA393" s="16">
        <f t="shared" ref="BA393:BB393" si="222">COUNT(BA96:BA125)</f>
        <v>30</v>
      </c>
      <c r="BB393" s="16">
        <f t="shared" si="222"/>
        <v>3</v>
      </c>
    </row>
    <row r="394" spans="1:54" ht="15" x14ac:dyDescent="0.25">
      <c r="A394" s="1" t="s">
        <v>55</v>
      </c>
      <c r="C394" s="16"/>
      <c r="D394" s="16"/>
      <c r="E394" s="1"/>
      <c r="F394" s="16"/>
      <c r="G394" s="16">
        <f t="shared" ref="G394" si="223">COUNT(G126:G156)</f>
        <v>0</v>
      </c>
      <c r="H394" s="16"/>
      <c r="I394" s="16"/>
      <c r="J394" s="1"/>
      <c r="K394" s="16">
        <f t="shared" ref="K394:O394" si="224">COUNT(K126:K156)</f>
        <v>0</v>
      </c>
      <c r="L394" s="16">
        <f t="shared" si="224"/>
        <v>0</v>
      </c>
      <c r="M394" s="16">
        <f t="shared" si="224"/>
        <v>0</v>
      </c>
      <c r="N394" s="16">
        <f t="shared" si="224"/>
        <v>0</v>
      </c>
      <c r="O394" s="16">
        <f t="shared" si="224"/>
        <v>0</v>
      </c>
      <c r="P394" s="16"/>
      <c r="Q394" s="16"/>
      <c r="R394" s="16">
        <f t="shared" ref="R394" si="225">COUNT(R126:R156)</f>
        <v>0</v>
      </c>
      <c r="S394" s="16"/>
      <c r="T394" s="16"/>
      <c r="U394" s="16">
        <f t="shared" ref="U394:V394" si="226">COUNT(U126:U156)</f>
        <v>0</v>
      </c>
      <c r="V394" s="16">
        <f t="shared" si="226"/>
        <v>0</v>
      </c>
      <c r="W394" s="16"/>
      <c r="X394" s="16"/>
      <c r="Y394" s="16">
        <f t="shared" ref="Y394" si="227">COUNT(Y126:Y156)</f>
        <v>0</v>
      </c>
      <c r="Z394" s="16"/>
      <c r="AA394" s="17"/>
      <c r="AB394" s="16"/>
      <c r="AC394" s="16">
        <f t="shared" ref="AC394:AE394" si="228">COUNT(AC126:AC156)</f>
        <v>0</v>
      </c>
      <c r="AD394" s="16">
        <f t="shared" si="228"/>
        <v>0</v>
      </c>
      <c r="AE394" s="16">
        <f t="shared" si="228"/>
        <v>0</v>
      </c>
      <c r="AF394" s="16"/>
      <c r="AG394" s="16"/>
      <c r="AH394" s="16"/>
      <c r="AI394" s="16"/>
      <c r="AJ394" s="16"/>
      <c r="AK394" s="16">
        <f t="shared" ref="AK394:AL394" si="229">COUNT(AK126:AK156)</f>
        <v>0</v>
      </c>
      <c r="AL394" s="16">
        <f t="shared" si="229"/>
        <v>4</v>
      </c>
      <c r="AM394" s="16"/>
      <c r="AN394" s="16"/>
      <c r="AO394" s="16">
        <f t="shared" ref="AO394:AP394" si="230">COUNT(AO126:AO156)</f>
        <v>31</v>
      </c>
      <c r="AP394" s="16">
        <f t="shared" si="230"/>
        <v>31</v>
      </c>
      <c r="AQ394" s="17"/>
      <c r="AR394" s="26"/>
      <c r="AS394" s="26"/>
      <c r="AT394" s="17"/>
      <c r="AU394" s="17"/>
      <c r="AW394" s="17"/>
      <c r="BA394" s="16">
        <f t="shared" ref="BA394:BB394" si="231">COUNT(BA126:BA156)</f>
        <v>31</v>
      </c>
      <c r="BB394" s="16">
        <f t="shared" si="231"/>
        <v>14</v>
      </c>
    </row>
    <row r="395" spans="1:54" ht="15" x14ac:dyDescent="0.25">
      <c r="A395" s="1" t="s">
        <v>56</v>
      </c>
      <c r="C395" s="16"/>
      <c r="D395" s="16"/>
      <c r="E395" s="1"/>
      <c r="F395" s="16"/>
      <c r="G395" s="16">
        <f t="shared" ref="G395" si="232">COUNT(G157:G186)</f>
        <v>0</v>
      </c>
      <c r="H395" s="16"/>
      <c r="I395" s="16"/>
      <c r="J395" s="1"/>
      <c r="K395" s="16">
        <f t="shared" ref="K395:O395" si="233">COUNT(K157:K186)</f>
        <v>0</v>
      </c>
      <c r="L395" s="16">
        <f t="shared" si="233"/>
        <v>0</v>
      </c>
      <c r="M395" s="16">
        <f t="shared" si="233"/>
        <v>0</v>
      </c>
      <c r="N395" s="16">
        <f t="shared" si="233"/>
        <v>0</v>
      </c>
      <c r="O395" s="16">
        <f t="shared" si="233"/>
        <v>0</v>
      </c>
      <c r="P395" s="16"/>
      <c r="Q395" s="16"/>
      <c r="R395" s="16">
        <f t="shared" ref="R395" si="234">COUNT(R157:R186)</f>
        <v>0</v>
      </c>
      <c r="S395" s="16"/>
      <c r="T395" s="16"/>
      <c r="U395" s="16">
        <f t="shared" ref="U395:V395" si="235">COUNT(U157:U186)</f>
        <v>0</v>
      </c>
      <c r="V395" s="16">
        <f t="shared" si="235"/>
        <v>0</v>
      </c>
      <c r="W395" s="16"/>
      <c r="X395" s="16"/>
      <c r="Y395" s="16">
        <f t="shared" ref="Y395" si="236">COUNT(Y157:Y186)</f>
        <v>0</v>
      </c>
      <c r="Z395" s="16"/>
      <c r="AA395" s="17"/>
      <c r="AB395" s="16"/>
      <c r="AC395" s="16">
        <f t="shared" ref="AC395:AE395" si="237">COUNT(AC157:AC186)</f>
        <v>0</v>
      </c>
      <c r="AD395" s="16">
        <f t="shared" si="237"/>
        <v>0</v>
      </c>
      <c r="AE395" s="16">
        <f t="shared" si="237"/>
        <v>0</v>
      </c>
      <c r="AF395" s="16"/>
      <c r="AG395" s="16"/>
      <c r="AH395" s="16"/>
      <c r="AI395" s="16"/>
      <c r="AJ395" s="16"/>
      <c r="AK395" s="16">
        <f t="shared" ref="AK395:AL395" si="238">COUNT(AK157:AK186)</f>
        <v>0</v>
      </c>
      <c r="AL395" s="16">
        <f t="shared" si="238"/>
        <v>0</v>
      </c>
      <c r="AM395" s="16"/>
      <c r="AN395" s="16"/>
      <c r="AO395" s="16">
        <f t="shared" ref="AO395:AP395" si="239">COUNT(AO157:AO186)</f>
        <v>30</v>
      </c>
      <c r="AP395" s="16">
        <f t="shared" si="239"/>
        <v>30</v>
      </c>
      <c r="AQ395" s="17"/>
      <c r="AR395" s="26"/>
      <c r="AS395" s="26"/>
      <c r="AT395" s="17"/>
      <c r="AU395" s="17"/>
      <c r="AW395" s="17"/>
      <c r="BA395" s="16">
        <f t="shared" ref="BA395:BB395" si="240">COUNT(BA157:BA186)</f>
        <v>30</v>
      </c>
      <c r="BB395" s="16">
        <f t="shared" si="240"/>
        <v>30</v>
      </c>
    </row>
    <row r="396" spans="1:54" ht="15" x14ac:dyDescent="0.25">
      <c r="A396" s="1" t="s">
        <v>57</v>
      </c>
      <c r="C396" s="16"/>
      <c r="D396" s="16"/>
      <c r="E396" s="1"/>
      <c r="F396" s="16"/>
      <c r="G396" s="16">
        <f t="shared" ref="G396" si="241">COUNT(G187:G217)</f>
        <v>0</v>
      </c>
      <c r="H396" s="16"/>
      <c r="I396" s="16"/>
      <c r="J396" s="1"/>
      <c r="K396" s="16">
        <f t="shared" ref="K396:O396" si="242">COUNT(K187:K217)</f>
        <v>0</v>
      </c>
      <c r="L396" s="16">
        <f t="shared" si="242"/>
        <v>0</v>
      </c>
      <c r="M396" s="16">
        <f t="shared" si="242"/>
        <v>0</v>
      </c>
      <c r="N396" s="16">
        <f t="shared" si="242"/>
        <v>0</v>
      </c>
      <c r="O396" s="16">
        <f t="shared" si="242"/>
        <v>0</v>
      </c>
      <c r="P396" s="16"/>
      <c r="Q396" s="16"/>
      <c r="R396" s="16">
        <f t="shared" ref="R396" si="243">COUNT(R187:R217)</f>
        <v>0</v>
      </c>
      <c r="S396" s="16"/>
      <c r="T396" s="16"/>
      <c r="U396" s="16">
        <f t="shared" ref="U396:V396" si="244">COUNT(U187:U217)</f>
        <v>0</v>
      </c>
      <c r="V396" s="16">
        <f t="shared" si="244"/>
        <v>0</v>
      </c>
      <c r="W396" s="16"/>
      <c r="X396" s="16"/>
      <c r="Y396" s="16">
        <f t="shared" ref="Y396" si="245">COUNT(Y187:Y217)</f>
        <v>0</v>
      </c>
      <c r="Z396" s="16"/>
      <c r="AA396" s="17"/>
      <c r="AB396" s="16"/>
      <c r="AC396" s="16">
        <f t="shared" ref="AC396:AE396" si="246">COUNT(AC187:AC217)</f>
        <v>0</v>
      </c>
      <c r="AD396" s="16">
        <f t="shared" si="246"/>
        <v>0</v>
      </c>
      <c r="AE396" s="16">
        <f t="shared" si="246"/>
        <v>0</v>
      </c>
      <c r="AF396" s="16"/>
      <c r="AG396" s="16"/>
      <c r="AH396" s="16"/>
      <c r="AI396" s="16"/>
      <c r="AJ396" s="16"/>
      <c r="AK396" s="16">
        <f t="shared" ref="AK396:AL396" si="247">COUNT(AK187:AK217)</f>
        <v>0</v>
      </c>
      <c r="AL396" s="16">
        <f t="shared" si="247"/>
        <v>0</v>
      </c>
      <c r="AM396" s="16"/>
      <c r="AN396" s="16"/>
      <c r="AO396" s="16">
        <f t="shared" ref="AO396:AP396" si="248">COUNT(AO187:AO217)</f>
        <v>31</v>
      </c>
      <c r="AP396" s="16">
        <f t="shared" si="248"/>
        <v>31</v>
      </c>
      <c r="AQ396" s="17"/>
      <c r="AR396" s="26"/>
      <c r="AS396" s="26"/>
      <c r="AT396" s="17"/>
      <c r="AU396" s="17"/>
      <c r="AW396" s="17"/>
      <c r="BA396" s="16">
        <f t="shared" ref="BA396:BB396" si="249">COUNT(BA187:BA217)</f>
        <v>31</v>
      </c>
      <c r="BB396" s="16">
        <f t="shared" si="249"/>
        <v>31</v>
      </c>
    </row>
    <row r="397" spans="1:54" ht="15" x14ac:dyDescent="0.25">
      <c r="A397" s="1" t="s">
        <v>58</v>
      </c>
      <c r="C397" s="16"/>
      <c r="D397" s="16"/>
      <c r="E397" s="1"/>
      <c r="F397" s="16"/>
      <c r="G397" s="16">
        <f t="shared" ref="G397" si="250">COUNT(G218:G248)</f>
        <v>0</v>
      </c>
      <c r="H397" s="16"/>
      <c r="I397" s="16"/>
      <c r="J397" s="1"/>
      <c r="K397" s="16">
        <f t="shared" ref="K397:O397" si="251">COUNT(K218:K248)</f>
        <v>0</v>
      </c>
      <c r="L397" s="16">
        <f t="shared" si="251"/>
        <v>0</v>
      </c>
      <c r="M397" s="16">
        <f t="shared" si="251"/>
        <v>0</v>
      </c>
      <c r="N397" s="16">
        <f t="shared" si="251"/>
        <v>0</v>
      </c>
      <c r="O397" s="16">
        <f t="shared" si="251"/>
        <v>0</v>
      </c>
      <c r="P397" s="16"/>
      <c r="Q397" s="16"/>
      <c r="R397" s="16">
        <f t="shared" ref="R397" si="252">COUNT(R218:R248)</f>
        <v>0</v>
      </c>
      <c r="S397" s="16"/>
      <c r="T397" s="16"/>
      <c r="U397" s="16">
        <f t="shared" ref="U397:V397" si="253">COUNT(U218:U248)</f>
        <v>0</v>
      </c>
      <c r="V397" s="16">
        <f t="shared" si="253"/>
        <v>0</v>
      </c>
      <c r="W397" s="16"/>
      <c r="X397" s="16"/>
      <c r="Y397" s="16">
        <f t="shared" ref="Y397" si="254">COUNT(Y218:Y248)</f>
        <v>0</v>
      </c>
      <c r="Z397" s="16"/>
      <c r="AA397" s="17"/>
      <c r="AB397" s="16"/>
      <c r="AC397" s="16">
        <f t="shared" ref="AC397:AE397" si="255">COUNT(AC218:AC248)</f>
        <v>0</v>
      </c>
      <c r="AD397" s="16">
        <f t="shared" si="255"/>
        <v>0</v>
      </c>
      <c r="AE397" s="16">
        <f t="shared" si="255"/>
        <v>0</v>
      </c>
      <c r="AF397" s="16"/>
      <c r="AG397" s="16"/>
      <c r="AH397" s="16"/>
      <c r="AI397" s="16"/>
      <c r="AJ397" s="16"/>
      <c r="AK397" s="16">
        <f t="shared" ref="AK397:AL397" si="256">COUNT(AK218:AK248)</f>
        <v>0</v>
      </c>
      <c r="AL397" s="16">
        <f t="shared" si="256"/>
        <v>0</v>
      </c>
      <c r="AM397" s="16"/>
      <c r="AN397" s="16"/>
      <c r="AO397" s="16">
        <f t="shared" ref="AO397:AP397" si="257">COUNT(AO218:AO248)</f>
        <v>31</v>
      </c>
      <c r="AP397" s="16">
        <f t="shared" si="257"/>
        <v>31</v>
      </c>
      <c r="AQ397" s="17"/>
      <c r="AR397" s="26"/>
      <c r="AS397" s="26"/>
      <c r="AT397" s="17"/>
      <c r="AU397" s="17"/>
      <c r="AW397" s="17"/>
      <c r="BA397" s="16">
        <f t="shared" ref="BA397:BB397" si="258">COUNT(BA218:BA248)</f>
        <v>31</v>
      </c>
      <c r="BB397" s="16">
        <f t="shared" si="258"/>
        <v>31</v>
      </c>
    </row>
    <row r="398" spans="1:54" ht="15" x14ac:dyDescent="0.25">
      <c r="A398" s="1" t="s">
        <v>59</v>
      </c>
      <c r="C398" s="16"/>
      <c r="D398" s="16"/>
      <c r="E398" s="1"/>
      <c r="F398" s="16"/>
      <c r="G398" s="16">
        <f t="shared" ref="G398" si="259">COUNT(G249:G278)</f>
        <v>0</v>
      </c>
      <c r="H398" s="16"/>
      <c r="I398" s="16"/>
      <c r="J398" s="1"/>
      <c r="K398" s="16">
        <f t="shared" ref="K398:O398" si="260">COUNT(K249:K278)</f>
        <v>0</v>
      </c>
      <c r="L398" s="16">
        <f t="shared" si="260"/>
        <v>0</v>
      </c>
      <c r="M398" s="16">
        <f t="shared" si="260"/>
        <v>0</v>
      </c>
      <c r="N398" s="16">
        <f t="shared" si="260"/>
        <v>0</v>
      </c>
      <c r="O398" s="16">
        <f t="shared" si="260"/>
        <v>0</v>
      </c>
      <c r="P398" s="16"/>
      <c r="Q398" s="16"/>
      <c r="R398" s="16">
        <f t="shared" ref="R398" si="261">COUNT(R249:R278)</f>
        <v>0</v>
      </c>
      <c r="S398" s="16"/>
      <c r="T398" s="16"/>
      <c r="U398" s="16">
        <f t="shared" ref="U398:V398" si="262">COUNT(U249:U278)</f>
        <v>0</v>
      </c>
      <c r="V398" s="16">
        <f t="shared" si="262"/>
        <v>0</v>
      </c>
      <c r="W398" s="16"/>
      <c r="X398" s="16"/>
      <c r="Y398" s="16">
        <f t="shared" ref="Y398" si="263">COUNT(Y249:Y278)</f>
        <v>0</v>
      </c>
      <c r="Z398" s="16"/>
      <c r="AA398" s="17"/>
      <c r="AB398" s="16"/>
      <c r="AC398" s="16">
        <f t="shared" ref="AC398:AE398" si="264">COUNT(AC249:AC278)</f>
        <v>0</v>
      </c>
      <c r="AD398" s="16">
        <f t="shared" si="264"/>
        <v>0</v>
      </c>
      <c r="AE398" s="16">
        <f t="shared" si="264"/>
        <v>0</v>
      </c>
      <c r="AF398" s="16"/>
      <c r="AG398" s="16"/>
      <c r="AH398" s="16"/>
      <c r="AI398" s="16"/>
      <c r="AJ398" s="16"/>
      <c r="AK398" s="16">
        <f t="shared" ref="AK398:AL398" si="265">COUNT(AK249:AK278)</f>
        <v>0</v>
      </c>
      <c r="AL398" s="16">
        <f t="shared" si="265"/>
        <v>0</v>
      </c>
      <c r="AM398" s="16"/>
      <c r="AN398" s="16"/>
      <c r="AO398" s="16">
        <f t="shared" ref="AO398:AP398" si="266">COUNT(AO249:AO278)</f>
        <v>30</v>
      </c>
      <c r="AP398" s="16">
        <f t="shared" si="266"/>
        <v>30</v>
      </c>
      <c r="AQ398" s="17"/>
      <c r="AR398" s="26"/>
      <c r="AS398" s="26"/>
      <c r="AT398" s="17"/>
      <c r="AU398" s="17"/>
      <c r="AW398" s="17"/>
      <c r="BA398" s="16">
        <f t="shared" ref="BA398:BB398" si="267">COUNT(BA249:BA278)</f>
        <v>30</v>
      </c>
      <c r="BB398" s="16">
        <f t="shared" si="267"/>
        <v>30</v>
      </c>
    </row>
    <row r="399" spans="1:54" ht="15" x14ac:dyDescent="0.25">
      <c r="A399" s="1" t="s">
        <v>60</v>
      </c>
      <c r="C399" s="16"/>
      <c r="D399" s="16"/>
      <c r="E399" s="1"/>
      <c r="F399" s="16"/>
      <c r="G399" s="16">
        <f t="shared" ref="G399" si="268">COUNT(G279:G309)</f>
        <v>0</v>
      </c>
      <c r="H399" s="16"/>
      <c r="I399" s="16"/>
      <c r="J399" s="1"/>
      <c r="K399" s="16">
        <f t="shared" ref="K399:O399" si="269">COUNT(K279:K309)</f>
        <v>0</v>
      </c>
      <c r="L399" s="16">
        <f t="shared" si="269"/>
        <v>0</v>
      </c>
      <c r="M399" s="16">
        <f t="shared" si="269"/>
        <v>0</v>
      </c>
      <c r="N399" s="16">
        <f t="shared" si="269"/>
        <v>0</v>
      </c>
      <c r="O399" s="16">
        <f t="shared" si="269"/>
        <v>0</v>
      </c>
      <c r="P399" s="16"/>
      <c r="Q399" s="16"/>
      <c r="R399" s="16">
        <f t="shared" ref="R399" si="270">COUNT(R279:R309)</f>
        <v>0</v>
      </c>
      <c r="S399" s="16"/>
      <c r="T399" s="16"/>
      <c r="U399" s="16">
        <f t="shared" ref="U399:V399" si="271">COUNT(U279:U309)</f>
        <v>0</v>
      </c>
      <c r="V399" s="16">
        <f t="shared" si="271"/>
        <v>0</v>
      </c>
      <c r="W399" s="16"/>
      <c r="X399" s="16"/>
      <c r="Y399" s="16">
        <f t="shared" ref="Y399" si="272">COUNT(Y279:Y309)</f>
        <v>0</v>
      </c>
      <c r="Z399" s="16"/>
      <c r="AA399" s="17"/>
      <c r="AB399" s="16"/>
      <c r="AC399" s="16">
        <f t="shared" ref="AC399:AE399" si="273">COUNT(AC279:AC309)</f>
        <v>0</v>
      </c>
      <c r="AD399" s="16">
        <f t="shared" si="273"/>
        <v>0</v>
      </c>
      <c r="AE399" s="16">
        <f t="shared" si="273"/>
        <v>0</v>
      </c>
      <c r="AF399" s="16"/>
      <c r="AG399" s="16"/>
      <c r="AH399" s="16"/>
      <c r="AI399" s="16"/>
      <c r="AJ399" s="16"/>
      <c r="AK399" s="16">
        <f t="shared" ref="AK399:AL399" si="274">COUNT(AK279:AK309)</f>
        <v>0</v>
      </c>
      <c r="AL399" s="16">
        <f t="shared" si="274"/>
        <v>0</v>
      </c>
      <c r="AM399" s="16"/>
      <c r="AN399" s="16"/>
      <c r="AO399" s="16">
        <f t="shared" ref="AO399:AP399" si="275">COUNT(AO279:AO309)</f>
        <v>31</v>
      </c>
      <c r="AP399" s="16">
        <f t="shared" si="275"/>
        <v>31</v>
      </c>
      <c r="AQ399" s="17"/>
      <c r="AR399" s="26"/>
      <c r="AS399" s="26"/>
      <c r="AT399" s="17"/>
      <c r="AU399" s="17"/>
      <c r="AW399" s="17"/>
      <c r="BA399" s="16">
        <f t="shared" ref="BA399:BB399" si="276">COUNT(BA279:BA309)</f>
        <v>31</v>
      </c>
      <c r="BB399" s="16">
        <f t="shared" si="276"/>
        <v>31</v>
      </c>
    </row>
    <row r="400" spans="1:54" ht="15" x14ac:dyDescent="0.25">
      <c r="A400" s="1" t="s">
        <v>61</v>
      </c>
      <c r="C400" s="16"/>
      <c r="D400" s="16"/>
      <c r="E400" s="1"/>
      <c r="F400" s="16"/>
      <c r="G400" s="16">
        <f t="shared" ref="G400" si="277">COUNT(G310:G339)</f>
        <v>0</v>
      </c>
      <c r="H400" s="16"/>
      <c r="I400" s="16"/>
      <c r="J400" s="1"/>
      <c r="K400" s="16">
        <f t="shared" ref="K400:O400" si="278">COUNT(K310:K339)</f>
        <v>0</v>
      </c>
      <c r="L400" s="16">
        <f t="shared" si="278"/>
        <v>0</v>
      </c>
      <c r="M400" s="16">
        <f t="shared" si="278"/>
        <v>0</v>
      </c>
      <c r="N400" s="16">
        <f t="shared" si="278"/>
        <v>0</v>
      </c>
      <c r="O400" s="16">
        <f t="shared" si="278"/>
        <v>0</v>
      </c>
      <c r="P400" s="16"/>
      <c r="Q400" s="16"/>
      <c r="R400" s="16">
        <f t="shared" ref="R400" si="279">COUNT(R310:R339)</f>
        <v>0</v>
      </c>
      <c r="S400" s="16"/>
      <c r="T400" s="16"/>
      <c r="U400" s="16">
        <f t="shared" ref="U400:V400" si="280">COUNT(U310:U339)</f>
        <v>0</v>
      </c>
      <c r="V400" s="16">
        <f t="shared" si="280"/>
        <v>0</v>
      </c>
      <c r="W400" s="16"/>
      <c r="X400" s="16"/>
      <c r="Y400" s="16">
        <f t="shared" ref="Y400" si="281">COUNT(Y310:Y339)</f>
        <v>0</v>
      </c>
      <c r="Z400" s="16"/>
      <c r="AA400" s="17"/>
      <c r="AB400" s="16"/>
      <c r="AC400" s="16">
        <f t="shared" ref="AC400:AE400" si="282">COUNT(AC310:AC339)</f>
        <v>0</v>
      </c>
      <c r="AD400" s="16">
        <f t="shared" si="282"/>
        <v>0</v>
      </c>
      <c r="AE400" s="16">
        <f t="shared" si="282"/>
        <v>0</v>
      </c>
      <c r="AF400" s="16"/>
      <c r="AG400" s="16"/>
      <c r="AH400" s="16"/>
      <c r="AI400" s="16"/>
      <c r="AJ400" s="16"/>
      <c r="AK400" s="16">
        <f t="shared" ref="AK400:AL400" si="283">COUNT(AK310:AK339)</f>
        <v>0</v>
      </c>
      <c r="AL400" s="16">
        <f t="shared" si="283"/>
        <v>0</v>
      </c>
      <c r="AM400" s="16"/>
      <c r="AN400" s="16"/>
      <c r="AO400" s="16">
        <f t="shared" ref="AO400:AP400" si="284">COUNT(AO310:AO339)</f>
        <v>30</v>
      </c>
      <c r="AP400" s="16">
        <f t="shared" si="284"/>
        <v>30</v>
      </c>
      <c r="AQ400" s="17"/>
      <c r="AR400" s="26"/>
      <c r="AS400" s="26"/>
      <c r="AT400" s="17"/>
      <c r="AU400" s="17"/>
      <c r="AW400" s="17"/>
      <c r="BA400" s="16">
        <f t="shared" ref="BA400:BB400" si="285">COUNT(BA310:BA339)</f>
        <v>30</v>
      </c>
      <c r="BB400" s="16">
        <f t="shared" si="285"/>
        <v>30</v>
      </c>
    </row>
    <row r="401" spans="1:54" ht="15" x14ac:dyDescent="0.25">
      <c r="A401" s="1" t="s">
        <v>62</v>
      </c>
      <c r="C401" s="16"/>
      <c r="D401" s="16"/>
      <c r="E401" s="1"/>
      <c r="F401" s="16"/>
      <c r="G401" s="16">
        <f t="shared" ref="G401" si="286">COUNT(G340:G370)</f>
        <v>0</v>
      </c>
      <c r="H401" s="16"/>
      <c r="I401" s="16"/>
      <c r="J401" s="1"/>
      <c r="K401" s="16">
        <f t="shared" ref="K401:O401" si="287">COUNT(K340:K370)</f>
        <v>0</v>
      </c>
      <c r="L401" s="16">
        <f t="shared" si="287"/>
        <v>0</v>
      </c>
      <c r="M401" s="16">
        <f t="shared" si="287"/>
        <v>0</v>
      </c>
      <c r="N401" s="16">
        <f t="shared" si="287"/>
        <v>0</v>
      </c>
      <c r="O401" s="16">
        <f t="shared" si="287"/>
        <v>0</v>
      </c>
      <c r="P401" s="16"/>
      <c r="Q401" s="16"/>
      <c r="R401" s="16">
        <f t="shared" ref="R401" si="288">COUNT(R340:R370)</f>
        <v>0</v>
      </c>
      <c r="S401" s="16"/>
      <c r="T401" s="16"/>
      <c r="U401" s="16">
        <f t="shared" ref="U401:V401" si="289">COUNT(U340:U370)</f>
        <v>0</v>
      </c>
      <c r="V401" s="16">
        <f t="shared" si="289"/>
        <v>0</v>
      </c>
      <c r="W401" s="16"/>
      <c r="X401" s="16"/>
      <c r="Y401" s="16">
        <f t="shared" ref="Y401" si="290">COUNT(Y340:Y370)</f>
        <v>0</v>
      </c>
      <c r="Z401" s="16"/>
      <c r="AA401" s="17"/>
      <c r="AB401" s="16"/>
      <c r="AC401" s="16">
        <f t="shared" ref="AC401:AE401" si="291">COUNT(AC340:AC370)</f>
        <v>0</v>
      </c>
      <c r="AD401" s="16">
        <f t="shared" si="291"/>
        <v>0</v>
      </c>
      <c r="AE401" s="16">
        <f t="shared" si="291"/>
        <v>0</v>
      </c>
      <c r="AF401" s="16"/>
      <c r="AG401" s="16"/>
      <c r="AH401" s="16"/>
      <c r="AI401" s="16"/>
      <c r="AJ401" s="16"/>
      <c r="AK401" s="16">
        <f t="shared" ref="AK401:AL401" si="292">COUNT(AK340:AK370)</f>
        <v>0</v>
      </c>
      <c r="AL401" s="16">
        <f t="shared" si="292"/>
        <v>0</v>
      </c>
      <c r="AM401" s="16"/>
      <c r="AN401" s="16"/>
      <c r="AO401" s="16">
        <f t="shared" ref="AO401:AP401" si="293">COUNT(AO340:AO370)</f>
        <v>31</v>
      </c>
      <c r="AP401" s="16">
        <f t="shared" si="293"/>
        <v>31</v>
      </c>
      <c r="AQ401" s="17"/>
      <c r="AR401" s="26"/>
      <c r="AS401" s="26"/>
      <c r="AT401" s="17"/>
      <c r="AU401" s="17"/>
      <c r="AW401" s="17"/>
      <c r="BA401" s="16">
        <f t="shared" ref="BA401:BB401" si="294">COUNT(BA340:BA370)</f>
        <v>31</v>
      </c>
      <c r="BB401" s="16">
        <f t="shared" si="294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30</v>
      </c>
      <c r="B1" s="1"/>
    </row>
    <row r="2" spans="1:5" x14ac:dyDescent="0.2">
      <c r="A2" s="1" t="s">
        <v>111</v>
      </c>
      <c r="B2" s="1"/>
      <c r="E2" s="1"/>
    </row>
    <row r="3" spans="1:5" x14ac:dyDescent="0.2">
      <c r="A3" s="1"/>
      <c r="B3" s="1" t="s">
        <v>20</v>
      </c>
    </row>
    <row r="4" spans="1:5" x14ac:dyDescent="0.2">
      <c r="A4" s="1"/>
      <c r="C4" s="1"/>
    </row>
    <row r="5" spans="1:5" x14ac:dyDescent="0.2">
      <c r="A5" s="1" t="s">
        <v>21</v>
      </c>
      <c r="B5" s="1"/>
      <c r="D5" s="1"/>
      <c r="E5" s="1"/>
    </row>
    <row r="6" spans="1:5" x14ac:dyDescent="0.2">
      <c r="A6" s="1"/>
      <c r="B6" s="1" t="s">
        <v>108</v>
      </c>
    </row>
    <row r="7" spans="1:5" x14ac:dyDescent="0.2">
      <c r="A7" s="1"/>
      <c r="B7" s="1"/>
      <c r="C7" s="1" t="s">
        <v>98</v>
      </c>
    </row>
    <row r="8" spans="1:5" x14ac:dyDescent="0.2">
      <c r="D8" s="1" t="s">
        <v>99</v>
      </c>
    </row>
    <row r="9" spans="1:5" x14ac:dyDescent="0.2">
      <c r="A9" s="1" t="s">
        <v>22</v>
      </c>
      <c r="B9" s="1"/>
    </row>
    <row r="10" spans="1:5" x14ac:dyDescent="0.2">
      <c r="A10" s="1"/>
      <c r="B10" s="1" t="s">
        <v>109</v>
      </c>
    </row>
    <row r="11" spans="1:5" x14ac:dyDescent="0.2">
      <c r="A11" s="1"/>
      <c r="B11" s="1"/>
      <c r="C11" s="1" t="s">
        <v>100</v>
      </c>
    </row>
    <row r="12" spans="1:5" x14ac:dyDescent="0.2">
      <c r="A12" s="1" t="s">
        <v>23</v>
      </c>
      <c r="B12" s="1"/>
    </row>
    <row r="13" spans="1:5" x14ac:dyDescent="0.2">
      <c r="A13" s="1"/>
      <c r="B13" s="1" t="s">
        <v>24</v>
      </c>
    </row>
    <row r="14" spans="1:5" x14ac:dyDescent="0.2">
      <c r="A14" s="1"/>
      <c r="B14" s="1"/>
    </row>
    <row r="15" spans="1:5" x14ac:dyDescent="0.2">
      <c r="A15" s="1" t="s">
        <v>25</v>
      </c>
      <c r="B15" s="1"/>
    </row>
    <row r="16" spans="1:5" x14ac:dyDescent="0.2">
      <c r="B16" s="6" t="s">
        <v>26</v>
      </c>
    </row>
    <row r="17" spans="1:4" x14ac:dyDescent="0.2">
      <c r="B17" s="6" t="s">
        <v>32</v>
      </c>
    </row>
    <row r="18" spans="1:4" x14ac:dyDescent="0.2">
      <c r="B18" s="6"/>
    </row>
    <row r="19" spans="1:4" x14ac:dyDescent="0.2">
      <c r="A19" s="1" t="s">
        <v>27</v>
      </c>
    </row>
    <row r="20" spans="1:4" x14ac:dyDescent="0.2">
      <c r="A20" s="1"/>
      <c r="B20" s="6" t="s">
        <v>26</v>
      </c>
    </row>
    <row r="21" spans="1:4" x14ac:dyDescent="0.2">
      <c r="A21" s="1"/>
      <c r="B21" s="6" t="s">
        <v>28</v>
      </c>
      <c r="D21" s="1"/>
    </row>
    <row r="22" spans="1:4" x14ac:dyDescent="0.2">
      <c r="A22" s="1"/>
      <c r="B22" s="6"/>
    </row>
    <row r="23" spans="1:4" x14ac:dyDescent="0.2">
      <c r="A23" s="1" t="s">
        <v>102</v>
      </c>
      <c r="B23" s="6"/>
    </row>
    <row r="24" spans="1:4" x14ac:dyDescent="0.2">
      <c r="B24" s="1" t="s">
        <v>29</v>
      </c>
    </row>
    <row r="25" spans="1:4" x14ac:dyDescent="0.2">
      <c r="B25" s="1"/>
    </row>
    <row r="26" spans="1:4" x14ac:dyDescent="0.2">
      <c r="A26" s="1" t="s">
        <v>103</v>
      </c>
      <c r="B26" s="1"/>
    </row>
    <row r="27" spans="1:4" x14ac:dyDescent="0.2">
      <c r="A27" s="1"/>
      <c r="B27" s="1" t="s">
        <v>110</v>
      </c>
    </row>
    <row r="29" spans="1:4" x14ac:dyDescent="0.2">
      <c r="A29" s="1" t="s">
        <v>105</v>
      </c>
      <c r="B29" s="1"/>
    </row>
    <row r="30" spans="1:4" x14ac:dyDescent="0.2">
      <c r="A30" s="1"/>
      <c r="B30" s="1" t="s">
        <v>106</v>
      </c>
    </row>
    <row r="31" spans="1:4" x14ac:dyDescent="0.2">
      <c r="B31" s="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T4" sqref="T4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2025-12-31T03:28:26Z</dcterms:modified>
</cp:coreProperties>
</file>